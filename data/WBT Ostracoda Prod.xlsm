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5415" yWindow="-75" windowWidth="14280" windowHeight="8070"/>
  </bookViews>
  <sheets>
    <sheet name="Cobble Gravel" sheetId="1" r:id="rId1"/>
    <sheet name="Notes" sheetId="4" r:id="rId2"/>
  </sheets>
  <calcPr calcId="125725"/>
</workbook>
</file>

<file path=xl/calcChain.xml><?xml version="1.0" encoding="utf-8"?>
<calcChain xmlns="http://schemas.openxmlformats.org/spreadsheetml/2006/main">
  <c r="I36" i="1"/>
  <c r="J36"/>
  <c r="K36"/>
  <c r="L36"/>
  <c r="M36"/>
  <c r="N36"/>
  <c r="O36"/>
  <c r="P36"/>
  <c r="Q36"/>
  <c r="R36"/>
  <c r="S36"/>
  <c r="T36"/>
  <c r="U36"/>
  <c r="V36"/>
  <c r="W36"/>
  <c r="X36"/>
  <c r="Y36"/>
  <c r="Z36"/>
  <c r="AA36"/>
  <c r="AB36"/>
  <c r="AC36"/>
  <c r="AD36"/>
  <c r="AE36"/>
  <c r="AF36"/>
  <c r="AG36"/>
  <c r="AH36"/>
  <c r="AI36"/>
  <c r="AJ36"/>
  <c r="AK36"/>
  <c r="H36"/>
  <c r="G36"/>
  <c r="DI125"/>
  <c r="FM16"/>
  <c r="FK16"/>
  <c r="FI16"/>
  <c r="FH16"/>
  <c r="FM15"/>
  <c r="FK15"/>
  <c r="FI15"/>
  <c r="FH15"/>
  <c r="FM14"/>
  <c r="FK14"/>
  <c r="FI14"/>
  <c r="FH14"/>
  <c r="FM13"/>
  <c r="FK13"/>
  <c r="FI13"/>
  <c r="FH13"/>
  <c r="FM12"/>
  <c r="FK12"/>
  <c r="FI12"/>
  <c r="FH12"/>
  <c r="FM11"/>
  <c r="FK11"/>
  <c r="FI11"/>
  <c r="FH11"/>
  <c r="FM10"/>
  <c r="FK10"/>
  <c r="FI10"/>
  <c r="FH10"/>
  <c r="FM9"/>
  <c r="FK9"/>
  <c r="FI9"/>
  <c r="FH9"/>
  <c r="FM8"/>
  <c r="FK8"/>
  <c r="FI8"/>
  <c r="FH8"/>
  <c r="FM7"/>
  <c r="FK7"/>
  <c r="FI7"/>
  <c r="FH7"/>
  <c r="GI4"/>
  <c r="GH4"/>
  <c r="GG4"/>
  <c r="GF4"/>
  <c r="GE4"/>
  <c r="GD4"/>
  <c r="GC4"/>
  <c r="GB4"/>
  <c r="GA4"/>
  <c r="FZ4"/>
  <c r="CX117"/>
  <c r="CX108"/>
  <c r="CX155"/>
  <c r="CX110"/>
  <c r="CX116"/>
  <c r="DE234"/>
  <c r="DE233"/>
  <c r="DE232"/>
  <c r="DE231"/>
  <c r="DE230"/>
  <c r="DE229"/>
  <c r="DE228"/>
  <c r="DE227"/>
  <c r="DE226"/>
  <c r="DE221" l="1"/>
  <c r="DE220"/>
  <c r="DE219"/>
  <c r="DE218"/>
  <c r="DE217"/>
  <c r="DE216"/>
  <c r="DE215"/>
  <c r="DE214"/>
  <c r="DE213"/>
  <c r="DE212"/>
  <c r="D450" l="1"/>
  <c r="D449"/>
  <c r="D448"/>
  <c r="D447"/>
  <c r="D446"/>
  <c r="D445"/>
  <c r="D444"/>
  <c r="D443"/>
  <c r="D442"/>
  <c r="D441"/>
  <c r="D432"/>
  <c r="D431"/>
  <c r="D430"/>
  <c r="D429"/>
  <c r="D428"/>
  <c r="D427"/>
  <c r="D426"/>
  <c r="D425"/>
  <c r="D424"/>
  <c r="D423"/>
  <c r="G70"/>
  <c r="H70"/>
  <c r="I70"/>
  <c r="J70"/>
  <c r="K70"/>
  <c r="L70"/>
  <c r="M70"/>
  <c r="N70"/>
  <c r="O70"/>
  <c r="P70"/>
  <c r="Q70"/>
  <c r="R70"/>
  <c r="S70"/>
  <c r="T70"/>
  <c r="U70"/>
  <c r="V70"/>
  <c r="W70"/>
  <c r="X70"/>
  <c r="Y70"/>
  <c r="Z70"/>
  <c r="AA70"/>
  <c r="AB70"/>
  <c r="AC70"/>
  <c r="AD70"/>
  <c r="AE70"/>
  <c r="AF70"/>
  <c r="AG70"/>
  <c r="AH70"/>
  <c r="AI70"/>
  <c r="AJ70"/>
  <c r="AK70"/>
  <c r="G71"/>
  <c r="H71"/>
  <c r="I71"/>
  <c r="J71"/>
  <c r="K71"/>
  <c r="L71"/>
  <c r="M71"/>
  <c r="N71"/>
  <c r="O71"/>
  <c r="P71"/>
  <c r="Q71"/>
  <c r="R71"/>
  <c r="S71"/>
  <c r="T71"/>
  <c r="U71"/>
  <c r="V71"/>
  <c r="W71"/>
  <c r="X71"/>
  <c r="Y71"/>
  <c r="Z71"/>
  <c r="AA71"/>
  <c r="AB71"/>
  <c r="AC71"/>
  <c r="AD71"/>
  <c r="AE71"/>
  <c r="AF71"/>
  <c r="AG71"/>
  <c r="AH71"/>
  <c r="AI71"/>
  <c r="AJ71"/>
  <c r="AK71"/>
  <c r="G72"/>
  <c r="H72"/>
  <c r="I72"/>
  <c r="J72"/>
  <c r="K72"/>
  <c r="L72"/>
  <c r="M72"/>
  <c r="N72"/>
  <c r="O72"/>
  <c r="P72"/>
  <c r="Q72"/>
  <c r="R72"/>
  <c r="S72"/>
  <c r="T72"/>
  <c r="U72"/>
  <c r="V72"/>
  <c r="W72"/>
  <c r="X72"/>
  <c r="Y72"/>
  <c r="Z72"/>
  <c r="AA72"/>
  <c r="AB72"/>
  <c r="AC72"/>
  <c r="AD72"/>
  <c r="AE72"/>
  <c r="AF72"/>
  <c r="AG72"/>
  <c r="AH72"/>
  <c r="AI72"/>
  <c r="AJ72"/>
  <c r="AK72"/>
  <c r="G73"/>
  <c r="H73"/>
  <c r="I73"/>
  <c r="J73"/>
  <c r="K73"/>
  <c r="L73"/>
  <c r="M73"/>
  <c r="N73"/>
  <c r="O73"/>
  <c r="P73"/>
  <c r="Q73"/>
  <c r="R73"/>
  <c r="S73"/>
  <c r="T73"/>
  <c r="U73"/>
  <c r="V73"/>
  <c r="W73"/>
  <c r="X73"/>
  <c r="Y73"/>
  <c r="Z73"/>
  <c r="AA73"/>
  <c r="AB73"/>
  <c r="AC73"/>
  <c r="AD73"/>
  <c r="AE73"/>
  <c r="AF73"/>
  <c r="AG73"/>
  <c r="AH73"/>
  <c r="AI73"/>
  <c r="AJ73"/>
  <c r="AK73"/>
  <c r="G74"/>
  <c r="H74"/>
  <c r="I74"/>
  <c r="J74"/>
  <c r="K74"/>
  <c r="L74"/>
  <c r="M74"/>
  <c r="N74"/>
  <c r="O74"/>
  <c r="P74"/>
  <c r="Q74"/>
  <c r="R74"/>
  <c r="S74"/>
  <c r="T74"/>
  <c r="U74"/>
  <c r="V74"/>
  <c r="W74"/>
  <c r="X74"/>
  <c r="Y74"/>
  <c r="Z74"/>
  <c r="AA74"/>
  <c r="AB74"/>
  <c r="AC74"/>
  <c r="AD74"/>
  <c r="AE74"/>
  <c r="AF74"/>
  <c r="AG74"/>
  <c r="AH74"/>
  <c r="AI74"/>
  <c r="AJ74"/>
  <c r="AK74"/>
  <c r="G75"/>
  <c r="H75"/>
  <c r="I75"/>
  <c r="J75"/>
  <c r="K75"/>
  <c r="L75"/>
  <c r="M75"/>
  <c r="N75"/>
  <c r="O75"/>
  <c r="P75"/>
  <c r="Q75"/>
  <c r="R75"/>
  <c r="S75"/>
  <c r="T75"/>
  <c r="U75"/>
  <c r="V75"/>
  <c r="W75"/>
  <c r="X75"/>
  <c r="Y75"/>
  <c r="Z75"/>
  <c r="AA75"/>
  <c r="AB75"/>
  <c r="AC75"/>
  <c r="AD75"/>
  <c r="AE75"/>
  <c r="AF75"/>
  <c r="AG75"/>
  <c r="AH75"/>
  <c r="AI75"/>
  <c r="AJ75"/>
  <c r="AK75"/>
  <c r="G76"/>
  <c r="H76"/>
  <c r="I76"/>
  <c r="J76"/>
  <c r="K76"/>
  <c r="L76"/>
  <c r="M76"/>
  <c r="N76"/>
  <c r="O76"/>
  <c r="P76"/>
  <c r="Q76"/>
  <c r="R76"/>
  <c r="S76"/>
  <c r="T76"/>
  <c r="U76"/>
  <c r="V76"/>
  <c r="W76"/>
  <c r="X76"/>
  <c r="Y76"/>
  <c r="Z76"/>
  <c r="AA76"/>
  <c r="AB76"/>
  <c r="AC76"/>
  <c r="AD76"/>
  <c r="AE76"/>
  <c r="AF76"/>
  <c r="AG76"/>
  <c r="AH76"/>
  <c r="AI76"/>
  <c r="AJ76"/>
  <c r="AK76"/>
  <c r="G77"/>
  <c r="H77"/>
  <c r="I77"/>
  <c r="J77"/>
  <c r="K77"/>
  <c r="L77"/>
  <c r="M77"/>
  <c r="N77"/>
  <c r="O77"/>
  <c r="P77"/>
  <c r="Q77"/>
  <c r="R77"/>
  <c r="S77"/>
  <c r="T77"/>
  <c r="U77"/>
  <c r="V77"/>
  <c r="W77"/>
  <c r="X77"/>
  <c r="Y77"/>
  <c r="Z77"/>
  <c r="AA77"/>
  <c r="AB77"/>
  <c r="AC77"/>
  <c r="AD77"/>
  <c r="AE77"/>
  <c r="AF77"/>
  <c r="AG77"/>
  <c r="AH77"/>
  <c r="AI77"/>
  <c r="AJ77"/>
  <c r="AK77"/>
  <c r="G78"/>
  <c r="H78"/>
  <c r="I78"/>
  <c r="J78"/>
  <c r="K78"/>
  <c r="L78"/>
  <c r="M78"/>
  <c r="N78"/>
  <c r="O78"/>
  <c r="P78"/>
  <c r="Q78"/>
  <c r="R78"/>
  <c r="S78"/>
  <c r="T78"/>
  <c r="U78"/>
  <c r="V78"/>
  <c r="W78"/>
  <c r="X78"/>
  <c r="Y78"/>
  <c r="Z78"/>
  <c r="AA78"/>
  <c r="AB78"/>
  <c r="AC78"/>
  <c r="AD78"/>
  <c r="AE78"/>
  <c r="AF78"/>
  <c r="AG78"/>
  <c r="AH78"/>
  <c r="AI78"/>
  <c r="AJ78"/>
  <c r="AK78"/>
  <c r="G79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AI79"/>
  <c r="AJ79"/>
  <c r="AK79"/>
  <c r="D551"/>
  <c r="E551"/>
  <c r="E553"/>
  <c r="H552" s="1"/>
  <c r="D553"/>
  <c r="C553"/>
  <c r="I552"/>
  <c r="C551"/>
  <c r="C549"/>
  <c r="C547"/>
  <c r="C545"/>
  <c r="C543"/>
  <c r="C541"/>
  <c r="C539"/>
  <c r="C537"/>
  <c r="C535"/>
  <c r="C533"/>
  <c r="C531"/>
  <c r="H372"/>
  <c r="A438"/>
  <c r="I372"/>
  <c r="I422" s="1"/>
  <c r="E463"/>
  <c r="E467"/>
  <c r="M372"/>
  <c r="E471"/>
  <c r="P372"/>
  <c r="E479"/>
  <c r="E481"/>
  <c r="E485"/>
  <c r="E489"/>
  <c r="Y372"/>
  <c r="Y422" s="1"/>
  <c r="E495"/>
  <c r="E499"/>
  <c r="E503"/>
  <c r="E507"/>
  <c r="E513"/>
  <c r="E515"/>
  <c r="E517"/>
  <c r="H518" s="1"/>
  <c r="E21"/>
  <c r="E22"/>
  <c r="E23"/>
  <c r="E24"/>
  <c r="E25"/>
  <c r="E26"/>
  <c r="E27"/>
  <c r="E28"/>
  <c r="E29"/>
  <c r="B405"/>
  <c r="B414"/>
  <c r="C414"/>
  <c r="B413"/>
  <c r="C413" s="1"/>
  <c r="B412"/>
  <c r="C412" s="1"/>
  <c r="B411"/>
  <c r="C411" s="1"/>
  <c r="B410"/>
  <c r="C410"/>
  <c r="B409"/>
  <c r="C409" s="1"/>
  <c r="B408"/>
  <c r="C408" s="1"/>
  <c r="B407"/>
  <c r="C407" s="1"/>
  <c r="B406"/>
  <c r="C406"/>
  <c r="H398"/>
  <c r="F398"/>
  <c r="H397"/>
  <c r="F397"/>
  <c r="N372"/>
  <c r="N373" s="1"/>
  <c r="B382"/>
  <c r="B381"/>
  <c r="B380"/>
  <c r="B379"/>
  <c r="B378"/>
  <c r="B377"/>
  <c r="B376"/>
  <c r="B375"/>
  <c r="B374"/>
  <c r="B373"/>
  <c r="BA178"/>
  <c r="CM178"/>
  <c r="BA168"/>
  <c r="CM168" s="1"/>
  <c r="BA159"/>
  <c r="CM159"/>
  <c r="BA148"/>
  <c r="CM148" s="1"/>
  <c r="BA158"/>
  <c r="BA138"/>
  <c r="CM138" s="1"/>
  <c r="BA149"/>
  <c r="BA128"/>
  <c r="BA118"/>
  <c r="CM118"/>
  <c r="BA108"/>
  <c r="CM108"/>
  <c r="BA98"/>
  <c r="CM98"/>
  <c r="BA88"/>
  <c r="DF207"/>
  <c r="EJ207"/>
  <c r="FT207" s="1"/>
  <c r="EI207"/>
  <c r="FS207" s="1"/>
  <c r="EH207"/>
  <c r="FR207" s="1"/>
  <c r="EG207"/>
  <c r="FQ207" s="1"/>
  <c r="EF207"/>
  <c r="FP207"/>
  <c r="EE207"/>
  <c r="FO207" s="1"/>
  <c r="ED207"/>
  <c r="FN207"/>
  <c r="EC207"/>
  <c r="FM207" s="1"/>
  <c r="EB207"/>
  <c r="FL207" s="1"/>
  <c r="EA207"/>
  <c r="FK207" s="1"/>
  <c r="DZ207"/>
  <c r="FJ207"/>
  <c r="DY207"/>
  <c r="FI207" s="1"/>
  <c r="DX207"/>
  <c r="FH207"/>
  <c r="DW207"/>
  <c r="FG207" s="1"/>
  <c r="DV207"/>
  <c r="FF207"/>
  <c r="DU207"/>
  <c r="FE207" s="1"/>
  <c r="DT207"/>
  <c r="FD207" s="1"/>
  <c r="DS207"/>
  <c r="FC207" s="1"/>
  <c r="DR207"/>
  <c r="FB207"/>
  <c r="DQ207"/>
  <c r="FA207" s="1"/>
  <c r="DP207"/>
  <c r="EZ207" s="1"/>
  <c r="DO207"/>
  <c r="EY207" s="1"/>
  <c r="DN207"/>
  <c r="EX207"/>
  <c r="DM207"/>
  <c r="EW207" s="1"/>
  <c r="DL207"/>
  <c r="EV207" s="1"/>
  <c r="DK207"/>
  <c r="EU207" s="1"/>
  <c r="DJ207"/>
  <c r="ET207" s="1"/>
  <c r="DI207"/>
  <c r="ES207" s="1"/>
  <c r="DH207"/>
  <c r="ER207"/>
  <c r="DG207"/>
  <c r="EQ207" s="1"/>
  <c r="DD207"/>
  <c r="DC207" s="1"/>
  <c r="CZ207"/>
  <c r="CM207"/>
  <c r="CL207"/>
  <c r="CK207"/>
  <c r="AY207"/>
  <c r="B207"/>
  <c r="DF206"/>
  <c r="EJ206"/>
  <c r="FT206" s="1"/>
  <c r="EI206"/>
  <c r="FS206"/>
  <c r="EH206"/>
  <c r="FR206" s="1"/>
  <c r="EG206"/>
  <c r="FQ206"/>
  <c r="EF206"/>
  <c r="FP206" s="1"/>
  <c r="EE206"/>
  <c r="FO206"/>
  <c r="ED206"/>
  <c r="FN206" s="1"/>
  <c r="EC206"/>
  <c r="FM206"/>
  <c r="EB206"/>
  <c r="FL206" s="1"/>
  <c r="EA206"/>
  <c r="FK206"/>
  <c r="DZ206"/>
  <c r="FJ206" s="1"/>
  <c r="DY206"/>
  <c r="FI206"/>
  <c r="DX206"/>
  <c r="FH206" s="1"/>
  <c r="DW206"/>
  <c r="FG206"/>
  <c r="DV206"/>
  <c r="FF206" s="1"/>
  <c r="DU206"/>
  <c r="FE206"/>
  <c r="DT206"/>
  <c r="FD206" s="1"/>
  <c r="DS206"/>
  <c r="FC206"/>
  <c r="DR206"/>
  <c r="FB206" s="1"/>
  <c r="DQ206"/>
  <c r="FA206"/>
  <c r="DP206"/>
  <c r="EZ206" s="1"/>
  <c r="DO206"/>
  <c r="EY206"/>
  <c r="DN206"/>
  <c r="EX206" s="1"/>
  <c r="DM206"/>
  <c r="EW206"/>
  <c r="DL206"/>
  <c r="EV206" s="1"/>
  <c r="DK206"/>
  <c r="EU206"/>
  <c r="DJ206"/>
  <c r="ET206" s="1"/>
  <c r="DI206"/>
  <c r="ES206"/>
  <c r="DH206"/>
  <c r="ER206" s="1"/>
  <c r="DG206"/>
  <c r="EQ206"/>
  <c r="DD206"/>
  <c r="DE206" s="1"/>
  <c r="DC206"/>
  <c r="CZ206"/>
  <c r="CM206"/>
  <c r="CL206"/>
  <c r="CK206"/>
  <c r="AY206"/>
  <c r="B206"/>
  <c r="DF205"/>
  <c r="EP205"/>
  <c r="FU205" s="1"/>
  <c r="EJ205"/>
  <c r="FT205" s="1"/>
  <c r="EI205"/>
  <c r="FS205"/>
  <c r="EH205"/>
  <c r="FR205" s="1"/>
  <c r="EG205"/>
  <c r="FQ205" s="1"/>
  <c r="EF205"/>
  <c r="FP205" s="1"/>
  <c r="EE205"/>
  <c r="FO205" s="1"/>
  <c r="ED205"/>
  <c r="FN205" s="1"/>
  <c r="EC205"/>
  <c r="FM205" s="1"/>
  <c r="EB205"/>
  <c r="FL205" s="1"/>
  <c r="EA205"/>
  <c r="FK205"/>
  <c r="DZ205"/>
  <c r="FJ205" s="1"/>
  <c r="DY205"/>
  <c r="FI205" s="1"/>
  <c r="DX205"/>
  <c r="FH205" s="1"/>
  <c r="DW205"/>
  <c r="FG205" s="1"/>
  <c r="DV205"/>
  <c r="FF205" s="1"/>
  <c r="DU205"/>
  <c r="FE205"/>
  <c r="DT205"/>
  <c r="FD205" s="1"/>
  <c r="DS205"/>
  <c r="FC205"/>
  <c r="DR205"/>
  <c r="FB205" s="1"/>
  <c r="DQ205"/>
  <c r="FA205" s="1"/>
  <c r="DP205"/>
  <c r="EZ205" s="1"/>
  <c r="DO205"/>
  <c r="EY205"/>
  <c r="DN205"/>
  <c r="EX205" s="1"/>
  <c r="DM205"/>
  <c r="EW205" s="1"/>
  <c r="DL205"/>
  <c r="EV205" s="1"/>
  <c r="DK205"/>
  <c r="EU205"/>
  <c r="DJ205"/>
  <c r="ET205" s="1"/>
  <c r="DI205"/>
  <c r="ES205" s="1"/>
  <c r="DH205"/>
  <c r="ER205" s="1"/>
  <c r="DG205"/>
  <c r="EQ205" s="1"/>
  <c r="EK205"/>
  <c r="DD205"/>
  <c r="CZ205"/>
  <c r="CM205"/>
  <c r="CL205"/>
  <c r="CK205"/>
  <c r="AY205"/>
  <c r="B205"/>
  <c r="DF204"/>
  <c r="EJ204"/>
  <c r="FT204"/>
  <c r="EI204"/>
  <c r="FS204"/>
  <c r="EH204"/>
  <c r="FR204"/>
  <c r="EG204"/>
  <c r="FQ204"/>
  <c r="EF204"/>
  <c r="FP204"/>
  <c r="EE204"/>
  <c r="FO204"/>
  <c r="ED204"/>
  <c r="FN204"/>
  <c r="EC204"/>
  <c r="FM204"/>
  <c r="EB204"/>
  <c r="FL204"/>
  <c r="EA204"/>
  <c r="FK204"/>
  <c r="DZ204"/>
  <c r="FJ204"/>
  <c r="DY204"/>
  <c r="FI204"/>
  <c r="DX204"/>
  <c r="FH204"/>
  <c r="DW204"/>
  <c r="FG204"/>
  <c r="DV204"/>
  <c r="FF204"/>
  <c r="DU204"/>
  <c r="FE204"/>
  <c r="DT204"/>
  <c r="FD204"/>
  <c r="DS204"/>
  <c r="FC204"/>
  <c r="DR204"/>
  <c r="FB204"/>
  <c r="DQ204"/>
  <c r="FA204"/>
  <c r="DP204"/>
  <c r="EZ204"/>
  <c r="DO204"/>
  <c r="EY204"/>
  <c r="DN204"/>
  <c r="EX204"/>
  <c r="DM204"/>
  <c r="EW204"/>
  <c r="DL204"/>
  <c r="EV204"/>
  <c r="DK204"/>
  <c r="EU204"/>
  <c r="DJ204"/>
  <c r="ET204"/>
  <c r="DI204"/>
  <c r="ES204"/>
  <c r="DH204"/>
  <c r="ER204"/>
  <c r="DG204"/>
  <c r="EQ204"/>
  <c r="DD204"/>
  <c r="DE204" s="1"/>
  <c r="DC204"/>
  <c r="CZ204"/>
  <c r="CM204"/>
  <c r="CL204"/>
  <c r="CK204"/>
  <c r="AY204"/>
  <c r="B204"/>
  <c r="DF203"/>
  <c r="EP203"/>
  <c r="FU203" s="1"/>
  <c r="EJ203"/>
  <c r="FT203" s="1"/>
  <c r="EI203"/>
  <c r="FS203"/>
  <c r="EH203"/>
  <c r="FR203" s="1"/>
  <c r="EG203"/>
  <c r="FQ203"/>
  <c r="EF203"/>
  <c r="FP203" s="1"/>
  <c r="EE203"/>
  <c r="FO203" s="1"/>
  <c r="ED203"/>
  <c r="FN203" s="1"/>
  <c r="EC203"/>
  <c r="FM203"/>
  <c r="EB203"/>
  <c r="FL203" s="1"/>
  <c r="EA203"/>
  <c r="FK203" s="1"/>
  <c r="DZ203"/>
  <c r="FJ203" s="1"/>
  <c r="DY203"/>
  <c r="FI203"/>
  <c r="DX203"/>
  <c r="FH203" s="1"/>
  <c r="DW203"/>
  <c r="FG203" s="1"/>
  <c r="DV203"/>
  <c r="FF203" s="1"/>
  <c r="DU203"/>
  <c r="FE203" s="1"/>
  <c r="DT203"/>
  <c r="FD203" s="1"/>
  <c r="DS203"/>
  <c r="FC203" s="1"/>
  <c r="DR203"/>
  <c r="FB203" s="1"/>
  <c r="DQ203"/>
  <c r="FA203"/>
  <c r="DP203"/>
  <c r="EZ203" s="1"/>
  <c r="DO203"/>
  <c r="EY203" s="1"/>
  <c r="DN203"/>
  <c r="EX203" s="1"/>
  <c r="DM203"/>
  <c r="EW203" s="1"/>
  <c r="DL203"/>
  <c r="EV203" s="1"/>
  <c r="DK203"/>
  <c r="EU203"/>
  <c r="DJ203"/>
  <c r="ET203" s="1"/>
  <c r="DI203"/>
  <c r="ES203"/>
  <c r="DH203"/>
  <c r="ER203" s="1"/>
  <c r="DG203"/>
  <c r="EQ203" s="1"/>
  <c r="EK203"/>
  <c r="DD203"/>
  <c r="DE203"/>
  <c r="DC203"/>
  <c r="CZ203"/>
  <c r="CM203"/>
  <c r="CL203"/>
  <c r="CK203"/>
  <c r="AY203"/>
  <c r="B203"/>
  <c r="DF202"/>
  <c r="EJ202"/>
  <c r="FT202"/>
  <c r="EI202"/>
  <c r="FS202"/>
  <c r="EH202"/>
  <c r="FR202"/>
  <c r="EG202"/>
  <c r="FQ202"/>
  <c r="EF202"/>
  <c r="FP202"/>
  <c r="EE202"/>
  <c r="FO202"/>
  <c r="ED202"/>
  <c r="FN202"/>
  <c r="EC202"/>
  <c r="FM202"/>
  <c r="EB202"/>
  <c r="FL202"/>
  <c r="EA202"/>
  <c r="FK202"/>
  <c r="DZ202"/>
  <c r="FJ202"/>
  <c r="DY202"/>
  <c r="FI202"/>
  <c r="DX202"/>
  <c r="FH202"/>
  <c r="DW202"/>
  <c r="FG202"/>
  <c r="DV202"/>
  <c r="FF202"/>
  <c r="DU202"/>
  <c r="FE202"/>
  <c r="DT202"/>
  <c r="FD202"/>
  <c r="DS202"/>
  <c r="FC202"/>
  <c r="DR202"/>
  <c r="FB202"/>
  <c r="DQ202"/>
  <c r="FA202"/>
  <c r="DP202"/>
  <c r="EZ202"/>
  <c r="DO202"/>
  <c r="EY202"/>
  <c r="DN202"/>
  <c r="EX202"/>
  <c r="DM202"/>
  <c r="EW202"/>
  <c r="DL202"/>
  <c r="EV202"/>
  <c r="DK202"/>
  <c r="EU202"/>
  <c r="DJ202"/>
  <c r="ET202"/>
  <c r="DI202"/>
  <c r="ES202"/>
  <c r="DH202"/>
  <c r="ER202"/>
  <c r="DG202"/>
  <c r="EQ202"/>
  <c r="DD202"/>
  <c r="DC202" s="1"/>
  <c r="DE202"/>
  <c r="CZ202"/>
  <c r="CM202"/>
  <c r="CL202"/>
  <c r="CK202"/>
  <c r="AY202"/>
  <c r="B202"/>
  <c r="DF201"/>
  <c r="EP201" s="1"/>
  <c r="FU201" s="1"/>
  <c r="EJ201"/>
  <c r="FT201" s="1"/>
  <c r="EI201"/>
  <c r="FS201" s="1"/>
  <c r="EH201"/>
  <c r="FR201"/>
  <c r="EG201"/>
  <c r="FQ201" s="1"/>
  <c r="EF201"/>
  <c r="FP201" s="1"/>
  <c r="EE201"/>
  <c r="FO201" s="1"/>
  <c r="ED201"/>
  <c r="FN201" s="1"/>
  <c r="EC201"/>
  <c r="FM201" s="1"/>
  <c r="EB201"/>
  <c r="FL201"/>
  <c r="EA201"/>
  <c r="FK201" s="1"/>
  <c r="DZ201"/>
  <c r="FJ201"/>
  <c r="DY201"/>
  <c r="FI201" s="1"/>
  <c r="DX201"/>
  <c r="FH201" s="1"/>
  <c r="DW201"/>
  <c r="FG201" s="1"/>
  <c r="DV201"/>
  <c r="FF201"/>
  <c r="DU201"/>
  <c r="FE201" s="1"/>
  <c r="DT201"/>
  <c r="FD201" s="1"/>
  <c r="DS201"/>
  <c r="FC201" s="1"/>
  <c r="DR201"/>
  <c r="FB201"/>
  <c r="DQ201"/>
  <c r="FA201" s="1"/>
  <c r="DP201"/>
  <c r="EZ201" s="1"/>
  <c r="DO201"/>
  <c r="EY201" s="1"/>
  <c r="DN201"/>
  <c r="EX201" s="1"/>
  <c r="DM201"/>
  <c r="EW201" s="1"/>
  <c r="DL201"/>
  <c r="EV201" s="1"/>
  <c r="DK201"/>
  <c r="EU201" s="1"/>
  <c r="DJ201"/>
  <c r="ET201"/>
  <c r="DI201"/>
  <c r="ES201" s="1"/>
  <c r="DH201"/>
  <c r="ER201" s="1"/>
  <c r="DG201"/>
  <c r="EQ201" s="1"/>
  <c r="EK201"/>
  <c r="DD201"/>
  <c r="CZ201"/>
  <c r="CM201"/>
  <c r="CL201"/>
  <c r="CK201"/>
  <c r="AY201"/>
  <c r="B201"/>
  <c r="DF200"/>
  <c r="EJ200"/>
  <c r="FT200" s="1"/>
  <c r="EI200"/>
  <c r="FS200"/>
  <c r="EH200"/>
  <c r="FR200" s="1"/>
  <c r="EG200"/>
  <c r="FQ200"/>
  <c r="EF200"/>
  <c r="FP200" s="1"/>
  <c r="EE200"/>
  <c r="FO200"/>
  <c r="ED200"/>
  <c r="FN200" s="1"/>
  <c r="EC200"/>
  <c r="FM200"/>
  <c r="EB200"/>
  <c r="FL200" s="1"/>
  <c r="EA200"/>
  <c r="FK200"/>
  <c r="DZ200"/>
  <c r="FJ200" s="1"/>
  <c r="DY200"/>
  <c r="FI200"/>
  <c r="DX200"/>
  <c r="FH200" s="1"/>
  <c r="DW200"/>
  <c r="FG200"/>
  <c r="DV200"/>
  <c r="FF200" s="1"/>
  <c r="DU200"/>
  <c r="FE200"/>
  <c r="DT200"/>
  <c r="FD200" s="1"/>
  <c r="DS200"/>
  <c r="FC200"/>
  <c r="DR200"/>
  <c r="FB200" s="1"/>
  <c r="DQ200"/>
  <c r="FA200"/>
  <c r="DP200"/>
  <c r="EZ200" s="1"/>
  <c r="DO200"/>
  <c r="EY200"/>
  <c r="DN200"/>
  <c r="EX200" s="1"/>
  <c r="DM200"/>
  <c r="EW200"/>
  <c r="DL200"/>
  <c r="EV200" s="1"/>
  <c r="DK200"/>
  <c r="EU200"/>
  <c r="DJ200"/>
  <c r="ET200" s="1"/>
  <c r="DI200"/>
  <c r="ES200"/>
  <c r="DH200"/>
  <c r="ER200" s="1"/>
  <c r="DG200"/>
  <c r="EQ200"/>
  <c r="DD200"/>
  <c r="DE200" s="1"/>
  <c r="DC200"/>
  <c r="CZ200"/>
  <c r="CM200"/>
  <c r="CL200"/>
  <c r="CK200"/>
  <c r="AY200"/>
  <c r="B200"/>
  <c r="DF199"/>
  <c r="EP199"/>
  <c r="FU199" s="1"/>
  <c r="EJ199"/>
  <c r="FT199" s="1"/>
  <c r="EI199"/>
  <c r="FS199" s="1"/>
  <c r="EH199"/>
  <c r="FR199" s="1"/>
  <c r="EG199"/>
  <c r="FQ199" s="1"/>
  <c r="EF199"/>
  <c r="FP199" s="1"/>
  <c r="EE199"/>
  <c r="FO199"/>
  <c r="ED199"/>
  <c r="FN199" s="1"/>
  <c r="EC199"/>
  <c r="FM199" s="1"/>
  <c r="EB199"/>
  <c r="FL199" s="1"/>
  <c r="EA199"/>
  <c r="FK199" s="1"/>
  <c r="DZ199"/>
  <c r="FJ199" s="1"/>
  <c r="DY199"/>
  <c r="FI199"/>
  <c r="DX199"/>
  <c r="FH199" s="1"/>
  <c r="DW199"/>
  <c r="FG199"/>
  <c r="DV199"/>
  <c r="FF199" s="1"/>
  <c r="DU199"/>
  <c r="FE199" s="1"/>
  <c r="DT199"/>
  <c r="FD199" s="1"/>
  <c r="DS199"/>
  <c r="FC199"/>
  <c r="DR199"/>
  <c r="FB199" s="1"/>
  <c r="DQ199"/>
  <c r="FA199"/>
  <c r="DP199"/>
  <c r="EZ199" s="1"/>
  <c r="DO199"/>
  <c r="EY199"/>
  <c r="DN199"/>
  <c r="EX199" s="1"/>
  <c r="DM199"/>
  <c r="EW199" s="1"/>
  <c r="DL199"/>
  <c r="EV199" s="1"/>
  <c r="DK199"/>
  <c r="EU199"/>
  <c r="DJ199"/>
  <c r="ET199" s="1"/>
  <c r="DI199"/>
  <c r="ES199" s="1"/>
  <c r="DH199"/>
  <c r="ER199" s="1"/>
  <c r="DG199"/>
  <c r="EQ199"/>
  <c r="EK199"/>
  <c r="DD199"/>
  <c r="DE199"/>
  <c r="DC199"/>
  <c r="CZ199"/>
  <c r="CM199"/>
  <c r="CL199"/>
  <c r="CK199"/>
  <c r="AY199"/>
  <c r="B199"/>
  <c r="DF198"/>
  <c r="EK198" s="1"/>
  <c r="EP198"/>
  <c r="FU198" s="1"/>
  <c r="EJ198"/>
  <c r="FT198"/>
  <c r="EI198"/>
  <c r="FS198" s="1"/>
  <c r="EH198"/>
  <c r="FR198"/>
  <c r="EG198"/>
  <c r="FQ198" s="1"/>
  <c r="EF198"/>
  <c r="FP198"/>
  <c r="EE198"/>
  <c r="FO198" s="1"/>
  <c r="ED198"/>
  <c r="FN198"/>
  <c r="EC198"/>
  <c r="FM198" s="1"/>
  <c r="EB198"/>
  <c r="FL198"/>
  <c r="EA198"/>
  <c r="FK198" s="1"/>
  <c r="DZ198"/>
  <c r="FJ198"/>
  <c r="DY198"/>
  <c r="FI198" s="1"/>
  <c r="DX198"/>
  <c r="FH198"/>
  <c r="DW198"/>
  <c r="FG198" s="1"/>
  <c r="DV198"/>
  <c r="FF198"/>
  <c r="DU198"/>
  <c r="FE198" s="1"/>
  <c r="DT198"/>
  <c r="FD198"/>
  <c r="DS198"/>
  <c r="FC198" s="1"/>
  <c r="DR198"/>
  <c r="FB198"/>
  <c r="DQ198"/>
  <c r="FA198" s="1"/>
  <c r="DP198"/>
  <c r="EZ198"/>
  <c r="DO198"/>
  <c r="EY198" s="1"/>
  <c r="DN198"/>
  <c r="EX198"/>
  <c r="DM198"/>
  <c r="EW198" s="1"/>
  <c r="DL198"/>
  <c r="EV198"/>
  <c r="DK198"/>
  <c r="EU198" s="1"/>
  <c r="DJ198"/>
  <c r="ET198"/>
  <c r="DI198"/>
  <c r="ES198" s="1"/>
  <c r="DH198"/>
  <c r="ER198"/>
  <c r="DG198"/>
  <c r="EQ198" s="1"/>
  <c r="DD198"/>
  <c r="DE198" s="1"/>
  <c r="DC198"/>
  <c r="CZ198"/>
  <c r="CM198"/>
  <c r="CL198"/>
  <c r="CK198"/>
  <c r="AY198"/>
  <c r="B198"/>
  <c r="DF197"/>
  <c r="EP197"/>
  <c r="FU197" s="1"/>
  <c r="EJ197"/>
  <c r="FT197" s="1"/>
  <c r="EI197"/>
  <c r="FS197" s="1"/>
  <c r="EH197"/>
  <c r="FR197" s="1"/>
  <c r="EG197"/>
  <c r="FQ197" s="1"/>
  <c r="EF197"/>
  <c r="FP197"/>
  <c r="EE197"/>
  <c r="FO197" s="1"/>
  <c r="ED197"/>
  <c r="FN197" s="1"/>
  <c r="EC197"/>
  <c r="FM197" s="1"/>
  <c r="EB197"/>
  <c r="FL197" s="1"/>
  <c r="EA197"/>
  <c r="FK197" s="1"/>
  <c r="DZ197"/>
  <c r="FJ197"/>
  <c r="DY197"/>
  <c r="FI197" s="1"/>
  <c r="DX197"/>
  <c r="FH197"/>
  <c r="DW197"/>
  <c r="FG197" s="1"/>
  <c r="DV197"/>
  <c r="FF197" s="1"/>
  <c r="DU197"/>
  <c r="FE197" s="1"/>
  <c r="DT197"/>
  <c r="FD197"/>
  <c r="DS197"/>
  <c r="FC197" s="1"/>
  <c r="DR197"/>
  <c r="FB197"/>
  <c r="DQ197"/>
  <c r="FA197" s="1"/>
  <c r="DP197"/>
  <c r="EZ197"/>
  <c r="DO197"/>
  <c r="EY197" s="1"/>
  <c r="DN197"/>
  <c r="EX197" s="1"/>
  <c r="DM197"/>
  <c r="EW197" s="1"/>
  <c r="DL197"/>
  <c r="EV197"/>
  <c r="DK197"/>
  <c r="EU197" s="1"/>
  <c r="DJ197"/>
  <c r="ET197" s="1"/>
  <c r="DI197"/>
  <c r="ES197" s="1"/>
  <c r="DH197"/>
  <c r="ER197"/>
  <c r="DG197"/>
  <c r="EQ197" s="1"/>
  <c r="EK197"/>
  <c r="DD197"/>
  <c r="DC197" s="1"/>
  <c r="DE197"/>
  <c r="CZ197"/>
  <c r="CM197"/>
  <c r="CL197"/>
  <c r="CK197"/>
  <c r="AY197"/>
  <c r="B197"/>
  <c r="DF196"/>
  <c r="EP196" s="1"/>
  <c r="FU196" s="1"/>
  <c r="EJ196"/>
  <c r="FT196"/>
  <c r="EI196"/>
  <c r="FS196"/>
  <c r="EH196"/>
  <c r="FR196"/>
  <c r="EG196"/>
  <c r="FQ196"/>
  <c r="EF196"/>
  <c r="FP196"/>
  <c r="EE196"/>
  <c r="FO196"/>
  <c r="ED196"/>
  <c r="FN196"/>
  <c r="EC196"/>
  <c r="FM196"/>
  <c r="EB196"/>
  <c r="FL196"/>
  <c r="EA196"/>
  <c r="FK196"/>
  <c r="DZ196"/>
  <c r="FJ196"/>
  <c r="DY196"/>
  <c r="FI196"/>
  <c r="DX196"/>
  <c r="FH196"/>
  <c r="DW196"/>
  <c r="FG196"/>
  <c r="DV196"/>
  <c r="FF196"/>
  <c r="DU196"/>
  <c r="FE196"/>
  <c r="DT196"/>
  <c r="FD196"/>
  <c r="DS196"/>
  <c r="FC196"/>
  <c r="DR196"/>
  <c r="FB196"/>
  <c r="DQ196"/>
  <c r="FA196"/>
  <c r="DP196"/>
  <c r="EZ196"/>
  <c r="DO196"/>
  <c r="EY196"/>
  <c r="DN196"/>
  <c r="EX196"/>
  <c r="DM196"/>
  <c r="EW196"/>
  <c r="DL196"/>
  <c r="EV196"/>
  <c r="DK196"/>
  <c r="EU196"/>
  <c r="DJ196"/>
  <c r="ET196"/>
  <c r="DI196"/>
  <c r="ES196"/>
  <c r="DH196"/>
  <c r="ER196"/>
  <c r="DG196"/>
  <c r="EQ196"/>
  <c r="EK196"/>
  <c r="DD196"/>
  <c r="CZ196"/>
  <c r="CM196"/>
  <c r="CL196"/>
  <c r="CK196"/>
  <c r="AY196"/>
  <c r="B196"/>
  <c r="DF195"/>
  <c r="EP195"/>
  <c r="FU195" s="1"/>
  <c r="EJ195"/>
  <c r="FT195" s="1"/>
  <c r="EI195"/>
  <c r="FS195" s="1"/>
  <c r="EH195"/>
  <c r="FR195" s="1"/>
  <c r="EG195"/>
  <c r="FQ195" s="1"/>
  <c r="EF195"/>
  <c r="FP195" s="1"/>
  <c r="EE195"/>
  <c r="FO195" s="1"/>
  <c r="ED195"/>
  <c r="FN195" s="1"/>
  <c r="EC195"/>
  <c r="FM195"/>
  <c r="EB195"/>
  <c r="FL195" s="1"/>
  <c r="EA195"/>
  <c r="FK195" s="1"/>
  <c r="DZ195"/>
  <c r="FJ195" s="1"/>
  <c r="DY195"/>
  <c r="FI195" s="1"/>
  <c r="DX195"/>
  <c r="FH195" s="1"/>
  <c r="DW195"/>
  <c r="FG195"/>
  <c r="DV195"/>
  <c r="FF195" s="1"/>
  <c r="DU195"/>
  <c r="FE195"/>
  <c r="DT195"/>
  <c r="FD195" s="1"/>
  <c r="DS195"/>
  <c r="FC195" s="1"/>
  <c r="DR195"/>
  <c r="FB195" s="1"/>
  <c r="DQ195"/>
  <c r="FA195"/>
  <c r="DP195"/>
  <c r="EZ195" s="1"/>
  <c r="DO195"/>
  <c r="EY195" s="1"/>
  <c r="DN195"/>
  <c r="EX195" s="1"/>
  <c r="DM195"/>
  <c r="EW195"/>
  <c r="DL195"/>
  <c r="EV195" s="1"/>
  <c r="DK195"/>
  <c r="EU195" s="1"/>
  <c r="DJ195"/>
  <c r="ET195" s="1"/>
  <c r="DI195"/>
  <c r="ES195" s="1"/>
  <c r="DH195"/>
  <c r="ER195" s="1"/>
  <c r="DG195"/>
  <c r="EQ195" s="1"/>
  <c r="EK195"/>
  <c r="DD195"/>
  <c r="DE195"/>
  <c r="DC195"/>
  <c r="CZ195"/>
  <c r="CM195"/>
  <c r="CL195"/>
  <c r="CK195"/>
  <c r="AY195"/>
  <c r="B195"/>
  <c r="DF194"/>
  <c r="EJ194"/>
  <c r="FT194"/>
  <c r="EI194"/>
  <c r="FS194" s="1"/>
  <c r="EH194"/>
  <c r="FR194"/>
  <c r="EG194"/>
  <c r="FQ194" s="1"/>
  <c r="EF194"/>
  <c r="FP194"/>
  <c r="EE194"/>
  <c r="FO194" s="1"/>
  <c r="ED194"/>
  <c r="FN194"/>
  <c r="EC194"/>
  <c r="FM194" s="1"/>
  <c r="EB194"/>
  <c r="FL194"/>
  <c r="EA194"/>
  <c r="FK194" s="1"/>
  <c r="DZ194"/>
  <c r="FJ194"/>
  <c r="DY194"/>
  <c r="FI194" s="1"/>
  <c r="DX194"/>
  <c r="FH194"/>
  <c r="DW194"/>
  <c r="FG194" s="1"/>
  <c r="DV194"/>
  <c r="FF194"/>
  <c r="DU194"/>
  <c r="FE194" s="1"/>
  <c r="DT194"/>
  <c r="FD194"/>
  <c r="DS194"/>
  <c r="FC194" s="1"/>
  <c r="DR194"/>
  <c r="FB194"/>
  <c r="DQ194"/>
  <c r="FA194" s="1"/>
  <c r="DP194"/>
  <c r="EZ194"/>
  <c r="DO194"/>
  <c r="EY194" s="1"/>
  <c r="DN194"/>
  <c r="EX194"/>
  <c r="DM194"/>
  <c r="EW194" s="1"/>
  <c r="DL194"/>
  <c r="EV194"/>
  <c r="DK194"/>
  <c r="EU194" s="1"/>
  <c r="DJ194"/>
  <c r="ET194"/>
  <c r="DI194"/>
  <c r="ES194" s="1"/>
  <c r="DH194"/>
  <c r="ER194"/>
  <c r="DG194"/>
  <c r="EQ194" s="1"/>
  <c r="DD194"/>
  <c r="DE194"/>
  <c r="DC194"/>
  <c r="CZ194"/>
  <c r="CM194"/>
  <c r="CL194"/>
  <c r="CK194"/>
  <c r="AY194"/>
  <c r="B194"/>
  <c r="DF193"/>
  <c r="EJ193"/>
  <c r="FT193" s="1"/>
  <c r="EI193"/>
  <c r="FS193" s="1"/>
  <c r="EH193"/>
  <c r="FR193" s="1"/>
  <c r="EG193"/>
  <c r="FQ193" s="1"/>
  <c r="EF193"/>
  <c r="FP193"/>
  <c r="EE193"/>
  <c r="FO193" s="1"/>
  <c r="ED193"/>
  <c r="FN193"/>
  <c r="EC193"/>
  <c r="FM193" s="1"/>
  <c r="EB193"/>
  <c r="FL193" s="1"/>
  <c r="EA193"/>
  <c r="FK193" s="1"/>
  <c r="DZ193"/>
  <c r="FJ193"/>
  <c r="DY193"/>
  <c r="FI193" s="1"/>
  <c r="DX193"/>
  <c r="FH193"/>
  <c r="DW193"/>
  <c r="FG193" s="1"/>
  <c r="DV193"/>
  <c r="FF193"/>
  <c r="DU193"/>
  <c r="FE193" s="1"/>
  <c r="DT193"/>
  <c r="FD193" s="1"/>
  <c r="DS193"/>
  <c r="FC193" s="1"/>
  <c r="DR193"/>
  <c r="FB193"/>
  <c r="DQ193"/>
  <c r="FA193" s="1"/>
  <c r="DP193"/>
  <c r="EZ193" s="1"/>
  <c r="DO193"/>
  <c r="EY193" s="1"/>
  <c r="DN193"/>
  <c r="EX193"/>
  <c r="DM193"/>
  <c r="EW193" s="1"/>
  <c r="DL193"/>
  <c r="EV193" s="1"/>
  <c r="DK193"/>
  <c r="EU193" s="1"/>
  <c r="DJ193"/>
  <c r="ET193" s="1"/>
  <c r="DI193"/>
  <c r="ES193" s="1"/>
  <c r="DH193"/>
  <c r="ER193" s="1"/>
  <c r="DG193"/>
  <c r="EQ193" s="1"/>
  <c r="DD193"/>
  <c r="CZ193"/>
  <c r="CM193"/>
  <c r="CL193"/>
  <c r="CK193"/>
  <c r="AY193"/>
  <c r="B193"/>
  <c r="DF192"/>
  <c r="EJ192"/>
  <c r="FT192" s="1"/>
  <c r="EI192"/>
  <c r="FS192"/>
  <c r="EH192"/>
  <c r="FR192" s="1"/>
  <c r="EG192"/>
  <c r="FQ192"/>
  <c r="EF192"/>
  <c r="FP192" s="1"/>
  <c r="EE192"/>
  <c r="FO192"/>
  <c r="ED192"/>
  <c r="FN192" s="1"/>
  <c r="EC192"/>
  <c r="FM192"/>
  <c r="EB192"/>
  <c r="FL192" s="1"/>
  <c r="EA192"/>
  <c r="FK192"/>
  <c r="DZ192"/>
  <c r="FJ192" s="1"/>
  <c r="DY192"/>
  <c r="FI192"/>
  <c r="DX192"/>
  <c r="FH192" s="1"/>
  <c r="DW192"/>
  <c r="FG192"/>
  <c r="DV192"/>
  <c r="FF192" s="1"/>
  <c r="DU192"/>
  <c r="FE192"/>
  <c r="DT192"/>
  <c r="FD192" s="1"/>
  <c r="DS192"/>
  <c r="FC192"/>
  <c r="DR192"/>
  <c r="FB192" s="1"/>
  <c r="DQ192"/>
  <c r="FA192"/>
  <c r="DP192"/>
  <c r="EZ192" s="1"/>
  <c r="DO192"/>
  <c r="EY192"/>
  <c r="DN192"/>
  <c r="EX192" s="1"/>
  <c r="DM192"/>
  <c r="EW192"/>
  <c r="DL192"/>
  <c r="EV192" s="1"/>
  <c r="DK192"/>
  <c r="EU192"/>
  <c r="DJ192"/>
  <c r="ET192" s="1"/>
  <c r="DI192"/>
  <c r="ES192"/>
  <c r="DH192"/>
  <c r="ER192" s="1"/>
  <c r="DG192"/>
  <c r="EQ192"/>
  <c r="DD192"/>
  <c r="DE192" s="1"/>
  <c r="DC192"/>
  <c r="CZ192"/>
  <c r="CM192"/>
  <c r="CL192"/>
  <c r="CK192"/>
  <c r="AY192"/>
  <c r="B192"/>
  <c r="DF191"/>
  <c r="EP191"/>
  <c r="FU191" s="1"/>
  <c r="EJ191"/>
  <c r="FT191" s="1"/>
  <c r="EI191"/>
  <c r="FS191"/>
  <c r="EH191"/>
  <c r="FR191" s="1"/>
  <c r="EG191"/>
  <c r="FQ191" s="1"/>
  <c r="EF191"/>
  <c r="FP191" s="1"/>
  <c r="EE191"/>
  <c r="FO191" s="1"/>
  <c r="ED191"/>
  <c r="FN191" s="1"/>
  <c r="EC191"/>
  <c r="FM191" s="1"/>
  <c r="EB191"/>
  <c r="FL191" s="1"/>
  <c r="EA191"/>
  <c r="FK191"/>
  <c r="DZ191"/>
  <c r="FJ191" s="1"/>
  <c r="DY191"/>
  <c r="FI191" s="1"/>
  <c r="DX191"/>
  <c r="FH191" s="1"/>
  <c r="DW191"/>
  <c r="FG191" s="1"/>
  <c r="DV191"/>
  <c r="FF191" s="1"/>
  <c r="DU191"/>
  <c r="FE191"/>
  <c r="DT191"/>
  <c r="FD191" s="1"/>
  <c r="DS191"/>
  <c r="FC191"/>
  <c r="DR191"/>
  <c r="FB191" s="1"/>
  <c r="DQ191"/>
  <c r="FA191" s="1"/>
  <c r="DP191"/>
  <c r="EZ191" s="1"/>
  <c r="DO191"/>
  <c r="EY191"/>
  <c r="DN191"/>
  <c r="EX191" s="1"/>
  <c r="DM191"/>
  <c r="EW191" s="1"/>
  <c r="DL191"/>
  <c r="EV191" s="1"/>
  <c r="DK191"/>
  <c r="EU191"/>
  <c r="DJ191"/>
  <c r="ET191" s="1"/>
  <c r="DI191"/>
  <c r="ES191" s="1"/>
  <c r="DH191"/>
  <c r="ER191" s="1"/>
  <c r="DG191"/>
  <c r="EQ191" s="1"/>
  <c r="EK191"/>
  <c r="DD191"/>
  <c r="DE191"/>
  <c r="DC191"/>
  <c r="CZ191"/>
  <c r="CM191"/>
  <c r="CL191"/>
  <c r="CK191"/>
  <c r="AY191"/>
  <c r="B191"/>
  <c r="DF190"/>
  <c r="EK190" s="1"/>
  <c r="EJ190"/>
  <c r="FT190"/>
  <c r="EI190"/>
  <c r="FS190" s="1"/>
  <c r="EH190"/>
  <c r="FR190"/>
  <c r="EG190"/>
  <c r="FQ190" s="1"/>
  <c r="EF190"/>
  <c r="FP190"/>
  <c r="EE190"/>
  <c r="FO190" s="1"/>
  <c r="ED190"/>
  <c r="FN190"/>
  <c r="EC190"/>
  <c r="FM190" s="1"/>
  <c r="EB190"/>
  <c r="FL190"/>
  <c r="EA190"/>
  <c r="FK190" s="1"/>
  <c r="DZ190"/>
  <c r="FJ190"/>
  <c r="DY190"/>
  <c r="FI190" s="1"/>
  <c r="DX190"/>
  <c r="FH190"/>
  <c r="DW190"/>
  <c r="FG190" s="1"/>
  <c r="DV190"/>
  <c r="FF190"/>
  <c r="DU190"/>
  <c r="FE190" s="1"/>
  <c r="DT190"/>
  <c r="FD190"/>
  <c r="DS190"/>
  <c r="FC190" s="1"/>
  <c r="DR190"/>
  <c r="FB190"/>
  <c r="DQ190"/>
  <c r="FA190" s="1"/>
  <c r="DP190"/>
  <c r="EZ190"/>
  <c r="DO190"/>
  <c r="EY190" s="1"/>
  <c r="DN190"/>
  <c r="EX190"/>
  <c r="DM190"/>
  <c r="EW190" s="1"/>
  <c r="DL190"/>
  <c r="EV190"/>
  <c r="DK190"/>
  <c r="EU190" s="1"/>
  <c r="DJ190"/>
  <c r="ET190"/>
  <c r="DI190"/>
  <c r="ES190" s="1"/>
  <c r="DH190"/>
  <c r="ER190"/>
  <c r="DG190"/>
  <c r="EQ190" s="1"/>
  <c r="DD190"/>
  <c r="CZ190"/>
  <c r="CM190"/>
  <c r="CL190"/>
  <c r="CK190"/>
  <c r="AY190"/>
  <c r="B190"/>
  <c r="DF189"/>
  <c r="EP189" s="1"/>
  <c r="FU189" s="1"/>
  <c r="EJ189"/>
  <c r="FT189"/>
  <c r="EI189"/>
  <c r="FS189" s="1"/>
  <c r="EH189"/>
  <c r="FR189" s="1"/>
  <c r="EG189"/>
  <c r="FQ189" s="1"/>
  <c r="EF189"/>
  <c r="FP189" s="1"/>
  <c r="EE189"/>
  <c r="FO189" s="1"/>
  <c r="ED189"/>
  <c r="FN189"/>
  <c r="EC189"/>
  <c r="FM189" s="1"/>
  <c r="EB189"/>
  <c r="FL189"/>
  <c r="EA189"/>
  <c r="FK189" s="1"/>
  <c r="DZ189"/>
  <c r="FJ189" s="1"/>
  <c r="DY189"/>
  <c r="FI189" s="1"/>
  <c r="DX189"/>
  <c r="FH189"/>
  <c r="DW189"/>
  <c r="FG189" s="1"/>
  <c r="DV189"/>
  <c r="FF189"/>
  <c r="DU189"/>
  <c r="FE189" s="1"/>
  <c r="DT189"/>
  <c r="FD189"/>
  <c r="DS189"/>
  <c r="FC189" s="1"/>
  <c r="DR189"/>
  <c r="FB189" s="1"/>
  <c r="DQ189"/>
  <c r="FA189" s="1"/>
  <c r="DP189"/>
  <c r="EZ189"/>
  <c r="DO189"/>
  <c r="EY189" s="1"/>
  <c r="DN189"/>
  <c r="EX189" s="1"/>
  <c r="DM189"/>
  <c r="EW189" s="1"/>
  <c r="DL189"/>
  <c r="EV189"/>
  <c r="DK189"/>
  <c r="EU189" s="1"/>
  <c r="DJ189"/>
  <c r="ET189" s="1"/>
  <c r="DI189"/>
  <c r="ES189" s="1"/>
  <c r="DH189"/>
  <c r="ER189" s="1"/>
  <c r="DG189"/>
  <c r="EQ189" s="1"/>
  <c r="EK189"/>
  <c r="DD189"/>
  <c r="DC189" s="1"/>
  <c r="CZ189"/>
  <c r="CM189"/>
  <c r="CL189"/>
  <c r="CK189"/>
  <c r="AY189"/>
  <c r="B189"/>
  <c r="DF188"/>
  <c r="EJ188"/>
  <c r="FT188" s="1"/>
  <c r="EI188"/>
  <c r="FS188" s="1"/>
  <c r="EH188"/>
  <c r="FR188" s="1"/>
  <c r="EG188"/>
  <c r="FQ188" s="1"/>
  <c r="EF188"/>
  <c r="FP188" s="1"/>
  <c r="EE188"/>
  <c r="FO188" s="1"/>
  <c r="ED188"/>
  <c r="FN188" s="1"/>
  <c r="EC188"/>
  <c r="FM188" s="1"/>
  <c r="EB188"/>
  <c r="FL188" s="1"/>
  <c r="EA188"/>
  <c r="FK188" s="1"/>
  <c r="DZ188"/>
  <c r="FJ188" s="1"/>
  <c r="DY188"/>
  <c r="FI188" s="1"/>
  <c r="DX188"/>
  <c r="FH188" s="1"/>
  <c r="DW188"/>
  <c r="FG188" s="1"/>
  <c r="DV188"/>
  <c r="FF188" s="1"/>
  <c r="DU188"/>
  <c r="FE188" s="1"/>
  <c r="DT188"/>
  <c r="FD188" s="1"/>
  <c r="DS188"/>
  <c r="FC188" s="1"/>
  <c r="DR188"/>
  <c r="FB188" s="1"/>
  <c r="DQ188"/>
  <c r="FA188" s="1"/>
  <c r="DP188"/>
  <c r="EZ188" s="1"/>
  <c r="DO188"/>
  <c r="EY188" s="1"/>
  <c r="DN188"/>
  <c r="EX188"/>
  <c r="DM188"/>
  <c r="EW188"/>
  <c r="DL188"/>
  <c r="EV188"/>
  <c r="DK188"/>
  <c r="EU188"/>
  <c r="DJ188"/>
  <c r="ET188"/>
  <c r="DI188"/>
  <c r="ES188"/>
  <c r="DH188"/>
  <c r="ER188"/>
  <c r="DG188"/>
  <c r="EQ188"/>
  <c r="DD188"/>
  <c r="DE188" s="1"/>
  <c r="DC188"/>
  <c r="CZ188"/>
  <c r="CM188"/>
  <c r="CL188"/>
  <c r="CK188"/>
  <c r="AY188"/>
  <c r="B188"/>
  <c r="CX187"/>
  <c r="CZ187"/>
  <c r="DZ187" s="1"/>
  <c r="DH187"/>
  <c r="DP187"/>
  <c r="DV187"/>
  <c r="ED187"/>
  <c r="EH187"/>
  <c r="DD187"/>
  <c r="BA187"/>
  <c r="CM187"/>
  <c r="CL187"/>
  <c r="CK187"/>
  <c r="AY187"/>
  <c r="B186"/>
  <c r="CX186"/>
  <c r="CZ186"/>
  <c r="DJ186"/>
  <c r="DN186"/>
  <c r="DO186"/>
  <c r="DP186"/>
  <c r="DQ186"/>
  <c r="DR186"/>
  <c r="DS186"/>
  <c r="DT186"/>
  <c r="DU186"/>
  <c r="DV186"/>
  <c r="DW186"/>
  <c r="DX186"/>
  <c r="DY186"/>
  <c r="DZ186"/>
  <c r="EA186"/>
  <c r="EB186"/>
  <c r="EC186"/>
  <c r="ED186"/>
  <c r="EE186"/>
  <c r="EF186"/>
  <c r="EG186"/>
  <c r="EH186"/>
  <c r="EI186"/>
  <c r="EJ186"/>
  <c r="DD186"/>
  <c r="BA186"/>
  <c r="CM186"/>
  <c r="CL186"/>
  <c r="CK186"/>
  <c r="AY186"/>
  <c r="B178"/>
  <c r="CX185"/>
  <c r="CZ185"/>
  <c r="DK185"/>
  <c r="DO185"/>
  <c r="DS185"/>
  <c r="DW185"/>
  <c r="EA185"/>
  <c r="EC185"/>
  <c r="EE185"/>
  <c r="DD185"/>
  <c r="DE185"/>
  <c r="DC185"/>
  <c r="BA185"/>
  <c r="CM185" s="1"/>
  <c r="CL185"/>
  <c r="CK185"/>
  <c r="AY185"/>
  <c r="B182"/>
  <c r="CX184"/>
  <c r="CZ184"/>
  <c r="DF184"/>
  <c r="DL184"/>
  <c r="DT184"/>
  <c r="EA184"/>
  <c r="EI184"/>
  <c r="DD184"/>
  <c r="BA184"/>
  <c r="CM184"/>
  <c r="CL184"/>
  <c r="CK184"/>
  <c r="AY184"/>
  <c r="B185"/>
  <c r="CX183"/>
  <c r="CZ183"/>
  <c r="DH183"/>
  <c r="DL183"/>
  <c r="DP183"/>
  <c r="DR183"/>
  <c r="DT183"/>
  <c r="DZ183"/>
  <c r="EF183"/>
  <c r="EH183"/>
  <c r="EJ183"/>
  <c r="DD183"/>
  <c r="DC183" s="1"/>
  <c r="DE183"/>
  <c r="BA183"/>
  <c r="CM183" s="1"/>
  <c r="CL183"/>
  <c r="CK183"/>
  <c r="AY183"/>
  <c r="B181"/>
  <c r="CX182"/>
  <c r="CZ182"/>
  <c r="DF182"/>
  <c r="DG182"/>
  <c r="DH182"/>
  <c r="DI182"/>
  <c r="DJ182"/>
  <c r="DK182"/>
  <c r="DL182"/>
  <c r="DM182"/>
  <c r="DN182"/>
  <c r="DO182"/>
  <c r="DP182"/>
  <c r="DQ182"/>
  <c r="DR182"/>
  <c r="DS182"/>
  <c r="DT182"/>
  <c r="DU182"/>
  <c r="DV182"/>
  <c r="DW182"/>
  <c r="DX182"/>
  <c r="DY182"/>
  <c r="DZ182"/>
  <c r="EA182"/>
  <c r="EB182"/>
  <c r="EC182"/>
  <c r="ED182"/>
  <c r="EE182"/>
  <c r="EF182"/>
  <c r="EG182"/>
  <c r="EH182"/>
  <c r="EI182"/>
  <c r="EJ182"/>
  <c r="DD182"/>
  <c r="BA182"/>
  <c r="CM182"/>
  <c r="CL182"/>
  <c r="CK182"/>
  <c r="AY182"/>
  <c r="B183"/>
  <c r="CX181"/>
  <c r="CZ181"/>
  <c r="DO181"/>
  <c r="DQ181"/>
  <c r="DS181"/>
  <c r="DU181"/>
  <c r="DW181"/>
  <c r="DY181"/>
  <c r="EA181"/>
  <c r="EC181"/>
  <c r="EE181"/>
  <c r="EG181"/>
  <c r="EI181"/>
  <c r="DD181"/>
  <c r="DE181"/>
  <c r="DC181"/>
  <c r="BA181"/>
  <c r="CM181" s="1"/>
  <c r="CL181"/>
  <c r="CK181"/>
  <c r="AY181"/>
  <c r="B179"/>
  <c r="CX180"/>
  <c r="CZ180"/>
  <c r="DF180"/>
  <c r="DH180"/>
  <c r="DJ180"/>
  <c r="DK180"/>
  <c r="DN180"/>
  <c r="DP180"/>
  <c r="DQ180"/>
  <c r="DR180"/>
  <c r="DS180"/>
  <c r="DU180"/>
  <c r="DV180"/>
  <c r="DX180"/>
  <c r="DY180"/>
  <c r="DZ180"/>
  <c r="EA180"/>
  <c r="EC180"/>
  <c r="ED180"/>
  <c r="EF180"/>
  <c r="EG180"/>
  <c r="EH180"/>
  <c r="EI180"/>
  <c r="DD180"/>
  <c r="DE180" s="1"/>
  <c r="DC180"/>
  <c r="BA180"/>
  <c r="CM180" s="1"/>
  <c r="CL180"/>
  <c r="CK180"/>
  <c r="AY180"/>
  <c r="B180"/>
  <c r="CX179"/>
  <c r="CZ179"/>
  <c r="DP179"/>
  <c r="DR179"/>
  <c r="EF179"/>
  <c r="EH179"/>
  <c r="DD179"/>
  <c r="DC179" s="1"/>
  <c r="BA179"/>
  <c r="CM179"/>
  <c r="CL179"/>
  <c r="CK179"/>
  <c r="AY179"/>
  <c r="B187"/>
  <c r="CX178"/>
  <c r="DH178" s="1"/>
  <c r="CZ178"/>
  <c r="DF178"/>
  <c r="DG178"/>
  <c r="DI178"/>
  <c r="DJ178"/>
  <c r="DK178"/>
  <c r="DL178"/>
  <c r="DN178"/>
  <c r="DO178"/>
  <c r="DP178"/>
  <c r="DQ178"/>
  <c r="DR178"/>
  <c r="DS178"/>
  <c r="DT178"/>
  <c r="DU178"/>
  <c r="DV178"/>
  <c r="DW178"/>
  <c r="DX178"/>
  <c r="DY178"/>
  <c r="DZ178"/>
  <c r="EA178"/>
  <c r="EB178"/>
  <c r="EC178"/>
  <c r="ED178"/>
  <c r="EE178"/>
  <c r="EF178"/>
  <c r="EG178"/>
  <c r="EH178"/>
  <c r="EI178"/>
  <c r="EJ178"/>
  <c r="DD178"/>
  <c r="DC178" s="1"/>
  <c r="DE178"/>
  <c r="CL178"/>
  <c r="CK178"/>
  <c r="AY178"/>
  <c r="B184"/>
  <c r="CX177"/>
  <c r="CZ177"/>
  <c r="DF177"/>
  <c r="DH177"/>
  <c r="DN177"/>
  <c r="DP177"/>
  <c r="DV177"/>
  <c r="DX177"/>
  <c r="ED177"/>
  <c r="EF177"/>
  <c r="DD177"/>
  <c r="BA177"/>
  <c r="CM177"/>
  <c r="CL177"/>
  <c r="CK177"/>
  <c r="AY177"/>
  <c r="B173"/>
  <c r="CZ176"/>
  <c r="DK176"/>
  <c r="DM176"/>
  <c r="DS176"/>
  <c r="DU176"/>
  <c r="EA176"/>
  <c r="EC176"/>
  <c r="EI176"/>
  <c r="DD176"/>
  <c r="DE176"/>
  <c r="DC176"/>
  <c r="BA176"/>
  <c r="CM176" s="1"/>
  <c r="CL176"/>
  <c r="CK176"/>
  <c r="AY176"/>
  <c r="B170"/>
  <c r="CZ175"/>
  <c r="DH175"/>
  <c r="DJ175"/>
  <c r="DL175"/>
  <c r="DP175"/>
  <c r="DR175"/>
  <c r="DT175"/>
  <c r="DX175"/>
  <c r="DZ175"/>
  <c r="EB175"/>
  <c r="EF175"/>
  <c r="EH175"/>
  <c r="EJ175"/>
  <c r="DD175"/>
  <c r="DC175" s="1"/>
  <c r="DE175"/>
  <c r="BA175"/>
  <c r="CM175" s="1"/>
  <c r="CL175"/>
  <c r="CK175"/>
  <c r="AY175"/>
  <c r="B171"/>
  <c r="CZ174"/>
  <c r="DG174"/>
  <c r="DI174"/>
  <c r="ES174" s="1"/>
  <c r="DK174"/>
  <c r="DM174"/>
  <c r="EW174" s="1"/>
  <c r="DO174"/>
  <c r="DQ174"/>
  <c r="DR174"/>
  <c r="DS174"/>
  <c r="DT174"/>
  <c r="DU174"/>
  <c r="DV174"/>
  <c r="DW174"/>
  <c r="DX174"/>
  <c r="DY174"/>
  <c r="DZ174"/>
  <c r="EA174"/>
  <c r="EB174"/>
  <c r="EC174"/>
  <c r="ED174"/>
  <c r="EE174"/>
  <c r="EF174"/>
  <c r="EG174"/>
  <c r="EH174"/>
  <c r="EI174"/>
  <c r="EJ174"/>
  <c r="DD174"/>
  <c r="DE174" s="1"/>
  <c r="DC174"/>
  <c r="BA174"/>
  <c r="CM174" s="1"/>
  <c r="CL174"/>
  <c r="CK174"/>
  <c r="AY174"/>
  <c r="B172"/>
  <c r="CZ173"/>
  <c r="DF173"/>
  <c r="DG173"/>
  <c r="DH173"/>
  <c r="DI173"/>
  <c r="DJ173"/>
  <c r="DK173"/>
  <c r="DL173"/>
  <c r="DM173"/>
  <c r="EW173" s="1"/>
  <c r="DN173"/>
  <c r="DO173"/>
  <c r="DP173"/>
  <c r="DQ173"/>
  <c r="DR173"/>
  <c r="DS173"/>
  <c r="DT173"/>
  <c r="DU173"/>
  <c r="DV173"/>
  <c r="DW173"/>
  <c r="DX173"/>
  <c r="DY173"/>
  <c r="DZ173"/>
  <c r="EA173"/>
  <c r="EB173"/>
  <c r="EC173"/>
  <c r="ED173"/>
  <c r="EE173"/>
  <c r="EF173"/>
  <c r="EG173"/>
  <c r="EH173"/>
  <c r="EI173"/>
  <c r="EJ173"/>
  <c r="DD173"/>
  <c r="BA173"/>
  <c r="CM173"/>
  <c r="CL173"/>
  <c r="CK173"/>
  <c r="AY173"/>
  <c r="B176"/>
  <c r="CZ172"/>
  <c r="DD172"/>
  <c r="DE172" s="1"/>
  <c r="DC172"/>
  <c r="BA172"/>
  <c r="CM172" s="1"/>
  <c r="CL172"/>
  <c r="CK172"/>
  <c r="AY172"/>
  <c r="B175"/>
  <c r="CX171"/>
  <c r="CZ171"/>
  <c r="DF171"/>
  <c r="DH171"/>
  <c r="DJ171"/>
  <c r="DL171"/>
  <c r="DN171"/>
  <c r="DP171"/>
  <c r="DR171"/>
  <c r="DT171"/>
  <c r="DV171"/>
  <c r="DX171"/>
  <c r="DZ171"/>
  <c r="EB171"/>
  <c r="ED171"/>
  <c r="EF171"/>
  <c r="EH171"/>
  <c r="EJ171"/>
  <c r="DD171"/>
  <c r="BA171"/>
  <c r="CM171"/>
  <c r="CL171"/>
  <c r="CK171"/>
  <c r="AY171"/>
  <c r="B169"/>
  <c r="CX170"/>
  <c r="CZ170"/>
  <c r="DF170"/>
  <c r="DG170"/>
  <c r="DH170"/>
  <c r="DI170"/>
  <c r="DJ170"/>
  <c r="DK170"/>
  <c r="DL170"/>
  <c r="DM170"/>
  <c r="EW170" s="1"/>
  <c r="DN170"/>
  <c r="DO170"/>
  <c r="DP170"/>
  <c r="DQ170"/>
  <c r="DR170"/>
  <c r="DS170"/>
  <c r="DT170"/>
  <c r="DU170"/>
  <c r="DV170"/>
  <c r="DW170"/>
  <c r="DX170"/>
  <c r="DY170"/>
  <c r="DZ170"/>
  <c r="EA170"/>
  <c r="EB170"/>
  <c r="EC170"/>
  <c r="ED170"/>
  <c r="EE170"/>
  <c r="EF170"/>
  <c r="EG170"/>
  <c r="EH170"/>
  <c r="EI170"/>
  <c r="EJ170"/>
  <c r="DD170"/>
  <c r="DC170" s="1"/>
  <c r="DE170"/>
  <c r="BA170"/>
  <c r="CM170"/>
  <c r="CL170"/>
  <c r="CK170"/>
  <c r="AY170"/>
  <c r="B177"/>
  <c r="CZ169"/>
  <c r="DI169" s="1"/>
  <c r="DG169"/>
  <c r="DK169"/>
  <c r="DO169"/>
  <c r="DS169"/>
  <c r="DW169"/>
  <c r="EA169"/>
  <c r="EE169"/>
  <c r="EI169"/>
  <c r="DD169"/>
  <c r="DE169" s="1"/>
  <c r="DC169"/>
  <c r="BA169"/>
  <c r="CM169"/>
  <c r="CL169"/>
  <c r="CK169"/>
  <c r="AY169"/>
  <c r="B168"/>
  <c r="CX168"/>
  <c r="CZ168"/>
  <c r="DZ168" s="1"/>
  <c r="DJ168"/>
  <c r="DP168"/>
  <c r="EF168"/>
  <c r="DD168"/>
  <c r="DC168" s="1"/>
  <c r="DE168"/>
  <c r="CL168"/>
  <c r="CK168"/>
  <c r="AY168"/>
  <c r="B174"/>
  <c r="CX167"/>
  <c r="CZ167"/>
  <c r="DZ167" s="1"/>
  <c r="DJ167"/>
  <c r="DK167"/>
  <c r="DP167"/>
  <c r="DU167"/>
  <c r="EA167"/>
  <c r="EF167"/>
  <c r="DD167"/>
  <c r="DE167" s="1"/>
  <c r="DC167"/>
  <c r="BA167"/>
  <c r="CM167"/>
  <c r="CL167"/>
  <c r="CK167"/>
  <c r="AY167"/>
  <c r="B165"/>
  <c r="CW166"/>
  <c r="CX166"/>
  <c r="CZ166"/>
  <c r="DF166"/>
  <c r="DK166"/>
  <c r="DP166"/>
  <c r="DQ166"/>
  <c r="DV166"/>
  <c r="EA166"/>
  <c r="EF166"/>
  <c r="EG166"/>
  <c r="DD166"/>
  <c r="BA166"/>
  <c r="CM166"/>
  <c r="CL166"/>
  <c r="CK166"/>
  <c r="AY166"/>
  <c r="B158"/>
  <c r="CZ165"/>
  <c r="DF165"/>
  <c r="DG165"/>
  <c r="DH165"/>
  <c r="DI165"/>
  <c r="DJ165"/>
  <c r="DK165"/>
  <c r="DL165"/>
  <c r="DM165"/>
  <c r="EW165" s="1"/>
  <c r="DN165"/>
  <c r="DO165"/>
  <c r="DP165"/>
  <c r="DQ165"/>
  <c r="DR165"/>
  <c r="DS165"/>
  <c r="DT165"/>
  <c r="DU165"/>
  <c r="DV165"/>
  <c r="DW165"/>
  <c r="DX165"/>
  <c r="DY165"/>
  <c r="DZ165"/>
  <c r="EA165"/>
  <c r="EB165"/>
  <c r="EC165"/>
  <c r="ED165"/>
  <c r="EE165"/>
  <c r="EF165"/>
  <c r="EG165"/>
  <c r="FQ165" s="1"/>
  <c r="EH165"/>
  <c r="EI165"/>
  <c r="EJ165"/>
  <c r="DD165"/>
  <c r="DE165"/>
  <c r="DC165"/>
  <c r="BA165"/>
  <c r="CM165"/>
  <c r="CL165"/>
  <c r="CK165"/>
  <c r="AY165"/>
  <c r="B164"/>
  <c r="CZ164"/>
  <c r="DJ164" s="1"/>
  <c r="DF164"/>
  <c r="DG164"/>
  <c r="DH164"/>
  <c r="DI164"/>
  <c r="DK164"/>
  <c r="DL164"/>
  <c r="DN164"/>
  <c r="DO164"/>
  <c r="DP164"/>
  <c r="DQ164"/>
  <c r="DS164"/>
  <c r="DT164"/>
  <c r="DV164"/>
  <c r="DW164"/>
  <c r="DX164"/>
  <c r="DY164"/>
  <c r="EA164"/>
  <c r="EB164"/>
  <c r="ED164"/>
  <c r="EE164"/>
  <c r="EF164"/>
  <c r="EG164"/>
  <c r="EI164"/>
  <c r="EJ164"/>
  <c r="DD164"/>
  <c r="DE164" s="1"/>
  <c r="DC164"/>
  <c r="BA164"/>
  <c r="CM164"/>
  <c r="CL164"/>
  <c r="CK164"/>
  <c r="AY164"/>
  <c r="B161"/>
  <c r="CZ163"/>
  <c r="DF163"/>
  <c r="DG163"/>
  <c r="DH163"/>
  <c r="DI163"/>
  <c r="DJ163"/>
  <c r="DK163"/>
  <c r="DL163"/>
  <c r="DM163"/>
  <c r="DN163"/>
  <c r="DO163"/>
  <c r="DP163"/>
  <c r="DQ163"/>
  <c r="DR163"/>
  <c r="DS163"/>
  <c r="DT163"/>
  <c r="DU163"/>
  <c r="DV163"/>
  <c r="DW163"/>
  <c r="DX163"/>
  <c r="DY163"/>
  <c r="DZ163"/>
  <c r="EA163"/>
  <c r="EB163"/>
  <c r="EC163"/>
  <c r="ED163"/>
  <c r="EE163"/>
  <c r="EF163"/>
  <c r="EG163"/>
  <c r="EH163"/>
  <c r="EI163"/>
  <c r="EJ163"/>
  <c r="DD163"/>
  <c r="BA163"/>
  <c r="CM163"/>
  <c r="CL163"/>
  <c r="CK163"/>
  <c r="AY163"/>
  <c r="B162"/>
  <c r="CZ162"/>
  <c r="DF162"/>
  <c r="DG162"/>
  <c r="DH162"/>
  <c r="DI162"/>
  <c r="DJ162"/>
  <c r="DK162"/>
  <c r="DL162"/>
  <c r="DM162"/>
  <c r="EW162" s="1"/>
  <c r="DN162"/>
  <c r="DO162"/>
  <c r="DP162"/>
  <c r="DQ162"/>
  <c r="DR162"/>
  <c r="DS162"/>
  <c r="DT162"/>
  <c r="DU162"/>
  <c r="DV162"/>
  <c r="DW162"/>
  <c r="DX162"/>
  <c r="DY162"/>
  <c r="DZ162"/>
  <c r="EA162"/>
  <c r="EB162"/>
  <c r="EC162"/>
  <c r="ED162"/>
  <c r="EE162"/>
  <c r="EF162"/>
  <c r="EG162"/>
  <c r="EH162"/>
  <c r="EI162"/>
  <c r="EJ162"/>
  <c r="DD162"/>
  <c r="DE162" s="1"/>
  <c r="DC162"/>
  <c r="BA162"/>
  <c r="CM162" s="1"/>
  <c r="CL162"/>
  <c r="CK162"/>
  <c r="AY162"/>
  <c r="B159"/>
  <c r="CX161"/>
  <c r="CZ161"/>
  <c r="DP161"/>
  <c r="DV161"/>
  <c r="DD161"/>
  <c r="BA161"/>
  <c r="CM161"/>
  <c r="CL161"/>
  <c r="CK161"/>
  <c r="AY161"/>
  <c r="B160"/>
  <c r="CW160"/>
  <c r="CX160"/>
  <c r="CZ160"/>
  <c r="EB160"/>
  <c r="ED160"/>
  <c r="DD160"/>
  <c r="DC160" s="1"/>
  <c r="DE160"/>
  <c r="BA160"/>
  <c r="CM160"/>
  <c r="CL160"/>
  <c r="CK160"/>
  <c r="AY160"/>
  <c r="B163"/>
  <c r="CX159"/>
  <c r="DH159" s="1"/>
  <c r="CZ159"/>
  <c r="DG159"/>
  <c r="DJ159"/>
  <c r="DN159"/>
  <c r="DO159"/>
  <c r="DP159"/>
  <c r="DQ159"/>
  <c r="DR159"/>
  <c r="DS159"/>
  <c r="DT159"/>
  <c r="DU159"/>
  <c r="DV159"/>
  <c r="DW159"/>
  <c r="DX159"/>
  <c r="DY159"/>
  <c r="DZ159"/>
  <c r="EA159"/>
  <c r="EB159"/>
  <c r="EC159"/>
  <c r="ED159"/>
  <c r="EE159"/>
  <c r="EF159"/>
  <c r="EG159"/>
  <c r="EH159"/>
  <c r="EI159"/>
  <c r="EJ159"/>
  <c r="DD159"/>
  <c r="DE159"/>
  <c r="DC159"/>
  <c r="CL159"/>
  <c r="CK159"/>
  <c r="AY159"/>
  <c r="B167"/>
  <c r="CZ158"/>
  <c r="DF158"/>
  <c r="DG158"/>
  <c r="DH158"/>
  <c r="DI158"/>
  <c r="DJ158"/>
  <c r="DK158"/>
  <c r="DL158"/>
  <c r="DM158"/>
  <c r="DN158"/>
  <c r="DO158"/>
  <c r="DP158"/>
  <c r="DQ158"/>
  <c r="DR158"/>
  <c r="DS158"/>
  <c r="DT158"/>
  <c r="DU158"/>
  <c r="DV158"/>
  <c r="DW158"/>
  <c r="DX158"/>
  <c r="DY158"/>
  <c r="DZ158"/>
  <c r="EA158"/>
  <c r="EB158"/>
  <c r="EC158"/>
  <c r="ED158"/>
  <c r="EE158"/>
  <c r="EF158"/>
  <c r="EG158"/>
  <c r="EH158"/>
  <c r="EI158"/>
  <c r="EJ158"/>
  <c r="DD158"/>
  <c r="DE158"/>
  <c r="DC158"/>
  <c r="CM158"/>
  <c r="CL158"/>
  <c r="CK158"/>
  <c r="AY158"/>
  <c r="B166"/>
  <c r="CZ157"/>
  <c r="DF157"/>
  <c r="DH157"/>
  <c r="DJ157"/>
  <c r="DL157"/>
  <c r="DN157"/>
  <c r="DP157"/>
  <c r="DR157"/>
  <c r="DT157"/>
  <c r="DV157"/>
  <c r="DX157"/>
  <c r="DZ157"/>
  <c r="EB157"/>
  <c r="ED157"/>
  <c r="EF157"/>
  <c r="EH157"/>
  <c r="EJ157"/>
  <c r="DD157"/>
  <c r="DC157" s="1"/>
  <c r="DE157"/>
  <c r="BA157"/>
  <c r="CM157" s="1"/>
  <c r="CL157"/>
  <c r="CK157"/>
  <c r="AY157"/>
  <c r="B156"/>
  <c r="CX156"/>
  <c r="DI156" s="1"/>
  <c r="CZ156"/>
  <c r="DF156"/>
  <c r="DG156"/>
  <c r="DH156"/>
  <c r="DJ156"/>
  <c r="DL156"/>
  <c r="DN156"/>
  <c r="DO156"/>
  <c r="DP156"/>
  <c r="DQ156"/>
  <c r="DR156"/>
  <c r="DS156"/>
  <c r="DT156"/>
  <c r="DU156"/>
  <c r="DV156"/>
  <c r="DW156"/>
  <c r="DX156"/>
  <c r="DY156"/>
  <c r="DZ156"/>
  <c r="EA156"/>
  <c r="EB156"/>
  <c r="EC156"/>
  <c r="ED156"/>
  <c r="EE156"/>
  <c r="EF156"/>
  <c r="EG156"/>
  <c r="EH156"/>
  <c r="EI156"/>
  <c r="EJ156"/>
  <c r="DD156"/>
  <c r="DC156" s="1"/>
  <c r="DE156"/>
  <c r="BA156"/>
  <c r="CM156"/>
  <c r="CL156"/>
  <c r="CK156"/>
  <c r="AY156"/>
  <c r="B149"/>
  <c r="CZ155"/>
  <c r="DK155" s="1"/>
  <c r="DG155"/>
  <c r="DO155"/>
  <c r="DW155"/>
  <c r="EE155"/>
  <c r="DD155"/>
  <c r="DE155"/>
  <c r="DC155"/>
  <c r="BA155"/>
  <c r="CM155" s="1"/>
  <c r="CL155"/>
  <c r="CK155"/>
  <c r="AY155"/>
  <c r="B150"/>
  <c r="CZ154"/>
  <c r="DG154" s="1"/>
  <c r="DF154"/>
  <c r="DH154"/>
  <c r="DJ154"/>
  <c r="DL154"/>
  <c r="DN154"/>
  <c r="DP154"/>
  <c r="DR154"/>
  <c r="DT154"/>
  <c r="DV154"/>
  <c r="DX154"/>
  <c r="DZ154"/>
  <c r="EB154"/>
  <c r="ED154"/>
  <c r="EF154"/>
  <c r="EH154"/>
  <c r="EJ154"/>
  <c r="DD154"/>
  <c r="DC154" s="1"/>
  <c r="DE154"/>
  <c r="BA154"/>
  <c r="CM154"/>
  <c r="CL154"/>
  <c r="CK154"/>
  <c r="AY154"/>
  <c r="B157"/>
  <c r="CZ153"/>
  <c r="DG153"/>
  <c r="DI153"/>
  <c r="ES153" s="1"/>
  <c r="DK153"/>
  <c r="DM153"/>
  <c r="EW153" s="1"/>
  <c r="DO153"/>
  <c r="DQ153"/>
  <c r="DS153"/>
  <c r="DU153"/>
  <c r="DW153"/>
  <c r="DY153"/>
  <c r="EA153"/>
  <c r="EC153"/>
  <c r="EE153"/>
  <c r="EG153"/>
  <c r="EI153"/>
  <c r="DD153"/>
  <c r="DE153"/>
  <c r="DC153"/>
  <c r="BA153"/>
  <c r="CM153" s="1"/>
  <c r="CL153"/>
  <c r="CK153"/>
  <c r="AY153"/>
  <c r="B154"/>
  <c r="CZ152"/>
  <c r="DG152" s="1"/>
  <c r="DF152"/>
  <c r="DH152"/>
  <c r="DJ152"/>
  <c r="DL152"/>
  <c r="DN152"/>
  <c r="DP152"/>
  <c r="DR152"/>
  <c r="DT152"/>
  <c r="DV152"/>
  <c r="DX152"/>
  <c r="DZ152"/>
  <c r="EB152"/>
  <c r="ED152"/>
  <c r="EF152"/>
  <c r="EH152"/>
  <c r="EJ152"/>
  <c r="DD152"/>
  <c r="DC152" s="1"/>
  <c r="DE152"/>
  <c r="BA152"/>
  <c r="CM152"/>
  <c r="CL152"/>
  <c r="CK152"/>
  <c r="AY152"/>
  <c r="B151"/>
  <c r="CZ151"/>
  <c r="DK151" s="1"/>
  <c r="DG151"/>
  <c r="DO151"/>
  <c r="DW151"/>
  <c r="EE151"/>
  <c r="DD151"/>
  <c r="DE151"/>
  <c r="DC151"/>
  <c r="BA151"/>
  <c r="CM151" s="1"/>
  <c r="CL151"/>
  <c r="CK151"/>
  <c r="AY151"/>
  <c r="B148"/>
  <c r="CZ150"/>
  <c r="DG150" s="1"/>
  <c r="DF150"/>
  <c r="DH150"/>
  <c r="DJ150"/>
  <c r="DL150"/>
  <c r="DN150"/>
  <c r="DP150"/>
  <c r="DR150"/>
  <c r="DT150"/>
  <c r="DV150"/>
  <c r="DX150"/>
  <c r="DZ150"/>
  <c r="EB150"/>
  <c r="ED150"/>
  <c r="EF150"/>
  <c r="EH150"/>
  <c r="EJ150"/>
  <c r="DD150"/>
  <c r="DC150" s="1"/>
  <c r="DE150"/>
  <c r="BA150"/>
  <c r="CM150"/>
  <c r="CL150"/>
  <c r="CK150"/>
  <c r="AY150"/>
  <c r="B155"/>
  <c r="CW149"/>
  <c r="CX149"/>
  <c r="CZ149"/>
  <c r="DF149"/>
  <c r="DH149"/>
  <c r="DJ149"/>
  <c r="DL149"/>
  <c r="DN149"/>
  <c r="DP149"/>
  <c r="DR149"/>
  <c r="DT149"/>
  <c r="DV149"/>
  <c r="DX149"/>
  <c r="DZ149"/>
  <c r="EB149"/>
  <c r="ED149"/>
  <c r="EF149"/>
  <c r="EH149"/>
  <c r="EJ149"/>
  <c r="DD149"/>
  <c r="CM149"/>
  <c r="CL149"/>
  <c r="CK149"/>
  <c r="AY149"/>
  <c r="B152"/>
  <c r="CZ148"/>
  <c r="DF148"/>
  <c r="DJ148"/>
  <c r="DN148"/>
  <c r="DR148"/>
  <c r="DV148"/>
  <c r="DZ148"/>
  <c r="ED148"/>
  <c r="EH148"/>
  <c r="DD148"/>
  <c r="CL148"/>
  <c r="CK148"/>
  <c r="AY148"/>
  <c r="B153"/>
  <c r="CZ147"/>
  <c r="DF147"/>
  <c r="DH147"/>
  <c r="DJ147"/>
  <c r="DL147"/>
  <c r="DN147"/>
  <c r="DP147"/>
  <c r="DR147"/>
  <c r="DT147"/>
  <c r="DV147"/>
  <c r="DX147"/>
  <c r="DZ147"/>
  <c r="EB147"/>
  <c r="ED147"/>
  <c r="EF147"/>
  <c r="EH147"/>
  <c r="EJ147"/>
  <c r="DD147"/>
  <c r="BA147"/>
  <c r="CM147"/>
  <c r="CL147"/>
  <c r="CK147"/>
  <c r="AY147"/>
  <c r="B141"/>
  <c r="CX146"/>
  <c r="CZ146"/>
  <c r="DG146" s="1"/>
  <c r="DF146"/>
  <c r="DH146"/>
  <c r="DJ146"/>
  <c r="DL146"/>
  <c r="DN146"/>
  <c r="DP146"/>
  <c r="DR146"/>
  <c r="DT146"/>
  <c r="DV146"/>
  <c r="DX146"/>
  <c r="DZ146"/>
  <c r="EB146"/>
  <c r="ED146"/>
  <c r="EF146"/>
  <c r="EH146"/>
  <c r="EJ146"/>
  <c r="DD146"/>
  <c r="DC146" s="1"/>
  <c r="DE146"/>
  <c r="BA146"/>
  <c r="CM146"/>
  <c r="CL146"/>
  <c r="CK146"/>
  <c r="AY146"/>
  <c r="B140"/>
  <c r="CX145"/>
  <c r="CZ145"/>
  <c r="DI145"/>
  <c r="DM145"/>
  <c r="EW145" s="1"/>
  <c r="DN145"/>
  <c r="DO145"/>
  <c r="DP145"/>
  <c r="DQ145"/>
  <c r="DR145"/>
  <c r="DS145"/>
  <c r="DT145"/>
  <c r="DU145"/>
  <c r="DV145"/>
  <c r="DW145"/>
  <c r="DX145"/>
  <c r="DY145"/>
  <c r="FI145" s="1"/>
  <c r="DZ145"/>
  <c r="EA145"/>
  <c r="EB145"/>
  <c r="EC145"/>
  <c r="FM145" s="1"/>
  <c r="ED145"/>
  <c r="EE145"/>
  <c r="EF145"/>
  <c r="EG145"/>
  <c r="EH145"/>
  <c r="EI145"/>
  <c r="EJ145"/>
  <c r="DD145"/>
  <c r="DE145"/>
  <c r="DC145"/>
  <c r="BA145"/>
  <c r="CM145"/>
  <c r="CL145"/>
  <c r="CK145"/>
  <c r="AY145"/>
  <c r="B144"/>
  <c r="CX144"/>
  <c r="CZ144"/>
  <c r="DG144"/>
  <c r="DK144"/>
  <c r="DO144"/>
  <c r="DS144"/>
  <c r="DW144"/>
  <c r="EA144"/>
  <c r="EE144"/>
  <c r="EI144"/>
  <c r="DD144"/>
  <c r="DE144"/>
  <c r="DC144"/>
  <c r="BA144"/>
  <c r="CM144" s="1"/>
  <c r="CL144"/>
  <c r="CK144"/>
  <c r="AY144"/>
  <c r="B147"/>
  <c r="CZ143"/>
  <c r="DG143" s="1"/>
  <c r="DF143"/>
  <c r="DH143"/>
  <c r="DJ143"/>
  <c r="DL143"/>
  <c r="DN143"/>
  <c r="DP143"/>
  <c r="DR143"/>
  <c r="DT143"/>
  <c r="DV143"/>
  <c r="DW143"/>
  <c r="DX143"/>
  <c r="DY143"/>
  <c r="DZ143"/>
  <c r="EA143"/>
  <c r="EB143"/>
  <c r="EC143"/>
  <c r="ED143"/>
  <c r="EE143"/>
  <c r="EF143"/>
  <c r="EG143"/>
  <c r="EH143"/>
  <c r="EI143"/>
  <c r="EJ143"/>
  <c r="DD143"/>
  <c r="DC143" s="1"/>
  <c r="DE143"/>
  <c r="BA143"/>
  <c r="CM143"/>
  <c r="CL143"/>
  <c r="CK143"/>
  <c r="AY143"/>
  <c r="B142"/>
  <c r="CX142"/>
  <c r="CZ142"/>
  <c r="DI142"/>
  <c r="DM142"/>
  <c r="EW142" s="1"/>
  <c r="DN142"/>
  <c r="DO142"/>
  <c r="DP142"/>
  <c r="DQ142"/>
  <c r="DR142"/>
  <c r="DS142"/>
  <c r="DT142"/>
  <c r="DU142"/>
  <c r="DV142"/>
  <c r="DW142"/>
  <c r="DX142"/>
  <c r="DY142"/>
  <c r="DZ142"/>
  <c r="EA142"/>
  <c r="EB142"/>
  <c r="EC142"/>
  <c r="ED142"/>
  <c r="EE142"/>
  <c r="EF142"/>
  <c r="EG142"/>
  <c r="EH142"/>
  <c r="EI142"/>
  <c r="EJ142"/>
  <c r="DD142"/>
  <c r="DE142"/>
  <c r="DC142"/>
  <c r="BA142"/>
  <c r="CM142"/>
  <c r="CL142"/>
  <c r="CK142"/>
  <c r="AY142"/>
  <c r="B146"/>
  <c r="CW141"/>
  <c r="CX141"/>
  <c r="CZ141"/>
  <c r="DI141"/>
  <c r="DM141"/>
  <c r="DO141"/>
  <c r="DQ141"/>
  <c r="DS141"/>
  <c r="DU141"/>
  <c r="DW141"/>
  <c r="DY141"/>
  <c r="EA141"/>
  <c r="EC141"/>
  <c r="EE141"/>
  <c r="EG141"/>
  <c r="EI141"/>
  <c r="DD141"/>
  <c r="DE141"/>
  <c r="DC141"/>
  <c r="BA141"/>
  <c r="CM141"/>
  <c r="CL141"/>
  <c r="CK141"/>
  <c r="AY141"/>
  <c r="B143"/>
  <c r="CW140"/>
  <c r="CX140"/>
  <c r="CZ140"/>
  <c r="DO140"/>
  <c r="DQ140"/>
  <c r="DS140"/>
  <c r="DU140"/>
  <c r="DW140"/>
  <c r="DY140"/>
  <c r="FI140" s="1"/>
  <c r="EA140"/>
  <c r="EC140"/>
  <c r="EE140"/>
  <c r="EG140"/>
  <c r="EI140"/>
  <c r="DD140"/>
  <c r="DE140"/>
  <c r="DC140"/>
  <c r="BA140"/>
  <c r="CM140"/>
  <c r="CL140"/>
  <c r="CK140"/>
  <c r="AY140"/>
  <c r="B145"/>
  <c r="CZ139"/>
  <c r="DJ139" s="1"/>
  <c r="DF139"/>
  <c r="DG139"/>
  <c r="DH139"/>
  <c r="DI139"/>
  <c r="DK139"/>
  <c r="DL139"/>
  <c r="DN139"/>
  <c r="DO139"/>
  <c r="DP139"/>
  <c r="DQ139"/>
  <c r="DS139"/>
  <c r="DT139"/>
  <c r="DV139"/>
  <c r="DW139"/>
  <c r="DX139"/>
  <c r="DY139"/>
  <c r="EA139"/>
  <c r="EB139"/>
  <c r="ED139"/>
  <c r="EE139"/>
  <c r="EF139"/>
  <c r="EG139"/>
  <c r="EI139"/>
  <c r="EJ139"/>
  <c r="DD139"/>
  <c r="DE139" s="1"/>
  <c r="DC139"/>
  <c r="BA139"/>
  <c r="CM139"/>
  <c r="CL139"/>
  <c r="CK139"/>
  <c r="AY139"/>
  <c r="B139"/>
  <c r="CZ138"/>
  <c r="DF138"/>
  <c r="DG138"/>
  <c r="DH138"/>
  <c r="DI138"/>
  <c r="DJ138"/>
  <c r="DK138"/>
  <c r="DL138"/>
  <c r="DM138"/>
  <c r="DN138"/>
  <c r="DO138"/>
  <c r="DP138"/>
  <c r="DQ138"/>
  <c r="DR138"/>
  <c r="DS138"/>
  <c r="DT138"/>
  <c r="DU138"/>
  <c r="DV138"/>
  <c r="DW138"/>
  <c r="DX138"/>
  <c r="DY138"/>
  <c r="DZ138"/>
  <c r="EA138"/>
  <c r="EB138"/>
  <c r="EC138"/>
  <c r="ED138"/>
  <c r="EE138"/>
  <c r="EF138"/>
  <c r="EG138"/>
  <c r="EH138"/>
  <c r="EI138"/>
  <c r="EJ138"/>
  <c r="DD138"/>
  <c r="CL138"/>
  <c r="CK138"/>
  <c r="AY138"/>
  <c r="B138"/>
  <c r="CZ137"/>
  <c r="DF137"/>
  <c r="DG137"/>
  <c r="DH137"/>
  <c r="DI137"/>
  <c r="ES137" s="1"/>
  <c r="DJ137"/>
  <c r="DK137"/>
  <c r="DL137"/>
  <c r="DM137"/>
  <c r="EW137" s="1"/>
  <c r="DN137"/>
  <c r="DO137"/>
  <c r="DP137"/>
  <c r="DQ137"/>
  <c r="DR137"/>
  <c r="DS137"/>
  <c r="DT137"/>
  <c r="DU137"/>
  <c r="DV137"/>
  <c r="DW137"/>
  <c r="DX137"/>
  <c r="DY137"/>
  <c r="FI137" s="1"/>
  <c r="DZ137"/>
  <c r="EA137"/>
  <c r="EB137"/>
  <c r="EC137"/>
  <c r="ED137"/>
  <c r="EE137"/>
  <c r="EF137"/>
  <c r="EG137"/>
  <c r="EH137"/>
  <c r="EI137"/>
  <c r="EJ137"/>
  <c r="DD137"/>
  <c r="DE137"/>
  <c r="DC137"/>
  <c r="BA137"/>
  <c r="CM137" s="1"/>
  <c r="CL137"/>
  <c r="CK137"/>
  <c r="AY137"/>
  <c r="B137"/>
  <c r="CZ136"/>
  <c r="DG136" s="1"/>
  <c r="DF136"/>
  <c r="DH136"/>
  <c r="DJ136"/>
  <c r="DL136"/>
  <c r="DN136"/>
  <c r="DP136"/>
  <c r="DR136"/>
  <c r="DT136"/>
  <c r="DV136"/>
  <c r="DX136"/>
  <c r="DZ136"/>
  <c r="EB136"/>
  <c r="ED136"/>
  <c r="EF136"/>
  <c r="EH136"/>
  <c r="EJ136"/>
  <c r="DD136"/>
  <c r="DC136" s="1"/>
  <c r="DE136"/>
  <c r="BA136"/>
  <c r="CM136"/>
  <c r="CL136"/>
  <c r="CK136"/>
  <c r="AY136"/>
  <c r="B135"/>
  <c r="CW135"/>
  <c r="CX135"/>
  <c r="CZ135"/>
  <c r="DF135"/>
  <c r="DH135"/>
  <c r="DJ135"/>
  <c r="DL135"/>
  <c r="DN135"/>
  <c r="DP135"/>
  <c r="DR135"/>
  <c r="DT135"/>
  <c r="DV135"/>
  <c r="DX135"/>
  <c r="DZ135"/>
  <c r="EB135"/>
  <c r="ED135"/>
  <c r="EF135"/>
  <c r="EH135"/>
  <c r="EJ135"/>
  <c r="DD135"/>
  <c r="DC135" s="1"/>
  <c r="BA135"/>
  <c r="CM135"/>
  <c r="CL135"/>
  <c r="CK135"/>
  <c r="AY135"/>
  <c r="B132"/>
  <c r="CW134"/>
  <c r="CX134"/>
  <c r="CZ134"/>
  <c r="DF134"/>
  <c r="DJ134"/>
  <c r="DN134"/>
  <c r="DR134"/>
  <c r="DV134"/>
  <c r="DZ134"/>
  <c r="ED134"/>
  <c r="EH134"/>
  <c r="DD134"/>
  <c r="DC134" s="1"/>
  <c r="BA134"/>
  <c r="CM134"/>
  <c r="CL134"/>
  <c r="CK134"/>
  <c r="AY134"/>
  <c r="B131"/>
  <c r="CZ133"/>
  <c r="DG133" s="1"/>
  <c r="DD133"/>
  <c r="DE133"/>
  <c r="DC133"/>
  <c r="BA133"/>
  <c r="CM133" s="1"/>
  <c r="CL133"/>
  <c r="CK133"/>
  <c r="AY133"/>
  <c r="B136"/>
  <c r="CX132"/>
  <c r="CZ132"/>
  <c r="DF132"/>
  <c r="DH132"/>
  <c r="DJ132"/>
  <c r="DL132"/>
  <c r="DN132"/>
  <c r="DP132"/>
  <c r="DR132"/>
  <c r="DT132"/>
  <c r="DV132"/>
  <c r="DX132"/>
  <c r="DZ132"/>
  <c r="EB132"/>
  <c r="ED132"/>
  <c r="EF132"/>
  <c r="EH132"/>
  <c r="EJ132"/>
  <c r="DD132"/>
  <c r="BA132"/>
  <c r="CM132" s="1"/>
  <c r="CL132"/>
  <c r="CK132"/>
  <c r="AY132"/>
  <c r="B128"/>
  <c r="CZ131"/>
  <c r="DF131"/>
  <c r="DG131"/>
  <c r="DH131"/>
  <c r="DI131"/>
  <c r="ES131" s="1"/>
  <c r="DJ131"/>
  <c r="DK131"/>
  <c r="DL131"/>
  <c r="DM131"/>
  <c r="EW131" s="1"/>
  <c r="DN131"/>
  <c r="DO131"/>
  <c r="DP131"/>
  <c r="DQ131"/>
  <c r="DR131"/>
  <c r="DS131"/>
  <c r="DT131"/>
  <c r="DU131"/>
  <c r="DV131"/>
  <c r="DW131"/>
  <c r="DX131"/>
  <c r="DY131"/>
  <c r="DZ131"/>
  <c r="EA131"/>
  <c r="EB131"/>
  <c r="EC131"/>
  <c r="ED131"/>
  <c r="EE131"/>
  <c r="EF131"/>
  <c r="EG131"/>
  <c r="EH131"/>
  <c r="EI131"/>
  <c r="EJ131"/>
  <c r="DD131"/>
  <c r="DE131"/>
  <c r="DC131"/>
  <c r="BA131"/>
  <c r="CM131"/>
  <c r="CL131"/>
  <c r="CK131"/>
  <c r="AY131"/>
  <c r="B134"/>
  <c r="CX130"/>
  <c r="DG130" s="1"/>
  <c r="CZ130"/>
  <c r="DI130"/>
  <c r="DM130"/>
  <c r="EW130" s="1"/>
  <c r="DQ130"/>
  <c r="DU130"/>
  <c r="DY130"/>
  <c r="EC130"/>
  <c r="EG130"/>
  <c r="DD130"/>
  <c r="DE130"/>
  <c r="DC130"/>
  <c r="BA130"/>
  <c r="CM130" s="1"/>
  <c r="CL130"/>
  <c r="CK130"/>
  <c r="AY130"/>
  <c r="B130"/>
  <c r="CX129"/>
  <c r="CZ129"/>
  <c r="DH129" s="1"/>
  <c r="DF129"/>
  <c r="DJ129"/>
  <c r="DN129"/>
  <c r="DR129"/>
  <c r="DV129"/>
  <c r="DZ129"/>
  <c r="ED129"/>
  <c r="EH129"/>
  <c r="DD129"/>
  <c r="BA129"/>
  <c r="CM129" s="1"/>
  <c r="CL129"/>
  <c r="CK129"/>
  <c r="AY129"/>
  <c r="B133"/>
  <c r="CW128"/>
  <c r="CX128"/>
  <c r="CZ128"/>
  <c r="DH128"/>
  <c r="DL128"/>
  <c r="DP128"/>
  <c r="DT128"/>
  <c r="DX128"/>
  <c r="EB128"/>
  <c r="EF128"/>
  <c r="EJ128"/>
  <c r="DD128"/>
  <c r="CL128"/>
  <c r="CK128"/>
  <c r="AY128"/>
  <c r="B129"/>
  <c r="CX127"/>
  <c r="CZ127"/>
  <c r="DD127"/>
  <c r="DE127"/>
  <c r="DC127"/>
  <c r="BA127"/>
  <c r="CM127" s="1"/>
  <c r="CL127"/>
  <c r="CK127"/>
  <c r="AY127"/>
  <c r="B120"/>
  <c r="CX126"/>
  <c r="CZ126"/>
  <c r="DF126"/>
  <c r="DH126"/>
  <c r="DJ126"/>
  <c r="DL126"/>
  <c r="DN126"/>
  <c r="DP126"/>
  <c r="DR126"/>
  <c r="DT126"/>
  <c r="DV126"/>
  <c r="DX126"/>
  <c r="DZ126"/>
  <c r="EB126"/>
  <c r="ED126"/>
  <c r="EF126"/>
  <c r="EH126"/>
  <c r="EJ126"/>
  <c r="DD126"/>
  <c r="BA126"/>
  <c r="CM126" s="1"/>
  <c r="CL126"/>
  <c r="CK126"/>
  <c r="AY126"/>
  <c r="B124"/>
  <c r="CX125"/>
  <c r="CZ125"/>
  <c r="DG125" s="1"/>
  <c r="DF125"/>
  <c r="DH125"/>
  <c r="DJ125"/>
  <c r="DL125"/>
  <c r="DN125"/>
  <c r="DP125"/>
  <c r="DR125"/>
  <c r="DT125"/>
  <c r="DV125"/>
  <c r="DX125"/>
  <c r="DZ125"/>
  <c r="EB125"/>
  <c r="ED125"/>
  <c r="EF125"/>
  <c r="EH125"/>
  <c r="EJ125"/>
  <c r="DD125"/>
  <c r="DC125" s="1"/>
  <c r="BA125"/>
  <c r="CM125"/>
  <c r="CL125"/>
  <c r="CK125"/>
  <c r="AY125"/>
  <c r="B127"/>
  <c r="CX124"/>
  <c r="DI124" s="1"/>
  <c r="CZ124"/>
  <c r="DN124"/>
  <c r="DO124"/>
  <c r="DP124"/>
  <c r="DQ124"/>
  <c r="DR124"/>
  <c r="DS124"/>
  <c r="DT124"/>
  <c r="DU124"/>
  <c r="DV124"/>
  <c r="DW124"/>
  <c r="DX124"/>
  <c r="DY124"/>
  <c r="DZ124"/>
  <c r="EA124"/>
  <c r="EB124"/>
  <c r="EC124"/>
  <c r="ED124"/>
  <c r="EE124"/>
  <c r="EF124"/>
  <c r="EG124"/>
  <c r="EH124"/>
  <c r="EI124"/>
  <c r="EJ124"/>
  <c r="DD124"/>
  <c r="DE124"/>
  <c r="DC124"/>
  <c r="BA124"/>
  <c r="CM124"/>
  <c r="CL124"/>
  <c r="CK124"/>
  <c r="AY124"/>
  <c r="B118"/>
  <c r="CX123"/>
  <c r="CZ123"/>
  <c r="DD123"/>
  <c r="DE123"/>
  <c r="DC123"/>
  <c r="BA123"/>
  <c r="CM123" s="1"/>
  <c r="CL123"/>
  <c r="CK123"/>
  <c r="AY123"/>
  <c r="B123"/>
  <c r="CX122"/>
  <c r="CZ122"/>
  <c r="DF122"/>
  <c r="DH122"/>
  <c r="DJ122"/>
  <c r="DL122"/>
  <c r="DN122"/>
  <c r="DP122"/>
  <c r="DR122"/>
  <c r="DT122"/>
  <c r="DV122"/>
  <c r="DX122"/>
  <c r="DZ122"/>
  <c r="EB122"/>
  <c r="ED122"/>
  <c r="EF122"/>
  <c r="EH122"/>
  <c r="EJ122"/>
  <c r="DD122"/>
  <c r="BA122"/>
  <c r="CM122" s="1"/>
  <c r="CL122"/>
  <c r="CK122"/>
  <c r="AY122"/>
  <c r="B125"/>
  <c r="CW121"/>
  <c r="CX121"/>
  <c r="CZ121"/>
  <c r="DD121"/>
  <c r="BA121"/>
  <c r="CM121"/>
  <c r="CL121"/>
  <c r="CK121"/>
  <c r="AY121"/>
  <c r="B121"/>
  <c r="CZ120"/>
  <c r="DF120"/>
  <c r="DG120"/>
  <c r="DH120"/>
  <c r="DI120"/>
  <c r="DJ120"/>
  <c r="DK120"/>
  <c r="DL120"/>
  <c r="DM120"/>
  <c r="DN120"/>
  <c r="DO120"/>
  <c r="DP120"/>
  <c r="DQ120"/>
  <c r="DR120"/>
  <c r="DS120"/>
  <c r="DT120"/>
  <c r="DU120"/>
  <c r="DV120"/>
  <c r="DW120"/>
  <c r="DX120"/>
  <c r="DY120"/>
  <c r="DZ120"/>
  <c r="EA120"/>
  <c r="EB120"/>
  <c r="EC120"/>
  <c r="ED120"/>
  <c r="EE120"/>
  <c r="EF120"/>
  <c r="EG120"/>
  <c r="EH120"/>
  <c r="EI120"/>
  <c r="EJ120"/>
  <c r="DD120"/>
  <c r="DE120"/>
  <c r="DC120"/>
  <c r="BA120"/>
  <c r="CM120"/>
  <c r="CL120"/>
  <c r="CK120"/>
  <c r="AY120"/>
  <c r="B122"/>
  <c r="CW119"/>
  <c r="CX119"/>
  <c r="DG119" s="1"/>
  <c r="CZ119"/>
  <c r="DI119"/>
  <c r="DM119"/>
  <c r="EW119" s="1"/>
  <c r="DO119"/>
  <c r="DQ119"/>
  <c r="DS119"/>
  <c r="DU119"/>
  <c r="DW119"/>
  <c r="DY119"/>
  <c r="EA119"/>
  <c r="EC119"/>
  <c r="FM119" s="1"/>
  <c r="EE119"/>
  <c r="EG119"/>
  <c r="EI119"/>
  <c r="DD119"/>
  <c r="DE119"/>
  <c r="DC119"/>
  <c r="BA119"/>
  <c r="CM119"/>
  <c r="CL119"/>
  <c r="CK119"/>
  <c r="AY119"/>
  <c r="B126"/>
  <c r="CX118"/>
  <c r="CZ118"/>
  <c r="DI118" s="1"/>
  <c r="DG118"/>
  <c r="DK118"/>
  <c r="DO118"/>
  <c r="DS118"/>
  <c r="DW118"/>
  <c r="EA118"/>
  <c r="EE118"/>
  <c r="EI118"/>
  <c r="DD118"/>
  <c r="DE118"/>
  <c r="DC118"/>
  <c r="CL118"/>
  <c r="CK118"/>
  <c r="AY118"/>
  <c r="B119"/>
  <c r="CZ117"/>
  <c r="DI117" s="1"/>
  <c r="ES117" s="1"/>
  <c r="DG117"/>
  <c r="DK117"/>
  <c r="DO117"/>
  <c r="DS117"/>
  <c r="DW117"/>
  <c r="EA117"/>
  <c r="EE117"/>
  <c r="EI117"/>
  <c r="DD117"/>
  <c r="DE117"/>
  <c r="DC117"/>
  <c r="BA117"/>
  <c r="CM117" s="1"/>
  <c r="CL117"/>
  <c r="CK117"/>
  <c r="AY117"/>
  <c r="B111"/>
  <c r="CZ116"/>
  <c r="DG116" s="1"/>
  <c r="DF116"/>
  <c r="DH116"/>
  <c r="DJ116"/>
  <c r="DL116"/>
  <c r="DN116"/>
  <c r="DP116"/>
  <c r="DR116"/>
  <c r="DT116"/>
  <c r="DV116"/>
  <c r="DX116"/>
  <c r="DZ116"/>
  <c r="EB116"/>
  <c r="ED116"/>
  <c r="EF116"/>
  <c r="EH116"/>
  <c r="EJ116"/>
  <c r="DD116"/>
  <c r="DC116" s="1"/>
  <c r="BA116"/>
  <c r="CM116"/>
  <c r="CL116"/>
  <c r="CK116"/>
  <c r="AY116"/>
  <c r="B114"/>
  <c r="CZ115"/>
  <c r="DI115"/>
  <c r="DM115"/>
  <c r="EW115" s="1"/>
  <c r="DQ115"/>
  <c r="DU115"/>
  <c r="DY115"/>
  <c r="FI115" s="1"/>
  <c r="EC115"/>
  <c r="EG115"/>
  <c r="DD115"/>
  <c r="DE115"/>
  <c r="DC115"/>
  <c r="BA115"/>
  <c r="CM115" s="1"/>
  <c r="CL115"/>
  <c r="CK115"/>
  <c r="AY115"/>
  <c r="B110"/>
  <c r="CZ114"/>
  <c r="DG114" s="1"/>
  <c r="DF114"/>
  <c r="DH114"/>
  <c r="DJ114"/>
  <c r="DL114"/>
  <c r="DN114"/>
  <c r="DP114"/>
  <c r="DR114"/>
  <c r="DT114"/>
  <c r="DV114"/>
  <c r="DX114"/>
  <c r="DZ114"/>
  <c r="EB114"/>
  <c r="ED114"/>
  <c r="EF114"/>
  <c r="EH114"/>
  <c r="EJ114"/>
  <c r="DD114"/>
  <c r="DC114" s="1"/>
  <c r="DE114"/>
  <c r="BA114"/>
  <c r="CM114"/>
  <c r="CL114"/>
  <c r="CK114"/>
  <c r="AY114"/>
  <c r="B108"/>
  <c r="CZ113"/>
  <c r="DI113" s="1"/>
  <c r="DG113"/>
  <c r="DK113"/>
  <c r="DO113"/>
  <c r="DS113"/>
  <c r="DW113"/>
  <c r="EA113"/>
  <c r="EE113"/>
  <c r="EI113"/>
  <c r="DD113"/>
  <c r="DE113"/>
  <c r="DC113"/>
  <c r="BA113"/>
  <c r="CM113" s="1"/>
  <c r="CL113"/>
  <c r="CK113"/>
  <c r="AY113"/>
  <c r="B116"/>
  <c r="CZ112"/>
  <c r="DG112" s="1"/>
  <c r="DF112"/>
  <c r="DH112"/>
  <c r="DJ112"/>
  <c r="DL112"/>
  <c r="DN112"/>
  <c r="DP112"/>
  <c r="DR112"/>
  <c r="DT112"/>
  <c r="DV112"/>
  <c r="DX112"/>
  <c r="DZ112"/>
  <c r="EB112"/>
  <c r="ED112"/>
  <c r="EF112"/>
  <c r="EH112"/>
  <c r="EJ112"/>
  <c r="DD112"/>
  <c r="DC112" s="1"/>
  <c r="BA112"/>
  <c r="CM112"/>
  <c r="CL112"/>
  <c r="CK112"/>
  <c r="AY112"/>
  <c r="B117"/>
  <c r="CZ111"/>
  <c r="DI111"/>
  <c r="DM111"/>
  <c r="DQ111"/>
  <c r="DU111"/>
  <c r="DY111"/>
  <c r="EC111"/>
  <c r="EG111"/>
  <c r="DD111"/>
  <c r="DE111"/>
  <c r="DC111"/>
  <c r="BA111"/>
  <c r="CM111" s="1"/>
  <c r="CL111"/>
  <c r="CK111"/>
  <c r="AY111"/>
  <c r="B113"/>
  <c r="CZ110"/>
  <c r="DG110" s="1"/>
  <c r="DF110"/>
  <c r="DH110"/>
  <c r="DJ110"/>
  <c r="DL110"/>
  <c r="DN110"/>
  <c r="DP110"/>
  <c r="DR110"/>
  <c r="DT110"/>
  <c r="DV110"/>
  <c r="DX110"/>
  <c r="DZ110"/>
  <c r="EB110"/>
  <c r="ED110"/>
  <c r="EF110"/>
  <c r="EH110"/>
  <c r="EJ110"/>
  <c r="DD110"/>
  <c r="DC110" s="1"/>
  <c r="DE110"/>
  <c r="BA110"/>
  <c r="CM110"/>
  <c r="CL110"/>
  <c r="CK110"/>
  <c r="AY110"/>
  <c r="B115"/>
  <c r="CZ109"/>
  <c r="DI109" s="1"/>
  <c r="DG109"/>
  <c r="DK109"/>
  <c r="DO109"/>
  <c r="DS109"/>
  <c r="DW109"/>
  <c r="EA109"/>
  <c r="EE109"/>
  <c r="EI109"/>
  <c r="DD109"/>
  <c r="DE109"/>
  <c r="DC109"/>
  <c r="BA109"/>
  <c r="CM109" s="1"/>
  <c r="CL109"/>
  <c r="CK109"/>
  <c r="AY109"/>
  <c r="B109"/>
  <c r="CZ108"/>
  <c r="DG108" s="1"/>
  <c r="DF108"/>
  <c r="DH108"/>
  <c r="DJ108"/>
  <c r="DL108"/>
  <c r="DN108"/>
  <c r="DP108"/>
  <c r="DR108"/>
  <c r="DT108"/>
  <c r="DV108"/>
  <c r="DX108"/>
  <c r="DZ108"/>
  <c r="EB108"/>
  <c r="ED108"/>
  <c r="EF108"/>
  <c r="EH108"/>
  <c r="EJ108"/>
  <c r="DD108"/>
  <c r="DC108" s="1"/>
  <c r="CL108"/>
  <c r="CK108"/>
  <c r="AY108"/>
  <c r="B112"/>
  <c r="CW107"/>
  <c r="CX107"/>
  <c r="DG107" s="1"/>
  <c r="CZ107"/>
  <c r="DO107" s="1"/>
  <c r="DI107"/>
  <c r="DM107"/>
  <c r="EW107" s="1"/>
  <c r="DQ107"/>
  <c r="DU107"/>
  <c r="DY107"/>
  <c r="EC107"/>
  <c r="EG107"/>
  <c r="DD107"/>
  <c r="DE107"/>
  <c r="DC107"/>
  <c r="BA107"/>
  <c r="CM107" s="1"/>
  <c r="CL107"/>
  <c r="CK107"/>
  <c r="AY107"/>
  <c r="B102"/>
  <c r="CZ106"/>
  <c r="DG106" s="1"/>
  <c r="DF106"/>
  <c r="DH106"/>
  <c r="DJ106"/>
  <c r="DL106"/>
  <c r="DN106"/>
  <c r="DP106"/>
  <c r="DR106"/>
  <c r="DT106"/>
  <c r="DV106"/>
  <c r="DX106"/>
  <c r="DZ106"/>
  <c r="EB106"/>
  <c r="ED106"/>
  <c r="EF106"/>
  <c r="EH106"/>
  <c r="EJ106"/>
  <c r="DD106"/>
  <c r="DC106" s="1"/>
  <c r="DE106"/>
  <c r="BA106"/>
  <c r="CM106"/>
  <c r="CL106"/>
  <c r="CK106"/>
  <c r="AY106"/>
  <c r="B99"/>
  <c r="CZ105"/>
  <c r="DI105" s="1"/>
  <c r="DG105"/>
  <c r="DK105"/>
  <c r="DO105"/>
  <c r="DS105"/>
  <c r="DW105"/>
  <c r="EA105"/>
  <c r="EE105"/>
  <c r="EI105"/>
  <c r="DD105"/>
  <c r="DE105"/>
  <c r="DC105"/>
  <c r="BA105"/>
  <c r="CM105" s="1"/>
  <c r="CL105"/>
  <c r="CK105"/>
  <c r="AY105"/>
  <c r="B98"/>
  <c r="CZ104"/>
  <c r="DG104" s="1"/>
  <c r="DF104"/>
  <c r="DH104"/>
  <c r="DJ104"/>
  <c r="DL104"/>
  <c r="DN104"/>
  <c r="DP104"/>
  <c r="DR104"/>
  <c r="DT104"/>
  <c r="DV104"/>
  <c r="DX104"/>
  <c r="DZ104"/>
  <c r="EB104"/>
  <c r="ED104"/>
  <c r="EF104"/>
  <c r="EH104"/>
  <c r="EJ104"/>
  <c r="DD104"/>
  <c r="DC104" s="1"/>
  <c r="BA104"/>
  <c r="CM104"/>
  <c r="CL104"/>
  <c r="CK104"/>
  <c r="AY104"/>
  <c r="B103"/>
  <c r="CZ103"/>
  <c r="DI103"/>
  <c r="DM103"/>
  <c r="DQ103"/>
  <c r="FA103" s="1"/>
  <c r="DU103"/>
  <c r="DY103"/>
  <c r="EC103"/>
  <c r="EG103"/>
  <c r="DD103"/>
  <c r="DE103"/>
  <c r="DC103"/>
  <c r="BA103"/>
  <c r="CM103" s="1"/>
  <c r="CL103"/>
  <c r="CK103"/>
  <c r="AY103"/>
  <c r="B104"/>
  <c r="CZ102"/>
  <c r="DG102" s="1"/>
  <c r="DF102"/>
  <c r="DH102"/>
  <c r="DJ102"/>
  <c r="DL102"/>
  <c r="DN102"/>
  <c r="DP102"/>
  <c r="DR102"/>
  <c r="DT102"/>
  <c r="DV102"/>
  <c r="DX102"/>
  <c r="DZ102"/>
  <c r="EB102"/>
  <c r="ED102"/>
  <c r="EF102"/>
  <c r="EH102"/>
  <c r="EJ102"/>
  <c r="DD102"/>
  <c r="DC102" s="1"/>
  <c r="DE102"/>
  <c r="BA102"/>
  <c r="CM102"/>
  <c r="CL102"/>
  <c r="CK102"/>
  <c r="AY102"/>
  <c r="B107"/>
  <c r="CX101"/>
  <c r="DG101" s="1"/>
  <c r="CZ101"/>
  <c r="DI101"/>
  <c r="DM101"/>
  <c r="EW101" s="1"/>
  <c r="DN101"/>
  <c r="DO101"/>
  <c r="DP101"/>
  <c r="DQ101"/>
  <c r="DR101"/>
  <c r="DS101"/>
  <c r="DT101"/>
  <c r="DU101"/>
  <c r="DV101"/>
  <c r="DW101"/>
  <c r="DX101"/>
  <c r="DY101"/>
  <c r="DZ101"/>
  <c r="EA101"/>
  <c r="EB101"/>
  <c r="EC101"/>
  <c r="ED101"/>
  <c r="EE101"/>
  <c r="EF101"/>
  <c r="EG101"/>
  <c r="EH101"/>
  <c r="EI101"/>
  <c r="EJ101"/>
  <c r="DD101"/>
  <c r="DE101"/>
  <c r="DC101"/>
  <c r="BA101"/>
  <c r="CM101"/>
  <c r="CL101"/>
  <c r="CK101"/>
  <c r="AY101"/>
  <c r="B106"/>
  <c r="CX100"/>
  <c r="CZ100"/>
  <c r="DI100" s="1"/>
  <c r="DG100"/>
  <c r="DK100"/>
  <c r="DO100"/>
  <c r="DS100"/>
  <c r="DW100"/>
  <c r="EA100"/>
  <c r="EE100"/>
  <c r="EI100"/>
  <c r="DD100"/>
  <c r="DE100"/>
  <c r="DC100"/>
  <c r="BA100"/>
  <c r="CM100" s="1"/>
  <c r="CL100"/>
  <c r="CK100"/>
  <c r="AY100"/>
  <c r="B100"/>
  <c r="CZ99"/>
  <c r="DG99" s="1"/>
  <c r="DF99"/>
  <c r="DH99"/>
  <c r="DJ99"/>
  <c r="DL99"/>
  <c r="DN99"/>
  <c r="DP99"/>
  <c r="DR99"/>
  <c r="DT99"/>
  <c r="DV99"/>
  <c r="DX99"/>
  <c r="DZ99"/>
  <c r="EB99"/>
  <c r="ED99"/>
  <c r="EF99"/>
  <c r="EG99"/>
  <c r="EH99"/>
  <c r="EI99"/>
  <c r="EJ99"/>
  <c r="DD99"/>
  <c r="DC99" s="1"/>
  <c r="BA99"/>
  <c r="CM99"/>
  <c r="CL99"/>
  <c r="CK99"/>
  <c r="AY99"/>
  <c r="B101"/>
  <c r="CZ98"/>
  <c r="DI98"/>
  <c r="DM98"/>
  <c r="DQ98"/>
  <c r="DU98"/>
  <c r="DY98"/>
  <c r="EC98"/>
  <c r="EG98"/>
  <c r="DD98"/>
  <c r="DE98" s="1"/>
  <c r="DC98"/>
  <c r="CL98"/>
  <c r="CK98"/>
  <c r="AY98"/>
  <c r="B105"/>
  <c r="CZ97"/>
  <c r="DG97" s="1"/>
  <c r="DD97"/>
  <c r="DE97" s="1"/>
  <c r="DC97"/>
  <c r="BA97"/>
  <c r="CM97" s="1"/>
  <c r="CL97"/>
  <c r="CK97"/>
  <c r="AY97"/>
  <c r="B92"/>
  <c r="CZ96"/>
  <c r="DF96"/>
  <c r="DG96"/>
  <c r="DH96"/>
  <c r="DI96"/>
  <c r="DJ96"/>
  <c r="DK96"/>
  <c r="DL96"/>
  <c r="DM96"/>
  <c r="EW96" s="1"/>
  <c r="DN96"/>
  <c r="DO96"/>
  <c r="DP96"/>
  <c r="DQ96"/>
  <c r="DR96"/>
  <c r="DS96"/>
  <c r="DT96"/>
  <c r="DU96"/>
  <c r="FE96" s="1"/>
  <c r="DV96"/>
  <c r="DW96"/>
  <c r="DX96"/>
  <c r="DY96"/>
  <c r="FI96" s="1"/>
  <c r="DZ96"/>
  <c r="EA96"/>
  <c r="EB96"/>
  <c r="EC96"/>
  <c r="FM96" s="1"/>
  <c r="ED96"/>
  <c r="EE96"/>
  <c r="EF96"/>
  <c r="EG96"/>
  <c r="EH96"/>
  <c r="EI96"/>
  <c r="EJ96"/>
  <c r="DD96"/>
  <c r="DC96" s="1"/>
  <c r="BA96"/>
  <c r="CM96"/>
  <c r="CL96"/>
  <c r="CK96"/>
  <c r="AY96"/>
  <c r="B90"/>
  <c r="CZ95"/>
  <c r="DD95"/>
  <c r="DE95" s="1"/>
  <c r="DC95"/>
  <c r="BA95"/>
  <c r="CM95" s="1"/>
  <c r="CL95"/>
  <c r="CK95"/>
  <c r="AY95"/>
  <c r="B95"/>
  <c r="CZ94"/>
  <c r="DF94"/>
  <c r="DG94"/>
  <c r="DH94"/>
  <c r="DI94"/>
  <c r="DJ94"/>
  <c r="DK94"/>
  <c r="DL94"/>
  <c r="DM94"/>
  <c r="EW94" s="1"/>
  <c r="DN94"/>
  <c r="DO94"/>
  <c r="DP94"/>
  <c r="DQ94"/>
  <c r="DR94"/>
  <c r="DS94"/>
  <c r="DT94"/>
  <c r="DU94"/>
  <c r="FE94" s="1"/>
  <c r="DV94"/>
  <c r="DW94"/>
  <c r="DX94"/>
  <c r="DY94"/>
  <c r="FI94" s="1"/>
  <c r="DZ94"/>
  <c r="EA94"/>
  <c r="EB94"/>
  <c r="EC94"/>
  <c r="FM94" s="1"/>
  <c r="ED94"/>
  <c r="EE94"/>
  <c r="EF94"/>
  <c r="EG94"/>
  <c r="EH94"/>
  <c r="EI94"/>
  <c r="EJ94"/>
  <c r="DD94"/>
  <c r="DC94" s="1"/>
  <c r="BA94"/>
  <c r="CM94"/>
  <c r="CL94"/>
  <c r="CK94"/>
  <c r="AY94"/>
  <c r="B89"/>
  <c r="CZ93"/>
  <c r="DD93"/>
  <c r="DE93" s="1"/>
  <c r="DC93"/>
  <c r="BA93"/>
  <c r="CM93" s="1"/>
  <c r="CL93"/>
  <c r="CK93"/>
  <c r="AY93"/>
  <c r="B96"/>
  <c r="CZ92"/>
  <c r="DF92"/>
  <c r="DG92"/>
  <c r="DH92"/>
  <c r="DI92"/>
  <c r="DJ92"/>
  <c r="DK92"/>
  <c r="DL92"/>
  <c r="DM92"/>
  <c r="EW92" s="1"/>
  <c r="DN92"/>
  <c r="DO92"/>
  <c r="DP92"/>
  <c r="DQ92"/>
  <c r="DR92"/>
  <c r="DS92"/>
  <c r="DT92"/>
  <c r="DU92"/>
  <c r="FE92" s="1"/>
  <c r="DV92"/>
  <c r="DW92"/>
  <c r="DX92"/>
  <c r="DY92"/>
  <c r="FI92" s="1"/>
  <c r="DZ92"/>
  <c r="EA92"/>
  <c r="EB92"/>
  <c r="EC92"/>
  <c r="ED92"/>
  <c r="EE92"/>
  <c r="EF92"/>
  <c r="EG92"/>
  <c r="EH92"/>
  <c r="EI92"/>
  <c r="EJ92"/>
  <c r="DD92"/>
  <c r="DC92" s="1"/>
  <c r="BA92"/>
  <c r="CM92"/>
  <c r="CL92"/>
  <c r="CK92"/>
  <c r="AY92"/>
  <c r="B94"/>
  <c r="CZ91"/>
  <c r="DG91" s="1"/>
  <c r="DD91"/>
  <c r="DE91" s="1"/>
  <c r="DC91"/>
  <c r="BA91"/>
  <c r="CM91" s="1"/>
  <c r="CL91"/>
  <c r="CK91"/>
  <c r="AY91"/>
  <c r="B88"/>
  <c r="CZ90"/>
  <c r="DF90"/>
  <c r="DG90"/>
  <c r="DH90"/>
  <c r="DI90"/>
  <c r="DJ90"/>
  <c r="DK90"/>
  <c r="DL90"/>
  <c r="DM90"/>
  <c r="DN90"/>
  <c r="DO90"/>
  <c r="DP90"/>
  <c r="DQ90"/>
  <c r="DR90"/>
  <c r="DS90"/>
  <c r="DT90"/>
  <c r="DU90"/>
  <c r="DV90"/>
  <c r="DW90"/>
  <c r="DX90"/>
  <c r="DY90"/>
  <c r="DZ90"/>
  <c r="EA90"/>
  <c r="EB90"/>
  <c r="EC90"/>
  <c r="ED90"/>
  <c r="EE90"/>
  <c r="EF90"/>
  <c r="EG90"/>
  <c r="EH90"/>
  <c r="EI90"/>
  <c r="EJ90"/>
  <c r="DD90"/>
  <c r="DC90" s="1"/>
  <c r="BA90"/>
  <c r="CM90"/>
  <c r="CL90"/>
  <c r="CK90"/>
  <c r="AY90"/>
  <c r="B91"/>
  <c r="CX89"/>
  <c r="CZ89"/>
  <c r="DN89" s="1"/>
  <c r="DO89"/>
  <c r="DQ89"/>
  <c r="DS89"/>
  <c r="DU89"/>
  <c r="DW89"/>
  <c r="DY89"/>
  <c r="EA89"/>
  <c r="EC89"/>
  <c r="EE89"/>
  <c r="EG89"/>
  <c r="EI89"/>
  <c r="DD89"/>
  <c r="DE89"/>
  <c r="DC89"/>
  <c r="BA89"/>
  <c r="CM89" s="1"/>
  <c r="CL89"/>
  <c r="CK89"/>
  <c r="AY89"/>
  <c r="B93"/>
  <c r="CZ88"/>
  <c r="DF88"/>
  <c r="DH88"/>
  <c r="DJ88"/>
  <c r="DL88"/>
  <c r="DN88"/>
  <c r="DP88"/>
  <c r="DR88"/>
  <c r="DT88"/>
  <c r="DV88"/>
  <c r="DX88"/>
  <c r="DZ88"/>
  <c r="EB88"/>
  <c r="ED88"/>
  <c r="EF88"/>
  <c r="EH88"/>
  <c r="EJ88"/>
  <c r="DD88"/>
  <c r="CL88"/>
  <c r="CK88"/>
  <c r="AY88"/>
  <c r="B97"/>
  <c r="C79"/>
  <c r="C78"/>
  <c r="C77"/>
  <c r="C76"/>
  <c r="C75"/>
  <c r="C74"/>
  <c r="C73"/>
  <c r="C72"/>
  <c r="C71"/>
  <c r="C70"/>
  <c r="E61"/>
  <c r="W13"/>
  <c r="D13"/>
  <c r="W12"/>
  <c r="D12"/>
  <c r="W11"/>
  <c r="D11"/>
  <c r="W10"/>
  <c r="D10"/>
  <c r="W9"/>
  <c r="D9"/>
  <c r="W8"/>
  <c r="D8"/>
  <c r="W7"/>
  <c r="T7"/>
  <c r="S7"/>
  <c r="R7"/>
  <c r="Q7"/>
  <c r="P7"/>
  <c r="O7"/>
  <c r="N7"/>
  <c r="M7"/>
  <c r="D7"/>
  <c r="W6"/>
  <c r="T6"/>
  <c r="S6"/>
  <c r="R6"/>
  <c r="Q6"/>
  <c r="P6"/>
  <c r="O6"/>
  <c r="N6"/>
  <c r="M6"/>
  <c r="D6"/>
  <c r="W5"/>
  <c r="T5"/>
  <c r="S5"/>
  <c r="R5"/>
  <c r="Q5"/>
  <c r="P5"/>
  <c r="O5"/>
  <c r="N5"/>
  <c r="M5"/>
  <c r="D5"/>
  <c r="W4"/>
  <c r="G4"/>
  <c r="D4"/>
  <c r="FT94" l="1"/>
  <c r="FH94"/>
  <c r="FD94"/>
  <c r="EZ94"/>
  <c r="EV94"/>
  <c r="FT142"/>
  <c r="EZ142"/>
  <c r="EZ143"/>
  <c r="FH147"/>
  <c r="EZ150"/>
  <c r="H516"/>
  <c r="FR102"/>
  <c r="FB102"/>
  <c r="FR104"/>
  <c r="FR110"/>
  <c r="FB110"/>
  <c r="ET110"/>
  <c r="FR112"/>
  <c r="FJ112"/>
  <c r="FB112"/>
  <c r="FT104"/>
  <c r="ER106"/>
  <c r="ER108"/>
  <c r="FD112"/>
  <c r="FH114"/>
  <c r="ER114"/>
  <c r="FH116"/>
  <c r="FH124"/>
  <c r="FD124"/>
  <c r="FD135"/>
  <c r="FT137"/>
  <c r="EZ149"/>
  <c r="FT174"/>
  <c r="FL174"/>
  <c r="FH174"/>
  <c r="EZ187"/>
  <c r="FJ146"/>
  <c r="FL99"/>
  <c r="FH101"/>
  <c r="EZ101"/>
  <c r="FS105"/>
  <c r="FH136"/>
  <c r="FT173"/>
  <c r="FP173"/>
  <c r="FH173"/>
  <c r="FD173"/>
  <c r="FH178"/>
  <c r="EZ183"/>
  <c r="FT96"/>
  <c r="ER96"/>
  <c r="FH154"/>
  <c r="FT156"/>
  <c r="FH156"/>
  <c r="EZ156"/>
  <c r="FT165"/>
  <c r="AK372"/>
  <c r="AK377" s="1"/>
  <c r="FN131"/>
  <c r="FB136"/>
  <c r="FO89"/>
  <c r="EY89"/>
  <c r="FR90"/>
  <c r="FF90"/>
  <c r="FB90"/>
  <c r="FR145"/>
  <c r="FN145"/>
  <c r="FF145"/>
  <c r="FB145"/>
  <c r="FR122"/>
  <c r="FR131"/>
  <c r="FR136"/>
  <c r="ET136"/>
  <c r="EQ162"/>
  <c r="FN157"/>
  <c r="ET96"/>
  <c r="ET108"/>
  <c r="FR147"/>
  <c r="FB147"/>
  <c r="FR150"/>
  <c r="FB150"/>
  <c r="FR154"/>
  <c r="FR156"/>
  <c r="FR157"/>
  <c r="FJ157"/>
  <c r="FB157"/>
  <c r="FR165"/>
  <c r="FR173"/>
  <c r="FM176"/>
  <c r="EW176"/>
  <c r="FR179"/>
  <c r="FM186"/>
  <c r="FI186"/>
  <c r="FM89"/>
  <c r="FM90"/>
  <c r="FI90"/>
  <c r="EW90"/>
  <c r="EQ91"/>
  <c r="EW103"/>
  <c r="EW111"/>
  <c r="EW120"/>
  <c r="FI139"/>
  <c r="EW141"/>
  <c r="FM143"/>
  <c r="FI143"/>
  <c r="ES145"/>
  <c r="EW158"/>
  <c r="EQ169"/>
  <c r="EW182"/>
  <c r="FO90"/>
  <c r="FK90"/>
  <c r="EY109"/>
  <c r="FO117"/>
  <c r="FO120"/>
  <c r="FS143"/>
  <c r="FT92"/>
  <c r="FL92"/>
  <c r="FH92"/>
  <c r="FD92"/>
  <c r="EZ92"/>
  <c r="EV92"/>
  <c r="FS94"/>
  <c r="FO94"/>
  <c r="FC94"/>
  <c r="FS96"/>
  <c r="FO96"/>
  <c r="EY96"/>
  <c r="EU96"/>
  <c r="FT99"/>
  <c r="FS100"/>
  <c r="FC100"/>
  <c r="FS101"/>
  <c r="FO101"/>
  <c r="FK101"/>
  <c r="FH102"/>
  <c r="EZ102"/>
  <c r="EZ104"/>
  <c r="FD106"/>
  <c r="FH110"/>
  <c r="EZ110"/>
  <c r="FL114"/>
  <c r="FL116"/>
  <c r="FH125"/>
  <c r="EZ126"/>
  <c r="EZ132"/>
  <c r="EZ135"/>
  <c r="FD138"/>
  <c r="FT145"/>
  <c r="FL147"/>
  <c r="FL150"/>
  <c r="EY151"/>
  <c r="FT154"/>
  <c r="EY155"/>
  <c r="FO156"/>
  <c r="FK156"/>
  <c r="FD157"/>
  <c r="EV157"/>
  <c r="FK164"/>
  <c r="FS165"/>
  <c r="FP165"/>
  <c r="FH165"/>
  <c r="FD165"/>
  <c r="EZ165"/>
  <c r="ER165"/>
  <c r="FP166"/>
  <c r="FP171"/>
  <c r="FH171"/>
  <c r="EZ171"/>
  <c r="ER171"/>
  <c r="FO173"/>
  <c r="FH175"/>
  <c r="FK184"/>
  <c r="FK185"/>
  <c r="AF372"/>
  <c r="AF382" s="1"/>
  <c r="FS90"/>
  <c r="FC90"/>
  <c r="FO109"/>
  <c r="FO119"/>
  <c r="FK140"/>
  <c r="FO143"/>
  <c r="FO144"/>
  <c r="FH90"/>
  <c r="FD90"/>
  <c r="EZ90"/>
  <c r="FH99"/>
  <c r="EZ99"/>
  <c r="FK105"/>
  <c r="FS109"/>
  <c r="FC109"/>
  <c r="FK113"/>
  <c r="FS117"/>
  <c r="EV120"/>
  <c r="FD122"/>
  <c r="EV122"/>
  <c r="FO131"/>
  <c r="FK131"/>
  <c r="FK141"/>
  <c r="FS144"/>
  <c r="FO145"/>
  <c r="FK145"/>
  <c r="FT149"/>
  <c r="FH152"/>
  <c r="FO159"/>
  <c r="EY159"/>
  <c r="FH163"/>
  <c r="FO164"/>
  <c r="FD164"/>
  <c r="FO165"/>
  <c r="FD175"/>
  <c r="FS181"/>
  <c r="FC181"/>
  <c r="FH182"/>
  <c r="EV182"/>
  <c r="FT183"/>
  <c r="FD183"/>
  <c r="FD184"/>
  <c r="FF114"/>
  <c r="FF116"/>
  <c r="EU117"/>
  <c r="EU118"/>
  <c r="FR120"/>
  <c r="FS124"/>
  <c r="FO124"/>
  <c r="FK124"/>
  <c r="FR125"/>
  <c r="FR126"/>
  <c r="FR132"/>
  <c r="FB132"/>
  <c r="FF134"/>
  <c r="FR135"/>
  <c r="FB135"/>
  <c r="FS137"/>
  <c r="FO137"/>
  <c r="FK139"/>
  <c r="FF139"/>
  <c r="EU139"/>
  <c r="FO141"/>
  <c r="FS142"/>
  <c r="FO142"/>
  <c r="FK142"/>
  <c r="FC142"/>
  <c r="FR143"/>
  <c r="FF143"/>
  <c r="FK144"/>
  <c r="FR149"/>
  <c r="FO151"/>
  <c r="FF152"/>
  <c r="FO153"/>
  <c r="FB154"/>
  <c r="FO155"/>
  <c r="EU155"/>
  <c r="FR159"/>
  <c r="ER159"/>
  <c r="ER162"/>
  <c r="FS163"/>
  <c r="FO163"/>
  <c r="FK163"/>
  <c r="FG163"/>
  <c r="FO169"/>
  <c r="ER170"/>
  <c r="FN180"/>
  <c r="FS182"/>
  <c r="FO182"/>
  <c r="FK182"/>
  <c r="FR183"/>
  <c r="FO185"/>
  <c r="AB372"/>
  <c r="AB376" s="1"/>
  <c r="M379"/>
  <c r="M422"/>
  <c r="N382"/>
  <c r="N422"/>
  <c r="P374"/>
  <c r="P422"/>
  <c r="AK381"/>
  <c r="H382"/>
  <c r="H422"/>
  <c r="FR92"/>
  <c r="FF92"/>
  <c r="FB92"/>
  <c r="FR99"/>
  <c r="FF99"/>
  <c r="EU100"/>
  <c r="FF104"/>
  <c r="EX104"/>
  <c r="EU105"/>
  <c r="FR106"/>
  <c r="FB106"/>
  <c r="FR114"/>
  <c r="FR116"/>
  <c r="FF125"/>
  <c r="FF126"/>
  <c r="FF137"/>
  <c r="FB137"/>
  <c r="FF149"/>
  <c r="FR152"/>
  <c r="FB152"/>
  <c r="EU153"/>
  <c r="FR162"/>
  <c r="FF164"/>
  <c r="EU164"/>
  <c r="FR170"/>
  <c r="FF170"/>
  <c r="FB170"/>
  <c r="EX170"/>
  <c r="FR174"/>
  <c r="FR175"/>
  <c r="FF180"/>
  <c r="EU185"/>
  <c r="FR186"/>
  <c r="FF186"/>
  <c r="FB186"/>
  <c r="AI372"/>
  <c r="AI379" s="1"/>
  <c r="FS89"/>
  <c r="FC89"/>
  <c r="EV90"/>
  <c r="FS92"/>
  <c r="FO92"/>
  <c r="FC92"/>
  <c r="FR94"/>
  <c r="FF94"/>
  <c r="FB94"/>
  <c r="FR96"/>
  <c r="FF96"/>
  <c r="FB96"/>
  <c r="EX96"/>
  <c r="FS99"/>
  <c r="FO100"/>
  <c r="EY100"/>
  <c r="FR101"/>
  <c r="FF101"/>
  <c r="FC101"/>
  <c r="FO105"/>
  <c r="EY105"/>
  <c r="EV106"/>
  <c r="EY107"/>
  <c r="FO113"/>
  <c r="FK119"/>
  <c r="FN122"/>
  <c r="FF122"/>
  <c r="FR124"/>
  <c r="ER126"/>
  <c r="FR129"/>
  <c r="FB129"/>
  <c r="ER129"/>
  <c r="FR134"/>
  <c r="FB134"/>
  <c r="FR137"/>
  <c r="EU137"/>
  <c r="FO139"/>
  <c r="FO140"/>
  <c r="FR142"/>
  <c r="FB142"/>
  <c r="EV143"/>
  <c r="FG144"/>
  <c r="FR146"/>
  <c r="FF150"/>
  <c r="FF161"/>
  <c r="FO162"/>
  <c r="EU162"/>
  <c r="FR163"/>
  <c r="FN163"/>
  <c r="FK167"/>
  <c r="FK169"/>
  <c r="EU169"/>
  <c r="FS170"/>
  <c r="FO170"/>
  <c r="FK170"/>
  <c r="EY170"/>
  <c r="EU170"/>
  <c r="FR171"/>
  <c r="FB171"/>
  <c r="EV173"/>
  <c r="FO174"/>
  <c r="FC174"/>
  <c r="FB179"/>
  <c r="FR180"/>
  <c r="FB180"/>
  <c r="EU180"/>
  <c r="FO181"/>
  <c r="EY181"/>
  <c r="FR182"/>
  <c r="FS184"/>
  <c r="FO186"/>
  <c r="FK186"/>
  <c r="FR187"/>
  <c r="M375"/>
  <c r="S372"/>
  <c r="S422" s="1"/>
  <c r="EX136"/>
  <c r="EV135"/>
  <c r="EX88"/>
  <c r="EW98"/>
  <c r="FQ174"/>
  <c r="FE180"/>
  <c r="ET146"/>
  <c r="FA98"/>
  <c r="ES158"/>
  <c r="EZ88"/>
  <c r="FJ101"/>
  <c r="FP186"/>
  <c r="FM92"/>
  <c r="EQ96"/>
  <c r="EQ102"/>
  <c r="EQ106"/>
  <c r="EQ113"/>
  <c r="FM131"/>
  <c r="EQ136"/>
  <c r="FP139"/>
  <c r="EQ139"/>
  <c r="FM142"/>
  <c r="ET147"/>
  <c r="FI156"/>
  <c r="FI163"/>
  <c r="FM165"/>
  <c r="ET167"/>
  <c r="EQ170"/>
  <c r="FM173"/>
  <c r="FI181"/>
  <c r="FQ89"/>
  <c r="FI89"/>
  <c r="EU90"/>
  <c r="EU92"/>
  <c r="EU94"/>
  <c r="FB99"/>
  <c r="ET99"/>
  <c r="FE101"/>
  <c r="FA101"/>
  <c r="FI103"/>
  <c r="FT106"/>
  <c r="FI107"/>
  <c r="EU109"/>
  <c r="FI111"/>
  <c r="FF112"/>
  <c r="EU113"/>
  <c r="FB114"/>
  <c r="FQ115"/>
  <c r="FB116"/>
  <c r="FI119"/>
  <c r="FA119"/>
  <c r="FT120"/>
  <c r="FM120"/>
  <c r="FI120"/>
  <c r="FB120"/>
  <c r="EU120"/>
  <c r="FB122"/>
  <c r="FE124"/>
  <c r="FB124"/>
  <c r="FP125"/>
  <c r="FB125"/>
  <c r="FB126"/>
  <c r="FF129"/>
  <c r="FM130"/>
  <c r="FF131"/>
  <c r="FB131"/>
  <c r="FT132"/>
  <c r="FT135"/>
  <c r="FM140"/>
  <c r="FF142"/>
  <c r="FB143"/>
  <c r="EU144"/>
  <c r="FT146"/>
  <c r="FF146"/>
  <c r="ET149"/>
  <c r="FT152"/>
  <c r="EX152"/>
  <c r="FF156"/>
  <c r="FB156"/>
  <c r="FT159"/>
  <c r="FM159"/>
  <c r="FI159"/>
  <c r="FB159"/>
  <c r="FM162"/>
  <c r="FI162"/>
  <c r="FM163"/>
  <c r="FF163"/>
  <c r="FB163"/>
  <c r="EU163"/>
  <c r="FF165"/>
  <c r="FB165"/>
  <c r="FF166"/>
  <c r="EU167"/>
  <c r="FF173"/>
  <c r="FB173"/>
  <c r="FM174"/>
  <c r="FI174"/>
  <c r="FE174"/>
  <c r="FB174"/>
  <c r="EU174"/>
  <c r="FP178"/>
  <c r="FI180"/>
  <c r="FM182"/>
  <c r="FI182"/>
  <c r="FM185"/>
  <c r="N374"/>
  <c r="W372"/>
  <c r="W422" s="1"/>
  <c r="L372"/>
  <c r="L422" s="1"/>
  <c r="ET102"/>
  <c r="FE103"/>
  <c r="FE107"/>
  <c r="EQ112"/>
  <c r="FM115"/>
  <c r="FI130"/>
  <c r="FI131"/>
  <c r="FM137"/>
  <c r="FI141"/>
  <c r="FI142"/>
  <c r="EQ143"/>
  <c r="EQ144"/>
  <c r="FM153"/>
  <c r="FM156"/>
  <c r="EQ164"/>
  <c r="FI165"/>
  <c r="ET171"/>
  <c r="FI173"/>
  <c r="FM180"/>
  <c r="AD372"/>
  <c r="AD422" s="1"/>
  <c r="FP94"/>
  <c r="FP96"/>
  <c r="FM101"/>
  <c r="FI101"/>
  <c r="FB101"/>
  <c r="EQ101"/>
  <c r="FF102"/>
  <c r="FM103"/>
  <c r="FB104"/>
  <c r="FF106"/>
  <c r="FM107"/>
  <c r="FT110"/>
  <c r="FF110"/>
  <c r="FM111"/>
  <c r="EQ117"/>
  <c r="EQ118"/>
  <c r="FF120"/>
  <c r="FT122"/>
  <c r="FM124"/>
  <c r="FI124"/>
  <c r="FF124"/>
  <c r="EQ125"/>
  <c r="FT126"/>
  <c r="EQ130"/>
  <c r="EU131"/>
  <c r="FF132"/>
  <c r="FF135"/>
  <c r="FF136"/>
  <c r="FM141"/>
  <c r="FT143"/>
  <c r="FB146"/>
  <c r="FF147"/>
  <c r="FB149"/>
  <c r="EU151"/>
  <c r="FI153"/>
  <c r="FA153"/>
  <c r="FF154"/>
  <c r="EX154"/>
  <c r="ET156"/>
  <c r="FF157"/>
  <c r="FF159"/>
  <c r="EQ159"/>
  <c r="FF162"/>
  <c r="FB162"/>
  <c r="EX162"/>
  <c r="ET162"/>
  <c r="FJ163"/>
  <c r="FT164"/>
  <c r="FI164"/>
  <c r="EU165"/>
  <c r="EU166"/>
  <c r="FM170"/>
  <c r="FI170"/>
  <c r="FF171"/>
  <c r="EU173"/>
  <c r="FF174"/>
  <c r="FB175"/>
  <c r="EU176"/>
  <c r="FF177"/>
  <c r="FJ180"/>
  <c r="FA180"/>
  <c r="ET180"/>
  <c r="FM181"/>
  <c r="FF182"/>
  <c r="FB182"/>
  <c r="EU182"/>
  <c r="FB183"/>
  <c r="FF187"/>
  <c r="N377"/>
  <c r="N380"/>
  <c r="Z372"/>
  <c r="Z374" s="1"/>
  <c r="Y377"/>
  <c r="Y375"/>
  <c r="FA89"/>
  <c r="FP90"/>
  <c r="FP92"/>
  <c r="FA92"/>
  <c r="ES100"/>
  <c r="FP101"/>
  <c r="EX101"/>
  <c r="ES107"/>
  <c r="ES109"/>
  <c r="FP110"/>
  <c r="FJ120"/>
  <c r="EP122"/>
  <c r="EV125"/>
  <c r="FD126"/>
  <c r="FD131"/>
  <c r="FD132"/>
  <c r="FA137"/>
  <c r="ES141"/>
  <c r="FD142"/>
  <c r="FA145"/>
  <c r="FD152"/>
  <c r="EX158"/>
  <c r="FA163"/>
  <c r="EV164"/>
  <c r="FA166"/>
  <c r="ES173"/>
  <c r="FA186"/>
  <c r="FK89"/>
  <c r="FT90"/>
  <c r="FQ90"/>
  <c r="EX90"/>
  <c r="ET90"/>
  <c r="FJ92"/>
  <c r="EX92"/>
  <c r="ET92"/>
  <c r="EX94"/>
  <c r="ET94"/>
  <c r="FN96"/>
  <c r="FJ96"/>
  <c r="EV96"/>
  <c r="FP99"/>
  <c r="EV99"/>
  <c r="EQ99"/>
  <c r="EQ100"/>
  <c r="FT101"/>
  <c r="EY101"/>
  <c r="ES101"/>
  <c r="FJ102"/>
  <c r="FD102"/>
  <c r="EV102"/>
  <c r="ES103"/>
  <c r="FP104"/>
  <c r="FH104"/>
  <c r="ET104"/>
  <c r="ES105"/>
  <c r="FP108"/>
  <c r="EV108"/>
  <c r="EQ108"/>
  <c r="EQ109"/>
  <c r="FJ110"/>
  <c r="FD110"/>
  <c r="EQ110"/>
  <c r="FE111"/>
  <c r="FT112"/>
  <c r="EY113"/>
  <c r="FT114"/>
  <c r="FD114"/>
  <c r="EV114"/>
  <c r="EQ114"/>
  <c r="FT116"/>
  <c r="FD116"/>
  <c r="EX116"/>
  <c r="FK117"/>
  <c r="FK120"/>
  <c r="FH120"/>
  <c r="FE120"/>
  <c r="ET120"/>
  <c r="FH122"/>
  <c r="FP124"/>
  <c r="EY124"/>
  <c r="EX126"/>
  <c r="EX129"/>
  <c r="FH131"/>
  <c r="EX131"/>
  <c r="EQ131"/>
  <c r="FN132"/>
  <c r="EX132"/>
  <c r="EP132"/>
  <c r="FN134"/>
  <c r="EX134"/>
  <c r="FH135"/>
  <c r="FD136"/>
  <c r="FK137"/>
  <c r="FH137"/>
  <c r="EQ137"/>
  <c r="FT138"/>
  <c r="EQ138"/>
  <c r="FH139"/>
  <c r="EX139"/>
  <c r="ES139"/>
  <c r="ET139"/>
  <c r="EY140"/>
  <c r="FH142"/>
  <c r="EX142"/>
  <c r="EY144"/>
  <c r="FH145"/>
  <c r="EX145"/>
  <c r="FH146"/>
  <c r="FD146"/>
  <c r="FT147"/>
  <c r="FD147"/>
  <c r="EV147"/>
  <c r="ET148"/>
  <c r="FP149"/>
  <c r="FH149"/>
  <c r="FH150"/>
  <c r="FD150"/>
  <c r="ET152"/>
  <c r="FK153"/>
  <c r="FJ154"/>
  <c r="ET154"/>
  <c r="EX156"/>
  <c r="EQ156"/>
  <c r="FK159"/>
  <c r="FD159"/>
  <c r="FA159"/>
  <c r="ET159"/>
  <c r="FK162"/>
  <c r="EY162"/>
  <c r="FP163"/>
  <c r="EX163"/>
  <c r="ET163"/>
  <c r="FA164"/>
  <c r="EX164"/>
  <c r="FJ165"/>
  <c r="ET165"/>
  <c r="FP167"/>
  <c r="EY169"/>
  <c r="FT170"/>
  <c r="FP170"/>
  <c r="FH170"/>
  <c r="FD170"/>
  <c r="EV170"/>
  <c r="FT171"/>
  <c r="FD171"/>
  <c r="EX173"/>
  <c r="FT175"/>
  <c r="FK176"/>
  <c r="FK180"/>
  <c r="FH180"/>
  <c r="FT182"/>
  <c r="FP183"/>
  <c r="EY185"/>
  <c r="FH186"/>
  <c r="EX186"/>
  <c r="H378"/>
  <c r="N381"/>
  <c r="O372"/>
  <c r="O373" s="1"/>
  <c r="J372"/>
  <c r="J381" s="1"/>
  <c r="E493"/>
  <c r="H494" s="1"/>
  <c r="E475"/>
  <c r="E465"/>
  <c r="H466" s="1"/>
  <c r="FA90"/>
  <c r="ES90"/>
  <c r="ES92"/>
  <c r="FA94"/>
  <c r="ES94"/>
  <c r="FP102"/>
  <c r="EX106"/>
  <c r="FA115"/>
  <c r="ES119"/>
  <c r="FD120"/>
  <c r="ES120"/>
  <c r="EX122"/>
  <c r="FD125"/>
  <c r="FA131"/>
  <c r="EP131"/>
  <c r="FP136"/>
  <c r="FD137"/>
  <c r="FP138"/>
  <c r="FA142"/>
  <c r="FD145"/>
  <c r="EX146"/>
  <c r="FP156"/>
  <c r="FD156"/>
  <c r="FD163"/>
  <c r="ES163"/>
  <c r="FA165"/>
  <c r="ES165"/>
  <c r="FJ171"/>
  <c r="FP177"/>
  <c r="FP182"/>
  <c r="FD182"/>
  <c r="ES182"/>
  <c r="FJ183"/>
  <c r="FD186"/>
  <c r="H379"/>
  <c r="U372"/>
  <c r="U373" s="1"/>
  <c r="E469"/>
  <c r="H468" s="1"/>
  <c r="EV88"/>
  <c r="EX89"/>
  <c r="FJ90"/>
  <c r="FG90"/>
  <c r="EY90"/>
  <c r="EQ90"/>
  <c r="FK92"/>
  <c r="FG92"/>
  <c r="EY92"/>
  <c r="EQ92"/>
  <c r="FK94"/>
  <c r="EY94"/>
  <c r="EQ94"/>
  <c r="FK96"/>
  <c r="FH96"/>
  <c r="FD96"/>
  <c r="FA96"/>
  <c r="ES96"/>
  <c r="EQ97"/>
  <c r="FD99"/>
  <c r="EX99"/>
  <c r="FK100"/>
  <c r="FD101"/>
  <c r="FT102"/>
  <c r="EX102"/>
  <c r="FJ104"/>
  <c r="FD104"/>
  <c r="EV104"/>
  <c r="EQ104"/>
  <c r="EQ105"/>
  <c r="FP106"/>
  <c r="FH106"/>
  <c r="ET106"/>
  <c r="FQ107"/>
  <c r="FA107"/>
  <c r="EQ107"/>
  <c r="FD108"/>
  <c r="FK109"/>
  <c r="EX110"/>
  <c r="ES111"/>
  <c r="FP112"/>
  <c r="FH112"/>
  <c r="ET112"/>
  <c r="ES113"/>
  <c r="ES115"/>
  <c r="EY117"/>
  <c r="EY119"/>
  <c r="EQ119"/>
  <c r="EY120"/>
  <c r="EQ120"/>
  <c r="FT124"/>
  <c r="FJ124"/>
  <c r="ES124"/>
  <c r="FT125"/>
  <c r="FP126"/>
  <c r="FH126"/>
  <c r="ES130"/>
  <c r="FT131"/>
  <c r="EY131"/>
  <c r="EV131"/>
  <c r="FP132"/>
  <c r="FH132"/>
  <c r="EQ133"/>
  <c r="FP135"/>
  <c r="FT136"/>
  <c r="EY137"/>
  <c r="FT139"/>
  <c r="FD139"/>
  <c r="EY139"/>
  <c r="FA140"/>
  <c r="EY141"/>
  <c r="FP142"/>
  <c r="EY142"/>
  <c r="ES142"/>
  <c r="FK143"/>
  <c r="FH143"/>
  <c r="FD143"/>
  <c r="EY145"/>
  <c r="EQ146"/>
  <c r="FJ149"/>
  <c r="FD149"/>
  <c r="FT150"/>
  <c r="FP150"/>
  <c r="EV150"/>
  <c r="EQ150"/>
  <c r="EQ151"/>
  <c r="EQ152"/>
  <c r="EY153"/>
  <c r="EQ153"/>
  <c r="FD154"/>
  <c r="EQ154"/>
  <c r="FJ156"/>
  <c r="EY156"/>
  <c r="ES156"/>
  <c r="FT157"/>
  <c r="FH157"/>
  <c r="EV158"/>
  <c r="FH159"/>
  <c r="FT162"/>
  <c r="FH162"/>
  <c r="FD162"/>
  <c r="ES162"/>
  <c r="FT163"/>
  <c r="FQ163"/>
  <c r="EY163"/>
  <c r="EQ163"/>
  <c r="FH164"/>
  <c r="EY164"/>
  <c r="ES164"/>
  <c r="ET164"/>
  <c r="FK165"/>
  <c r="EY165"/>
  <c r="EQ165"/>
  <c r="FK166"/>
  <c r="ES169"/>
  <c r="FA170"/>
  <c r="ES170"/>
  <c r="FK173"/>
  <c r="EY173"/>
  <c r="EQ173"/>
  <c r="FK174"/>
  <c r="FD174"/>
  <c r="EY174"/>
  <c r="EQ174"/>
  <c r="ET175"/>
  <c r="FH177"/>
  <c r="EX177"/>
  <c r="FK181"/>
  <c r="EY182"/>
  <c r="EQ182"/>
  <c r="EV184"/>
  <c r="FT186"/>
  <c r="EY186"/>
  <c r="H375"/>
  <c r="H380"/>
  <c r="FJ108"/>
  <c r="FK118"/>
  <c r="FM138"/>
  <c r="FS178"/>
  <c r="EY178"/>
  <c r="FR108"/>
  <c r="FF108"/>
  <c r="FO118"/>
  <c r="EY118"/>
  <c r="FP128"/>
  <c r="EZ128"/>
  <c r="EW138"/>
  <c r="ES138"/>
  <c r="FR148"/>
  <c r="FB148"/>
  <c r="ET168"/>
  <c r="FT178"/>
  <c r="FM178"/>
  <c r="FI178"/>
  <c r="FC178"/>
  <c r="EU178"/>
  <c r="FF158"/>
  <c r="FF178"/>
  <c r="EX108"/>
  <c r="EV128"/>
  <c r="FI138"/>
  <c r="FI158"/>
  <c r="FB178"/>
  <c r="FD88"/>
  <c r="FE98"/>
  <c r="FN108"/>
  <c r="FB108"/>
  <c r="FS118"/>
  <c r="ES118"/>
  <c r="FT128"/>
  <c r="FD128"/>
  <c r="FO138"/>
  <c r="FK138"/>
  <c r="EX138"/>
  <c r="FF148"/>
  <c r="FK158"/>
  <c r="EU158"/>
  <c r="EQ158"/>
  <c r="FJ178"/>
  <c r="FD178"/>
  <c r="EV178"/>
  <c r="EQ178"/>
  <c r="EK137"/>
  <c r="FT158"/>
  <c r="FN158"/>
  <c r="FD158"/>
  <c r="EZ178"/>
  <c r="FR88"/>
  <c r="FJ88"/>
  <c r="FB88"/>
  <c r="ET88"/>
  <c r="FM98"/>
  <c r="FS138"/>
  <c r="FF138"/>
  <c r="FM158"/>
  <c r="EY158"/>
  <c r="FJ168"/>
  <c r="FT88"/>
  <c r="FF88"/>
  <c r="FP88"/>
  <c r="FH88"/>
  <c r="ER88"/>
  <c r="FI98"/>
  <c r="ES98"/>
  <c r="FH128"/>
  <c r="FE138"/>
  <c r="EY138"/>
  <c r="EU138"/>
  <c r="FJ148"/>
  <c r="FO158"/>
  <c r="FH158"/>
  <c r="FE158"/>
  <c r="FB158"/>
  <c r="FR178"/>
  <c r="FO178"/>
  <c r="FK178"/>
  <c r="ES178"/>
  <c r="FT108"/>
  <c r="FH108"/>
  <c r="FR138"/>
  <c r="FH138"/>
  <c r="FB138"/>
  <c r="FR158"/>
  <c r="EQ155"/>
  <c r="EV116"/>
  <c r="EQ116"/>
  <c r="AK29"/>
  <c r="AK45" s="1"/>
  <c r="AJ28"/>
  <c r="AJ44" s="1"/>
  <c r="X28"/>
  <c r="X44" s="1"/>
  <c r="P28"/>
  <c r="P44" s="1"/>
  <c r="L28"/>
  <c r="L44" s="1"/>
  <c r="AE27"/>
  <c r="AE43" s="1"/>
  <c r="AF24"/>
  <c r="AF40" s="1"/>
  <c r="X24"/>
  <c r="X40" s="1"/>
  <c r="P24"/>
  <c r="P40" s="1"/>
  <c r="H24"/>
  <c r="H40" s="1"/>
  <c r="O23"/>
  <c r="O39" s="1"/>
  <c r="AK21"/>
  <c r="AK37" s="1"/>
  <c r="Q21"/>
  <c r="Q37" s="1"/>
  <c r="L23"/>
  <c r="L39" s="1"/>
  <c r="AJ23"/>
  <c r="AJ39" s="1"/>
  <c r="AF23"/>
  <c r="AF39" s="1"/>
  <c r="X23"/>
  <c r="X39" s="1"/>
  <c r="AH21"/>
  <c r="AH37" s="1"/>
  <c r="H22"/>
  <c r="H38" s="1"/>
  <c r="AF28"/>
  <c r="AF44" s="1"/>
  <c r="U25"/>
  <c r="U41" s="1"/>
  <c r="Y29"/>
  <c r="Y45" s="1"/>
  <c r="Y431" s="1"/>
  <c r="I28"/>
  <c r="I44" s="1"/>
  <c r="I430" s="1"/>
  <c r="AJ25"/>
  <c r="AJ41" s="1"/>
  <c r="L25"/>
  <c r="L41" s="1"/>
  <c r="AB25"/>
  <c r="AB41" s="1"/>
  <c r="AD25"/>
  <c r="AD41" s="1"/>
  <c r="AB24"/>
  <c r="AB40" s="1"/>
  <c r="T24"/>
  <c r="T40" s="1"/>
  <c r="L24"/>
  <c r="L40" s="1"/>
  <c r="AJ24"/>
  <c r="AJ40" s="1"/>
  <c r="AK23"/>
  <c r="AK39" s="1"/>
  <c r="AG23"/>
  <c r="AG39" s="1"/>
  <c r="AC23"/>
  <c r="AC39" s="1"/>
  <c r="Y23"/>
  <c r="Y39" s="1"/>
  <c r="Y425" s="1"/>
  <c r="U23"/>
  <c r="U39" s="1"/>
  <c r="M23"/>
  <c r="M39" s="1"/>
  <c r="I23"/>
  <c r="I39" s="1"/>
  <c r="I425" s="1"/>
  <c r="D73"/>
  <c r="D537" s="1"/>
  <c r="K23"/>
  <c r="K39" s="1"/>
  <c r="T23"/>
  <c r="T39" s="1"/>
  <c r="AJ22"/>
  <c r="AJ38" s="1"/>
  <c r="AF22"/>
  <c r="AF38" s="1"/>
  <c r="AB22"/>
  <c r="AB38" s="1"/>
  <c r="X22"/>
  <c r="X38" s="1"/>
  <c r="T22"/>
  <c r="T38" s="1"/>
  <c r="P22"/>
  <c r="P38" s="1"/>
  <c r="L22"/>
  <c r="L38" s="1"/>
  <c r="P25"/>
  <c r="P41" s="1"/>
  <c r="AJ26"/>
  <c r="AJ42" s="1"/>
  <c r="AB26"/>
  <c r="AB42" s="1"/>
  <c r="X26"/>
  <c r="X42" s="1"/>
  <c r="T26"/>
  <c r="T42" s="1"/>
  <c r="L26"/>
  <c r="L42" s="1"/>
  <c r="Q22"/>
  <c r="Q38" s="1"/>
  <c r="AI29"/>
  <c r="AI45" s="1"/>
  <c r="AA29"/>
  <c r="AA45" s="1"/>
  <c r="S29"/>
  <c r="S45" s="1"/>
  <c r="G29"/>
  <c r="G45" s="1"/>
  <c r="D79"/>
  <c r="D549" s="1"/>
  <c r="AE29"/>
  <c r="AE45" s="1"/>
  <c r="W29"/>
  <c r="W45" s="1"/>
  <c r="O29"/>
  <c r="O45" s="1"/>
  <c r="K29"/>
  <c r="K45" s="1"/>
  <c r="AB29"/>
  <c r="AB45" s="1"/>
  <c r="AF29"/>
  <c r="AF45" s="1"/>
  <c r="T29"/>
  <c r="T45" s="1"/>
  <c r="H29"/>
  <c r="H45" s="1"/>
  <c r="AG29"/>
  <c r="AG45" s="1"/>
  <c r="AC29"/>
  <c r="AC45" s="1"/>
  <c r="U29"/>
  <c r="U45" s="1"/>
  <c r="Q29"/>
  <c r="Q45" s="1"/>
  <c r="M29"/>
  <c r="M45" s="1"/>
  <c r="I29"/>
  <c r="I45" s="1"/>
  <c r="I431" s="1"/>
  <c r="AJ29"/>
  <c r="AJ45" s="1"/>
  <c r="P29"/>
  <c r="P45" s="1"/>
  <c r="L29"/>
  <c r="L45" s="1"/>
  <c r="U28"/>
  <c r="U44" s="1"/>
  <c r="Q28"/>
  <c r="Q44" s="1"/>
  <c r="M28"/>
  <c r="M44" s="1"/>
  <c r="X29"/>
  <c r="X45" s="1"/>
  <c r="AB28"/>
  <c r="AB44" s="1"/>
  <c r="D78"/>
  <c r="D547" s="1"/>
  <c r="AK28"/>
  <c r="AK44" s="1"/>
  <c r="AG28"/>
  <c r="AG44" s="1"/>
  <c r="AC28"/>
  <c r="AC44" s="1"/>
  <c r="Y28"/>
  <c r="Y44" s="1"/>
  <c r="Y430" s="1"/>
  <c r="AI28"/>
  <c r="AI44" s="1"/>
  <c r="AA28"/>
  <c r="AA44" s="1"/>
  <c r="W28"/>
  <c r="W44" s="1"/>
  <c r="S28"/>
  <c r="S44" s="1"/>
  <c r="O28"/>
  <c r="O44" s="1"/>
  <c r="K28"/>
  <c r="K44" s="1"/>
  <c r="G28"/>
  <c r="G44" s="1"/>
  <c r="T28"/>
  <c r="T44" s="1"/>
  <c r="H28"/>
  <c r="H44" s="1"/>
  <c r="AE28"/>
  <c r="AE44" s="1"/>
  <c r="AF27"/>
  <c r="AF43" s="1"/>
  <c r="P27"/>
  <c r="P43" s="1"/>
  <c r="D77"/>
  <c r="C380" s="1"/>
  <c r="AK27"/>
  <c r="AK43" s="1"/>
  <c r="AG27"/>
  <c r="AG43" s="1"/>
  <c r="AC27"/>
  <c r="AC43" s="1"/>
  <c r="Y27"/>
  <c r="Y43" s="1"/>
  <c r="Y429" s="1"/>
  <c r="U27"/>
  <c r="U43" s="1"/>
  <c r="Q27"/>
  <c r="Q43" s="1"/>
  <c r="M27"/>
  <c r="M43" s="1"/>
  <c r="I27"/>
  <c r="I43" s="1"/>
  <c r="I429" s="1"/>
  <c r="AI27"/>
  <c r="AI43" s="1"/>
  <c r="AA27"/>
  <c r="AA43" s="1"/>
  <c r="W27"/>
  <c r="W43" s="1"/>
  <c r="S27"/>
  <c r="S43" s="1"/>
  <c r="O27"/>
  <c r="O43" s="1"/>
  <c r="K27"/>
  <c r="K43" s="1"/>
  <c r="G27"/>
  <c r="G43" s="1"/>
  <c r="U26"/>
  <c r="U42" s="1"/>
  <c r="M26"/>
  <c r="M42" s="1"/>
  <c r="AI26"/>
  <c r="AI42" s="1"/>
  <c r="AE26"/>
  <c r="AE42" s="1"/>
  <c r="AA26"/>
  <c r="AA42" s="1"/>
  <c r="W26"/>
  <c r="W42" s="1"/>
  <c r="S26"/>
  <c r="S42" s="1"/>
  <c r="O26"/>
  <c r="O42" s="1"/>
  <c r="K26"/>
  <c r="K42" s="1"/>
  <c r="AG26"/>
  <c r="AG42" s="1"/>
  <c r="D76"/>
  <c r="D543" s="1"/>
  <c r="AB27"/>
  <c r="AB43" s="1"/>
  <c r="P26"/>
  <c r="P42" s="1"/>
  <c r="AJ27"/>
  <c r="AJ43" s="1"/>
  <c r="T27"/>
  <c r="T43" s="1"/>
  <c r="H27"/>
  <c r="H43" s="1"/>
  <c r="AF26"/>
  <c r="AF42" s="1"/>
  <c r="H26"/>
  <c r="H42" s="1"/>
  <c r="L27"/>
  <c r="L43" s="1"/>
  <c r="AK26"/>
  <c r="AK42" s="1"/>
  <c r="AC26"/>
  <c r="AC42" s="1"/>
  <c r="Y26"/>
  <c r="Y42" s="1"/>
  <c r="Y428" s="1"/>
  <c r="Q26"/>
  <c r="Q42" s="1"/>
  <c r="I26"/>
  <c r="I42" s="1"/>
  <c r="I428" s="1"/>
  <c r="X27"/>
  <c r="X43" s="1"/>
  <c r="D75"/>
  <c r="D541" s="1"/>
  <c r="G26"/>
  <c r="G42" s="1"/>
  <c r="G25"/>
  <c r="G41" s="1"/>
  <c r="AI25"/>
  <c r="AI41" s="1"/>
  <c r="AE25"/>
  <c r="AE41" s="1"/>
  <c r="AA25"/>
  <c r="AA41" s="1"/>
  <c r="W25"/>
  <c r="W41" s="1"/>
  <c r="S25"/>
  <c r="S41" s="1"/>
  <c r="K25"/>
  <c r="K41" s="1"/>
  <c r="O25"/>
  <c r="O41" s="1"/>
  <c r="T25"/>
  <c r="T41" s="1"/>
  <c r="AK25"/>
  <c r="AK41" s="1"/>
  <c r="AG25"/>
  <c r="AG41" s="1"/>
  <c r="AC25"/>
  <c r="AC41" s="1"/>
  <c r="Y25"/>
  <c r="Y41" s="1"/>
  <c r="Y427" s="1"/>
  <c r="Q25"/>
  <c r="Q41" s="1"/>
  <c r="M25"/>
  <c r="M41" s="1"/>
  <c r="I25"/>
  <c r="I41" s="1"/>
  <c r="I427" s="1"/>
  <c r="AF25"/>
  <c r="AF41" s="1"/>
  <c r="H25"/>
  <c r="H41" s="1"/>
  <c r="D74"/>
  <c r="D539" s="1"/>
  <c r="X25"/>
  <c r="X41" s="1"/>
  <c r="AK24"/>
  <c r="AK40" s="1"/>
  <c r="AG24"/>
  <c r="AG40" s="1"/>
  <c r="AC24"/>
  <c r="AC40" s="1"/>
  <c r="Y24"/>
  <c r="Y40" s="1"/>
  <c r="Y426" s="1"/>
  <c r="U24"/>
  <c r="U40" s="1"/>
  <c r="Q24"/>
  <c r="Q40" s="1"/>
  <c r="M24"/>
  <c r="M40" s="1"/>
  <c r="I24"/>
  <c r="I40" s="1"/>
  <c r="I426" s="1"/>
  <c r="AI23"/>
  <c r="AI39" s="1"/>
  <c r="AE23"/>
  <c r="AE39" s="1"/>
  <c r="AA23"/>
  <c r="AA39" s="1"/>
  <c r="S23"/>
  <c r="S39" s="1"/>
  <c r="G23"/>
  <c r="G39" s="1"/>
  <c r="AB23"/>
  <c r="AB39" s="1"/>
  <c r="P23"/>
  <c r="P39" s="1"/>
  <c r="H23"/>
  <c r="H39" s="1"/>
  <c r="AG22"/>
  <c r="AG38" s="1"/>
  <c r="AC22"/>
  <c r="AC38" s="1"/>
  <c r="U30"/>
  <c r="U46" s="1"/>
  <c r="M22"/>
  <c r="M38" s="1"/>
  <c r="I22"/>
  <c r="I38" s="1"/>
  <c r="I424" s="1"/>
  <c r="Q23"/>
  <c r="Q39" s="1"/>
  <c r="D72"/>
  <c r="D535" s="1"/>
  <c r="Y22"/>
  <c r="Y38" s="1"/>
  <c r="Y424" s="1"/>
  <c r="AI30"/>
  <c r="AI46" s="1"/>
  <c r="AA30"/>
  <c r="AA46" s="1"/>
  <c r="O30"/>
  <c r="O46" s="1"/>
  <c r="G21"/>
  <c r="G37" s="1"/>
  <c r="X30"/>
  <c r="X46" s="1"/>
  <c r="T30"/>
  <c r="T46" s="1"/>
  <c r="H30"/>
  <c r="H46" s="1"/>
  <c r="AK30"/>
  <c r="AK46" s="1"/>
  <c r="AG21"/>
  <c r="AG37" s="1"/>
  <c r="AC30"/>
  <c r="AC46" s="1"/>
  <c r="Y30"/>
  <c r="Y46" s="1"/>
  <c r="Y432" s="1"/>
  <c r="U21"/>
  <c r="U37" s="1"/>
  <c r="Q30"/>
  <c r="Q46" s="1"/>
  <c r="M21"/>
  <c r="M37" s="1"/>
  <c r="I21"/>
  <c r="I37" s="1"/>
  <c r="I423" s="1"/>
  <c r="L30"/>
  <c r="L46" s="1"/>
  <c r="J21"/>
  <c r="J37" s="1"/>
  <c r="AD21"/>
  <c r="AD37" s="1"/>
  <c r="Z21"/>
  <c r="Z37" s="1"/>
  <c r="V21"/>
  <c r="V37" s="1"/>
  <c r="R21"/>
  <c r="R37" s="1"/>
  <c r="N21"/>
  <c r="N37" s="1"/>
  <c r="AG30"/>
  <c r="AG46" s="1"/>
  <c r="X21"/>
  <c r="X37" s="1"/>
  <c r="W30"/>
  <c r="W46" s="1"/>
  <c r="S30"/>
  <c r="S46" s="1"/>
  <c r="K30"/>
  <c r="K46" s="1"/>
  <c r="G30"/>
  <c r="G46" s="1"/>
  <c r="AD29"/>
  <c r="AD45" s="1"/>
  <c r="V29"/>
  <c r="V45" s="1"/>
  <c r="N29"/>
  <c r="N45" s="1"/>
  <c r="AD27"/>
  <c r="AD43" s="1"/>
  <c r="V27"/>
  <c r="V43" s="1"/>
  <c r="N27"/>
  <c r="N43" s="1"/>
  <c r="AH25"/>
  <c r="AH41" s="1"/>
  <c r="Z25"/>
  <c r="Z41" s="1"/>
  <c r="R25"/>
  <c r="R41" s="1"/>
  <c r="J25"/>
  <c r="J41" s="1"/>
  <c r="AK22"/>
  <c r="AK38" s="1"/>
  <c r="Y21"/>
  <c r="Y37" s="1"/>
  <c r="Y423" s="1"/>
  <c r="L21"/>
  <c r="L37" s="1"/>
  <c r="AE30"/>
  <c r="AE46" s="1"/>
  <c r="M30"/>
  <c r="M46" s="1"/>
  <c r="W23"/>
  <c r="W39" s="1"/>
  <c r="U22"/>
  <c r="U38" s="1"/>
  <c r="T21"/>
  <c r="T37" s="1"/>
  <c r="AI21"/>
  <c r="AI37" s="1"/>
  <c r="AE21"/>
  <c r="AE37" s="1"/>
  <c r="AA21"/>
  <c r="AA37" s="1"/>
  <c r="W21"/>
  <c r="W37" s="1"/>
  <c r="S21"/>
  <c r="S37" s="1"/>
  <c r="O21"/>
  <c r="O37" s="1"/>
  <c r="K21"/>
  <c r="K37" s="1"/>
  <c r="AH29"/>
  <c r="AH45" s="1"/>
  <c r="Z29"/>
  <c r="Z45" s="1"/>
  <c r="R29"/>
  <c r="R45" s="1"/>
  <c r="J29"/>
  <c r="AH27"/>
  <c r="AH43" s="1"/>
  <c r="Z27"/>
  <c r="Z43" s="1"/>
  <c r="R27"/>
  <c r="R43" s="1"/>
  <c r="J27"/>
  <c r="V25"/>
  <c r="V41" s="1"/>
  <c r="N25"/>
  <c r="N41" s="1"/>
  <c r="I30"/>
  <c r="I46" s="1"/>
  <c r="I432" s="1"/>
  <c r="AC21"/>
  <c r="AC37" s="1"/>
  <c r="H21"/>
  <c r="H37" s="1"/>
  <c r="AI22"/>
  <c r="AI38" s="1"/>
  <c r="AE22"/>
  <c r="AE38" s="1"/>
  <c r="AA22"/>
  <c r="AA38" s="1"/>
  <c r="W22"/>
  <c r="W38" s="1"/>
  <c r="S22"/>
  <c r="S38" s="1"/>
  <c r="O22"/>
  <c r="O38" s="1"/>
  <c r="K22"/>
  <c r="K38" s="1"/>
  <c r="EW163"/>
  <c r="Y381"/>
  <c r="Y379"/>
  <c r="FQ181"/>
  <c r="FQ156"/>
  <c r="FN150"/>
  <c r="FN143"/>
  <c r="FN120"/>
  <c r="E505"/>
  <c r="H506" s="1"/>
  <c r="FN178"/>
  <c r="FN173"/>
  <c r="FN165"/>
  <c r="FN137"/>
  <c r="FN124"/>
  <c r="FN114"/>
  <c r="FL186"/>
  <c r="FL173"/>
  <c r="FL165"/>
  <c r="FL163"/>
  <c r="FL152"/>
  <c r="FL143"/>
  <c r="FL138"/>
  <c r="FL124"/>
  <c r="FL175"/>
  <c r="FL158"/>
  <c r="FL157"/>
  <c r="FL154"/>
  <c r="FL149"/>
  <c r="FL146"/>
  <c r="FL142"/>
  <c r="FL137"/>
  <c r="FL112"/>
  <c r="FG181"/>
  <c r="FG174"/>
  <c r="E491"/>
  <c r="X372"/>
  <c r="FG162"/>
  <c r="FG156"/>
  <c r="ER152"/>
  <c r="ER149"/>
  <c r="ER131"/>
  <c r="ER112"/>
  <c r="ER157"/>
  <c r="ER156"/>
  <c r="ER154"/>
  <c r="ER146"/>
  <c r="ER135"/>
  <c r="ER125"/>
  <c r="ER120"/>
  <c r="EP165"/>
  <c r="EP150"/>
  <c r="EP143"/>
  <c r="EP120"/>
  <c r="EP178"/>
  <c r="EP173"/>
  <c r="EP158"/>
  <c r="EP136"/>
  <c r="EP110"/>
  <c r="AA372"/>
  <c r="FJ182"/>
  <c r="FJ158"/>
  <c r="FJ150"/>
  <c r="FJ143"/>
  <c r="FJ142"/>
  <c r="FJ114"/>
  <c r="FJ159"/>
  <c r="FJ145"/>
  <c r="FJ137"/>
  <c r="FJ131"/>
  <c r="E487"/>
  <c r="H488" s="1"/>
  <c r="FE156"/>
  <c r="FC164"/>
  <c r="T372"/>
  <c r="T380" s="1"/>
  <c r="FC169"/>
  <c r="FC156"/>
  <c r="FC153"/>
  <c r="EZ186"/>
  <c r="EZ177"/>
  <c r="EZ170"/>
  <c r="EZ152"/>
  <c r="EZ145"/>
  <c r="EZ131"/>
  <c r="EZ116"/>
  <c r="E477"/>
  <c r="H478" s="1"/>
  <c r="Q372"/>
  <c r="Q374" s="1"/>
  <c r="EZ182"/>
  <c r="EZ154"/>
  <c r="EZ146"/>
  <c r="EZ137"/>
  <c r="EZ120"/>
  <c r="AK374"/>
  <c r="R372"/>
  <c r="FA174"/>
  <c r="FA181"/>
  <c r="FA162"/>
  <c r="FA156"/>
  <c r="EX157"/>
  <c r="EX150"/>
  <c r="EX143"/>
  <c r="EX120"/>
  <c r="E473"/>
  <c r="H472" s="1"/>
  <c r="EX178"/>
  <c r="EX165"/>
  <c r="EX159"/>
  <c r="EX137"/>
  <c r="EX124"/>
  <c r="EX114"/>
  <c r="EV165"/>
  <c r="EV163"/>
  <c r="EV152"/>
  <c r="EV156"/>
  <c r="EV154"/>
  <c r="EV149"/>
  <c r="EV146"/>
  <c r="EV138"/>
  <c r="EV137"/>
  <c r="EV112"/>
  <c r="FN90"/>
  <c r="ER90"/>
  <c r="FQ92"/>
  <c r="FN99"/>
  <c r="ER99"/>
  <c r="FQ101"/>
  <c r="FL102"/>
  <c r="FL104"/>
  <c r="FL131"/>
  <c r="FL135"/>
  <c r="FN136"/>
  <c r="FG143"/>
  <c r="FN152"/>
  <c r="FQ153"/>
  <c r="FN156"/>
  <c r="ER158"/>
  <c r="FG169"/>
  <c r="EP170"/>
  <c r="ER178"/>
  <c r="ER182"/>
  <c r="AE372"/>
  <c r="E511"/>
  <c r="H512" s="1"/>
  <c r="E501"/>
  <c r="H502" s="1"/>
  <c r="E461"/>
  <c r="H462" s="1"/>
  <c r="E457"/>
  <c r="FL88"/>
  <c r="FE89"/>
  <c r="FE90"/>
  <c r="FN92"/>
  <c r="ER92"/>
  <c r="FQ94"/>
  <c r="FJ94"/>
  <c r="FG94"/>
  <c r="FL96"/>
  <c r="FC96"/>
  <c r="EZ96"/>
  <c r="FQ98"/>
  <c r="FJ99"/>
  <c r="FG100"/>
  <c r="FL101"/>
  <c r="FG101"/>
  <c r="ER102"/>
  <c r="FQ103"/>
  <c r="FN104"/>
  <c r="ER104"/>
  <c r="FC105"/>
  <c r="FJ106"/>
  <c r="EZ106"/>
  <c r="EZ108"/>
  <c r="EZ112"/>
  <c r="ER116"/>
  <c r="FC117"/>
  <c r="FC118"/>
  <c r="FQ119"/>
  <c r="FC124"/>
  <c r="EZ124"/>
  <c r="EZ125"/>
  <c r="FG131"/>
  <c r="FJ136"/>
  <c r="EZ136"/>
  <c r="FQ137"/>
  <c r="FG137"/>
  <c r="FE137"/>
  <c r="FC137"/>
  <c r="ER137"/>
  <c r="FG139"/>
  <c r="FG140"/>
  <c r="FE141"/>
  <c r="FG145"/>
  <c r="FJ152"/>
  <c r="FG153"/>
  <c r="EZ157"/>
  <c r="FC158"/>
  <c r="FN159"/>
  <c r="FL162"/>
  <c r="ER163"/>
  <c r="FL164"/>
  <c r="FG165"/>
  <c r="FG170"/>
  <c r="FJ173"/>
  <c r="FG173"/>
  <c r="ER173"/>
  <c r="FJ175"/>
  <c r="ER175"/>
  <c r="EZ179"/>
  <c r="FE181"/>
  <c r="FC185"/>
  <c r="FQ186"/>
  <c r="FN186"/>
  <c r="FJ186"/>
  <c r="FG186"/>
  <c r="Y373"/>
  <c r="Y374"/>
  <c r="V372"/>
  <c r="V381" s="1"/>
  <c r="G372"/>
  <c r="G422" s="1"/>
  <c r="H514"/>
  <c r="E497"/>
  <c r="H498" s="1"/>
  <c r="E483"/>
  <c r="H484" s="1"/>
  <c r="M378"/>
  <c r="M377"/>
  <c r="AJ372"/>
  <c r="AJ379" s="1"/>
  <c r="FS164"/>
  <c r="FS162"/>
  <c r="FS139"/>
  <c r="FS180"/>
  <c r="FS169"/>
  <c r="FS156"/>
  <c r="FS153"/>
  <c r="AG372"/>
  <c r="AG377" s="1"/>
  <c r="FP152"/>
  <c r="FP145"/>
  <c r="FP143"/>
  <c r="FP131"/>
  <c r="FP116"/>
  <c r="E509"/>
  <c r="H508" s="1"/>
  <c r="FP157"/>
  <c r="FP154"/>
  <c r="FP146"/>
  <c r="FP137"/>
  <c r="FP120"/>
  <c r="K372"/>
  <c r="ET182"/>
  <c r="ET170"/>
  <c r="ET150"/>
  <c r="ET143"/>
  <c r="ET138"/>
  <c r="ET137"/>
  <c r="ET114"/>
  <c r="ET131"/>
  <c r="FL94"/>
  <c r="FQ99"/>
  <c r="FN101"/>
  <c r="EP102"/>
  <c r="FN106"/>
  <c r="FN116"/>
  <c r="FG119"/>
  <c r="ER132"/>
  <c r="ER138"/>
  <c r="FQ143"/>
  <c r="FL145"/>
  <c r="EP152"/>
  <c r="FL156"/>
  <c r="FQ162"/>
  <c r="FQ166"/>
  <c r="EP166"/>
  <c r="FQ173"/>
  <c r="FG178"/>
  <c r="FN88"/>
  <c r="EP88"/>
  <c r="FG89"/>
  <c r="FL90"/>
  <c r="FN94"/>
  <c r="ER94"/>
  <c r="FQ96"/>
  <c r="FG96"/>
  <c r="FN102"/>
  <c r="FG105"/>
  <c r="FL106"/>
  <c r="EP106"/>
  <c r="FL108"/>
  <c r="FN110"/>
  <c r="FG113"/>
  <c r="EP114"/>
  <c r="FL120"/>
  <c r="FG120"/>
  <c r="FL122"/>
  <c r="FL125"/>
  <c r="EP125"/>
  <c r="FN126"/>
  <c r="EP126"/>
  <c r="FL128"/>
  <c r="FN129"/>
  <c r="FE130"/>
  <c r="FQ131"/>
  <c r="EP137"/>
  <c r="FQ138"/>
  <c r="FN138"/>
  <c r="FJ138"/>
  <c r="FQ139"/>
  <c r="FL139"/>
  <c r="FC139"/>
  <c r="FQ140"/>
  <c r="FG141"/>
  <c r="FQ142"/>
  <c r="FN142"/>
  <c r="ER143"/>
  <c r="FC144"/>
  <c r="FQ145"/>
  <c r="FN146"/>
  <c r="EP146"/>
  <c r="FJ147"/>
  <c r="EP148"/>
  <c r="ER150"/>
  <c r="FN154"/>
  <c r="EP154"/>
  <c r="FG155"/>
  <c r="EP157"/>
  <c r="FQ158"/>
  <c r="FL159"/>
  <c r="FC159"/>
  <c r="EZ159"/>
  <c r="FC162"/>
  <c r="EZ162"/>
  <c r="FQ164"/>
  <c r="FN164"/>
  <c r="FQ170"/>
  <c r="FN170"/>
  <c r="FJ170"/>
  <c r="FE170"/>
  <c r="FE173"/>
  <c r="FN174"/>
  <c r="FC176"/>
  <c r="ER177"/>
  <c r="EZ180"/>
  <c r="ER180"/>
  <c r="FL182"/>
  <c r="FE182"/>
  <c r="FE186"/>
  <c r="ER187"/>
  <c r="AH372"/>
  <c r="AC372"/>
  <c r="AC422" s="1"/>
  <c r="FG109"/>
  <c r="FL110"/>
  <c r="EV110"/>
  <c r="FE115"/>
  <c r="FJ116"/>
  <c r="ET116"/>
  <c r="FG117"/>
  <c r="FG118"/>
  <c r="FS119"/>
  <c r="FC119"/>
  <c r="FS120"/>
  <c r="FC120"/>
  <c r="FP122"/>
  <c r="EZ122"/>
  <c r="ER122"/>
  <c r="FQ124"/>
  <c r="FA124"/>
  <c r="FN125"/>
  <c r="EX125"/>
  <c r="FJ126"/>
  <c r="ET126"/>
  <c r="EP129"/>
  <c r="FE131"/>
  <c r="FJ132"/>
  <c r="ET132"/>
  <c r="FN135"/>
  <c r="EX135"/>
  <c r="FL136"/>
  <c r="EV136"/>
  <c r="FC138"/>
  <c r="EZ138"/>
  <c r="FN139"/>
  <c r="EZ139"/>
  <c r="FS140"/>
  <c r="FC140"/>
  <c r="FQ141"/>
  <c r="FA141"/>
  <c r="FG142"/>
  <c r="FE145"/>
  <c r="FN147"/>
  <c r="EX147"/>
  <c r="EP147"/>
  <c r="FN148"/>
  <c r="EX148"/>
  <c r="EZ158"/>
  <c r="ET158"/>
  <c r="FS159"/>
  <c r="FP159"/>
  <c r="FG159"/>
  <c r="FL160"/>
  <c r="EZ161"/>
  <c r="FP162"/>
  <c r="FJ162"/>
  <c r="FE163"/>
  <c r="FG164"/>
  <c r="FE165"/>
  <c r="EZ167"/>
  <c r="EZ168"/>
  <c r="FL171"/>
  <c r="EV171"/>
  <c r="FC173"/>
  <c r="EZ173"/>
  <c r="ET173"/>
  <c r="EV175"/>
  <c r="FS176"/>
  <c r="FE176"/>
  <c r="EP177"/>
  <c r="FQ178"/>
  <c r="FE178"/>
  <c r="FA178"/>
  <c r="ET178"/>
  <c r="FP179"/>
  <c r="FP180"/>
  <c r="FQ182"/>
  <c r="FC182"/>
  <c r="ER183"/>
  <c r="FG185"/>
  <c r="FC186"/>
  <c r="ET186"/>
  <c r="FJ187"/>
  <c r="ER110"/>
  <c r="FQ111"/>
  <c r="FA111"/>
  <c r="FN112"/>
  <c r="EX112"/>
  <c r="FS113"/>
  <c r="FC113"/>
  <c r="FP114"/>
  <c r="EZ114"/>
  <c r="FE119"/>
  <c r="FQ120"/>
  <c r="FA120"/>
  <c r="FJ122"/>
  <c r="ET122"/>
  <c r="FG124"/>
  <c r="FJ125"/>
  <c r="ET125"/>
  <c r="FL126"/>
  <c r="EV126"/>
  <c r="ER128"/>
  <c r="FJ129"/>
  <c r="ET129"/>
  <c r="FQ130"/>
  <c r="FA130"/>
  <c r="FS131"/>
  <c r="FC131"/>
  <c r="FL132"/>
  <c r="EV132"/>
  <c r="FJ134"/>
  <c r="ET134"/>
  <c r="FJ135"/>
  <c r="ET135"/>
  <c r="ER136"/>
  <c r="FG138"/>
  <c r="FA138"/>
  <c r="FA139"/>
  <c r="EV139"/>
  <c r="ER139"/>
  <c r="FE140"/>
  <c r="FS141"/>
  <c r="FC141"/>
  <c r="FE142"/>
  <c r="FS145"/>
  <c r="FC145"/>
  <c r="FP147"/>
  <c r="EZ147"/>
  <c r="ER147"/>
  <c r="FN149"/>
  <c r="EX149"/>
  <c r="FG151"/>
  <c r="FE153"/>
  <c r="ET157"/>
  <c r="FS158"/>
  <c r="FP158"/>
  <c r="FG158"/>
  <c r="FA158"/>
  <c r="FQ159"/>
  <c r="FE159"/>
  <c r="FN160"/>
  <c r="FN162"/>
  <c r="FE162"/>
  <c r="EV162"/>
  <c r="EP162"/>
  <c r="FC163"/>
  <c r="EZ163"/>
  <c r="FP164"/>
  <c r="EZ164"/>
  <c r="ER164"/>
  <c r="FC165"/>
  <c r="EZ166"/>
  <c r="FE167"/>
  <c r="FJ167"/>
  <c r="FP168"/>
  <c r="FL170"/>
  <c r="FC170"/>
  <c r="FN171"/>
  <c r="EX171"/>
  <c r="EP171"/>
  <c r="FS173"/>
  <c r="FA173"/>
  <c r="FS174"/>
  <c r="FP174"/>
  <c r="FJ174"/>
  <c r="FP175"/>
  <c r="EZ175"/>
  <c r="FN177"/>
  <c r="FL178"/>
  <c r="FQ180"/>
  <c r="FC180"/>
  <c r="EX180"/>
  <c r="FN182"/>
  <c r="FG182"/>
  <c r="FA182"/>
  <c r="EX182"/>
  <c r="EV183"/>
  <c r="FS186"/>
  <c r="FN187"/>
  <c r="DF89"/>
  <c r="DH89"/>
  <c r="ER89" s="1"/>
  <c r="DJ89"/>
  <c r="ET89" s="1"/>
  <c r="DL89"/>
  <c r="EV89" s="1"/>
  <c r="DF93"/>
  <c r="DH93"/>
  <c r="ER93" s="1"/>
  <c r="DJ93"/>
  <c r="ET93" s="1"/>
  <c r="DL93"/>
  <c r="EV93" s="1"/>
  <c r="DN93"/>
  <c r="EX93" s="1"/>
  <c r="DP93"/>
  <c r="EZ93" s="1"/>
  <c r="DR93"/>
  <c r="FB93" s="1"/>
  <c r="DT93"/>
  <c r="FD93" s="1"/>
  <c r="DV93"/>
  <c r="FF93" s="1"/>
  <c r="DX93"/>
  <c r="FH93" s="1"/>
  <c r="DZ93"/>
  <c r="FJ93" s="1"/>
  <c r="EB93"/>
  <c r="FL93" s="1"/>
  <c r="ED93"/>
  <c r="FN93" s="1"/>
  <c r="EF93"/>
  <c r="FP93" s="1"/>
  <c r="EH93"/>
  <c r="FR93" s="1"/>
  <c r="EJ93"/>
  <c r="FT93" s="1"/>
  <c r="DF95"/>
  <c r="DH95"/>
  <c r="ER95" s="1"/>
  <c r="DJ95"/>
  <c r="ET95" s="1"/>
  <c r="DL95"/>
  <c r="EV95" s="1"/>
  <c r="DN95"/>
  <c r="EX95" s="1"/>
  <c r="DP95"/>
  <c r="EZ95" s="1"/>
  <c r="DR95"/>
  <c r="FB95" s="1"/>
  <c r="DT95"/>
  <c r="FD95" s="1"/>
  <c r="DV95"/>
  <c r="FF95" s="1"/>
  <c r="DX95"/>
  <c r="FH95" s="1"/>
  <c r="DZ95"/>
  <c r="FJ95" s="1"/>
  <c r="EB95"/>
  <c r="FL95" s="1"/>
  <c r="ED95"/>
  <c r="FN95" s="1"/>
  <c r="EF95"/>
  <c r="FP95" s="1"/>
  <c r="EH95"/>
  <c r="FR95" s="1"/>
  <c r="EJ95"/>
  <c r="FT95" s="1"/>
  <c r="DG121"/>
  <c r="EQ121" s="1"/>
  <c r="DI121"/>
  <c r="ES121" s="1"/>
  <c r="DK121"/>
  <c r="EU121" s="1"/>
  <c r="DM121"/>
  <c r="EW121" s="1"/>
  <c r="DO121"/>
  <c r="EY121" s="1"/>
  <c r="DQ121"/>
  <c r="FA121" s="1"/>
  <c r="DS121"/>
  <c r="FC121" s="1"/>
  <c r="DU121"/>
  <c r="FE121" s="1"/>
  <c r="DW121"/>
  <c r="FG121" s="1"/>
  <c r="DY121"/>
  <c r="FI121" s="1"/>
  <c r="EA121"/>
  <c r="FK121" s="1"/>
  <c r="EC121"/>
  <c r="FM121" s="1"/>
  <c r="EE121"/>
  <c r="FO121" s="1"/>
  <c r="EG121"/>
  <c r="FQ121" s="1"/>
  <c r="EI121"/>
  <c r="FS121" s="1"/>
  <c r="DN123"/>
  <c r="EX123" s="1"/>
  <c r="DP123"/>
  <c r="EZ123" s="1"/>
  <c r="DR123"/>
  <c r="FB123" s="1"/>
  <c r="DT123"/>
  <c r="FD123" s="1"/>
  <c r="DV123"/>
  <c r="FF123" s="1"/>
  <c r="DX123"/>
  <c r="FH123" s="1"/>
  <c r="DZ123"/>
  <c r="FJ123" s="1"/>
  <c r="EB123"/>
  <c r="FL123" s="1"/>
  <c r="ED123"/>
  <c r="FN123" s="1"/>
  <c r="EF123"/>
  <c r="FP123" s="1"/>
  <c r="EH123"/>
  <c r="FR123" s="1"/>
  <c r="EJ123"/>
  <c r="FT123" s="1"/>
  <c r="DN127"/>
  <c r="EX127" s="1"/>
  <c r="DP127"/>
  <c r="EZ127" s="1"/>
  <c r="DR127"/>
  <c r="FB127" s="1"/>
  <c r="DT127"/>
  <c r="FD127" s="1"/>
  <c r="DV127"/>
  <c r="FF127" s="1"/>
  <c r="DX127"/>
  <c r="FH127" s="1"/>
  <c r="DZ127"/>
  <c r="FJ127" s="1"/>
  <c r="EB127"/>
  <c r="FL127" s="1"/>
  <c r="ED127"/>
  <c r="FN127" s="1"/>
  <c r="EF127"/>
  <c r="FP127" s="1"/>
  <c r="EH127"/>
  <c r="FR127" s="1"/>
  <c r="EJ127"/>
  <c r="FT127" s="1"/>
  <c r="DC129"/>
  <c r="DE129"/>
  <c r="DG140"/>
  <c r="EQ140" s="1"/>
  <c r="DK140"/>
  <c r="EU140" s="1"/>
  <c r="DC149"/>
  <c r="DE149"/>
  <c r="EP149"/>
  <c r="DF172"/>
  <c r="DH172"/>
  <c r="ER172" s="1"/>
  <c r="DJ172"/>
  <c r="ET172" s="1"/>
  <c r="DL172"/>
  <c r="EV172" s="1"/>
  <c r="DN172"/>
  <c r="EX172" s="1"/>
  <c r="DP172"/>
  <c r="EZ172" s="1"/>
  <c r="DR172"/>
  <c r="FB172" s="1"/>
  <c r="DT172"/>
  <c r="FD172" s="1"/>
  <c r="DV172"/>
  <c r="FF172" s="1"/>
  <c r="DX172"/>
  <c r="FH172" s="1"/>
  <c r="DZ172"/>
  <c r="FJ172" s="1"/>
  <c r="EB172"/>
  <c r="FL172" s="1"/>
  <c r="ED172"/>
  <c r="FN172" s="1"/>
  <c r="EF172"/>
  <c r="FP172" s="1"/>
  <c r="EH172"/>
  <c r="FR172" s="1"/>
  <c r="EJ172"/>
  <c r="FT172" s="1"/>
  <c r="DG172"/>
  <c r="EQ172" s="1"/>
  <c r="DK172"/>
  <c r="EU172" s="1"/>
  <c r="DO172"/>
  <c r="EY172" s="1"/>
  <c r="DS172"/>
  <c r="FC172" s="1"/>
  <c r="DW172"/>
  <c r="FG172" s="1"/>
  <c r="EA172"/>
  <c r="FK172" s="1"/>
  <c r="EE172"/>
  <c r="FO172" s="1"/>
  <c r="EI172"/>
  <c r="FS172" s="1"/>
  <c r="DI172"/>
  <c r="ES172" s="1"/>
  <c r="DQ172"/>
  <c r="FA172" s="1"/>
  <c r="DY172"/>
  <c r="FI172" s="1"/>
  <c r="EG172"/>
  <c r="FQ172" s="1"/>
  <c r="EP192"/>
  <c r="FU192" s="1"/>
  <c r="EK192"/>
  <c r="DF98"/>
  <c r="DH98"/>
  <c r="DJ98"/>
  <c r="DL98"/>
  <c r="DN98"/>
  <c r="DP98"/>
  <c r="DR98"/>
  <c r="DT98"/>
  <c r="DV98"/>
  <c r="DX98"/>
  <c r="DZ98"/>
  <c r="EB98"/>
  <c r="ED98"/>
  <c r="EF98"/>
  <c r="EH98"/>
  <c r="EJ98"/>
  <c r="DF103"/>
  <c r="DH103"/>
  <c r="ER103" s="1"/>
  <c r="DJ103"/>
  <c r="ET103" s="1"/>
  <c r="DL103"/>
  <c r="EV103" s="1"/>
  <c r="DN103"/>
  <c r="EX103" s="1"/>
  <c r="DP103"/>
  <c r="EZ103" s="1"/>
  <c r="DR103"/>
  <c r="FB103" s="1"/>
  <c r="DT103"/>
  <c r="FD103" s="1"/>
  <c r="DV103"/>
  <c r="FF103" s="1"/>
  <c r="DX103"/>
  <c r="FH103" s="1"/>
  <c r="DZ103"/>
  <c r="FJ103" s="1"/>
  <c r="EB103"/>
  <c r="FL103" s="1"/>
  <c r="ED103"/>
  <c r="FN103" s="1"/>
  <c r="EF103"/>
  <c r="FP103" s="1"/>
  <c r="EH103"/>
  <c r="FR103" s="1"/>
  <c r="EJ103"/>
  <c r="FT103" s="1"/>
  <c r="DF111"/>
  <c r="DH111"/>
  <c r="ER111" s="1"/>
  <c r="DJ111"/>
  <c r="ET111" s="1"/>
  <c r="DL111"/>
  <c r="EV111" s="1"/>
  <c r="DN111"/>
  <c r="EX111" s="1"/>
  <c r="DP111"/>
  <c r="EZ111" s="1"/>
  <c r="DR111"/>
  <c r="FB111" s="1"/>
  <c r="DT111"/>
  <c r="FD111" s="1"/>
  <c r="DV111"/>
  <c r="FF111" s="1"/>
  <c r="DX111"/>
  <c r="FH111" s="1"/>
  <c r="DZ111"/>
  <c r="FJ111" s="1"/>
  <c r="EB111"/>
  <c r="FL111" s="1"/>
  <c r="ED111"/>
  <c r="FN111" s="1"/>
  <c r="EF111"/>
  <c r="FP111" s="1"/>
  <c r="EH111"/>
  <c r="FR111" s="1"/>
  <c r="EJ111"/>
  <c r="FT111" s="1"/>
  <c r="DF115"/>
  <c r="DH115"/>
  <c r="ER115" s="1"/>
  <c r="DJ115"/>
  <c r="ET115" s="1"/>
  <c r="DL115"/>
  <c r="EV115" s="1"/>
  <c r="DN115"/>
  <c r="EX115" s="1"/>
  <c r="DP115"/>
  <c r="EZ115" s="1"/>
  <c r="DR115"/>
  <c r="FB115" s="1"/>
  <c r="DT115"/>
  <c r="FD115" s="1"/>
  <c r="DV115"/>
  <c r="FF115" s="1"/>
  <c r="DX115"/>
  <c r="FH115" s="1"/>
  <c r="DZ115"/>
  <c r="FJ115" s="1"/>
  <c r="EB115"/>
  <c r="FL115" s="1"/>
  <c r="ED115"/>
  <c r="FN115" s="1"/>
  <c r="EF115"/>
  <c r="FP115" s="1"/>
  <c r="EH115"/>
  <c r="FR115" s="1"/>
  <c r="EJ115"/>
  <c r="FT115" s="1"/>
  <c r="DC121"/>
  <c r="DE121"/>
  <c r="DG128"/>
  <c r="DI128"/>
  <c r="DK128"/>
  <c r="DM128"/>
  <c r="DO128"/>
  <c r="DQ128"/>
  <c r="DS128"/>
  <c r="DU128"/>
  <c r="DW128"/>
  <c r="DY128"/>
  <c r="EA128"/>
  <c r="EC128"/>
  <c r="EE128"/>
  <c r="EG128"/>
  <c r="EI128"/>
  <c r="DN130"/>
  <c r="EX130" s="1"/>
  <c r="DP130"/>
  <c r="EZ130" s="1"/>
  <c r="DR130"/>
  <c r="FB130" s="1"/>
  <c r="DT130"/>
  <c r="FD130" s="1"/>
  <c r="DV130"/>
  <c r="FF130" s="1"/>
  <c r="DX130"/>
  <c r="FH130" s="1"/>
  <c r="DZ130"/>
  <c r="FJ130" s="1"/>
  <c r="EB130"/>
  <c r="FL130" s="1"/>
  <c r="ED130"/>
  <c r="FN130" s="1"/>
  <c r="EF130"/>
  <c r="FP130" s="1"/>
  <c r="EH130"/>
  <c r="FR130" s="1"/>
  <c r="EJ130"/>
  <c r="FT130" s="1"/>
  <c r="DG134"/>
  <c r="EQ134" s="1"/>
  <c r="DI134"/>
  <c r="ES134" s="1"/>
  <c r="DK134"/>
  <c r="EU134" s="1"/>
  <c r="DM134"/>
  <c r="EW134" s="1"/>
  <c r="DO134"/>
  <c r="EY134" s="1"/>
  <c r="DQ134"/>
  <c r="FA134" s="1"/>
  <c r="DS134"/>
  <c r="FC134" s="1"/>
  <c r="DU134"/>
  <c r="FE134" s="1"/>
  <c r="DW134"/>
  <c r="FG134" s="1"/>
  <c r="DY134"/>
  <c r="FI134" s="1"/>
  <c r="EA134"/>
  <c r="FK134" s="1"/>
  <c r="EC134"/>
  <c r="FM134" s="1"/>
  <c r="EE134"/>
  <c r="FO134" s="1"/>
  <c r="EG134"/>
  <c r="FQ134" s="1"/>
  <c r="EI134"/>
  <c r="FS134" s="1"/>
  <c r="DG160"/>
  <c r="EQ160" s="1"/>
  <c r="DI160"/>
  <c r="ES160" s="1"/>
  <c r="DK160"/>
  <c r="EU160" s="1"/>
  <c r="DM160"/>
  <c r="EW160" s="1"/>
  <c r="DO160"/>
  <c r="EY160" s="1"/>
  <c r="DQ160"/>
  <c r="FA160" s="1"/>
  <c r="DS160"/>
  <c r="FC160" s="1"/>
  <c r="DU160"/>
  <c r="FE160" s="1"/>
  <c r="DW160"/>
  <c r="FG160" s="1"/>
  <c r="DY160"/>
  <c r="FI160" s="1"/>
  <c r="EA160"/>
  <c r="FK160" s="1"/>
  <c r="EC160"/>
  <c r="FM160" s="1"/>
  <c r="EE160"/>
  <c r="FO160" s="1"/>
  <c r="EG160"/>
  <c r="FQ160" s="1"/>
  <c r="EI160"/>
  <c r="FS160" s="1"/>
  <c r="DH160"/>
  <c r="ER160" s="1"/>
  <c r="DP160"/>
  <c r="EZ160" s="1"/>
  <c r="DX160"/>
  <c r="FH160" s="1"/>
  <c r="EF160"/>
  <c r="FP160" s="1"/>
  <c r="DJ160"/>
  <c r="ET160" s="1"/>
  <c r="DR160"/>
  <c r="FB160" s="1"/>
  <c r="DZ160"/>
  <c r="FJ160" s="1"/>
  <c r="EH160"/>
  <c r="FR160" s="1"/>
  <c r="DF160"/>
  <c r="DV160"/>
  <c r="FF160" s="1"/>
  <c r="DT160"/>
  <c r="FD160" s="1"/>
  <c r="EJ160"/>
  <c r="FT160" s="1"/>
  <c r="DG161"/>
  <c r="EQ161" s="1"/>
  <c r="DI161"/>
  <c r="ES161" s="1"/>
  <c r="DK161"/>
  <c r="EU161" s="1"/>
  <c r="DM161"/>
  <c r="EW161" s="1"/>
  <c r="DO161"/>
  <c r="EY161" s="1"/>
  <c r="DQ161"/>
  <c r="FA161" s="1"/>
  <c r="DS161"/>
  <c r="FC161" s="1"/>
  <c r="DU161"/>
  <c r="FE161" s="1"/>
  <c r="DW161"/>
  <c r="FG161" s="1"/>
  <c r="DY161"/>
  <c r="FI161" s="1"/>
  <c r="EA161"/>
  <c r="FK161" s="1"/>
  <c r="EC161"/>
  <c r="FM161" s="1"/>
  <c r="EE161"/>
  <c r="FO161" s="1"/>
  <c r="EG161"/>
  <c r="FQ161" s="1"/>
  <c r="EI161"/>
  <c r="FS161" s="1"/>
  <c r="DJ161"/>
  <c r="ET161" s="1"/>
  <c r="DR161"/>
  <c r="FB161" s="1"/>
  <c r="DZ161"/>
  <c r="FJ161" s="1"/>
  <c r="EH161"/>
  <c r="FR161" s="1"/>
  <c r="DL161"/>
  <c r="EV161" s="1"/>
  <c r="DT161"/>
  <c r="FD161" s="1"/>
  <c r="EB161"/>
  <c r="FL161" s="1"/>
  <c r="EJ161"/>
  <c r="FT161" s="1"/>
  <c r="DN161"/>
  <c r="EX161" s="1"/>
  <c r="ED161"/>
  <c r="FN161" s="1"/>
  <c r="DH161"/>
  <c r="ER161" s="1"/>
  <c r="DX161"/>
  <c r="FH161" s="1"/>
  <c r="EK163"/>
  <c r="EP163"/>
  <c r="DC193"/>
  <c r="DE193"/>
  <c r="EP204"/>
  <c r="FU204" s="1"/>
  <c r="EK204"/>
  <c r="DG88"/>
  <c r="DI88"/>
  <c r="DK88"/>
  <c r="DM88"/>
  <c r="DO88"/>
  <c r="DQ88"/>
  <c r="DS88"/>
  <c r="DU88"/>
  <c r="DW88"/>
  <c r="DY88"/>
  <c r="EA88"/>
  <c r="EC88"/>
  <c r="EE88"/>
  <c r="EG88"/>
  <c r="EI88"/>
  <c r="DF100"/>
  <c r="DH100"/>
  <c r="ER100" s="1"/>
  <c r="DJ100"/>
  <c r="ET100" s="1"/>
  <c r="DL100"/>
  <c r="EV100" s="1"/>
  <c r="DF118"/>
  <c r="DH118"/>
  <c r="DJ118"/>
  <c r="DL118"/>
  <c r="EV118" s="1"/>
  <c r="DF119"/>
  <c r="DH119"/>
  <c r="ER119" s="1"/>
  <c r="DJ119"/>
  <c r="ET119" s="1"/>
  <c r="DL119"/>
  <c r="EV119" s="1"/>
  <c r="DN119"/>
  <c r="EX119" s="1"/>
  <c r="DP119"/>
  <c r="EZ119" s="1"/>
  <c r="DR119"/>
  <c r="FB119" s="1"/>
  <c r="DT119"/>
  <c r="FD119" s="1"/>
  <c r="DV119"/>
  <c r="FF119" s="1"/>
  <c r="DX119"/>
  <c r="FH119" s="1"/>
  <c r="DZ119"/>
  <c r="FJ119" s="1"/>
  <c r="EB119"/>
  <c r="FL119" s="1"/>
  <c r="ED119"/>
  <c r="FN119" s="1"/>
  <c r="EF119"/>
  <c r="FP119" s="1"/>
  <c r="EH119"/>
  <c r="FR119" s="1"/>
  <c r="EJ119"/>
  <c r="FT119" s="1"/>
  <c r="DG122"/>
  <c r="EQ122" s="1"/>
  <c r="DI122"/>
  <c r="ES122" s="1"/>
  <c r="DK122"/>
  <c r="EU122" s="1"/>
  <c r="DM122"/>
  <c r="EW122" s="1"/>
  <c r="DO122"/>
  <c r="EY122" s="1"/>
  <c r="DQ122"/>
  <c r="FA122" s="1"/>
  <c r="DS122"/>
  <c r="FC122" s="1"/>
  <c r="DU122"/>
  <c r="FE122" s="1"/>
  <c r="DW122"/>
  <c r="FG122" s="1"/>
  <c r="DY122"/>
  <c r="FI122" s="1"/>
  <c r="EA122"/>
  <c r="FK122" s="1"/>
  <c r="EC122"/>
  <c r="FM122" s="1"/>
  <c r="EE122"/>
  <c r="FO122" s="1"/>
  <c r="EG122"/>
  <c r="FQ122" s="1"/>
  <c r="EI122"/>
  <c r="FS122" s="1"/>
  <c r="DG126"/>
  <c r="EQ126" s="1"/>
  <c r="DI126"/>
  <c r="ES126" s="1"/>
  <c r="DK126"/>
  <c r="EU126" s="1"/>
  <c r="DM126"/>
  <c r="EW126" s="1"/>
  <c r="DO126"/>
  <c r="EY126" s="1"/>
  <c r="DQ126"/>
  <c r="FA126" s="1"/>
  <c r="DS126"/>
  <c r="FC126" s="1"/>
  <c r="DU126"/>
  <c r="FE126" s="1"/>
  <c r="DW126"/>
  <c r="FG126" s="1"/>
  <c r="DY126"/>
  <c r="FI126" s="1"/>
  <c r="EA126"/>
  <c r="FK126" s="1"/>
  <c r="EC126"/>
  <c r="FM126" s="1"/>
  <c r="EE126"/>
  <c r="FO126" s="1"/>
  <c r="EG126"/>
  <c r="FQ126" s="1"/>
  <c r="EI126"/>
  <c r="FS126" s="1"/>
  <c r="DC128"/>
  <c r="DE128"/>
  <c r="DG132"/>
  <c r="EQ132" s="1"/>
  <c r="DI132"/>
  <c r="ES132" s="1"/>
  <c r="DK132"/>
  <c r="EU132" s="1"/>
  <c r="DM132"/>
  <c r="EW132" s="1"/>
  <c r="DO132"/>
  <c r="EY132" s="1"/>
  <c r="DQ132"/>
  <c r="FA132" s="1"/>
  <c r="DS132"/>
  <c r="FC132" s="1"/>
  <c r="DU132"/>
  <c r="FE132" s="1"/>
  <c r="DW132"/>
  <c r="FG132" s="1"/>
  <c r="DY132"/>
  <c r="FI132" s="1"/>
  <c r="EA132"/>
  <c r="FK132" s="1"/>
  <c r="EC132"/>
  <c r="FM132" s="1"/>
  <c r="EE132"/>
  <c r="FO132" s="1"/>
  <c r="EG132"/>
  <c r="FQ132" s="1"/>
  <c r="EI132"/>
  <c r="FS132" s="1"/>
  <c r="DG135"/>
  <c r="EQ135" s="1"/>
  <c r="DI135"/>
  <c r="ES135" s="1"/>
  <c r="DK135"/>
  <c r="EU135" s="1"/>
  <c r="DM135"/>
  <c r="EW135" s="1"/>
  <c r="DO135"/>
  <c r="EY135" s="1"/>
  <c r="DQ135"/>
  <c r="FA135" s="1"/>
  <c r="DS135"/>
  <c r="FC135" s="1"/>
  <c r="DU135"/>
  <c r="FE135" s="1"/>
  <c r="DW135"/>
  <c r="FG135" s="1"/>
  <c r="DY135"/>
  <c r="FI135" s="1"/>
  <c r="EA135"/>
  <c r="FK135" s="1"/>
  <c r="EC135"/>
  <c r="FM135" s="1"/>
  <c r="EE135"/>
  <c r="FO135" s="1"/>
  <c r="EG135"/>
  <c r="FQ135" s="1"/>
  <c r="EI135"/>
  <c r="FS135" s="1"/>
  <c r="EP139"/>
  <c r="DG141"/>
  <c r="EQ141" s="1"/>
  <c r="DK141"/>
  <c r="EU141" s="1"/>
  <c r="DF142"/>
  <c r="DH142"/>
  <c r="ER142" s="1"/>
  <c r="DJ142"/>
  <c r="ET142" s="1"/>
  <c r="DL142"/>
  <c r="EV142" s="1"/>
  <c r="DG142"/>
  <c r="EQ142" s="1"/>
  <c r="DK142"/>
  <c r="EU142" s="1"/>
  <c r="DN144"/>
  <c r="EX144" s="1"/>
  <c r="DP144"/>
  <c r="EZ144" s="1"/>
  <c r="DR144"/>
  <c r="FB144" s="1"/>
  <c r="DT144"/>
  <c r="FD144" s="1"/>
  <c r="DV144"/>
  <c r="FF144" s="1"/>
  <c r="DX144"/>
  <c r="FH144" s="1"/>
  <c r="DZ144"/>
  <c r="FJ144" s="1"/>
  <c r="EB144"/>
  <c r="FL144" s="1"/>
  <c r="ED144"/>
  <c r="FN144" s="1"/>
  <c r="EF144"/>
  <c r="FP144" s="1"/>
  <c r="EH144"/>
  <c r="FR144" s="1"/>
  <c r="EJ144"/>
  <c r="FT144" s="1"/>
  <c r="DI144"/>
  <c r="ES144" s="1"/>
  <c r="DM144"/>
  <c r="EW144" s="1"/>
  <c r="DQ144"/>
  <c r="FA144" s="1"/>
  <c r="DU144"/>
  <c r="FE144" s="1"/>
  <c r="DY144"/>
  <c r="FI144" s="1"/>
  <c r="EC144"/>
  <c r="FM144" s="1"/>
  <c r="EG144"/>
  <c r="FQ144" s="1"/>
  <c r="DF145"/>
  <c r="DH145"/>
  <c r="ER145" s="1"/>
  <c r="DJ145"/>
  <c r="ET145" s="1"/>
  <c r="DL145"/>
  <c r="EV145" s="1"/>
  <c r="DG145"/>
  <c r="EQ145" s="1"/>
  <c r="DK145"/>
  <c r="EU145" s="1"/>
  <c r="DG148"/>
  <c r="DI148"/>
  <c r="ES148" s="1"/>
  <c r="DK148"/>
  <c r="EU148" s="1"/>
  <c r="DM148"/>
  <c r="EW148" s="1"/>
  <c r="DO148"/>
  <c r="DQ148"/>
  <c r="DS148"/>
  <c r="DU148"/>
  <c r="DW148"/>
  <c r="DY148"/>
  <c r="EA148"/>
  <c r="EC148"/>
  <c r="EE148"/>
  <c r="EG148"/>
  <c r="EI148"/>
  <c r="DH148"/>
  <c r="DL148"/>
  <c r="EV148" s="1"/>
  <c r="DP148"/>
  <c r="DT148"/>
  <c r="DX148"/>
  <c r="EB148"/>
  <c r="EF148"/>
  <c r="EJ148"/>
  <c r="DC161"/>
  <c r="DE161"/>
  <c r="DJ166"/>
  <c r="ET166" s="1"/>
  <c r="DM166"/>
  <c r="EW166" s="1"/>
  <c r="DR166"/>
  <c r="FB166" s="1"/>
  <c r="DU166"/>
  <c r="FE166" s="1"/>
  <c r="DZ166"/>
  <c r="FJ166" s="1"/>
  <c r="EC166"/>
  <c r="FM166" s="1"/>
  <c r="EH166"/>
  <c r="FR166" s="1"/>
  <c r="DO166"/>
  <c r="EY166" s="1"/>
  <c r="DT166"/>
  <c r="FD166" s="1"/>
  <c r="DW166"/>
  <c r="FG166" s="1"/>
  <c r="EB166"/>
  <c r="FL166" s="1"/>
  <c r="EE166"/>
  <c r="FO166" s="1"/>
  <c r="EJ166"/>
  <c r="FT166" s="1"/>
  <c r="DI166"/>
  <c r="ES166" s="1"/>
  <c r="DN166"/>
  <c r="EX166" s="1"/>
  <c r="DY166"/>
  <c r="FI166" s="1"/>
  <c r="ED166"/>
  <c r="FN166" s="1"/>
  <c r="DH166"/>
  <c r="ER166" s="1"/>
  <c r="DS166"/>
  <c r="FC166" s="1"/>
  <c r="DX166"/>
  <c r="FH166" s="1"/>
  <c r="EI166"/>
  <c r="FS166" s="1"/>
  <c r="DG167"/>
  <c r="EQ167" s="1"/>
  <c r="DL167"/>
  <c r="EV167" s="1"/>
  <c r="DF167"/>
  <c r="DI167"/>
  <c r="ES167" s="1"/>
  <c r="DH167"/>
  <c r="ER167" s="1"/>
  <c r="DM167"/>
  <c r="EW167" s="1"/>
  <c r="DM89"/>
  <c r="EW89" s="1"/>
  <c r="DI89"/>
  <c r="ES89" s="1"/>
  <c r="DE90"/>
  <c r="EK90"/>
  <c r="EI91"/>
  <c r="FS91" s="1"/>
  <c r="EE91"/>
  <c r="FO91" s="1"/>
  <c r="EA91"/>
  <c r="FK91" s="1"/>
  <c r="DW91"/>
  <c r="FG91" s="1"/>
  <c r="DS91"/>
  <c r="FC91" s="1"/>
  <c r="DO91"/>
  <c r="EY91" s="1"/>
  <c r="DK91"/>
  <c r="DE92"/>
  <c r="EK92"/>
  <c r="EI93"/>
  <c r="FS93" s="1"/>
  <c r="EE93"/>
  <c r="FO93" s="1"/>
  <c r="EA93"/>
  <c r="FK93" s="1"/>
  <c r="DW93"/>
  <c r="FG93" s="1"/>
  <c r="DS93"/>
  <c r="FC93" s="1"/>
  <c r="DO93"/>
  <c r="EY93" s="1"/>
  <c r="DK93"/>
  <c r="EU93" s="1"/>
  <c r="DG93"/>
  <c r="EQ93" s="1"/>
  <c r="DE94"/>
  <c r="EK94"/>
  <c r="EI95"/>
  <c r="FS95" s="1"/>
  <c r="EE95"/>
  <c r="FO95" s="1"/>
  <c r="EA95"/>
  <c r="FK95" s="1"/>
  <c r="DW95"/>
  <c r="FG95" s="1"/>
  <c r="DS95"/>
  <c r="FC95" s="1"/>
  <c r="DO95"/>
  <c r="EY95" s="1"/>
  <c r="DK95"/>
  <c r="EU95" s="1"/>
  <c r="DG95"/>
  <c r="EQ95" s="1"/>
  <c r="DE96"/>
  <c r="EK96"/>
  <c r="EI97"/>
  <c r="FS97" s="1"/>
  <c r="EE97"/>
  <c r="FO97" s="1"/>
  <c r="EA97"/>
  <c r="FK97" s="1"/>
  <c r="DW97"/>
  <c r="FG97" s="1"/>
  <c r="DS97"/>
  <c r="FC97" s="1"/>
  <c r="DO97"/>
  <c r="EY97" s="1"/>
  <c r="DK97"/>
  <c r="EU97" s="1"/>
  <c r="EK120"/>
  <c r="EH121"/>
  <c r="FR121" s="1"/>
  <c r="ED121"/>
  <c r="FN121" s="1"/>
  <c r="DZ121"/>
  <c r="FJ121" s="1"/>
  <c r="DV121"/>
  <c r="FF121" s="1"/>
  <c r="DR121"/>
  <c r="FB121" s="1"/>
  <c r="DN121"/>
  <c r="EX121" s="1"/>
  <c r="DJ121"/>
  <c r="ET121" s="1"/>
  <c r="DF121"/>
  <c r="EI123"/>
  <c r="FS123" s="1"/>
  <c r="EE123"/>
  <c r="FO123" s="1"/>
  <c r="EA123"/>
  <c r="FK123" s="1"/>
  <c r="DW123"/>
  <c r="FG123" s="1"/>
  <c r="DS123"/>
  <c r="FC123" s="1"/>
  <c r="DO123"/>
  <c r="EY123" s="1"/>
  <c r="DK123"/>
  <c r="DG123"/>
  <c r="EQ123" s="1"/>
  <c r="DM124"/>
  <c r="EW124" s="1"/>
  <c r="DE125"/>
  <c r="EI127"/>
  <c r="FS127" s="1"/>
  <c r="EE127"/>
  <c r="FO127" s="1"/>
  <c r="EA127"/>
  <c r="FK127" s="1"/>
  <c r="DW127"/>
  <c r="FG127" s="1"/>
  <c r="DS127"/>
  <c r="FC127" s="1"/>
  <c r="DO127"/>
  <c r="EY127" s="1"/>
  <c r="DK127"/>
  <c r="EU127" s="1"/>
  <c r="DG127"/>
  <c r="EQ127" s="1"/>
  <c r="EI133"/>
  <c r="FS133" s="1"/>
  <c r="EE133"/>
  <c r="FO133" s="1"/>
  <c r="EA133"/>
  <c r="FK133" s="1"/>
  <c r="DW133"/>
  <c r="FG133" s="1"/>
  <c r="DS133"/>
  <c r="FC133" s="1"/>
  <c r="DO133"/>
  <c r="EY133" s="1"/>
  <c r="DK133"/>
  <c r="EU133" s="1"/>
  <c r="DE134"/>
  <c r="EP134"/>
  <c r="DM140"/>
  <c r="EW140" s="1"/>
  <c r="EC172"/>
  <c r="FM172" s="1"/>
  <c r="DM172"/>
  <c r="EW172" s="1"/>
  <c r="EP90"/>
  <c r="EP92"/>
  <c r="EP94"/>
  <c r="EP96"/>
  <c r="EI98"/>
  <c r="EE98"/>
  <c r="EA98"/>
  <c r="DW98"/>
  <c r="DS98"/>
  <c r="DO98"/>
  <c r="DK98"/>
  <c r="DG98"/>
  <c r="DE99"/>
  <c r="EP99"/>
  <c r="EG100"/>
  <c r="FQ100" s="1"/>
  <c r="EC100"/>
  <c r="FM100" s="1"/>
  <c r="DY100"/>
  <c r="FI100" s="1"/>
  <c r="DU100"/>
  <c r="FE100" s="1"/>
  <c r="DQ100"/>
  <c r="FA100" s="1"/>
  <c r="DM100"/>
  <c r="EW100" s="1"/>
  <c r="DK101"/>
  <c r="EU101" s="1"/>
  <c r="EI103"/>
  <c r="FS103" s="1"/>
  <c r="EE103"/>
  <c r="FO103" s="1"/>
  <c r="EA103"/>
  <c r="FK103" s="1"/>
  <c r="DW103"/>
  <c r="FG103" s="1"/>
  <c r="DS103"/>
  <c r="FC103" s="1"/>
  <c r="DO103"/>
  <c r="EY103" s="1"/>
  <c r="DK103"/>
  <c r="EU103" s="1"/>
  <c r="DG103"/>
  <c r="EQ103" s="1"/>
  <c r="DE104"/>
  <c r="EP104"/>
  <c r="EG105"/>
  <c r="FQ105" s="1"/>
  <c r="EC105"/>
  <c r="FM105" s="1"/>
  <c r="DY105"/>
  <c r="FI105" s="1"/>
  <c r="DU105"/>
  <c r="FE105" s="1"/>
  <c r="DQ105"/>
  <c r="FA105" s="1"/>
  <c r="DM105"/>
  <c r="EW105" s="1"/>
  <c r="EI107"/>
  <c r="FS107" s="1"/>
  <c r="EE107"/>
  <c r="FO107" s="1"/>
  <c r="EA107"/>
  <c r="FK107" s="1"/>
  <c r="DW107"/>
  <c r="FG107" s="1"/>
  <c r="DS107"/>
  <c r="FC107" s="1"/>
  <c r="DK107"/>
  <c r="EU107" s="1"/>
  <c r="DE108"/>
  <c r="EP108"/>
  <c r="EG109"/>
  <c r="FQ109" s="1"/>
  <c r="EC109"/>
  <c r="FM109" s="1"/>
  <c r="DY109"/>
  <c r="FI109" s="1"/>
  <c r="DU109"/>
  <c r="FE109" s="1"/>
  <c r="DQ109"/>
  <c r="FA109" s="1"/>
  <c r="DM109"/>
  <c r="EW109" s="1"/>
  <c r="EI111"/>
  <c r="FS111" s="1"/>
  <c r="EE111"/>
  <c r="FO111" s="1"/>
  <c r="EA111"/>
  <c r="FK111" s="1"/>
  <c r="DW111"/>
  <c r="FG111" s="1"/>
  <c r="DS111"/>
  <c r="FC111" s="1"/>
  <c r="DO111"/>
  <c r="EY111" s="1"/>
  <c r="DK111"/>
  <c r="EU111" s="1"/>
  <c r="DG111"/>
  <c r="EQ111" s="1"/>
  <c r="DE112"/>
  <c r="EP112"/>
  <c r="EG113"/>
  <c r="FQ113" s="1"/>
  <c r="EC113"/>
  <c r="FM113" s="1"/>
  <c r="DY113"/>
  <c r="FI113" s="1"/>
  <c r="DU113"/>
  <c r="FE113" s="1"/>
  <c r="DQ113"/>
  <c r="FA113" s="1"/>
  <c r="DM113"/>
  <c r="EW113" s="1"/>
  <c r="EI115"/>
  <c r="FS115" s="1"/>
  <c r="EE115"/>
  <c r="FO115" s="1"/>
  <c r="EA115"/>
  <c r="FK115" s="1"/>
  <c r="DW115"/>
  <c r="FG115" s="1"/>
  <c r="DS115"/>
  <c r="FC115" s="1"/>
  <c r="DO115"/>
  <c r="EY115" s="1"/>
  <c r="DK115"/>
  <c r="EU115" s="1"/>
  <c r="DG115"/>
  <c r="EQ115" s="1"/>
  <c r="DE116"/>
  <c r="EP116"/>
  <c r="EG117"/>
  <c r="FQ117" s="1"/>
  <c r="EC117"/>
  <c r="FM117" s="1"/>
  <c r="DY117"/>
  <c r="FI117" s="1"/>
  <c r="DU117"/>
  <c r="FE117" s="1"/>
  <c r="DQ117"/>
  <c r="FA117" s="1"/>
  <c r="DM117"/>
  <c r="EW117" s="1"/>
  <c r="EG118"/>
  <c r="EC118"/>
  <c r="DY118"/>
  <c r="DU118"/>
  <c r="DQ118"/>
  <c r="DM118"/>
  <c r="DK119"/>
  <c r="EU119" s="1"/>
  <c r="EH128"/>
  <c r="ED128"/>
  <c r="DZ128"/>
  <c r="DV128"/>
  <c r="DR128"/>
  <c r="DN128"/>
  <c r="DJ128"/>
  <c r="DF128"/>
  <c r="EJ129"/>
  <c r="FT129" s="1"/>
  <c r="EF129"/>
  <c r="FP129" s="1"/>
  <c r="EB129"/>
  <c r="FL129" s="1"/>
  <c r="DX129"/>
  <c r="FH129" s="1"/>
  <c r="DT129"/>
  <c r="FD129" s="1"/>
  <c r="DP129"/>
  <c r="EZ129" s="1"/>
  <c r="DL129"/>
  <c r="EV129" s="1"/>
  <c r="EI130"/>
  <c r="FS130" s="1"/>
  <c r="EE130"/>
  <c r="FO130" s="1"/>
  <c r="EA130"/>
  <c r="FK130" s="1"/>
  <c r="DW130"/>
  <c r="FG130" s="1"/>
  <c r="DS130"/>
  <c r="FC130" s="1"/>
  <c r="DO130"/>
  <c r="EY130" s="1"/>
  <c r="DK130"/>
  <c r="EU130" s="1"/>
  <c r="EJ134"/>
  <c r="FT134" s="1"/>
  <c r="EF134"/>
  <c r="FP134" s="1"/>
  <c r="EB134"/>
  <c r="FL134" s="1"/>
  <c r="DX134"/>
  <c r="FH134" s="1"/>
  <c r="DT134"/>
  <c r="FD134" s="1"/>
  <c r="DP134"/>
  <c r="EZ134" s="1"/>
  <c r="DL134"/>
  <c r="EV134" s="1"/>
  <c r="DH134"/>
  <c r="ER134" s="1"/>
  <c r="DE135"/>
  <c r="EP135"/>
  <c r="EI151"/>
  <c r="FS151" s="1"/>
  <c r="EA151"/>
  <c r="FK151" s="1"/>
  <c r="DS151"/>
  <c r="FC151" s="1"/>
  <c r="EI155"/>
  <c r="FS155" s="1"/>
  <c r="EA155"/>
  <c r="FK155" s="1"/>
  <c r="DS155"/>
  <c r="FC155" s="1"/>
  <c r="DL160"/>
  <c r="EV160" s="1"/>
  <c r="DF161"/>
  <c r="DF91"/>
  <c r="DH91"/>
  <c r="ER91" s="1"/>
  <c r="DJ91"/>
  <c r="ET91" s="1"/>
  <c r="DL91"/>
  <c r="EV91" s="1"/>
  <c r="DN91"/>
  <c r="EX91" s="1"/>
  <c r="DP91"/>
  <c r="EZ91" s="1"/>
  <c r="DR91"/>
  <c r="FB91" s="1"/>
  <c r="DT91"/>
  <c r="FD91" s="1"/>
  <c r="DV91"/>
  <c r="FF91" s="1"/>
  <c r="DX91"/>
  <c r="FH91" s="1"/>
  <c r="DZ91"/>
  <c r="FJ91" s="1"/>
  <c r="EB91"/>
  <c r="FL91" s="1"/>
  <c r="ED91"/>
  <c r="FN91" s="1"/>
  <c r="EF91"/>
  <c r="FP91" s="1"/>
  <c r="EH91"/>
  <c r="FR91" s="1"/>
  <c r="EJ91"/>
  <c r="FT91" s="1"/>
  <c r="DF97"/>
  <c r="DH97"/>
  <c r="ER97" s="1"/>
  <c r="DJ97"/>
  <c r="ET97" s="1"/>
  <c r="DL97"/>
  <c r="EV97" s="1"/>
  <c r="DN97"/>
  <c r="EX97" s="1"/>
  <c r="DP97"/>
  <c r="EZ97" s="1"/>
  <c r="DR97"/>
  <c r="FB97" s="1"/>
  <c r="DT97"/>
  <c r="FD97" s="1"/>
  <c r="DV97"/>
  <c r="FF97" s="1"/>
  <c r="DX97"/>
  <c r="FH97" s="1"/>
  <c r="DZ97"/>
  <c r="FJ97" s="1"/>
  <c r="EB97"/>
  <c r="FL97" s="1"/>
  <c r="ED97"/>
  <c r="FN97" s="1"/>
  <c r="EF97"/>
  <c r="FP97" s="1"/>
  <c r="EH97"/>
  <c r="FR97" s="1"/>
  <c r="EJ97"/>
  <c r="FT97" s="1"/>
  <c r="DF124"/>
  <c r="DH124"/>
  <c r="ER124" s="1"/>
  <c r="DJ124"/>
  <c r="ET124" s="1"/>
  <c r="DL124"/>
  <c r="EV124" s="1"/>
  <c r="DF130"/>
  <c r="DH130"/>
  <c r="ER130" s="1"/>
  <c r="DJ130"/>
  <c r="ET130" s="1"/>
  <c r="DL130"/>
  <c r="EV130" s="1"/>
  <c r="DF133"/>
  <c r="DH133"/>
  <c r="ER133" s="1"/>
  <c r="DJ133"/>
  <c r="ET133" s="1"/>
  <c r="DL133"/>
  <c r="EV133" s="1"/>
  <c r="DN133"/>
  <c r="EX133" s="1"/>
  <c r="DP133"/>
  <c r="EZ133" s="1"/>
  <c r="DR133"/>
  <c r="FB133" s="1"/>
  <c r="DT133"/>
  <c r="FD133" s="1"/>
  <c r="DV133"/>
  <c r="FF133" s="1"/>
  <c r="DX133"/>
  <c r="FH133" s="1"/>
  <c r="DZ133"/>
  <c r="FJ133" s="1"/>
  <c r="EB133"/>
  <c r="FL133" s="1"/>
  <c r="ED133"/>
  <c r="FN133" s="1"/>
  <c r="EF133"/>
  <c r="FP133" s="1"/>
  <c r="EH133"/>
  <c r="FR133" s="1"/>
  <c r="EJ133"/>
  <c r="FT133" s="1"/>
  <c r="DC88"/>
  <c r="DE88"/>
  <c r="DN100"/>
  <c r="EX100" s="1"/>
  <c r="DP100"/>
  <c r="EZ100" s="1"/>
  <c r="DR100"/>
  <c r="FB100" s="1"/>
  <c r="DT100"/>
  <c r="FD100" s="1"/>
  <c r="DV100"/>
  <c r="FF100" s="1"/>
  <c r="DX100"/>
  <c r="FH100" s="1"/>
  <c r="DZ100"/>
  <c r="FJ100" s="1"/>
  <c r="EB100"/>
  <c r="FL100" s="1"/>
  <c r="ED100"/>
  <c r="FN100" s="1"/>
  <c r="EF100"/>
  <c r="FP100" s="1"/>
  <c r="EH100"/>
  <c r="FR100" s="1"/>
  <c r="EJ100"/>
  <c r="FT100" s="1"/>
  <c r="DF101"/>
  <c r="DH101"/>
  <c r="ER101" s="1"/>
  <c r="DJ101"/>
  <c r="ET101" s="1"/>
  <c r="DL101"/>
  <c r="EV101" s="1"/>
  <c r="DF105"/>
  <c r="DH105"/>
  <c r="ER105" s="1"/>
  <c r="DJ105"/>
  <c r="ET105" s="1"/>
  <c r="DL105"/>
  <c r="EV105" s="1"/>
  <c r="DN105"/>
  <c r="EX105" s="1"/>
  <c r="DP105"/>
  <c r="EZ105" s="1"/>
  <c r="DR105"/>
  <c r="FB105" s="1"/>
  <c r="DT105"/>
  <c r="FD105" s="1"/>
  <c r="DV105"/>
  <c r="FF105" s="1"/>
  <c r="DX105"/>
  <c r="FH105" s="1"/>
  <c r="DZ105"/>
  <c r="FJ105" s="1"/>
  <c r="EB105"/>
  <c r="FL105" s="1"/>
  <c r="ED105"/>
  <c r="FN105" s="1"/>
  <c r="EF105"/>
  <c r="FP105" s="1"/>
  <c r="EH105"/>
  <c r="FR105" s="1"/>
  <c r="EJ105"/>
  <c r="FT105" s="1"/>
  <c r="DF109"/>
  <c r="DH109"/>
  <c r="ER109" s="1"/>
  <c r="DJ109"/>
  <c r="ET109" s="1"/>
  <c r="DL109"/>
  <c r="EV109" s="1"/>
  <c r="DN109"/>
  <c r="EX109" s="1"/>
  <c r="DP109"/>
  <c r="EZ109" s="1"/>
  <c r="DR109"/>
  <c r="FB109" s="1"/>
  <c r="DT109"/>
  <c r="FD109" s="1"/>
  <c r="DV109"/>
  <c r="FF109" s="1"/>
  <c r="DX109"/>
  <c r="FH109" s="1"/>
  <c r="DZ109"/>
  <c r="FJ109" s="1"/>
  <c r="EB109"/>
  <c r="FL109" s="1"/>
  <c r="ED109"/>
  <c r="FN109" s="1"/>
  <c r="EF109"/>
  <c r="FP109" s="1"/>
  <c r="EH109"/>
  <c r="FR109" s="1"/>
  <c r="EJ109"/>
  <c r="FT109" s="1"/>
  <c r="DF113"/>
  <c r="DH113"/>
  <c r="ER113" s="1"/>
  <c r="DJ113"/>
  <c r="ET113" s="1"/>
  <c r="DL113"/>
  <c r="EV113" s="1"/>
  <c r="DN113"/>
  <c r="EX113" s="1"/>
  <c r="DP113"/>
  <c r="EZ113" s="1"/>
  <c r="DR113"/>
  <c r="FB113" s="1"/>
  <c r="DT113"/>
  <c r="FD113" s="1"/>
  <c r="DV113"/>
  <c r="FF113" s="1"/>
  <c r="DX113"/>
  <c r="FH113" s="1"/>
  <c r="DZ113"/>
  <c r="FJ113" s="1"/>
  <c r="EB113"/>
  <c r="FL113" s="1"/>
  <c r="ED113"/>
  <c r="FN113" s="1"/>
  <c r="EF113"/>
  <c r="FP113" s="1"/>
  <c r="EH113"/>
  <c r="FR113" s="1"/>
  <c r="EJ113"/>
  <c r="FT113" s="1"/>
  <c r="DF117"/>
  <c r="DH117"/>
  <c r="ER117" s="1"/>
  <c r="DJ117"/>
  <c r="ET117" s="1"/>
  <c r="DL117"/>
  <c r="EV117" s="1"/>
  <c r="DN117"/>
  <c r="EX117" s="1"/>
  <c r="DP117"/>
  <c r="EZ117" s="1"/>
  <c r="DR117"/>
  <c r="FB117" s="1"/>
  <c r="DT117"/>
  <c r="FD117" s="1"/>
  <c r="DV117"/>
  <c r="FF117" s="1"/>
  <c r="DX117"/>
  <c r="FH117" s="1"/>
  <c r="DZ117"/>
  <c r="FJ117" s="1"/>
  <c r="EB117"/>
  <c r="FL117" s="1"/>
  <c r="ED117"/>
  <c r="FN117" s="1"/>
  <c r="EF117"/>
  <c r="FP117" s="1"/>
  <c r="EH117"/>
  <c r="FR117" s="1"/>
  <c r="EJ117"/>
  <c r="FT117" s="1"/>
  <c r="DN118"/>
  <c r="DP118"/>
  <c r="DR118"/>
  <c r="DT118"/>
  <c r="DV118"/>
  <c r="DX118"/>
  <c r="DZ118"/>
  <c r="EB118"/>
  <c r="ED118"/>
  <c r="EF118"/>
  <c r="EH118"/>
  <c r="EJ118"/>
  <c r="DC122"/>
  <c r="DE122"/>
  <c r="DF123"/>
  <c r="DH123"/>
  <c r="ER123" s="1"/>
  <c r="DJ123"/>
  <c r="ET123" s="1"/>
  <c r="DL123"/>
  <c r="DC126"/>
  <c r="DE126"/>
  <c r="DF127"/>
  <c r="DH127"/>
  <c r="ER127" s="1"/>
  <c r="DJ127"/>
  <c r="ET127" s="1"/>
  <c r="DL127"/>
  <c r="EV127" s="1"/>
  <c r="DG129"/>
  <c r="EQ129" s="1"/>
  <c r="DI129"/>
  <c r="ES129" s="1"/>
  <c r="DK129"/>
  <c r="EU129" s="1"/>
  <c r="DM129"/>
  <c r="EW129" s="1"/>
  <c r="DO129"/>
  <c r="EY129" s="1"/>
  <c r="DQ129"/>
  <c r="FA129" s="1"/>
  <c r="DS129"/>
  <c r="FC129" s="1"/>
  <c r="DU129"/>
  <c r="FE129" s="1"/>
  <c r="DW129"/>
  <c r="FG129" s="1"/>
  <c r="DY129"/>
  <c r="FI129" s="1"/>
  <c r="EA129"/>
  <c r="FK129" s="1"/>
  <c r="EC129"/>
  <c r="FM129" s="1"/>
  <c r="EE129"/>
  <c r="FO129" s="1"/>
  <c r="EG129"/>
  <c r="FQ129" s="1"/>
  <c r="EI129"/>
  <c r="FS129" s="1"/>
  <c r="DC132"/>
  <c r="DE132"/>
  <c r="DC138"/>
  <c r="DE138"/>
  <c r="EK138"/>
  <c r="EP138"/>
  <c r="DC148"/>
  <c r="DE148"/>
  <c r="DF151"/>
  <c r="DH151"/>
  <c r="ER151" s="1"/>
  <c r="DJ151"/>
  <c r="ET151" s="1"/>
  <c r="DL151"/>
  <c r="EV151" s="1"/>
  <c r="DN151"/>
  <c r="EX151" s="1"/>
  <c r="DP151"/>
  <c r="EZ151" s="1"/>
  <c r="DR151"/>
  <c r="FB151" s="1"/>
  <c r="DT151"/>
  <c r="FD151" s="1"/>
  <c r="DV151"/>
  <c r="FF151" s="1"/>
  <c r="DX151"/>
  <c r="FH151" s="1"/>
  <c r="DZ151"/>
  <c r="FJ151" s="1"/>
  <c r="EB151"/>
  <c r="FL151" s="1"/>
  <c r="ED151"/>
  <c r="FN151" s="1"/>
  <c r="EF151"/>
  <c r="FP151" s="1"/>
  <c r="EH151"/>
  <c r="FR151" s="1"/>
  <c r="EJ151"/>
  <c r="FT151" s="1"/>
  <c r="DI151"/>
  <c r="ES151" s="1"/>
  <c r="DM151"/>
  <c r="EW151" s="1"/>
  <c r="DQ151"/>
  <c r="FA151" s="1"/>
  <c r="DU151"/>
  <c r="FE151" s="1"/>
  <c r="DY151"/>
  <c r="FI151" s="1"/>
  <c r="EC151"/>
  <c r="FM151" s="1"/>
  <c r="EG151"/>
  <c r="FQ151" s="1"/>
  <c r="DF155"/>
  <c r="DH155"/>
  <c r="ER155" s="1"/>
  <c r="DJ155"/>
  <c r="DL155"/>
  <c r="EV155" s="1"/>
  <c r="DN155"/>
  <c r="EX155" s="1"/>
  <c r="DP155"/>
  <c r="EZ155" s="1"/>
  <c r="DR155"/>
  <c r="FB155" s="1"/>
  <c r="DT155"/>
  <c r="FD155" s="1"/>
  <c r="DV155"/>
  <c r="FF155" s="1"/>
  <c r="DX155"/>
  <c r="FH155" s="1"/>
  <c r="DZ155"/>
  <c r="FJ155" s="1"/>
  <c r="EB155"/>
  <c r="FL155" s="1"/>
  <c r="ED155"/>
  <c r="FN155" s="1"/>
  <c r="EF155"/>
  <c r="FP155" s="1"/>
  <c r="EH155"/>
  <c r="FR155" s="1"/>
  <c r="EJ155"/>
  <c r="FT155" s="1"/>
  <c r="DI155"/>
  <c r="DM155"/>
  <c r="EW155" s="1"/>
  <c r="DQ155"/>
  <c r="FA155" s="1"/>
  <c r="DU155"/>
  <c r="FE155" s="1"/>
  <c r="DY155"/>
  <c r="FI155" s="1"/>
  <c r="EC155"/>
  <c r="FM155" s="1"/>
  <c r="EG155"/>
  <c r="FQ155" s="1"/>
  <c r="DC163"/>
  <c r="DE163"/>
  <c r="DE166"/>
  <c r="DC166"/>
  <c r="DO167"/>
  <c r="EY167" s="1"/>
  <c r="DT167"/>
  <c r="FD167" s="1"/>
  <c r="DW167"/>
  <c r="FG167" s="1"/>
  <c r="EB167"/>
  <c r="FL167" s="1"/>
  <c r="EE167"/>
  <c r="FO167" s="1"/>
  <c r="EJ167"/>
  <c r="FT167" s="1"/>
  <c r="DN167"/>
  <c r="EX167" s="1"/>
  <c r="DQ167"/>
  <c r="FA167" s="1"/>
  <c r="DV167"/>
  <c r="FF167" s="1"/>
  <c r="DY167"/>
  <c r="FI167" s="1"/>
  <c r="ED167"/>
  <c r="FN167" s="1"/>
  <c r="EG167"/>
  <c r="FQ167" s="1"/>
  <c r="DS167"/>
  <c r="FC167" s="1"/>
  <c r="DX167"/>
  <c r="FH167" s="1"/>
  <c r="EI167"/>
  <c r="FS167" s="1"/>
  <c r="DR167"/>
  <c r="FB167" s="1"/>
  <c r="EC167"/>
  <c r="FM167" s="1"/>
  <c r="EH167"/>
  <c r="FR167" s="1"/>
  <c r="DG168"/>
  <c r="DI168"/>
  <c r="DK168"/>
  <c r="EU168" s="1"/>
  <c r="DM168"/>
  <c r="EW168" s="1"/>
  <c r="DO168"/>
  <c r="DQ168"/>
  <c r="DS168"/>
  <c r="DU168"/>
  <c r="DW168"/>
  <c r="DY168"/>
  <c r="EA168"/>
  <c r="EC168"/>
  <c r="EE168"/>
  <c r="EG168"/>
  <c r="EI168"/>
  <c r="DL168"/>
  <c r="EV168" s="1"/>
  <c r="DT168"/>
  <c r="EB168"/>
  <c r="EJ168"/>
  <c r="DF168"/>
  <c r="DN168"/>
  <c r="EX168" s="1"/>
  <c r="DV168"/>
  <c r="ED168"/>
  <c r="DH168"/>
  <c r="DX168"/>
  <c r="DR168"/>
  <c r="EH168"/>
  <c r="EP184"/>
  <c r="DH186"/>
  <c r="ER186" s="1"/>
  <c r="DM186"/>
  <c r="EW186" s="1"/>
  <c r="DF186"/>
  <c r="DI186"/>
  <c r="ES186" s="1"/>
  <c r="DL186"/>
  <c r="EV186" s="1"/>
  <c r="DK186"/>
  <c r="EU186" s="1"/>
  <c r="DG186"/>
  <c r="EQ186" s="1"/>
  <c r="DK89"/>
  <c r="EU89" s="1"/>
  <c r="DG89"/>
  <c r="EQ89" s="1"/>
  <c r="EG91"/>
  <c r="FQ91" s="1"/>
  <c r="EC91"/>
  <c r="FM91" s="1"/>
  <c r="DY91"/>
  <c r="FI91" s="1"/>
  <c r="DU91"/>
  <c r="FE91" s="1"/>
  <c r="DQ91"/>
  <c r="DM91"/>
  <c r="EW91" s="1"/>
  <c r="DI91"/>
  <c r="ES91" s="1"/>
  <c r="EG93"/>
  <c r="FQ93" s="1"/>
  <c r="EC93"/>
  <c r="FM93" s="1"/>
  <c r="DY93"/>
  <c r="FI93" s="1"/>
  <c r="DU93"/>
  <c r="FE93" s="1"/>
  <c r="DQ93"/>
  <c r="FA93" s="1"/>
  <c r="DM93"/>
  <c r="EW93" s="1"/>
  <c r="DI93"/>
  <c r="ES93" s="1"/>
  <c r="EG95"/>
  <c r="FQ95" s="1"/>
  <c r="EC95"/>
  <c r="FM95" s="1"/>
  <c r="DY95"/>
  <c r="FI95" s="1"/>
  <c r="DU95"/>
  <c r="FE95" s="1"/>
  <c r="DQ95"/>
  <c r="FA95" s="1"/>
  <c r="DM95"/>
  <c r="EW95" s="1"/>
  <c r="DI95"/>
  <c r="ES95" s="1"/>
  <c r="EG97"/>
  <c r="FQ97" s="1"/>
  <c r="EC97"/>
  <c r="FM97" s="1"/>
  <c r="DY97"/>
  <c r="FI97" s="1"/>
  <c r="DU97"/>
  <c r="FE97" s="1"/>
  <c r="DQ97"/>
  <c r="FA97" s="1"/>
  <c r="DM97"/>
  <c r="EW97" s="1"/>
  <c r="DI97"/>
  <c r="ES97" s="1"/>
  <c r="DF107"/>
  <c r="EJ121"/>
  <c r="FT121" s="1"/>
  <c r="EF121"/>
  <c r="FP121" s="1"/>
  <c r="EB121"/>
  <c r="FL121" s="1"/>
  <c r="DX121"/>
  <c r="FH121" s="1"/>
  <c r="DT121"/>
  <c r="FD121" s="1"/>
  <c r="DP121"/>
  <c r="EZ121" s="1"/>
  <c r="DL121"/>
  <c r="EV121" s="1"/>
  <c r="DH121"/>
  <c r="ER121" s="1"/>
  <c r="EG123"/>
  <c r="FQ123" s="1"/>
  <c r="EC123"/>
  <c r="FM123" s="1"/>
  <c r="DY123"/>
  <c r="FI123" s="1"/>
  <c r="DU123"/>
  <c r="FE123" s="1"/>
  <c r="DQ123"/>
  <c r="FA123" s="1"/>
  <c r="DM123"/>
  <c r="EW123" s="1"/>
  <c r="DI123"/>
  <c r="ES123" s="1"/>
  <c r="DK124"/>
  <c r="EU124" s="1"/>
  <c r="DG124"/>
  <c r="EQ124" s="1"/>
  <c r="EG127"/>
  <c r="FQ127" s="1"/>
  <c r="EC127"/>
  <c r="FM127" s="1"/>
  <c r="DY127"/>
  <c r="FI127" s="1"/>
  <c r="DU127"/>
  <c r="FE127" s="1"/>
  <c r="DQ127"/>
  <c r="FA127" s="1"/>
  <c r="DM127"/>
  <c r="EW127" s="1"/>
  <c r="DI127"/>
  <c r="ES127" s="1"/>
  <c r="EK131"/>
  <c r="EG133"/>
  <c r="FQ133" s="1"/>
  <c r="EC133"/>
  <c r="FM133" s="1"/>
  <c r="DY133"/>
  <c r="FI133" s="1"/>
  <c r="DU133"/>
  <c r="FE133" s="1"/>
  <c r="DQ133"/>
  <c r="FA133" s="1"/>
  <c r="DM133"/>
  <c r="EW133" s="1"/>
  <c r="DI133"/>
  <c r="ES133" s="1"/>
  <c r="DI140"/>
  <c r="ES140" s="1"/>
  <c r="DN160"/>
  <c r="EX160" s="1"/>
  <c r="EF161"/>
  <c r="FP161" s="1"/>
  <c r="EK170"/>
  <c r="DU172"/>
  <c r="FE172" s="1"/>
  <c r="DG147"/>
  <c r="EQ147" s="1"/>
  <c r="DI147"/>
  <c r="ES147" s="1"/>
  <c r="DK147"/>
  <c r="EU147" s="1"/>
  <c r="DM147"/>
  <c r="EW147" s="1"/>
  <c r="DO147"/>
  <c r="EY147" s="1"/>
  <c r="DQ147"/>
  <c r="FA147" s="1"/>
  <c r="DS147"/>
  <c r="FC147" s="1"/>
  <c r="DU147"/>
  <c r="FE147" s="1"/>
  <c r="DW147"/>
  <c r="FG147" s="1"/>
  <c r="DY147"/>
  <c r="FI147" s="1"/>
  <c r="EA147"/>
  <c r="FK147" s="1"/>
  <c r="EC147"/>
  <c r="FM147" s="1"/>
  <c r="EE147"/>
  <c r="FO147" s="1"/>
  <c r="EG147"/>
  <c r="FQ147" s="1"/>
  <c r="EI147"/>
  <c r="FS147" s="1"/>
  <c r="DG149"/>
  <c r="EQ149" s="1"/>
  <c r="DI149"/>
  <c r="ES149" s="1"/>
  <c r="DK149"/>
  <c r="EU149" s="1"/>
  <c r="DM149"/>
  <c r="EW149" s="1"/>
  <c r="DO149"/>
  <c r="EY149" s="1"/>
  <c r="DQ149"/>
  <c r="FA149" s="1"/>
  <c r="DS149"/>
  <c r="FC149" s="1"/>
  <c r="DU149"/>
  <c r="FE149" s="1"/>
  <c r="DW149"/>
  <c r="FG149" s="1"/>
  <c r="DY149"/>
  <c r="FI149" s="1"/>
  <c r="EA149"/>
  <c r="FK149" s="1"/>
  <c r="EC149"/>
  <c r="FM149" s="1"/>
  <c r="EE149"/>
  <c r="FO149" s="1"/>
  <c r="EG149"/>
  <c r="FQ149" s="1"/>
  <c r="EI149"/>
  <c r="FS149" s="1"/>
  <c r="DF153"/>
  <c r="DH153"/>
  <c r="ER153" s="1"/>
  <c r="DJ153"/>
  <c r="ET153" s="1"/>
  <c r="DL153"/>
  <c r="DN153"/>
  <c r="EX153" s="1"/>
  <c r="DP153"/>
  <c r="EZ153" s="1"/>
  <c r="DR153"/>
  <c r="FB153" s="1"/>
  <c r="DT153"/>
  <c r="FD153" s="1"/>
  <c r="DV153"/>
  <c r="FF153" s="1"/>
  <c r="DX153"/>
  <c r="FH153" s="1"/>
  <c r="DZ153"/>
  <c r="FJ153" s="1"/>
  <c r="EB153"/>
  <c r="FL153" s="1"/>
  <c r="ED153"/>
  <c r="FN153" s="1"/>
  <c r="EF153"/>
  <c r="FP153" s="1"/>
  <c r="EH153"/>
  <c r="FR153" s="1"/>
  <c r="EJ153"/>
  <c r="FT153" s="1"/>
  <c r="EP156"/>
  <c r="DC173"/>
  <c r="DE173"/>
  <c r="DG179"/>
  <c r="EQ179" s="1"/>
  <c r="DI179"/>
  <c r="ES179" s="1"/>
  <c r="DK179"/>
  <c r="EU179" s="1"/>
  <c r="DM179"/>
  <c r="EW179" s="1"/>
  <c r="DO179"/>
  <c r="EY179" s="1"/>
  <c r="DQ179"/>
  <c r="FA179" s="1"/>
  <c r="DS179"/>
  <c r="FC179" s="1"/>
  <c r="DU179"/>
  <c r="FE179" s="1"/>
  <c r="DW179"/>
  <c r="FG179" s="1"/>
  <c r="DY179"/>
  <c r="FI179" s="1"/>
  <c r="EA179"/>
  <c r="FK179" s="1"/>
  <c r="EC179"/>
  <c r="FM179" s="1"/>
  <c r="EE179"/>
  <c r="FO179" s="1"/>
  <c r="EG179"/>
  <c r="FQ179" s="1"/>
  <c r="EI179"/>
  <c r="FS179" s="1"/>
  <c r="DL179"/>
  <c r="EV179" s="1"/>
  <c r="DT179"/>
  <c r="FD179" s="1"/>
  <c r="EB179"/>
  <c r="FL179" s="1"/>
  <c r="EJ179"/>
  <c r="FT179" s="1"/>
  <c r="DF179"/>
  <c r="DN179"/>
  <c r="EX179" s="1"/>
  <c r="DV179"/>
  <c r="FF179" s="1"/>
  <c r="ED179"/>
  <c r="FN179" s="1"/>
  <c r="DJ179"/>
  <c r="ET179" s="1"/>
  <c r="DZ179"/>
  <c r="FJ179" s="1"/>
  <c r="DH179"/>
  <c r="ER179" s="1"/>
  <c r="DX179"/>
  <c r="FH179" s="1"/>
  <c r="EP180"/>
  <c r="DF181"/>
  <c r="DH181"/>
  <c r="ER181" s="1"/>
  <c r="DJ181"/>
  <c r="ET181" s="1"/>
  <c r="DL181"/>
  <c r="EV181" s="1"/>
  <c r="DK181"/>
  <c r="EU181" s="1"/>
  <c r="DM181"/>
  <c r="EW181" s="1"/>
  <c r="DI181"/>
  <c r="ES181" s="1"/>
  <c r="DG181"/>
  <c r="EQ181" s="1"/>
  <c r="DF185"/>
  <c r="DH185"/>
  <c r="ER185" s="1"/>
  <c r="DJ185"/>
  <c r="ET185" s="1"/>
  <c r="DL185"/>
  <c r="EV185" s="1"/>
  <c r="DI185"/>
  <c r="ES185" s="1"/>
  <c r="DG185"/>
  <c r="EQ185" s="1"/>
  <c r="DM185"/>
  <c r="EW185" s="1"/>
  <c r="DC205"/>
  <c r="DE205"/>
  <c r="EE99"/>
  <c r="FO99" s="1"/>
  <c r="EC99"/>
  <c r="FM99" s="1"/>
  <c r="EA99"/>
  <c r="FK99" s="1"/>
  <c r="DY99"/>
  <c r="FI99" s="1"/>
  <c r="DW99"/>
  <c r="FG99" s="1"/>
  <c r="DU99"/>
  <c r="FE99" s="1"/>
  <c r="DS99"/>
  <c r="FC99" s="1"/>
  <c r="DQ99"/>
  <c r="FA99" s="1"/>
  <c r="DO99"/>
  <c r="EY99" s="1"/>
  <c r="DM99"/>
  <c r="EW99" s="1"/>
  <c r="DK99"/>
  <c r="EU99" s="1"/>
  <c r="DI99"/>
  <c r="ES99" s="1"/>
  <c r="EI102"/>
  <c r="FS102" s="1"/>
  <c r="EG102"/>
  <c r="FQ102" s="1"/>
  <c r="EE102"/>
  <c r="FO102" s="1"/>
  <c r="EC102"/>
  <c r="FM102" s="1"/>
  <c r="EA102"/>
  <c r="FK102" s="1"/>
  <c r="DY102"/>
  <c r="FI102" s="1"/>
  <c r="DW102"/>
  <c r="FG102" s="1"/>
  <c r="DU102"/>
  <c r="FE102" s="1"/>
  <c r="DS102"/>
  <c r="FC102" s="1"/>
  <c r="DQ102"/>
  <c r="FA102" s="1"/>
  <c r="DO102"/>
  <c r="EY102" s="1"/>
  <c r="DM102"/>
  <c r="EW102" s="1"/>
  <c r="DK102"/>
  <c r="EU102" s="1"/>
  <c r="DI102"/>
  <c r="ES102" s="1"/>
  <c r="EI104"/>
  <c r="FS104" s="1"/>
  <c r="EG104"/>
  <c r="FQ104" s="1"/>
  <c r="EE104"/>
  <c r="FO104" s="1"/>
  <c r="EC104"/>
  <c r="FM104" s="1"/>
  <c r="EA104"/>
  <c r="FK104" s="1"/>
  <c r="DY104"/>
  <c r="FI104" s="1"/>
  <c r="DW104"/>
  <c r="FG104" s="1"/>
  <c r="DU104"/>
  <c r="FE104" s="1"/>
  <c r="DS104"/>
  <c r="FC104" s="1"/>
  <c r="DQ104"/>
  <c r="FA104" s="1"/>
  <c r="DO104"/>
  <c r="EY104" s="1"/>
  <c r="DM104"/>
  <c r="EW104" s="1"/>
  <c r="DK104"/>
  <c r="EU104" s="1"/>
  <c r="DI104"/>
  <c r="ES104" s="1"/>
  <c r="EI106"/>
  <c r="FS106" s="1"/>
  <c r="EG106"/>
  <c r="FQ106" s="1"/>
  <c r="EE106"/>
  <c r="FO106" s="1"/>
  <c r="EC106"/>
  <c r="FM106" s="1"/>
  <c r="EA106"/>
  <c r="FK106" s="1"/>
  <c r="DY106"/>
  <c r="FI106" s="1"/>
  <c r="DW106"/>
  <c r="FG106" s="1"/>
  <c r="DU106"/>
  <c r="FE106" s="1"/>
  <c r="DS106"/>
  <c r="FC106" s="1"/>
  <c r="DQ106"/>
  <c r="FA106" s="1"/>
  <c r="DO106"/>
  <c r="EY106" s="1"/>
  <c r="DM106"/>
  <c r="EW106" s="1"/>
  <c r="DK106"/>
  <c r="EU106" s="1"/>
  <c r="DI106"/>
  <c r="ES106" s="1"/>
  <c r="EJ107"/>
  <c r="FT107" s="1"/>
  <c r="EH107"/>
  <c r="FR107" s="1"/>
  <c r="EF107"/>
  <c r="FP107" s="1"/>
  <c r="ED107"/>
  <c r="FN107" s="1"/>
  <c r="EB107"/>
  <c r="FL107" s="1"/>
  <c r="DZ107"/>
  <c r="FJ107" s="1"/>
  <c r="DX107"/>
  <c r="FH107" s="1"/>
  <c r="DV107"/>
  <c r="FF107" s="1"/>
  <c r="DT107"/>
  <c r="FD107" s="1"/>
  <c r="DR107"/>
  <c r="FB107" s="1"/>
  <c r="DP107"/>
  <c r="EZ107" s="1"/>
  <c r="DN107"/>
  <c r="EX107" s="1"/>
  <c r="DL107"/>
  <c r="EV107" s="1"/>
  <c r="DJ107"/>
  <c r="ET107" s="1"/>
  <c r="DH107"/>
  <c r="ER107" s="1"/>
  <c r="EI108"/>
  <c r="EG108"/>
  <c r="EE108"/>
  <c r="EC108"/>
  <c r="EA108"/>
  <c r="DY108"/>
  <c r="DW108"/>
  <c r="DU108"/>
  <c r="DS108"/>
  <c r="DQ108"/>
  <c r="DO108"/>
  <c r="DM108"/>
  <c r="EW108" s="1"/>
  <c r="DK108"/>
  <c r="EU108" s="1"/>
  <c r="DI108"/>
  <c r="ES108" s="1"/>
  <c r="EI110"/>
  <c r="FS110" s="1"/>
  <c r="EG110"/>
  <c r="FQ110" s="1"/>
  <c r="EE110"/>
  <c r="FO110" s="1"/>
  <c r="EC110"/>
  <c r="FM110" s="1"/>
  <c r="EA110"/>
  <c r="FK110" s="1"/>
  <c r="DY110"/>
  <c r="FI110" s="1"/>
  <c r="DW110"/>
  <c r="FG110" s="1"/>
  <c r="DU110"/>
  <c r="FE110" s="1"/>
  <c r="DS110"/>
  <c r="FC110" s="1"/>
  <c r="DQ110"/>
  <c r="FA110" s="1"/>
  <c r="DO110"/>
  <c r="EY110" s="1"/>
  <c r="DM110"/>
  <c r="EW110" s="1"/>
  <c r="DK110"/>
  <c r="EU110" s="1"/>
  <c r="DI110"/>
  <c r="ES110" s="1"/>
  <c r="EI112"/>
  <c r="FS112" s="1"/>
  <c r="EG112"/>
  <c r="FQ112" s="1"/>
  <c r="EE112"/>
  <c r="FO112" s="1"/>
  <c r="EC112"/>
  <c r="FM112" s="1"/>
  <c r="EA112"/>
  <c r="FK112" s="1"/>
  <c r="DY112"/>
  <c r="FI112" s="1"/>
  <c r="DW112"/>
  <c r="FG112" s="1"/>
  <c r="DU112"/>
  <c r="FE112" s="1"/>
  <c r="DS112"/>
  <c r="FC112" s="1"/>
  <c r="DQ112"/>
  <c r="FA112" s="1"/>
  <c r="DO112"/>
  <c r="EY112" s="1"/>
  <c r="DM112"/>
  <c r="EW112" s="1"/>
  <c r="DK112"/>
  <c r="EU112" s="1"/>
  <c r="DI112"/>
  <c r="ES112" s="1"/>
  <c r="EI114"/>
  <c r="FS114" s="1"/>
  <c r="EG114"/>
  <c r="FQ114" s="1"/>
  <c r="EE114"/>
  <c r="FO114" s="1"/>
  <c r="EC114"/>
  <c r="FM114" s="1"/>
  <c r="EA114"/>
  <c r="FK114" s="1"/>
  <c r="DY114"/>
  <c r="FI114" s="1"/>
  <c r="DW114"/>
  <c r="FG114" s="1"/>
  <c r="DU114"/>
  <c r="FE114" s="1"/>
  <c r="DS114"/>
  <c r="FC114" s="1"/>
  <c r="DQ114"/>
  <c r="FA114" s="1"/>
  <c r="DO114"/>
  <c r="EY114" s="1"/>
  <c r="DM114"/>
  <c r="EW114" s="1"/>
  <c r="DK114"/>
  <c r="EU114" s="1"/>
  <c r="DI114"/>
  <c r="ES114" s="1"/>
  <c r="EI116"/>
  <c r="FS116" s="1"/>
  <c r="EG116"/>
  <c r="FQ116" s="1"/>
  <c r="EE116"/>
  <c r="FO116" s="1"/>
  <c r="EC116"/>
  <c r="FM116" s="1"/>
  <c r="EA116"/>
  <c r="FK116" s="1"/>
  <c r="DY116"/>
  <c r="FI116" s="1"/>
  <c r="DW116"/>
  <c r="FG116" s="1"/>
  <c r="DU116"/>
  <c r="FE116" s="1"/>
  <c r="DS116"/>
  <c r="FC116" s="1"/>
  <c r="DQ116"/>
  <c r="FA116" s="1"/>
  <c r="DO116"/>
  <c r="EY116" s="1"/>
  <c r="DM116"/>
  <c r="DK116"/>
  <c r="DI116"/>
  <c r="EI125"/>
  <c r="FS125" s="1"/>
  <c r="EG125"/>
  <c r="FQ125" s="1"/>
  <c r="EE125"/>
  <c r="FO125" s="1"/>
  <c r="EC125"/>
  <c r="FM125" s="1"/>
  <c r="EA125"/>
  <c r="FK125" s="1"/>
  <c r="DY125"/>
  <c r="FI125" s="1"/>
  <c r="DW125"/>
  <c r="FG125" s="1"/>
  <c r="DU125"/>
  <c r="FE125" s="1"/>
  <c r="DS125"/>
  <c r="FC125" s="1"/>
  <c r="DQ125"/>
  <c r="FA125" s="1"/>
  <c r="DO125"/>
  <c r="EY125" s="1"/>
  <c r="DM125"/>
  <c r="EW125" s="1"/>
  <c r="DK125"/>
  <c r="EU125" s="1"/>
  <c r="ES125"/>
  <c r="EI136"/>
  <c r="FS136" s="1"/>
  <c r="EG136"/>
  <c r="FQ136" s="1"/>
  <c r="EE136"/>
  <c r="FO136" s="1"/>
  <c r="EC136"/>
  <c r="FM136" s="1"/>
  <c r="EA136"/>
  <c r="FK136" s="1"/>
  <c r="DY136"/>
  <c r="FI136" s="1"/>
  <c r="DW136"/>
  <c r="FG136" s="1"/>
  <c r="DU136"/>
  <c r="FE136" s="1"/>
  <c r="DS136"/>
  <c r="FC136" s="1"/>
  <c r="DQ136"/>
  <c r="FA136" s="1"/>
  <c r="DO136"/>
  <c r="EY136" s="1"/>
  <c r="DM136"/>
  <c r="EW136" s="1"/>
  <c r="DK136"/>
  <c r="EU136" s="1"/>
  <c r="DI136"/>
  <c r="ES136" s="1"/>
  <c r="EH139"/>
  <c r="FR139" s="1"/>
  <c r="EC139"/>
  <c r="FM139" s="1"/>
  <c r="DZ139"/>
  <c r="FJ139" s="1"/>
  <c r="DU139"/>
  <c r="FE139" s="1"/>
  <c r="DR139"/>
  <c r="FB139" s="1"/>
  <c r="DM139"/>
  <c r="EW139" s="1"/>
  <c r="DM159"/>
  <c r="EW159" s="1"/>
  <c r="DF140"/>
  <c r="DH140"/>
  <c r="ER140" s="1"/>
  <c r="DJ140"/>
  <c r="ET140" s="1"/>
  <c r="DL140"/>
  <c r="EV140" s="1"/>
  <c r="DN140"/>
  <c r="EX140" s="1"/>
  <c r="DP140"/>
  <c r="EZ140" s="1"/>
  <c r="DR140"/>
  <c r="FB140" s="1"/>
  <c r="DT140"/>
  <c r="FD140" s="1"/>
  <c r="DV140"/>
  <c r="FF140" s="1"/>
  <c r="DX140"/>
  <c r="FH140" s="1"/>
  <c r="DZ140"/>
  <c r="FJ140" s="1"/>
  <c r="EB140"/>
  <c r="FL140" s="1"/>
  <c r="ED140"/>
  <c r="FN140" s="1"/>
  <c r="EF140"/>
  <c r="FP140" s="1"/>
  <c r="EH140"/>
  <c r="FR140" s="1"/>
  <c r="EJ140"/>
  <c r="FT140" s="1"/>
  <c r="DF141"/>
  <c r="DH141"/>
  <c r="ER141" s="1"/>
  <c r="DJ141"/>
  <c r="ET141" s="1"/>
  <c r="DL141"/>
  <c r="EV141" s="1"/>
  <c r="DN141"/>
  <c r="EX141" s="1"/>
  <c r="DP141"/>
  <c r="EZ141" s="1"/>
  <c r="DR141"/>
  <c r="FB141" s="1"/>
  <c r="DT141"/>
  <c r="FD141" s="1"/>
  <c r="DV141"/>
  <c r="FF141" s="1"/>
  <c r="DX141"/>
  <c r="FH141" s="1"/>
  <c r="DZ141"/>
  <c r="FJ141" s="1"/>
  <c r="EB141"/>
  <c r="FL141" s="1"/>
  <c r="ED141"/>
  <c r="FN141" s="1"/>
  <c r="EF141"/>
  <c r="FP141" s="1"/>
  <c r="EH141"/>
  <c r="FR141" s="1"/>
  <c r="EJ141"/>
  <c r="FT141" s="1"/>
  <c r="DF144"/>
  <c r="DH144"/>
  <c r="ER144" s="1"/>
  <c r="DJ144"/>
  <c r="ET144" s="1"/>
  <c r="DL144"/>
  <c r="EV144" s="1"/>
  <c r="DC147"/>
  <c r="DE147"/>
  <c r="DI159"/>
  <c r="ES159" s="1"/>
  <c r="DL159"/>
  <c r="EV159" s="1"/>
  <c r="DF159"/>
  <c r="DK159"/>
  <c r="EU159" s="1"/>
  <c r="EP164"/>
  <c r="DJ184"/>
  <c r="ET184" s="1"/>
  <c r="DM184"/>
  <c r="EW184" s="1"/>
  <c r="DR184"/>
  <c r="FB184" s="1"/>
  <c r="DU184"/>
  <c r="FE184" s="1"/>
  <c r="DZ184"/>
  <c r="FJ184" s="1"/>
  <c r="EC184"/>
  <c r="FM184" s="1"/>
  <c r="EH184"/>
  <c r="FR184" s="1"/>
  <c r="DH184"/>
  <c r="ER184" s="1"/>
  <c r="DO184"/>
  <c r="EY184" s="1"/>
  <c r="DS184"/>
  <c r="FC184" s="1"/>
  <c r="DV184"/>
  <c r="FF184" s="1"/>
  <c r="EG184"/>
  <c r="FQ184" s="1"/>
  <c r="EJ184"/>
  <c r="FT184" s="1"/>
  <c r="DG184"/>
  <c r="EQ184" s="1"/>
  <c r="DK184"/>
  <c r="EU184" s="1"/>
  <c r="DN184"/>
  <c r="EX184" s="1"/>
  <c r="DY184"/>
  <c r="FI184" s="1"/>
  <c r="EB184"/>
  <c r="FL184" s="1"/>
  <c r="EF184"/>
  <c r="FP184" s="1"/>
  <c r="DQ184"/>
  <c r="FA184" s="1"/>
  <c r="DX184"/>
  <c r="FH184" s="1"/>
  <c r="EE184"/>
  <c r="FO184" s="1"/>
  <c r="DI184"/>
  <c r="ES184" s="1"/>
  <c r="DP184"/>
  <c r="EZ184" s="1"/>
  <c r="DW184"/>
  <c r="FG184" s="1"/>
  <c r="ED184"/>
  <c r="FN184" s="1"/>
  <c r="DC186"/>
  <c r="DE186"/>
  <c r="EJ89"/>
  <c r="FT89" s="1"/>
  <c r="EH89"/>
  <c r="FR89" s="1"/>
  <c r="EF89"/>
  <c r="FP89" s="1"/>
  <c r="ED89"/>
  <c r="FN89" s="1"/>
  <c r="EB89"/>
  <c r="FL89" s="1"/>
  <c r="DZ89"/>
  <c r="FJ89" s="1"/>
  <c r="DX89"/>
  <c r="FH89" s="1"/>
  <c r="DV89"/>
  <c r="FF89" s="1"/>
  <c r="DT89"/>
  <c r="FD89" s="1"/>
  <c r="DR89"/>
  <c r="FB89" s="1"/>
  <c r="DP89"/>
  <c r="EZ89" s="1"/>
  <c r="DG166"/>
  <c r="EQ166" s="1"/>
  <c r="DG157"/>
  <c r="EQ157" s="1"/>
  <c r="DI157"/>
  <c r="ES157" s="1"/>
  <c r="DK157"/>
  <c r="EU157" s="1"/>
  <c r="DM157"/>
  <c r="EW157" s="1"/>
  <c r="DO157"/>
  <c r="EY157" s="1"/>
  <c r="DQ157"/>
  <c r="FA157" s="1"/>
  <c r="DS157"/>
  <c r="FC157" s="1"/>
  <c r="DU157"/>
  <c r="FE157" s="1"/>
  <c r="DW157"/>
  <c r="FG157" s="1"/>
  <c r="DY157"/>
  <c r="FI157" s="1"/>
  <c r="EA157"/>
  <c r="FK157" s="1"/>
  <c r="EC157"/>
  <c r="FM157" s="1"/>
  <c r="EE157"/>
  <c r="FO157" s="1"/>
  <c r="EG157"/>
  <c r="FQ157" s="1"/>
  <c r="EI157"/>
  <c r="FS157" s="1"/>
  <c r="DG171"/>
  <c r="EQ171" s="1"/>
  <c r="DI171"/>
  <c r="ES171" s="1"/>
  <c r="DK171"/>
  <c r="EU171" s="1"/>
  <c r="DM171"/>
  <c r="EW171" s="1"/>
  <c r="DO171"/>
  <c r="EY171" s="1"/>
  <c r="DQ171"/>
  <c r="FA171" s="1"/>
  <c r="DS171"/>
  <c r="FC171" s="1"/>
  <c r="DU171"/>
  <c r="FE171" s="1"/>
  <c r="DW171"/>
  <c r="FG171" s="1"/>
  <c r="DY171"/>
  <c r="FI171" s="1"/>
  <c r="EA171"/>
  <c r="FK171" s="1"/>
  <c r="EC171"/>
  <c r="FM171" s="1"/>
  <c r="EE171"/>
  <c r="FO171" s="1"/>
  <c r="EG171"/>
  <c r="FQ171" s="1"/>
  <c r="EI171"/>
  <c r="FS171" s="1"/>
  <c r="DF176"/>
  <c r="DH176"/>
  <c r="ER176" s="1"/>
  <c r="DJ176"/>
  <c r="ET176" s="1"/>
  <c r="DL176"/>
  <c r="EV176" s="1"/>
  <c r="DN176"/>
  <c r="EX176" s="1"/>
  <c r="DP176"/>
  <c r="EZ176" s="1"/>
  <c r="DR176"/>
  <c r="FB176" s="1"/>
  <c r="DT176"/>
  <c r="FD176" s="1"/>
  <c r="DV176"/>
  <c r="FF176" s="1"/>
  <c r="DX176"/>
  <c r="FH176" s="1"/>
  <c r="DZ176"/>
  <c r="FJ176" s="1"/>
  <c r="EB176"/>
  <c r="FL176" s="1"/>
  <c r="ED176"/>
  <c r="FN176" s="1"/>
  <c r="EF176"/>
  <c r="FP176" s="1"/>
  <c r="EH176"/>
  <c r="FR176" s="1"/>
  <c r="EJ176"/>
  <c r="FT176" s="1"/>
  <c r="DG176"/>
  <c r="EQ176" s="1"/>
  <c r="DO176"/>
  <c r="EY176" s="1"/>
  <c r="DW176"/>
  <c r="FG176" s="1"/>
  <c r="EE176"/>
  <c r="FO176" s="1"/>
  <c r="DI176"/>
  <c r="ES176" s="1"/>
  <c r="DQ176"/>
  <c r="FA176" s="1"/>
  <c r="DY176"/>
  <c r="FI176" s="1"/>
  <c r="EG176"/>
  <c r="FQ176" s="1"/>
  <c r="DG177"/>
  <c r="EQ177" s="1"/>
  <c r="DI177"/>
  <c r="ES177" s="1"/>
  <c r="DK177"/>
  <c r="EU177" s="1"/>
  <c r="DM177"/>
  <c r="EW177" s="1"/>
  <c r="DO177"/>
  <c r="EY177" s="1"/>
  <c r="DQ177"/>
  <c r="FA177" s="1"/>
  <c r="DS177"/>
  <c r="FC177" s="1"/>
  <c r="DU177"/>
  <c r="FE177" s="1"/>
  <c r="DW177"/>
  <c r="FG177" s="1"/>
  <c r="DY177"/>
  <c r="FI177" s="1"/>
  <c r="EA177"/>
  <c r="FK177" s="1"/>
  <c r="EC177"/>
  <c r="FM177" s="1"/>
  <c r="EE177"/>
  <c r="FO177" s="1"/>
  <c r="EG177"/>
  <c r="FQ177" s="1"/>
  <c r="EI177"/>
  <c r="FS177" s="1"/>
  <c r="DJ177"/>
  <c r="ET177" s="1"/>
  <c r="DR177"/>
  <c r="FB177" s="1"/>
  <c r="DZ177"/>
  <c r="FJ177" s="1"/>
  <c r="EH177"/>
  <c r="FR177" s="1"/>
  <c r="DL177"/>
  <c r="EV177" s="1"/>
  <c r="DT177"/>
  <c r="FD177" s="1"/>
  <c r="EB177"/>
  <c r="FL177" s="1"/>
  <c r="EJ177"/>
  <c r="FT177" s="1"/>
  <c r="DC182"/>
  <c r="DE182"/>
  <c r="EK182"/>
  <c r="EP182"/>
  <c r="EK193"/>
  <c r="EP193"/>
  <c r="FU193" s="1"/>
  <c r="DE196"/>
  <c r="DC196"/>
  <c r="EK207"/>
  <c r="EP207"/>
  <c r="FU207" s="1"/>
  <c r="CM88"/>
  <c r="DU143"/>
  <c r="FE143" s="1"/>
  <c r="DS143"/>
  <c r="FC143" s="1"/>
  <c r="DQ143"/>
  <c r="FA143" s="1"/>
  <c r="DO143"/>
  <c r="EY143" s="1"/>
  <c r="DM143"/>
  <c r="EW143" s="1"/>
  <c r="DK143"/>
  <c r="EU143" s="1"/>
  <c r="DI143"/>
  <c r="ES143" s="1"/>
  <c r="EI146"/>
  <c r="FS146" s="1"/>
  <c r="EG146"/>
  <c r="FQ146" s="1"/>
  <c r="EE146"/>
  <c r="FO146" s="1"/>
  <c r="EC146"/>
  <c r="FM146" s="1"/>
  <c r="EA146"/>
  <c r="FK146" s="1"/>
  <c r="DY146"/>
  <c r="FI146" s="1"/>
  <c r="DW146"/>
  <c r="FG146" s="1"/>
  <c r="DU146"/>
  <c r="FE146" s="1"/>
  <c r="DS146"/>
  <c r="FC146" s="1"/>
  <c r="DQ146"/>
  <c r="FA146" s="1"/>
  <c r="DO146"/>
  <c r="EY146" s="1"/>
  <c r="DM146"/>
  <c r="EW146" s="1"/>
  <c r="DK146"/>
  <c r="EU146" s="1"/>
  <c r="DI146"/>
  <c r="ES146" s="1"/>
  <c r="EI150"/>
  <c r="FS150" s="1"/>
  <c r="EG150"/>
  <c r="FQ150" s="1"/>
  <c r="EE150"/>
  <c r="FO150" s="1"/>
  <c r="EC150"/>
  <c r="FM150" s="1"/>
  <c r="EA150"/>
  <c r="FK150" s="1"/>
  <c r="DY150"/>
  <c r="FI150" s="1"/>
  <c r="DW150"/>
  <c r="FG150" s="1"/>
  <c r="DU150"/>
  <c r="FE150" s="1"/>
  <c r="DS150"/>
  <c r="FC150" s="1"/>
  <c r="DQ150"/>
  <c r="FA150" s="1"/>
  <c r="DO150"/>
  <c r="EY150" s="1"/>
  <c r="DM150"/>
  <c r="EW150" s="1"/>
  <c r="DK150"/>
  <c r="EU150" s="1"/>
  <c r="DI150"/>
  <c r="ES150" s="1"/>
  <c r="EI152"/>
  <c r="FS152" s="1"/>
  <c r="EG152"/>
  <c r="FQ152" s="1"/>
  <c r="EE152"/>
  <c r="FO152" s="1"/>
  <c r="EC152"/>
  <c r="FM152" s="1"/>
  <c r="EA152"/>
  <c r="FK152" s="1"/>
  <c r="DY152"/>
  <c r="FI152" s="1"/>
  <c r="DW152"/>
  <c r="FG152" s="1"/>
  <c r="DU152"/>
  <c r="FE152" s="1"/>
  <c r="DS152"/>
  <c r="FC152" s="1"/>
  <c r="DQ152"/>
  <c r="FA152" s="1"/>
  <c r="DO152"/>
  <c r="EY152" s="1"/>
  <c r="DM152"/>
  <c r="EW152" s="1"/>
  <c r="DK152"/>
  <c r="EU152" s="1"/>
  <c r="DI152"/>
  <c r="ES152" s="1"/>
  <c r="EI154"/>
  <c r="FS154" s="1"/>
  <c r="EG154"/>
  <c r="FQ154" s="1"/>
  <c r="EE154"/>
  <c r="FO154" s="1"/>
  <c r="EC154"/>
  <c r="FM154" s="1"/>
  <c r="EA154"/>
  <c r="FK154" s="1"/>
  <c r="DY154"/>
  <c r="FI154" s="1"/>
  <c r="DW154"/>
  <c r="FG154" s="1"/>
  <c r="DU154"/>
  <c r="FE154" s="1"/>
  <c r="DS154"/>
  <c r="FC154" s="1"/>
  <c r="DQ154"/>
  <c r="FA154" s="1"/>
  <c r="DO154"/>
  <c r="EY154" s="1"/>
  <c r="DM154"/>
  <c r="DK154"/>
  <c r="DI154"/>
  <c r="ES154" s="1"/>
  <c r="DM156"/>
  <c r="EW156" s="1"/>
  <c r="DK156"/>
  <c r="EU156" s="1"/>
  <c r="EK158"/>
  <c r="EK162"/>
  <c r="EH164"/>
  <c r="FR164" s="1"/>
  <c r="EC164"/>
  <c r="FM164" s="1"/>
  <c r="DZ164"/>
  <c r="FJ164" s="1"/>
  <c r="DU164"/>
  <c r="FE164" s="1"/>
  <c r="DR164"/>
  <c r="FB164" s="1"/>
  <c r="DM164"/>
  <c r="EW164" s="1"/>
  <c r="EK165"/>
  <c r="DL166"/>
  <c r="EV166" s="1"/>
  <c r="EG169"/>
  <c r="FQ169" s="1"/>
  <c r="EC169"/>
  <c r="FM169" s="1"/>
  <c r="DY169"/>
  <c r="FI169" s="1"/>
  <c r="DU169"/>
  <c r="FE169" s="1"/>
  <c r="DQ169"/>
  <c r="FA169" s="1"/>
  <c r="DM169"/>
  <c r="EW169" s="1"/>
  <c r="EK173"/>
  <c r="DF169"/>
  <c r="DH169"/>
  <c r="ER169" s="1"/>
  <c r="DJ169"/>
  <c r="ET169" s="1"/>
  <c r="DL169"/>
  <c r="EV169" s="1"/>
  <c r="DN169"/>
  <c r="EX169" s="1"/>
  <c r="DP169"/>
  <c r="EZ169" s="1"/>
  <c r="DR169"/>
  <c r="FB169" s="1"/>
  <c r="DT169"/>
  <c r="FD169" s="1"/>
  <c r="DV169"/>
  <c r="FF169" s="1"/>
  <c r="DX169"/>
  <c r="FH169" s="1"/>
  <c r="DZ169"/>
  <c r="FJ169" s="1"/>
  <c r="EB169"/>
  <c r="FL169" s="1"/>
  <c r="ED169"/>
  <c r="FN169" s="1"/>
  <c r="EF169"/>
  <c r="FP169" s="1"/>
  <c r="EH169"/>
  <c r="FR169" s="1"/>
  <c r="EJ169"/>
  <c r="FT169" s="1"/>
  <c r="DC171"/>
  <c r="DE171"/>
  <c r="DC177"/>
  <c r="DE177"/>
  <c r="DE184"/>
  <c r="DC184"/>
  <c r="DG187"/>
  <c r="EQ187" s="1"/>
  <c r="DI187"/>
  <c r="ES187" s="1"/>
  <c r="DK187"/>
  <c r="EU187" s="1"/>
  <c r="DM187"/>
  <c r="EW187" s="1"/>
  <c r="DO187"/>
  <c r="EY187" s="1"/>
  <c r="DQ187"/>
  <c r="FA187" s="1"/>
  <c r="DS187"/>
  <c r="FC187" s="1"/>
  <c r="DU187"/>
  <c r="FE187" s="1"/>
  <c r="DW187"/>
  <c r="FG187" s="1"/>
  <c r="DY187"/>
  <c r="FI187" s="1"/>
  <c r="EA187"/>
  <c r="FK187" s="1"/>
  <c r="EC187"/>
  <c r="FM187" s="1"/>
  <c r="EE187"/>
  <c r="FO187" s="1"/>
  <c r="EG187"/>
  <c r="FQ187" s="1"/>
  <c r="EI187"/>
  <c r="FS187" s="1"/>
  <c r="DL187"/>
  <c r="EV187" s="1"/>
  <c r="DT187"/>
  <c r="FD187" s="1"/>
  <c r="EB187"/>
  <c r="FL187" s="1"/>
  <c r="EJ187"/>
  <c r="FT187" s="1"/>
  <c r="DN187"/>
  <c r="EX187" s="1"/>
  <c r="DR187"/>
  <c r="FB187" s="1"/>
  <c r="EF187"/>
  <c r="FP187" s="1"/>
  <c r="DF187"/>
  <c r="DJ187"/>
  <c r="ET187" s="1"/>
  <c r="DX187"/>
  <c r="FH187" s="1"/>
  <c r="DC190"/>
  <c r="DE190"/>
  <c r="EK194"/>
  <c r="EP194"/>
  <c r="FU194" s="1"/>
  <c r="EP200"/>
  <c r="FU200" s="1"/>
  <c r="EK200"/>
  <c r="EK202"/>
  <c r="EP202"/>
  <c r="FU202" s="1"/>
  <c r="I382"/>
  <c r="I380"/>
  <c r="I376"/>
  <c r="I378"/>
  <c r="I373"/>
  <c r="I381"/>
  <c r="I379"/>
  <c r="I377"/>
  <c r="I375"/>
  <c r="I374"/>
  <c r="DG175"/>
  <c r="EQ175" s="1"/>
  <c r="DI175"/>
  <c r="ES175" s="1"/>
  <c r="DK175"/>
  <c r="DM175"/>
  <c r="DO175"/>
  <c r="EY175" s="1"/>
  <c r="DQ175"/>
  <c r="FA175" s="1"/>
  <c r="DS175"/>
  <c r="FC175" s="1"/>
  <c r="DU175"/>
  <c r="FE175" s="1"/>
  <c r="DW175"/>
  <c r="FG175" s="1"/>
  <c r="DY175"/>
  <c r="FI175" s="1"/>
  <c r="EA175"/>
  <c r="FK175" s="1"/>
  <c r="EC175"/>
  <c r="FM175" s="1"/>
  <c r="EE175"/>
  <c r="FO175" s="1"/>
  <c r="EG175"/>
  <c r="FQ175" s="1"/>
  <c r="EI175"/>
  <c r="FS175" s="1"/>
  <c r="DG180"/>
  <c r="EQ180" s="1"/>
  <c r="DL180"/>
  <c r="EV180" s="1"/>
  <c r="DG183"/>
  <c r="EQ183" s="1"/>
  <c r="DI183"/>
  <c r="ES183" s="1"/>
  <c r="DK183"/>
  <c r="EU183" s="1"/>
  <c r="DM183"/>
  <c r="EW183" s="1"/>
  <c r="DO183"/>
  <c r="EY183" s="1"/>
  <c r="DQ183"/>
  <c r="FA183" s="1"/>
  <c r="DS183"/>
  <c r="FC183" s="1"/>
  <c r="DU183"/>
  <c r="FE183" s="1"/>
  <c r="DW183"/>
  <c r="FG183" s="1"/>
  <c r="DY183"/>
  <c r="FI183" s="1"/>
  <c r="EA183"/>
  <c r="FK183" s="1"/>
  <c r="EC183"/>
  <c r="FM183" s="1"/>
  <c r="EE183"/>
  <c r="FO183" s="1"/>
  <c r="EG183"/>
  <c r="FQ183" s="1"/>
  <c r="EI183"/>
  <c r="FS183" s="1"/>
  <c r="DF183"/>
  <c r="DN183"/>
  <c r="EX183" s="1"/>
  <c r="DV183"/>
  <c r="FF183" s="1"/>
  <c r="ED183"/>
  <c r="FN183" s="1"/>
  <c r="DN185"/>
  <c r="EX185" s="1"/>
  <c r="DP185"/>
  <c r="EZ185" s="1"/>
  <c r="DR185"/>
  <c r="FB185" s="1"/>
  <c r="DT185"/>
  <c r="FD185" s="1"/>
  <c r="DV185"/>
  <c r="FF185" s="1"/>
  <c r="DX185"/>
  <c r="FH185" s="1"/>
  <c r="DZ185"/>
  <c r="FJ185" s="1"/>
  <c r="EB185"/>
  <c r="FL185" s="1"/>
  <c r="ED185"/>
  <c r="FN185" s="1"/>
  <c r="EF185"/>
  <c r="FP185" s="1"/>
  <c r="EH185"/>
  <c r="FR185" s="1"/>
  <c r="EJ185"/>
  <c r="FT185" s="1"/>
  <c r="DQ185"/>
  <c r="FA185" s="1"/>
  <c r="DY185"/>
  <c r="FI185" s="1"/>
  <c r="EG185"/>
  <c r="FQ185" s="1"/>
  <c r="DC187"/>
  <c r="DE187"/>
  <c r="EP188"/>
  <c r="FU188" s="1"/>
  <c r="EK188"/>
  <c r="DC201"/>
  <c r="DE201"/>
  <c r="EP206"/>
  <c r="FU206" s="1"/>
  <c r="EK206"/>
  <c r="P381"/>
  <c r="P377"/>
  <c r="P373"/>
  <c r="P375"/>
  <c r="P380"/>
  <c r="P382"/>
  <c r="P379"/>
  <c r="P378"/>
  <c r="P376"/>
  <c r="M382"/>
  <c r="M380"/>
  <c r="M376"/>
  <c r="M381"/>
  <c r="M374"/>
  <c r="M373"/>
  <c r="G551"/>
  <c r="DF174"/>
  <c r="DH174"/>
  <c r="ER174" s="1"/>
  <c r="DJ174"/>
  <c r="ET174" s="1"/>
  <c r="DL174"/>
  <c r="EV174" s="1"/>
  <c r="DN174"/>
  <c r="EX174" s="1"/>
  <c r="DP174"/>
  <c r="EZ174" s="1"/>
  <c r="DO180"/>
  <c r="EY180" s="1"/>
  <c r="DT180"/>
  <c r="FD180" s="1"/>
  <c r="DW180"/>
  <c r="FG180" s="1"/>
  <c r="EB180"/>
  <c r="FL180" s="1"/>
  <c r="EE180"/>
  <c r="FO180" s="1"/>
  <c r="EJ180"/>
  <c r="FT180" s="1"/>
  <c r="ED175"/>
  <c r="FN175" s="1"/>
  <c r="DV175"/>
  <c r="FF175" s="1"/>
  <c r="DN175"/>
  <c r="DF175"/>
  <c r="DM178"/>
  <c r="DE179"/>
  <c r="DM180"/>
  <c r="EW180" s="1"/>
  <c r="DI180"/>
  <c r="ES180" s="1"/>
  <c r="EB183"/>
  <c r="FL183" s="1"/>
  <c r="DX183"/>
  <c r="FH183" s="1"/>
  <c r="DJ183"/>
  <c r="ET183" s="1"/>
  <c r="EI185"/>
  <c r="FS185" s="1"/>
  <c r="DU185"/>
  <c r="FE185" s="1"/>
  <c r="DE189"/>
  <c r="EP190"/>
  <c r="FU190" s="1"/>
  <c r="DE207"/>
  <c r="DN181"/>
  <c r="EX181" s="1"/>
  <c r="DP181"/>
  <c r="EZ181" s="1"/>
  <c r="DR181"/>
  <c r="FB181" s="1"/>
  <c r="DT181"/>
  <c r="FD181" s="1"/>
  <c r="DV181"/>
  <c r="FF181" s="1"/>
  <c r="DX181"/>
  <c r="FH181" s="1"/>
  <c r="DZ181"/>
  <c r="FJ181" s="1"/>
  <c r="EB181"/>
  <c r="FL181" s="1"/>
  <c r="ED181"/>
  <c r="FN181" s="1"/>
  <c r="EF181"/>
  <c r="FP181" s="1"/>
  <c r="EH181"/>
  <c r="FR181" s="1"/>
  <c r="EJ181"/>
  <c r="FT181" s="1"/>
  <c r="AK376"/>
  <c r="Y382"/>
  <c r="Y380"/>
  <c r="Y376"/>
  <c r="Y378"/>
  <c r="N379"/>
  <c r="N375"/>
  <c r="N378"/>
  <c r="N376"/>
  <c r="H381"/>
  <c r="H377"/>
  <c r="H373"/>
  <c r="H376"/>
  <c r="H374"/>
  <c r="AJ30"/>
  <c r="AJ46" s="1"/>
  <c r="AJ21"/>
  <c r="AJ37" s="1"/>
  <c r="AF21"/>
  <c r="AF37" s="1"/>
  <c r="AF30"/>
  <c r="AF46" s="1"/>
  <c r="AB30"/>
  <c r="AB46" s="1"/>
  <c r="AB21"/>
  <c r="AB37" s="1"/>
  <c r="P21"/>
  <c r="P30"/>
  <c r="P46" s="1"/>
  <c r="AH28"/>
  <c r="AH44" s="1"/>
  <c r="AD28"/>
  <c r="AD44" s="1"/>
  <c r="Z28"/>
  <c r="Z44" s="1"/>
  <c r="V28"/>
  <c r="V44" s="1"/>
  <c r="R28"/>
  <c r="R44" s="1"/>
  <c r="N28"/>
  <c r="N44" s="1"/>
  <c r="J28"/>
  <c r="CM128"/>
  <c r="H480"/>
  <c r="AH23"/>
  <c r="AH39" s="1"/>
  <c r="AH30"/>
  <c r="AH46" s="1"/>
  <c r="AD23"/>
  <c r="AD39" s="1"/>
  <c r="AD30"/>
  <c r="AD46" s="1"/>
  <c r="Z23"/>
  <c r="Z39" s="1"/>
  <c r="Z30"/>
  <c r="Z46" s="1"/>
  <c r="V23"/>
  <c r="V39" s="1"/>
  <c r="V30"/>
  <c r="V46" s="1"/>
  <c r="R23"/>
  <c r="R39" s="1"/>
  <c r="R30"/>
  <c r="R46" s="1"/>
  <c r="N23"/>
  <c r="N39" s="1"/>
  <c r="N30"/>
  <c r="N46" s="1"/>
  <c r="J23"/>
  <c r="J30"/>
  <c r="D70"/>
  <c r="E459"/>
  <c r="G22"/>
  <c r="D71"/>
  <c r="AH26"/>
  <c r="AH42" s="1"/>
  <c r="AD26"/>
  <c r="AD42" s="1"/>
  <c r="Z26"/>
  <c r="Z42" s="1"/>
  <c r="V26"/>
  <c r="V42" s="1"/>
  <c r="R26"/>
  <c r="R42" s="1"/>
  <c r="N26"/>
  <c r="N42" s="1"/>
  <c r="J26"/>
  <c r="AH24"/>
  <c r="AH40" s="1"/>
  <c r="AD24"/>
  <c r="AD40" s="1"/>
  <c r="Z24"/>
  <c r="Z40" s="1"/>
  <c r="V24"/>
  <c r="V40" s="1"/>
  <c r="R24"/>
  <c r="R40" s="1"/>
  <c r="N24"/>
  <c r="N40" s="1"/>
  <c r="J24"/>
  <c r="J40" s="1"/>
  <c r="D459"/>
  <c r="D461"/>
  <c r="D463"/>
  <c r="D465"/>
  <c r="D467"/>
  <c r="D469"/>
  <c r="D471"/>
  <c r="D473"/>
  <c r="D475"/>
  <c r="D477"/>
  <c r="D479"/>
  <c r="D481"/>
  <c r="D483"/>
  <c r="D485"/>
  <c r="D487"/>
  <c r="D489"/>
  <c r="D491"/>
  <c r="D493"/>
  <c r="D495"/>
  <c r="D497"/>
  <c r="D499"/>
  <c r="D501"/>
  <c r="D503"/>
  <c r="D505"/>
  <c r="D507"/>
  <c r="D509"/>
  <c r="D511"/>
  <c r="D513"/>
  <c r="D515"/>
  <c r="D517"/>
  <c r="J552"/>
  <c r="K552" s="1"/>
  <c r="AI24"/>
  <c r="AI40" s="1"/>
  <c r="AE24"/>
  <c r="AE40" s="1"/>
  <c r="AA24"/>
  <c r="AA40" s="1"/>
  <c r="W24"/>
  <c r="W40" s="1"/>
  <c r="S24"/>
  <c r="S40" s="1"/>
  <c r="O24"/>
  <c r="O40" s="1"/>
  <c r="K24"/>
  <c r="K40" s="1"/>
  <c r="G24"/>
  <c r="D457"/>
  <c r="G553"/>
  <c r="AH22"/>
  <c r="AH38" s="1"/>
  <c r="AD22"/>
  <c r="AD38" s="1"/>
  <c r="Z22"/>
  <c r="Z38" s="1"/>
  <c r="V22"/>
  <c r="V38" s="1"/>
  <c r="R22"/>
  <c r="R38" s="1"/>
  <c r="N22"/>
  <c r="N38" s="1"/>
  <c r="J22"/>
  <c r="J38" s="1"/>
  <c r="Q379" l="1"/>
  <c r="EF217"/>
  <c r="AI378"/>
  <c r="S376"/>
  <c r="AF381"/>
  <c r="AI373"/>
  <c r="AF380"/>
  <c r="AI375"/>
  <c r="AK422"/>
  <c r="AK432" s="1"/>
  <c r="AK450" s="1"/>
  <c r="AK373"/>
  <c r="AK382"/>
  <c r="AK379"/>
  <c r="AK375"/>
  <c r="AK378"/>
  <c r="H492"/>
  <c r="AK380"/>
  <c r="AI382"/>
  <c r="AF378"/>
  <c r="S426"/>
  <c r="S444" s="1"/>
  <c r="AD428"/>
  <c r="AD446" s="1"/>
  <c r="AD432"/>
  <c r="AD450" s="1"/>
  <c r="J375"/>
  <c r="AB375"/>
  <c r="W426"/>
  <c r="W444" s="1"/>
  <c r="Z375"/>
  <c r="AC374"/>
  <c r="AB381"/>
  <c r="L382"/>
  <c r="Z381"/>
  <c r="W425"/>
  <c r="W443" s="1"/>
  <c r="W430"/>
  <c r="W448" s="1"/>
  <c r="W431"/>
  <c r="W449" s="1"/>
  <c r="H476"/>
  <c r="AD374"/>
  <c r="U382"/>
  <c r="N426"/>
  <c r="N444" s="1"/>
  <c r="N425"/>
  <c r="N443" s="1"/>
  <c r="AB377"/>
  <c r="H490"/>
  <c r="N428"/>
  <c r="N446" s="1"/>
  <c r="N432"/>
  <c r="N450" s="1"/>
  <c r="AB373"/>
  <c r="U381"/>
  <c r="AB378"/>
  <c r="N424"/>
  <c r="N442" s="1"/>
  <c r="H496"/>
  <c r="AC382"/>
  <c r="N430"/>
  <c r="N448" s="1"/>
  <c r="AB379"/>
  <c r="AB374"/>
  <c r="N427"/>
  <c r="N445" s="1"/>
  <c r="N431"/>
  <c r="N449" s="1"/>
  <c r="Z373"/>
  <c r="T377"/>
  <c r="AB382"/>
  <c r="N429"/>
  <c r="N447" s="1"/>
  <c r="N423"/>
  <c r="N441" s="1"/>
  <c r="W377"/>
  <c r="M424"/>
  <c r="M442" s="1"/>
  <c r="S425"/>
  <c r="S443" s="1"/>
  <c r="AC427"/>
  <c r="AC445" s="1"/>
  <c r="L429"/>
  <c r="L447" s="1"/>
  <c r="AC431"/>
  <c r="AC449" s="1"/>
  <c r="L428"/>
  <c r="L446" s="1"/>
  <c r="AC425"/>
  <c r="AC443" s="1"/>
  <c r="L425"/>
  <c r="L443" s="1"/>
  <c r="AF374"/>
  <c r="AC376"/>
  <c r="AF373"/>
  <c r="AD375"/>
  <c r="AI374"/>
  <c r="L380"/>
  <c r="U380"/>
  <c r="S380"/>
  <c r="J380"/>
  <c r="S379"/>
  <c r="AC423"/>
  <c r="AC441" s="1"/>
  <c r="L423"/>
  <c r="L441" s="1"/>
  <c r="AD431"/>
  <c r="AD449" s="1"/>
  <c r="H429"/>
  <c r="H447" s="1"/>
  <c r="M429"/>
  <c r="M447" s="1"/>
  <c r="AC429"/>
  <c r="AC447" s="1"/>
  <c r="P429"/>
  <c r="P447" s="1"/>
  <c r="S430"/>
  <c r="S448" s="1"/>
  <c r="P424"/>
  <c r="P442" s="1"/>
  <c r="AD427"/>
  <c r="AD445" s="1"/>
  <c r="H424"/>
  <c r="H442" s="1"/>
  <c r="AI377"/>
  <c r="AF422"/>
  <c r="AF427" s="1"/>
  <c r="AF445" s="1"/>
  <c r="AF379"/>
  <c r="AC380"/>
  <c r="AF377"/>
  <c r="AF432"/>
  <c r="AF450" s="1"/>
  <c r="AD379"/>
  <c r="L374"/>
  <c r="AF376"/>
  <c r="AD429"/>
  <c r="AD447" s="1"/>
  <c r="L432"/>
  <c r="L450" s="1"/>
  <c r="H425"/>
  <c r="H443" s="1"/>
  <c r="S428"/>
  <c r="S446" s="1"/>
  <c r="AC430"/>
  <c r="AC448" s="1"/>
  <c r="S431"/>
  <c r="S449" s="1"/>
  <c r="L426"/>
  <c r="L444" s="1"/>
  <c r="H426"/>
  <c r="H444" s="1"/>
  <c r="AD424"/>
  <c r="AD442" s="1"/>
  <c r="AD426"/>
  <c r="AD444" s="1"/>
  <c r="AD425"/>
  <c r="AD443" s="1"/>
  <c r="AC381"/>
  <c r="AF375"/>
  <c r="AC378"/>
  <c r="S374"/>
  <c r="AD377"/>
  <c r="AI376"/>
  <c r="L373"/>
  <c r="S373"/>
  <c r="AA374"/>
  <c r="AA422"/>
  <c r="AA423" s="1"/>
  <c r="AA441" s="1"/>
  <c r="Z376"/>
  <c r="Z422"/>
  <c r="Z428" s="1"/>
  <c r="Z446" s="1"/>
  <c r="K378"/>
  <c r="K422"/>
  <c r="K429" s="1"/>
  <c r="K447" s="1"/>
  <c r="AE374"/>
  <c r="AE422"/>
  <c r="AE428" s="1"/>
  <c r="AE446" s="1"/>
  <c r="X373"/>
  <c r="X422"/>
  <c r="X426" s="1"/>
  <c r="X444" s="1"/>
  <c r="AH375"/>
  <c r="AH422"/>
  <c r="AH430" s="1"/>
  <c r="AH448" s="1"/>
  <c r="R379"/>
  <c r="R422"/>
  <c r="R430" s="1"/>
  <c r="R448" s="1"/>
  <c r="Q382"/>
  <c r="Q422"/>
  <c r="Q428" s="1"/>
  <c r="Q446" s="1"/>
  <c r="T381"/>
  <c r="T422"/>
  <c r="T424" s="1"/>
  <c r="T442" s="1"/>
  <c r="O381"/>
  <c r="O422"/>
  <c r="O424" s="1"/>
  <c r="O442" s="1"/>
  <c r="AI381"/>
  <c r="AI422"/>
  <c r="AI426" s="1"/>
  <c r="AI444" s="1"/>
  <c r="AI380"/>
  <c r="G428"/>
  <c r="G446" s="1"/>
  <c r="G382"/>
  <c r="H470"/>
  <c r="W376"/>
  <c r="Z380"/>
  <c r="W432"/>
  <c r="W450" s="1"/>
  <c r="W427"/>
  <c r="W445" s="1"/>
  <c r="G427"/>
  <c r="W378"/>
  <c r="AE382"/>
  <c r="AD430"/>
  <c r="AD448" s="1"/>
  <c r="P432"/>
  <c r="P450" s="1"/>
  <c r="S382"/>
  <c r="AD373"/>
  <c r="AD378"/>
  <c r="L379"/>
  <c r="L381"/>
  <c r="AA377"/>
  <c r="W373"/>
  <c r="S381"/>
  <c r="Z382"/>
  <c r="S377"/>
  <c r="W424"/>
  <c r="W442" s="1"/>
  <c r="H423"/>
  <c r="H441" s="1"/>
  <c r="W423"/>
  <c r="W441" s="1"/>
  <c r="S432"/>
  <c r="S450" s="1"/>
  <c r="AD423"/>
  <c r="AD441" s="1"/>
  <c r="M423"/>
  <c r="M441" s="1"/>
  <c r="AC432"/>
  <c r="AC450" s="1"/>
  <c r="AC424"/>
  <c r="AC442" s="1"/>
  <c r="H427"/>
  <c r="H445" s="1"/>
  <c r="S427"/>
  <c r="S445" s="1"/>
  <c r="AC428"/>
  <c r="AC446" s="1"/>
  <c r="P428"/>
  <c r="P446" s="1"/>
  <c r="S429"/>
  <c r="S447" s="1"/>
  <c r="H430"/>
  <c r="H448" s="1"/>
  <c r="M430"/>
  <c r="M448" s="1"/>
  <c r="P431"/>
  <c r="P449" s="1"/>
  <c r="H431"/>
  <c r="H449" s="1"/>
  <c r="L424"/>
  <c r="L442" s="1"/>
  <c r="P430"/>
  <c r="P448" s="1"/>
  <c r="AG378"/>
  <c r="AG422"/>
  <c r="AG426" s="1"/>
  <c r="AG444" s="1"/>
  <c r="AJ377"/>
  <c r="AJ422"/>
  <c r="AJ431" s="1"/>
  <c r="AJ449" s="1"/>
  <c r="V376"/>
  <c r="V422"/>
  <c r="V425" s="1"/>
  <c r="V443" s="1"/>
  <c r="U375"/>
  <c r="U422"/>
  <c r="U423" s="1"/>
  <c r="U441" s="1"/>
  <c r="J382"/>
  <c r="J422"/>
  <c r="J423" s="1"/>
  <c r="J441" s="1"/>
  <c r="AB380"/>
  <c r="AB422"/>
  <c r="AB428" s="1"/>
  <c r="AB446" s="1"/>
  <c r="G432"/>
  <c r="G450" s="1"/>
  <c r="G430"/>
  <c r="G448" s="1"/>
  <c r="W382"/>
  <c r="G425"/>
  <c r="G443" s="1"/>
  <c r="G429"/>
  <c r="G447" s="1"/>
  <c r="W429"/>
  <c r="W447" s="1"/>
  <c r="G431"/>
  <c r="G449" s="1"/>
  <c r="W374"/>
  <c r="Z379"/>
  <c r="S378"/>
  <c r="X374"/>
  <c r="AD376"/>
  <c r="L375"/>
  <c r="L377"/>
  <c r="AA375"/>
  <c r="AJ373"/>
  <c r="Z378"/>
  <c r="S375"/>
  <c r="S424"/>
  <c r="S442" s="1"/>
  <c r="S423"/>
  <c r="S441" s="1"/>
  <c r="M432"/>
  <c r="M450" s="1"/>
  <c r="H432"/>
  <c r="H450" s="1"/>
  <c r="P425"/>
  <c r="P443" s="1"/>
  <c r="M426"/>
  <c r="M444" s="1"/>
  <c r="AC426"/>
  <c r="AC444" s="1"/>
  <c r="M427"/>
  <c r="M445" s="1"/>
  <c r="H428"/>
  <c r="H446" s="1"/>
  <c r="W428"/>
  <c r="W446" s="1"/>
  <c r="M428"/>
  <c r="M446" s="1"/>
  <c r="L431"/>
  <c r="L449" s="1"/>
  <c r="M431"/>
  <c r="M449" s="1"/>
  <c r="P427"/>
  <c r="P445" s="1"/>
  <c r="M425"/>
  <c r="M443" s="1"/>
  <c r="L427"/>
  <c r="L445" s="1"/>
  <c r="P426"/>
  <c r="P444" s="1"/>
  <c r="L430"/>
  <c r="L448" s="1"/>
  <c r="Z377"/>
  <c r="DZ218"/>
  <c r="EE217"/>
  <c r="DV219"/>
  <c r="DN212"/>
  <c r="FA88"/>
  <c r="DQ212"/>
  <c r="ES168"/>
  <c r="DI220"/>
  <c r="EU88"/>
  <c r="DK212"/>
  <c r="EU98"/>
  <c r="DK213"/>
  <c r="ER118"/>
  <c r="DH215"/>
  <c r="EY88"/>
  <c r="DO212"/>
  <c r="EX98"/>
  <c r="DN213"/>
  <c r="DZ220"/>
  <c r="DG217"/>
  <c r="DH218"/>
  <c r="DR219"/>
  <c r="DO217"/>
  <c r="DV212"/>
  <c r="EI217"/>
  <c r="DI219"/>
  <c r="DL212"/>
  <c r="EZ98"/>
  <c r="DP213"/>
  <c r="EQ128"/>
  <c r="DG216"/>
  <c r="EY98"/>
  <c r="DO213"/>
  <c r="EQ148"/>
  <c r="DG218"/>
  <c r="EW88"/>
  <c r="DM212"/>
  <c r="EV98"/>
  <c r="DL213"/>
  <c r="DY213"/>
  <c r="DH216"/>
  <c r="ED214"/>
  <c r="DG215"/>
  <c r="DP212"/>
  <c r="DQ213"/>
  <c r="DF216"/>
  <c r="EJ216"/>
  <c r="DT212"/>
  <c r="DH217"/>
  <c r="DM213"/>
  <c r="G423"/>
  <c r="G441" s="1"/>
  <c r="W379"/>
  <c r="W381"/>
  <c r="W375"/>
  <c r="W380"/>
  <c r="V374"/>
  <c r="G459"/>
  <c r="O382"/>
  <c r="AH379"/>
  <c r="U377"/>
  <c r="U376"/>
  <c r="AA379"/>
  <c r="J374"/>
  <c r="AD382"/>
  <c r="AD380"/>
  <c r="AD381"/>
  <c r="L376"/>
  <c r="L378"/>
  <c r="J379"/>
  <c r="AA376"/>
  <c r="AA382"/>
  <c r="FU162"/>
  <c r="H500"/>
  <c r="O379"/>
  <c r="O376"/>
  <c r="I442"/>
  <c r="Y448"/>
  <c r="Y443"/>
  <c r="Y447"/>
  <c r="M61"/>
  <c r="I441"/>
  <c r="Y450"/>
  <c r="U61"/>
  <c r="Y446"/>
  <c r="U378"/>
  <c r="U379"/>
  <c r="U374"/>
  <c r="J378"/>
  <c r="J377"/>
  <c r="J376"/>
  <c r="J373"/>
  <c r="AG375"/>
  <c r="AJ374"/>
  <c r="FU131"/>
  <c r="H460"/>
  <c r="O378"/>
  <c r="AE378"/>
  <c r="T378"/>
  <c r="AG373"/>
  <c r="AG382"/>
  <c r="AJ380"/>
  <c r="AJ381"/>
  <c r="FU92"/>
  <c r="O375"/>
  <c r="H510"/>
  <c r="H474"/>
  <c r="O380"/>
  <c r="W61"/>
  <c r="AI61"/>
  <c r="Y445"/>
  <c r="I446"/>
  <c r="I448"/>
  <c r="S61"/>
  <c r="I447"/>
  <c r="I61"/>
  <c r="I450"/>
  <c r="Y441"/>
  <c r="AK61"/>
  <c r="Y442"/>
  <c r="I444"/>
  <c r="Y444"/>
  <c r="I445"/>
  <c r="I449"/>
  <c r="I443"/>
  <c r="Y449"/>
  <c r="AJ382"/>
  <c r="O374"/>
  <c r="Q376"/>
  <c r="X381"/>
  <c r="AG380"/>
  <c r="AJ378"/>
  <c r="H464"/>
  <c r="O377"/>
  <c r="H482"/>
  <c r="DF212"/>
  <c r="DJ217"/>
  <c r="DJ212"/>
  <c r="DF219"/>
  <c r="DF217"/>
  <c r="DF221"/>
  <c r="DF214"/>
  <c r="DL216"/>
  <c r="DJ219"/>
  <c r="FD168"/>
  <c r="DT220"/>
  <c r="EY168"/>
  <c r="DO220"/>
  <c r="EX128"/>
  <c r="DN216"/>
  <c r="FA118"/>
  <c r="DQ215"/>
  <c r="EQ98"/>
  <c r="DG213"/>
  <c r="FS148"/>
  <c r="EI218"/>
  <c r="FC148"/>
  <c r="DS218"/>
  <c r="FI88"/>
  <c r="DY212"/>
  <c r="EW128"/>
  <c r="DM216"/>
  <c r="EY108"/>
  <c r="DO214"/>
  <c r="FG108"/>
  <c r="DW214"/>
  <c r="FO108"/>
  <c r="EE214"/>
  <c r="FB168"/>
  <c r="DR220"/>
  <c r="FF168"/>
  <c r="DV220"/>
  <c r="FL168"/>
  <c r="EB220"/>
  <c r="FQ168"/>
  <c r="EG220"/>
  <c r="FI168"/>
  <c r="DY220"/>
  <c r="FA168"/>
  <c r="DQ220"/>
  <c r="FN118"/>
  <c r="ED215"/>
  <c r="FF118"/>
  <c r="DV215"/>
  <c r="EX118"/>
  <c r="DN215"/>
  <c r="ET128"/>
  <c r="DJ216"/>
  <c r="FJ128"/>
  <c r="DZ216"/>
  <c r="FM118"/>
  <c r="EC215"/>
  <c r="FC98"/>
  <c r="DS213"/>
  <c r="FS98"/>
  <c r="EI213"/>
  <c r="FH148"/>
  <c r="DX218"/>
  <c r="FM148"/>
  <c r="EC218"/>
  <c r="FE148"/>
  <c r="DU218"/>
  <c r="FS88"/>
  <c r="EI212"/>
  <c r="FK88"/>
  <c r="EA212"/>
  <c r="FC88"/>
  <c r="DS212"/>
  <c r="FO128"/>
  <c r="EE216"/>
  <c r="FG128"/>
  <c r="DW216"/>
  <c r="EY128"/>
  <c r="DO216"/>
  <c r="FR98"/>
  <c r="EH213"/>
  <c r="FJ98"/>
  <c r="DZ213"/>
  <c r="FB98"/>
  <c r="DR213"/>
  <c r="ET98"/>
  <c r="DJ213"/>
  <c r="DM219"/>
  <c r="DJ221"/>
  <c r="EE221"/>
  <c r="EC219"/>
  <c r="DG221"/>
  <c r="DT221"/>
  <c r="EA219"/>
  <c r="EI215"/>
  <c r="DY219"/>
  <c r="DZ219"/>
  <c r="EK156"/>
  <c r="DH221"/>
  <c r="DX221"/>
  <c r="EB219"/>
  <c r="EB217"/>
  <c r="DT214"/>
  <c r="ED212"/>
  <c r="DS219"/>
  <c r="EB216"/>
  <c r="EG221"/>
  <c r="DW219"/>
  <c r="EH217"/>
  <c r="EJ214"/>
  <c r="DL217"/>
  <c r="EJ219"/>
  <c r="DZ217"/>
  <c r="DP214"/>
  <c r="DV221"/>
  <c r="DK221"/>
  <c r="DY221"/>
  <c r="EJ221"/>
  <c r="DR218"/>
  <c r="DI217"/>
  <c r="DP216"/>
  <c r="DO215"/>
  <c r="DV214"/>
  <c r="DO221"/>
  <c r="EC217"/>
  <c r="DZ214"/>
  <c r="FA108"/>
  <c r="DQ214"/>
  <c r="FH168"/>
  <c r="DX220"/>
  <c r="FO168"/>
  <c r="EE220"/>
  <c r="FQ118"/>
  <c r="EG215"/>
  <c r="FT148"/>
  <c r="EJ218"/>
  <c r="FE108"/>
  <c r="DU214"/>
  <c r="FR168"/>
  <c r="EH220"/>
  <c r="FN168"/>
  <c r="ED220"/>
  <c r="FT168"/>
  <c r="EJ220"/>
  <c r="FS168"/>
  <c r="EI220"/>
  <c r="FK168"/>
  <c r="EA220"/>
  <c r="FC168"/>
  <c r="DS220"/>
  <c r="FP118"/>
  <c r="EF215"/>
  <c r="FH118"/>
  <c r="DX215"/>
  <c r="EZ118"/>
  <c r="DP215"/>
  <c r="FF128"/>
  <c r="DV216"/>
  <c r="FI118"/>
  <c r="DY215"/>
  <c r="FO98"/>
  <c r="EE213"/>
  <c r="FL148"/>
  <c r="EB218"/>
  <c r="FO148"/>
  <c r="EE218"/>
  <c r="FG148"/>
  <c r="DW218"/>
  <c r="EY148"/>
  <c r="DO218"/>
  <c r="FM88"/>
  <c r="EC212"/>
  <c r="FE88"/>
  <c r="DU212"/>
  <c r="FQ128"/>
  <c r="EG216"/>
  <c r="FI128"/>
  <c r="DY216"/>
  <c r="FA128"/>
  <c r="DQ216"/>
  <c r="ES128"/>
  <c r="DI216"/>
  <c r="FT98"/>
  <c r="EJ213"/>
  <c r="FL98"/>
  <c r="EB213"/>
  <c r="FD98"/>
  <c r="DT213"/>
  <c r="DI221"/>
  <c r="DX216"/>
  <c r="DX212"/>
  <c r="DZ212"/>
  <c r="DP220"/>
  <c r="DG219"/>
  <c r="DN217"/>
  <c r="DQ217"/>
  <c r="ED217"/>
  <c r="EB214"/>
  <c r="EK171"/>
  <c r="DF215"/>
  <c r="FU137"/>
  <c r="FU170"/>
  <c r="FU173"/>
  <c r="DU221"/>
  <c r="DH219"/>
  <c r="DW215"/>
  <c r="DL220"/>
  <c r="DS217"/>
  <c r="EA221"/>
  <c r="EH221"/>
  <c r="DU219"/>
  <c r="EE219"/>
  <c r="DK217"/>
  <c r="DU217"/>
  <c r="DI213"/>
  <c r="DH212"/>
  <c r="EF212"/>
  <c r="EJ212"/>
  <c r="DO219"/>
  <c r="DV217"/>
  <c r="EC213"/>
  <c r="DR212"/>
  <c r="EH212"/>
  <c r="ED221"/>
  <c r="DX217"/>
  <c r="DX214"/>
  <c r="EI219"/>
  <c r="DL221"/>
  <c r="DZ221"/>
  <c r="DK219"/>
  <c r="DV218"/>
  <c r="EA217"/>
  <c r="DT216"/>
  <c r="DI215"/>
  <c r="DR214"/>
  <c r="DU213"/>
  <c r="DR221"/>
  <c r="DY217"/>
  <c r="DN214"/>
  <c r="DT219"/>
  <c r="EG219"/>
  <c r="DW217"/>
  <c r="EJ217"/>
  <c r="EB212"/>
  <c r="DP217"/>
  <c r="FI108"/>
  <c r="DY214"/>
  <c r="FQ108"/>
  <c r="EG214"/>
  <c r="FG168"/>
  <c r="DW220"/>
  <c r="EQ168"/>
  <c r="DG220"/>
  <c r="FT118"/>
  <c r="EJ215"/>
  <c r="FL118"/>
  <c r="EB215"/>
  <c r="FD118"/>
  <c r="DT215"/>
  <c r="FN128"/>
  <c r="ED216"/>
  <c r="FG98"/>
  <c r="DW213"/>
  <c r="FD148"/>
  <c r="DT218"/>
  <c r="FK148"/>
  <c r="EA218"/>
  <c r="FQ88"/>
  <c r="EG212"/>
  <c r="ES88"/>
  <c r="DI212"/>
  <c r="FM128"/>
  <c r="EC216"/>
  <c r="FE128"/>
  <c r="DU216"/>
  <c r="FP98"/>
  <c r="EF213"/>
  <c r="FH98"/>
  <c r="DX213"/>
  <c r="ER98"/>
  <c r="DH213"/>
  <c r="FM108"/>
  <c r="EC214"/>
  <c r="EW178"/>
  <c r="FU178" s="1"/>
  <c r="DM221"/>
  <c r="FC108"/>
  <c r="DS214"/>
  <c r="FK108"/>
  <c r="EA214"/>
  <c r="FS108"/>
  <c r="EI214"/>
  <c r="ER168"/>
  <c r="DH220"/>
  <c r="FM168"/>
  <c r="EC220"/>
  <c r="FE168"/>
  <c r="DU220"/>
  <c r="FR118"/>
  <c r="EH215"/>
  <c r="FJ118"/>
  <c r="DZ215"/>
  <c r="FB118"/>
  <c r="DR215"/>
  <c r="FB128"/>
  <c r="DR216"/>
  <c r="FR128"/>
  <c r="EH216"/>
  <c r="FE118"/>
  <c r="DU215"/>
  <c r="FK98"/>
  <c r="EA213"/>
  <c r="FP148"/>
  <c r="EF218"/>
  <c r="EZ148"/>
  <c r="DP218"/>
  <c r="FQ148"/>
  <c r="EG218"/>
  <c r="FI148"/>
  <c r="DY218"/>
  <c r="FA148"/>
  <c r="DQ218"/>
  <c r="FO88"/>
  <c r="EE212"/>
  <c r="FG88"/>
  <c r="DW212"/>
  <c r="EQ88"/>
  <c r="DG212"/>
  <c r="FS128"/>
  <c r="EI216"/>
  <c r="FK128"/>
  <c r="EA216"/>
  <c r="FC128"/>
  <c r="DS216"/>
  <c r="EU128"/>
  <c r="DK216"/>
  <c r="FN98"/>
  <c r="ED213"/>
  <c r="FF98"/>
  <c r="DV213"/>
  <c r="DN221"/>
  <c r="EF220"/>
  <c r="EF219"/>
  <c r="DX219"/>
  <c r="FU125"/>
  <c r="FU106"/>
  <c r="FU102"/>
  <c r="DF220"/>
  <c r="DF218"/>
  <c r="DF213"/>
  <c r="FU147"/>
  <c r="FU129"/>
  <c r="FU158"/>
  <c r="DG214"/>
  <c r="DL219"/>
  <c r="DQ221"/>
  <c r="DN219"/>
  <c r="EF214"/>
  <c r="EF221"/>
  <c r="ED218"/>
  <c r="DW221"/>
  <c r="DQ219"/>
  <c r="EH219"/>
  <c r="DR217"/>
  <c r="DS215"/>
  <c r="EB221"/>
  <c r="DP221"/>
  <c r="DP219"/>
  <c r="ED219"/>
  <c r="DT217"/>
  <c r="EG217"/>
  <c r="EG213"/>
  <c r="DN218"/>
  <c r="DS221"/>
  <c r="EC221"/>
  <c r="DJ220"/>
  <c r="EH218"/>
  <c r="DM217"/>
  <c r="EF216"/>
  <c r="EE215"/>
  <c r="EH214"/>
  <c r="EI221"/>
  <c r="EA215"/>
  <c r="DH214"/>
  <c r="DL214"/>
  <c r="DJ214"/>
  <c r="EW118"/>
  <c r="DM215"/>
  <c r="ET118"/>
  <c r="DJ215"/>
  <c r="FA91"/>
  <c r="EU91"/>
  <c r="EV123"/>
  <c r="DL215"/>
  <c r="EU123"/>
  <c r="DK215"/>
  <c r="ET155"/>
  <c r="DJ218"/>
  <c r="ES155"/>
  <c r="DI218"/>
  <c r="ER148"/>
  <c r="EW116"/>
  <c r="DM214"/>
  <c r="EU116"/>
  <c r="DK214"/>
  <c r="ES116"/>
  <c r="DI214"/>
  <c r="C375"/>
  <c r="D407" s="1"/>
  <c r="C377"/>
  <c r="D409" s="1"/>
  <c r="C376"/>
  <c r="D408" s="1"/>
  <c r="C382"/>
  <c r="D414" s="1"/>
  <c r="D29"/>
  <c r="C381"/>
  <c r="D413" s="1"/>
  <c r="D27"/>
  <c r="D545"/>
  <c r="I544" s="1"/>
  <c r="J43"/>
  <c r="C379"/>
  <c r="D411" s="1"/>
  <c r="C378"/>
  <c r="D410" s="1"/>
  <c r="H61"/>
  <c r="Y61"/>
  <c r="AC61"/>
  <c r="AG61"/>
  <c r="O61"/>
  <c r="AA61"/>
  <c r="K61"/>
  <c r="J45"/>
  <c r="D25"/>
  <c r="G61"/>
  <c r="EX175"/>
  <c r="DN220"/>
  <c r="EW175"/>
  <c r="DM220"/>
  <c r="EU175"/>
  <c r="DK220"/>
  <c r="FU165"/>
  <c r="EV153"/>
  <c r="DL218"/>
  <c r="EW154"/>
  <c r="DM218"/>
  <c r="EU154"/>
  <c r="DK218"/>
  <c r="K381"/>
  <c r="K379"/>
  <c r="K373"/>
  <c r="K380"/>
  <c r="K376"/>
  <c r="AE61"/>
  <c r="G376"/>
  <c r="G373"/>
  <c r="G375"/>
  <c r="G381"/>
  <c r="G380"/>
  <c r="G377"/>
  <c r="G379"/>
  <c r="T379"/>
  <c r="T375"/>
  <c r="T374"/>
  <c r="T376"/>
  <c r="AC379"/>
  <c r="AC375"/>
  <c r="AC377"/>
  <c r="AC373"/>
  <c r="AJ375"/>
  <c r="AJ376"/>
  <c r="AE379"/>
  <c r="AE377"/>
  <c r="AE373"/>
  <c r="AE380"/>
  <c r="AE376"/>
  <c r="AE381"/>
  <c r="AE375"/>
  <c r="K374"/>
  <c r="FU152"/>
  <c r="FU150"/>
  <c r="FU146"/>
  <c r="FU143"/>
  <c r="H486"/>
  <c r="G378"/>
  <c r="H504"/>
  <c r="K377"/>
  <c r="Q377"/>
  <c r="T373"/>
  <c r="X378"/>
  <c r="V380"/>
  <c r="V375"/>
  <c r="AA373"/>
  <c r="AA381"/>
  <c r="AA378"/>
  <c r="AG381"/>
  <c r="AG376"/>
  <c r="FU166"/>
  <c r="FU96"/>
  <c r="FU132"/>
  <c r="FU122"/>
  <c r="FU163"/>
  <c r="T61"/>
  <c r="X61"/>
  <c r="D41"/>
  <c r="X382"/>
  <c r="X380"/>
  <c r="AH380"/>
  <c r="AH381"/>
  <c r="AH378"/>
  <c r="AH377"/>
  <c r="AH376"/>
  <c r="AH382"/>
  <c r="AH374"/>
  <c r="AH373"/>
  <c r="R381"/>
  <c r="R380"/>
  <c r="R374"/>
  <c r="R382"/>
  <c r="R378"/>
  <c r="R377"/>
  <c r="R376"/>
  <c r="R373"/>
  <c r="Q375"/>
  <c r="Q378"/>
  <c r="Q381"/>
  <c r="Q373"/>
  <c r="X379"/>
  <c r="X377"/>
  <c r="V373"/>
  <c r="V382"/>
  <c r="V379"/>
  <c r="FU136"/>
  <c r="FU94"/>
  <c r="FU126"/>
  <c r="FU120"/>
  <c r="G374"/>
  <c r="R375"/>
  <c r="K375"/>
  <c r="K382"/>
  <c r="Q380"/>
  <c r="T382"/>
  <c r="X375"/>
  <c r="X376"/>
  <c r="V378"/>
  <c r="V377"/>
  <c r="AA380"/>
  <c r="AG374"/>
  <c r="AG379"/>
  <c r="FU182"/>
  <c r="FU177"/>
  <c r="FU171"/>
  <c r="FU157"/>
  <c r="FU114"/>
  <c r="FU110"/>
  <c r="FU138"/>
  <c r="FU90"/>
  <c r="L61"/>
  <c r="Q61"/>
  <c r="F515"/>
  <c r="I516" s="1"/>
  <c r="J516" s="1"/>
  <c r="G515"/>
  <c r="F499"/>
  <c r="G499"/>
  <c r="F483"/>
  <c r="I484" s="1"/>
  <c r="J484" s="1"/>
  <c r="G483"/>
  <c r="F467"/>
  <c r="I468" s="1"/>
  <c r="J468" s="1"/>
  <c r="G467"/>
  <c r="J42"/>
  <c r="D26"/>
  <c r="C374"/>
  <c r="D533"/>
  <c r="I540"/>
  <c r="P61"/>
  <c r="EK174"/>
  <c r="EP174"/>
  <c r="FU174" s="1"/>
  <c r="EP179"/>
  <c r="FU179" s="1"/>
  <c r="EK179"/>
  <c r="EK186"/>
  <c r="EP186"/>
  <c r="FU186" s="1"/>
  <c r="EP168"/>
  <c r="EK168"/>
  <c r="EP133"/>
  <c r="FU133" s="1"/>
  <c r="EK133"/>
  <c r="EK124"/>
  <c r="EP124"/>
  <c r="FU124" s="1"/>
  <c r="EP97"/>
  <c r="FU97" s="1"/>
  <c r="EK97"/>
  <c r="EP91"/>
  <c r="EK91"/>
  <c r="EK145"/>
  <c r="EP145"/>
  <c r="FU145" s="1"/>
  <c r="EP172"/>
  <c r="FU172" s="1"/>
  <c r="EK172"/>
  <c r="F509"/>
  <c r="G509"/>
  <c r="F493"/>
  <c r="I494" s="1"/>
  <c r="J494" s="1"/>
  <c r="G493"/>
  <c r="F477"/>
  <c r="I478" s="1"/>
  <c r="J478" s="1"/>
  <c r="G477"/>
  <c r="F461"/>
  <c r="I462" s="1"/>
  <c r="J462" s="1"/>
  <c r="G461"/>
  <c r="D412"/>
  <c r="D30"/>
  <c r="J46"/>
  <c r="Z61"/>
  <c r="AB61"/>
  <c r="EP151"/>
  <c r="FU151" s="1"/>
  <c r="EK151"/>
  <c r="EP121"/>
  <c r="FU121" s="1"/>
  <c r="EK121"/>
  <c r="EK119"/>
  <c r="EP119"/>
  <c r="FU119" s="1"/>
  <c r="EP118"/>
  <c r="EK118"/>
  <c r="EP100"/>
  <c r="FU100" s="1"/>
  <c r="EK100"/>
  <c r="EK160"/>
  <c r="EP160"/>
  <c r="FU160" s="1"/>
  <c r="EP95"/>
  <c r="FU95" s="1"/>
  <c r="EK95"/>
  <c r="EP93"/>
  <c r="FU93" s="1"/>
  <c r="EK93"/>
  <c r="G40"/>
  <c r="G426" s="1"/>
  <c r="D24"/>
  <c r="F511"/>
  <c r="I512" s="1"/>
  <c r="J512" s="1"/>
  <c r="G511"/>
  <c r="F503"/>
  <c r="G503"/>
  <c r="F495"/>
  <c r="G495"/>
  <c r="F487"/>
  <c r="I488" s="1"/>
  <c r="J488" s="1"/>
  <c r="G487"/>
  <c r="F479"/>
  <c r="I480" s="1"/>
  <c r="J480" s="1"/>
  <c r="G479"/>
  <c r="F471"/>
  <c r="I472" s="1"/>
  <c r="J472" s="1"/>
  <c r="G471"/>
  <c r="F463"/>
  <c r="G463"/>
  <c r="I538"/>
  <c r="I548"/>
  <c r="EK175"/>
  <c r="EP175"/>
  <c r="EP176"/>
  <c r="FU176" s="1"/>
  <c r="EK176"/>
  <c r="EK159"/>
  <c r="EP159"/>
  <c r="FU159" s="1"/>
  <c r="EP144"/>
  <c r="FU144" s="1"/>
  <c r="EK144"/>
  <c r="EK141"/>
  <c r="EP141"/>
  <c r="FU141" s="1"/>
  <c r="EK140"/>
  <c r="EP140"/>
  <c r="FU140" s="1"/>
  <c r="EP185"/>
  <c r="FU185" s="1"/>
  <c r="EK185"/>
  <c r="EK181"/>
  <c r="EP181"/>
  <c r="FU181" s="1"/>
  <c r="EP127"/>
  <c r="FU127" s="1"/>
  <c r="EK127"/>
  <c r="EP117"/>
  <c r="FU117" s="1"/>
  <c r="EK117"/>
  <c r="EP113"/>
  <c r="FU113" s="1"/>
  <c r="EK113"/>
  <c r="EP109"/>
  <c r="FU109" s="1"/>
  <c r="EK109"/>
  <c r="EP105"/>
  <c r="FU105" s="1"/>
  <c r="EK105"/>
  <c r="EK101"/>
  <c r="EP101"/>
  <c r="FU101" s="1"/>
  <c r="EP161"/>
  <c r="FU161" s="1"/>
  <c r="EK161"/>
  <c r="EP128"/>
  <c r="EK128"/>
  <c r="EP167"/>
  <c r="FU167" s="1"/>
  <c r="EK167"/>
  <c r="EP115"/>
  <c r="FU115" s="1"/>
  <c r="EK115"/>
  <c r="EP111"/>
  <c r="FU111" s="1"/>
  <c r="EK111"/>
  <c r="EP103"/>
  <c r="FU103" s="1"/>
  <c r="EK103"/>
  <c r="EP98"/>
  <c r="EK98"/>
  <c r="FU164"/>
  <c r="FU180"/>
  <c r="EK136"/>
  <c r="FU99"/>
  <c r="EK116"/>
  <c r="H458"/>
  <c r="EK164"/>
  <c r="EK147"/>
  <c r="EK180"/>
  <c r="EK110"/>
  <c r="EK132"/>
  <c r="FU104"/>
  <c r="EK104"/>
  <c r="EK177"/>
  <c r="EK150"/>
  <c r="FU156"/>
  <c r="EK114"/>
  <c r="EK102"/>
  <c r="EK148"/>
  <c r="EK126"/>
  <c r="EK88"/>
  <c r="EK108"/>
  <c r="EK149"/>
  <c r="F507"/>
  <c r="I508" s="1"/>
  <c r="J508" s="1"/>
  <c r="G507"/>
  <c r="F491"/>
  <c r="G491"/>
  <c r="F475"/>
  <c r="G475"/>
  <c r="F459"/>
  <c r="I542"/>
  <c r="I550"/>
  <c r="J39"/>
  <c r="D23"/>
  <c r="AF61"/>
  <c r="EP107"/>
  <c r="FU107" s="1"/>
  <c r="EK107"/>
  <c r="EP155"/>
  <c r="EK155"/>
  <c r="EP123"/>
  <c r="EK123"/>
  <c r="EP130"/>
  <c r="FU130" s="1"/>
  <c r="EK130"/>
  <c r="F517"/>
  <c r="I518" s="1"/>
  <c r="J518" s="1"/>
  <c r="G517"/>
  <c r="F501"/>
  <c r="I502" s="1"/>
  <c r="J502" s="1"/>
  <c r="G501"/>
  <c r="F485"/>
  <c r="G485"/>
  <c r="F469"/>
  <c r="G469"/>
  <c r="R61"/>
  <c r="AH61"/>
  <c r="AJ61"/>
  <c r="EP153"/>
  <c r="EK153"/>
  <c r="EK89"/>
  <c r="EP89"/>
  <c r="FU89" s="1"/>
  <c r="G457"/>
  <c r="F457"/>
  <c r="G513"/>
  <c r="F513"/>
  <c r="I514" s="1"/>
  <c r="J514" s="1"/>
  <c r="G505"/>
  <c r="F505"/>
  <c r="I506" s="1"/>
  <c r="J506" s="1"/>
  <c r="G497"/>
  <c r="F497"/>
  <c r="I498" s="1"/>
  <c r="J498" s="1"/>
  <c r="G489"/>
  <c r="F489"/>
  <c r="G481"/>
  <c r="F481"/>
  <c r="G473"/>
  <c r="F473"/>
  <c r="G465"/>
  <c r="F465"/>
  <c r="I466" s="1"/>
  <c r="J466" s="1"/>
  <c r="G38"/>
  <c r="G424" s="1"/>
  <c r="D22"/>
  <c r="C373"/>
  <c r="D531"/>
  <c r="N61"/>
  <c r="V61"/>
  <c r="AD61"/>
  <c r="I536"/>
  <c r="J44"/>
  <c r="D28"/>
  <c r="P37"/>
  <c r="P423" s="1"/>
  <c r="D21"/>
  <c r="EP183"/>
  <c r="FU183" s="1"/>
  <c r="EK183"/>
  <c r="EP187"/>
  <c r="FU187" s="1"/>
  <c r="EK187"/>
  <c r="EP169"/>
  <c r="FU169" s="1"/>
  <c r="EK169"/>
  <c r="EK142"/>
  <c r="EP142"/>
  <c r="FU142" s="1"/>
  <c r="EK143"/>
  <c r="FU184"/>
  <c r="FU134"/>
  <c r="EK99"/>
  <c r="EK134"/>
  <c r="EK139"/>
  <c r="EK129"/>
  <c r="EK184"/>
  <c r="EK146"/>
  <c r="EK122"/>
  <c r="EK135"/>
  <c r="EK178"/>
  <c r="EK154"/>
  <c r="EK152"/>
  <c r="EK106"/>
  <c r="EK125"/>
  <c r="EK166"/>
  <c r="FU135"/>
  <c r="FU112"/>
  <c r="EK157"/>
  <c r="EK112"/>
  <c r="FU139"/>
  <c r="FU149"/>
  <c r="AK430" l="1"/>
  <c r="AK448" s="1"/>
  <c r="AK428"/>
  <c r="AK446" s="1"/>
  <c r="AK426"/>
  <c r="AK444" s="1"/>
  <c r="AF425"/>
  <c r="AF443" s="1"/>
  <c r="I492"/>
  <c r="J492" s="1"/>
  <c r="K494" s="1"/>
  <c r="AF428"/>
  <c r="AF446" s="1"/>
  <c r="AK429"/>
  <c r="AK447" s="1"/>
  <c r="AK423"/>
  <c r="AK441" s="1"/>
  <c r="AK424"/>
  <c r="AK442" s="1"/>
  <c r="AK425"/>
  <c r="AK443" s="1"/>
  <c r="AK431"/>
  <c r="AK449" s="1"/>
  <c r="AK427"/>
  <c r="AK445" s="1"/>
  <c r="T423"/>
  <c r="T441" s="1"/>
  <c r="I476"/>
  <c r="J476" s="1"/>
  <c r="K478" s="1"/>
  <c r="AA424"/>
  <c r="AA442" s="1"/>
  <c r="K430"/>
  <c r="K448" s="1"/>
  <c r="U431"/>
  <c r="U449" s="1"/>
  <c r="R423"/>
  <c r="R441" s="1"/>
  <c r="AA429"/>
  <c r="AA447" s="1"/>
  <c r="X424"/>
  <c r="X442" s="1"/>
  <c r="R431"/>
  <c r="R449" s="1"/>
  <c r="X429"/>
  <c r="X447" s="1"/>
  <c r="T426"/>
  <c r="T444" s="1"/>
  <c r="AB431"/>
  <c r="AB449" s="1"/>
  <c r="AA426"/>
  <c r="AA444" s="1"/>
  <c r="X427"/>
  <c r="X445" s="1"/>
  <c r="AI425"/>
  <c r="AI443" s="1"/>
  <c r="X425"/>
  <c r="X443" s="1"/>
  <c r="AA425"/>
  <c r="AA443" s="1"/>
  <c r="AA432"/>
  <c r="AA450" s="1"/>
  <c r="R427"/>
  <c r="R445" s="1"/>
  <c r="AJ432"/>
  <c r="AJ450" s="1"/>
  <c r="X430"/>
  <c r="X448" s="1"/>
  <c r="U430"/>
  <c r="U448" s="1"/>
  <c r="X428"/>
  <c r="X446" s="1"/>
  <c r="AI430"/>
  <c r="AI448" s="1"/>
  <c r="R425"/>
  <c r="R443" s="1"/>
  <c r="R429"/>
  <c r="R447" s="1"/>
  <c r="I490"/>
  <c r="J490" s="1"/>
  <c r="K490" s="1"/>
  <c r="AF426"/>
  <c r="AF444" s="1"/>
  <c r="K426"/>
  <c r="K444" s="1"/>
  <c r="AI428"/>
  <c r="AI446" s="1"/>
  <c r="R428"/>
  <c r="R446" s="1"/>
  <c r="K423"/>
  <c r="K441" s="1"/>
  <c r="AF430"/>
  <c r="AF448" s="1"/>
  <c r="AF431"/>
  <c r="AF449" s="1"/>
  <c r="I496"/>
  <c r="J496" s="1"/>
  <c r="K498" s="1"/>
  <c r="X431"/>
  <c r="X449" s="1"/>
  <c r="AG428"/>
  <c r="AG446" s="1"/>
  <c r="AG432"/>
  <c r="AG450" s="1"/>
  <c r="R432"/>
  <c r="R450" s="1"/>
  <c r="AA428"/>
  <c r="AA446" s="1"/>
  <c r="T432"/>
  <c r="T450" s="1"/>
  <c r="T431"/>
  <c r="T449" s="1"/>
  <c r="Z431"/>
  <c r="Z449" s="1"/>
  <c r="AH426"/>
  <c r="AH444" s="1"/>
  <c r="AE426"/>
  <c r="AE444" s="1"/>
  <c r="J425"/>
  <c r="J432"/>
  <c r="V428"/>
  <c r="V446" s="1"/>
  <c r="AE430"/>
  <c r="AE448" s="1"/>
  <c r="Q426"/>
  <c r="Q444" s="1"/>
  <c r="AE429"/>
  <c r="AE447" s="1"/>
  <c r="Q423"/>
  <c r="Q441" s="1"/>
  <c r="AG425"/>
  <c r="AG443" s="1"/>
  <c r="AE431"/>
  <c r="AE449" s="1"/>
  <c r="Q430"/>
  <c r="Q448" s="1"/>
  <c r="Z427"/>
  <c r="Z445" s="1"/>
  <c r="AH425"/>
  <c r="AH443" s="1"/>
  <c r="AF424"/>
  <c r="AF442" s="1"/>
  <c r="AF429"/>
  <c r="AF447" s="1"/>
  <c r="V429"/>
  <c r="V447" s="1"/>
  <c r="V430"/>
  <c r="V448" s="1"/>
  <c r="J430"/>
  <c r="J429"/>
  <c r="AG427"/>
  <c r="AG445" s="1"/>
  <c r="AH432"/>
  <c r="AH450" s="1"/>
  <c r="O431"/>
  <c r="O449" s="1"/>
  <c r="O427"/>
  <c r="O445" s="1"/>
  <c r="Z423"/>
  <c r="Z441" s="1"/>
  <c r="O428"/>
  <c r="O446" s="1"/>
  <c r="V427"/>
  <c r="V445" s="1"/>
  <c r="Q424"/>
  <c r="Q442" s="1"/>
  <c r="Z424"/>
  <c r="Z442" s="1"/>
  <c r="AE424"/>
  <c r="AE442" s="1"/>
  <c r="I474"/>
  <c r="J474" s="1"/>
  <c r="K474" s="1"/>
  <c r="I470"/>
  <c r="J470" s="1"/>
  <c r="K472" s="1"/>
  <c r="J431"/>
  <c r="J449" s="1"/>
  <c r="O429"/>
  <c r="O447" s="1"/>
  <c r="O432"/>
  <c r="O450" s="1"/>
  <c r="AH427"/>
  <c r="AH445" s="1"/>
  <c r="Z429"/>
  <c r="Z447" s="1"/>
  <c r="Z430"/>
  <c r="Z448" s="1"/>
  <c r="Z432"/>
  <c r="Z450" s="1"/>
  <c r="O425"/>
  <c r="O443" s="1"/>
  <c r="AG424"/>
  <c r="AG442" s="1"/>
  <c r="Z426"/>
  <c r="Z444" s="1"/>
  <c r="AE423"/>
  <c r="AE441" s="1"/>
  <c r="AE425"/>
  <c r="AE443" s="1"/>
  <c r="AH431"/>
  <c r="AH449" s="1"/>
  <c r="Z425"/>
  <c r="Z443" s="1"/>
  <c r="O426"/>
  <c r="O444" s="1"/>
  <c r="V432"/>
  <c r="V450" s="1"/>
  <c r="Q429"/>
  <c r="Q447" s="1"/>
  <c r="O423"/>
  <c r="O441" s="1"/>
  <c r="AF423"/>
  <c r="AF441" s="1"/>
  <c r="AH424"/>
  <c r="AH442" s="1"/>
  <c r="AH423"/>
  <c r="AH441" s="1"/>
  <c r="AH428"/>
  <c r="AH446" s="1"/>
  <c r="Q425"/>
  <c r="Q443" s="1"/>
  <c r="I510"/>
  <c r="J510" s="1"/>
  <c r="K510" s="1"/>
  <c r="J428"/>
  <c r="AG431"/>
  <c r="AG449" s="1"/>
  <c r="AG430"/>
  <c r="AG448" s="1"/>
  <c r="AE427"/>
  <c r="AE445" s="1"/>
  <c r="Q432"/>
  <c r="Q450" s="1"/>
  <c r="J424"/>
  <c r="J442" s="1"/>
  <c r="AG429"/>
  <c r="AG447" s="1"/>
  <c r="V423"/>
  <c r="V441" s="1"/>
  <c r="U425"/>
  <c r="U443" s="1"/>
  <c r="Q431"/>
  <c r="Q449" s="1"/>
  <c r="O430"/>
  <c r="O448" s="1"/>
  <c r="Q427"/>
  <c r="Q445" s="1"/>
  <c r="AE432"/>
  <c r="AE450" s="1"/>
  <c r="AH429"/>
  <c r="AH447" s="1"/>
  <c r="V424"/>
  <c r="V442" s="1"/>
  <c r="AG423"/>
  <c r="AG441" s="1"/>
  <c r="J426"/>
  <c r="J444" s="1"/>
  <c r="AJ429"/>
  <c r="AJ447" s="1"/>
  <c r="AB427"/>
  <c r="AB445" s="1"/>
  <c r="U428"/>
  <c r="U446" s="1"/>
  <c r="AB430"/>
  <c r="AB448" s="1"/>
  <c r="AB423"/>
  <c r="AB441" s="1"/>
  <c r="I482"/>
  <c r="J482" s="1"/>
  <c r="K482" s="1"/>
  <c r="T425"/>
  <c r="T443" s="1"/>
  <c r="AA431"/>
  <c r="AA449" s="1"/>
  <c r="AA430"/>
  <c r="AA448" s="1"/>
  <c r="AI429"/>
  <c r="AI447" s="1"/>
  <c r="K427"/>
  <c r="K445" s="1"/>
  <c r="K432"/>
  <c r="K450" s="1"/>
  <c r="R426"/>
  <c r="R444" s="1"/>
  <c r="R424"/>
  <c r="R442" s="1"/>
  <c r="AJ426"/>
  <c r="AJ444" s="1"/>
  <c r="U426"/>
  <c r="U444" s="1"/>
  <c r="X432"/>
  <c r="X450" s="1"/>
  <c r="AA427"/>
  <c r="AA445" s="1"/>
  <c r="AJ427"/>
  <c r="AJ445" s="1"/>
  <c r="AB424"/>
  <c r="AB442" s="1"/>
  <c r="K431"/>
  <c r="K449" s="1"/>
  <c r="J427"/>
  <c r="J445" s="1"/>
  <c r="T430"/>
  <c r="T448" s="1"/>
  <c r="AJ428"/>
  <c r="AJ446" s="1"/>
  <c r="X423"/>
  <c r="X441" s="1"/>
  <c r="AB425"/>
  <c r="AB443" s="1"/>
  <c r="AB429"/>
  <c r="AB447" s="1"/>
  <c r="AJ424"/>
  <c r="AJ442" s="1"/>
  <c r="AB426"/>
  <c r="AB444" s="1"/>
  <c r="U427"/>
  <c r="U445" s="1"/>
  <c r="T428"/>
  <c r="T446" s="1"/>
  <c r="U429"/>
  <c r="U447" s="1"/>
  <c r="U432"/>
  <c r="U450" s="1"/>
  <c r="AI423"/>
  <c r="AI441" s="1"/>
  <c r="AI424"/>
  <c r="AI442" s="1"/>
  <c r="AB432"/>
  <c r="AB450" s="1"/>
  <c r="AJ425"/>
  <c r="AJ443" s="1"/>
  <c r="T427"/>
  <c r="T445" s="1"/>
  <c r="AI432"/>
  <c r="AI450" s="1"/>
  <c r="AJ430"/>
  <c r="AJ448" s="1"/>
  <c r="T429"/>
  <c r="T447" s="1"/>
  <c r="AJ423"/>
  <c r="AJ441" s="1"/>
  <c r="K425"/>
  <c r="K443" s="1"/>
  <c r="AI431"/>
  <c r="AI449" s="1"/>
  <c r="K428"/>
  <c r="K446" s="1"/>
  <c r="AI427"/>
  <c r="AI445" s="1"/>
  <c r="V431"/>
  <c r="V449" s="1"/>
  <c r="V426"/>
  <c r="V444" s="1"/>
  <c r="U424"/>
  <c r="U442" s="1"/>
  <c r="K424"/>
  <c r="K442" s="1"/>
  <c r="Y11"/>
  <c r="I500"/>
  <c r="J500" s="1"/>
  <c r="K502" s="1"/>
  <c r="I464"/>
  <c r="J464" s="1"/>
  <c r="K464" s="1"/>
  <c r="FU128"/>
  <c r="AD8" s="1"/>
  <c r="I504"/>
  <c r="J504" s="1"/>
  <c r="K506" s="1"/>
  <c r="FU108"/>
  <c r="FU88"/>
  <c r="I460"/>
  <c r="J460" s="1"/>
  <c r="K462" s="1"/>
  <c r="DG232"/>
  <c r="DG229"/>
  <c r="AD9"/>
  <c r="DG226"/>
  <c r="FU154"/>
  <c r="FU148"/>
  <c r="DG230"/>
  <c r="DG234"/>
  <c r="Z9"/>
  <c r="FU153"/>
  <c r="AD13"/>
  <c r="X11"/>
  <c r="FU98"/>
  <c r="AD5" s="1"/>
  <c r="FU168"/>
  <c r="FU116"/>
  <c r="DG233"/>
  <c r="FU118"/>
  <c r="DG228"/>
  <c r="FU91"/>
  <c r="DG225"/>
  <c r="FU123"/>
  <c r="FU155"/>
  <c r="DG231"/>
  <c r="DG227"/>
  <c r="I546"/>
  <c r="D43"/>
  <c r="E43" s="1"/>
  <c r="E41"/>
  <c r="D377"/>
  <c r="E377" s="1"/>
  <c r="I458"/>
  <c r="J458" s="1"/>
  <c r="K458" s="1"/>
  <c r="D376"/>
  <c r="E376" s="1"/>
  <c r="D380"/>
  <c r="E380" s="1"/>
  <c r="D378"/>
  <c r="E378" s="1"/>
  <c r="D373"/>
  <c r="E373" s="1"/>
  <c r="D381"/>
  <c r="E381" s="1"/>
  <c r="D382"/>
  <c r="E382" s="1"/>
  <c r="D379"/>
  <c r="E379" s="1"/>
  <c r="K514"/>
  <c r="D375"/>
  <c r="E375" s="1"/>
  <c r="D32"/>
  <c r="AN15" s="1"/>
  <c r="D45"/>
  <c r="E45" s="1"/>
  <c r="FU175"/>
  <c r="AD11"/>
  <c r="AC11"/>
  <c r="G445"/>
  <c r="AC9"/>
  <c r="I486"/>
  <c r="J486" s="1"/>
  <c r="K486" s="1"/>
  <c r="K518"/>
  <c r="AE13"/>
  <c r="D374"/>
  <c r="E374" s="1"/>
  <c r="D37"/>
  <c r="E414"/>
  <c r="G414"/>
  <c r="Z5"/>
  <c r="Y5"/>
  <c r="X5"/>
  <c r="D40"/>
  <c r="E40" s="1"/>
  <c r="G411"/>
  <c r="E411"/>
  <c r="G413"/>
  <c r="E413"/>
  <c r="Z10"/>
  <c r="X10"/>
  <c r="Y10"/>
  <c r="Z12"/>
  <c r="X12"/>
  <c r="Y12"/>
  <c r="D42"/>
  <c r="E42" s="1"/>
  <c r="D44"/>
  <c r="E44" s="1"/>
  <c r="E409"/>
  <c r="G409"/>
  <c r="D38"/>
  <c r="E38" s="1"/>
  <c r="D39"/>
  <c r="E39" s="1"/>
  <c r="Z8"/>
  <c r="Y8"/>
  <c r="X8"/>
  <c r="E412"/>
  <c r="G412"/>
  <c r="G408"/>
  <c r="E408"/>
  <c r="AE9"/>
  <c r="AE11"/>
  <c r="K516"/>
  <c r="G520"/>
  <c r="AR15" s="1"/>
  <c r="X9"/>
  <c r="Z11"/>
  <c r="K508"/>
  <c r="AC13"/>
  <c r="Y13"/>
  <c r="X13"/>
  <c r="Z13"/>
  <c r="D405"/>
  <c r="E405" s="1"/>
  <c r="E531" s="1"/>
  <c r="G531" s="1"/>
  <c r="E410"/>
  <c r="G410"/>
  <c r="X6"/>
  <c r="Y6"/>
  <c r="Z6"/>
  <c r="G407"/>
  <c r="E407"/>
  <c r="I534"/>
  <c r="I532"/>
  <c r="Y4"/>
  <c r="Z4"/>
  <c r="X4"/>
  <c r="Z7"/>
  <c r="X7"/>
  <c r="Y7"/>
  <c r="J61"/>
  <c r="D61" s="1"/>
  <c r="D46"/>
  <c r="E46" s="1"/>
  <c r="D406"/>
  <c r="Y9"/>
  <c r="K480"/>
  <c r="K468"/>
  <c r="K492" l="1"/>
  <c r="AE8"/>
  <c r="AF8" s="1"/>
  <c r="K496"/>
  <c r="AA13"/>
  <c r="K470"/>
  <c r="K476"/>
  <c r="K512"/>
  <c r="K484"/>
  <c r="C449"/>
  <c r="C445"/>
  <c r="C429"/>
  <c r="C427"/>
  <c r="AC8"/>
  <c r="AF9"/>
  <c r="AA11"/>
  <c r="AC4"/>
  <c r="F393"/>
  <c r="F379" s="1"/>
  <c r="E57" s="1"/>
  <c r="V57" s="1"/>
  <c r="F395"/>
  <c r="F381" s="1"/>
  <c r="E59" s="1"/>
  <c r="T59" s="1"/>
  <c r="F390"/>
  <c r="F376" s="1"/>
  <c r="E54" s="1"/>
  <c r="AG54" s="1"/>
  <c r="C431"/>
  <c r="J447"/>
  <c r="C447" s="1"/>
  <c r="K500"/>
  <c r="K466"/>
  <c r="AF13"/>
  <c r="K504"/>
  <c r="AE5"/>
  <c r="AF5" s="1"/>
  <c r="F394"/>
  <c r="F380" s="1"/>
  <c r="E58" s="1"/>
  <c r="U58" s="1"/>
  <c r="AC5"/>
  <c r="AD6"/>
  <c r="DH229"/>
  <c r="AE7"/>
  <c r="AE6"/>
  <c r="AA9"/>
  <c r="DH232"/>
  <c r="DH233"/>
  <c r="AC6"/>
  <c r="DH230"/>
  <c r="AC12"/>
  <c r="DH234"/>
  <c r="DH226"/>
  <c r="AE10"/>
  <c r="AC7"/>
  <c r="DH228"/>
  <c r="AD4"/>
  <c r="AE4"/>
  <c r="AD7"/>
  <c r="DH227"/>
  <c r="AD10"/>
  <c r="AC10"/>
  <c r="DH231"/>
  <c r="AA6"/>
  <c r="F396"/>
  <c r="F382" s="1"/>
  <c r="E60" s="1"/>
  <c r="K60" s="1"/>
  <c r="F392"/>
  <c r="F378" s="1"/>
  <c r="E56" s="1"/>
  <c r="K56" s="1"/>
  <c r="F389"/>
  <c r="F375" s="1"/>
  <c r="E53" s="1"/>
  <c r="J53" s="1"/>
  <c r="K460"/>
  <c r="F391"/>
  <c r="F377" s="1"/>
  <c r="E55" s="1"/>
  <c r="K488"/>
  <c r="AD12"/>
  <c r="AA12"/>
  <c r="AE12"/>
  <c r="AF11"/>
  <c r="E406"/>
  <c r="F407" s="1"/>
  <c r="G406"/>
  <c r="H392"/>
  <c r="H410"/>
  <c r="E545"/>
  <c r="F412"/>
  <c r="E539"/>
  <c r="F409"/>
  <c r="E543"/>
  <c r="F411"/>
  <c r="E549"/>
  <c r="F414"/>
  <c r="H412"/>
  <c r="H394"/>
  <c r="J443"/>
  <c r="C443" s="1"/>
  <c r="C425"/>
  <c r="H409"/>
  <c r="H391"/>
  <c r="E547"/>
  <c r="F413"/>
  <c r="H396"/>
  <c r="H414"/>
  <c r="H408"/>
  <c r="H390"/>
  <c r="G444"/>
  <c r="C444" s="1"/>
  <c r="C426"/>
  <c r="D48"/>
  <c r="AO15" s="1"/>
  <c r="E37"/>
  <c r="F388"/>
  <c r="F374" s="1"/>
  <c r="E52" s="1"/>
  <c r="AA7"/>
  <c r="AA8"/>
  <c r="AA10"/>
  <c r="AA5"/>
  <c r="H407"/>
  <c r="H389"/>
  <c r="J446"/>
  <c r="C446" s="1"/>
  <c r="C428"/>
  <c r="H413"/>
  <c r="H395"/>
  <c r="J450"/>
  <c r="C450" s="1"/>
  <c r="C432"/>
  <c r="E535"/>
  <c r="E541"/>
  <c r="F410"/>
  <c r="E537"/>
  <c r="F408"/>
  <c r="C424"/>
  <c r="G442"/>
  <c r="C442" s="1"/>
  <c r="J448"/>
  <c r="C448" s="1"/>
  <c r="C430"/>
  <c r="H411"/>
  <c r="H393"/>
  <c r="P441"/>
  <c r="C441" s="1"/>
  <c r="C423"/>
  <c r="AA4"/>
  <c r="J57" l="1"/>
  <c r="T57"/>
  <c r="AE57"/>
  <c r="Z57"/>
  <c r="AI57"/>
  <c r="M57"/>
  <c r="AF57"/>
  <c r="AC57"/>
  <c r="H57"/>
  <c r="AB57"/>
  <c r="Q57"/>
  <c r="N57"/>
  <c r="P57"/>
  <c r="AJ57"/>
  <c r="U57"/>
  <c r="AH57"/>
  <c r="R57"/>
  <c r="G57"/>
  <c r="K57"/>
  <c r="AG57"/>
  <c r="AD57"/>
  <c r="W57"/>
  <c r="S57"/>
  <c r="AK57"/>
  <c r="X57"/>
  <c r="AA57"/>
  <c r="O57"/>
  <c r="L57"/>
  <c r="Y57"/>
  <c r="I57"/>
  <c r="H59"/>
  <c r="J59"/>
  <c r="AC59"/>
  <c r="AG59"/>
  <c r="G59"/>
  <c r="X59"/>
  <c r="M59"/>
  <c r="W59"/>
  <c r="AD54"/>
  <c r="P54"/>
  <c r="H54"/>
  <c r="V54"/>
  <c r="U59"/>
  <c r="I59"/>
  <c r="AA59"/>
  <c r="L59"/>
  <c r="AK59"/>
  <c r="V59"/>
  <c r="Q59"/>
  <c r="Z59"/>
  <c r="AE59"/>
  <c r="O59"/>
  <c r="AF59"/>
  <c r="P59"/>
  <c r="K54"/>
  <c r="N54"/>
  <c r="N59"/>
  <c r="R59"/>
  <c r="K59"/>
  <c r="AB59"/>
  <c r="AD59"/>
  <c r="Y59"/>
  <c r="AH59"/>
  <c r="AI59"/>
  <c r="S59"/>
  <c r="AJ59"/>
  <c r="L54"/>
  <c r="U54"/>
  <c r="S54"/>
  <c r="T54"/>
  <c r="Z54"/>
  <c r="M54"/>
  <c r="AB54"/>
  <c r="J54"/>
  <c r="X54"/>
  <c r="AI54"/>
  <c r="AJ54"/>
  <c r="AA54"/>
  <c r="W54"/>
  <c r="AF54"/>
  <c r="AC54"/>
  <c r="AH54"/>
  <c r="Y54"/>
  <c r="R54"/>
  <c r="O54"/>
  <c r="I54"/>
  <c r="G54"/>
  <c r="AK54"/>
  <c r="AE54"/>
  <c r="Q54"/>
  <c r="AI58"/>
  <c r="L58"/>
  <c r="Q58"/>
  <c r="AC58"/>
  <c r="K58"/>
  <c r="AA58"/>
  <c r="X58"/>
  <c r="S58"/>
  <c r="AF6"/>
  <c r="AD58"/>
  <c r="AE58"/>
  <c r="Y58"/>
  <c r="M58"/>
  <c r="Z58"/>
  <c r="AK58"/>
  <c r="R58"/>
  <c r="AG58"/>
  <c r="J58"/>
  <c r="AB58"/>
  <c r="AH58"/>
  <c r="N58"/>
  <c r="I58"/>
  <c r="AJ58"/>
  <c r="AF58"/>
  <c r="T58"/>
  <c r="O58"/>
  <c r="P58"/>
  <c r="G58"/>
  <c r="V58"/>
  <c r="W58"/>
  <c r="H58"/>
  <c r="AF10"/>
  <c r="AF7"/>
  <c r="AF4"/>
  <c r="P60"/>
  <c r="AE60"/>
  <c r="R60"/>
  <c r="AH60"/>
  <c r="U60"/>
  <c r="AJ60"/>
  <c r="AG60"/>
  <c r="O60"/>
  <c r="V56"/>
  <c r="J56"/>
  <c r="AF56"/>
  <c r="L56"/>
  <c r="AI56"/>
  <c r="AC56"/>
  <c r="AA56"/>
  <c r="W56"/>
  <c r="AH56"/>
  <c r="Q56"/>
  <c r="M56"/>
  <c r="AJ56"/>
  <c r="AK56"/>
  <c r="AE56"/>
  <c r="O56"/>
  <c r="AC60"/>
  <c r="X60"/>
  <c r="L60"/>
  <c r="I60"/>
  <c r="V60"/>
  <c r="AI60"/>
  <c r="S60"/>
  <c r="AK60"/>
  <c r="AF60"/>
  <c r="AB60"/>
  <c r="Q60"/>
  <c r="Z60"/>
  <c r="J60"/>
  <c r="W60"/>
  <c r="G60"/>
  <c r="AD56"/>
  <c r="H56"/>
  <c r="S56"/>
  <c r="G56"/>
  <c r="U56"/>
  <c r="Y56"/>
  <c r="T56"/>
  <c r="R56"/>
  <c r="T60"/>
  <c r="M60"/>
  <c r="H60"/>
  <c r="Y60"/>
  <c r="AD60"/>
  <c r="N60"/>
  <c r="AA60"/>
  <c r="N56"/>
  <c r="I56"/>
  <c r="P56"/>
  <c r="Z56"/>
  <c r="AG56"/>
  <c r="AB56"/>
  <c r="X56"/>
  <c r="G53"/>
  <c r="AD53"/>
  <c r="Q53"/>
  <c r="K53"/>
  <c r="AG53"/>
  <c r="L53"/>
  <c r="X53"/>
  <c r="N53"/>
  <c r="T53"/>
  <c r="AF53"/>
  <c r="U53"/>
  <c r="R53"/>
  <c r="AB53"/>
  <c r="W53"/>
  <c r="S53"/>
  <c r="H53"/>
  <c r="Y53"/>
  <c r="I53"/>
  <c r="V53"/>
  <c r="AA53"/>
  <c r="O53"/>
  <c r="AK53"/>
  <c r="AH53"/>
  <c r="AJ53"/>
  <c r="AE53"/>
  <c r="AI53"/>
  <c r="P53"/>
  <c r="AC53"/>
  <c r="M53"/>
  <c r="Z53"/>
  <c r="I520"/>
  <c r="F522" s="1"/>
  <c r="P55"/>
  <c r="AF55"/>
  <c r="O55"/>
  <c r="AE55"/>
  <c r="AD55"/>
  <c r="U55"/>
  <c r="R55"/>
  <c r="Y55"/>
  <c r="W55"/>
  <c r="AK55"/>
  <c r="T55"/>
  <c r="S55"/>
  <c r="Q55"/>
  <c r="Z55"/>
  <c r="L55"/>
  <c r="AB55"/>
  <c r="K55"/>
  <c r="AA55"/>
  <c r="V55"/>
  <c r="M55"/>
  <c r="J55"/>
  <c r="I55"/>
  <c r="H55"/>
  <c r="X55"/>
  <c r="G55"/>
  <c r="N55"/>
  <c r="AG55"/>
  <c r="AH55"/>
  <c r="AJ55"/>
  <c r="AI55"/>
  <c r="AC55"/>
  <c r="AF12"/>
  <c r="H542"/>
  <c r="J542" s="1"/>
  <c r="K542" s="1"/>
  <c r="G543"/>
  <c r="H544"/>
  <c r="J544" s="1"/>
  <c r="K544" s="1"/>
  <c r="G545"/>
  <c r="G535"/>
  <c r="H546"/>
  <c r="J546" s="1"/>
  <c r="K546" s="1"/>
  <c r="G547"/>
  <c r="H406"/>
  <c r="H388"/>
  <c r="H548"/>
  <c r="J548" s="1"/>
  <c r="K548" s="1"/>
  <c r="H550"/>
  <c r="J550" s="1"/>
  <c r="K550" s="1"/>
  <c r="G549"/>
  <c r="H538"/>
  <c r="J538" s="1"/>
  <c r="K538" s="1"/>
  <c r="G539"/>
  <c r="C435"/>
  <c r="E533"/>
  <c r="F406"/>
  <c r="H536"/>
  <c r="J536" s="1"/>
  <c r="K536" s="1"/>
  <c r="G537"/>
  <c r="G52"/>
  <c r="K52"/>
  <c r="O52"/>
  <c r="S52"/>
  <c r="W52"/>
  <c r="AA52"/>
  <c r="AE52"/>
  <c r="AI52"/>
  <c r="J52"/>
  <c r="N52"/>
  <c r="R52"/>
  <c r="V52"/>
  <c r="Z52"/>
  <c r="AD52"/>
  <c r="AH52"/>
  <c r="I52"/>
  <c r="Q52"/>
  <c r="Y52"/>
  <c r="AG52"/>
  <c r="T52"/>
  <c r="AJ52"/>
  <c r="H52"/>
  <c r="P52"/>
  <c r="X52"/>
  <c r="AF52"/>
  <c r="M52"/>
  <c r="U52"/>
  <c r="AC52"/>
  <c r="AK52"/>
  <c r="L52"/>
  <c r="AB52"/>
  <c r="H540"/>
  <c r="J540" s="1"/>
  <c r="K540" s="1"/>
  <c r="G541"/>
  <c r="C453"/>
  <c r="AQ15" s="1"/>
  <c r="D57" l="1"/>
  <c r="D59"/>
  <c r="D54"/>
  <c r="D58"/>
  <c r="D56"/>
  <c r="D60"/>
  <c r="D53"/>
  <c r="I523"/>
  <c r="F523" s="1"/>
  <c r="D55"/>
  <c r="H532"/>
  <c r="J532" s="1"/>
  <c r="G533"/>
  <c r="G556" s="1"/>
  <c r="AT15" s="1"/>
  <c r="D52"/>
  <c r="H534"/>
  <c r="J534" s="1"/>
  <c r="K534" s="1"/>
  <c r="AS15" l="1"/>
  <c r="D63"/>
  <c r="AP15" s="1"/>
  <c r="K532"/>
  <c r="I556"/>
  <c r="F559" l="1"/>
  <c r="AU15"/>
</calcChain>
</file>

<file path=xl/sharedStrings.xml><?xml version="1.0" encoding="utf-8"?>
<sst xmlns="http://schemas.openxmlformats.org/spreadsheetml/2006/main" count="1029" uniqueCount="150">
  <si>
    <t>Mean N</t>
  </si>
  <si>
    <t>Interval P</t>
  </si>
  <si>
    <t>Daily P</t>
  </si>
  <si>
    <t>IS  B</t>
  </si>
  <si>
    <t>IS P</t>
  </si>
  <si>
    <t>IS B</t>
  </si>
  <si>
    <t>AVG N</t>
  </si>
  <si>
    <t>STDEV</t>
  </si>
  <si>
    <t>STERR</t>
  </si>
  <si>
    <t>AVG B</t>
  </si>
  <si>
    <t>SAMPLE MONTHLY AVERAGES</t>
  </si>
  <si>
    <t>BIOMASS/m2</t>
  </si>
  <si>
    <t>Growth rate regression</t>
  </si>
  <si>
    <t>IGR Growth P</t>
  </si>
  <si>
    <t>cohort</t>
  </si>
  <si>
    <t>non-cohort</t>
  </si>
  <si>
    <t>non cohort</t>
  </si>
  <si>
    <t>production a full year</t>
  </si>
  <si>
    <t>I did this to make</t>
  </si>
  <si>
    <t>MONTH</t>
  </si>
  <si>
    <t>BOOT</t>
  </si>
  <si>
    <t>DATE</t>
  </si>
  <si>
    <t>COUNTER</t>
  </si>
  <si>
    <t>N</t>
  </si>
  <si>
    <t>B</t>
  </si>
  <si>
    <t>IGR P</t>
  </si>
  <si>
    <t>SF B</t>
  </si>
  <si>
    <t>SF P</t>
  </si>
  <si>
    <t>Sample</t>
  </si>
  <si>
    <t>Avg Boot</t>
  </si>
  <si>
    <t>P</t>
  </si>
  <si>
    <t>boot</t>
  </si>
  <si>
    <t xml:space="preserve">AVG INTERVAL N/m2 </t>
  </si>
  <si>
    <t>LENGTH--&gt;</t>
  </si>
  <si>
    <t>INTERVAL</t>
  </si>
  <si>
    <t>Nt</t>
  </si>
  <si>
    <t>t (d)</t>
  </si>
  <si>
    <t>&lt;1</t>
  </si>
  <si>
    <t>1st</t>
  </si>
  <si>
    <t>2nd</t>
  </si>
  <si>
    <t>3rd</t>
  </si>
  <si>
    <t>4th</t>
  </si>
  <si>
    <t>5th</t>
  </si>
  <si>
    <t>AVG N =</t>
  </si>
  <si>
    <t>AVG INTERVAL B (mg AFDM)/m2 for each 1 MM SC</t>
  </si>
  <si>
    <t>B average</t>
  </si>
  <si>
    <t>Length-mass realtionship</t>
  </si>
  <si>
    <t>a</t>
  </si>
  <si>
    <t>b</t>
  </si>
  <si>
    <t>% ASH</t>
  </si>
  <si>
    <t>AVG B =</t>
  </si>
  <si>
    <t xml:space="preserve">AVG INTERVAL P (mg AFDM)/m2 </t>
  </si>
  <si>
    <t>IGR</t>
  </si>
  <si>
    <t>P =</t>
  </si>
  <si>
    <t>Size classes</t>
  </si>
  <si>
    <t>PLACE RAW DATA IN</t>
  </si>
  <si>
    <t>Size Classes</t>
  </si>
  <si>
    <t>THIS BLOCK</t>
  </si>
  <si>
    <t>RAND</t>
  </si>
  <si>
    <t>SAMPLE</t>
  </si>
  <si>
    <t>THIS IS BOOT SPACE</t>
  </si>
  <si>
    <t>Do not place anything</t>
  </si>
  <si>
    <t xml:space="preserve"> in this space</t>
  </si>
  <si>
    <t>This block is used to</t>
  </si>
  <si>
    <t>AVG B (mg AFDM)/m2 for each sample date</t>
  </si>
  <si>
    <t>calculate growth rates</t>
  </si>
  <si>
    <t>mg/m2, N/m2</t>
  </si>
  <si>
    <t>Bt</t>
  </si>
  <si>
    <t>Bavg</t>
  </si>
  <si>
    <t>IGR (NO"-")</t>
  </si>
  <si>
    <t>IGR (d-1)</t>
  </si>
  <si>
    <t>IGR_TEMP</t>
  </si>
  <si>
    <t>t</t>
  </si>
  <si>
    <t>avg mm</t>
  </si>
  <si>
    <t>avg mass</t>
  </si>
  <si>
    <t>temp</t>
  </si>
  <si>
    <t>AVG INTERVAL P (mg AFDM)/m2 for each 1 MM SC by TEMP</t>
  </si>
  <si>
    <t># OF SAMPLES</t>
  </si>
  <si>
    <t># of SIZE CLASSES:</t>
  </si>
  <si>
    <t>Length (mm)</t>
  </si>
  <si>
    <t>W</t>
  </si>
  <si>
    <t>No. Lost</t>
  </si>
  <si>
    <t>Biomass</t>
  </si>
  <si>
    <t>&gt;1</t>
  </si>
  <si>
    <t>Can't have empty cells</t>
    <phoneticPr fontId="42" type="noConversion"/>
  </si>
  <si>
    <t>removed growth equation - none for this taxon</t>
    <phoneticPr fontId="42" type="noConversion"/>
  </si>
  <si>
    <t>checked CPI looks good</t>
    <phoneticPr fontId="42" type="noConversion"/>
  </si>
  <si>
    <t>removed last dates in monthly summary data</t>
    <phoneticPr fontId="42" type="noConversion"/>
  </si>
  <si>
    <t>removed 11th interval</t>
    <phoneticPr fontId="42" type="noConversion"/>
  </si>
  <si>
    <t>changed last interval to 24 days (to make a year)</t>
    <phoneticPr fontId="42" type="noConversion"/>
  </si>
  <si>
    <t>is the length-weight regression correct?</t>
    <phoneticPr fontId="42" type="noConversion"/>
  </si>
  <si>
    <t>temperatures need to be changed</t>
    <phoneticPr fontId="42" type="noConversion"/>
  </si>
  <si>
    <t>Note that the 10th interval</t>
    <phoneticPr fontId="2" type="noConversion"/>
  </si>
  <si>
    <t xml:space="preserve">is the wrap-around interval to make a year </t>
    <phoneticPr fontId="2" type="noConversion"/>
  </si>
  <si>
    <t>uses the remaining days in the year (24)</t>
    <phoneticPr fontId="2" type="noConversion"/>
  </si>
  <si>
    <t>It averages the abundance of the 1st and last date and</t>
    <phoneticPr fontId="2" type="noConversion"/>
  </si>
  <si>
    <t>Mass at Loss</t>
  </si>
  <si>
    <t>CPI  MAX:</t>
  </si>
  <si>
    <t>CPI MIN:</t>
  </si>
  <si>
    <t xml:space="preserve"> </t>
  </si>
  <si>
    <t>C P/B</t>
  </si>
  <si>
    <t>CPI</t>
  </si>
  <si>
    <t>A P/B</t>
  </si>
  <si>
    <t>Annual P</t>
  </si>
  <si>
    <t/>
  </si>
  <si>
    <t>Numbers per sq meter</t>
  </si>
  <si>
    <t>Biomass (mg/m2)</t>
  </si>
  <si>
    <t>Leave this blank until you run macro</t>
  </si>
  <si>
    <t>Abundance (no./m2)</t>
  </si>
  <si>
    <t>Data area</t>
  </si>
  <si>
    <t>do not enter raw here</t>
  </si>
  <si>
    <t>Large Fraction (&gt;1 mm)</t>
  </si>
  <si>
    <t>Small Fraction (&lt;1 mm&gt;250 um)</t>
  </si>
  <si>
    <t>AREA OF SAMPLE</t>
  </si>
  <si>
    <t>m2</t>
  </si>
  <si>
    <t>temperature</t>
  </si>
  <si>
    <t>c</t>
  </si>
  <si>
    <t>XXXXXX</t>
  </si>
  <si>
    <t>6th</t>
  </si>
  <si>
    <t>7th</t>
  </si>
  <si>
    <t>8th</t>
  </si>
  <si>
    <t>9th</t>
  </si>
  <si>
    <t>10th</t>
  </si>
  <si>
    <t>SUBSAMPLE MULTIPLIERS</t>
  </si>
  <si>
    <t>&gt;1 FRACTION</t>
  </si>
  <si>
    <t>&lt;1&gt;250 FRACTION</t>
  </si>
  <si>
    <t>AREA OF SAMPLER (m2)</t>
  </si>
  <si>
    <t>Upper 95%CI boot</t>
  </si>
  <si>
    <t>Lower 95%CI boot</t>
  </si>
  <si>
    <t>gotta figure out the 0.0001 thingy</t>
  </si>
  <si>
    <t xml:space="preserve">SAMPLES </t>
  </si>
  <si>
    <t>PER DATE</t>
  </si>
  <si>
    <t>(no negatives)</t>
  </si>
  <si>
    <t xml:space="preserve">IGR_TEMP </t>
  </si>
  <si>
    <t>Biomass Lost</t>
  </si>
  <si>
    <t>X No. Size Classes</t>
  </si>
  <si>
    <t>Negatives Corrected</t>
  </si>
  <si>
    <t>SIZE FREQUENCY METHOD</t>
  </si>
  <si>
    <t>INCREMENT SUMMATION METHOD</t>
  </si>
  <si>
    <t>Date</t>
  </si>
  <si>
    <t>Individual Growth</t>
  </si>
  <si>
    <t>chiromids</t>
  </si>
  <si>
    <t>g (-1)</t>
  </si>
  <si>
    <t>Inerval Growth Boot</t>
  </si>
  <si>
    <t>Boot</t>
  </si>
  <si>
    <t>Interval Growth Variation</t>
  </si>
  <si>
    <t>Avg. Boot</t>
  </si>
  <si>
    <t>Upper 95% CI</t>
  </si>
  <si>
    <t>Lower 95% CI</t>
  </si>
  <si>
    <t>Ostracoda</t>
  </si>
</sst>
</file>

<file path=xl/styles.xml><?xml version="1.0" encoding="utf-8"?>
<styleSheet xmlns="http://schemas.openxmlformats.org/spreadsheetml/2006/main">
  <numFmts count="8">
    <numFmt numFmtId="164" formatCode="[$-409]d\-mmm\-yy;@"/>
    <numFmt numFmtId="165" formatCode="0.0000"/>
    <numFmt numFmtId="166" formatCode="0.0"/>
    <numFmt numFmtId="167" formatCode="0.000"/>
    <numFmt numFmtId="168" formatCode="0.000000"/>
    <numFmt numFmtId="169" formatCode="General_)"/>
    <numFmt numFmtId="170" formatCode="[$-409]d\-mmm;@"/>
    <numFmt numFmtId="171" formatCode="#,##0.000"/>
  </numFmts>
  <fonts count="44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Geneva"/>
    </font>
    <font>
      <b/>
      <sz val="10"/>
      <name val="Geneva"/>
      <family val="2"/>
    </font>
    <font>
      <sz val="10"/>
      <color indexed="10"/>
      <name val="Arial"/>
      <family val="2"/>
    </font>
    <font>
      <b/>
      <sz val="10"/>
      <name val="Albertus Medium"/>
      <family val="2"/>
    </font>
    <font>
      <sz val="10"/>
      <name val="Arial"/>
      <family val="2"/>
    </font>
    <font>
      <sz val="10"/>
      <color indexed="10"/>
      <name val="Geneva"/>
    </font>
    <font>
      <b/>
      <sz val="10"/>
      <name val="Arial"/>
      <family val="2"/>
    </font>
    <font>
      <b/>
      <i/>
      <sz val="10"/>
      <color indexed="57"/>
      <name val="Geneva"/>
    </font>
    <font>
      <b/>
      <sz val="10"/>
      <color indexed="10"/>
      <name val="Geneva"/>
    </font>
    <font>
      <b/>
      <sz val="10"/>
      <color indexed="10"/>
      <name val="Arial"/>
      <family val="2"/>
    </font>
    <font>
      <sz val="10"/>
      <color indexed="57"/>
      <name val="Geneva"/>
    </font>
    <font>
      <b/>
      <sz val="10"/>
      <color indexed="13"/>
      <name val="Geneva"/>
    </font>
    <font>
      <b/>
      <sz val="10"/>
      <name val="Arial"/>
      <family val="2"/>
    </font>
    <font>
      <u/>
      <sz val="7.5"/>
      <color indexed="12"/>
      <name val="Arial"/>
      <family val="2"/>
    </font>
    <font>
      <u/>
      <sz val="10"/>
      <color indexed="12"/>
      <name val="Arial"/>
      <family val="2"/>
    </font>
    <font>
      <b/>
      <sz val="12"/>
      <name val="Arial"/>
      <family val="2"/>
    </font>
    <font>
      <b/>
      <i/>
      <sz val="10"/>
      <color indexed="57"/>
      <name val="Arial"/>
      <family val="2"/>
    </font>
    <font>
      <sz val="9"/>
      <name val="Helv"/>
    </font>
    <font>
      <sz val="10"/>
      <name val="Arial"/>
      <family val="2"/>
    </font>
    <font>
      <b/>
      <sz val="10"/>
      <name val="Geneva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8"/>
      <name val="Verdana"/>
      <family val="2"/>
    </font>
    <font>
      <b/>
      <sz val="10"/>
      <name val="Geneva"/>
    </font>
  </fonts>
  <fills count="34">
    <fill>
      <patternFill patternType="none"/>
    </fill>
    <fill>
      <patternFill patternType="gray125"/>
    </fill>
    <fill>
      <patternFill patternType="solid">
        <fgColor indexed="49"/>
      </patternFill>
    </fill>
    <fill>
      <patternFill patternType="solid">
        <fgColor indexed="9"/>
      </patternFill>
    </fill>
    <fill>
      <patternFill patternType="solid">
        <fgColor indexed="22"/>
      </patternFill>
    </fill>
    <fill>
      <patternFill patternType="solid">
        <fgColor indexed="19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4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1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66"/>
        <bgColor indexed="64"/>
      </patternFill>
    </fill>
  </fills>
  <borders count="1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5">
    <xf numFmtId="0" fontId="0" fillId="0" borderId="0"/>
    <xf numFmtId="0" fontId="25" fillId="2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2" borderId="0" applyNumberFormat="0" applyBorder="0" applyAlignment="0" applyProtection="0"/>
    <xf numFmtId="0" fontId="25" fillId="5" borderId="0" applyNumberFormat="0" applyBorder="0" applyAlignment="0" applyProtection="0"/>
    <xf numFmtId="0" fontId="24" fillId="6" borderId="0" applyNumberFormat="0" applyBorder="0" applyAlignment="0" applyProtection="0"/>
    <xf numFmtId="0" fontId="24" fillId="7" borderId="0" applyNumberFormat="0" applyBorder="0" applyAlignment="0" applyProtection="0"/>
    <xf numFmtId="0" fontId="25" fillId="7" borderId="0" applyNumberFormat="0" applyBorder="0" applyAlignment="0" applyProtection="0"/>
    <xf numFmtId="0" fontId="25" fillId="5" borderId="0" applyNumberFormat="0" applyBorder="0" applyAlignment="0" applyProtection="0"/>
    <xf numFmtId="0" fontId="24" fillId="8" borderId="0" applyNumberFormat="0" applyBorder="0" applyAlignment="0" applyProtection="0"/>
    <xf numFmtId="0" fontId="24" fillId="9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4" borderId="0" applyNumberFormat="0" applyBorder="0" applyAlignment="0" applyProtection="0"/>
    <xf numFmtId="0" fontId="25" fillId="2" borderId="0" applyNumberFormat="0" applyBorder="0" applyAlignment="0" applyProtection="0"/>
    <xf numFmtId="0" fontId="24" fillId="11" borderId="0" applyNumberFormat="0" applyBorder="0" applyAlignment="0" applyProtection="0"/>
    <xf numFmtId="0" fontId="24" fillId="12" borderId="0" applyNumberFormat="0" applyBorder="0" applyAlignment="0" applyProtection="0"/>
    <xf numFmtId="0" fontId="25" fillId="2" borderId="0" applyNumberFormat="0" applyBorder="0" applyAlignment="0" applyProtection="0"/>
    <xf numFmtId="0" fontId="25" fillId="13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5" fillId="6" borderId="0" applyNumberFormat="0" applyBorder="0" applyAlignment="0" applyProtection="0"/>
    <xf numFmtId="0" fontId="26" fillId="14" borderId="0" applyNumberFormat="0" applyBorder="0" applyAlignment="0" applyProtection="0"/>
    <xf numFmtId="0" fontId="27" fillId="3" borderId="1" applyNumberFormat="0" applyAlignment="0" applyProtection="0"/>
    <xf numFmtId="0" fontId="28" fillId="15" borderId="2" applyNumberFormat="0" applyAlignment="0" applyProtection="0"/>
    <xf numFmtId="0" fontId="29" fillId="0" borderId="0" applyNumberFormat="0" applyFill="0" applyBorder="0" applyAlignment="0" applyProtection="0"/>
    <xf numFmtId="0" fontId="30" fillId="16" borderId="0" applyNumberFormat="0" applyBorder="0" applyAlignment="0" applyProtection="0"/>
    <xf numFmtId="0" fontId="31" fillId="0" borderId="3" applyNumberFormat="0" applyFill="0" applyAlignment="0" applyProtection="0"/>
    <xf numFmtId="0" fontId="32" fillId="0" borderId="4" applyNumberFormat="0" applyFill="0" applyAlignment="0" applyProtection="0"/>
    <xf numFmtId="0" fontId="33" fillId="0" borderId="5" applyNumberFormat="0" applyFill="0" applyAlignment="0" applyProtection="0"/>
    <xf numFmtId="0" fontId="33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34" fillId="6" borderId="1" applyNumberFormat="0" applyAlignment="0" applyProtection="0"/>
    <xf numFmtId="0" fontId="35" fillId="0" borderId="6" applyNumberFormat="0" applyFill="0" applyAlignment="0" applyProtection="0"/>
    <xf numFmtId="0" fontId="36" fillId="9" borderId="0" applyNumberFormat="0" applyBorder="0" applyAlignment="0" applyProtection="0"/>
    <xf numFmtId="169" fontId="20" fillId="0" borderId="0"/>
    <xf numFmtId="169" fontId="20" fillId="0" borderId="0"/>
    <xf numFmtId="0" fontId="1" fillId="8" borderId="7" applyNumberFormat="0" applyFont="0" applyAlignment="0" applyProtection="0"/>
    <xf numFmtId="0" fontId="37" fillId="3" borderId="8" applyNumberForma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0" borderId="0" applyNumberFormat="0" applyFill="0" applyBorder="0" applyAlignment="0" applyProtection="0"/>
  </cellStyleXfs>
  <cellXfs count="226">
    <xf numFmtId="0" fontId="0" fillId="0" borderId="0" xfId="0"/>
    <xf numFmtId="0" fontId="3" fillId="17" borderId="0" xfId="0" applyFont="1" applyFill="1" applyBorder="1"/>
    <xf numFmtId="1" fontId="3" fillId="17" borderId="0" xfId="0" applyNumberFormat="1" applyFont="1" applyFill="1" applyBorder="1"/>
    <xf numFmtId="2" fontId="3" fillId="17" borderId="0" xfId="0" applyNumberFormat="1" applyFont="1" applyFill="1" applyBorder="1"/>
    <xf numFmtId="0" fontId="3" fillId="18" borderId="0" xfId="0" applyFont="1" applyFill="1" applyBorder="1"/>
    <xf numFmtId="0" fontId="3" fillId="19" borderId="0" xfId="0" applyFont="1" applyFill="1" applyBorder="1"/>
    <xf numFmtId="1" fontId="3" fillId="19" borderId="0" xfId="0" applyNumberFormat="1" applyFont="1" applyFill="1" applyBorder="1"/>
    <xf numFmtId="0" fontId="1" fillId="18" borderId="0" xfId="0" applyFont="1" applyFill="1"/>
    <xf numFmtId="0" fontId="1" fillId="0" borderId="0" xfId="0" applyFont="1"/>
    <xf numFmtId="0" fontId="4" fillId="20" borderId="0" xfId="0" applyFont="1" applyFill="1" applyBorder="1" applyAlignment="1">
      <alignment horizontal="center"/>
    </xf>
    <xf numFmtId="0" fontId="4" fillId="20" borderId="0" xfId="0" applyFont="1" applyFill="1" applyBorder="1"/>
    <xf numFmtId="1" fontId="4" fillId="20" borderId="0" xfId="0" applyNumberFormat="1" applyFont="1" applyFill="1" applyBorder="1"/>
    <xf numFmtId="1" fontId="4" fillId="20" borderId="0" xfId="0" applyNumberFormat="1" applyFont="1" applyFill="1" applyBorder="1" applyAlignment="1">
      <alignment horizontal="center"/>
    </xf>
    <xf numFmtId="0" fontId="3" fillId="20" borderId="0" xfId="0" applyFont="1" applyFill="1" applyBorder="1"/>
    <xf numFmtId="1" fontId="3" fillId="20" borderId="0" xfId="0" applyNumberFormat="1" applyFont="1" applyFill="1" applyBorder="1"/>
    <xf numFmtId="2" fontId="4" fillId="20" borderId="0" xfId="0" applyNumberFormat="1" applyFont="1" applyFill="1" applyBorder="1" applyAlignment="1">
      <alignment horizontal="center"/>
    </xf>
    <xf numFmtId="0" fontId="4" fillId="18" borderId="0" xfId="0" applyFont="1" applyFill="1" applyBorder="1"/>
    <xf numFmtId="164" fontId="5" fillId="20" borderId="0" xfId="0" applyNumberFormat="1" applyFont="1" applyFill="1" applyBorder="1"/>
    <xf numFmtId="1" fontId="3" fillId="0" borderId="0" xfId="0" applyNumberFormat="1" applyFont="1" applyBorder="1"/>
    <xf numFmtId="0" fontId="3" fillId="0" borderId="0" xfId="0" applyFont="1" applyBorder="1"/>
    <xf numFmtId="0" fontId="4" fillId="20" borderId="0" xfId="0" applyFont="1" applyFill="1" applyBorder="1" applyAlignment="1">
      <alignment horizontal="left"/>
    </xf>
    <xf numFmtId="2" fontId="3" fillId="20" borderId="0" xfId="0" applyNumberFormat="1" applyFont="1" applyFill="1" applyBorder="1"/>
    <xf numFmtId="0" fontId="3" fillId="20" borderId="0" xfId="0" applyNumberFormat="1" applyFont="1" applyFill="1" applyBorder="1"/>
    <xf numFmtId="0" fontId="1" fillId="19" borderId="0" xfId="0" applyFont="1" applyFill="1"/>
    <xf numFmtId="0" fontId="4" fillId="19" borderId="0" xfId="0" applyFont="1" applyFill="1" applyBorder="1"/>
    <xf numFmtId="1" fontId="6" fillId="19" borderId="0" xfId="0" applyNumberFormat="1" applyFont="1" applyFill="1" applyBorder="1"/>
    <xf numFmtId="1" fontId="4" fillId="19" borderId="0" xfId="0" applyNumberFormat="1" applyFont="1" applyFill="1" applyBorder="1"/>
    <xf numFmtId="0" fontId="4" fillId="20" borderId="0" xfId="0" applyFont="1" applyFill="1" applyBorder="1" applyAlignment="1">
      <alignment horizontal="right"/>
    </xf>
    <xf numFmtId="1" fontId="3" fillId="18" borderId="0" xfId="0" applyNumberFormat="1" applyFont="1" applyFill="1" applyBorder="1"/>
    <xf numFmtId="1" fontId="6" fillId="18" borderId="0" xfId="0" applyNumberFormat="1" applyFont="1" applyFill="1" applyBorder="1"/>
    <xf numFmtId="1" fontId="4" fillId="18" borderId="0" xfId="0" applyNumberFormat="1" applyFont="1" applyFill="1" applyBorder="1"/>
    <xf numFmtId="16" fontId="1" fillId="17" borderId="0" xfId="0" applyNumberFormat="1" applyFont="1" applyFill="1" applyBorder="1"/>
    <xf numFmtId="16" fontId="3" fillId="17" borderId="0" xfId="0" applyNumberFormat="1" applyFont="1" applyFill="1" applyBorder="1"/>
    <xf numFmtId="16" fontId="1" fillId="18" borderId="0" xfId="0" applyNumberFormat="1" applyFont="1" applyFill="1" applyBorder="1"/>
    <xf numFmtId="16" fontId="3" fillId="18" borderId="0" xfId="0" applyNumberFormat="1" applyFont="1" applyFill="1" applyBorder="1"/>
    <xf numFmtId="0" fontId="4" fillId="21" borderId="0" xfId="0" applyFont="1" applyFill="1" applyBorder="1"/>
    <xf numFmtId="0" fontId="4" fillId="17" borderId="0" xfId="0" applyFont="1" applyFill="1" applyBorder="1"/>
    <xf numFmtId="16" fontId="7" fillId="17" borderId="0" xfId="0" applyNumberFormat="1" applyFont="1" applyFill="1" applyBorder="1"/>
    <xf numFmtId="1" fontId="6" fillId="17" borderId="0" xfId="0" applyNumberFormat="1" applyFont="1" applyFill="1" applyBorder="1"/>
    <xf numFmtId="1" fontId="4" fillId="17" borderId="0" xfId="0" applyNumberFormat="1" applyFont="1" applyFill="1" applyBorder="1"/>
    <xf numFmtId="2" fontId="4" fillId="20" borderId="0" xfId="0" applyNumberFormat="1" applyFont="1" applyFill="1" applyBorder="1"/>
    <xf numFmtId="16" fontId="4" fillId="20" borderId="0" xfId="0" applyNumberFormat="1" applyFont="1" applyFill="1" applyBorder="1"/>
    <xf numFmtId="1" fontId="8" fillId="17" borderId="0" xfId="0" applyNumberFormat="1" applyFont="1" applyFill="1" applyBorder="1"/>
    <xf numFmtId="0" fontId="1" fillId="21" borderId="0" xfId="0" applyFont="1" applyFill="1" applyBorder="1"/>
    <xf numFmtId="0" fontId="9" fillId="20" borderId="0" xfId="0" applyFont="1" applyFill="1" applyBorder="1" applyAlignment="1">
      <alignment horizontal="right"/>
    </xf>
    <xf numFmtId="1" fontId="9" fillId="20" borderId="0" xfId="0" applyNumberFormat="1" applyFont="1" applyFill="1" applyBorder="1"/>
    <xf numFmtId="1" fontId="9" fillId="20" borderId="0" xfId="0" applyNumberFormat="1" applyFont="1" applyFill="1" applyBorder="1" applyAlignment="1">
      <alignment horizontal="right"/>
    </xf>
    <xf numFmtId="1" fontId="4" fillId="20" borderId="0" xfId="0" applyNumberFormat="1" applyFont="1" applyFill="1" applyBorder="1" applyAlignment="1">
      <alignment horizontal="right"/>
    </xf>
    <xf numFmtId="49" fontId="8" fillId="20" borderId="0" xfId="0" applyNumberFormat="1" applyFont="1" applyFill="1" applyBorder="1" applyAlignment="1">
      <alignment horizontal="center"/>
    </xf>
    <xf numFmtId="165" fontId="3" fillId="0" borderId="0" xfId="0" applyNumberFormat="1" applyFont="1" applyBorder="1"/>
    <xf numFmtId="166" fontId="3" fillId="0" borderId="0" xfId="0" applyNumberFormat="1" applyFont="1" applyBorder="1"/>
    <xf numFmtId="0" fontId="4" fillId="18" borderId="0" xfId="0" applyFont="1" applyFill="1" applyBorder="1" applyAlignment="1">
      <alignment horizontal="center"/>
    </xf>
    <xf numFmtId="0" fontId="10" fillId="0" borderId="0" xfId="0" applyFont="1" applyBorder="1"/>
    <xf numFmtId="165" fontId="10" fillId="0" borderId="0" xfId="0" applyNumberFormat="1" applyFont="1" applyBorder="1"/>
    <xf numFmtId="1" fontId="4" fillId="0" borderId="0" xfId="0" applyNumberFormat="1" applyFont="1" applyBorder="1"/>
    <xf numFmtId="0" fontId="4" fillId="0" borderId="0" xfId="0" applyFont="1" applyBorder="1"/>
    <xf numFmtId="2" fontId="4" fillId="0" borderId="0" xfId="0" applyNumberFormat="1" applyFont="1" applyBorder="1"/>
    <xf numFmtId="0" fontId="11" fillId="17" borderId="0" xfId="0" applyFont="1" applyFill="1" applyBorder="1"/>
    <xf numFmtId="0" fontId="11" fillId="20" borderId="0" xfId="0" applyFont="1" applyFill="1" applyBorder="1"/>
    <xf numFmtId="0" fontId="12" fillId="20" borderId="0" xfId="0" applyFont="1" applyFill="1" applyBorder="1"/>
    <xf numFmtId="1" fontId="10" fillId="0" borderId="0" xfId="0" applyNumberFormat="1" applyFont="1" applyBorder="1"/>
    <xf numFmtId="2" fontId="3" fillId="0" borderId="0" xfId="0" applyNumberFormat="1" applyFont="1" applyBorder="1"/>
    <xf numFmtId="2" fontId="3" fillId="0" borderId="0" xfId="0" applyNumberFormat="1" applyFont="1" applyFill="1" applyBorder="1"/>
    <xf numFmtId="0" fontId="1" fillId="0" borderId="0" xfId="0" applyFont="1" applyBorder="1"/>
    <xf numFmtId="0" fontId="3" fillId="0" borderId="0" xfId="0" applyFont="1" applyFill="1" applyBorder="1"/>
    <xf numFmtId="1" fontId="3" fillId="0" borderId="0" xfId="0" applyNumberFormat="1" applyFont="1" applyFill="1" applyBorder="1"/>
    <xf numFmtId="0" fontId="8" fillId="17" borderId="0" xfId="0" applyFont="1" applyFill="1" applyBorder="1"/>
    <xf numFmtId="2" fontId="8" fillId="17" borderId="0" xfId="0" applyNumberFormat="1" applyFont="1" applyFill="1" applyBorder="1"/>
    <xf numFmtId="0" fontId="8" fillId="18" borderId="0" xfId="0" applyFont="1" applyFill="1" applyBorder="1"/>
    <xf numFmtId="2" fontId="8" fillId="18" borderId="0" xfId="0" applyNumberFormat="1" applyFont="1" applyFill="1" applyBorder="1"/>
    <xf numFmtId="1" fontId="8" fillId="18" borderId="0" xfId="0" applyNumberFormat="1" applyFont="1" applyFill="1" applyBorder="1"/>
    <xf numFmtId="16" fontId="1" fillId="20" borderId="0" xfId="0" applyNumberFormat="1" applyFont="1" applyFill="1" applyBorder="1"/>
    <xf numFmtId="1" fontId="13" fillId="0" borderId="0" xfId="0" applyNumberFormat="1" applyFont="1" applyBorder="1"/>
    <xf numFmtId="16" fontId="1" fillId="0" borderId="0" xfId="0" applyNumberFormat="1" applyFont="1" applyBorder="1"/>
    <xf numFmtId="1" fontId="7" fillId="18" borderId="0" xfId="0" applyNumberFormat="1" applyFont="1" applyFill="1" applyBorder="1"/>
    <xf numFmtId="0" fontId="9" fillId="20" borderId="0" xfId="0" applyFont="1" applyFill="1" applyBorder="1" applyAlignment="1">
      <alignment horizontal="center"/>
    </xf>
    <xf numFmtId="0" fontId="9" fillId="20" borderId="0" xfId="0" applyFont="1" applyFill="1" applyBorder="1"/>
    <xf numFmtId="0" fontId="14" fillId="17" borderId="0" xfId="0" applyFont="1" applyFill="1" applyBorder="1" applyAlignment="1">
      <alignment horizontal="center"/>
    </xf>
    <xf numFmtId="0" fontId="1" fillId="17" borderId="0" xfId="0" applyFont="1" applyFill="1" applyBorder="1"/>
    <xf numFmtId="15" fontId="1" fillId="17" borderId="0" xfId="0" applyNumberFormat="1" applyFont="1" applyFill="1" applyBorder="1"/>
    <xf numFmtId="1" fontId="7" fillId="17" borderId="0" xfId="0" applyNumberFormat="1" applyFont="1" applyFill="1" applyBorder="1"/>
    <xf numFmtId="0" fontId="1" fillId="18" borderId="0" xfId="0" applyFont="1" applyFill="1" applyBorder="1"/>
    <xf numFmtId="15" fontId="1" fillId="18" borderId="0" xfId="0" applyNumberFormat="1" applyFont="1" applyFill="1" applyBorder="1"/>
    <xf numFmtId="2" fontId="3" fillId="18" borderId="0" xfId="0" applyNumberFormat="1" applyFont="1" applyFill="1" applyBorder="1"/>
    <xf numFmtId="0" fontId="7" fillId="18" borderId="0" xfId="0" applyFont="1" applyFill="1" applyBorder="1"/>
    <xf numFmtId="16" fontId="7" fillId="18" borderId="0" xfId="0" applyNumberFormat="1" applyFont="1" applyFill="1" applyBorder="1"/>
    <xf numFmtId="1" fontId="9" fillId="18" borderId="0" xfId="0" applyNumberFormat="1" applyFont="1" applyFill="1" applyBorder="1"/>
    <xf numFmtId="0" fontId="4" fillId="18" borderId="0" xfId="0" applyFont="1" applyFill="1" applyBorder="1" applyAlignment="1">
      <alignment horizontal="right"/>
    </xf>
    <xf numFmtId="2" fontId="4" fillId="18" borderId="0" xfId="0" applyNumberFormat="1" applyFont="1" applyFill="1" applyBorder="1" applyAlignment="1">
      <alignment horizontal="right"/>
    </xf>
    <xf numFmtId="0" fontId="4" fillId="17" borderId="0" xfId="0" applyFont="1" applyFill="1" applyBorder="1" applyAlignment="1">
      <alignment horizontal="right"/>
    </xf>
    <xf numFmtId="0" fontId="4" fillId="17" borderId="0" xfId="0" applyFont="1" applyFill="1" applyBorder="1" applyAlignment="1">
      <alignment horizontal="center"/>
    </xf>
    <xf numFmtId="16" fontId="8" fillId="17" borderId="0" xfId="0" applyNumberFormat="1" applyFont="1" applyFill="1" applyBorder="1"/>
    <xf numFmtId="1" fontId="11" fillId="17" borderId="0" xfId="0" applyNumberFormat="1" applyFont="1" applyFill="1" applyBorder="1"/>
    <xf numFmtId="0" fontId="5" fillId="17" borderId="0" xfId="0" applyFont="1" applyFill="1" applyBorder="1"/>
    <xf numFmtId="0" fontId="1" fillId="20" borderId="0" xfId="0" applyFont="1" applyFill="1" applyBorder="1"/>
    <xf numFmtId="0" fontId="3" fillId="17" borderId="0" xfId="0" applyFont="1" applyFill="1" applyBorder="1" applyAlignment="1">
      <alignment horizontal="center"/>
    </xf>
    <xf numFmtId="0" fontId="1" fillId="20" borderId="0" xfId="0" applyFont="1" applyFill="1"/>
    <xf numFmtId="0" fontId="15" fillId="20" borderId="0" xfId="0" applyFont="1" applyFill="1" applyBorder="1"/>
    <xf numFmtId="1" fontId="1" fillId="18" borderId="0" xfId="0" applyNumberFormat="1" applyFont="1" applyFill="1" applyBorder="1"/>
    <xf numFmtId="0" fontId="15" fillId="0" borderId="0" xfId="0" applyFont="1" applyBorder="1"/>
    <xf numFmtId="0" fontId="1" fillId="0" borderId="0" xfId="0" applyFont="1" applyBorder="1" applyAlignment="1">
      <alignment horizontal="right"/>
    </xf>
    <xf numFmtId="2" fontId="1" fillId="0" borderId="0" xfId="0" applyNumberFormat="1" applyFont="1" applyBorder="1"/>
    <xf numFmtId="1" fontId="1" fillId="0" borderId="0" xfId="0" applyNumberFormat="1" applyFont="1" applyBorder="1"/>
    <xf numFmtId="1" fontId="1" fillId="20" borderId="0" xfId="0" applyNumberFormat="1" applyFont="1" applyFill="1" applyBorder="1"/>
    <xf numFmtId="0" fontId="1" fillId="0" borderId="0" xfId="0" applyFont="1" applyFill="1" applyBorder="1"/>
    <xf numFmtId="15" fontId="3" fillId="18" borderId="0" xfId="0" applyNumberFormat="1" applyFont="1" applyFill="1" applyBorder="1"/>
    <xf numFmtId="0" fontId="15" fillId="0" borderId="0" xfId="0" applyFont="1" applyFill="1" applyBorder="1"/>
    <xf numFmtId="167" fontId="3" fillId="0" borderId="0" xfId="0" applyNumberFormat="1" applyFont="1" applyBorder="1"/>
    <xf numFmtId="165" fontId="15" fillId="20" borderId="0" xfId="0" applyNumberFormat="1" applyFont="1" applyFill="1" applyBorder="1"/>
    <xf numFmtId="0" fontId="3" fillId="0" borderId="0" xfId="0" applyFont="1" applyFill="1" applyBorder="1" applyAlignment="1">
      <alignment horizontal="right"/>
    </xf>
    <xf numFmtId="0" fontId="0" fillId="18" borderId="0" xfId="0" applyFill="1"/>
    <xf numFmtId="0" fontId="0" fillId="17" borderId="0" xfId="0" applyFill="1"/>
    <xf numFmtId="0" fontId="3" fillId="0" borderId="0" xfId="0" applyNumberFormat="1" applyFont="1" applyBorder="1" applyAlignment="1">
      <alignment horizontal="center"/>
    </xf>
    <xf numFmtId="165" fontId="3" fillId="0" borderId="0" xfId="0" applyNumberFormat="1" applyFont="1" applyFill="1" applyBorder="1" applyAlignment="1">
      <alignment horizontal="center"/>
    </xf>
    <xf numFmtId="168" fontId="4" fillId="17" borderId="0" xfId="0" applyNumberFormat="1" applyFont="1" applyFill="1" applyBorder="1" applyAlignment="1">
      <alignment horizontal="center"/>
    </xf>
    <xf numFmtId="0" fontId="1" fillId="17" borderId="0" xfId="0" applyFont="1" applyFill="1"/>
    <xf numFmtId="164" fontId="1" fillId="0" borderId="0" xfId="0" applyNumberFormat="1" applyFont="1" applyBorder="1" applyAlignment="1">
      <alignment horizontal="right"/>
    </xf>
    <xf numFmtId="164" fontId="1" fillId="0" borderId="0" xfId="0" applyNumberFormat="1" applyFont="1" applyBorder="1"/>
    <xf numFmtId="0" fontId="5" fillId="18" borderId="0" xfId="0" applyFont="1" applyFill="1"/>
    <xf numFmtId="2" fontId="0" fillId="0" borderId="0" xfId="0" applyNumberFormat="1"/>
    <xf numFmtId="0" fontId="15" fillId="20" borderId="0" xfId="0" applyFont="1" applyFill="1" applyAlignment="1">
      <alignment horizontal="center"/>
    </xf>
    <xf numFmtId="0" fontId="1" fillId="21" borderId="0" xfId="0" applyFont="1" applyFill="1"/>
    <xf numFmtId="2" fontId="1" fillId="20" borderId="0" xfId="0" applyNumberFormat="1" applyFont="1" applyFill="1"/>
    <xf numFmtId="2" fontId="19" fillId="0" borderId="0" xfId="0" applyNumberFormat="1" applyFont="1" applyBorder="1"/>
    <xf numFmtId="0" fontId="1" fillId="0" borderId="0" xfId="0" applyFont="1" applyFill="1"/>
    <xf numFmtId="0" fontId="18" fillId="22" borderId="0" xfId="0" applyFont="1" applyFill="1" applyBorder="1"/>
    <xf numFmtId="0" fontId="15" fillId="22" borderId="0" xfId="0" applyFont="1" applyFill="1" applyBorder="1"/>
    <xf numFmtId="164" fontId="3" fillId="20" borderId="0" xfId="0" applyNumberFormat="1" applyFont="1" applyFill="1" applyBorder="1"/>
    <xf numFmtId="0" fontId="3" fillId="23" borderId="0" xfId="0" applyFont="1" applyFill="1" applyBorder="1"/>
    <xf numFmtId="16" fontId="9" fillId="20" borderId="0" xfId="0" applyNumberFormat="1" applyFont="1" applyFill="1" applyBorder="1"/>
    <xf numFmtId="2" fontId="3" fillId="24" borderId="0" xfId="0" applyNumberFormat="1" applyFont="1" applyFill="1" applyBorder="1"/>
    <xf numFmtId="0" fontId="3" fillId="24" borderId="0" xfId="0" applyFont="1" applyFill="1" applyBorder="1"/>
    <xf numFmtId="1" fontId="3" fillId="24" borderId="0" xfId="0" applyNumberFormat="1" applyFont="1" applyFill="1" applyBorder="1"/>
    <xf numFmtId="1" fontId="4" fillId="18" borderId="0" xfId="0" applyNumberFormat="1" applyFont="1" applyFill="1" applyBorder="1" applyAlignment="1">
      <alignment horizontal="center"/>
    </xf>
    <xf numFmtId="0" fontId="21" fillId="20" borderId="0" xfId="0" applyFont="1" applyFill="1"/>
    <xf numFmtId="0" fontId="3" fillId="17" borderId="0" xfId="0" applyFont="1" applyFill="1" applyBorder="1" applyAlignment="1">
      <alignment horizontal="right"/>
    </xf>
    <xf numFmtId="0" fontId="3" fillId="20" borderId="0" xfId="0" applyFont="1" applyFill="1" applyBorder="1" applyAlignment="1">
      <alignment horizontal="center"/>
    </xf>
    <xf numFmtId="1" fontId="3" fillId="20" borderId="0" xfId="0" applyNumberFormat="1" applyFont="1" applyFill="1" applyBorder="1" applyAlignment="1">
      <alignment horizontal="center"/>
    </xf>
    <xf numFmtId="0" fontId="1" fillId="23" borderId="0" xfId="0" applyFont="1" applyFill="1"/>
    <xf numFmtId="2" fontId="8" fillId="0" borderId="0" xfId="0" applyNumberFormat="1" applyFont="1" applyBorder="1"/>
    <xf numFmtId="1" fontId="22" fillId="20" borderId="0" xfId="0" applyNumberFormat="1" applyFont="1" applyFill="1" applyBorder="1"/>
    <xf numFmtId="0" fontId="23" fillId="20" borderId="0" xfId="0" applyFont="1" applyFill="1" applyAlignment="1">
      <alignment horizontal="center"/>
    </xf>
    <xf numFmtId="0" fontId="8" fillId="18" borderId="0" xfId="0" applyFont="1" applyFill="1" applyBorder="1" applyAlignment="1">
      <alignment horizontal="center"/>
    </xf>
    <xf numFmtId="0" fontId="3" fillId="18" borderId="0" xfId="0" applyFont="1" applyFill="1" applyBorder="1" applyAlignment="1">
      <alignment horizontal="center"/>
    </xf>
    <xf numFmtId="0" fontId="1" fillId="18" borderId="0" xfId="0" applyFont="1" applyFill="1" applyAlignment="1">
      <alignment horizontal="center"/>
    </xf>
    <xf numFmtId="0" fontId="17" fillId="18" borderId="0" xfId="34" applyFont="1" applyFill="1" applyBorder="1" applyAlignment="1" applyProtection="1">
      <alignment horizontal="center"/>
    </xf>
    <xf numFmtId="0" fontId="3" fillId="25" borderId="0" xfId="0" applyFont="1" applyFill="1" applyBorder="1"/>
    <xf numFmtId="1" fontId="3" fillId="25" borderId="0" xfId="0" applyNumberFormat="1" applyFont="1" applyFill="1" applyBorder="1"/>
    <xf numFmtId="2" fontId="3" fillId="25" borderId="0" xfId="0" applyNumberFormat="1" applyFont="1" applyFill="1" applyBorder="1"/>
    <xf numFmtId="1" fontId="7" fillId="25" borderId="0" xfId="0" applyNumberFormat="1" applyFont="1" applyFill="1" applyBorder="1"/>
    <xf numFmtId="0" fontId="1" fillId="25" borderId="0" xfId="0" applyFont="1" applyFill="1"/>
    <xf numFmtId="0" fontId="14" fillId="25" borderId="0" xfId="0" applyFont="1" applyFill="1" applyBorder="1" applyAlignment="1">
      <alignment horizontal="center"/>
    </xf>
    <xf numFmtId="0" fontId="1" fillId="25" borderId="0" xfId="0" applyFont="1" applyFill="1" applyBorder="1"/>
    <xf numFmtId="15" fontId="1" fillId="25" borderId="0" xfId="0" applyNumberFormat="1" applyFont="1" applyFill="1" applyBorder="1"/>
    <xf numFmtId="1" fontId="7" fillId="20" borderId="0" xfId="0" applyNumberFormat="1" applyFont="1" applyFill="1" applyBorder="1"/>
    <xf numFmtId="2" fontId="7" fillId="20" borderId="0" xfId="0" applyNumberFormat="1" applyFont="1" applyFill="1" applyBorder="1"/>
    <xf numFmtId="0" fontId="1" fillId="20" borderId="0" xfId="0" applyFont="1" applyFill="1" applyAlignment="1">
      <alignment horizontal="center"/>
    </xf>
    <xf numFmtId="0" fontId="23" fillId="25" borderId="0" xfId="0" applyFont="1" applyFill="1"/>
    <xf numFmtId="1" fontId="1" fillId="18" borderId="0" xfId="0" applyNumberFormat="1" applyFont="1" applyFill="1" applyAlignment="1">
      <alignment horizontal="center"/>
    </xf>
    <xf numFmtId="1" fontId="20" fillId="18" borderId="0" xfId="39" applyNumberFormat="1" applyFill="1" applyAlignment="1" applyProtection="1">
      <alignment horizontal="center"/>
    </xf>
    <xf numFmtId="166" fontId="1" fillId="18" borderId="0" xfId="0" applyNumberFormat="1" applyFont="1" applyFill="1" applyAlignment="1">
      <alignment horizontal="center"/>
    </xf>
    <xf numFmtId="166" fontId="20" fillId="0" borderId="0" xfId="39" applyNumberFormat="1" applyAlignment="1" applyProtection="1">
      <alignment horizontal="center"/>
    </xf>
    <xf numFmtId="167" fontId="1" fillId="18" borderId="0" xfId="0" applyNumberFormat="1" applyFont="1" applyFill="1"/>
    <xf numFmtId="2" fontId="0" fillId="20" borderId="0" xfId="0" applyNumberFormat="1" applyFill="1"/>
    <xf numFmtId="2" fontId="20" fillId="18" borderId="0" xfId="38" applyNumberFormat="1" applyFill="1" applyAlignment="1" applyProtection="1">
      <alignment horizontal="left"/>
    </xf>
    <xf numFmtId="2" fontId="20" fillId="18" borderId="0" xfId="38" applyNumberFormat="1" applyFill="1" applyAlignment="1">
      <alignment horizontal="left"/>
    </xf>
    <xf numFmtId="166" fontId="20" fillId="18" borderId="0" xfId="39" applyNumberFormat="1" applyFill="1" applyAlignment="1" applyProtection="1">
      <alignment horizontal="center"/>
    </xf>
    <xf numFmtId="166" fontId="20" fillId="18" borderId="0" xfId="38" applyNumberFormat="1" applyFill="1" applyAlignment="1" applyProtection="1">
      <alignment horizontal="center"/>
    </xf>
    <xf numFmtId="0" fontId="9" fillId="18" borderId="0" xfId="0" applyFont="1" applyFill="1" applyBorder="1"/>
    <xf numFmtId="1" fontId="9" fillId="18" borderId="0" xfId="0" applyNumberFormat="1" applyFont="1" applyFill="1" applyBorder="1" applyAlignment="1">
      <alignment horizontal="right"/>
    </xf>
    <xf numFmtId="1" fontId="4" fillId="18" borderId="0" xfId="0" applyNumberFormat="1" applyFont="1" applyFill="1" applyBorder="1" applyAlignment="1">
      <alignment horizontal="right"/>
    </xf>
    <xf numFmtId="16" fontId="1" fillId="18" borderId="0" xfId="0" applyNumberFormat="1" applyFont="1" applyFill="1"/>
    <xf numFmtId="171" fontId="1" fillId="18" borderId="0" xfId="0" applyNumberFormat="1" applyFont="1" applyFill="1"/>
    <xf numFmtId="167" fontId="3" fillId="0" borderId="0" xfId="0" applyNumberFormat="1" applyFont="1" applyBorder="1" applyAlignment="1">
      <alignment horizontal="right"/>
    </xf>
    <xf numFmtId="165" fontId="1" fillId="0" borderId="0" xfId="0" applyNumberFormat="1" applyFont="1" applyFill="1"/>
    <xf numFmtId="165" fontId="3" fillId="20" borderId="0" xfId="0" applyNumberFormat="1" applyFont="1" applyFill="1" applyBorder="1"/>
    <xf numFmtId="1" fontId="1" fillId="25" borderId="0" xfId="0" applyNumberFormat="1" applyFont="1" applyFill="1" applyBorder="1"/>
    <xf numFmtId="0" fontId="41" fillId="26" borderId="10" xfId="0" applyFont="1" applyFill="1" applyBorder="1" applyAlignment="1">
      <alignment horizontal="center"/>
    </xf>
    <xf numFmtId="0" fontId="41" fillId="0" borderId="0" xfId="0" applyFont="1"/>
    <xf numFmtId="0" fontId="9" fillId="26" borderId="0" xfId="0" applyFont="1" applyFill="1" applyBorder="1"/>
    <xf numFmtId="170" fontId="9" fillId="27" borderId="0" xfId="0" applyNumberFormat="1" applyFont="1" applyFill="1" applyBorder="1"/>
    <xf numFmtId="0" fontId="1" fillId="26" borderId="10" xfId="0" applyFont="1" applyFill="1" applyBorder="1"/>
    <xf numFmtId="0" fontId="0" fillId="26" borderId="10" xfId="0" applyFill="1" applyBorder="1"/>
    <xf numFmtId="0" fontId="0" fillId="27" borderId="10" xfId="0" applyFill="1" applyBorder="1"/>
    <xf numFmtId="0" fontId="9" fillId="26" borderId="10" xfId="0" applyFont="1" applyFill="1" applyBorder="1"/>
    <xf numFmtId="171" fontId="1" fillId="26" borderId="10" xfId="0" applyNumberFormat="1" applyFont="1" applyFill="1" applyBorder="1"/>
    <xf numFmtId="16" fontId="1" fillId="27" borderId="10" xfId="0" applyNumberFormat="1" applyFont="1" applyFill="1" applyBorder="1"/>
    <xf numFmtId="16" fontId="0" fillId="0" borderId="0" xfId="0" applyNumberFormat="1"/>
    <xf numFmtId="0" fontId="1" fillId="28" borderId="0" xfId="0" applyFont="1" applyFill="1" applyBorder="1" applyAlignment="1">
      <alignment horizontal="center"/>
    </xf>
    <xf numFmtId="0" fontId="3" fillId="28" borderId="0" xfId="0" applyFont="1" applyFill="1" applyBorder="1" applyAlignment="1">
      <alignment horizontal="center"/>
    </xf>
    <xf numFmtId="0" fontId="3" fillId="28" borderId="0" xfId="0" applyFont="1" applyFill="1" applyBorder="1"/>
    <xf numFmtId="0" fontId="0" fillId="29" borderId="10" xfId="0" applyFill="1" applyBorder="1"/>
    <xf numFmtId="0" fontId="1" fillId="29" borderId="10" xfId="0" applyFont="1" applyFill="1" applyBorder="1"/>
    <xf numFmtId="0" fontId="1" fillId="29" borderId="0" xfId="0" applyFont="1" applyFill="1"/>
    <xf numFmtId="16" fontId="1" fillId="29" borderId="10" xfId="0" applyNumberFormat="1" applyFont="1" applyFill="1" applyBorder="1"/>
    <xf numFmtId="0" fontId="9" fillId="29" borderId="10" xfId="0" applyFont="1" applyFill="1" applyBorder="1"/>
    <xf numFmtId="170" fontId="1" fillId="29" borderId="10" xfId="0" applyNumberFormat="1" applyFont="1" applyFill="1" applyBorder="1"/>
    <xf numFmtId="171" fontId="1" fillId="29" borderId="10" xfId="0" applyNumberFormat="1" applyFont="1" applyFill="1" applyBorder="1"/>
    <xf numFmtId="16" fontId="1" fillId="29" borderId="0" xfId="0" applyNumberFormat="1" applyFont="1" applyFill="1"/>
    <xf numFmtId="171" fontId="1" fillId="29" borderId="0" xfId="0" applyNumberFormat="1" applyFont="1" applyFill="1"/>
    <xf numFmtId="0" fontId="1" fillId="29" borderId="0" xfId="0" applyFont="1" applyFill="1" applyBorder="1"/>
    <xf numFmtId="1" fontId="1" fillId="29" borderId="0" xfId="0" applyNumberFormat="1" applyFont="1" applyFill="1" applyBorder="1"/>
    <xf numFmtId="0" fontId="9" fillId="0" borderId="0" xfId="0" applyFont="1" applyFill="1" applyBorder="1"/>
    <xf numFmtId="0" fontId="0" fillId="31" borderId="0" xfId="0" applyFill="1"/>
    <xf numFmtId="0" fontId="1" fillId="31" borderId="10" xfId="0" applyFont="1" applyFill="1" applyBorder="1"/>
    <xf numFmtId="2" fontId="3" fillId="29" borderId="0" xfId="0" applyNumberFormat="1" applyFont="1" applyFill="1" applyBorder="1"/>
    <xf numFmtId="0" fontId="1" fillId="32" borderId="0" xfId="0" applyFont="1" applyFill="1"/>
    <xf numFmtId="0" fontId="1" fillId="30" borderId="13" xfId="0" applyFont="1" applyFill="1" applyBorder="1" applyAlignment="1"/>
    <xf numFmtId="0" fontId="1" fillId="30" borderId="14" xfId="0" applyFont="1" applyFill="1" applyBorder="1" applyAlignment="1">
      <alignment horizontal="center"/>
    </xf>
    <xf numFmtId="164" fontId="1" fillId="30" borderId="14" xfId="0" applyNumberFormat="1" applyFont="1" applyFill="1" applyBorder="1" applyAlignment="1"/>
    <xf numFmtId="0" fontId="1" fillId="30" borderId="14" xfId="0" applyFont="1" applyFill="1" applyBorder="1" applyAlignment="1"/>
    <xf numFmtId="0" fontId="1" fillId="33" borderId="10" xfId="0" applyFont="1" applyFill="1" applyBorder="1"/>
    <xf numFmtId="164" fontId="3" fillId="20" borderId="11" xfId="0" applyNumberFormat="1" applyFont="1" applyFill="1" applyBorder="1"/>
    <xf numFmtId="0" fontId="3" fillId="20" borderId="11" xfId="0" applyFont="1" applyFill="1" applyBorder="1"/>
    <xf numFmtId="0" fontId="3" fillId="17" borderId="0" xfId="0" applyFont="1" applyFill="1" applyBorder="1"/>
    <xf numFmtId="0" fontId="3" fillId="20" borderId="0" xfId="0" applyFont="1" applyFill="1" applyBorder="1"/>
    <xf numFmtId="0" fontId="9" fillId="20" borderId="0" xfId="0" applyFont="1" applyFill="1" applyBorder="1" applyAlignment="1">
      <alignment horizontal="right"/>
    </xf>
    <xf numFmtId="167" fontId="3" fillId="0" borderId="0" xfId="0" applyNumberFormat="1" applyFont="1" applyBorder="1"/>
    <xf numFmtId="0" fontId="4" fillId="23" borderId="0" xfId="0" applyFont="1" applyFill="1" applyBorder="1"/>
    <xf numFmtId="0" fontId="1" fillId="20" borderId="0" xfId="0" applyFont="1" applyFill="1" applyAlignment="1">
      <alignment horizontal="center"/>
    </xf>
    <xf numFmtId="0" fontId="18" fillId="29" borderId="0" xfId="0" applyFont="1" applyFill="1" applyBorder="1" applyAlignment="1">
      <alignment horizontal="center"/>
    </xf>
    <xf numFmtId="0" fontId="1" fillId="32" borderId="12" xfId="0" applyFont="1" applyFill="1" applyBorder="1" applyAlignment="1">
      <alignment horizontal="center"/>
    </xf>
    <xf numFmtId="0" fontId="43" fillId="19" borderId="0" xfId="0" applyFont="1" applyFill="1" applyBorder="1" applyAlignment="1">
      <alignment horizontal="center"/>
    </xf>
    <xf numFmtId="0" fontId="43" fillId="20" borderId="12" xfId="0" applyFont="1" applyFill="1" applyBorder="1" applyAlignment="1">
      <alignment horizontal="center"/>
    </xf>
    <xf numFmtId="0" fontId="4" fillId="20" borderId="12" xfId="0" applyFont="1" applyFill="1" applyBorder="1" applyAlignment="1">
      <alignment horizontal="center"/>
    </xf>
    <xf numFmtId="0" fontId="3" fillId="20" borderId="0" xfId="0" applyFont="1" applyFill="1" applyBorder="1" applyAlignment="1">
      <alignment horizontal="center"/>
    </xf>
  </cellXfs>
  <cellStyles count="45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rmal_Cobble Gravel" xfId="38"/>
    <cellStyle name="Normal_template_12dates" xfId="39"/>
    <cellStyle name="Note" xfId="40" builtinId="10" customBuiltin="1"/>
    <cellStyle name="Output" xfId="41" builtinId="21" customBuiltin="1"/>
    <cellStyle name="Sheet Title" xfId="42"/>
    <cellStyle name="Total" xfId="43" builtinId="25" customBuiltin="1"/>
    <cellStyle name="Warning Text" xfId="44" builtinId="11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C1338"/>
  <sheetViews>
    <sheetView tabSelected="1" topLeftCell="J1" zoomScale="85" zoomScaleNormal="85" workbookViewId="0">
      <selection activeCell="T7" sqref="K2:T7"/>
    </sheetView>
  </sheetViews>
  <sheetFormatPr defaultColWidth="8.85546875" defaultRowHeight="12.75"/>
  <cols>
    <col min="1" max="1" width="41.42578125" style="8" customWidth="1"/>
    <col min="2" max="2" width="9.28515625" style="8" bestFit="1" customWidth="1"/>
    <col min="3" max="3" width="17.7109375" style="8" customWidth="1"/>
    <col min="4" max="4" width="20.28515625" style="8" customWidth="1"/>
    <col min="5" max="5" width="14" style="8" customWidth="1"/>
    <col min="6" max="6" width="14.28515625" style="8" customWidth="1"/>
    <col min="7" max="7" width="26.140625" style="8" customWidth="1"/>
    <col min="8" max="8" width="17.85546875" style="8" customWidth="1"/>
    <col min="9" max="9" width="15.42578125" style="8" customWidth="1"/>
    <col min="10" max="10" width="19.42578125" style="8" customWidth="1"/>
    <col min="11" max="11" width="21.28515625" style="8" customWidth="1"/>
    <col min="12" max="12" width="11" style="8" bestFit="1" customWidth="1"/>
    <col min="13" max="13" width="13.42578125" style="8" customWidth="1"/>
    <col min="14" max="14" width="9.42578125" style="8" bestFit="1" customWidth="1"/>
    <col min="15" max="15" width="9.85546875" style="8" bestFit="1" customWidth="1"/>
    <col min="16" max="16" width="15" style="8" customWidth="1"/>
    <col min="17" max="18" width="11.42578125" style="8" customWidth="1"/>
    <col min="19" max="19" width="9.42578125" style="8" bestFit="1" customWidth="1"/>
    <col min="20" max="20" width="14.140625" style="8" customWidth="1"/>
    <col min="21" max="21" width="14.5703125" style="8" customWidth="1"/>
    <col min="22" max="22" width="17.28515625" style="8" customWidth="1"/>
    <col min="23" max="23" width="20.28515625" style="8" customWidth="1"/>
    <col min="24" max="35" width="9.42578125" style="8" bestFit="1" customWidth="1"/>
    <col min="36" max="39" width="8.85546875" style="8"/>
    <col min="40" max="40" width="12.28515625" style="8" customWidth="1"/>
    <col min="41" max="41" width="9.7109375" style="8" customWidth="1"/>
    <col min="42" max="42" width="10.140625" style="8" customWidth="1"/>
    <col min="43" max="43" width="13.7109375" style="8" customWidth="1"/>
    <col min="44" max="49" width="8.85546875" style="8"/>
    <col min="50" max="50" width="22.85546875" style="8" customWidth="1"/>
    <col min="51" max="52" width="8.85546875" style="8"/>
    <col min="53" max="53" width="12.85546875" style="8" customWidth="1"/>
    <col min="54" max="84" width="8.85546875" style="8"/>
    <col min="85" max="85" width="15.28515625" style="8" customWidth="1"/>
    <col min="86" max="87" width="8.85546875" style="8"/>
    <col min="88" max="88" width="29.7109375" style="8" customWidth="1"/>
    <col min="89" max="91" width="8.85546875" style="8"/>
    <col min="92" max="92" width="7.42578125" style="8" customWidth="1"/>
    <col min="93" max="93" width="5.42578125" style="8" customWidth="1"/>
    <col min="94" max="94" width="6.140625" style="8" customWidth="1"/>
    <col min="95" max="95" width="5.28515625" style="8" customWidth="1"/>
    <col min="96" max="96" width="4" style="8" customWidth="1"/>
    <col min="97" max="97" width="6" style="8" customWidth="1"/>
    <col min="98" max="98" width="6.140625" style="8" customWidth="1"/>
    <col min="99" max="99" width="5.42578125" style="8" customWidth="1"/>
    <col min="100" max="100" width="8.85546875" style="8"/>
    <col min="101" max="101" width="17.140625" style="8" customWidth="1"/>
    <col min="102" max="104" width="18.140625" style="8" customWidth="1"/>
    <col min="105" max="105" width="17.42578125" style="8" customWidth="1"/>
    <col min="106" max="106" width="24.42578125" style="8" customWidth="1"/>
    <col min="107" max="137" width="8.85546875" style="8"/>
    <col min="138" max="138" width="7.140625" style="8" customWidth="1"/>
    <col min="139" max="140" width="8.85546875" style="8"/>
    <col min="141" max="141" width="19" style="8" customWidth="1"/>
    <col min="142" max="144" width="8.85546875" style="8"/>
    <col min="145" max="145" width="20.85546875" style="8" customWidth="1"/>
    <col min="146" max="151" width="8.85546875" style="8"/>
    <col min="152" max="152" width="15.140625" style="8" customWidth="1"/>
    <col min="153" max="153" width="17.28515625" style="8" customWidth="1"/>
    <col min="154" max="154" width="8.85546875" style="8"/>
    <col min="155" max="155" width="11.28515625" style="8" customWidth="1"/>
    <col min="156" max="163" width="8.85546875" style="8"/>
    <col min="164" max="164" width="9.85546875" style="8" customWidth="1"/>
    <col min="165" max="176" width="8.85546875" style="8"/>
    <col min="177" max="177" width="15.140625" style="8" customWidth="1"/>
    <col min="178" max="16384" width="8.85546875" style="8"/>
  </cols>
  <sheetData>
    <row r="1" spans="1:211" s="7" customFormat="1">
      <c r="A1" s="218" t="s">
        <v>149</v>
      </c>
      <c r="B1" s="1"/>
      <c r="C1" s="1"/>
      <c r="D1" s="1"/>
      <c r="E1" s="1"/>
      <c r="F1" s="2"/>
      <c r="G1" s="2"/>
      <c r="H1" s="3"/>
      <c r="I1" s="4"/>
      <c r="J1" s="5"/>
      <c r="K1" s="5"/>
      <c r="L1" s="5"/>
      <c r="M1" s="5"/>
      <c r="N1" s="6"/>
      <c r="O1" s="5"/>
      <c r="P1" s="5"/>
      <c r="Q1" s="5"/>
      <c r="R1" s="5"/>
      <c r="S1" s="5"/>
      <c r="T1" s="5"/>
      <c r="U1" s="5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</row>
    <row r="2" spans="1:211" s="7" customFormat="1">
      <c r="A2" s="142"/>
      <c r="B2" s="1"/>
      <c r="C2" s="9"/>
      <c r="D2" s="9" t="s">
        <v>19</v>
      </c>
      <c r="E2" s="9" t="s">
        <v>130</v>
      </c>
      <c r="F2" s="11"/>
      <c r="G2" s="12" t="s">
        <v>20</v>
      </c>
      <c r="H2" s="3"/>
      <c r="I2" s="4"/>
      <c r="J2" s="5"/>
      <c r="K2" s="13"/>
      <c r="L2" s="13"/>
      <c r="M2" s="136"/>
      <c r="N2" s="137"/>
      <c r="O2" s="136" t="s">
        <v>14</v>
      </c>
      <c r="P2" s="136" t="s">
        <v>15</v>
      </c>
      <c r="Q2" s="136" t="s">
        <v>15</v>
      </c>
      <c r="R2" s="136" t="s">
        <v>16</v>
      </c>
      <c r="S2" s="136" t="s">
        <v>14</v>
      </c>
      <c r="T2" s="136" t="s">
        <v>14</v>
      </c>
      <c r="U2" s="5"/>
      <c r="V2" s="4"/>
      <c r="W2" s="10" t="s">
        <v>10</v>
      </c>
      <c r="X2" s="13"/>
      <c r="Y2" s="13"/>
      <c r="Z2" s="13"/>
      <c r="AA2" s="13"/>
      <c r="AB2" s="13"/>
      <c r="AC2" s="14"/>
      <c r="AD2" s="13"/>
      <c r="AE2" s="13"/>
      <c r="AF2" s="13"/>
      <c r="AG2" s="13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FX2" s="206"/>
      <c r="FY2" s="206"/>
      <c r="FZ2" s="206"/>
      <c r="GA2" s="206"/>
      <c r="GB2" s="206"/>
      <c r="GC2" s="221" t="s">
        <v>143</v>
      </c>
      <c r="GD2" s="221"/>
      <c r="GE2" s="221"/>
      <c r="GF2" s="221"/>
      <c r="GG2" s="221"/>
      <c r="GH2" s="221"/>
      <c r="GI2" s="221"/>
      <c r="GJ2" s="206"/>
      <c r="GK2" s="206"/>
      <c r="GL2" s="206"/>
      <c r="GM2" s="206"/>
      <c r="GN2" s="206"/>
    </row>
    <row r="3" spans="1:211" s="7" customFormat="1">
      <c r="A3" s="142"/>
      <c r="B3" s="1"/>
      <c r="C3" s="15" t="s">
        <v>21</v>
      </c>
      <c r="D3" s="9" t="s">
        <v>22</v>
      </c>
      <c r="E3" s="9" t="s">
        <v>131</v>
      </c>
      <c r="F3" s="10"/>
      <c r="G3" s="9" t="s">
        <v>22</v>
      </c>
      <c r="H3" s="1"/>
      <c r="I3" s="4"/>
      <c r="J3" s="5"/>
      <c r="K3" s="13"/>
      <c r="L3" s="13"/>
      <c r="M3" s="9" t="s">
        <v>23</v>
      </c>
      <c r="N3" s="9" t="s">
        <v>24</v>
      </c>
      <c r="O3" s="9" t="s">
        <v>25</v>
      </c>
      <c r="P3" s="9" t="s">
        <v>13</v>
      </c>
      <c r="Q3" s="9" t="s">
        <v>26</v>
      </c>
      <c r="R3" s="9" t="s">
        <v>27</v>
      </c>
      <c r="S3" s="9" t="s">
        <v>5</v>
      </c>
      <c r="T3" s="9" t="s">
        <v>4</v>
      </c>
      <c r="U3" s="5"/>
      <c r="V3" s="4"/>
      <c r="W3" s="13" t="s">
        <v>139</v>
      </c>
      <c r="X3" s="9" t="s">
        <v>6</v>
      </c>
      <c r="Y3" s="9" t="s">
        <v>23</v>
      </c>
      <c r="Z3" s="9" t="s">
        <v>7</v>
      </c>
      <c r="AA3" s="9" t="s">
        <v>8</v>
      </c>
      <c r="AB3" s="9"/>
      <c r="AC3" s="9" t="s">
        <v>9</v>
      </c>
      <c r="AD3" s="9" t="s">
        <v>23</v>
      </c>
      <c r="AE3" s="9" t="s">
        <v>7</v>
      </c>
      <c r="AF3" s="9" t="s">
        <v>8</v>
      </c>
      <c r="AG3" s="13"/>
      <c r="AH3" s="4"/>
      <c r="AI3" s="4"/>
      <c r="AJ3" s="4"/>
      <c r="AK3" s="4"/>
      <c r="AL3" s="4"/>
      <c r="AM3" s="4"/>
      <c r="AN3" s="4"/>
      <c r="AO3" s="4"/>
      <c r="AP3" s="16"/>
      <c r="AQ3" s="16"/>
      <c r="AR3" s="16"/>
      <c r="AS3" s="16"/>
      <c r="FX3" s="206"/>
      <c r="FY3" s="207"/>
      <c r="FZ3" s="207"/>
      <c r="GA3" s="207"/>
      <c r="GB3" s="207"/>
      <c r="GC3" s="207"/>
      <c r="GD3" s="207"/>
      <c r="GE3" s="207"/>
      <c r="GF3" s="207"/>
      <c r="GG3" s="207"/>
      <c r="GH3" s="207"/>
      <c r="GI3" s="207"/>
      <c r="GJ3" s="207"/>
      <c r="GK3" s="207"/>
      <c r="GL3" s="207"/>
      <c r="GM3" s="207"/>
      <c r="GN3" s="206"/>
    </row>
    <row r="4" spans="1:211" s="7" customFormat="1">
      <c r="A4" s="142"/>
      <c r="B4" s="1"/>
      <c r="C4" s="17">
        <v>39646</v>
      </c>
      <c r="D4" s="18">
        <f>COUNTA(C228:C237)</f>
        <v>10</v>
      </c>
      <c r="E4" s="109">
        <v>10</v>
      </c>
      <c r="F4" s="13"/>
      <c r="G4" s="112">
        <f>COUNTA(AN17:AN1016)</f>
        <v>1000</v>
      </c>
      <c r="H4" s="1"/>
      <c r="I4" s="4"/>
      <c r="J4" s="5"/>
      <c r="K4" s="20" t="s">
        <v>28</v>
      </c>
      <c r="L4" s="13"/>
      <c r="M4" s="130">
        <v>42.187983210517572</v>
      </c>
      <c r="N4" s="130">
        <v>0.97195266938478964</v>
      </c>
      <c r="O4" s="130">
        <v>0.78008908252594855</v>
      </c>
      <c r="P4" s="130">
        <v>6.7328926466292014</v>
      </c>
      <c r="Q4" s="130">
        <v>0.90029050582183689</v>
      </c>
      <c r="R4" s="130">
        <v>3.5567403989138748</v>
      </c>
      <c r="S4" s="131">
        <v>0.68003991510227502</v>
      </c>
      <c r="T4" s="131">
        <v>9.7508714877007463E-2</v>
      </c>
      <c r="U4" s="5"/>
      <c r="V4" s="4"/>
      <c r="W4" s="127">
        <f t="shared" ref="W4:W13" si="0">C4</f>
        <v>39646</v>
      </c>
      <c r="X4" s="132">
        <f>AVERAGE(EK88:EK97)</f>
        <v>8.3333333333333321</v>
      </c>
      <c r="Y4" s="131">
        <f>COUNT(EK88:EK97)</f>
        <v>10</v>
      </c>
      <c r="Z4" s="130">
        <f>STDEV(EK88:EK97)</f>
        <v>20.126912147485331</v>
      </c>
      <c r="AA4" s="130">
        <f>Z4/SQRT(Y4)</f>
        <v>6.3646884652164442</v>
      </c>
      <c r="AB4" s="131"/>
      <c r="AC4" s="130">
        <f>AVERAGE($FU88:$FU97)</f>
        <v>0.31874999999999998</v>
      </c>
      <c r="AD4" s="132">
        <f>COUNT($FU88:$FU97)</f>
        <v>10</v>
      </c>
      <c r="AE4" s="130">
        <f>STDEV($FU88:$FU97)</f>
        <v>0.76985438964131403</v>
      </c>
      <c r="AF4" s="130">
        <f>AE4/SQRT(AD4)</f>
        <v>0.24344933379452902</v>
      </c>
      <c r="AG4" s="13"/>
      <c r="AH4" s="4"/>
      <c r="AI4" s="4"/>
      <c r="AJ4" s="4"/>
      <c r="AK4" s="4"/>
      <c r="AL4" s="4"/>
      <c r="AM4" s="4"/>
      <c r="AN4" s="4"/>
      <c r="AO4" s="4"/>
      <c r="AP4" s="16"/>
      <c r="AQ4" s="16"/>
      <c r="AR4" s="16"/>
      <c r="AS4" s="16"/>
      <c r="FG4" s="5"/>
      <c r="FH4" s="5"/>
      <c r="FI4" s="5"/>
      <c r="FJ4" s="222" t="s">
        <v>145</v>
      </c>
      <c r="FK4" s="222"/>
      <c r="FL4" s="222"/>
      <c r="FM4" s="222"/>
      <c r="FN4" s="5"/>
      <c r="FO4" s="5"/>
      <c r="FX4" s="206"/>
      <c r="FY4" s="208" t="s">
        <v>144</v>
      </c>
      <c r="FZ4" s="209">
        <f>C4</f>
        <v>39646</v>
      </c>
      <c r="GA4" s="209">
        <f>C5</f>
        <v>39673</v>
      </c>
      <c r="GB4" s="209">
        <f>C6</f>
        <v>39714</v>
      </c>
      <c r="GC4" s="209">
        <f>C7</f>
        <v>39747</v>
      </c>
      <c r="GD4" s="209">
        <f>C8</f>
        <v>39775</v>
      </c>
      <c r="GE4" s="209">
        <f>C9</f>
        <v>39799</v>
      </c>
      <c r="GF4" s="209">
        <f>C10</f>
        <v>39847</v>
      </c>
      <c r="GG4" s="209">
        <f>C11</f>
        <v>39910</v>
      </c>
      <c r="GH4" s="209">
        <f>C12</f>
        <v>39949</v>
      </c>
      <c r="GI4" s="209">
        <f>C13</f>
        <v>39987</v>
      </c>
      <c r="GJ4" s="210"/>
      <c r="GK4" s="210" t="s">
        <v>24</v>
      </c>
      <c r="GL4" s="210"/>
      <c r="GM4" s="210"/>
      <c r="GN4" s="206"/>
    </row>
    <row r="5" spans="1:211" s="7" customFormat="1">
      <c r="A5" s="142"/>
      <c r="B5" s="1"/>
      <c r="C5" s="17">
        <v>39673</v>
      </c>
      <c r="D5" s="18">
        <f>COUNTA(C238:C247)</f>
        <v>10</v>
      </c>
      <c r="E5" s="109">
        <v>10</v>
      </c>
      <c r="F5" s="10"/>
      <c r="G5" s="9"/>
      <c r="H5" s="1"/>
      <c r="I5" s="4"/>
      <c r="J5" s="5"/>
      <c r="K5" s="20" t="s">
        <v>29</v>
      </c>
      <c r="L5" s="13"/>
      <c r="M5" s="130">
        <f t="shared" ref="M5:T5" si="1">AVERAGE(AN17:AN1016)</f>
        <v>42.192832242889772</v>
      </c>
      <c r="N5" s="130">
        <f t="shared" si="1"/>
        <v>0.96826820273320213</v>
      </c>
      <c r="O5" s="130">
        <f t="shared" si="1"/>
        <v>4.5171389898943604</v>
      </c>
      <c r="P5" s="130">
        <f t="shared" si="1"/>
        <v>6.7506382984851241</v>
      </c>
      <c r="Q5" s="130">
        <f t="shared" si="1"/>
        <v>0.89674026816436303</v>
      </c>
      <c r="R5" s="130">
        <f t="shared" si="1"/>
        <v>3.5040521570131573</v>
      </c>
      <c r="S5" s="131" t="e">
        <f t="shared" si="1"/>
        <v>#DIV/0!</v>
      </c>
      <c r="T5" s="131" t="e">
        <f t="shared" si="1"/>
        <v>#DIV/0!</v>
      </c>
      <c r="U5" s="5"/>
      <c r="V5" s="4"/>
      <c r="W5" s="127">
        <f t="shared" si="0"/>
        <v>39673</v>
      </c>
      <c r="X5" s="132">
        <f>AVERAGE(EK98:EK107)</f>
        <v>88.790849673202601</v>
      </c>
      <c r="Y5" s="131">
        <f>COUNT(EK98:EK107)</f>
        <v>10</v>
      </c>
      <c r="Z5" s="130">
        <f>STDEV(EK98:EK107)</f>
        <v>160.01761086345979</v>
      </c>
      <c r="AA5" s="130">
        <f t="shared" ref="AA5:AA13" si="2">Z5/SQRT(Y5)</f>
        <v>50.602011606703584</v>
      </c>
      <c r="AB5" s="131"/>
      <c r="AC5" s="130">
        <f>AVERAGE($FU98:$FU107)</f>
        <v>2.120591176470588</v>
      </c>
      <c r="AD5" s="132">
        <f>COUNT($FU98:$FU107)</f>
        <v>10</v>
      </c>
      <c r="AE5" s="130">
        <f>STDEV($FU98:$FU107)</f>
        <v>4.1078087240934309</v>
      </c>
      <c r="AF5" s="130">
        <f t="shared" ref="AF5:AF13" si="3">AE5/SQRT(AD5)</f>
        <v>1.2990031760445429</v>
      </c>
      <c r="AG5" s="13"/>
      <c r="AH5" s="4"/>
      <c r="AI5" s="4"/>
      <c r="AJ5" s="4"/>
      <c r="AK5" s="4"/>
      <c r="AL5" s="4"/>
      <c r="AM5" s="4"/>
      <c r="AN5" s="4"/>
      <c r="AO5" s="4"/>
      <c r="AP5" s="16"/>
      <c r="AQ5" s="16"/>
      <c r="AR5" s="16"/>
      <c r="AS5" s="16"/>
      <c r="FG5" s="5"/>
      <c r="FH5" s="13"/>
      <c r="FI5" s="13"/>
      <c r="FJ5" s="136"/>
      <c r="FK5" s="137"/>
      <c r="FL5" s="136"/>
      <c r="FM5" s="136"/>
      <c r="FN5" s="136"/>
      <c r="FO5" s="5"/>
      <c r="FX5" s="206"/>
      <c r="FY5" s="206"/>
      <c r="FZ5" s="206"/>
      <c r="GA5" s="206"/>
      <c r="GB5" s="206"/>
      <c r="GC5" s="206"/>
      <c r="GD5" s="206"/>
      <c r="GE5" s="206"/>
      <c r="GF5" s="206"/>
      <c r="GG5" s="206"/>
      <c r="GH5" s="206"/>
      <c r="GI5" s="206"/>
      <c r="GJ5" s="206"/>
      <c r="GK5" s="206"/>
      <c r="GL5" s="206"/>
      <c r="GM5" s="206"/>
      <c r="GN5" s="206"/>
    </row>
    <row r="6" spans="1:211" s="7" customFormat="1">
      <c r="A6" s="144"/>
      <c r="B6" s="1"/>
      <c r="C6" s="17">
        <v>39714</v>
      </c>
      <c r="D6" s="18">
        <f>COUNTA(C248:C257)</f>
        <v>10</v>
      </c>
      <c r="E6" s="109">
        <v>10</v>
      </c>
      <c r="F6" s="10"/>
      <c r="G6" s="9"/>
      <c r="H6" s="1"/>
      <c r="I6" s="4"/>
      <c r="J6" s="5"/>
      <c r="K6" s="20" t="s">
        <v>127</v>
      </c>
      <c r="L6" s="13"/>
      <c r="M6" s="130">
        <f t="shared" ref="M6:T6" si="4">PERCENTILE(AN17:AN1016, 0.975)</f>
        <v>65.720318532100919</v>
      </c>
      <c r="N6" s="130">
        <f t="shared" si="4"/>
        <v>1.5780036961775923</v>
      </c>
      <c r="O6" s="130">
        <f t="shared" si="4"/>
        <v>19.306556688438331</v>
      </c>
      <c r="P6" s="130">
        <f t="shared" si="4"/>
        <v>10.779272749821942</v>
      </c>
      <c r="Q6" s="130">
        <f t="shared" si="4"/>
        <v>1.4539784853216899</v>
      </c>
      <c r="R6" s="130">
        <f t="shared" si="4"/>
        <v>5.4802855805846429</v>
      </c>
      <c r="S6" s="130" t="e">
        <f t="shared" si="4"/>
        <v>#DIV/0!</v>
      </c>
      <c r="T6" s="130" t="e">
        <f t="shared" si="4"/>
        <v>#DIV/0!</v>
      </c>
      <c r="U6" s="5"/>
      <c r="V6" s="4"/>
      <c r="W6" s="127">
        <f t="shared" si="0"/>
        <v>39714</v>
      </c>
      <c r="X6" s="132">
        <f>AVERAGE(EK108:EK117)</f>
        <v>33.59375</v>
      </c>
      <c r="Y6" s="131">
        <f>COUNT(EK108:EK117)</f>
        <v>10</v>
      </c>
      <c r="Z6" s="130">
        <f>STDEV(EK108:EK117)</f>
        <v>49.234133765732473</v>
      </c>
      <c r="AA6" s="130">
        <f t="shared" si="2"/>
        <v>15.569200132511748</v>
      </c>
      <c r="AB6" s="131"/>
      <c r="AC6" s="130">
        <f>AVERAGE($FU108:$FU117)</f>
        <v>0.80102343749999994</v>
      </c>
      <c r="AD6" s="132">
        <f>COUNT($FU108:$FU117)</f>
        <v>10</v>
      </c>
      <c r="AE6" s="130">
        <f>STDEV($FU108:$FU117)</f>
        <v>1.2623974376753992</v>
      </c>
      <c r="AF6" s="130">
        <f t="shared" si="3"/>
        <v>0.39920512154147186</v>
      </c>
      <c r="AG6" s="13"/>
      <c r="AH6" s="4"/>
      <c r="AI6" s="4"/>
      <c r="AJ6" s="4"/>
      <c r="AK6" s="4"/>
      <c r="AL6" s="4"/>
      <c r="AM6" s="4"/>
      <c r="AN6" s="4"/>
      <c r="AO6" s="4"/>
      <c r="AP6" s="16"/>
      <c r="AQ6" s="16"/>
      <c r="AR6" s="16"/>
      <c r="AS6" s="16"/>
      <c r="FG6" s="5"/>
      <c r="FH6" s="13"/>
      <c r="FI6" s="223" t="s">
        <v>146</v>
      </c>
      <c r="FJ6" s="223"/>
      <c r="FK6" s="224" t="s">
        <v>147</v>
      </c>
      <c r="FL6" s="224"/>
      <c r="FM6" s="224" t="s">
        <v>148</v>
      </c>
      <c r="FN6" s="224"/>
      <c r="FO6" s="5"/>
      <c r="FY6" s="211">
        <v>1</v>
      </c>
      <c r="FZ6">
        <v>1.4019099321797666</v>
      </c>
      <c r="GA6">
        <v>1.4808304888131494</v>
      </c>
      <c r="GB6">
        <v>1.1538726551482392</v>
      </c>
      <c r="GC6">
        <v>0.67886225432885894</v>
      </c>
      <c r="GD6">
        <v>0.14161289739121607</v>
      </c>
      <c r="GE6">
        <v>0.21770983253970005</v>
      </c>
      <c r="GF6">
        <v>0.74923343208741267</v>
      </c>
      <c r="GG6">
        <v>0.73083003359504783</v>
      </c>
      <c r="GH6">
        <v>0.22255459596614241</v>
      </c>
      <c r="GI6">
        <v>0.73973608340443975</v>
      </c>
      <c r="GJ6"/>
      <c r="GK6">
        <v>1.3971393382352941</v>
      </c>
      <c r="GL6">
        <v>1.2471510569852939</v>
      </c>
      <c r="GM6">
        <v>1.8946495028409087</v>
      </c>
      <c r="GN6">
        <v>1.9932426948051944</v>
      </c>
      <c r="GO6">
        <v>0.5387611607142857</v>
      </c>
      <c r="GP6">
        <v>0.40893750000000006</v>
      </c>
      <c r="GQ6">
        <v>0.90325271739130431</v>
      </c>
      <c r="GR6">
        <v>1.0166589673913042</v>
      </c>
      <c r="GS6">
        <v>0.23538762019230769</v>
      </c>
      <c r="GT6">
        <v>0.99383806787481999</v>
      </c>
      <c r="GU6"/>
      <c r="GV6"/>
      <c r="GW6"/>
      <c r="GX6"/>
      <c r="GY6"/>
      <c r="GZ6"/>
      <c r="HA6"/>
      <c r="HB6"/>
      <c r="HC6"/>
    </row>
    <row r="7" spans="1:211" s="7" customFormat="1">
      <c r="A7" s="143"/>
      <c r="B7" s="1"/>
      <c r="C7" s="17">
        <v>39747</v>
      </c>
      <c r="D7" s="18">
        <f>COUNTA(C258:C267)</f>
        <v>10</v>
      </c>
      <c r="E7" s="109">
        <v>10</v>
      </c>
      <c r="F7" s="10"/>
      <c r="G7" s="9"/>
      <c r="H7" s="1"/>
      <c r="I7" s="4"/>
      <c r="J7" s="5"/>
      <c r="K7" s="10" t="s">
        <v>128</v>
      </c>
      <c r="L7" s="13"/>
      <c r="M7" s="130">
        <f t="shared" ref="M7:T7" si="5">PERCENTILE(AN17:AN1016, 0.025)</f>
        <v>22.495724877052499</v>
      </c>
      <c r="N7" s="130">
        <f t="shared" si="5"/>
        <v>0.49795444880307205</v>
      </c>
      <c r="O7" s="130">
        <f t="shared" si="5"/>
        <v>0.3041907568377098</v>
      </c>
      <c r="P7" s="130">
        <f t="shared" si="5"/>
        <v>3.4662752268782624</v>
      </c>
      <c r="Q7" s="130">
        <f t="shared" si="5"/>
        <v>0.46825987118805507</v>
      </c>
      <c r="R7" s="130">
        <f t="shared" si="5"/>
        <v>1.8515675720461726</v>
      </c>
      <c r="S7" s="130" t="e">
        <f t="shared" si="5"/>
        <v>#DIV/0!</v>
      </c>
      <c r="T7" s="130" t="e">
        <f t="shared" si="5"/>
        <v>#DIV/0!</v>
      </c>
      <c r="U7" s="5"/>
      <c r="V7" s="4"/>
      <c r="W7" s="127">
        <f t="shared" si="0"/>
        <v>39747</v>
      </c>
      <c r="X7" s="132">
        <f>AVERAGE(EK118:EK127)</f>
        <v>71.101641414141412</v>
      </c>
      <c r="Y7" s="131">
        <f>COUNT(EK118:EK127)</f>
        <v>10</v>
      </c>
      <c r="Z7" s="130">
        <f>STDEV(EK118:EK127)</f>
        <v>143.56709398592847</v>
      </c>
      <c r="AA7" s="130">
        <f t="shared" si="2"/>
        <v>45.399901404699563</v>
      </c>
      <c r="AB7" s="131"/>
      <c r="AC7" s="130">
        <f>AVERAGE($FU118:$FU127)</f>
        <v>2.3480752840909092</v>
      </c>
      <c r="AD7" s="132">
        <f>COUNT($FU118:$FU127)</f>
        <v>10</v>
      </c>
      <c r="AE7" s="130">
        <f>STDEV($FU118:$FU127)</f>
        <v>5.3599783283861724</v>
      </c>
      <c r="AF7" s="130">
        <f t="shared" si="3"/>
        <v>1.6949739726842246</v>
      </c>
      <c r="AG7" s="13"/>
      <c r="AH7" s="4"/>
      <c r="AI7" s="4"/>
      <c r="AJ7" s="4"/>
      <c r="AK7" s="4"/>
      <c r="AL7" s="4"/>
      <c r="AM7" s="4"/>
      <c r="AN7" s="4"/>
      <c r="AO7" s="4"/>
      <c r="AP7" s="16"/>
      <c r="AQ7" s="16"/>
      <c r="AR7" s="16"/>
      <c r="AS7" s="16"/>
      <c r="FG7" s="5"/>
      <c r="FH7" s="212">
        <f t="shared" ref="FH7:FH16" si="6">C4</f>
        <v>39646</v>
      </c>
      <c r="FI7" s="225">
        <f>AVERAGE(FZ6:FZ1005)</f>
        <v>1.2374506172681172</v>
      </c>
      <c r="FJ7" s="225"/>
      <c r="FK7" s="225">
        <f>PERCENTILE($FZ$6:$FZ$1005,0.975)</f>
        <v>2.5876195757149261</v>
      </c>
      <c r="FL7" s="225"/>
      <c r="FM7" s="225">
        <f>PERCENTILE($FZ$6:$FZ$1005,0.025)</f>
        <v>0.24686517873363897</v>
      </c>
      <c r="FN7" s="225"/>
      <c r="FO7" s="5"/>
      <c r="FY7" s="211">
        <v>2</v>
      </c>
      <c r="FZ7">
        <v>0.54136896804487677</v>
      </c>
      <c r="GA7">
        <v>1.0215829930931153</v>
      </c>
      <c r="GB7">
        <v>1.6282115836623594</v>
      </c>
      <c r="GC7">
        <v>0.83192425422260907</v>
      </c>
      <c r="GD7">
        <v>6.6026128116326771E-2</v>
      </c>
      <c r="GE7">
        <v>9.5391010509975005E-2</v>
      </c>
      <c r="GF7">
        <v>0.57499774394694703</v>
      </c>
      <c r="GG7">
        <v>0.52933036966390667</v>
      </c>
      <c r="GH7">
        <v>0.22498885009550723</v>
      </c>
      <c r="GI7">
        <v>0.65428034762093978</v>
      </c>
      <c r="GJ7"/>
      <c r="GK7">
        <v>0.53941874999999995</v>
      </c>
      <c r="GL7">
        <v>0.86024296874999995</v>
      </c>
      <c r="GM7">
        <v>2.6731963778409087</v>
      </c>
      <c r="GN7">
        <v>2.442573051948052</v>
      </c>
      <c r="GO7">
        <v>0.25131026785714283</v>
      </c>
      <c r="GP7">
        <v>0.17910937500000002</v>
      </c>
      <c r="GQ7">
        <v>0.69359510869565222</v>
      </c>
      <c r="GR7">
        <v>0.73663677536231864</v>
      </c>
      <c r="GS7">
        <v>0.23790464743589743</v>
      </c>
      <c r="GT7">
        <v>0.87908503036592023</v>
      </c>
      <c r="GU7"/>
      <c r="GV7"/>
      <c r="GW7"/>
      <c r="GX7"/>
      <c r="GY7"/>
      <c r="GZ7"/>
      <c r="HA7"/>
      <c r="HB7"/>
      <c r="HC7"/>
    </row>
    <row r="8" spans="1:211" s="7" customFormat="1">
      <c r="A8" s="143"/>
      <c r="B8" s="1"/>
      <c r="C8" s="17">
        <v>39775</v>
      </c>
      <c r="D8" s="18">
        <f>COUNTA(C268:C277)</f>
        <v>10</v>
      </c>
      <c r="E8" s="109">
        <v>10</v>
      </c>
      <c r="F8" s="10"/>
      <c r="G8" s="9"/>
      <c r="H8" s="1"/>
      <c r="I8" s="4"/>
      <c r="J8" s="5"/>
      <c r="K8" s="5"/>
      <c r="L8" s="5"/>
      <c r="M8" s="5"/>
      <c r="N8" s="6"/>
      <c r="O8" s="24"/>
      <c r="P8" s="25"/>
      <c r="Q8" s="26"/>
      <c r="R8" s="26"/>
      <c r="S8" s="5"/>
      <c r="T8" s="5"/>
      <c r="U8" s="5"/>
      <c r="V8" s="4"/>
      <c r="W8" s="127">
        <f t="shared" si="0"/>
        <v>39775</v>
      </c>
      <c r="X8" s="132">
        <f>AVERAGE(EK128:EK137)</f>
        <v>90.386904761904759</v>
      </c>
      <c r="Y8" s="131">
        <f>COUNT(EK128:EK137)</f>
        <v>10</v>
      </c>
      <c r="Z8" s="130">
        <f>STDEV(EK128:EK137)</f>
        <v>207.93310242349415</v>
      </c>
      <c r="AA8" s="130">
        <f t="shared" si="2"/>
        <v>65.754220460331894</v>
      </c>
      <c r="AB8" s="131"/>
      <c r="AC8" s="130">
        <f>AVERAGE($FU128:$FU137)</f>
        <v>1.6026455357142857</v>
      </c>
      <c r="AD8" s="132">
        <f>COUNT($FU128:$FU137)</f>
        <v>10</v>
      </c>
      <c r="AE8" s="130">
        <f>STDEV($FU128:$FU137)</f>
        <v>3.4188931332303003</v>
      </c>
      <c r="AF8" s="130">
        <f t="shared" si="3"/>
        <v>1.0811489377717252</v>
      </c>
      <c r="AG8" s="13"/>
      <c r="AH8" s="4"/>
      <c r="AI8" s="4"/>
      <c r="AJ8" s="4"/>
      <c r="AK8" s="4"/>
      <c r="AL8" s="4"/>
      <c r="AM8" s="4"/>
      <c r="AN8" s="4"/>
      <c r="AO8" s="4"/>
      <c r="AP8" s="16"/>
      <c r="AQ8" s="16"/>
      <c r="AR8" s="16"/>
      <c r="AS8" s="16"/>
      <c r="FG8" s="5"/>
      <c r="FH8" s="212">
        <f t="shared" si="6"/>
        <v>39673</v>
      </c>
      <c r="FI8" s="225">
        <f>AVERAGE(GA6:GA1005)</f>
        <v>1.7593239421698483</v>
      </c>
      <c r="FJ8" s="225"/>
      <c r="FK8" s="225">
        <f>PERCENTILE($GA$6:$GA$1005,0.975)</f>
        <v>3.3189827371584122</v>
      </c>
      <c r="FL8" s="225"/>
      <c r="FM8" s="225">
        <f>PERCENTILE($GA$6:$GA$1005,0.025)</f>
        <v>0.60180652839055604</v>
      </c>
      <c r="FN8" s="225"/>
      <c r="FO8" s="5"/>
      <c r="FY8" s="211">
        <v>3</v>
      </c>
      <c r="FZ8">
        <v>1.0930507069349926</v>
      </c>
      <c r="GA8">
        <v>1.6888141350490715</v>
      </c>
      <c r="GB8">
        <v>0.34368135269490002</v>
      </c>
      <c r="GC8">
        <v>0.2825919417820712</v>
      </c>
      <c r="GD8">
        <v>0.24405120769527003</v>
      </c>
      <c r="GE8">
        <v>0.13382624751052499</v>
      </c>
      <c r="GF8">
        <v>0.82805716775636906</v>
      </c>
      <c r="GG8">
        <v>0.76829061536607923</v>
      </c>
      <c r="GH8">
        <v>8.9508689212329934E-2</v>
      </c>
      <c r="GI8">
        <v>0.5471613937234292</v>
      </c>
      <c r="GJ8"/>
      <c r="GK8">
        <v>1.089376838235294</v>
      </c>
      <c r="GL8">
        <v>1.4222830882352939</v>
      </c>
      <c r="GM8">
        <v>0.56337500000000007</v>
      </c>
      <c r="GN8">
        <v>0.82747812499999995</v>
      </c>
      <c r="GO8">
        <v>0.92827500000000007</v>
      </c>
      <c r="GP8">
        <v>0.25157812499999999</v>
      </c>
      <c r="GQ8">
        <v>0.99869021739130437</v>
      </c>
      <c r="GR8">
        <v>1.0690548007246377</v>
      </c>
      <c r="GS8">
        <v>9.465845352564102E-2</v>
      </c>
      <c r="GT8">
        <v>0.7348751018304478</v>
      </c>
      <c r="GU8"/>
      <c r="GV8"/>
      <c r="GW8"/>
      <c r="GX8"/>
      <c r="GY8"/>
      <c r="GZ8"/>
      <c r="HA8"/>
      <c r="HB8"/>
      <c r="HC8"/>
    </row>
    <row r="9" spans="1:211" s="7" customFormat="1">
      <c r="A9" s="143"/>
      <c r="B9" s="1"/>
      <c r="C9" s="17">
        <v>39799</v>
      </c>
      <c r="D9" s="18">
        <f>COUNTA(C278:C287)</f>
        <v>10</v>
      </c>
      <c r="E9" s="109">
        <v>10</v>
      </c>
      <c r="F9" s="10"/>
      <c r="G9" s="9"/>
      <c r="H9" s="1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127">
        <f t="shared" si="0"/>
        <v>39799</v>
      </c>
      <c r="X9" s="132">
        <f>AVERAGE(EK138:EK147)</f>
        <v>16.666666666666664</v>
      </c>
      <c r="Y9" s="131">
        <f>COUNT(EK138:EK147)</f>
        <v>10</v>
      </c>
      <c r="Z9" s="130">
        <f>STDEV(EK138:EK147)</f>
        <v>32.646275759842112</v>
      </c>
      <c r="AA9" s="130">
        <f t="shared" si="2"/>
        <v>10.323658852304519</v>
      </c>
      <c r="AB9" s="131"/>
      <c r="AC9" s="130">
        <f>AVERAGE($FU138:$FU147)</f>
        <v>0.33300000000000007</v>
      </c>
      <c r="AD9" s="132">
        <f>COUNT($FU138:$FU147)</f>
        <v>10</v>
      </c>
      <c r="AE9" s="130">
        <f>STDEV($FU138:$FU147)</f>
        <v>0.65949640470020754</v>
      </c>
      <c r="AF9" s="130">
        <f t="shared" si="3"/>
        <v>0.20855107475448306</v>
      </c>
      <c r="AG9" s="13"/>
      <c r="AH9" s="4"/>
      <c r="AI9" s="4"/>
      <c r="AJ9" s="4"/>
      <c r="AK9" s="4"/>
      <c r="AL9" s="4"/>
      <c r="AM9" s="4"/>
      <c r="AN9" s="4"/>
      <c r="AO9" s="4"/>
      <c r="AP9" s="16"/>
      <c r="AQ9" s="16"/>
      <c r="AR9" s="16"/>
      <c r="AS9" s="16"/>
      <c r="FG9" s="5"/>
      <c r="FH9" s="212">
        <f t="shared" si="6"/>
        <v>39714</v>
      </c>
      <c r="FI9" s="225">
        <f>AVERAGE(GB6:GB1005)</f>
        <v>0.94161683106495131</v>
      </c>
      <c r="FJ9" s="225"/>
      <c r="FK9" s="225">
        <f>PERCENTILE($GB$6:$GB$1005,0.975)</f>
        <v>2.1082235386403396</v>
      </c>
      <c r="FL9" s="225"/>
      <c r="FM9" s="225">
        <f>PERCENTILE($GB$6:$GB$1005,0.025)</f>
        <v>0.19382953297928054</v>
      </c>
      <c r="FN9" s="225"/>
      <c r="FO9" s="5"/>
      <c r="FY9" s="211">
        <v>4</v>
      </c>
      <c r="FZ9">
        <v>1.0264150101400675</v>
      </c>
      <c r="GA9">
        <v>1.1951652666500174</v>
      </c>
      <c r="GB9">
        <v>0.3821958962732882</v>
      </c>
      <c r="GC9">
        <v>0.39171836059357185</v>
      </c>
      <c r="GD9">
        <v>0.19784692040833929</v>
      </c>
      <c r="GE9">
        <v>5.6847916058175005E-2</v>
      </c>
      <c r="GF9">
        <v>0.89472160493057196</v>
      </c>
      <c r="GG9">
        <v>0.75599725852039101</v>
      </c>
      <c r="GH9">
        <v>6.6522953376906252E-2</v>
      </c>
      <c r="GI9">
        <v>0.52894433921039452</v>
      </c>
      <c r="GJ9"/>
      <c r="GK9">
        <v>1.0227281249999998</v>
      </c>
      <c r="GL9">
        <v>1.006275</v>
      </c>
      <c r="GM9">
        <v>0.62686718749999992</v>
      </c>
      <c r="GN9">
        <v>1.1476618303571426</v>
      </c>
      <c r="GO9">
        <v>0.75245089285714284</v>
      </c>
      <c r="GP9">
        <v>0.10673437500000001</v>
      </c>
      <c r="GQ9">
        <v>1.0798451086956522</v>
      </c>
      <c r="GR9">
        <v>1.0525221920289853</v>
      </c>
      <c r="GS9">
        <v>7.0364583333333328E-2</v>
      </c>
      <c r="GT9">
        <v>0.71045117947722558</v>
      </c>
      <c r="GU9"/>
      <c r="GV9"/>
      <c r="GW9"/>
      <c r="GX9"/>
      <c r="GY9"/>
      <c r="GZ9"/>
      <c r="HA9"/>
      <c r="HB9"/>
      <c r="HC9"/>
    </row>
    <row r="10" spans="1:211" s="7" customFormat="1">
      <c r="A10" s="143"/>
      <c r="B10" s="2"/>
      <c r="C10" s="17">
        <v>39847</v>
      </c>
      <c r="D10" s="18">
        <f>COUNTA(C288:C297)</f>
        <v>10</v>
      </c>
      <c r="E10" s="109">
        <v>10</v>
      </c>
      <c r="F10" s="10"/>
      <c r="G10" s="10"/>
      <c r="H10" s="1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127">
        <f t="shared" si="0"/>
        <v>39847</v>
      </c>
      <c r="X10" s="132">
        <f>AVERAGE(EK148:EK157)</f>
        <v>6.25</v>
      </c>
      <c r="Y10" s="131">
        <f>COUNT(EK148:EK157)</f>
        <v>10</v>
      </c>
      <c r="Z10" s="130">
        <f>STDEV(EK148:EK157)</f>
        <v>19.764235376052373</v>
      </c>
      <c r="AA10" s="130">
        <f t="shared" si="2"/>
        <v>6.25</v>
      </c>
      <c r="AB10" s="131"/>
      <c r="AC10" s="130">
        <f>AVERAGE($FU148:$FU157)</f>
        <v>9.768750000000001E-2</v>
      </c>
      <c r="AD10" s="132">
        <f>COUNT($FU148:$FU157)</f>
        <v>10</v>
      </c>
      <c r="AE10" s="130">
        <f>STDEV($FU148:$FU157)</f>
        <v>0.30891499892769858</v>
      </c>
      <c r="AF10" s="130">
        <f t="shared" si="3"/>
        <v>9.7687499999999997E-2</v>
      </c>
      <c r="AG10" s="13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FG10" s="5"/>
      <c r="FH10" s="212">
        <f t="shared" si="6"/>
        <v>39747</v>
      </c>
      <c r="FI10" s="225">
        <f>AVERAGE(GC6:GC1005)</f>
        <v>0.65724731662753233</v>
      </c>
      <c r="FJ10" s="225"/>
      <c r="FK10" s="225">
        <f>PERCENTILE($GC$6:$GC$1005,0.975)</f>
        <v>1.3498145114696085</v>
      </c>
      <c r="FL10" s="225"/>
      <c r="FM10" s="225">
        <f>PERCENTILE($GC$6:$GC$1005,0.025)</f>
        <v>0.11347147617431289</v>
      </c>
      <c r="FN10" s="225"/>
      <c r="FO10" s="5"/>
      <c r="FY10" s="211">
        <v>5</v>
      </c>
      <c r="FZ10">
        <v>0.41603505186179529</v>
      </c>
      <c r="GA10">
        <v>0.85397324566160959</v>
      </c>
      <c r="GB10">
        <v>0.64023563890420654</v>
      </c>
      <c r="GC10">
        <v>0.46173638522204991</v>
      </c>
      <c r="GD10">
        <v>0.26627968397071605</v>
      </c>
      <c r="GE10">
        <v>0.11460862901025</v>
      </c>
      <c r="GF10">
        <v>0.5344786465355188</v>
      </c>
      <c r="GG10">
        <v>0.4281665527876255</v>
      </c>
      <c r="GH10">
        <v>2.2985735835423678E-2</v>
      </c>
      <c r="GI10">
        <v>0.46858107206281591</v>
      </c>
      <c r="GJ10"/>
      <c r="GK10">
        <v>0.41470312499999995</v>
      </c>
      <c r="GL10">
        <v>0.71907421874999988</v>
      </c>
      <c r="GM10">
        <v>1.05038671875</v>
      </c>
      <c r="GN10">
        <v>1.3532142857142855</v>
      </c>
      <c r="GO10">
        <v>1.0127611607142857</v>
      </c>
      <c r="GP10">
        <v>0.21534375</v>
      </c>
      <c r="GQ10">
        <v>0.64475135869565214</v>
      </c>
      <c r="GR10">
        <v>0.59590760869565207</v>
      </c>
      <c r="GS10">
        <v>2.4293870192307693E-2</v>
      </c>
      <c r="GT10">
        <v>0.62937924667044909</v>
      </c>
      <c r="GU10"/>
      <c r="GV10"/>
      <c r="GW10"/>
      <c r="GX10"/>
      <c r="GY10"/>
      <c r="GZ10"/>
      <c r="HA10"/>
      <c r="HB10"/>
      <c r="HC10"/>
    </row>
    <row r="11" spans="1:211" s="7" customFormat="1">
      <c r="A11" s="143"/>
      <c r="B11" s="2"/>
      <c r="C11" s="17">
        <v>39910</v>
      </c>
      <c r="D11" s="19">
        <f>COUNTA(C298:C307)</f>
        <v>10</v>
      </c>
      <c r="E11" s="109">
        <v>10</v>
      </c>
      <c r="F11" s="13"/>
      <c r="G11" s="13"/>
      <c r="H11" s="1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127">
        <f t="shared" si="0"/>
        <v>39910</v>
      </c>
      <c r="X11" s="132">
        <f>AVERAGE(EK158:EK167)</f>
        <v>60.265700483091777</v>
      </c>
      <c r="Y11" s="131">
        <f>COUNT(EK158:EK167)</f>
        <v>10</v>
      </c>
      <c r="Z11" s="130">
        <f>STDEV(EK158:EK167)</f>
        <v>148.34323647617299</v>
      </c>
      <c r="AA11" s="130">
        <f t="shared" si="2"/>
        <v>46.910250274567687</v>
      </c>
      <c r="AB11" s="131"/>
      <c r="AC11" s="130">
        <f>AVERAGE($FU158:$FU167)</f>
        <v>1.1918152173913044</v>
      </c>
      <c r="AD11" s="132">
        <f>COUNT($FU158:$FU167)</f>
        <v>10</v>
      </c>
      <c r="AE11" s="130">
        <f>STDEV($FU158:$FU167)</f>
        <v>2.6999630259405634</v>
      </c>
      <c r="AF11" s="130">
        <f t="shared" si="3"/>
        <v>0.85380327602124617</v>
      </c>
      <c r="AG11" s="13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FG11" s="5"/>
      <c r="FH11" s="212">
        <f t="shared" si="6"/>
        <v>39775</v>
      </c>
      <c r="FI11" s="225">
        <f>AVERAGE(GD5:GD1005)</f>
        <v>0.25002611337846087</v>
      </c>
      <c r="FJ11" s="225"/>
      <c r="FK11" s="225">
        <f>PERCENTILE($GD$6:$GD$1005,0.975)</f>
        <v>0.55156881337669073</v>
      </c>
      <c r="FL11" s="225"/>
      <c r="FM11" s="225">
        <f>PERCENTILE($GD$6:$GD$1005,0.025)</f>
        <v>6.7483382505955231E-2</v>
      </c>
      <c r="FN11" s="225"/>
      <c r="FO11" s="5"/>
      <c r="FY11" s="211">
        <v>6</v>
      </c>
      <c r="FZ11">
        <v>1.4146381475334482</v>
      </c>
      <c r="GA11">
        <v>1.8161983921126488</v>
      </c>
      <c r="GB11">
        <v>1.4024215400485323</v>
      </c>
      <c r="GC11">
        <v>0.72598749309420718</v>
      </c>
      <c r="GD11">
        <v>7.6482073360886776E-2</v>
      </c>
      <c r="GE11">
        <v>5.486840673907499E-2</v>
      </c>
      <c r="GF11">
        <v>0.98791909824818158</v>
      </c>
      <c r="GG11">
        <v>0.856333105575251</v>
      </c>
      <c r="GH11">
        <v>0</v>
      </c>
      <c r="GI11">
        <v>0.77332774821081773</v>
      </c>
      <c r="GJ11"/>
      <c r="GK11">
        <v>1.4097299632352942</v>
      </c>
      <c r="GL11">
        <v>1.529507306985294</v>
      </c>
      <c r="GM11">
        <v>2.3026573153409089</v>
      </c>
      <c r="GN11">
        <v>2.1317808644480518</v>
      </c>
      <c r="GO11">
        <v>0.29113526785714283</v>
      </c>
      <c r="GP11">
        <v>0.103171875</v>
      </c>
      <c r="GQ11">
        <v>1.1918152173913041</v>
      </c>
      <c r="GR11">
        <v>1.1918152173913041</v>
      </c>
      <c r="GS11">
        <v>0</v>
      </c>
      <c r="GT11">
        <v>1.03906755276493</v>
      </c>
      <c r="GU11"/>
      <c r="GV11"/>
      <c r="GW11"/>
      <c r="GX11"/>
      <c r="GY11"/>
      <c r="GZ11"/>
      <c r="HA11"/>
      <c r="HB11"/>
      <c r="HC11"/>
    </row>
    <row r="12" spans="1:211" s="7" customFormat="1">
      <c r="A12" s="143"/>
      <c r="B12" s="2"/>
      <c r="C12" s="17">
        <v>39949</v>
      </c>
      <c r="D12" s="19">
        <f>COUNTA(C308:C317)</f>
        <v>10</v>
      </c>
      <c r="E12" s="109">
        <v>10</v>
      </c>
      <c r="F12" s="13"/>
      <c r="G12" s="13"/>
      <c r="H12" s="1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127">
        <f t="shared" si="0"/>
        <v>39949</v>
      </c>
      <c r="X12" s="132">
        <f>AVERAGE(EK168:EK177)</f>
        <v>8.1018518518518512</v>
      </c>
      <c r="Y12" s="131">
        <f>COUNT(EK168:EK177)</f>
        <v>10</v>
      </c>
      <c r="Z12" s="130">
        <f>STDEV(EK168:EK177)</f>
        <v>25.620305117104927</v>
      </c>
      <c r="AA12" s="130">
        <f t="shared" si="2"/>
        <v>8.1018518518518512</v>
      </c>
      <c r="AB12" s="131"/>
      <c r="AC12" s="130">
        <f>AVERAGE($FU168:$FU177)</f>
        <v>0.14072916666666666</v>
      </c>
      <c r="AD12" s="132">
        <f>COUNT($FU168:$FU177)</f>
        <v>10</v>
      </c>
      <c r="AE12" s="130">
        <f>STDEV($FU168:$FU177)</f>
        <v>0.44502469988411253</v>
      </c>
      <c r="AF12" s="130">
        <f t="shared" si="3"/>
        <v>0.14072916666666666</v>
      </c>
      <c r="AG12" s="13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FG12" s="5"/>
      <c r="FH12" s="212">
        <f t="shared" si="6"/>
        <v>39799</v>
      </c>
      <c r="FI12" s="225">
        <f>AVERAGE(GE6:GE1005)</f>
        <v>0.11407841825549471</v>
      </c>
      <c r="FJ12" s="225"/>
      <c r="FK12" s="225">
        <f>PERCENTILE($GE$6:$GE$1005,0.975)</f>
        <v>0.23121958726194752</v>
      </c>
      <c r="FL12" s="225"/>
      <c r="FM12" s="225">
        <f>PERCENTILE($GE$6:$GE$1005,0.025)</f>
        <v>9.6357736129499983E-3</v>
      </c>
      <c r="FN12" s="225"/>
      <c r="FO12" s="5"/>
      <c r="FY12" s="211">
        <v>7</v>
      </c>
      <c r="FZ12">
        <v>0.72485412603659727</v>
      </c>
      <c r="GA12">
        <v>0.89909620553454794</v>
      </c>
      <c r="GB12">
        <v>0.75436995157270648</v>
      </c>
      <c r="GC12">
        <v>0.72208968197016077</v>
      </c>
      <c r="GD12">
        <v>0.3392390801694376</v>
      </c>
      <c r="GE12">
        <v>6.1665802864649996E-2</v>
      </c>
      <c r="GF12">
        <v>0.72048591679010632</v>
      </c>
      <c r="GG12">
        <v>0.55449759458925008</v>
      </c>
      <c r="GH12">
        <v>2.2985735835423678E-2</v>
      </c>
      <c r="GI12">
        <v>0.61713257978157299</v>
      </c>
      <c r="GJ12"/>
      <c r="GK12">
        <v>0.72237187500000011</v>
      </c>
      <c r="GL12">
        <v>0.75697734375000003</v>
      </c>
      <c r="GM12">
        <v>1.2383696732954543</v>
      </c>
      <c r="GN12">
        <v>2.1171235795454546</v>
      </c>
      <c r="GO12">
        <v>1.2900468750000003</v>
      </c>
      <c r="GP12">
        <v>0.11578125</v>
      </c>
      <c r="GQ12">
        <v>0.8701875</v>
      </c>
      <c r="GR12">
        <v>0.77249999999999996</v>
      </c>
      <c r="GS12">
        <v>2.4293870192307693E-2</v>
      </c>
      <c r="GT12">
        <v>0.8290539586975525</v>
      </c>
      <c r="GU12"/>
      <c r="GV12"/>
      <c r="GW12"/>
      <c r="GX12"/>
      <c r="GY12"/>
      <c r="GZ12"/>
      <c r="HA12"/>
      <c r="HB12"/>
      <c r="HC12"/>
    </row>
    <row r="13" spans="1:211" s="7" customFormat="1">
      <c r="A13" s="143"/>
      <c r="B13" s="2"/>
      <c r="C13" s="17">
        <v>39987</v>
      </c>
      <c r="D13" s="19">
        <f>COUNTA(C318:C327)</f>
        <v>10</v>
      </c>
      <c r="E13" s="109">
        <v>10</v>
      </c>
      <c r="F13" s="13"/>
      <c r="G13" s="22"/>
      <c r="H13" s="1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127">
        <f t="shared" si="0"/>
        <v>39987</v>
      </c>
      <c r="X13" s="132">
        <f>AVERAGE(EK178:EK187)</f>
        <v>7.0112179487179489</v>
      </c>
      <c r="Y13" s="131">
        <f>COUNT(EK178:EK187)</f>
        <v>10</v>
      </c>
      <c r="Z13" s="130">
        <f>STDEV(EK178:EK187)</f>
        <v>22.171417889802338</v>
      </c>
      <c r="AA13" s="130">
        <f t="shared" si="2"/>
        <v>7.011217948717948</v>
      </c>
      <c r="AB13" s="131"/>
      <c r="AC13" s="130">
        <f>AVERAGE($FU178:$FU187)</f>
        <v>4.8587740384615379E-2</v>
      </c>
      <c r="AD13" s="132">
        <f>COUNT($FU178:$FU187)</f>
        <v>10</v>
      </c>
      <c r="AE13" s="130">
        <f>STDEV($FU178:$FU187)</f>
        <v>0.1536479259763302</v>
      </c>
      <c r="AF13" s="130">
        <f t="shared" si="3"/>
        <v>4.8587740384615379E-2</v>
      </c>
      <c r="AG13" s="13"/>
      <c r="AH13" s="4"/>
      <c r="AI13" s="4"/>
      <c r="AJ13" s="4"/>
      <c r="AK13" s="4"/>
      <c r="AL13" s="5"/>
      <c r="AM13" s="5"/>
      <c r="AN13" s="5"/>
      <c r="AO13" s="5"/>
      <c r="AP13" s="5"/>
      <c r="AQ13" s="5"/>
      <c r="AR13" s="5"/>
      <c r="AS13" s="5"/>
      <c r="AT13" s="23"/>
      <c r="AU13" s="23"/>
      <c r="AV13" s="23"/>
      <c r="AW13" s="23"/>
      <c r="FG13" s="5"/>
      <c r="FH13" s="212">
        <f t="shared" si="6"/>
        <v>39847</v>
      </c>
      <c r="FI13" s="225">
        <f>AVERAGE(GF6:GF1005)</f>
        <v>0.54598725952023952</v>
      </c>
      <c r="FJ13" s="225"/>
      <c r="FK13" s="225">
        <f>PERCENTILE($GF$6:$GF$1005,0.975)</f>
        <v>1.2442059586467882</v>
      </c>
      <c r="FL13" s="225"/>
      <c r="FM13" s="225">
        <f>PERCENTILE($GF$6:$GF$1005,0.025)</f>
        <v>0</v>
      </c>
      <c r="FN13" s="225"/>
      <c r="FO13" s="5"/>
      <c r="FY13" s="211">
        <v>8</v>
      </c>
      <c r="FZ13">
        <v>0.38512600711960499</v>
      </c>
      <c r="GA13">
        <v>0.69702537071075121</v>
      </c>
      <c r="GB13">
        <v>1.4862597899686907</v>
      </c>
      <c r="GC13">
        <v>1.0063996935743977</v>
      </c>
      <c r="GD13">
        <v>0.21783638998864924</v>
      </c>
      <c r="GE13">
        <v>0.11658813832935</v>
      </c>
      <c r="GF13">
        <v>0.77537877185018744</v>
      </c>
      <c r="GG13">
        <v>0.61737285987307855</v>
      </c>
      <c r="GH13">
        <v>0.13548016088317727</v>
      </c>
      <c r="GI13">
        <v>0.70432903399997882</v>
      </c>
      <c r="GJ13"/>
      <c r="GK13">
        <v>0.38369999999999993</v>
      </c>
      <c r="GL13">
        <v>0.58682109375000002</v>
      </c>
      <c r="GM13">
        <v>2.4402588778409089</v>
      </c>
      <c r="GN13">
        <v>2.9533824269480515</v>
      </c>
      <c r="GO13">
        <v>0.82846339285714277</v>
      </c>
      <c r="GP13">
        <v>0.21890625</v>
      </c>
      <c r="GQ13">
        <v>0.93556385869565206</v>
      </c>
      <c r="GR13">
        <v>0.85939719202898535</v>
      </c>
      <c r="GS13">
        <v>0.14324619391025639</v>
      </c>
      <c r="GT13">
        <v>0.94624646466079199</v>
      </c>
      <c r="GU13"/>
      <c r="GV13"/>
      <c r="GW13"/>
      <c r="GX13"/>
      <c r="GY13"/>
      <c r="GZ13"/>
      <c r="HA13"/>
      <c r="HB13"/>
      <c r="HC13"/>
    </row>
    <row r="14" spans="1:211" s="7" customFormat="1">
      <c r="A14" s="142"/>
      <c r="B14" s="2"/>
      <c r="C14" s="17"/>
      <c r="D14" s="19"/>
      <c r="E14" s="109"/>
      <c r="F14" s="13"/>
      <c r="G14" s="41" t="s">
        <v>126</v>
      </c>
      <c r="H14" s="1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127"/>
      <c r="X14" s="132"/>
      <c r="Y14" s="131"/>
      <c r="Z14" s="130"/>
      <c r="AA14" s="130"/>
      <c r="AB14" s="131"/>
      <c r="AC14" s="130"/>
      <c r="AD14" s="132"/>
      <c r="AE14" s="130"/>
      <c r="AF14" s="130"/>
      <c r="AG14" s="13"/>
      <c r="AH14" s="4"/>
      <c r="AI14" s="4"/>
      <c r="AJ14" s="4"/>
      <c r="AK14" s="4"/>
      <c r="AL14" s="5"/>
      <c r="AM14" s="13"/>
      <c r="AN14" s="9" t="s">
        <v>23</v>
      </c>
      <c r="AO14" s="9" t="s">
        <v>24</v>
      </c>
      <c r="AP14" s="9" t="s">
        <v>25</v>
      </c>
      <c r="AQ14" s="9" t="s">
        <v>13</v>
      </c>
      <c r="AR14" s="9" t="s">
        <v>26</v>
      </c>
      <c r="AS14" s="9" t="s">
        <v>27</v>
      </c>
      <c r="AT14" s="120" t="s">
        <v>3</v>
      </c>
      <c r="AU14" s="120" t="s">
        <v>4</v>
      </c>
      <c r="AV14" s="23"/>
      <c r="AW14" s="23"/>
      <c r="FG14" s="5"/>
      <c r="FH14" s="212">
        <f t="shared" si="6"/>
        <v>39910</v>
      </c>
      <c r="FI14" s="225">
        <f>AVERAGE(GG6:GG1005)</f>
        <v>0.48745591509032199</v>
      </c>
      <c r="FJ14" s="225"/>
      <c r="FK14" s="225">
        <f>PERCENTILE($GG$6:$GG$1005,0.975)</f>
        <v>1.109351192488808</v>
      </c>
      <c r="FL14" s="225"/>
      <c r="FM14" s="225">
        <f>PERCENTILE($GG$6:$GG$1005,0.025)</f>
        <v>0</v>
      </c>
      <c r="FN14" s="225"/>
      <c r="FO14" s="5"/>
      <c r="FY14" s="211">
        <v>9</v>
      </c>
      <c r="FZ14">
        <v>1.4200392405870788</v>
      </c>
      <c r="GA14">
        <v>1.7639491082229222</v>
      </c>
      <c r="GB14">
        <v>0.74671916269689831</v>
      </c>
      <c r="GC14">
        <v>0.62954677914127077</v>
      </c>
      <c r="GD14">
        <v>0.22831793891090674</v>
      </c>
      <c r="GE14">
        <v>3.5650788238799996E-2</v>
      </c>
      <c r="GF14">
        <v>4.0519097411428125E-2</v>
      </c>
      <c r="GG14">
        <v>0.10116381687628125</v>
      </c>
      <c r="GH14">
        <v>0.17901737842465987</v>
      </c>
      <c r="GI14">
        <v>0.55787994009179642</v>
      </c>
      <c r="GJ14"/>
      <c r="GK14">
        <v>1.4151393382352939</v>
      </c>
      <c r="GL14">
        <v>1.4856862132352937</v>
      </c>
      <c r="GM14">
        <v>1.2258735795454543</v>
      </c>
      <c r="GN14">
        <v>1.846080722402597</v>
      </c>
      <c r="GO14">
        <v>0.8682227678571427</v>
      </c>
      <c r="GP14">
        <v>6.6937499999999997E-2</v>
      </c>
      <c r="GQ14">
        <v>4.8843750000000005E-2</v>
      </c>
      <c r="GR14">
        <v>0.14072916666666666</v>
      </c>
      <c r="GS14">
        <v>0.18931690705128204</v>
      </c>
      <c r="GT14">
        <v>0.74947926853783453</v>
      </c>
      <c r="GU14"/>
      <c r="GV14"/>
      <c r="GW14"/>
      <c r="GX14"/>
      <c r="GY14"/>
      <c r="GZ14"/>
      <c r="HA14"/>
      <c r="HB14"/>
      <c r="HC14"/>
    </row>
    <row r="15" spans="1:211" s="7" customFormat="1">
      <c r="A15" s="142"/>
      <c r="B15" s="2"/>
      <c r="C15" s="17"/>
      <c r="D15" s="19"/>
      <c r="E15" s="109"/>
      <c r="F15" s="13"/>
      <c r="G15" s="113">
        <v>9.6000000000000002E-2</v>
      </c>
      <c r="H15" s="1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127"/>
      <c r="X15" s="132"/>
      <c r="Y15" s="131"/>
      <c r="Z15" s="130"/>
      <c r="AA15" s="130"/>
      <c r="AB15" s="131"/>
      <c r="AC15" s="130"/>
      <c r="AD15" s="132"/>
      <c r="AE15" s="130"/>
      <c r="AF15" s="130"/>
      <c r="AG15" s="13"/>
      <c r="AH15" s="4"/>
      <c r="AI15" s="4"/>
      <c r="AJ15" s="4"/>
      <c r="AK15" s="4"/>
      <c r="AL15" s="5"/>
      <c r="AM15" s="27" t="s">
        <v>31</v>
      </c>
      <c r="AN15" s="163">
        <f>D32</f>
        <v>46.537407022916923</v>
      </c>
      <c r="AO15" s="163">
        <f>D48</f>
        <v>0.97949716100616657</v>
      </c>
      <c r="AP15" s="163">
        <f>D63</f>
        <v>0.72183907323025043</v>
      </c>
      <c r="AQ15" s="163">
        <f>C453</f>
        <v>7.4802921940581495</v>
      </c>
      <c r="AR15" s="163">
        <f>G520</f>
        <v>0.90714913456854307</v>
      </c>
      <c r="AS15" s="163">
        <f>I523</f>
        <v>3.771080778986637</v>
      </c>
      <c r="AT15" s="122">
        <f>G556</f>
        <v>0.74869733863729859</v>
      </c>
      <c r="AU15" s="122">
        <f>I556</f>
        <v>9.9175768669958544E-2</v>
      </c>
      <c r="AV15" s="23"/>
      <c r="AW15" s="23"/>
      <c r="FG15" s="5"/>
      <c r="FH15" s="212">
        <f t="shared" si="6"/>
        <v>39949</v>
      </c>
      <c r="FI15" s="225">
        <f>AVERAGE(GH6:GH1005)</f>
        <v>8.9945418193202634E-2</v>
      </c>
      <c r="FJ15" s="225"/>
      <c r="FK15" s="225">
        <f>PERCENTILE($GH$6:$GH$1005,0.975)</f>
        <v>0.22261545231937649</v>
      </c>
      <c r="FL15" s="225"/>
      <c r="FM15" s="225">
        <f>PERCENTILE($GH$6:$GH$1005,0.025)</f>
        <v>0</v>
      </c>
      <c r="FN15" s="225"/>
      <c r="FO15" s="5"/>
      <c r="FY15" s="211">
        <v>10</v>
      </c>
      <c r="FZ15">
        <v>0.65031919110975933</v>
      </c>
      <c r="GA15">
        <v>0.83017359157662063</v>
      </c>
      <c r="GB15">
        <v>0.61584883390448086</v>
      </c>
      <c r="GC15">
        <v>0.71881795502080681</v>
      </c>
      <c r="GD15">
        <v>0.37301827488144423</v>
      </c>
      <c r="GE15">
        <v>3.8543094451799993E-2</v>
      </c>
      <c r="GF15">
        <v>0.6538214796159032</v>
      </c>
      <c r="GG15">
        <v>0.71853667674935984</v>
      </c>
      <c r="GH15">
        <v>0.22255459596614241</v>
      </c>
      <c r="GI15">
        <v>0.61073202860183873</v>
      </c>
      <c r="GJ15"/>
      <c r="GK15">
        <v>0.64809374999999991</v>
      </c>
      <c r="GL15">
        <v>0.69915234375000002</v>
      </c>
      <c r="GM15">
        <v>1.0107070312499999</v>
      </c>
      <c r="GN15">
        <v>2.1062618303571425</v>
      </c>
      <c r="GO15">
        <v>1.4182071428571428</v>
      </c>
      <c r="GP15">
        <v>7.2374999999999995E-2</v>
      </c>
      <c r="GQ15">
        <v>0.78903260869565206</v>
      </c>
      <c r="GR15">
        <v>1.0001263586956521</v>
      </c>
      <c r="GS15">
        <v>0.23538762019230769</v>
      </c>
      <c r="GT15">
        <v>0.82028563059902038</v>
      </c>
      <c r="GU15"/>
      <c r="GV15"/>
      <c r="GW15"/>
      <c r="GX15"/>
      <c r="GY15"/>
      <c r="GZ15"/>
      <c r="HA15"/>
      <c r="HB15"/>
      <c r="HC15"/>
    </row>
    <row r="16" spans="1:211" s="7" customFormat="1">
      <c r="A16" s="143"/>
      <c r="B16" s="2"/>
      <c r="C16" s="31"/>
      <c r="D16" s="1"/>
      <c r="E16" s="1"/>
      <c r="F16" s="1"/>
      <c r="G16" s="32"/>
      <c r="H16" s="1"/>
      <c r="I16" s="4"/>
      <c r="J16" s="4"/>
      <c r="K16" s="4"/>
      <c r="L16" s="4"/>
      <c r="M16" s="4"/>
      <c r="N16" s="28"/>
      <c r="O16" s="16"/>
      <c r="P16" s="29"/>
      <c r="Q16" s="30"/>
      <c r="R16" s="30"/>
      <c r="S16" s="4"/>
      <c r="T16" s="4"/>
      <c r="U16" s="4"/>
      <c r="V16" s="4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4"/>
      <c r="AI16" s="4"/>
      <c r="AJ16" s="4"/>
      <c r="AK16" s="4"/>
      <c r="AL16" s="5"/>
      <c r="AM16" s="5"/>
      <c r="AN16" s="5"/>
      <c r="AO16" s="5"/>
      <c r="AP16" s="5"/>
      <c r="AQ16" s="5"/>
      <c r="AR16" s="5"/>
      <c r="AS16" s="5"/>
      <c r="AT16" s="23"/>
      <c r="AU16" s="23"/>
      <c r="AV16" s="23"/>
      <c r="AW16" s="23"/>
      <c r="FG16" s="5"/>
      <c r="FH16" s="212">
        <f t="shared" si="6"/>
        <v>39987</v>
      </c>
      <c r="FI16" s="225">
        <f>AVERAGE(GI6:GI1005)</f>
        <v>0.6675064669169618</v>
      </c>
      <c r="FJ16" s="225"/>
      <c r="FK16" s="225">
        <f>PERCENTILE($GI$6:$GI$1005,0.975)</f>
        <v>1.0822918727991029</v>
      </c>
      <c r="FL16" s="225"/>
      <c r="FM16" s="225">
        <f>PERCENTILE($GI$6:$GI$1005,0.025)</f>
        <v>0.34861819389037585</v>
      </c>
      <c r="FN16" s="225"/>
      <c r="FO16" s="5"/>
      <c r="FY16" s="211">
        <v>11</v>
      </c>
      <c r="FZ16">
        <v>0.74845345972625987</v>
      </c>
      <c r="GA16">
        <v>1.305358570239624</v>
      </c>
      <c r="GB16">
        <v>1.0468139971158668</v>
      </c>
      <c r="GC16">
        <v>0.55122351095107014</v>
      </c>
      <c r="GD16">
        <v>0.16294343166912856</v>
      </c>
      <c r="GE16">
        <v>0.20025600845602498</v>
      </c>
      <c r="GF16">
        <v>4.0519097411428125E-2</v>
      </c>
      <c r="GG16">
        <v>0.10116381687628125</v>
      </c>
      <c r="GH16">
        <v>0.15603164258923619</v>
      </c>
      <c r="GI16">
        <v>0.49096693638727223</v>
      </c>
      <c r="GJ16"/>
      <c r="GK16">
        <v>0.74564999999999992</v>
      </c>
      <c r="GL16">
        <v>1.0990054687499999</v>
      </c>
      <c r="GM16">
        <v>1.7180181107954544</v>
      </c>
      <c r="GN16">
        <v>1.6174863027597401</v>
      </c>
      <c r="GO16">
        <v>0.62027678571428568</v>
      </c>
      <c r="GP16">
        <v>0.376453125</v>
      </c>
      <c r="GQ16">
        <v>4.8843750000000005E-2</v>
      </c>
      <c r="GR16">
        <v>0.14072916666666666</v>
      </c>
      <c r="GS16">
        <v>0.16502303685897435</v>
      </c>
      <c r="GT16">
        <v>0.65956233667374287</v>
      </c>
      <c r="GU16"/>
      <c r="GV16"/>
      <c r="GW16"/>
      <c r="GX16"/>
      <c r="GY16"/>
      <c r="GZ16"/>
      <c r="HA16"/>
      <c r="HB16"/>
      <c r="HC16"/>
    </row>
    <row r="17" spans="1:211" s="7" customFormat="1">
      <c r="A17" s="145"/>
      <c r="B17" s="28"/>
      <c r="C17" s="4"/>
      <c r="D17" s="4"/>
      <c r="E17" s="4"/>
      <c r="F17" s="16"/>
      <c r="G17" s="28"/>
      <c r="H17" s="33"/>
      <c r="I17" s="4"/>
      <c r="J17" s="4"/>
      <c r="K17" s="4"/>
      <c r="L17" s="34"/>
      <c r="M17" s="4"/>
      <c r="N17" s="28"/>
      <c r="O17" s="16"/>
      <c r="P17" s="29"/>
      <c r="Q17" s="30"/>
      <c r="R17" s="30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3">
        <v>1</v>
      </c>
      <c r="AN17">
        <v>44.28627441709682</v>
      </c>
      <c r="AO17">
        <v>1.0629018626430713</v>
      </c>
      <c r="AP17">
        <v>1.496146484399048</v>
      </c>
      <c r="AQ17">
        <v>7.5171522054539732</v>
      </c>
      <c r="AR17">
        <v>0.99383806787482021</v>
      </c>
      <c r="AS17">
        <v>3.6826439434618798</v>
      </c>
      <c r="AT17">
        <v>0.71826887022428831</v>
      </c>
      <c r="AU17">
        <v>0.22869722483118171</v>
      </c>
      <c r="AV17"/>
      <c r="AW17"/>
      <c r="FG17" s="5"/>
      <c r="FH17" s="213"/>
      <c r="FI17" s="13"/>
      <c r="FJ17" s="13"/>
      <c r="FK17" s="13"/>
      <c r="FL17" s="13"/>
      <c r="FM17" s="13"/>
      <c r="FN17" s="13"/>
      <c r="FO17" s="5"/>
      <c r="FY17" s="211">
        <v>12</v>
      </c>
      <c r="FZ17">
        <v>0.40515016518469404</v>
      </c>
      <c r="GA17">
        <v>0.83302954646849847</v>
      </c>
      <c r="GB17">
        <v>0.79322939533882253</v>
      </c>
      <c r="GC17">
        <v>0.59524306302124952</v>
      </c>
      <c r="GD17">
        <v>0.30288227657858674</v>
      </c>
      <c r="GE17">
        <v>0.13382624751052499</v>
      </c>
      <c r="GF17">
        <v>1.3363904745291129</v>
      </c>
      <c r="GG17">
        <v>1.2087505249993926</v>
      </c>
      <c r="GH17">
        <v>8.9508689212329934E-2</v>
      </c>
      <c r="GI17">
        <v>0.67964606641286107</v>
      </c>
      <c r="GJ17"/>
      <c r="GK17">
        <v>0.40371562499999997</v>
      </c>
      <c r="GL17">
        <v>0.70139531250000009</v>
      </c>
      <c r="GM17">
        <v>1.3022251420454545</v>
      </c>
      <c r="GN17">
        <v>1.7461025974025972</v>
      </c>
      <c r="GO17">
        <v>1.1525102678571426</v>
      </c>
      <c r="GP17">
        <v>0.25157812499999999</v>
      </c>
      <c r="GQ17">
        <v>1.6111304347826085</v>
      </c>
      <c r="GR17">
        <v>1.6814950181159418</v>
      </c>
      <c r="GS17">
        <v>9.465845352564102E-2</v>
      </c>
      <c r="GT17">
        <v>0.91284798464216932</v>
      </c>
      <c r="GU17"/>
      <c r="GV17"/>
      <c r="GW17"/>
      <c r="GX17"/>
      <c r="GY17"/>
      <c r="GZ17"/>
      <c r="HA17"/>
      <c r="HB17"/>
      <c r="HC17"/>
    </row>
    <row r="18" spans="1:211" s="7" customFormat="1">
      <c r="A18" s="143"/>
      <c r="B18" s="1"/>
      <c r="C18" s="2"/>
      <c r="D18" s="1"/>
      <c r="E18" s="1"/>
      <c r="F18" s="1"/>
      <c r="G18" s="36"/>
      <c r="H18" s="2"/>
      <c r="I18" s="37"/>
      <c r="J18" s="1"/>
      <c r="K18" s="37"/>
      <c r="L18" s="1"/>
      <c r="M18" s="32"/>
      <c r="N18" s="1"/>
      <c r="O18" s="2"/>
      <c r="P18" s="36"/>
      <c r="Q18" s="38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43">
        <v>2</v>
      </c>
      <c r="AN18">
        <v>37.523865458716003</v>
      </c>
      <c r="AO18">
        <v>0.94930723532558914</v>
      </c>
      <c r="AP18">
        <v>1.2070227743116679</v>
      </c>
      <c r="AQ18">
        <v>6.1681022489765631</v>
      </c>
      <c r="AR18">
        <v>0.87908503036592012</v>
      </c>
      <c r="AS18">
        <v>2.9455643487071907</v>
      </c>
      <c r="AT18">
        <v>0.61962875017974095</v>
      </c>
      <c r="AU18">
        <v>-0.2068568385209904</v>
      </c>
      <c r="AV18"/>
      <c r="AW18"/>
      <c r="FG18" s="5"/>
      <c r="FH18" s="213"/>
      <c r="FI18" s="13"/>
      <c r="FJ18" s="13"/>
      <c r="FK18" s="13"/>
      <c r="FL18" s="13"/>
      <c r="FM18" s="13"/>
      <c r="FN18" s="13"/>
      <c r="FO18" s="5"/>
      <c r="FY18" s="211">
        <v>13</v>
      </c>
      <c r="FZ18">
        <v>0.4760158540058943</v>
      </c>
      <c r="GA18">
        <v>0.96523165341939077</v>
      </c>
      <c r="GB18">
        <v>1.7716585460231176</v>
      </c>
      <c r="GC18">
        <v>1.2775149290963621</v>
      </c>
      <c r="GD18">
        <v>0.39050373622884105</v>
      </c>
      <c r="GE18">
        <v>0.1001010398652</v>
      </c>
      <c r="GF18">
        <v>0.15986193049181252</v>
      </c>
      <c r="GG18">
        <v>0.23978821552359375</v>
      </c>
      <c r="GH18">
        <v>0.1330459067538125</v>
      </c>
      <c r="GI18">
        <v>0.77437788380667349</v>
      </c>
      <c r="GJ18"/>
      <c r="GK18">
        <v>0.47424374999999996</v>
      </c>
      <c r="GL18">
        <v>0.81272812500000002</v>
      </c>
      <c r="GM18">
        <v>2.9087862215909084</v>
      </c>
      <c r="GN18">
        <v>3.7475005073051944</v>
      </c>
      <c r="GO18">
        <v>1.4849799107142856</v>
      </c>
      <c r="GP18">
        <v>0.18824999999999997</v>
      </c>
      <c r="GQ18">
        <v>0.19312499999999999</v>
      </c>
      <c r="GR18">
        <v>0.33385416666666667</v>
      </c>
      <c r="GS18">
        <v>0.14072916666666666</v>
      </c>
      <c r="GT18">
        <v>1.0403728097943721</v>
      </c>
      <c r="GU18"/>
      <c r="GV18"/>
      <c r="GW18"/>
      <c r="GX18"/>
      <c r="GY18"/>
      <c r="GZ18"/>
      <c r="HA18"/>
      <c r="HB18"/>
      <c r="HC18"/>
    </row>
    <row r="19" spans="1:211" s="7" customFormat="1">
      <c r="A19" s="16"/>
      <c r="B19" s="36"/>
      <c r="C19" s="10" t="s">
        <v>32</v>
      </c>
      <c r="D19" s="10"/>
      <c r="E19" s="10"/>
      <c r="F19" s="10"/>
      <c r="G19" s="11" t="s">
        <v>33</v>
      </c>
      <c r="H19" s="10"/>
      <c r="I19" s="11"/>
      <c r="J19" s="40"/>
      <c r="K19" s="13"/>
      <c r="L19" s="11"/>
      <c r="M19" s="10"/>
      <c r="N19" s="41"/>
      <c r="O19" s="10"/>
      <c r="P19" s="11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42"/>
      <c r="AM19" s="43">
        <v>3</v>
      </c>
      <c r="AN19">
        <v>40.002602128737031</v>
      </c>
      <c r="AO19">
        <v>0.79796447499426193</v>
      </c>
      <c r="AP19">
        <v>10.00863230789478</v>
      </c>
      <c r="AQ19">
        <v>6.0190334577250386</v>
      </c>
      <c r="AR19">
        <v>0.7348751018304478</v>
      </c>
      <c r="AS19">
        <v>3.2395115258750358</v>
      </c>
      <c r="AT19" t="e">
        <v>#DIV/0!</v>
      </c>
      <c r="AU19" t="e">
        <v>#DIV/0!</v>
      </c>
      <c r="AV19"/>
      <c r="AW19"/>
      <c r="FG19" s="5"/>
      <c r="FH19" s="213"/>
      <c r="FI19" s="13"/>
      <c r="FJ19" s="13"/>
      <c r="FK19" s="13"/>
      <c r="FL19" s="13"/>
      <c r="FM19" s="13"/>
      <c r="FN19" s="13"/>
      <c r="FO19" s="5"/>
      <c r="FY19" s="211">
        <v>14</v>
      </c>
      <c r="FZ19">
        <v>1.2511369965368451</v>
      </c>
      <c r="GA19">
        <v>2.1257748889750858</v>
      </c>
      <c r="GB19">
        <v>1.0464024739599527</v>
      </c>
      <c r="GC19">
        <v>0.49481249615354644</v>
      </c>
      <c r="GD19">
        <v>9.4525545473926054E-2</v>
      </c>
      <c r="GE19">
        <v>4.3360981258274998E-2</v>
      </c>
      <c r="GF19">
        <v>0.33409761863227821</v>
      </c>
      <c r="GG19">
        <v>0.34012406257845362</v>
      </c>
      <c r="GH19">
        <v>0.11249442504775362</v>
      </c>
      <c r="GI19">
        <v>0.57249343420089205</v>
      </c>
      <c r="GJ19"/>
      <c r="GK19">
        <v>1.2466987132352942</v>
      </c>
      <c r="GL19">
        <v>1.7901323069852939</v>
      </c>
      <c r="GM19">
        <v>1.7174712357954545</v>
      </c>
      <c r="GN19">
        <v>1.4522019277597402</v>
      </c>
      <c r="GO19">
        <v>0.35958616071428567</v>
      </c>
      <c r="GP19">
        <v>8.1421875000000005E-2</v>
      </c>
      <c r="GQ19">
        <v>0.40278260869565213</v>
      </c>
      <c r="GR19">
        <v>0.47314719202898542</v>
      </c>
      <c r="GS19">
        <v>0.11895232371794871</v>
      </c>
      <c r="GT19">
        <v>0.76909820843172705</v>
      </c>
      <c r="GU19"/>
      <c r="GV19"/>
      <c r="GW19"/>
      <c r="GX19"/>
      <c r="GY19"/>
      <c r="GZ19"/>
      <c r="HA19"/>
      <c r="HB19"/>
      <c r="HC19"/>
    </row>
    <row r="20" spans="1:211" s="7" customFormat="1">
      <c r="A20" s="51"/>
      <c r="B20" s="36"/>
      <c r="C20" s="12" t="s">
        <v>34</v>
      </c>
      <c r="D20" s="10" t="s">
        <v>35</v>
      </c>
      <c r="E20" s="10" t="s">
        <v>36</v>
      </c>
      <c r="F20" s="10"/>
      <c r="G20" s="44" t="s">
        <v>37</v>
      </c>
      <c r="H20" s="45">
        <v>1</v>
      </c>
      <c r="I20" s="45">
        <v>2</v>
      </c>
      <c r="J20" s="45">
        <v>3</v>
      </c>
      <c r="K20" s="45">
        <v>4</v>
      </c>
      <c r="L20" s="45">
        <v>5</v>
      </c>
      <c r="M20" s="45">
        <v>6</v>
      </c>
      <c r="N20" s="45">
        <v>7</v>
      </c>
      <c r="O20" s="46">
        <v>8</v>
      </c>
      <c r="P20" s="46">
        <v>9</v>
      </c>
      <c r="Q20" s="47">
        <v>10</v>
      </c>
      <c r="R20" s="46">
        <v>11</v>
      </c>
      <c r="S20" s="47">
        <v>12</v>
      </c>
      <c r="T20" s="46">
        <v>13</v>
      </c>
      <c r="U20" s="47">
        <v>14</v>
      </c>
      <c r="V20" s="46">
        <v>15</v>
      </c>
      <c r="W20" s="47">
        <v>16</v>
      </c>
      <c r="X20" s="46">
        <v>17</v>
      </c>
      <c r="Y20" s="47">
        <v>18</v>
      </c>
      <c r="Z20" s="46">
        <v>19</v>
      </c>
      <c r="AA20" s="47">
        <v>20</v>
      </c>
      <c r="AB20" s="46">
        <v>21</v>
      </c>
      <c r="AC20" s="47">
        <v>22</v>
      </c>
      <c r="AD20" s="46">
        <v>23</v>
      </c>
      <c r="AE20" s="47">
        <v>24</v>
      </c>
      <c r="AF20" s="46">
        <v>25</v>
      </c>
      <c r="AG20" s="47">
        <v>26</v>
      </c>
      <c r="AH20" s="46">
        <v>27</v>
      </c>
      <c r="AI20" s="47">
        <v>28</v>
      </c>
      <c r="AJ20" s="46">
        <v>29</v>
      </c>
      <c r="AK20" s="47">
        <v>30</v>
      </c>
      <c r="AL20" s="42"/>
      <c r="AM20" s="43">
        <v>4</v>
      </c>
      <c r="AN20">
        <v>36.893893058431097</v>
      </c>
      <c r="AO20">
        <v>0.75759004742494818</v>
      </c>
      <c r="AP20">
        <v>0.45318761810384178</v>
      </c>
      <c r="AQ20">
        <v>5.4963755261617226</v>
      </c>
      <c r="AR20">
        <v>0.71045117947722569</v>
      </c>
      <c r="AS20">
        <v>3.0581922290016319</v>
      </c>
      <c r="AT20" t="e">
        <v>#DIV/0!</v>
      </c>
      <c r="AU20" t="e">
        <v>#DIV/0!</v>
      </c>
      <c r="AV20"/>
      <c r="AW20"/>
      <c r="FG20" s="5"/>
      <c r="FH20" s="5"/>
      <c r="FI20" s="5"/>
      <c r="FJ20" s="5"/>
      <c r="FK20" s="5"/>
      <c r="FL20" s="5"/>
      <c r="FM20" s="5"/>
      <c r="FN20" s="5"/>
      <c r="FO20" s="5"/>
      <c r="FY20" s="211">
        <v>15</v>
      </c>
      <c r="FZ20">
        <v>1.6974286751690248</v>
      </c>
      <c r="GA20">
        <v>2.2516851652098517</v>
      </c>
      <c r="GB20">
        <v>0.4684856071087371</v>
      </c>
      <c r="GC20">
        <v>0.20143032120803689</v>
      </c>
      <c r="GD20">
        <v>7.1275005785134293E-2</v>
      </c>
      <c r="GE20">
        <v>4.5232633126125001E-2</v>
      </c>
      <c r="GF20">
        <v>0.98791909824818158</v>
      </c>
      <c r="GG20">
        <v>0.856333105575251</v>
      </c>
      <c r="GH20">
        <v>0</v>
      </c>
      <c r="GI20">
        <v>0.58408086177681828</v>
      </c>
      <c r="GJ20"/>
      <c r="GK20">
        <v>1.6917693014705881</v>
      </c>
      <c r="GL20">
        <v>1.8967185202205883</v>
      </c>
      <c r="GM20">
        <v>0.76858203125000002</v>
      </c>
      <c r="GN20">
        <v>0.59037433035714293</v>
      </c>
      <c r="GO20">
        <v>0.2711946428571429</v>
      </c>
      <c r="GP20">
        <v>8.5078125000000004E-2</v>
      </c>
      <c r="GQ20">
        <v>1.1918152173913041</v>
      </c>
      <c r="GR20">
        <v>1.1918152173913041</v>
      </c>
      <c r="GS20">
        <v>0</v>
      </c>
      <c r="GT20">
        <v>0.78467223859380697</v>
      </c>
      <c r="GU20"/>
      <c r="GV20"/>
      <c r="GW20"/>
      <c r="GX20"/>
      <c r="GY20"/>
      <c r="GZ20"/>
      <c r="HA20"/>
      <c r="HB20"/>
      <c r="HC20"/>
    </row>
    <row r="21" spans="1:211" s="7" customFormat="1">
      <c r="A21" s="4"/>
      <c r="B21" s="36"/>
      <c r="C21" s="48" t="s">
        <v>38</v>
      </c>
      <c r="D21" s="49">
        <f t="shared" ref="D21:D26" si="7">SUM(G21:AK21)</f>
        <v>50.124591503267965</v>
      </c>
      <c r="E21" s="18">
        <f t="shared" ref="E21:E26" si="8">C5-C4</f>
        <v>27</v>
      </c>
      <c r="F21" s="50"/>
      <c r="G21" s="18">
        <f t="shared" ref="G21:AK21" si="9">AVERAGE(G70:G71)</f>
        <v>10.273692810457515</v>
      </c>
      <c r="H21" s="18">
        <f t="shared" si="9"/>
        <v>16.178513071895424</v>
      </c>
      <c r="I21" s="18">
        <f t="shared" si="9"/>
        <v>23.67238562091503</v>
      </c>
      <c r="J21" s="18">
        <f t="shared" si="9"/>
        <v>0</v>
      </c>
      <c r="K21" s="18">
        <f t="shared" si="9"/>
        <v>0</v>
      </c>
      <c r="L21" s="18">
        <f t="shared" si="9"/>
        <v>0</v>
      </c>
      <c r="M21" s="18">
        <f t="shared" si="9"/>
        <v>0</v>
      </c>
      <c r="N21" s="18">
        <f t="shared" si="9"/>
        <v>0</v>
      </c>
      <c r="O21" s="18">
        <f t="shared" si="9"/>
        <v>0</v>
      </c>
      <c r="P21" s="18">
        <f t="shared" si="9"/>
        <v>0</v>
      </c>
      <c r="Q21" s="18">
        <f t="shared" si="9"/>
        <v>0</v>
      </c>
      <c r="R21" s="18">
        <f t="shared" si="9"/>
        <v>0</v>
      </c>
      <c r="S21" s="18">
        <f t="shared" si="9"/>
        <v>0</v>
      </c>
      <c r="T21" s="18">
        <f t="shared" si="9"/>
        <v>0</v>
      </c>
      <c r="U21" s="18">
        <f t="shared" si="9"/>
        <v>0</v>
      </c>
      <c r="V21" s="18">
        <f t="shared" si="9"/>
        <v>0</v>
      </c>
      <c r="W21" s="18">
        <f t="shared" si="9"/>
        <v>0</v>
      </c>
      <c r="X21" s="18">
        <f t="shared" si="9"/>
        <v>0</v>
      </c>
      <c r="Y21" s="18">
        <f t="shared" si="9"/>
        <v>0</v>
      </c>
      <c r="Z21" s="18">
        <f t="shared" si="9"/>
        <v>0</v>
      </c>
      <c r="AA21" s="18">
        <f t="shared" si="9"/>
        <v>0</v>
      </c>
      <c r="AB21" s="18">
        <f t="shared" si="9"/>
        <v>0</v>
      </c>
      <c r="AC21" s="18">
        <f t="shared" si="9"/>
        <v>0</v>
      </c>
      <c r="AD21" s="18">
        <f t="shared" si="9"/>
        <v>0</v>
      </c>
      <c r="AE21" s="18">
        <f t="shared" si="9"/>
        <v>0</v>
      </c>
      <c r="AF21" s="18">
        <f t="shared" si="9"/>
        <v>0</v>
      </c>
      <c r="AG21" s="18">
        <f t="shared" si="9"/>
        <v>0</v>
      </c>
      <c r="AH21" s="18">
        <f t="shared" si="9"/>
        <v>0</v>
      </c>
      <c r="AI21" s="18">
        <f t="shared" si="9"/>
        <v>0</v>
      </c>
      <c r="AJ21" s="18">
        <f t="shared" si="9"/>
        <v>0</v>
      </c>
      <c r="AK21" s="18">
        <f t="shared" si="9"/>
        <v>0</v>
      </c>
      <c r="AL21" s="42"/>
      <c r="AM21" s="43">
        <v>5</v>
      </c>
      <c r="AN21">
        <v>32.021998344348887</v>
      </c>
      <c r="AO21">
        <v>0.66598153431826324</v>
      </c>
      <c r="AP21">
        <v>0.8005824106571704</v>
      </c>
      <c r="AQ21">
        <v>4.207080641852011</v>
      </c>
      <c r="AR21">
        <v>0.62937924667044909</v>
      </c>
      <c r="AS21">
        <v>2.7591873401903193</v>
      </c>
      <c r="AT21" t="e">
        <v>#DIV/0!</v>
      </c>
      <c r="AU21" t="e">
        <v>#DIV/0!</v>
      </c>
      <c r="AV21"/>
      <c r="AW21"/>
      <c r="FY21" s="211">
        <v>16</v>
      </c>
      <c r="FZ21">
        <v>1.5890104168660322</v>
      </c>
      <c r="GA21">
        <v>1.8828125319411031</v>
      </c>
      <c r="GB21">
        <v>1.3524731890957229</v>
      </c>
      <c r="GC21">
        <v>0.80108067827857599</v>
      </c>
      <c r="GD21">
        <v>0.13112586836412427</v>
      </c>
      <c r="GE21">
        <v>0.1406236436361</v>
      </c>
      <c r="GF21">
        <v>0.5606239862982938</v>
      </c>
      <c r="GG21">
        <v>0.4158731959419375</v>
      </c>
      <c r="GH21">
        <v>2.2985735835423678E-2</v>
      </c>
      <c r="GI21">
        <v>0.74488465980984597</v>
      </c>
      <c r="GJ21"/>
      <c r="GK21">
        <v>1.5834487132352939</v>
      </c>
      <c r="GL21">
        <v>1.5855229319852939</v>
      </c>
      <c r="GM21">
        <v>2.2205010653409092</v>
      </c>
      <c r="GN21">
        <v>2.3520152394480518</v>
      </c>
      <c r="GO21">
        <v>0.49930714285714284</v>
      </c>
      <c r="GP21">
        <v>0.26418750000000002</v>
      </c>
      <c r="GQ21">
        <v>0.6770624999999999</v>
      </c>
      <c r="GR21">
        <v>0.57937499999999997</v>
      </c>
      <c r="GS21">
        <v>2.4293870192307693E-2</v>
      </c>
      <c r="GT21">
        <v>1.0009226583251309</v>
      </c>
      <c r="GU21"/>
      <c r="GV21"/>
      <c r="GW21"/>
      <c r="GX21"/>
      <c r="GY21"/>
      <c r="GZ21"/>
      <c r="HA21"/>
      <c r="HB21"/>
      <c r="HC21"/>
    </row>
    <row r="22" spans="1:211" s="7" customFormat="1">
      <c r="B22" s="36"/>
      <c r="C22" s="48" t="s">
        <v>39</v>
      </c>
      <c r="D22" s="49">
        <f t="shared" si="7"/>
        <v>75.645424836601308</v>
      </c>
      <c r="E22" s="18">
        <f t="shared" si="8"/>
        <v>41</v>
      </c>
      <c r="F22" s="50"/>
      <c r="G22" s="18">
        <f t="shared" ref="G22:AK22" si="10">AVERAGE(G71:G72)</f>
        <v>10.273692810457515</v>
      </c>
      <c r="H22" s="18">
        <f t="shared" si="10"/>
        <v>31.803513071895424</v>
      </c>
      <c r="I22" s="18">
        <f t="shared" si="10"/>
        <v>33.568218954248366</v>
      </c>
      <c r="J22" s="18">
        <f t="shared" si="10"/>
        <v>0</v>
      </c>
      <c r="K22" s="18">
        <f t="shared" si="10"/>
        <v>0</v>
      </c>
      <c r="L22" s="18">
        <f t="shared" si="10"/>
        <v>0</v>
      </c>
      <c r="M22" s="18">
        <f t="shared" si="10"/>
        <v>0</v>
      </c>
      <c r="N22" s="18">
        <f t="shared" si="10"/>
        <v>0</v>
      </c>
      <c r="O22" s="18">
        <f t="shared" si="10"/>
        <v>0</v>
      </c>
      <c r="P22" s="18">
        <f t="shared" si="10"/>
        <v>0</v>
      </c>
      <c r="Q22" s="18">
        <f t="shared" si="10"/>
        <v>0</v>
      </c>
      <c r="R22" s="18">
        <f t="shared" si="10"/>
        <v>0</v>
      </c>
      <c r="S22" s="18">
        <f t="shared" si="10"/>
        <v>0</v>
      </c>
      <c r="T22" s="18">
        <f t="shared" si="10"/>
        <v>0</v>
      </c>
      <c r="U22" s="18">
        <f t="shared" si="10"/>
        <v>0</v>
      </c>
      <c r="V22" s="18">
        <f t="shared" si="10"/>
        <v>0</v>
      </c>
      <c r="W22" s="18">
        <f t="shared" si="10"/>
        <v>0</v>
      </c>
      <c r="X22" s="18">
        <f t="shared" si="10"/>
        <v>0</v>
      </c>
      <c r="Y22" s="18">
        <f t="shared" si="10"/>
        <v>0</v>
      </c>
      <c r="Z22" s="18">
        <f t="shared" si="10"/>
        <v>0</v>
      </c>
      <c r="AA22" s="18">
        <f t="shared" si="10"/>
        <v>0</v>
      </c>
      <c r="AB22" s="18">
        <f t="shared" si="10"/>
        <v>0</v>
      </c>
      <c r="AC22" s="18">
        <f t="shared" si="10"/>
        <v>0</v>
      </c>
      <c r="AD22" s="18">
        <f t="shared" si="10"/>
        <v>0</v>
      </c>
      <c r="AE22" s="18">
        <f t="shared" si="10"/>
        <v>0</v>
      </c>
      <c r="AF22" s="18">
        <f t="shared" si="10"/>
        <v>0</v>
      </c>
      <c r="AG22" s="18">
        <f t="shared" si="10"/>
        <v>0</v>
      </c>
      <c r="AH22" s="18">
        <f t="shared" si="10"/>
        <v>0</v>
      </c>
      <c r="AI22" s="18">
        <f t="shared" si="10"/>
        <v>0</v>
      </c>
      <c r="AJ22" s="18">
        <f t="shared" si="10"/>
        <v>0</v>
      </c>
      <c r="AK22" s="18">
        <f t="shared" si="10"/>
        <v>0</v>
      </c>
      <c r="AL22" s="42"/>
      <c r="AM22" s="43">
        <v>6</v>
      </c>
      <c r="AN22">
        <v>43.549083483030898</v>
      </c>
      <c r="AO22">
        <v>1.1190680580414232</v>
      </c>
      <c r="AP22">
        <v>12.971770729631972</v>
      </c>
      <c r="AQ22">
        <v>8.1081760049230489</v>
      </c>
      <c r="AR22">
        <v>1.03906755276493</v>
      </c>
      <c r="AS22">
        <v>3.7616162099241062</v>
      </c>
      <c r="AT22" t="e">
        <v>#DIV/0!</v>
      </c>
      <c r="AU22" t="e">
        <v>#DIV/0!</v>
      </c>
      <c r="AV22"/>
      <c r="AW22"/>
      <c r="FY22" s="211">
        <v>17</v>
      </c>
      <c r="FZ22">
        <v>0.8501880422196787</v>
      </c>
      <c r="GA22">
        <v>1.5551599476962852</v>
      </c>
      <c r="GB22">
        <v>1.3568542646959689</v>
      </c>
      <c r="GC22">
        <v>0.8820460958460028</v>
      </c>
      <c r="GD22">
        <v>0.29854924456471715</v>
      </c>
      <c r="GE22">
        <v>0.10791909033592499</v>
      </c>
      <c r="GF22">
        <v>0.70871433467598444</v>
      </c>
      <c r="GG22">
        <v>0.62966621671876666</v>
      </c>
      <c r="GH22">
        <v>6.6522953376906252E-2</v>
      </c>
      <c r="GI22">
        <v>0.76448221937676675</v>
      </c>
      <c r="GJ22"/>
      <c r="GK22">
        <v>0.84708749999999988</v>
      </c>
      <c r="GL22">
        <v>1.3096265625000001</v>
      </c>
      <c r="GM22">
        <v>2.2275142045454546</v>
      </c>
      <c r="GN22">
        <v>2.5870568384740258</v>
      </c>
      <c r="GO22">
        <v>1.1352535714285714</v>
      </c>
      <c r="GP22">
        <v>0.20264062499999999</v>
      </c>
      <c r="GQ22">
        <v>0.85440896739130423</v>
      </c>
      <c r="GR22">
        <v>0.87592980072463755</v>
      </c>
      <c r="GS22">
        <v>7.0364583333333328E-2</v>
      </c>
      <c r="GT22">
        <v>1.0269257653397328</v>
      </c>
      <c r="GU22"/>
      <c r="GV22"/>
      <c r="GW22"/>
      <c r="GX22"/>
      <c r="GY22"/>
      <c r="GZ22"/>
      <c r="HA22"/>
      <c r="HB22"/>
      <c r="HC22"/>
    </row>
    <row r="23" spans="1:211" s="7" customFormat="1">
      <c r="B23" s="36"/>
      <c r="C23" s="48" t="s">
        <v>40</v>
      </c>
      <c r="D23" s="49">
        <f t="shared" si="7"/>
        <v>47.482638888888886</v>
      </c>
      <c r="E23" s="18">
        <f t="shared" si="8"/>
        <v>33</v>
      </c>
      <c r="F23" s="50"/>
      <c r="G23" s="18">
        <f t="shared" ref="G23:AK23" si="11">AVERAGE(G72:G73)</f>
        <v>0</v>
      </c>
      <c r="H23" s="18">
        <f t="shared" si="11"/>
        <v>28.862847222222221</v>
      </c>
      <c r="I23" s="18">
        <f t="shared" si="11"/>
        <v>18.619791666666664</v>
      </c>
      <c r="J23" s="18">
        <f t="shared" si="11"/>
        <v>0</v>
      </c>
      <c r="K23" s="18">
        <f t="shared" si="11"/>
        <v>0</v>
      </c>
      <c r="L23" s="18">
        <f t="shared" si="11"/>
        <v>0</v>
      </c>
      <c r="M23" s="18">
        <f t="shared" si="11"/>
        <v>0</v>
      </c>
      <c r="N23" s="18">
        <f t="shared" si="11"/>
        <v>0</v>
      </c>
      <c r="O23" s="18">
        <f t="shared" si="11"/>
        <v>0</v>
      </c>
      <c r="P23" s="18">
        <f t="shared" si="11"/>
        <v>0</v>
      </c>
      <c r="Q23" s="18">
        <f t="shared" si="11"/>
        <v>0</v>
      </c>
      <c r="R23" s="18">
        <f t="shared" si="11"/>
        <v>0</v>
      </c>
      <c r="S23" s="18">
        <f t="shared" si="11"/>
        <v>0</v>
      </c>
      <c r="T23" s="18">
        <f t="shared" si="11"/>
        <v>0</v>
      </c>
      <c r="U23" s="18">
        <f t="shared" si="11"/>
        <v>0</v>
      </c>
      <c r="V23" s="18">
        <f t="shared" si="11"/>
        <v>0</v>
      </c>
      <c r="W23" s="18">
        <f t="shared" si="11"/>
        <v>0</v>
      </c>
      <c r="X23" s="18">
        <f t="shared" si="11"/>
        <v>0</v>
      </c>
      <c r="Y23" s="18">
        <f t="shared" si="11"/>
        <v>0</v>
      </c>
      <c r="Z23" s="18">
        <f t="shared" si="11"/>
        <v>0</v>
      </c>
      <c r="AA23" s="18">
        <f t="shared" si="11"/>
        <v>0</v>
      </c>
      <c r="AB23" s="18">
        <f t="shared" si="11"/>
        <v>0</v>
      </c>
      <c r="AC23" s="18">
        <f t="shared" si="11"/>
        <v>0</v>
      </c>
      <c r="AD23" s="18">
        <f t="shared" si="11"/>
        <v>0</v>
      </c>
      <c r="AE23" s="18">
        <f t="shared" si="11"/>
        <v>0</v>
      </c>
      <c r="AF23" s="18">
        <f t="shared" si="11"/>
        <v>0</v>
      </c>
      <c r="AG23" s="18">
        <f t="shared" si="11"/>
        <v>0</v>
      </c>
      <c r="AH23" s="18">
        <f t="shared" si="11"/>
        <v>0</v>
      </c>
      <c r="AI23" s="18">
        <f t="shared" si="11"/>
        <v>0</v>
      </c>
      <c r="AJ23" s="18">
        <f t="shared" si="11"/>
        <v>0</v>
      </c>
      <c r="AK23" s="18">
        <f t="shared" si="11"/>
        <v>0</v>
      </c>
      <c r="AL23" s="42"/>
      <c r="AM23" s="43">
        <v>7</v>
      </c>
      <c r="AN23">
        <v>38.579874465811969</v>
      </c>
      <c r="AO23">
        <v>0.873670592548077</v>
      </c>
      <c r="AP23">
        <v>1.5057851563800122</v>
      </c>
      <c r="AQ23">
        <v>5.4164166751444531</v>
      </c>
      <c r="AR23">
        <v>0.82905395869755227</v>
      </c>
      <c r="AS23">
        <v>3.2343809604339357</v>
      </c>
      <c r="AT23" t="e">
        <v>#DIV/0!</v>
      </c>
      <c r="AU23" t="e">
        <v>#DIV/0!</v>
      </c>
      <c r="AV23"/>
      <c r="AW23"/>
      <c r="FY23" s="211">
        <v>18</v>
      </c>
      <c r="FZ23">
        <v>0.9968286992237918</v>
      </c>
      <c r="GA23">
        <v>2.3772978891633132</v>
      </c>
      <c r="GB23">
        <v>1.4383316982528176</v>
      </c>
      <c r="GC23">
        <v>0.74894524276005825</v>
      </c>
      <c r="GD23">
        <v>0.26825355483335678</v>
      </c>
      <c r="GE23">
        <v>0.14544153044257502</v>
      </c>
      <c r="GF23">
        <v>0.24090012531466881</v>
      </c>
      <c r="GG23">
        <v>0.13862439864731252</v>
      </c>
      <c r="GH23">
        <v>4.5971471670847357E-2</v>
      </c>
      <c r="GI23">
        <v>0.70175185884937785</v>
      </c>
      <c r="GJ23"/>
      <c r="GK23">
        <v>0.99329246323529397</v>
      </c>
      <c r="GL23">
        <v>2.0020541819852942</v>
      </c>
      <c r="GM23">
        <v>2.3608852982954547</v>
      </c>
      <c r="GN23">
        <v>2.1968619724025973</v>
      </c>
      <c r="GO23">
        <v>1.020285267857143</v>
      </c>
      <c r="GP23">
        <v>0.27323437500000003</v>
      </c>
      <c r="GQ23">
        <v>0.29081250000000003</v>
      </c>
      <c r="GR23">
        <v>0.19312499999999999</v>
      </c>
      <c r="GS23">
        <v>4.8587740384615385E-2</v>
      </c>
      <c r="GT23">
        <v>0.94277265395450138</v>
      </c>
      <c r="GU23"/>
      <c r="GV23"/>
      <c r="GW23"/>
      <c r="GX23"/>
      <c r="GY23"/>
      <c r="GZ23"/>
      <c r="HA23"/>
      <c r="HB23"/>
      <c r="HC23"/>
    </row>
    <row r="24" spans="1:211" s="7" customFormat="1">
      <c r="A24" s="4"/>
      <c r="B24" s="36"/>
      <c r="C24" s="48" t="s">
        <v>41</v>
      </c>
      <c r="D24" s="49">
        <f t="shared" si="7"/>
        <v>63.509424603174594</v>
      </c>
      <c r="E24" s="18">
        <f t="shared" si="8"/>
        <v>28</v>
      </c>
      <c r="F24" s="50"/>
      <c r="G24" s="18">
        <f t="shared" ref="G24:AK24" si="12">AVERAGE(G73:G74)</f>
        <v>4.6875000000000009</v>
      </c>
      <c r="H24" s="18">
        <f t="shared" si="12"/>
        <v>53.222966269841258</v>
      </c>
      <c r="I24" s="18">
        <f t="shared" si="12"/>
        <v>5.5989583333333321</v>
      </c>
      <c r="J24" s="18">
        <f t="shared" si="12"/>
        <v>0</v>
      </c>
      <c r="K24" s="18">
        <f t="shared" si="12"/>
        <v>0</v>
      </c>
      <c r="L24" s="18">
        <f t="shared" si="12"/>
        <v>0</v>
      </c>
      <c r="M24" s="18">
        <f t="shared" si="12"/>
        <v>0</v>
      </c>
      <c r="N24" s="18">
        <f t="shared" si="12"/>
        <v>0</v>
      </c>
      <c r="O24" s="18">
        <f t="shared" si="12"/>
        <v>0</v>
      </c>
      <c r="P24" s="18">
        <f t="shared" si="12"/>
        <v>0</v>
      </c>
      <c r="Q24" s="18">
        <f t="shared" si="12"/>
        <v>0</v>
      </c>
      <c r="R24" s="18">
        <f t="shared" si="12"/>
        <v>0</v>
      </c>
      <c r="S24" s="18">
        <f t="shared" si="12"/>
        <v>0</v>
      </c>
      <c r="T24" s="18">
        <f t="shared" si="12"/>
        <v>0</v>
      </c>
      <c r="U24" s="18">
        <f t="shared" si="12"/>
        <v>0</v>
      </c>
      <c r="V24" s="18">
        <f t="shared" si="12"/>
        <v>0</v>
      </c>
      <c r="W24" s="18">
        <f t="shared" si="12"/>
        <v>0</v>
      </c>
      <c r="X24" s="18">
        <f t="shared" si="12"/>
        <v>0</v>
      </c>
      <c r="Y24" s="18">
        <f t="shared" si="12"/>
        <v>0</v>
      </c>
      <c r="Z24" s="18">
        <f t="shared" si="12"/>
        <v>0</v>
      </c>
      <c r="AA24" s="18">
        <f t="shared" si="12"/>
        <v>0</v>
      </c>
      <c r="AB24" s="18">
        <f t="shared" si="12"/>
        <v>0</v>
      </c>
      <c r="AC24" s="18">
        <f t="shared" si="12"/>
        <v>0</v>
      </c>
      <c r="AD24" s="18">
        <f t="shared" si="12"/>
        <v>0</v>
      </c>
      <c r="AE24" s="18">
        <f t="shared" si="12"/>
        <v>0</v>
      </c>
      <c r="AF24" s="18">
        <f t="shared" si="12"/>
        <v>0</v>
      </c>
      <c r="AG24" s="18">
        <f t="shared" si="12"/>
        <v>0</v>
      </c>
      <c r="AH24" s="18">
        <f t="shared" si="12"/>
        <v>0</v>
      </c>
      <c r="AI24" s="18">
        <f t="shared" si="12"/>
        <v>0</v>
      </c>
      <c r="AJ24" s="18">
        <f t="shared" si="12"/>
        <v>0</v>
      </c>
      <c r="AK24" s="18">
        <f t="shared" si="12"/>
        <v>0</v>
      </c>
      <c r="AL24" s="42"/>
      <c r="AM24" s="43">
        <v>8</v>
      </c>
      <c r="AN24">
        <v>42.984905344755887</v>
      </c>
      <c r="AO24">
        <v>1.029598575069179</v>
      </c>
      <c r="AP24">
        <v>1.6657418300753772</v>
      </c>
      <c r="AQ24">
        <v>6.1417962162978661</v>
      </c>
      <c r="AR24">
        <v>0.94624646466079199</v>
      </c>
      <c r="AS24">
        <v>3.5403788114783197</v>
      </c>
      <c r="AT24">
        <v>0.69879362935855294</v>
      </c>
      <c r="AU24">
        <v>-0.17892706465303823</v>
      </c>
      <c r="AV24"/>
      <c r="AW24"/>
      <c r="FY24" s="211">
        <v>19</v>
      </c>
      <c r="FZ24">
        <v>0.43416436026910776</v>
      </c>
      <c r="GA24">
        <v>0.75713896938248315</v>
      </c>
      <c r="GB24">
        <v>0.73664727805319397</v>
      </c>
      <c r="GC24">
        <v>0.494738826919917</v>
      </c>
      <c r="GD24">
        <v>0.2502225062728875</v>
      </c>
      <c r="GE24">
        <v>0.20989178206897499</v>
      </c>
      <c r="GF24">
        <v>0.69434057702733132</v>
      </c>
      <c r="GG24">
        <v>0.61737285987307855</v>
      </c>
      <c r="GH24">
        <v>8.9508689212329934E-2</v>
      </c>
      <c r="GI24">
        <v>0.52501739921517587</v>
      </c>
      <c r="GJ24"/>
      <c r="GK24">
        <v>0.43270312499999997</v>
      </c>
      <c r="GL24">
        <v>0.63765234375000002</v>
      </c>
      <c r="GM24">
        <v>1.2094946732954543</v>
      </c>
      <c r="GN24">
        <v>1.4512642045454542</v>
      </c>
      <c r="GO24">
        <v>0.95179687499999988</v>
      </c>
      <c r="GP24">
        <v>0.39454687500000002</v>
      </c>
      <c r="GQ24">
        <v>0.83787635869565202</v>
      </c>
      <c r="GR24">
        <v>0.85939719202898535</v>
      </c>
      <c r="GS24">
        <v>9.465845352564102E-2</v>
      </c>
      <c r="GT24">
        <v>0.70530589710334946</v>
      </c>
      <c r="GU24"/>
      <c r="GV24"/>
      <c r="GW24"/>
      <c r="GX24"/>
      <c r="GY24"/>
      <c r="GZ24"/>
      <c r="HA24"/>
      <c r="HB24"/>
      <c r="HC24"/>
    </row>
    <row r="25" spans="1:211" s="7" customFormat="1">
      <c r="A25" s="4"/>
      <c r="B25" s="36"/>
      <c r="C25" s="48" t="s">
        <v>42</v>
      </c>
      <c r="D25" s="49">
        <f t="shared" si="7"/>
        <v>49.360119047619037</v>
      </c>
      <c r="E25" s="18">
        <f t="shared" si="8"/>
        <v>24</v>
      </c>
      <c r="F25" s="50"/>
      <c r="G25" s="18">
        <f t="shared" ref="G25:AK25" si="13">AVERAGE(G74:G75)</f>
        <v>4.6875000000000009</v>
      </c>
      <c r="H25" s="18">
        <f t="shared" si="13"/>
        <v>42.589285714285701</v>
      </c>
      <c r="I25" s="18">
        <f t="shared" si="13"/>
        <v>2.083333333333333</v>
      </c>
      <c r="J25" s="18">
        <f t="shared" si="13"/>
        <v>0</v>
      </c>
      <c r="K25" s="18">
        <f t="shared" si="13"/>
        <v>0</v>
      </c>
      <c r="L25" s="18">
        <f t="shared" si="13"/>
        <v>0</v>
      </c>
      <c r="M25" s="18">
        <f t="shared" si="13"/>
        <v>0</v>
      </c>
      <c r="N25" s="18">
        <f t="shared" si="13"/>
        <v>0</v>
      </c>
      <c r="O25" s="18">
        <f t="shared" si="13"/>
        <v>0</v>
      </c>
      <c r="P25" s="18">
        <f t="shared" si="13"/>
        <v>0</v>
      </c>
      <c r="Q25" s="18">
        <f t="shared" si="13"/>
        <v>0</v>
      </c>
      <c r="R25" s="18">
        <f t="shared" si="13"/>
        <v>0</v>
      </c>
      <c r="S25" s="18">
        <f t="shared" si="13"/>
        <v>0</v>
      </c>
      <c r="T25" s="18">
        <f t="shared" si="13"/>
        <v>0</v>
      </c>
      <c r="U25" s="18">
        <f t="shared" si="13"/>
        <v>0</v>
      </c>
      <c r="V25" s="18">
        <f t="shared" si="13"/>
        <v>0</v>
      </c>
      <c r="W25" s="18">
        <f t="shared" si="13"/>
        <v>0</v>
      </c>
      <c r="X25" s="18">
        <f t="shared" si="13"/>
        <v>0</v>
      </c>
      <c r="Y25" s="18">
        <f t="shared" si="13"/>
        <v>0</v>
      </c>
      <c r="Z25" s="18">
        <f t="shared" si="13"/>
        <v>0</v>
      </c>
      <c r="AA25" s="18">
        <f t="shared" si="13"/>
        <v>0</v>
      </c>
      <c r="AB25" s="18">
        <f t="shared" si="13"/>
        <v>0</v>
      </c>
      <c r="AC25" s="18">
        <f t="shared" si="13"/>
        <v>0</v>
      </c>
      <c r="AD25" s="18">
        <f t="shared" si="13"/>
        <v>0</v>
      </c>
      <c r="AE25" s="18">
        <f t="shared" si="13"/>
        <v>0</v>
      </c>
      <c r="AF25" s="18">
        <f t="shared" si="13"/>
        <v>0</v>
      </c>
      <c r="AG25" s="18">
        <f t="shared" si="13"/>
        <v>0</v>
      </c>
      <c r="AH25" s="18">
        <f t="shared" si="13"/>
        <v>0</v>
      </c>
      <c r="AI25" s="18">
        <f t="shared" si="13"/>
        <v>0</v>
      </c>
      <c r="AJ25" s="18">
        <f t="shared" si="13"/>
        <v>0</v>
      </c>
      <c r="AK25" s="18">
        <f t="shared" si="13"/>
        <v>0</v>
      </c>
      <c r="AL25" s="42"/>
      <c r="AM25" s="43">
        <v>9</v>
      </c>
      <c r="AN25">
        <v>35.49372321578204</v>
      </c>
      <c r="AO25">
        <v>0.80363092135315628</v>
      </c>
      <c r="AP25">
        <v>1.8123083060397593</v>
      </c>
      <c r="AQ25">
        <v>5.7028032506020416</v>
      </c>
      <c r="AR25">
        <v>0.74947926853783486</v>
      </c>
      <c r="AS25">
        <v>2.8257543025846874</v>
      </c>
      <c r="AT25" t="e">
        <v>#DIV/0!</v>
      </c>
      <c r="AU25" t="e">
        <v>#DIV/0!</v>
      </c>
      <c r="AV25"/>
      <c r="AW25"/>
      <c r="FY25" s="211">
        <v>20</v>
      </c>
      <c r="FZ25">
        <v>1.3619017671195601</v>
      </c>
      <c r="GA25">
        <v>2.0847738897905694</v>
      </c>
      <c r="GB25">
        <v>2.0383250483004853</v>
      </c>
      <c r="GC25">
        <v>1.0223719343541866</v>
      </c>
      <c r="GD25">
        <v>0.11883599170939928</v>
      </c>
      <c r="GE25">
        <v>0.15315172346204997</v>
      </c>
      <c r="GF25">
        <v>0.70871433467598444</v>
      </c>
      <c r="GG25">
        <v>0.57908430828062596</v>
      </c>
      <c r="GH25">
        <v>0</v>
      </c>
      <c r="GI25">
        <v>0.89466438869781928</v>
      </c>
      <c r="GJ25"/>
      <c r="GK25">
        <v>1.3572018382352939</v>
      </c>
      <c r="GL25">
        <v>1.7558854319852941</v>
      </c>
      <c r="GM25">
        <v>3.347046519886363</v>
      </c>
      <c r="GN25">
        <v>3.002263818993506</v>
      </c>
      <c r="GO25">
        <v>0.45215089285714283</v>
      </c>
      <c r="GP25">
        <v>0.28771875000000002</v>
      </c>
      <c r="GQ25">
        <v>0.85440896739130423</v>
      </c>
      <c r="GR25">
        <v>0.80556521739130427</v>
      </c>
      <c r="GS25">
        <v>0</v>
      </c>
      <c r="GT25">
        <v>1.2021616436740208</v>
      </c>
      <c r="GU25"/>
      <c r="GV25"/>
      <c r="GW25"/>
      <c r="GX25"/>
      <c r="GY25"/>
      <c r="GZ25"/>
      <c r="HA25"/>
      <c r="HB25"/>
      <c r="HC25"/>
    </row>
    <row r="26" spans="1:211" s="7" customFormat="1">
      <c r="A26" s="4"/>
      <c r="B26" s="36"/>
      <c r="C26" s="48" t="s">
        <v>118</v>
      </c>
      <c r="D26" s="49">
        <f t="shared" si="7"/>
        <v>6.7708333333333339</v>
      </c>
      <c r="E26" s="18">
        <f t="shared" si="8"/>
        <v>48</v>
      </c>
      <c r="F26" s="50"/>
      <c r="G26" s="18">
        <f t="shared" ref="G26:AK26" si="14">AVERAGE(G75:G76)</f>
        <v>0.52083333333333326</v>
      </c>
      <c r="H26" s="18">
        <f t="shared" si="14"/>
        <v>5.2083333333333339</v>
      </c>
      <c r="I26" s="18">
        <f t="shared" si="14"/>
        <v>1.0416666666666665</v>
      </c>
      <c r="J26" s="18">
        <f t="shared" si="14"/>
        <v>0</v>
      </c>
      <c r="K26" s="18">
        <f t="shared" si="14"/>
        <v>0</v>
      </c>
      <c r="L26" s="18">
        <f t="shared" si="14"/>
        <v>0</v>
      </c>
      <c r="M26" s="18">
        <f t="shared" si="14"/>
        <v>0</v>
      </c>
      <c r="N26" s="18">
        <f t="shared" si="14"/>
        <v>0</v>
      </c>
      <c r="O26" s="18">
        <f t="shared" si="14"/>
        <v>0</v>
      </c>
      <c r="P26" s="18">
        <f t="shared" si="14"/>
        <v>0</v>
      </c>
      <c r="Q26" s="18">
        <f t="shared" si="14"/>
        <v>0</v>
      </c>
      <c r="R26" s="18">
        <f t="shared" si="14"/>
        <v>0</v>
      </c>
      <c r="S26" s="18">
        <f t="shared" si="14"/>
        <v>0</v>
      </c>
      <c r="T26" s="18">
        <f t="shared" si="14"/>
        <v>0</v>
      </c>
      <c r="U26" s="18">
        <f t="shared" si="14"/>
        <v>0</v>
      </c>
      <c r="V26" s="18">
        <f t="shared" si="14"/>
        <v>0</v>
      </c>
      <c r="W26" s="18">
        <f t="shared" si="14"/>
        <v>0</v>
      </c>
      <c r="X26" s="18">
        <f t="shared" si="14"/>
        <v>0</v>
      </c>
      <c r="Y26" s="18">
        <f t="shared" si="14"/>
        <v>0</v>
      </c>
      <c r="Z26" s="18">
        <f t="shared" si="14"/>
        <v>0</v>
      </c>
      <c r="AA26" s="18">
        <f t="shared" si="14"/>
        <v>0</v>
      </c>
      <c r="AB26" s="18">
        <f t="shared" si="14"/>
        <v>0</v>
      </c>
      <c r="AC26" s="18">
        <f t="shared" si="14"/>
        <v>0</v>
      </c>
      <c r="AD26" s="18">
        <f t="shared" si="14"/>
        <v>0</v>
      </c>
      <c r="AE26" s="18">
        <f t="shared" si="14"/>
        <v>0</v>
      </c>
      <c r="AF26" s="18">
        <f t="shared" si="14"/>
        <v>0</v>
      </c>
      <c r="AG26" s="18">
        <f t="shared" si="14"/>
        <v>0</v>
      </c>
      <c r="AH26" s="18">
        <f t="shared" si="14"/>
        <v>0</v>
      </c>
      <c r="AI26" s="18">
        <f t="shared" si="14"/>
        <v>0</v>
      </c>
      <c r="AJ26" s="18">
        <f t="shared" si="14"/>
        <v>0</v>
      </c>
      <c r="AK26" s="18">
        <f t="shared" si="14"/>
        <v>0</v>
      </c>
      <c r="AL26" s="42"/>
      <c r="AM26" s="43">
        <v>10</v>
      </c>
      <c r="AN26">
        <v>43.263119376094927</v>
      </c>
      <c r="AO26">
        <v>0.87996293163969175</v>
      </c>
      <c r="AP26">
        <v>8.1258832164454891</v>
      </c>
      <c r="AQ26">
        <v>5.4323657218781563</v>
      </c>
      <c r="AR26">
        <v>0.8202856305990206</v>
      </c>
      <c r="AS26">
        <v>3.6701080253424503</v>
      </c>
      <c r="AT26" t="e">
        <v>#DIV/0!</v>
      </c>
      <c r="AU26" t="e">
        <v>#DIV/0!</v>
      </c>
      <c r="AV26"/>
      <c r="AW26"/>
      <c r="FY26" s="211">
        <v>21</v>
      </c>
      <c r="FZ26">
        <v>0.61583497074299531</v>
      </c>
      <c r="GA26">
        <v>0.72279687224338951</v>
      </c>
      <c r="GB26">
        <v>0.64064716206012062</v>
      </c>
      <c r="GC26">
        <v>0.69440539742985241</v>
      </c>
      <c r="GD26">
        <v>0.41913818540970749</v>
      </c>
      <c r="GE26">
        <v>0.1156292833554</v>
      </c>
      <c r="GF26">
        <v>1.3220167168804597</v>
      </c>
      <c r="GG26">
        <v>1.1964571681537048</v>
      </c>
      <c r="GH26">
        <v>6.6522953376906252E-2</v>
      </c>
      <c r="GI26">
        <v>0.73324051708423832</v>
      </c>
      <c r="GJ26"/>
      <c r="GK26">
        <v>0.61382812499999995</v>
      </c>
      <c r="GL26">
        <v>0.60858984375000014</v>
      </c>
      <c r="GM26">
        <v>1.05093359375</v>
      </c>
      <c r="GN26">
        <v>2.0347437499999996</v>
      </c>
      <c r="GO26">
        <v>1.5941343749999999</v>
      </c>
      <c r="GP26">
        <v>0.21712500000000001</v>
      </c>
      <c r="GQ26">
        <v>1.5945978260869564</v>
      </c>
      <c r="GR26">
        <v>1.6649624094202897</v>
      </c>
      <c r="GS26">
        <v>7.0364583333333328E-2</v>
      </c>
      <c r="GT26">
        <v>0.98477170063405783</v>
      </c>
      <c r="GU26"/>
      <c r="GV26"/>
      <c r="GW26"/>
      <c r="GX26"/>
      <c r="GY26"/>
      <c r="GZ26"/>
      <c r="HA26"/>
      <c r="HB26"/>
      <c r="HC26"/>
    </row>
    <row r="27" spans="1:211" s="7" customFormat="1">
      <c r="A27" s="4"/>
      <c r="B27" s="1"/>
      <c r="C27" s="48" t="s">
        <v>119</v>
      </c>
      <c r="D27" s="49">
        <f>SUM(G27:AK27)</f>
        <v>56.446256038647341</v>
      </c>
      <c r="E27" s="18">
        <f>C11-C10</f>
        <v>63</v>
      </c>
      <c r="F27" s="50"/>
      <c r="G27" s="18">
        <f t="shared" ref="G27:AK29" si="15">AVERAGE(G76:G77)</f>
        <v>0.52083333333333326</v>
      </c>
      <c r="H27" s="18">
        <f t="shared" si="15"/>
        <v>52.453200483091784</v>
      </c>
      <c r="I27" s="18">
        <f t="shared" si="15"/>
        <v>3.4722222222222223</v>
      </c>
      <c r="J27" s="18">
        <f t="shared" si="15"/>
        <v>0</v>
      </c>
      <c r="K27" s="18">
        <f t="shared" si="15"/>
        <v>0</v>
      </c>
      <c r="L27" s="18">
        <f t="shared" si="15"/>
        <v>0</v>
      </c>
      <c r="M27" s="18">
        <f t="shared" si="15"/>
        <v>0</v>
      </c>
      <c r="N27" s="18">
        <f t="shared" si="15"/>
        <v>0</v>
      </c>
      <c r="O27" s="18">
        <f t="shared" si="15"/>
        <v>0</v>
      </c>
      <c r="P27" s="18">
        <f t="shared" si="15"/>
        <v>0</v>
      </c>
      <c r="Q27" s="18">
        <f t="shared" si="15"/>
        <v>0</v>
      </c>
      <c r="R27" s="18">
        <f t="shared" si="15"/>
        <v>0</v>
      </c>
      <c r="S27" s="18">
        <f t="shared" si="15"/>
        <v>0</v>
      </c>
      <c r="T27" s="18">
        <f t="shared" si="15"/>
        <v>0</v>
      </c>
      <c r="U27" s="18">
        <f t="shared" si="15"/>
        <v>0</v>
      </c>
      <c r="V27" s="18">
        <f t="shared" si="15"/>
        <v>0</v>
      </c>
      <c r="W27" s="18">
        <f t="shared" si="15"/>
        <v>0</v>
      </c>
      <c r="X27" s="18">
        <f t="shared" si="15"/>
        <v>0</v>
      </c>
      <c r="Y27" s="18">
        <f t="shared" si="15"/>
        <v>0</v>
      </c>
      <c r="Z27" s="18">
        <f t="shared" si="15"/>
        <v>0</v>
      </c>
      <c r="AA27" s="18">
        <f t="shared" si="15"/>
        <v>0</v>
      </c>
      <c r="AB27" s="18">
        <f t="shared" si="15"/>
        <v>0</v>
      </c>
      <c r="AC27" s="18">
        <f t="shared" si="15"/>
        <v>0</v>
      </c>
      <c r="AD27" s="18">
        <f t="shared" si="15"/>
        <v>0</v>
      </c>
      <c r="AE27" s="18">
        <f t="shared" si="15"/>
        <v>0</v>
      </c>
      <c r="AF27" s="18">
        <f t="shared" si="15"/>
        <v>0</v>
      </c>
      <c r="AG27" s="18">
        <f t="shared" si="15"/>
        <v>0</v>
      </c>
      <c r="AH27" s="18">
        <f t="shared" si="15"/>
        <v>0</v>
      </c>
      <c r="AI27" s="18">
        <f t="shared" si="15"/>
        <v>0</v>
      </c>
      <c r="AJ27" s="18">
        <f t="shared" si="15"/>
        <v>0</v>
      </c>
      <c r="AK27" s="18">
        <f t="shared" si="15"/>
        <v>0</v>
      </c>
      <c r="AL27" s="42"/>
      <c r="AM27" s="43">
        <v>11</v>
      </c>
      <c r="AN27">
        <v>31.285248143060642</v>
      </c>
      <c r="AO27">
        <v>0.7191048083218865</v>
      </c>
      <c r="AP27">
        <v>2.1043853256144849</v>
      </c>
      <c r="AQ27">
        <v>4.8037304714221918</v>
      </c>
      <c r="AR27">
        <v>0.65956233667374287</v>
      </c>
      <c r="AS27">
        <v>2.6098134293867936</v>
      </c>
      <c r="AT27" t="e">
        <v>#DIV/0!</v>
      </c>
      <c r="AU27" t="e">
        <v>#DIV/0!</v>
      </c>
      <c r="AV27"/>
      <c r="AW27"/>
      <c r="FY27" s="211">
        <v>22</v>
      </c>
      <c r="FZ27">
        <v>0.95497720548700527</v>
      </c>
      <c r="GA27">
        <v>2.110574809506498</v>
      </c>
      <c r="GB27">
        <v>1.0882218899128535</v>
      </c>
      <c r="GC27">
        <v>0.73427477950250442</v>
      </c>
      <c r="GD27">
        <v>0.36448985097112496</v>
      </c>
      <c r="GE27">
        <v>0.10791909033592499</v>
      </c>
      <c r="GF27">
        <v>0.69434057702733132</v>
      </c>
      <c r="GG27">
        <v>0.61737285987307855</v>
      </c>
      <c r="GH27">
        <v>0.11249442504775362</v>
      </c>
      <c r="GI27">
        <v>0.756454145328606</v>
      </c>
      <c r="GJ27"/>
      <c r="GK27">
        <v>0.95175183823529408</v>
      </c>
      <c r="GL27">
        <v>1.777747931985294</v>
      </c>
      <c r="GM27">
        <v>1.7864009232954543</v>
      </c>
      <c r="GN27">
        <v>2.1526704545454542</v>
      </c>
      <c r="GO27">
        <v>1.3859062499999999</v>
      </c>
      <c r="GP27">
        <v>0.20264062499999999</v>
      </c>
      <c r="GQ27">
        <v>0.83787635869565202</v>
      </c>
      <c r="GR27">
        <v>0.85939719202898535</v>
      </c>
      <c r="GS27">
        <v>0.11895232371794871</v>
      </c>
      <c r="GT27">
        <v>1.0161775387888698</v>
      </c>
      <c r="GU27"/>
      <c r="GV27"/>
      <c r="GW27"/>
      <c r="GX27"/>
      <c r="GY27"/>
      <c r="GZ27"/>
      <c r="HA27"/>
      <c r="HB27"/>
      <c r="HC27"/>
    </row>
    <row r="28" spans="1:211" s="7" customFormat="1">
      <c r="A28" s="51"/>
      <c r="B28" s="1"/>
      <c r="C28" s="48" t="s">
        <v>120</v>
      </c>
      <c r="D28" s="49">
        <f>SUM(G28:AK28)</f>
        <v>61.423107890499189</v>
      </c>
      <c r="E28" s="18">
        <f>C12-C11</f>
        <v>39</v>
      </c>
      <c r="F28" s="50"/>
      <c r="G28" s="18">
        <f t="shared" si="15"/>
        <v>0</v>
      </c>
      <c r="H28" s="18">
        <f t="shared" si="15"/>
        <v>57.950885668276968</v>
      </c>
      <c r="I28" s="18">
        <f t="shared" si="15"/>
        <v>3.4722222222222223</v>
      </c>
      <c r="J28" s="18">
        <f t="shared" si="15"/>
        <v>0</v>
      </c>
      <c r="K28" s="18">
        <f t="shared" si="15"/>
        <v>0</v>
      </c>
      <c r="L28" s="18">
        <f t="shared" si="15"/>
        <v>0</v>
      </c>
      <c r="M28" s="18">
        <f t="shared" si="15"/>
        <v>0</v>
      </c>
      <c r="N28" s="18">
        <f t="shared" si="15"/>
        <v>0</v>
      </c>
      <c r="O28" s="18">
        <f t="shared" si="15"/>
        <v>0</v>
      </c>
      <c r="P28" s="18">
        <f t="shared" si="15"/>
        <v>0</v>
      </c>
      <c r="Q28" s="18">
        <f t="shared" si="15"/>
        <v>0</v>
      </c>
      <c r="R28" s="18">
        <f t="shared" si="15"/>
        <v>0</v>
      </c>
      <c r="S28" s="18">
        <f t="shared" si="15"/>
        <v>0</v>
      </c>
      <c r="T28" s="18">
        <f t="shared" si="15"/>
        <v>0</v>
      </c>
      <c r="U28" s="18">
        <f t="shared" si="15"/>
        <v>0</v>
      </c>
      <c r="V28" s="18">
        <f t="shared" si="15"/>
        <v>0</v>
      </c>
      <c r="W28" s="18">
        <f t="shared" si="15"/>
        <v>0</v>
      </c>
      <c r="X28" s="18">
        <f t="shared" si="15"/>
        <v>0</v>
      </c>
      <c r="Y28" s="18">
        <f t="shared" si="15"/>
        <v>0</v>
      </c>
      <c r="Z28" s="18">
        <f t="shared" si="15"/>
        <v>0</v>
      </c>
      <c r="AA28" s="18">
        <f t="shared" si="15"/>
        <v>0</v>
      </c>
      <c r="AB28" s="18">
        <f t="shared" si="15"/>
        <v>0</v>
      </c>
      <c r="AC28" s="18">
        <f t="shared" si="15"/>
        <v>0</v>
      </c>
      <c r="AD28" s="18">
        <f t="shared" si="15"/>
        <v>0</v>
      </c>
      <c r="AE28" s="18">
        <f t="shared" si="15"/>
        <v>0</v>
      </c>
      <c r="AF28" s="18">
        <f t="shared" si="15"/>
        <v>0</v>
      </c>
      <c r="AG28" s="18">
        <f t="shared" si="15"/>
        <v>0</v>
      </c>
      <c r="AH28" s="18">
        <f t="shared" si="15"/>
        <v>0</v>
      </c>
      <c r="AI28" s="18">
        <f t="shared" si="15"/>
        <v>0</v>
      </c>
      <c r="AJ28" s="18">
        <f t="shared" si="15"/>
        <v>0</v>
      </c>
      <c r="AK28" s="18">
        <f t="shared" si="15"/>
        <v>0</v>
      </c>
      <c r="AL28" s="42"/>
      <c r="AM28" s="43">
        <v>12</v>
      </c>
      <c r="AN28">
        <v>47.184886183663352</v>
      </c>
      <c r="AO28">
        <v>0.98576589608715559</v>
      </c>
      <c r="AP28">
        <v>16.580486887884152</v>
      </c>
      <c r="AQ28">
        <v>6.3776564492560732</v>
      </c>
      <c r="AR28">
        <v>0.91284798464216954</v>
      </c>
      <c r="AS28">
        <v>4.0756680902342701</v>
      </c>
      <c r="AT28" t="e">
        <v>#DIV/0!</v>
      </c>
      <c r="AU28" t="e">
        <v>#DIV/0!</v>
      </c>
      <c r="AV28"/>
      <c r="AW28"/>
      <c r="FY28" s="211">
        <v>23</v>
      </c>
      <c r="FZ28">
        <v>0.69035613732871304</v>
      </c>
      <c r="GA28">
        <v>0.89965363874916504</v>
      </c>
      <c r="GB28">
        <v>9.108340831345077E-2</v>
      </c>
      <c r="GC28">
        <v>0.26687124515065869</v>
      </c>
      <c r="GD28">
        <v>0.30398569046036999</v>
      </c>
      <c r="GE28">
        <v>0.22542002555917501</v>
      </c>
      <c r="GF28">
        <v>4.0519097411428125E-2</v>
      </c>
      <c r="GG28">
        <v>5.0581908438140623E-2</v>
      </c>
      <c r="GH28">
        <v>0.11249442504775362</v>
      </c>
      <c r="GI28">
        <v>0.3218666315082177</v>
      </c>
      <c r="GJ28"/>
      <c r="GK28">
        <v>0.68780624999999995</v>
      </c>
      <c r="GL28">
        <v>0.75739218749999992</v>
      </c>
      <c r="GM28">
        <v>0.14927343749999999</v>
      </c>
      <c r="GN28">
        <v>0.78169687499999985</v>
      </c>
      <c r="GO28">
        <v>1.1562749999999999</v>
      </c>
      <c r="GP28">
        <v>0.42342187500000006</v>
      </c>
      <c r="GQ28">
        <v>4.8843750000000005E-2</v>
      </c>
      <c r="GR28">
        <v>7.0364583333333328E-2</v>
      </c>
      <c r="GS28">
        <v>0.11895232371794871</v>
      </c>
      <c r="GT28">
        <v>0.43223015224358974</v>
      </c>
      <c r="GU28"/>
      <c r="GV28"/>
      <c r="GW28"/>
      <c r="GX28"/>
      <c r="GY28"/>
      <c r="GZ28"/>
      <c r="HA28"/>
      <c r="HB28"/>
      <c r="HC28"/>
    </row>
    <row r="29" spans="1:211" s="7" customFormat="1">
      <c r="A29" s="51"/>
      <c r="B29" s="1"/>
      <c r="C29" s="48" t="s">
        <v>121</v>
      </c>
      <c r="D29" s="49">
        <f>SUM(G29:AK29)</f>
        <v>11.607460826210826</v>
      </c>
      <c r="E29" s="18">
        <f>C13-C12</f>
        <v>38</v>
      </c>
      <c r="F29" s="50"/>
      <c r="G29" s="18">
        <f t="shared" si="15"/>
        <v>3.5056089743589745</v>
      </c>
      <c r="H29" s="18">
        <f t="shared" si="15"/>
        <v>8.1018518518518512</v>
      </c>
      <c r="I29" s="18">
        <f t="shared" si="15"/>
        <v>0</v>
      </c>
      <c r="J29" s="18">
        <f t="shared" si="15"/>
        <v>0</v>
      </c>
      <c r="K29" s="18">
        <f t="shared" si="15"/>
        <v>0</v>
      </c>
      <c r="L29" s="18">
        <f t="shared" si="15"/>
        <v>0</v>
      </c>
      <c r="M29" s="18">
        <f t="shared" si="15"/>
        <v>0</v>
      </c>
      <c r="N29" s="18">
        <f t="shared" si="15"/>
        <v>0</v>
      </c>
      <c r="O29" s="18">
        <f t="shared" si="15"/>
        <v>0</v>
      </c>
      <c r="P29" s="18">
        <f t="shared" si="15"/>
        <v>0</v>
      </c>
      <c r="Q29" s="18">
        <f t="shared" si="15"/>
        <v>0</v>
      </c>
      <c r="R29" s="18">
        <f t="shared" si="15"/>
        <v>0</v>
      </c>
      <c r="S29" s="18">
        <f t="shared" si="15"/>
        <v>0</v>
      </c>
      <c r="T29" s="18">
        <f t="shared" si="15"/>
        <v>0</v>
      </c>
      <c r="U29" s="18">
        <f t="shared" si="15"/>
        <v>0</v>
      </c>
      <c r="V29" s="18">
        <f t="shared" si="15"/>
        <v>0</v>
      </c>
      <c r="W29" s="18">
        <f t="shared" si="15"/>
        <v>0</v>
      </c>
      <c r="X29" s="18">
        <f t="shared" si="15"/>
        <v>0</v>
      </c>
      <c r="Y29" s="18">
        <f t="shared" si="15"/>
        <v>0</v>
      </c>
      <c r="Z29" s="18">
        <f t="shared" si="15"/>
        <v>0</v>
      </c>
      <c r="AA29" s="18">
        <f t="shared" si="15"/>
        <v>0</v>
      </c>
      <c r="AB29" s="18">
        <f t="shared" si="15"/>
        <v>0</v>
      </c>
      <c r="AC29" s="18">
        <f t="shared" si="15"/>
        <v>0</v>
      </c>
      <c r="AD29" s="18">
        <f t="shared" si="15"/>
        <v>0</v>
      </c>
      <c r="AE29" s="18">
        <f t="shared" si="15"/>
        <v>0</v>
      </c>
      <c r="AF29" s="18">
        <f t="shared" si="15"/>
        <v>0</v>
      </c>
      <c r="AG29" s="18">
        <f t="shared" si="15"/>
        <v>0</v>
      </c>
      <c r="AH29" s="18">
        <f t="shared" si="15"/>
        <v>0</v>
      </c>
      <c r="AI29" s="18">
        <f t="shared" si="15"/>
        <v>0</v>
      </c>
      <c r="AJ29" s="18">
        <f t="shared" si="15"/>
        <v>0</v>
      </c>
      <c r="AK29" s="18">
        <f t="shared" si="15"/>
        <v>0</v>
      </c>
      <c r="AL29" s="42"/>
      <c r="AM29" s="43">
        <v>13</v>
      </c>
      <c r="AN29">
        <v>46.183151455026454</v>
      </c>
      <c r="AO29">
        <v>1.1324569657738093</v>
      </c>
      <c r="AP29">
        <v>3.5111087287830052</v>
      </c>
      <c r="AQ29">
        <v>6.2880996952146972</v>
      </c>
      <c r="AR29">
        <v>1.0403728097943723</v>
      </c>
      <c r="AS29">
        <v>4.0481407042754931</v>
      </c>
      <c r="AT29" t="e">
        <v>#DIV/0!</v>
      </c>
      <c r="AU29" t="e">
        <v>#DIV/0!</v>
      </c>
      <c r="AV29"/>
      <c r="AW29"/>
      <c r="FY29" s="211">
        <v>24</v>
      </c>
      <c r="FZ29">
        <v>0.71937033241312687</v>
      </c>
      <c r="GA29">
        <v>0.79529396612733361</v>
      </c>
      <c r="GB29">
        <v>0.55876564763279979</v>
      </c>
      <c r="GC29">
        <v>0.54653984170296066</v>
      </c>
      <c r="GD29">
        <v>0.22400523475166251</v>
      </c>
      <c r="GE29">
        <v>5.0050519932599999E-2</v>
      </c>
      <c r="GF29">
        <v>0</v>
      </c>
      <c r="GG29">
        <v>0.10116381687628125</v>
      </c>
      <c r="GH29">
        <v>0.15603164258923619</v>
      </c>
      <c r="GI29">
        <v>0.3947558244743935</v>
      </c>
      <c r="GJ29"/>
      <c r="GK29">
        <v>0.7167937499999999</v>
      </c>
      <c r="GL29">
        <v>0.66963749999999989</v>
      </c>
      <c r="GM29">
        <v>0.91754545454545433</v>
      </c>
      <c r="GN29">
        <v>1.6033735795454542</v>
      </c>
      <c r="GO29">
        <v>0.85232812499999988</v>
      </c>
      <c r="GP29">
        <v>9.4124999999999986E-2</v>
      </c>
      <c r="GQ29">
        <v>0</v>
      </c>
      <c r="GR29">
        <v>0.14072916666666666</v>
      </c>
      <c r="GS29">
        <v>0.16502303685897435</v>
      </c>
      <c r="GT29">
        <v>0.53033807328088578</v>
      </c>
      <c r="GU29"/>
      <c r="GV29"/>
      <c r="GW29"/>
      <c r="GX29"/>
      <c r="GY29"/>
      <c r="GZ29"/>
      <c r="HA29"/>
      <c r="HB29"/>
      <c r="HC29"/>
    </row>
    <row r="30" spans="1:211" s="7" customFormat="1">
      <c r="A30" s="51"/>
      <c r="B30" s="1"/>
      <c r="C30" s="48" t="s">
        <v>122</v>
      </c>
      <c r="D30" s="49">
        <f>SUM(G30:AK30)</f>
        <v>43.004213260926818</v>
      </c>
      <c r="E30" s="18">
        <v>24</v>
      </c>
      <c r="F30" s="50"/>
      <c r="G30" s="18">
        <f>AVERAGE(G70:G79)</f>
        <v>3.7975270236299652</v>
      </c>
      <c r="H30" s="18">
        <f t="shared" ref="H30:AK30" si="16">AVERAGE(H70:H79)</f>
        <v>29.637139668669398</v>
      </c>
      <c r="I30" s="18">
        <f t="shared" si="16"/>
        <v>9.5695465686274481</v>
      </c>
      <c r="J30" s="18">
        <f t="shared" si="16"/>
        <v>0</v>
      </c>
      <c r="K30" s="18">
        <f t="shared" si="16"/>
        <v>0</v>
      </c>
      <c r="L30" s="18">
        <f t="shared" si="16"/>
        <v>0</v>
      </c>
      <c r="M30" s="18">
        <f t="shared" si="16"/>
        <v>0</v>
      </c>
      <c r="N30" s="18">
        <f t="shared" si="16"/>
        <v>0</v>
      </c>
      <c r="O30" s="18">
        <f t="shared" si="16"/>
        <v>0</v>
      </c>
      <c r="P30" s="18">
        <f t="shared" si="16"/>
        <v>0</v>
      </c>
      <c r="Q30" s="18">
        <f t="shared" si="16"/>
        <v>0</v>
      </c>
      <c r="R30" s="18">
        <f t="shared" si="16"/>
        <v>0</v>
      </c>
      <c r="S30" s="18">
        <f t="shared" si="16"/>
        <v>0</v>
      </c>
      <c r="T30" s="18">
        <f t="shared" si="16"/>
        <v>0</v>
      </c>
      <c r="U30" s="18">
        <f t="shared" si="16"/>
        <v>0</v>
      </c>
      <c r="V30" s="18">
        <f t="shared" si="16"/>
        <v>0</v>
      </c>
      <c r="W30" s="18">
        <f t="shared" si="16"/>
        <v>0</v>
      </c>
      <c r="X30" s="18">
        <f t="shared" si="16"/>
        <v>0</v>
      </c>
      <c r="Y30" s="18">
        <f t="shared" si="16"/>
        <v>0</v>
      </c>
      <c r="Z30" s="18">
        <f t="shared" si="16"/>
        <v>0</v>
      </c>
      <c r="AA30" s="18">
        <f t="shared" si="16"/>
        <v>0</v>
      </c>
      <c r="AB30" s="18">
        <f t="shared" si="16"/>
        <v>0</v>
      </c>
      <c r="AC30" s="18">
        <f t="shared" si="16"/>
        <v>0</v>
      </c>
      <c r="AD30" s="18">
        <f t="shared" si="16"/>
        <v>0</v>
      </c>
      <c r="AE30" s="18">
        <f t="shared" si="16"/>
        <v>0</v>
      </c>
      <c r="AF30" s="18">
        <f t="shared" si="16"/>
        <v>0</v>
      </c>
      <c r="AG30" s="18">
        <f t="shared" si="16"/>
        <v>0</v>
      </c>
      <c r="AH30" s="18">
        <f t="shared" si="16"/>
        <v>0</v>
      </c>
      <c r="AI30" s="18">
        <f t="shared" si="16"/>
        <v>0</v>
      </c>
      <c r="AJ30" s="18">
        <f t="shared" si="16"/>
        <v>0</v>
      </c>
      <c r="AK30" s="18">
        <f t="shared" si="16"/>
        <v>0</v>
      </c>
      <c r="AL30" s="42"/>
      <c r="AM30" s="43">
        <v>14</v>
      </c>
      <c r="AN30">
        <v>36.429688033472402</v>
      </c>
      <c r="AO30">
        <v>0.84114925523643824</v>
      </c>
      <c r="AP30">
        <v>17.223093161011747</v>
      </c>
      <c r="AQ30">
        <v>6.4152229228170095</v>
      </c>
      <c r="AR30">
        <v>0.76909820843172694</v>
      </c>
      <c r="AS30">
        <v>2.8747641622657181</v>
      </c>
      <c r="AT30" t="e">
        <v>#DIV/0!</v>
      </c>
      <c r="AU30" t="e">
        <v>#DIV/0!</v>
      </c>
      <c r="AV30"/>
      <c r="AW30"/>
      <c r="FY30" s="211">
        <v>25</v>
      </c>
      <c r="FZ30">
        <v>2.1315930354381325</v>
      </c>
      <c r="GA30">
        <v>2.7294089378139876</v>
      </c>
      <c r="GB30">
        <v>2.5595628097504921</v>
      </c>
      <c r="GC30">
        <v>1.325336325055765</v>
      </c>
      <c r="GD30">
        <v>7.0280631670226787E-2</v>
      </c>
      <c r="GE30">
        <v>7.1247647751975007E-2</v>
      </c>
      <c r="GF30">
        <v>0.36024295839505316</v>
      </c>
      <c r="GG30">
        <v>0.27724879729462504</v>
      </c>
      <c r="GH30">
        <v>4.5971471670847357E-2</v>
      </c>
      <c r="GI30">
        <v>1.0534052118112343</v>
      </c>
      <c r="GJ30"/>
      <c r="GK30">
        <v>2.1244724264705881</v>
      </c>
      <c r="GL30">
        <v>2.2989646139705879</v>
      </c>
      <c r="GM30">
        <v>4.2027911931818176</v>
      </c>
      <c r="GN30">
        <v>3.8920936485389608</v>
      </c>
      <c r="GO30">
        <v>0.26762276785714284</v>
      </c>
      <c r="GP30">
        <v>0.133921875</v>
      </c>
      <c r="GQ30">
        <v>0.43509375</v>
      </c>
      <c r="GR30">
        <v>0.38624999999999998</v>
      </c>
      <c r="GS30">
        <v>4.8587740384615385E-2</v>
      </c>
      <c r="GT30">
        <v>1.415713575578833</v>
      </c>
      <c r="GU30"/>
      <c r="GV30"/>
      <c r="GW30"/>
      <c r="GX30"/>
      <c r="GY30"/>
      <c r="GZ30"/>
      <c r="HA30"/>
      <c r="HB30"/>
      <c r="HC30"/>
    </row>
    <row r="31" spans="1:211" s="7" customFormat="1">
      <c r="A31" s="51"/>
      <c r="B31" s="1"/>
      <c r="C31" s="48"/>
      <c r="D31" s="49"/>
      <c r="E31" s="18"/>
      <c r="F31" s="50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42"/>
      <c r="AM31" s="43">
        <v>15</v>
      </c>
      <c r="AN31">
        <v>37.186910280416512</v>
      </c>
      <c r="AO31">
        <v>0.8472019624531878</v>
      </c>
      <c r="AP31">
        <v>11.861730718545786</v>
      </c>
      <c r="AQ31">
        <v>7.1638704732071607</v>
      </c>
      <c r="AR31">
        <v>0.78467223859380697</v>
      </c>
      <c r="AS31">
        <v>2.9340449831011908</v>
      </c>
      <c r="AT31" t="e">
        <v>#DIV/0!</v>
      </c>
      <c r="AU31" t="e">
        <v>#DIV/0!</v>
      </c>
      <c r="AV31"/>
      <c r="AW31"/>
      <c r="FY31" s="211">
        <v>26</v>
      </c>
      <c r="FZ31">
        <v>1.0585952677269761</v>
      </c>
      <c r="GA31">
        <v>1.6630322418908765</v>
      </c>
      <c r="GB31">
        <v>0.8900995020894702</v>
      </c>
      <c r="GC31">
        <v>0.64609870991831198</v>
      </c>
      <c r="GD31">
        <v>0.33716297869293849</v>
      </c>
      <c r="GE31">
        <v>0.25625292699149999</v>
      </c>
      <c r="GF31">
        <v>0.57499774394694703</v>
      </c>
      <c r="GG31">
        <v>0.47874846122576609</v>
      </c>
      <c r="GH31">
        <v>0.15846589671860095</v>
      </c>
      <c r="GI31">
        <v>0.69376774002143959</v>
      </c>
      <c r="GJ31"/>
      <c r="GK31">
        <v>1.0548862132352941</v>
      </c>
      <c r="GL31">
        <v>1.4006830882352941</v>
      </c>
      <c r="GM31">
        <v>1.4612798295454543</v>
      </c>
      <c r="GN31">
        <v>1.8947409902597401</v>
      </c>
      <c r="GO31">
        <v>1.2824142857142857</v>
      </c>
      <c r="GP31">
        <v>0.48131250000000003</v>
      </c>
      <c r="GQ31">
        <v>0.69359510869565222</v>
      </c>
      <c r="GR31">
        <v>0.66627219202898535</v>
      </c>
      <c r="GS31">
        <v>0.16754006410256411</v>
      </c>
      <c r="GT31">
        <v>0.93194310025864979</v>
      </c>
      <c r="GU31"/>
      <c r="GV31"/>
      <c r="GW31"/>
      <c r="GX31"/>
      <c r="GY31"/>
      <c r="GZ31"/>
      <c r="HA31"/>
      <c r="HB31"/>
      <c r="HC31"/>
    </row>
    <row r="32" spans="1:211" s="7" customFormat="1">
      <c r="A32" s="51"/>
      <c r="B32" s="1"/>
      <c r="C32" s="52" t="s">
        <v>43</v>
      </c>
      <c r="D32" s="53">
        <f>AVERAGE(D21:D31)</f>
        <v>46.537407022916923</v>
      </c>
      <c r="E32" s="18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42"/>
      <c r="AM32" s="43">
        <v>16</v>
      </c>
      <c r="AN32">
        <v>40.707830231451545</v>
      </c>
      <c r="AO32">
        <v>1.0786636621384131</v>
      </c>
      <c r="AP32">
        <v>2.1623902602911627</v>
      </c>
      <c r="AQ32">
        <v>7.6414939060671596</v>
      </c>
      <c r="AR32">
        <v>1.0009226583251305</v>
      </c>
      <c r="AS32">
        <v>3.4877586122733248</v>
      </c>
      <c r="AT32" t="e">
        <v>#DIV/0!</v>
      </c>
      <c r="AU32" t="e">
        <v>#DIV/0!</v>
      </c>
      <c r="AV32"/>
      <c r="AW32"/>
      <c r="FY32" s="211">
        <v>27</v>
      </c>
      <c r="FZ32">
        <v>0.85207152196623093</v>
      </c>
      <c r="GA32">
        <v>1.4859775957434072</v>
      </c>
      <c r="GB32">
        <v>2.376409335727995</v>
      </c>
      <c r="GC32">
        <v>1.3906817218481018</v>
      </c>
      <c r="GD32">
        <v>0.24978841264129495</v>
      </c>
      <c r="GE32">
        <v>0.183984624894375</v>
      </c>
      <c r="GF32">
        <v>0.41513581345513451</v>
      </c>
      <c r="GG32">
        <v>0.28954215414031298</v>
      </c>
      <c r="GH32">
        <v>0</v>
      </c>
      <c r="GI32">
        <v>0.92311284353424838</v>
      </c>
      <c r="GJ32"/>
      <c r="GK32">
        <v>0.84878437500000004</v>
      </c>
      <c r="GL32">
        <v>1.25112421875</v>
      </c>
      <c r="GM32">
        <v>3.9025529119318176</v>
      </c>
      <c r="GN32">
        <v>4.0826911931818177</v>
      </c>
      <c r="GO32">
        <v>0.94993124999999989</v>
      </c>
      <c r="GP32">
        <v>0.345609375</v>
      </c>
      <c r="GQ32">
        <v>0.50047010869565223</v>
      </c>
      <c r="GR32">
        <v>0.40278260869565213</v>
      </c>
      <c r="GS32">
        <v>0</v>
      </c>
      <c r="GT32">
        <v>1.2403477291254941</v>
      </c>
      <c r="GU32"/>
      <c r="GV32"/>
      <c r="GW32"/>
      <c r="GX32"/>
      <c r="GY32"/>
      <c r="GZ32"/>
      <c r="HA32"/>
      <c r="HB32"/>
      <c r="HC32"/>
    </row>
    <row r="33" spans="1:211" s="7" customFormat="1">
      <c r="A33" s="51"/>
      <c r="B33" s="36"/>
      <c r="C33" s="19"/>
      <c r="D33" s="54"/>
      <c r="E33" s="54"/>
      <c r="F33" s="55"/>
      <c r="G33" s="55"/>
      <c r="H33" s="54"/>
      <c r="I33" s="55"/>
      <c r="J33" s="19"/>
      <c r="K33" s="56"/>
      <c r="L33" s="55"/>
      <c r="M33" s="54"/>
      <c r="N33" s="55"/>
      <c r="O33" s="55"/>
      <c r="P33" s="55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42"/>
      <c r="AM33" s="43">
        <v>17</v>
      </c>
      <c r="AN33">
        <v>50.129618127444211</v>
      </c>
      <c r="AO33">
        <v>1.1136808418737061</v>
      </c>
      <c r="AP33">
        <v>0.88688370365590963</v>
      </c>
      <c r="AQ33">
        <v>7.2201024095070023</v>
      </c>
      <c r="AR33">
        <v>1.0269257653397328</v>
      </c>
      <c r="AS33">
        <v>4.2004260636896529</v>
      </c>
      <c r="AT33" t="e">
        <v>#DIV/0!</v>
      </c>
      <c r="AU33" t="e">
        <v>#DIV/0!</v>
      </c>
      <c r="AV33"/>
      <c r="AW33"/>
      <c r="FY33" s="211">
        <v>28</v>
      </c>
      <c r="FZ33">
        <v>1.8028588864969326</v>
      </c>
      <c r="GA33">
        <v>2.1916009847214095</v>
      </c>
      <c r="GB33">
        <v>1.4167486966415517</v>
      </c>
      <c r="GC33">
        <v>0.83020238678224656</v>
      </c>
      <c r="GD33">
        <v>8.7835019933491063E-2</v>
      </c>
      <c r="GE33">
        <v>7.6065534558449999E-2</v>
      </c>
      <c r="GF33">
        <v>1.0284381956596096</v>
      </c>
      <c r="GG33">
        <v>0.856333105575251</v>
      </c>
      <c r="GH33">
        <v>2.2985735835423678E-2</v>
      </c>
      <c r="GI33">
        <v>0.85173771270758203</v>
      </c>
      <c r="GJ33"/>
      <c r="GK33">
        <v>1.7967505514705882</v>
      </c>
      <c r="GL33">
        <v>1.845981020220588</v>
      </c>
      <c r="GM33">
        <v>2.3262120028409088</v>
      </c>
      <c r="GN33">
        <v>2.4374614448051948</v>
      </c>
      <c r="GO33">
        <v>0.33429241071428567</v>
      </c>
      <c r="GP33">
        <v>0.14296875000000001</v>
      </c>
      <c r="GQ33">
        <v>1.2406589673913042</v>
      </c>
      <c r="GR33">
        <v>1.1918152173913041</v>
      </c>
      <c r="GS33">
        <v>2.4293870192307693E-2</v>
      </c>
      <c r="GT33">
        <v>1.144441560521879</v>
      </c>
      <c r="GU33"/>
      <c r="GV33"/>
      <c r="GW33"/>
      <c r="GX33"/>
      <c r="GY33"/>
      <c r="GZ33"/>
      <c r="HA33"/>
      <c r="HB33"/>
      <c r="HC33"/>
    </row>
    <row r="34" spans="1:211" s="7" customFormat="1">
      <c r="A34" s="51"/>
      <c r="B34" s="36"/>
      <c r="C34" s="10" t="s">
        <v>44</v>
      </c>
      <c r="D34" s="10"/>
      <c r="E34" s="10"/>
      <c r="F34" s="10"/>
      <c r="G34" s="11" t="s">
        <v>33</v>
      </c>
      <c r="H34" s="45"/>
      <c r="I34" s="45"/>
      <c r="J34" s="45"/>
      <c r="K34" s="45"/>
      <c r="L34" s="45"/>
      <c r="M34" s="45"/>
      <c r="N34" s="45"/>
      <c r="O34" s="46"/>
      <c r="P34" s="46"/>
      <c r="Q34" s="47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42"/>
      <c r="AM34" s="43">
        <v>18</v>
      </c>
      <c r="AN34">
        <v>43.651767197263524</v>
      </c>
      <c r="AO34">
        <v>1.03219114531149</v>
      </c>
      <c r="AP34">
        <v>11.549405184470402</v>
      </c>
      <c r="AQ34">
        <v>7.1023464691581184</v>
      </c>
      <c r="AR34">
        <v>0.94277265395450116</v>
      </c>
      <c r="AS34">
        <v>3.5004923617821322</v>
      </c>
      <c r="AT34" t="e">
        <v>#DIV/0!</v>
      </c>
      <c r="AU34" t="e">
        <v>#DIV/0!</v>
      </c>
      <c r="AV34"/>
      <c r="AW34"/>
      <c r="FY34" s="211">
        <v>29</v>
      </c>
      <c r="FZ34">
        <v>1.4219227203336313</v>
      </c>
      <c r="GA34">
        <v>2.322928349389449</v>
      </c>
      <c r="GB34">
        <v>0.58552984829418753</v>
      </c>
      <c r="GC34">
        <v>0.20110270788392748</v>
      </c>
      <c r="GD34">
        <v>0.14069950555088248</v>
      </c>
      <c r="GE34">
        <v>0.183984624894375</v>
      </c>
      <c r="GF34">
        <v>0.74923343208741267</v>
      </c>
      <c r="GG34">
        <v>0.57908430828062596</v>
      </c>
      <c r="GH34">
        <v>0</v>
      </c>
      <c r="GI34">
        <v>0.56826226703676963</v>
      </c>
      <c r="GJ34"/>
      <c r="GK34">
        <v>1.4168362132352939</v>
      </c>
      <c r="GL34">
        <v>1.9563674632352941</v>
      </c>
      <c r="GM34">
        <v>0.96062500000000006</v>
      </c>
      <c r="GN34">
        <v>0.58943124999999996</v>
      </c>
      <c r="GO34">
        <v>0.53579062499999996</v>
      </c>
      <c r="GP34">
        <v>0.345609375</v>
      </c>
      <c r="GQ34">
        <v>0.90325271739130431</v>
      </c>
      <c r="GR34">
        <v>0.80556521739130427</v>
      </c>
      <c r="GS34">
        <v>0</v>
      </c>
      <c r="GT34">
        <v>0.76330091112531961</v>
      </c>
      <c r="GU34"/>
      <c r="GV34"/>
      <c r="GW34"/>
      <c r="GX34"/>
      <c r="GY34"/>
      <c r="GZ34"/>
      <c r="HA34"/>
      <c r="HB34"/>
      <c r="HC34"/>
    </row>
    <row r="35" spans="1:211" s="7" customFormat="1">
      <c r="A35" s="51"/>
      <c r="B35" s="36"/>
      <c r="C35" s="11"/>
      <c r="D35" s="10"/>
      <c r="E35" s="13"/>
      <c r="F35" s="13"/>
      <c r="G35" s="44" t="s">
        <v>37</v>
      </c>
      <c r="H35" s="45">
        <v>1</v>
      </c>
      <c r="I35" s="45">
        <v>2</v>
      </c>
      <c r="J35" s="45">
        <v>3</v>
      </c>
      <c r="K35" s="45">
        <v>4</v>
      </c>
      <c r="L35" s="45">
        <v>5</v>
      </c>
      <c r="M35" s="45">
        <v>6</v>
      </c>
      <c r="N35" s="45">
        <v>7</v>
      </c>
      <c r="O35" s="46">
        <v>8</v>
      </c>
      <c r="P35" s="46">
        <v>9</v>
      </c>
      <c r="Q35" s="47">
        <v>10</v>
      </c>
      <c r="R35" s="46">
        <v>11</v>
      </c>
      <c r="S35" s="47">
        <v>12</v>
      </c>
      <c r="T35" s="46">
        <v>13</v>
      </c>
      <c r="U35" s="47">
        <v>14</v>
      </c>
      <c r="V35" s="46">
        <v>15</v>
      </c>
      <c r="W35" s="47">
        <v>16</v>
      </c>
      <c r="X35" s="46">
        <v>17</v>
      </c>
      <c r="Y35" s="47">
        <v>18</v>
      </c>
      <c r="Z35" s="46">
        <v>19</v>
      </c>
      <c r="AA35" s="47">
        <v>20</v>
      </c>
      <c r="AB35" s="46">
        <v>21</v>
      </c>
      <c r="AC35" s="47">
        <v>22</v>
      </c>
      <c r="AD35" s="46">
        <v>23</v>
      </c>
      <c r="AE35" s="47">
        <v>24</v>
      </c>
      <c r="AF35" s="46">
        <v>25</v>
      </c>
      <c r="AG35" s="47">
        <v>26</v>
      </c>
      <c r="AH35" s="46">
        <v>27</v>
      </c>
      <c r="AI35" s="47">
        <v>28</v>
      </c>
      <c r="AJ35" s="46">
        <v>29</v>
      </c>
      <c r="AK35" s="47">
        <v>30</v>
      </c>
      <c r="AL35" s="42"/>
      <c r="AM35" s="43">
        <v>19</v>
      </c>
      <c r="AN35">
        <v>32.962805222655767</v>
      </c>
      <c r="AO35">
        <v>0.75746959979445361</v>
      </c>
      <c r="AP35">
        <v>1.0775455742053501</v>
      </c>
      <c r="AQ35">
        <v>4.80904324829448</v>
      </c>
      <c r="AR35">
        <v>0.70530589710334968</v>
      </c>
      <c r="AS35">
        <v>2.7892160163972148</v>
      </c>
      <c r="AT35">
        <v>0.53396403123271419</v>
      </c>
      <c r="AU35">
        <v>9.905310133753778E-2</v>
      </c>
      <c r="AV35"/>
      <c r="AW35"/>
      <c r="FY35" s="211">
        <v>30</v>
      </c>
      <c r="FZ35">
        <v>1.1457469362789088</v>
      </c>
      <c r="GA35">
        <v>2.2072900955324277</v>
      </c>
      <c r="GB35">
        <v>1.6935403715719699</v>
      </c>
      <c r="GC35">
        <v>0.9410043195235871</v>
      </c>
      <c r="GD35">
        <v>0.23636479489481246</v>
      </c>
      <c r="GE35">
        <v>6.9375995884124991E-2</v>
      </c>
      <c r="GF35">
        <v>0.70871433467598444</v>
      </c>
      <c r="GG35">
        <v>0.62966621671876666</v>
      </c>
      <c r="GH35">
        <v>0.18145163255402463</v>
      </c>
      <c r="GI35">
        <v>0.87354619483953699</v>
      </c>
      <c r="GJ35"/>
      <c r="GK35">
        <v>1.141811213235294</v>
      </c>
      <c r="GL35">
        <v>1.8592448069852943</v>
      </c>
      <c r="GM35">
        <v>2.7807823153409092</v>
      </c>
      <c r="GN35">
        <v>2.7617862215909086</v>
      </c>
      <c r="GO35">
        <v>0.89939062499999989</v>
      </c>
      <c r="GP35">
        <v>0.130265625</v>
      </c>
      <c r="GQ35">
        <v>0.85440896739130423</v>
      </c>
      <c r="GR35">
        <v>0.87592980072463755</v>
      </c>
      <c r="GS35">
        <v>0.19183393429487178</v>
      </c>
      <c r="GT35">
        <v>1.1736454110524759</v>
      </c>
      <c r="GU35"/>
      <c r="GV35"/>
      <c r="GW35"/>
      <c r="GX35"/>
      <c r="GY35"/>
      <c r="GZ35"/>
      <c r="HA35"/>
      <c r="HB35"/>
      <c r="HC35"/>
    </row>
    <row r="36" spans="1:211" s="7" customFormat="1">
      <c r="A36" s="51"/>
      <c r="B36" s="57"/>
      <c r="C36" s="12" t="s">
        <v>34</v>
      </c>
      <c r="D36" s="58"/>
      <c r="E36" s="10" t="s">
        <v>45</v>
      </c>
      <c r="F36" s="13"/>
      <c r="G36" s="59">
        <f>(1-($A$43/100))*($A$39*0.5-$A$41)</f>
        <v>6.9299999999999995E-3</v>
      </c>
      <c r="H36" s="59">
        <f>(1-($A$43/100))*($A$39*H35-$A$41)</f>
        <v>1.737E-2</v>
      </c>
      <c r="I36" s="59">
        <f t="shared" ref="I36:AK36" si="17">(1-($A$43/100))*($A$39*I35-$A$41)</f>
        <v>3.8249999999999999E-2</v>
      </c>
      <c r="J36" s="59">
        <f t="shared" si="17"/>
        <v>5.9129999999999995E-2</v>
      </c>
      <c r="K36" s="59">
        <f t="shared" si="17"/>
        <v>8.0009999999999998E-2</v>
      </c>
      <c r="L36" s="59">
        <f t="shared" si="17"/>
        <v>0.10088999999999999</v>
      </c>
      <c r="M36" s="59">
        <f t="shared" si="17"/>
        <v>0.12177</v>
      </c>
      <c r="N36" s="59">
        <f t="shared" si="17"/>
        <v>0.14265</v>
      </c>
      <c r="O36" s="59">
        <f t="shared" si="17"/>
        <v>0.16353000000000001</v>
      </c>
      <c r="P36" s="59">
        <f t="shared" si="17"/>
        <v>0.18440999999999999</v>
      </c>
      <c r="Q36" s="59">
        <f t="shared" si="17"/>
        <v>0.20529</v>
      </c>
      <c r="R36" s="59">
        <f t="shared" si="17"/>
        <v>0.22616999999999998</v>
      </c>
      <c r="S36" s="59">
        <f t="shared" si="17"/>
        <v>0.24704999999999996</v>
      </c>
      <c r="T36" s="59">
        <f t="shared" si="17"/>
        <v>0.26793</v>
      </c>
      <c r="U36" s="59">
        <f t="shared" si="17"/>
        <v>0.28880999999999996</v>
      </c>
      <c r="V36" s="59">
        <f t="shared" si="17"/>
        <v>0.30968999999999997</v>
      </c>
      <c r="W36" s="59">
        <f t="shared" si="17"/>
        <v>0.33056999999999997</v>
      </c>
      <c r="X36" s="59">
        <f t="shared" si="17"/>
        <v>0.35144999999999998</v>
      </c>
      <c r="Y36" s="59">
        <f t="shared" si="17"/>
        <v>0.37232999999999999</v>
      </c>
      <c r="Z36" s="59">
        <f t="shared" si="17"/>
        <v>0.39320999999999995</v>
      </c>
      <c r="AA36" s="59">
        <f t="shared" si="17"/>
        <v>0.41408999999999996</v>
      </c>
      <c r="AB36" s="59">
        <f t="shared" si="17"/>
        <v>0.43496999999999997</v>
      </c>
      <c r="AC36" s="59">
        <f t="shared" si="17"/>
        <v>0.45584999999999998</v>
      </c>
      <c r="AD36" s="59">
        <f t="shared" si="17"/>
        <v>0.47672999999999999</v>
      </c>
      <c r="AE36" s="59">
        <f t="shared" si="17"/>
        <v>0.49760999999999994</v>
      </c>
      <c r="AF36" s="59">
        <f t="shared" si="17"/>
        <v>0.51849000000000001</v>
      </c>
      <c r="AG36" s="59">
        <f t="shared" si="17"/>
        <v>0.53937000000000002</v>
      </c>
      <c r="AH36" s="59">
        <f t="shared" si="17"/>
        <v>0.56024999999999991</v>
      </c>
      <c r="AI36" s="59">
        <f t="shared" si="17"/>
        <v>0.58112999999999992</v>
      </c>
      <c r="AJ36" s="59">
        <f t="shared" si="17"/>
        <v>0.60200999999999993</v>
      </c>
      <c r="AK36" s="59">
        <f t="shared" si="17"/>
        <v>0.62288999999999994</v>
      </c>
      <c r="AL36" s="42"/>
      <c r="AM36" s="43">
        <v>20</v>
      </c>
      <c r="AN36">
        <v>49.32130570525311</v>
      </c>
      <c r="AO36">
        <v>1.3064403080414229</v>
      </c>
      <c r="AP36">
        <v>1.480722152153167</v>
      </c>
      <c r="AQ36">
        <v>8.9618233863906802</v>
      </c>
      <c r="AR36">
        <v>1.2021616436740208</v>
      </c>
      <c r="AS36">
        <v>4.0003678882593672</v>
      </c>
      <c r="AT36" t="e">
        <v>#DIV/0!</v>
      </c>
      <c r="AU36" t="e">
        <v>#DIV/0!</v>
      </c>
      <c r="AV36"/>
      <c r="AW36"/>
      <c r="FY36" s="211">
        <v>31</v>
      </c>
      <c r="FZ36">
        <v>0.36514200012448772</v>
      </c>
      <c r="GA36">
        <v>0.92328497949324217</v>
      </c>
      <c r="GB36">
        <v>0.92122929777459361</v>
      </c>
      <c r="GC36">
        <v>0.47830264940456513</v>
      </c>
      <c r="GD36">
        <v>9.9257465897588562E-2</v>
      </c>
      <c r="GE36">
        <v>3.8543094451799993E-2</v>
      </c>
      <c r="GF36">
        <v>0</v>
      </c>
      <c r="GG36">
        <v>5.0581908438140623E-2</v>
      </c>
      <c r="GH36">
        <v>6.6522953376906252E-2</v>
      </c>
      <c r="GI36">
        <v>0.34595573717966366</v>
      </c>
      <c r="GJ36"/>
      <c r="GK36">
        <v>0.36377812499999995</v>
      </c>
      <c r="GL36">
        <v>0.77733281249999997</v>
      </c>
      <c r="GM36">
        <v>1.5122017045454546</v>
      </c>
      <c r="GN36">
        <v>1.4039988027597401</v>
      </c>
      <c r="GO36">
        <v>0.37772678571428575</v>
      </c>
      <c r="GP36">
        <v>7.2374999999999995E-2</v>
      </c>
      <c r="GQ36">
        <v>0</v>
      </c>
      <c r="GR36">
        <v>7.0364583333333328E-2</v>
      </c>
      <c r="GS36">
        <v>7.0364583333333328E-2</v>
      </c>
      <c r="GT36">
        <v>0.46481423971861469</v>
      </c>
      <c r="GU36"/>
      <c r="GV36"/>
      <c r="GW36"/>
      <c r="GX36"/>
      <c r="GY36"/>
      <c r="GZ36"/>
      <c r="HA36"/>
      <c r="HB36"/>
      <c r="HC36"/>
    </row>
    <row r="37" spans="1:211" s="7" customFormat="1">
      <c r="A37" s="9" t="s">
        <v>46</v>
      </c>
      <c r="B37" s="57"/>
      <c r="C37" s="48" t="s">
        <v>38</v>
      </c>
      <c r="D37" s="49">
        <f t="shared" ref="D37:D42" si="18">IF(SUM(G37:AK37)&lt;0.0001, 0, SUM(G37:AK37))</f>
        <v>1.2576862132352939</v>
      </c>
      <c r="E37" s="107">
        <f t="shared" ref="E37:E46" si="19">+D37/D21</f>
        <v>2.5091201255042581E-2</v>
      </c>
      <c r="F37" s="18"/>
      <c r="G37" s="49">
        <f t="shared" ref="G37:G43" si="20">G21*G$36</f>
        <v>7.1196691176470567E-2</v>
      </c>
      <c r="H37" s="49">
        <f t="shared" ref="H37:AK40" si="21">H21*H$36</f>
        <v>0.28102077205882353</v>
      </c>
      <c r="I37" s="49">
        <f t="shared" si="21"/>
        <v>0.90546874999999982</v>
      </c>
      <c r="J37" s="49">
        <f t="shared" si="21"/>
        <v>0</v>
      </c>
      <c r="K37" s="49">
        <f t="shared" si="21"/>
        <v>0</v>
      </c>
      <c r="L37" s="49">
        <f t="shared" si="21"/>
        <v>0</v>
      </c>
      <c r="M37" s="49">
        <f t="shared" si="21"/>
        <v>0</v>
      </c>
      <c r="N37" s="49">
        <f t="shared" si="21"/>
        <v>0</v>
      </c>
      <c r="O37" s="49">
        <f t="shared" si="21"/>
        <v>0</v>
      </c>
      <c r="P37" s="49">
        <f t="shared" si="21"/>
        <v>0</v>
      </c>
      <c r="Q37" s="49">
        <f t="shared" si="21"/>
        <v>0</v>
      </c>
      <c r="R37" s="49">
        <f t="shared" si="21"/>
        <v>0</v>
      </c>
      <c r="S37" s="49">
        <f t="shared" si="21"/>
        <v>0</v>
      </c>
      <c r="T37" s="49">
        <f t="shared" si="21"/>
        <v>0</v>
      </c>
      <c r="U37" s="49">
        <f t="shared" si="21"/>
        <v>0</v>
      </c>
      <c r="V37" s="49">
        <f t="shared" si="21"/>
        <v>0</v>
      </c>
      <c r="W37" s="49">
        <f t="shared" si="21"/>
        <v>0</v>
      </c>
      <c r="X37" s="49">
        <f t="shared" si="21"/>
        <v>0</v>
      </c>
      <c r="Y37" s="49">
        <f t="shared" si="21"/>
        <v>0</v>
      </c>
      <c r="Z37" s="49">
        <f t="shared" si="21"/>
        <v>0</v>
      </c>
      <c r="AA37" s="49">
        <f t="shared" si="21"/>
        <v>0</v>
      </c>
      <c r="AB37" s="49">
        <f t="shared" si="21"/>
        <v>0</v>
      </c>
      <c r="AC37" s="49">
        <f t="shared" si="21"/>
        <v>0</v>
      </c>
      <c r="AD37" s="49">
        <f t="shared" si="21"/>
        <v>0</v>
      </c>
      <c r="AE37" s="49">
        <f t="shared" si="21"/>
        <v>0</v>
      </c>
      <c r="AF37" s="49">
        <f t="shared" si="21"/>
        <v>0</v>
      </c>
      <c r="AG37" s="49">
        <f t="shared" si="21"/>
        <v>0</v>
      </c>
      <c r="AH37" s="49">
        <f t="shared" si="21"/>
        <v>0</v>
      </c>
      <c r="AI37" s="49">
        <f t="shared" si="21"/>
        <v>0</v>
      </c>
      <c r="AJ37" s="49">
        <f t="shared" si="21"/>
        <v>0</v>
      </c>
      <c r="AK37" s="49">
        <f t="shared" si="21"/>
        <v>0</v>
      </c>
      <c r="AL37" s="42"/>
      <c r="AM37" s="43">
        <v>21</v>
      </c>
      <c r="AN37">
        <v>52.391558474235104</v>
      </c>
      <c r="AO37">
        <v>1.0434051206974639</v>
      </c>
      <c r="AP37">
        <v>15.887549036950597</v>
      </c>
      <c r="AQ37">
        <v>6.5266892267367735</v>
      </c>
      <c r="AR37">
        <v>0.98477170063405794</v>
      </c>
      <c r="AS37">
        <v>4.7779466565163178</v>
      </c>
      <c r="AT37" t="e">
        <v>#DIV/0!</v>
      </c>
      <c r="AU37" t="e">
        <v>#DIV/0!</v>
      </c>
      <c r="AV37"/>
      <c r="AW37"/>
      <c r="FY37" s="211">
        <v>32</v>
      </c>
      <c r="FZ37">
        <v>1.2565518579315957</v>
      </c>
      <c r="GA37">
        <v>1.4211449414772799</v>
      </c>
      <c r="GB37">
        <v>1.4387628999311719</v>
      </c>
      <c r="GC37">
        <v>0.95500314871463721</v>
      </c>
      <c r="GD37">
        <v>0.24728516098093925</v>
      </c>
      <c r="GE37">
        <v>0.13580575682962504</v>
      </c>
      <c r="GF37">
        <v>0.24090012531466881</v>
      </c>
      <c r="GG37">
        <v>0.18920630708545313</v>
      </c>
      <c r="GH37">
        <v>8.9508689212329934E-2</v>
      </c>
      <c r="GI37">
        <v>0.73540850320014162</v>
      </c>
      <c r="GJ37"/>
      <c r="GK37">
        <v>1.2524080882352939</v>
      </c>
      <c r="GL37">
        <v>1.1969784007352939</v>
      </c>
      <c r="GM37">
        <v>2.3622159090909087</v>
      </c>
      <c r="GN37">
        <v>2.8024558644480515</v>
      </c>
      <c r="GO37">
        <v>0.94070089285714265</v>
      </c>
      <c r="GP37">
        <v>0.25514062500000001</v>
      </c>
      <c r="GQ37">
        <v>0.29081250000000003</v>
      </c>
      <c r="GR37">
        <v>0.26348958333333333</v>
      </c>
      <c r="GS37">
        <v>9.465845352564102E-2</v>
      </c>
      <c r="GT37">
        <v>0.98815916874179743</v>
      </c>
      <c r="GU37"/>
      <c r="GV37"/>
      <c r="GW37"/>
      <c r="GX37"/>
      <c r="GY37"/>
      <c r="GZ37"/>
      <c r="HA37"/>
      <c r="HB37"/>
      <c r="HC37"/>
    </row>
    <row r="38" spans="1:211" s="7" customFormat="1">
      <c r="A38" s="9" t="s">
        <v>47</v>
      </c>
      <c r="B38" s="57"/>
      <c r="C38" s="48" t="s">
        <v>39</v>
      </c>
      <c r="D38" s="49">
        <f t="shared" si="18"/>
        <v>1.9076080882352939</v>
      </c>
      <c r="E38" s="107">
        <f t="shared" si="19"/>
        <v>2.5217758937250239E-2</v>
      </c>
      <c r="F38" s="18"/>
      <c r="G38" s="49">
        <f t="shared" si="20"/>
        <v>7.1196691176470567E-2</v>
      </c>
      <c r="H38" s="49">
        <f t="shared" si="21"/>
        <v>0.55242702205882355</v>
      </c>
      <c r="I38" s="49">
        <f t="shared" si="21"/>
        <v>1.283984375</v>
      </c>
      <c r="J38" s="49">
        <f t="shared" si="21"/>
        <v>0</v>
      </c>
      <c r="K38" s="49">
        <f t="shared" si="21"/>
        <v>0</v>
      </c>
      <c r="L38" s="49">
        <f t="shared" si="21"/>
        <v>0</v>
      </c>
      <c r="M38" s="49">
        <f t="shared" si="21"/>
        <v>0</v>
      </c>
      <c r="N38" s="49">
        <f t="shared" si="21"/>
        <v>0</v>
      </c>
      <c r="O38" s="49">
        <f t="shared" si="21"/>
        <v>0</v>
      </c>
      <c r="P38" s="49">
        <f t="shared" si="21"/>
        <v>0</v>
      </c>
      <c r="Q38" s="49">
        <f t="shared" si="21"/>
        <v>0</v>
      </c>
      <c r="R38" s="49">
        <f t="shared" si="21"/>
        <v>0</v>
      </c>
      <c r="S38" s="49">
        <f t="shared" si="21"/>
        <v>0</v>
      </c>
      <c r="T38" s="49">
        <f t="shared" si="21"/>
        <v>0</v>
      </c>
      <c r="U38" s="49">
        <f t="shared" si="21"/>
        <v>0</v>
      </c>
      <c r="V38" s="49">
        <f t="shared" si="21"/>
        <v>0</v>
      </c>
      <c r="W38" s="49">
        <f t="shared" si="21"/>
        <v>0</v>
      </c>
      <c r="X38" s="49">
        <f t="shared" si="21"/>
        <v>0</v>
      </c>
      <c r="Y38" s="49">
        <f t="shared" si="21"/>
        <v>0</v>
      </c>
      <c r="Z38" s="49">
        <f t="shared" si="21"/>
        <v>0</v>
      </c>
      <c r="AA38" s="49">
        <f t="shared" si="21"/>
        <v>0</v>
      </c>
      <c r="AB38" s="49">
        <f t="shared" si="21"/>
        <v>0</v>
      </c>
      <c r="AC38" s="49">
        <f t="shared" si="21"/>
        <v>0</v>
      </c>
      <c r="AD38" s="49">
        <f t="shared" si="21"/>
        <v>0</v>
      </c>
      <c r="AE38" s="49">
        <f t="shared" si="21"/>
        <v>0</v>
      </c>
      <c r="AF38" s="49">
        <f t="shared" si="21"/>
        <v>0</v>
      </c>
      <c r="AG38" s="49">
        <f t="shared" si="21"/>
        <v>0</v>
      </c>
      <c r="AH38" s="49">
        <f t="shared" si="21"/>
        <v>0</v>
      </c>
      <c r="AI38" s="49">
        <f t="shared" si="21"/>
        <v>0</v>
      </c>
      <c r="AJ38" s="49">
        <f t="shared" si="21"/>
        <v>0</v>
      </c>
      <c r="AK38" s="49">
        <f t="shared" si="21"/>
        <v>0</v>
      </c>
      <c r="AL38" s="42"/>
      <c r="AM38" s="43">
        <v>22</v>
      </c>
      <c r="AN38">
        <v>49.894916208075578</v>
      </c>
      <c r="AO38">
        <v>1.1089521436292955</v>
      </c>
      <c r="AP38">
        <v>0.89831202216180317</v>
      </c>
      <c r="AQ38">
        <v>7.5411196329926806</v>
      </c>
      <c r="AR38">
        <v>1.0161775387888698</v>
      </c>
      <c r="AS38">
        <v>3.8949160622377614</v>
      </c>
      <c r="AT38">
        <v>0.8025145854814203</v>
      </c>
      <c r="AU38">
        <v>-0.10750386962367789</v>
      </c>
      <c r="AV38"/>
      <c r="AW38"/>
      <c r="FY38" s="211">
        <v>33</v>
      </c>
      <c r="FZ38">
        <v>0.63407336244899892</v>
      </c>
      <c r="GA38">
        <v>0.8653409597933619</v>
      </c>
      <c r="GB38">
        <v>0.81136359201424901</v>
      </c>
      <c r="GC38">
        <v>0.64118718479485071</v>
      </c>
      <c r="GD38">
        <v>0.29531208089188599</v>
      </c>
      <c r="GE38">
        <v>0.17916673808789996</v>
      </c>
      <c r="GF38">
        <v>0.24090012531466881</v>
      </c>
      <c r="GG38">
        <v>0.23978821552359375</v>
      </c>
      <c r="GH38">
        <v>0.1330459067538125</v>
      </c>
      <c r="GI38">
        <v>0.52381867802130633</v>
      </c>
      <c r="GJ38"/>
      <c r="GK38">
        <v>0.63179062499999983</v>
      </c>
      <c r="GL38">
        <v>0.72842343749999994</v>
      </c>
      <c r="GM38">
        <v>1.3316470170454544</v>
      </c>
      <c r="GN38">
        <v>1.88023786525974</v>
      </c>
      <c r="GO38">
        <v>1.1231611607142855</v>
      </c>
      <c r="GP38">
        <v>0.33656249999999999</v>
      </c>
      <c r="GQ38">
        <v>0.29081250000000003</v>
      </c>
      <c r="GR38">
        <v>0.33385416666666667</v>
      </c>
      <c r="GS38">
        <v>0.14072916666666666</v>
      </c>
      <c r="GT38">
        <v>0.70362809388528125</v>
      </c>
      <c r="GU38"/>
      <c r="GV38"/>
      <c r="GW38"/>
      <c r="GX38"/>
      <c r="GY38"/>
      <c r="GZ38"/>
      <c r="HA38"/>
      <c r="HB38"/>
      <c r="HC38"/>
    </row>
    <row r="39" spans="1:211" s="7" customFormat="1">
      <c r="A39" s="114">
        <v>2.3199999999999998E-2</v>
      </c>
      <c r="B39" s="57"/>
      <c r="C39" s="48" t="s">
        <v>40</v>
      </c>
      <c r="D39" s="49">
        <f t="shared" si="18"/>
        <v>1.2135546874999998</v>
      </c>
      <c r="E39" s="107">
        <f t="shared" si="19"/>
        <v>2.5557861060329066E-2</v>
      </c>
      <c r="F39" s="18"/>
      <c r="G39" s="49">
        <f t="shared" si="20"/>
        <v>0</v>
      </c>
      <c r="H39" s="49">
        <f t="shared" si="21"/>
        <v>0.50134765625</v>
      </c>
      <c r="I39" s="49">
        <f t="shared" si="21"/>
        <v>0.71220703124999984</v>
      </c>
      <c r="J39" s="49">
        <f t="shared" si="21"/>
        <v>0</v>
      </c>
      <c r="K39" s="49">
        <f t="shared" si="21"/>
        <v>0</v>
      </c>
      <c r="L39" s="49">
        <f t="shared" si="21"/>
        <v>0</v>
      </c>
      <c r="M39" s="49">
        <f t="shared" si="21"/>
        <v>0</v>
      </c>
      <c r="N39" s="49">
        <f t="shared" si="21"/>
        <v>0</v>
      </c>
      <c r="O39" s="49">
        <f t="shared" si="21"/>
        <v>0</v>
      </c>
      <c r="P39" s="49">
        <f t="shared" si="21"/>
        <v>0</v>
      </c>
      <c r="Q39" s="49">
        <f t="shared" si="21"/>
        <v>0</v>
      </c>
      <c r="R39" s="49">
        <f t="shared" si="21"/>
        <v>0</v>
      </c>
      <c r="S39" s="49">
        <f t="shared" si="21"/>
        <v>0</v>
      </c>
      <c r="T39" s="49">
        <f t="shared" si="21"/>
        <v>0</v>
      </c>
      <c r="U39" s="49">
        <f t="shared" si="21"/>
        <v>0</v>
      </c>
      <c r="V39" s="49">
        <f t="shared" si="21"/>
        <v>0</v>
      </c>
      <c r="W39" s="49">
        <f t="shared" si="21"/>
        <v>0</v>
      </c>
      <c r="X39" s="49">
        <f t="shared" si="21"/>
        <v>0</v>
      </c>
      <c r="Y39" s="49">
        <f t="shared" si="21"/>
        <v>0</v>
      </c>
      <c r="Z39" s="49">
        <f t="shared" si="21"/>
        <v>0</v>
      </c>
      <c r="AA39" s="49">
        <f t="shared" si="21"/>
        <v>0</v>
      </c>
      <c r="AB39" s="49">
        <f t="shared" si="21"/>
        <v>0</v>
      </c>
      <c r="AC39" s="49">
        <f t="shared" si="21"/>
        <v>0</v>
      </c>
      <c r="AD39" s="49">
        <f t="shared" si="21"/>
        <v>0</v>
      </c>
      <c r="AE39" s="49">
        <f t="shared" si="21"/>
        <v>0</v>
      </c>
      <c r="AF39" s="49">
        <f t="shared" si="21"/>
        <v>0</v>
      </c>
      <c r="AG39" s="49">
        <f t="shared" si="21"/>
        <v>0</v>
      </c>
      <c r="AH39" s="49">
        <f t="shared" si="21"/>
        <v>0</v>
      </c>
      <c r="AI39" s="49">
        <f t="shared" si="21"/>
        <v>0</v>
      </c>
      <c r="AJ39" s="49">
        <f t="shared" si="21"/>
        <v>0</v>
      </c>
      <c r="AK39" s="49">
        <f t="shared" si="21"/>
        <v>0</v>
      </c>
      <c r="AL39" s="42"/>
      <c r="AM39" s="43">
        <v>23</v>
      </c>
      <c r="AN39">
        <v>25.048174857549856</v>
      </c>
      <c r="AO39">
        <v>0.46262564342948709</v>
      </c>
      <c r="AP39">
        <v>8.3741576725311191</v>
      </c>
      <c r="AQ39">
        <v>3.0028322079670726</v>
      </c>
      <c r="AR39">
        <v>0.43223015224358974</v>
      </c>
      <c r="AS39">
        <v>2.1281183089665339</v>
      </c>
      <c r="AT39" t="e">
        <v>#DIV/0!</v>
      </c>
      <c r="AU39" t="e">
        <v>#DIV/0!</v>
      </c>
      <c r="AV39"/>
      <c r="AW39"/>
      <c r="FY39" s="211">
        <v>34</v>
      </c>
      <c r="FZ39">
        <v>0.89869443060729148</v>
      </c>
      <c r="GA39">
        <v>1.5238522193596844</v>
      </c>
      <c r="GB39">
        <v>1.4764902041283219</v>
      </c>
      <c r="GC39">
        <v>0.96571825470944028</v>
      </c>
      <c r="GD39">
        <v>0.28570905716464279</v>
      </c>
      <c r="GE39">
        <v>9.0465266252250001E-2</v>
      </c>
      <c r="GF39">
        <v>0.15986193049181252</v>
      </c>
      <c r="GG39">
        <v>0.18920630708545313</v>
      </c>
      <c r="GH39">
        <v>8.9508689212329934E-2</v>
      </c>
      <c r="GI39">
        <v>0.69872360472508976</v>
      </c>
      <c r="GJ39"/>
      <c r="GK39">
        <v>0.89573621323529418</v>
      </c>
      <c r="GL39">
        <v>1.2834510569852942</v>
      </c>
      <c r="GM39">
        <v>2.4237588778409087</v>
      </c>
      <c r="GN39">
        <v>2.8330529626623373</v>
      </c>
      <c r="GO39">
        <v>1.0866964285714285</v>
      </c>
      <c r="GP39">
        <v>0.17015625000000001</v>
      </c>
      <c r="GQ39">
        <v>0.19312499999999999</v>
      </c>
      <c r="GR39">
        <v>0.26348958333333333</v>
      </c>
      <c r="GS39">
        <v>9.465845352564102E-2</v>
      </c>
      <c r="GT39">
        <v>0.93879499463465454</v>
      </c>
      <c r="GU39"/>
      <c r="GV39"/>
      <c r="GW39"/>
      <c r="GX39"/>
      <c r="GY39"/>
      <c r="GZ39"/>
      <c r="HA39"/>
      <c r="HB39"/>
      <c r="HC39"/>
    </row>
    <row r="40" spans="1:211" s="7" customFormat="1">
      <c r="A40" s="9" t="s">
        <v>48</v>
      </c>
      <c r="B40" s="57"/>
      <c r="C40" s="48" t="s">
        <v>41</v>
      </c>
      <c r="D40" s="49">
        <f t="shared" si="18"/>
        <v>1.1711274553571425</v>
      </c>
      <c r="E40" s="107">
        <f t="shared" si="19"/>
        <v>1.8440215175537934E-2</v>
      </c>
      <c r="F40" s="18"/>
      <c r="G40" s="49">
        <f t="shared" si="20"/>
        <v>3.2484375000000003E-2</v>
      </c>
      <c r="H40" s="49">
        <f t="shared" si="21"/>
        <v>0.92448292410714261</v>
      </c>
      <c r="I40" s="49">
        <f t="shared" si="21"/>
        <v>0.21416015624999996</v>
      </c>
      <c r="J40" s="49">
        <f t="shared" si="21"/>
        <v>0</v>
      </c>
      <c r="K40" s="49">
        <f t="shared" si="21"/>
        <v>0</v>
      </c>
      <c r="L40" s="49">
        <f t="shared" si="21"/>
        <v>0</v>
      </c>
      <c r="M40" s="49">
        <f t="shared" si="21"/>
        <v>0</v>
      </c>
      <c r="N40" s="49">
        <f t="shared" si="21"/>
        <v>0</v>
      </c>
      <c r="O40" s="49">
        <f t="shared" si="21"/>
        <v>0</v>
      </c>
      <c r="P40" s="49">
        <f t="shared" si="21"/>
        <v>0</v>
      </c>
      <c r="Q40" s="49">
        <f t="shared" si="21"/>
        <v>0</v>
      </c>
      <c r="R40" s="49">
        <f t="shared" si="21"/>
        <v>0</v>
      </c>
      <c r="S40" s="49">
        <f t="shared" si="21"/>
        <v>0</v>
      </c>
      <c r="T40" s="49">
        <f t="shared" si="21"/>
        <v>0</v>
      </c>
      <c r="U40" s="49">
        <f t="shared" si="21"/>
        <v>0</v>
      </c>
      <c r="V40" s="49">
        <f t="shared" si="21"/>
        <v>0</v>
      </c>
      <c r="W40" s="49">
        <f t="shared" si="21"/>
        <v>0</v>
      </c>
      <c r="X40" s="49">
        <f t="shared" si="21"/>
        <v>0</v>
      </c>
      <c r="Y40" s="49">
        <f t="shared" si="21"/>
        <v>0</v>
      </c>
      <c r="Z40" s="49">
        <f t="shared" si="21"/>
        <v>0</v>
      </c>
      <c r="AA40" s="49">
        <f t="shared" si="21"/>
        <v>0</v>
      </c>
      <c r="AB40" s="49">
        <f t="shared" si="21"/>
        <v>0</v>
      </c>
      <c r="AC40" s="49">
        <f t="shared" si="21"/>
        <v>0</v>
      </c>
      <c r="AD40" s="49">
        <f t="shared" si="21"/>
        <v>0</v>
      </c>
      <c r="AE40" s="49">
        <f t="shared" si="21"/>
        <v>0</v>
      </c>
      <c r="AF40" s="49">
        <f t="shared" si="21"/>
        <v>0</v>
      </c>
      <c r="AG40" s="49">
        <f t="shared" si="21"/>
        <v>0</v>
      </c>
      <c r="AH40" s="49">
        <f t="shared" si="21"/>
        <v>0</v>
      </c>
      <c r="AI40" s="49">
        <f t="shared" si="21"/>
        <v>0</v>
      </c>
      <c r="AJ40" s="49">
        <f t="shared" si="21"/>
        <v>0</v>
      </c>
      <c r="AK40" s="49">
        <f t="shared" si="21"/>
        <v>0</v>
      </c>
      <c r="AL40" s="42"/>
      <c r="AM40" s="43">
        <v>24</v>
      </c>
      <c r="AN40">
        <v>24.649608262108256</v>
      </c>
      <c r="AO40">
        <v>0.56898936858974347</v>
      </c>
      <c r="AP40">
        <v>2.2717789765173855</v>
      </c>
      <c r="AQ40">
        <v>3.5459768265003948</v>
      </c>
      <c r="AR40">
        <v>0.53033807328088578</v>
      </c>
      <c r="AS40">
        <v>1.9562854678666117</v>
      </c>
      <c r="AT40" t="e">
        <v>#DIV/0!</v>
      </c>
      <c r="AU40" t="e">
        <v>#DIV/0!</v>
      </c>
      <c r="AV40"/>
      <c r="AW40"/>
      <c r="FY40" s="211">
        <v>35</v>
      </c>
      <c r="FZ40">
        <v>0.51779841551396155</v>
      </c>
      <c r="GA40">
        <v>0.8287591773435885</v>
      </c>
      <c r="GB40">
        <v>1.5946303270619457</v>
      </c>
      <c r="GC40">
        <v>1.1727667026237241</v>
      </c>
      <c r="GD40">
        <v>0.38733474289932007</v>
      </c>
      <c r="GE40">
        <v>0.14833383665557504</v>
      </c>
      <c r="GF40">
        <v>0.37461671604370633</v>
      </c>
      <c r="GG40">
        <v>0.39070597101659427</v>
      </c>
      <c r="GH40">
        <v>0.15603164258923619</v>
      </c>
      <c r="GI40">
        <v>0.7776702395066345</v>
      </c>
      <c r="GJ40"/>
      <c r="GK40">
        <v>0.51591562499999999</v>
      </c>
      <c r="GL40">
        <v>0.6977203125</v>
      </c>
      <c r="GM40">
        <v>2.6181612215909089</v>
      </c>
      <c r="GN40">
        <v>3.440240909090909</v>
      </c>
      <c r="GO40">
        <v>1.4727750000000002</v>
      </c>
      <c r="GP40">
        <v>0.27867187500000001</v>
      </c>
      <c r="GQ40">
        <v>0.45162635869565215</v>
      </c>
      <c r="GR40">
        <v>0.54351177536231876</v>
      </c>
      <c r="GS40">
        <v>0.16502303685897435</v>
      </c>
      <c r="GT40">
        <v>1.0447002484291072</v>
      </c>
      <c r="GU40"/>
      <c r="GV40"/>
      <c r="GW40"/>
      <c r="GX40"/>
      <c r="GY40"/>
      <c r="GZ40"/>
      <c r="HA40"/>
      <c r="HB40"/>
      <c r="HC40"/>
    </row>
    <row r="41" spans="1:211" s="7" customFormat="1">
      <c r="A41" s="114">
        <v>3.8999999999999998E-3</v>
      </c>
      <c r="B41" s="57"/>
      <c r="C41" s="48" t="s">
        <v>42</v>
      </c>
      <c r="D41" s="49">
        <f t="shared" si="18"/>
        <v>0.85194776785714266</v>
      </c>
      <c r="E41" s="107">
        <f t="shared" si="19"/>
        <v>1.7259840217063612E-2</v>
      </c>
      <c r="F41" s="18"/>
      <c r="G41" s="49">
        <f t="shared" si="20"/>
        <v>3.2484375000000003E-2</v>
      </c>
      <c r="H41" s="49">
        <f t="shared" ref="H41:AK43" si="22">H25*H$36</f>
        <v>0.73977589285714263</v>
      </c>
      <c r="I41" s="49">
        <f t="shared" si="22"/>
        <v>7.9687499999999981E-2</v>
      </c>
      <c r="J41" s="49">
        <f t="shared" si="22"/>
        <v>0</v>
      </c>
      <c r="K41" s="49">
        <f t="shared" si="22"/>
        <v>0</v>
      </c>
      <c r="L41" s="49">
        <f t="shared" si="22"/>
        <v>0</v>
      </c>
      <c r="M41" s="49">
        <f t="shared" si="22"/>
        <v>0</v>
      </c>
      <c r="N41" s="49">
        <f t="shared" si="22"/>
        <v>0</v>
      </c>
      <c r="O41" s="49">
        <f t="shared" si="22"/>
        <v>0</v>
      </c>
      <c r="P41" s="49">
        <f t="shared" si="22"/>
        <v>0</v>
      </c>
      <c r="Q41" s="49">
        <f t="shared" si="22"/>
        <v>0</v>
      </c>
      <c r="R41" s="49">
        <f t="shared" si="22"/>
        <v>0</v>
      </c>
      <c r="S41" s="49">
        <f t="shared" si="22"/>
        <v>0</v>
      </c>
      <c r="T41" s="49">
        <f t="shared" si="22"/>
        <v>0</v>
      </c>
      <c r="U41" s="49">
        <f t="shared" si="22"/>
        <v>0</v>
      </c>
      <c r="V41" s="49">
        <f t="shared" si="22"/>
        <v>0</v>
      </c>
      <c r="W41" s="49">
        <f t="shared" si="22"/>
        <v>0</v>
      </c>
      <c r="X41" s="49">
        <f t="shared" si="22"/>
        <v>0</v>
      </c>
      <c r="Y41" s="49">
        <f t="shared" si="22"/>
        <v>0</v>
      </c>
      <c r="Z41" s="49">
        <f t="shared" si="22"/>
        <v>0</v>
      </c>
      <c r="AA41" s="49">
        <f t="shared" si="22"/>
        <v>0</v>
      </c>
      <c r="AB41" s="49">
        <f t="shared" si="22"/>
        <v>0</v>
      </c>
      <c r="AC41" s="49">
        <f t="shared" si="22"/>
        <v>0</v>
      </c>
      <c r="AD41" s="49">
        <f t="shared" si="22"/>
        <v>0</v>
      </c>
      <c r="AE41" s="49">
        <f t="shared" si="22"/>
        <v>0</v>
      </c>
      <c r="AF41" s="49">
        <f t="shared" si="22"/>
        <v>0</v>
      </c>
      <c r="AG41" s="49">
        <f t="shared" si="22"/>
        <v>0</v>
      </c>
      <c r="AH41" s="49">
        <f t="shared" si="22"/>
        <v>0</v>
      </c>
      <c r="AI41" s="49">
        <f t="shared" si="22"/>
        <v>0</v>
      </c>
      <c r="AJ41" s="49">
        <f t="shared" si="22"/>
        <v>0</v>
      </c>
      <c r="AK41" s="49">
        <f t="shared" si="22"/>
        <v>0</v>
      </c>
      <c r="AL41" s="42"/>
      <c r="AM41" s="43">
        <v>25</v>
      </c>
      <c r="AN41">
        <v>51.381087050204698</v>
      </c>
      <c r="AO41">
        <v>1.5205511590982543</v>
      </c>
      <c r="AP41">
        <v>2.7721916948259677</v>
      </c>
      <c r="AQ41">
        <v>10.624297826652342</v>
      </c>
      <c r="AR41">
        <v>1.4157135755788326</v>
      </c>
      <c r="AS41">
        <v>5.7916942123874771</v>
      </c>
      <c r="AT41" t="e">
        <v>#DIV/0!</v>
      </c>
      <c r="AU41" t="e">
        <v>#DIV/0!</v>
      </c>
      <c r="AV41"/>
      <c r="AW41"/>
      <c r="FY41" s="211">
        <v>36</v>
      </c>
      <c r="FZ41">
        <v>1.1948140705871588</v>
      </c>
      <c r="GA41">
        <v>1.80928019124562</v>
      </c>
      <c r="GB41">
        <v>0.34368135269490002</v>
      </c>
      <c r="GC41">
        <v>0.33182124838905624</v>
      </c>
      <c r="GD41">
        <v>0.21824279432180352</v>
      </c>
      <c r="GE41">
        <v>5.6847916058175005E-2</v>
      </c>
      <c r="GF41">
        <v>0.41513581345513451</v>
      </c>
      <c r="GG41">
        <v>0.34012406257845362</v>
      </c>
      <c r="GH41">
        <v>0.11249442504775362</v>
      </c>
      <c r="GI41">
        <v>0.47705629395224314</v>
      </c>
      <c r="GJ41"/>
      <c r="GK41">
        <v>1.1905893382352939</v>
      </c>
      <c r="GL41">
        <v>1.5234955882352939</v>
      </c>
      <c r="GM41">
        <v>0.56337500000000007</v>
      </c>
      <c r="GN41">
        <v>0.97172991071428561</v>
      </c>
      <c r="GO41">
        <v>0.82999553571428564</v>
      </c>
      <c r="GP41">
        <v>0.10673437500000001</v>
      </c>
      <c r="GQ41">
        <v>0.50047010869565223</v>
      </c>
      <c r="GR41">
        <v>0.47314719202898542</v>
      </c>
      <c r="GS41">
        <v>0.11895232371794871</v>
      </c>
      <c r="GT41">
        <v>0.64067646127263611</v>
      </c>
      <c r="GU41"/>
      <c r="GV41"/>
      <c r="GW41"/>
      <c r="GX41"/>
      <c r="GY41"/>
      <c r="GZ41"/>
      <c r="HA41"/>
      <c r="HB41"/>
      <c r="HC41"/>
    </row>
    <row r="42" spans="1:211" s="7" customFormat="1">
      <c r="A42" s="9" t="s">
        <v>49</v>
      </c>
      <c r="B42" s="57"/>
      <c r="C42" s="48" t="s">
        <v>118</v>
      </c>
      <c r="D42" s="49">
        <f t="shared" si="18"/>
        <v>0.133921875</v>
      </c>
      <c r="E42" s="107">
        <f t="shared" si="19"/>
        <v>1.9779230769230768E-2</v>
      </c>
      <c r="F42" s="18"/>
      <c r="G42" s="49">
        <f t="shared" si="20"/>
        <v>3.6093749999999993E-3</v>
      </c>
      <c r="H42" s="49">
        <f t="shared" si="22"/>
        <v>9.0468750000000014E-2</v>
      </c>
      <c r="I42" s="49">
        <f t="shared" si="22"/>
        <v>3.984374999999999E-2</v>
      </c>
      <c r="J42" s="49">
        <f t="shared" si="22"/>
        <v>0</v>
      </c>
      <c r="K42" s="49">
        <f t="shared" si="22"/>
        <v>0</v>
      </c>
      <c r="L42" s="49">
        <f t="shared" si="22"/>
        <v>0</v>
      </c>
      <c r="M42" s="49">
        <f t="shared" si="22"/>
        <v>0</v>
      </c>
      <c r="N42" s="49">
        <f t="shared" si="22"/>
        <v>0</v>
      </c>
      <c r="O42" s="49">
        <f t="shared" si="22"/>
        <v>0</v>
      </c>
      <c r="P42" s="49">
        <f t="shared" si="22"/>
        <v>0</v>
      </c>
      <c r="Q42" s="49">
        <f t="shared" si="22"/>
        <v>0</v>
      </c>
      <c r="R42" s="49">
        <f t="shared" si="22"/>
        <v>0</v>
      </c>
      <c r="S42" s="49">
        <f t="shared" si="22"/>
        <v>0</v>
      </c>
      <c r="T42" s="49">
        <f t="shared" si="22"/>
        <v>0</v>
      </c>
      <c r="U42" s="49">
        <f t="shared" si="22"/>
        <v>0</v>
      </c>
      <c r="V42" s="49">
        <f t="shared" si="22"/>
        <v>0</v>
      </c>
      <c r="W42" s="49">
        <f t="shared" si="22"/>
        <v>0</v>
      </c>
      <c r="X42" s="49">
        <f t="shared" si="22"/>
        <v>0</v>
      </c>
      <c r="Y42" s="49">
        <f t="shared" si="22"/>
        <v>0</v>
      </c>
      <c r="Z42" s="49">
        <f t="shared" si="22"/>
        <v>0</v>
      </c>
      <c r="AA42" s="49">
        <f t="shared" si="22"/>
        <v>0</v>
      </c>
      <c r="AB42" s="49">
        <f t="shared" si="22"/>
        <v>0</v>
      </c>
      <c r="AC42" s="49">
        <f t="shared" si="22"/>
        <v>0</v>
      </c>
      <c r="AD42" s="49">
        <f t="shared" si="22"/>
        <v>0</v>
      </c>
      <c r="AE42" s="49">
        <f t="shared" si="22"/>
        <v>0</v>
      </c>
      <c r="AF42" s="49">
        <f t="shared" si="22"/>
        <v>0</v>
      </c>
      <c r="AG42" s="49">
        <f t="shared" si="22"/>
        <v>0</v>
      </c>
      <c r="AH42" s="49">
        <f t="shared" si="22"/>
        <v>0</v>
      </c>
      <c r="AI42" s="49">
        <f t="shared" si="22"/>
        <v>0</v>
      </c>
      <c r="AJ42" s="49">
        <f t="shared" si="22"/>
        <v>0</v>
      </c>
      <c r="AK42" s="49">
        <f t="shared" si="22"/>
        <v>0</v>
      </c>
      <c r="AL42" s="42"/>
      <c r="AM42" s="43">
        <v>26</v>
      </c>
      <c r="AN42">
        <v>45.771902242874106</v>
      </c>
      <c r="AO42">
        <v>1.0034667372075918</v>
      </c>
      <c r="AP42">
        <v>0.67236015986930653</v>
      </c>
      <c r="AQ42">
        <v>6.7572214692228281</v>
      </c>
      <c r="AR42">
        <v>0.93194310025865001</v>
      </c>
      <c r="AS42">
        <v>3.9066979230923309</v>
      </c>
      <c r="AT42">
        <v>0.75157540451314242</v>
      </c>
      <c r="AU42">
        <v>-0.16576069639851709</v>
      </c>
      <c r="AV42"/>
      <c r="AW42"/>
      <c r="FY42" s="211">
        <v>37</v>
      </c>
      <c r="FZ42">
        <v>0.89015605620991312</v>
      </c>
      <c r="GA42">
        <v>1.3219323757857064</v>
      </c>
      <c r="GB42">
        <v>1.1069738222123531</v>
      </c>
      <c r="GC42">
        <v>0.53825320473130578</v>
      </c>
      <c r="GD42">
        <v>6.2242804754797501E-2</v>
      </c>
      <c r="GE42">
        <v>3.0832901432324998E-2</v>
      </c>
      <c r="GF42">
        <v>0.70871433467598444</v>
      </c>
      <c r="GG42">
        <v>0.57908430828062596</v>
      </c>
      <c r="GH42">
        <v>2.2985735835423678E-2</v>
      </c>
      <c r="GI42">
        <v>0.56869926924981262</v>
      </c>
      <c r="GJ42"/>
      <c r="GK42">
        <v>0.88693124999999995</v>
      </c>
      <c r="GL42">
        <v>1.1131968749999999</v>
      </c>
      <c r="GM42">
        <v>1.8174517045454546</v>
      </c>
      <c r="GN42">
        <v>1.5801985795454545</v>
      </c>
      <c r="GO42">
        <v>0.23712187499999998</v>
      </c>
      <c r="GP42">
        <v>5.7890625000000001E-2</v>
      </c>
      <c r="GQ42">
        <v>0.85440896739130423</v>
      </c>
      <c r="GR42">
        <v>0.80556521739130427</v>
      </c>
      <c r="GS42">
        <v>2.4293870192307693E-2</v>
      </c>
      <c r="GT42">
        <v>0.76404153342581338</v>
      </c>
      <c r="GU42"/>
      <c r="GV42"/>
      <c r="GW42"/>
      <c r="GX42"/>
      <c r="GY42"/>
      <c r="GZ42"/>
      <c r="HA42"/>
      <c r="HB42"/>
      <c r="HC42"/>
    </row>
    <row r="43" spans="1:211" s="7" customFormat="1">
      <c r="A43" s="95">
        <v>10</v>
      </c>
      <c r="B43" s="1"/>
      <c r="C43" s="48" t="s">
        <v>119</v>
      </c>
      <c r="D43" s="49">
        <f>IF(SUM(G43:AK43)&lt;0.0001, 0, SUM(G43:AK43))</f>
        <v>1.0475339673913044</v>
      </c>
      <c r="E43" s="107">
        <f t="shared" si="19"/>
        <v>1.8558077025942768E-2</v>
      </c>
      <c r="F43" s="18"/>
      <c r="G43" s="49">
        <f t="shared" si="20"/>
        <v>3.6093749999999993E-3</v>
      </c>
      <c r="H43" s="49">
        <f t="shared" si="22"/>
        <v>0.91111209239130431</v>
      </c>
      <c r="I43" s="49">
        <f t="shared" si="22"/>
        <v>0.1328125</v>
      </c>
      <c r="J43" s="49">
        <f t="shared" si="22"/>
        <v>0</v>
      </c>
      <c r="K43" s="49">
        <f t="shared" si="22"/>
        <v>0</v>
      </c>
      <c r="L43" s="49">
        <f t="shared" si="22"/>
        <v>0</v>
      </c>
      <c r="M43" s="49">
        <f t="shared" si="22"/>
        <v>0</v>
      </c>
      <c r="N43" s="49">
        <f t="shared" si="22"/>
        <v>0</v>
      </c>
      <c r="O43" s="49">
        <f t="shared" si="22"/>
        <v>0</v>
      </c>
      <c r="P43" s="49">
        <f t="shared" si="22"/>
        <v>0</v>
      </c>
      <c r="Q43" s="49">
        <f t="shared" si="22"/>
        <v>0</v>
      </c>
      <c r="R43" s="49">
        <f t="shared" si="22"/>
        <v>0</v>
      </c>
      <c r="S43" s="49">
        <f t="shared" si="22"/>
        <v>0</v>
      </c>
      <c r="T43" s="49">
        <f t="shared" si="22"/>
        <v>0</v>
      </c>
      <c r="U43" s="49">
        <f t="shared" si="22"/>
        <v>0</v>
      </c>
      <c r="V43" s="49">
        <f t="shared" si="22"/>
        <v>0</v>
      </c>
      <c r="W43" s="49">
        <f t="shared" si="22"/>
        <v>0</v>
      </c>
      <c r="X43" s="49">
        <f t="shared" si="22"/>
        <v>0</v>
      </c>
      <c r="Y43" s="49">
        <f t="shared" si="22"/>
        <v>0</v>
      </c>
      <c r="Z43" s="49">
        <f t="shared" si="22"/>
        <v>0</v>
      </c>
      <c r="AA43" s="49">
        <f t="shared" si="22"/>
        <v>0</v>
      </c>
      <c r="AB43" s="49">
        <f t="shared" si="22"/>
        <v>0</v>
      </c>
      <c r="AC43" s="49">
        <f t="shared" si="22"/>
        <v>0</v>
      </c>
      <c r="AD43" s="49">
        <f t="shared" si="22"/>
        <v>0</v>
      </c>
      <c r="AE43" s="49">
        <f t="shared" si="22"/>
        <v>0</v>
      </c>
      <c r="AF43" s="49">
        <f t="shared" si="22"/>
        <v>0</v>
      </c>
      <c r="AG43" s="49">
        <f t="shared" si="22"/>
        <v>0</v>
      </c>
      <c r="AH43" s="49">
        <f t="shared" si="22"/>
        <v>0</v>
      </c>
      <c r="AI43" s="49">
        <f t="shared" si="22"/>
        <v>0</v>
      </c>
      <c r="AJ43" s="49">
        <f t="shared" si="22"/>
        <v>0</v>
      </c>
      <c r="AK43" s="49">
        <f t="shared" si="22"/>
        <v>0</v>
      </c>
      <c r="AL43" s="42"/>
      <c r="AM43" s="43">
        <v>27</v>
      </c>
      <c r="AN43">
        <v>51.212039553140087</v>
      </c>
      <c r="AO43">
        <v>1.3524293770380433</v>
      </c>
      <c r="AP43">
        <v>2.0059906641144938</v>
      </c>
      <c r="AQ43">
        <v>8.1667040239511017</v>
      </c>
      <c r="AR43">
        <v>1.2403477291254941</v>
      </c>
      <c r="AS43">
        <v>4.2655655994971617</v>
      </c>
      <c r="AT43" t="e">
        <v>#DIV/0!</v>
      </c>
      <c r="AU43" t="e">
        <v>#DIV/0!</v>
      </c>
      <c r="AV43"/>
      <c r="AW43"/>
      <c r="FY43" s="211">
        <v>38</v>
      </c>
      <c r="FZ43">
        <v>1.8863838584430952</v>
      </c>
      <c r="GA43">
        <v>2.1684777541042353</v>
      </c>
      <c r="GB43">
        <v>0.42204199743499915</v>
      </c>
      <c r="GC43">
        <v>0.45623808419176498</v>
      </c>
      <c r="GD43">
        <v>0.25874960113502349</v>
      </c>
      <c r="GE43">
        <v>8.1904075710074992E-2</v>
      </c>
      <c r="GF43">
        <v>0.82805716775636906</v>
      </c>
      <c r="GG43">
        <v>0.76829061536607923</v>
      </c>
      <c r="GH43">
        <v>8.9508689212329934E-2</v>
      </c>
      <c r="GI43">
        <v>0.69228445367258806</v>
      </c>
      <c r="GJ43"/>
      <c r="GK43">
        <v>1.880000551470588</v>
      </c>
      <c r="GL43">
        <v>1.8263989889705881</v>
      </c>
      <c r="GM43">
        <v>0.69241406249999993</v>
      </c>
      <c r="GN43">
        <v>1.3368642857142856</v>
      </c>
      <c r="GO43">
        <v>0.98370803571428556</v>
      </c>
      <c r="GP43">
        <v>0.153796875</v>
      </c>
      <c r="GQ43">
        <v>0.99869021739130437</v>
      </c>
      <c r="GR43">
        <v>1.0690548007246377</v>
      </c>
      <c r="GS43">
        <v>9.465845352564102E-2</v>
      </c>
      <c r="GT43">
        <v>0.92989426412036369</v>
      </c>
      <c r="GU43"/>
      <c r="GV43"/>
      <c r="GW43"/>
      <c r="GX43"/>
      <c r="GY43"/>
      <c r="GZ43"/>
      <c r="HA43"/>
      <c r="HB43"/>
      <c r="HC43"/>
    </row>
    <row r="44" spans="1:211" s="7" customFormat="1">
      <c r="A44" s="4"/>
      <c r="B44" s="1"/>
      <c r="C44" s="48" t="s">
        <v>120</v>
      </c>
      <c r="D44" s="49">
        <f>IF(SUM(G44:AK44)&lt;0.0001, 0, SUM(G44:AK44))</f>
        <v>1.1394193840579709</v>
      </c>
      <c r="E44" s="107">
        <f t="shared" si="19"/>
        <v>1.8550337538915287E-2</v>
      </c>
      <c r="F44" s="18"/>
      <c r="G44" s="49">
        <f>G28*G36</f>
        <v>0</v>
      </c>
      <c r="H44" s="49">
        <f t="shared" ref="H44:AK44" si="23">H28*H36</f>
        <v>1.0066068840579709</v>
      </c>
      <c r="I44" s="49">
        <f t="shared" si="23"/>
        <v>0.1328125</v>
      </c>
      <c r="J44" s="49">
        <f t="shared" si="23"/>
        <v>0</v>
      </c>
      <c r="K44" s="49">
        <f t="shared" si="23"/>
        <v>0</v>
      </c>
      <c r="L44" s="49">
        <f t="shared" si="23"/>
        <v>0</v>
      </c>
      <c r="M44" s="49">
        <f t="shared" si="23"/>
        <v>0</v>
      </c>
      <c r="N44" s="49">
        <f t="shared" si="23"/>
        <v>0</v>
      </c>
      <c r="O44" s="49">
        <f t="shared" si="23"/>
        <v>0</v>
      </c>
      <c r="P44" s="49">
        <f t="shared" si="23"/>
        <v>0</v>
      </c>
      <c r="Q44" s="49">
        <f t="shared" si="23"/>
        <v>0</v>
      </c>
      <c r="R44" s="49">
        <f t="shared" si="23"/>
        <v>0</v>
      </c>
      <c r="S44" s="49">
        <f t="shared" si="23"/>
        <v>0</v>
      </c>
      <c r="T44" s="49">
        <f t="shared" si="23"/>
        <v>0</v>
      </c>
      <c r="U44" s="49">
        <f t="shared" si="23"/>
        <v>0</v>
      </c>
      <c r="V44" s="49">
        <f t="shared" si="23"/>
        <v>0</v>
      </c>
      <c r="W44" s="49">
        <f t="shared" si="23"/>
        <v>0</v>
      </c>
      <c r="X44" s="49">
        <f t="shared" si="23"/>
        <v>0</v>
      </c>
      <c r="Y44" s="49">
        <f t="shared" si="23"/>
        <v>0</v>
      </c>
      <c r="Z44" s="49">
        <f t="shared" si="23"/>
        <v>0</v>
      </c>
      <c r="AA44" s="49">
        <f t="shared" si="23"/>
        <v>0</v>
      </c>
      <c r="AB44" s="49">
        <f t="shared" si="23"/>
        <v>0</v>
      </c>
      <c r="AC44" s="49">
        <f t="shared" si="23"/>
        <v>0</v>
      </c>
      <c r="AD44" s="49">
        <f t="shared" si="23"/>
        <v>0</v>
      </c>
      <c r="AE44" s="49">
        <f t="shared" si="23"/>
        <v>0</v>
      </c>
      <c r="AF44" s="49">
        <f t="shared" si="23"/>
        <v>0</v>
      </c>
      <c r="AG44" s="49">
        <f t="shared" si="23"/>
        <v>0</v>
      </c>
      <c r="AH44" s="49">
        <f t="shared" si="23"/>
        <v>0</v>
      </c>
      <c r="AI44" s="49">
        <f t="shared" si="23"/>
        <v>0</v>
      </c>
      <c r="AJ44" s="49">
        <f t="shared" si="23"/>
        <v>0</v>
      </c>
      <c r="AK44" s="49">
        <f t="shared" si="23"/>
        <v>0</v>
      </c>
      <c r="AL44" s="42"/>
      <c r="AM44" s="43">
        <v>28</v>
      </c>
      <c r="AN44">
        <v>48.363684547815772</v>
      </c>
      <c r="AO44">
        <v>1.2484875795548358</v>
      </c>
      <c r="AP44">
        <v>2.2059336864819534</v>
      </c>
      <c r="AQ44">
        <v>9.1648062589119466</v>
      </c>
      <c r="AR44">
        <v>1.1444415605218787</v>
      </c>
      <c r="AS44">
        <v>3.8193564798830812</v>
      </c>
      <c r="AT44" t="e">
        <v>#DIV/0!</v>
      </c>
      <c r="AU44" t="e">
        <v>#DIV/0!</v>
      </c>
      <c r="AV44"/>
      <c r="AW44"/>
      <c r="FY44" s="211">
        <v>39</v>
      </c>
      <c r="FZ44">
        <v>1.1039643747708416</v>
      </c>
      <c r="GA44">
        <v>2.2626853688389628</v>
      </c>
      <c r="GB44">
        <v>1.2302403065747085</v>
      </c>
      <c r="GC44">
        <v>0.72520770154632008</v>
      </c>
      <c r="GD44">
        <v>0.29189562148812853</v>
      </c>
      <c r="GE44">
        <v>8.377572757792498E-2</v>
      </c>
      <c r="GF44">
        <v>0.33409761863227821</v>
      </c>
      <c r="GG44">
        <v>0.28954215414031298</v>
      </c>
      <c r="GH44">
        <v>0</v>
      </c>
      <c r="GI44">
        <v>0.68970958814984495</v>
      </c>
      <c r="GJ44"/>
      <c r="GK44">
        <v>1.100139338235294</v>
      </c>
      <c r="GL44">
        <v>1.9057799632352939</v>
      </c>
      <c r="GM44">
        <v>2.0195220170454542</v>
      </c>
      <c r="GN44">
        <v>2.12717380275974</v>
      </c>
      <c r="GO44">
        <v>1.1105892857142856</v>
      </c>
      <c r="GP44">
        <v>0.15745312499999997</v>
      </c>
      <c r="GQ44">
        <v>0.40278260869565213</v>
      </c>
      <c r="GR44">
        <v>0.40278260869565213</v>
      </c>
      <c r="GS44">
        <v>0</v>
      </c>
      <c r="GT44">
        <v>0.92660664993813713</v>
      </c>
      <c r="GU44"/>
      <c r="GV44"/>
      <c r="GW44"/>
      <c r="GX44"/>
      <c r="GY44"/>
      <c r="GZ44"/>
      <c r="HA44"/>
      <c r="HB44"/>
      <c r="HC44"/>
    </row>
    <row r="45" spans="1:211" s="7" customFormat="1">
      <c r="A45" s="4"/>
      <c r="B45" s="1"/>
      <c r="C45" s="48" t="s">
        <v>121</v>
      </c>
      <c r="D45" s="49">
        <f>IF(SUM(G45:AK45)&lt;0.0001, 0, SUM(G45:AK45))</f>
        <v>0.16502303685897435</v>
      </c>
      <c r="E45" s="107">
        <f t="shared" si="19"/>
        <v>1.4216979865771811E-2</v>
      </c>
      <c r="F45" s="18"/>
      <c r="G45" s="49">
        <f>G29*G36</f>
        <v>2.4293870192307693E-2</v>
      </c>
      <c r="H45" s="49">
        <f t="shared" ref="H45:AK45" si="24">H29*H36</f>
        <v>0.14072916666666666</v>
      </c>
      <c r="I45" s="49">
        <f t="shared" si="24"/>
        <v>0</v>
      </c>
      <c r="J45" s="49">
        <f t="shared" si="24"/>
        <v>0</v>
      </c>
      <c r="K45" s="49">
        <f t="shared" si="24"/>
        <v>0</v>
      </c>
      <c r="L45" s="49">
        <f t="shared" si="24"/>
        <v>0</v>
      </c>
      <c r="M45" s="49">
        <f t="shared" si="24"/>
        <v>0</v>
      </c>
      <c r="N45" s="49">
        <f t="shared" si="24"/>
        <v>0</v>
      </c>
      <c r="O45" s="49">
        <f t="shared" si="24"/>
        <v>0</v>
      </c>
      <c r="P45" s="49">
        <f t="shared" si="24"/>
        <v>0</v>
      </c>
      <c r="Q45" s="49">
        <f t="shared" si="24"/>
        <v>0</v>
      </c>
      <c r="R45" s="49">
        <f t="shared" si="24"/>
        <v>0</v>
      </c>
      <c r="S45" s="49">
        <f t="shared" si="24"/>
        <v>0</v>
      </c>
      <c r="T45" s="49">
        <f t="shared" si="24"/>
        <v>0</v>
      </c>
      <c r="U45" s="49">
        <f t="shared" si="24"/>
        <v>0</v>
      </c>
      <c r="V45" s="49">
        <f t="shared" si="24"/>
        <v>0</v>
      </c>
      <c r="W45" s="49">
        <f t="shared" si="24"/>
        <v>0</v>
      </c>
      <c r="X45" s="49">
        <f t="shared" si="24"/>
        <v>0</v>
      </c>
      <c r="Y45" s="49">
        <f t="shared" si="24"/>
        <v>0</v>
      </c>
      <c r="Z45" s="49">
        <f t="shared" si="24"/>
        <v>0</v>
      </c>
      <c r="AA45" s="49">
        <f t="shared" si="24"/>
        <v>0</v>
      </c>
      <c r="AB45" s="49">
        <f t="shared" si="24"/>
        <v>0</v>
      </c>
      <c r="AC45" s="49">
        <f t="shared" si="24"/>
        <v>0</v>
      </c>
      <c r="AD45" s="49">
        <f t="shared" si="24"/>
        <v>0</v>
      </c>
      <c r="AE45" s="49">
        <f t="shared" si="24"/>
        <v>0</v>
      </c>
      <c r="AF45" s="49">
        <f t="shared" si="24"/>
        <v>0</v>
      </c>
      <c r="AG45" s="49">
        <f t="shared" si="24"/>
        <v>0</v>
      </c>
      <c r="AH45" s="49">
        <f t="shared" si="24"/>
        <v>0</v>
      </c>
      <c r="AI45" s="49">
        <f t="shared" si="24"/>
        <v>0</v>
      </c>
      <c r="AJ45" s="49">
        <f t="shared" si="24"/>
        <v>0</v>
      </c>
      <c r="AK45" s="49">
        <f t="shared" si="24"/>
        <v>0</v>
      </c>
      <c r="AL45" s="42"/>
      <c r="AM45" s="43">
        <v>29</v>
      </c>
      <c r="AN45">
        <v>38.9226697925547</v>
      </c>
      <c r="AO45">
        <v>0.82767787723785169</v>
      </c>
      <c r="AP45">
        <v>0.87145564085928928</v>
      </c>
      <c r="AQ45">
        <v>6.7527477637512598</v>
      </c>
      <c r="AR45">
        <v>0.76330091112531961</v>
      </c>
      <c r="AS45">
        <v>3.3193534241819487</v>
      </c>
      <c r="AT45" t="e">
        <v>#DIV/0!</v>
      </c>
      <c r="AU45" t="e">
        <v>#DIV/0!</v>
      </c>
      <c r="AV45"/>
      <c r="AW45"/>
      <c r="FY45" s="211">
        <v>40</v>
      </c>
      <c r="FZ45">
        <v>0.44144893306929089</v>
      </c>
      <c r="GA45">
        <v>1.0135698307012766</v>
      </c>
      <c r="GB45">
        <v>1.4358332928917812</v>
      </c>
      <c r="GC45">
        <v>1.117144559445562</v>
      </c>
      <c r="GD45">
        <v>0.388665653762025</v>
      </c>
      <c r="GE45">
        <v>0.10310120352945001</v>
      </c>
      <c r="GF45">
        <v>0.20038102790324064</v>
      </c>
      <c r="GG45">
        <v>0.29037012396173439</v>
      </c>
      <c r="GH45">
        <v>0.24554033180156609</v>
      </c>
      <c r="GI45">
        <v>0.71119272501697273</v>
      </c>
      <c r="GJ45"/>
      <c r="GK45">
        <v>0.43980937499999995</v>
      </c>
      <c r="GL45">
        <v>0.85336406250000008</v>
      </c>
      <c r="GM45">
        <v>2.3573721590909087</v>
      </c>
      <c r="GN45">
        <v>3.277411221590909</v>
      </c>
      <c r="GO45">
        <v>1.4783437499999998</v>
      </c>
      <c r="GP45">
        <v>0.19359375000000001</v>
      </c>
      <c r="GQ45">
        <v>0.24196875000000001</v>
      </c>
      <c r="GR45">
        <v>0.40421875000000002</v>
      </c>
      <c r="GS45">
        <v>0.25968149038461541</v>
      </c>
      <c r="GT45">
        <v>0.95543510489510486</v>
      </c>
      <c r="GU45"/>
      <c r="GV45"/>
      <c r="GW45"/>
      <c r="GX45"/>
      <c r="GY45"/>
      <c r="GZ45"/>
      <c r="HA45"/>
      <c r="HB45"/>
      <c r="HC45"/>
    </row>
    <row r="46" spans="1:211" s="7" customFormat="1">
      <c r="A46" s="4"/>
      <c r="B46" s="1"/>
      <c r="C46" s="48" t="s">
        <v>122</v>
      </c>
      <c r="D46" s="49">
        <f>IF(SUM(G46:AK46)&lt;0.0001, 0, SUM(G46:AK46))</f>
        <v>0.90714913456854296</v>
      </c>
      <c r="E46" s="107">
        <f t="shared" si="19"/>
        <v>2.1094424610547852E-2</v>
      </c>
      <c r="F46" s="18"/>
      <c r="G46" s="49">
        <f>G30*G36</f>
        <v>2.6316862273755657E-2</v>
      </c>
      <c r="H46" s="49">
        <f t="shared" ref="H46:AK46" si="25">H30*H36</f>
        <v>0.51479711604478751</v>
      </c>
      <c r="I46" s="49">
        <f t="shared" si="25"/>
        <v>0.36603515624999988</v>
      </c>
      <c r="J46" s="49">
        <f t="shared" si="25"/>
        <v>0</v>
      </c>
      <c r="K46" s="49">
        <f t="shared" si="25"/>
        <v>0</v>
      </c>
      <c r="L46" s="49">
        <f t="shared" si="25"/>
        <v>0</v>
      </c>
      <c r="M46" s="49">
        <f t="shared" si="25"/>
        <v>0</v>
      </c>
      <c r="N46" s="49">
        <f t="shared" si="25"/>
        <v>0</v>
      </c>
      <c r="O46" s="49">
        <f t="shared" si="25"/>
        <v>0</v>
      </c>
      <c r="P46" s="49">
        <f t="shared" si="25"/>
        <v>0</v>
      </c>
      <c r="Q46" s="49">
        <f t="shared" si="25"/>
        <v>0</v>
      </c>
      <c r="R46" s="49">
        <f t="shared" si="25"/>
        <v>0</v>
      </c>
      <c r="S46" s="49">
        <f t="shared" si="25"/>
        <v>0</v>
      </c>
      <c r="T46" s="49">
        <f t="shared" si="25"/>
        <v>0</v>
      </c>
      <c r="U46" s="49">
        <f t="shared" si="25"/>
        <v>0</v>
      </c>
      <c r="V46" s="49">
        <f t="shared" si="25"/>
        <v>0</v>
      </c>
      <c r="W46" s="49">
        <f t="shared" si="25"/>
        <v>0</v>
      </c>
      <c r="X46" s="49">
        <f t="shared" si="25"/>
        <v>0</v>
      </c>
      <c r="Y46" s="49">
        <f t="shared" si="25"/>
        <v>0</v>
      </c>
      <c r="Z46" s="49">
        <f t="shared" si="25"/>
        <v>0</v>
      </c>
      <c r="AA46" s="49">
        <f t="shared" si="25"/>
        <v>0</v>
      </c>
      <c r="AB46" s="49">
        <f t="shared" si="25"/>
        <v>0</v>
      </c>
      <c r="AC46" s="49">
        <f t="shared" si="25"/>
        <v>0</v>
      </c>
      <c r="AD46" s="49">
        <f t="shared" si="25"/>
        <v>0</v>
      </c>
      <c r="AE46" s="49">
        <f t="shared" si="25"/>
        <v>0</v>
      </c>
      <c r="AF46" s="49">
        <f t="shared" si="25"/>
        <v>0</v>
      </c>
      <c r="AG46" s="49">
        <f t="shared" si="25"/>
        <v>0</v>
      </c>
      <c r="AH46" s="49">
        <f t="shared" si="25"/>
        <v>0</v>
      </c>
      <c r="AI46" s="49">
        <f t="shared" si="25"/>
        <v>0</v>
      </c>
      <c r="AJ46" s="49">
        <f t="shared" si="25"/>
        <v>0</v>
      </c>
      <c r="AK46" s="49">
        <f t="shared" si="25"/>
        <v>0</v>
      </c>
      <c r="AL46" s="42"/>
      <c r="AM46" s="43">
        <v>30</v>
      </c>
      <c r="AN46">
        <v>52.168454158651556</v>
      </c>
      <c r="AO46">
        <v>1.2669098920615696</v>
      </c>
      <c r="AP46">
        <v>1.0866283428326127</v>
      </c>
      <c r="AQ46">
        <v>8.6867008924741445</v>
      </c>
      <c r="AR46">
        <v>1.1736454110524757</v>
      </c>
      <c r="AS46">
        <v>4.1516609998043936</v>
      </c>
      <c r="AT46">
        <v>0.85859014634235897</v>
      </c>
      <c r="AU46">
        <v>-0.23902264501538906</v>
      </c>
      <c r="AV46"/>
      <c r="AW46"/>
      <c r="FY46" s="211">
        <v>41</v>
      </c>
      <c r="FZ46">
        <v>1.1349022006717793</v>
      </c>
      <c r="GA46">
        <v>2.1994158282982101</v>
      </c>
      <c r="GB46">
        <v>1.1572910949366841</v>
      </c>
      <c r="GC46">
        <v>0.45923974025358261</v>
      </c>
      <c r="GD46">
        <v>0.109287590006475</v>
      </c>
      <c r="GE46">
        <v>0.11460862901025</v>
      </c>
      <c r="GF46">
        <v>0.70871433467598444</v>
      </c>
      <c r="GG46">
        <v>0.62966621671876666</v>
      </c>
      <c r="GH46">
        <v>8.9508689212329934E-2</v>
      </c>
      <c r="GI46">
        <v>0.65443166672373021</v>
      </c>
      <c r="GJ46"/>
      <c r="GK46">
        <v>1.1309174632352941</v>
      </c>
      <c r="GL46">
        <v>1.8522534007352942</v>
      </c>
      <c r="GM46">
        <v>1.8996704545454544</v>
      </c>
      <c r="GN46">
        <v>1.3484907670454542</v>
      </c>
      <c r="GO46">
        <v>0.41634375000000001</v>
      </c>
      <c r="GP46">
        <v>0.21534374999999997</v>
      </c>
      <c r="GQ46">
        <v>0.85440896739130423</v>
      </c>
      <c r="GR46">
        <v>0.87592980072463755</v>
      </c>
      <c r="GS46">
        <v>9.465845352564102E-2</v>
      </c>
      <c r="GT46">
        <v>0.87919981773953881</v>
      </c>
      <c r="GU46"/>
      <c r="GV46"/>
      <c r="GW46"/>
      <c r="GX46"/>
      <c r="GY46"/>
      <c r="GZ46"/>
      <c r="HA46"/>
      <c r="HB46"/>
      <c r="HC46"/>
    </row>
    <row r="47" spans="1:211" s="7" customFormat="1">
      <c r="A47" s="4"/>
      <c r="B47" s="1"/>
      <c r="C47" s="48"/>
      <c r="D47" s="49"/>
      <c r="E47" s="107"/>
      <c r="F47" s="18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2"/>
      <c r="AM47" s="43">
        <v>31</v>
      </c>
      <c r="AN47">
        <v>20.252017195767191</v>
      </c>
      <c r="AO47">
        <v>0.51129566369047619</v>
      </c>
      <c r="AP47">
        <v>5.1132978575967973</v>
      </c>
      <c r="AQ47">
        <v>3.2888200861409875</v>
      </c>
      <c r="AR47">
        <v>0.46481423971861469</v>
      </c>
      <c r="AS47">
        <v>1.662102371600795</v>
      </c>
      <c r="AT47" t="e">
        <v>#DIV/0!</v>
      </c>
      <c r="AU47" t="e">
        <v>#DIV/0!</v>
      </c>
      <c r="AV47"/>
      <c r="AW47"/>
      <c r="FY47" s="211">
        <v>42</v>
      </c>
      <c r="FZ47">
        <v>0.70066890817395222</v>
      </c>
      <c r="GA47">
        <v>1.2373695349311311</v>
      </c>
      <c r="GB47">
        <v>0.92466741608547875</v>
      </c>
      <c r="GC47">
        <v>0.51638642286246017</v>
      </c>
      <c r="GD47">
        <v>9.2106670572237828E-2</v>
      </c>
      <c r="GE47">
        <v>3.0832901432324998E-2</v>
      </c>
      <c r="GF47">
        <v>0.5344786465355188</v>
      </c>
      <c r="GG47">
        <v>0.52933036966390667</v>
      </c>
      <c r="GH47">
        <v>0.15603164258923619</v>
      </c>
      <c r="GI47">
        <v>0.50261779149428443</v>
      </c>
      <c r="GJ47"/>
      <c r="GK47">
        <v>0.69834558823529402</v>
      </c>
      <c r="GL47">
        <v>1.0423143382352942</v>
      </c>
      <c r="GM47">
        <v>1.5180063920454545</v>
      </c>
      <c r="GN47">
        <v>1.5152434456168831</v>
      </c>
      <c r="GO47">
        <v>0.3502526785714285</v>
      </c>
      <c r="GP47">
        <v>5.7890625000000001E-2</v>
      </c>
      <c r="GQ47">
        <v>0.64475135869565214</v>
      </c>
      <c r="GR47">
        <v>0.73663677536231864</v>
      </c>
      <c r="GS47">
        <v>0.16502303685897435</v>
      </c>
      <c r="GT47">
        <v>0.67527581088136068</v>
      </c>
      <c r="GU47"/>
      <c r="GV47"/>
      <c r="GW47"/>
      <c r="GX47"/>
      <c r="GY47"/>
      <c r="GZ47"/>
      <c r="HA47"/>
      <c r="HB47"/>
      <c r="HC47"/>
    </row>
    <row r="48" spans="1:211" s="7" customFormat="1">
      <c r="A48" s="4"/>
      <c r="B48" s="1"/>
      <c r="C48" s="60" t="s">
        <v>50</v>
      </c>
      <c r="D48" s="53">
        <f>AVERAGE(D37:D47)</f>
        <v>0.97949716100616657</v>
      </c>
      <c r="E48" s="18"/>
      <c r="F48" s="18"/>
      <c r="G48" s="18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3"/>
      <c r="AH48" s="63"/>
      <c r="AI48" s="63"/>
      <c r="AJ48" s="63"/>
      <c r="AK48" s="63"/>
      <c r="AL48" s="42"/>
      <c r="AM48" s="43">
        <v>32</v>
      </c>
      <c r="AN48">
        <v>40.388790879599703</v>
      </c>
      <c r="AO48">
        <v>1.0447019485967461</v>
      </c>
      <c r="AP48">
        <v>1.3382091579755562</v>
      </c>
      <c r="AQ48">
        <v>6.7095773906778442</v>
      </c>
      <c r="AR48">
        <v>0.98815916874179721</v>
      </c>
      <c r="AS48">
        <v>3.3031422975877645</v>
      </c>
      <c r="AT48">
        <v>0.66169361066156607</v>
      </c>
      <c r="AU48">
        <v>0.35885187305128585</v>
      </c>
      <c r="AV48"/>
      <c r="AW48"/>
      <c r="FY48" s="211">
        <v>43</v>
      </c>
      <c r="FZ48">
        <v>0.68128579816944468</v>
      </c>
      <c r="GA48">
        <v>1.1619575016712362</v>
      </c>
      <c r="GB48">
        <v>0.33711420933026714</v>
      </c>
      <c r="GC48">
        <v>0.36916189718759052</v>
      </c>
      <c r="GD48">
        <v>0.24723186800480348</v>
      </c>
      <c r="GE48">
        <v>8.5701308171400009E-2</v>
      </c>
      <c r="GF48">
        <v>4.0519097411428125E-2</v>
      </c>
      <c r="GG48">
        <v>0.10116381687628125</v>
      </c>
      <c r="GH48">
        <v>0.15603164258923619</v>
      </c>
      <c r="GI48">
        <v>0.35533170983796503</v>
      </c>
      <c r="GJ48"/>
      <c r="GK48">
        <v>0.67864687499999998</v>
      </c>
      <c r="GL48">
        <v>0.97815468750000012</v>
      </c>
      <c r="GM48">
        <v>0.55298437499999997</v>
      </c>
      <c r="GN48">
        <v>1.0816908482142855</v>
      </c>
      <c r="GO48">
        <v>0.94043303571428549</v>
      </c>
      <c r="GP48">
        <v>0.1610625</v>
      </c>
      <c r="GQ48">
        <v>4.8843750000000005E-2</v>
      </c>
      <c r="GR48">
        <v>0.14072916666666666</v>
      </c>
      <c r="GS48">
        <v>0.16502303685897435</v>
      </c>
      <c r="GT48">
        <v>0.47718621451465199</v>
      </c>
      <c r="GU48"/>
      <c r="GV48"/>
      <c r="GW48"/>
      <c r="GX48"/>
      <c r="GY48"/>
      <c r="GZ48"/>
      <c r="HA48"/>
      <c r="HB48"/>
      <c r="HC48"/>
    </row>
    <row r="49" spans="1:211" s="7" customFormat="1">
      <c r="A49" s="4"/>
      <c r="B49" s="1"/>
      <c r="C49" s="64"/>
      <c r="D49" s="64"/>
      <c r="E49" s="64"/>
      <c r="F49" s="64"/>
      <c r="G49" s="64"/>
      <c r="H49" s="64"/>
      <c r="I49" s="65"/>
      <c r="J49" s="64"/>
      <c r="K49" s="62"/>
      <c r="L49" s="64"/>
      <c r="M49" s="65"/>
      <c r="N49" s="64"/>
      <c r="O49" s="64"/>
      <c r="P49" s="64"/>
      <c r="Q49" s="65"/>
      <c r="R49" s="65"/>
      <c r="S49" s="65"/>
      <c r="T49" s="65"/>
      <c r="U49" s="65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3"/>
      <c r="AH49" s="63"/>
      <c r="AI49" s="63"/>
      <c r="AJ49" s="63"/>
      <c r="AK49" s="63"/>
      <c r="AL49" s="42"/>
      <c r="AM49" s="43">
        <v>33</v>
      </c>
      <c r="AN49">
        <v>34.142179232804232</v>
      </c>
      <c r="AO49">
        <v>0.75008465327380958</v>
      </c>
      <c r="AP49">
        <v>0.95330128952697812</v>
      </c>
      <c r="AQ49">
        <v>4.5639968436446283</v>
      </c>
      <c r="AR49">
        <v>0.70362809388528125</v>
      </c>
      <c r="AS49">
        <v>3.0528980819856497</v>
      </c>
      <c r="AT49" t="e">
        <v>#DIV/0!</v>
      </c>
      <c r="AU49" t="e">
        <v>#DIV/0!</v>
      </c>
      <c r="AV49"/>
      <c r="AW49"/>
      <c r="FY49" s="211">
        <v>44</v>
      </c>
      <c r="FZ49">
        <v>1.1965998369462443</v>
      </c>
      <c r="GA49">
        <v>1.1906050111176671</v>
      </c>
      <c r="GB49">
        <v>0.59326693866062208</v>
      </c>
      <c r="GC49">
        <v>0.91739971728756831</v>
      </c>
      <c r="GD49">
        <v>0.53194767582096003</v>
      </c>
      <c r="GE49">
        <v>0.12129816768457499</v>
      </c>
      <c r="GF49">
        <v>0.70871433467598444</v>
      </c>
      <c r="GG49">
        <v>0.73083003359504783</v>
      </c>
      <c r="GH49">
        <v>0.19956886013071873</v>
      </c>
      <c r="GI49">
        <v>0.78248598266047464</v>
      </c>
      <c r="GJ49"/>
      <c r="GK49">
        <v>1.1926424632352941</v>
      </c>
      <c r="GL49">
        <v>1.002810431985294</v>
      </c>
      <c r="GM49">
        <v>0.97408842329545431</v>
      </c>
      <c r="GN49">
        <v>2.6887923295454543</v>
      </c>
      <c r="GO49">
        <v>2.0228250000000001</v>
      </c>
      <c r="GP49">
        <v>0.22804687499999998</v>
      </c>
      <c r="GQ49">
        <v>0.85440896739130423</v>
      </c>
      <c r="GR49">
        <v>1.0166589673913042</v>
      </c>
      <c r="GS49">
        <v>0.21109375</v>
      </c>
      <c r="GT49">
        <v>1.0510117207844105</v>
      </c>
      <c r="GU49"/>
      <c r="GV49"/>
      <c r="GW49"/>
      <c r="GX49"/>
      <c r="GY49"/>
      <c r="GZ49"/>
      <c r="HA49"/>
      <c r="HB49"/>
      <c r="HC49"/>
    </row>
    <row r="50" spans="1:211" s="7" customFormat="1">
      <c r="A50" s="4"/>
      <c r="B50" s="1"/>
      <c r="C50" s="10" t="s">
        <v>51</v>
      </c>
      <c r="D50" s="13"/>
      <c r="E50" s="13"/>
      <c r="F50" s="13"/>
      <c r="G50" s="11" t="s">
        <v>33</v>
      </c>
      <c r="H50" s="13"/>
      <c r="I50" s="14"/>
      <c r="J50" s="13"/>
      <c r="K50" s="21"/>
      <c r="L50" s="13"/>
      <c r="M50" s="14"/>
      <c r="N50" s="13"/>
      <c r="O50" s="13"/>
      <c r="P50" s="13"/>
      <c r="Q50" s="14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42"/>
      <c r="AM50" s="43">
        <v>34</v>
      </c>
      <c r="AN50">
        <v>40.781027982774305</v>
      </c>
      <c r="AO50">
        <v>1.0182919820788894</v>
      </c>
      <c r="AP50">
        <v>3.3947914535389314</v>
      </c>
      <c r="AQ50">
        <v>6.3782299637363167</v>
      </c>
      <c r="AR50">
        <v>0.93879499463465454</v>
      </c>
      <c r="AS50">
        <v>3.2526897262409307</v>
      </c>
      <c r="AT50" t="e">
        <v>#DIV/0!</v>
      </c>
      <c r="AU50" t="e">
        <v>#DIV/0!</v>
      </c>
      <c r="AV50"/>
      <c r="AW50"/>
      <c r="FY50" s="211">
        <v>45</v>
      </c>
      <c r="FZ50">
        <v>1.955406218587715</v>
      </c>
      <c r="GA50">
        <v>2.4150340567953137</v>
      </c>
      <c r="GB50">
        <v>1.1400465675412719</v>
      </c>
      <c r="GC50">
        <v>1.1189589405409108</v>
      </c>
      <c r="GD50">
        <v>0.51194653926063749</v>
      </c>
      <c r="GE50">
        <v>7.6065534558449999E-2</v>
      </c>
      <c r="GF50">
        <v>0.5344786465355188</v>
      </c>
      <c r="GG50">
        <v>0.52933036966390667</v>
      </c>
      <c r="GH50">
        <v>0.15603164258923619</v>
      </c>
      <c r="GI50">
        <v>0.9791691785855805</v>
      </c>
      <c r="GJ50"/>
      <c r="GK50">
        <v>1.9489255514705879</v>
      </c>
      <c r="GL50">
        <v>2.0343435202205877</v>
      </c>
      <c r="GM50">
        <v>1.8715259232954542</v>
      </c>
      <c r="GN50">
        <v>3.2802485795454546</v>
      </c>
      <c r="GO50">
        <v>1.9468593750000001</v>
      </c>
      <c r="GP50">
        <v>0.14296875000000001</v>
      </c>
      <c r="GQ50">
        <v>0.64475135869565214</v>
      </c>
      <c r="GR50">
        <v>0.73663677536231864</v>
      </c>
      <c r="GS50">
        <v>0.16502303685897435</v>
      </c>
      <c r="GT50">
        <v>1.3154170490641341</v>
      </c>
      <c r="GU50"/>
      <c r="GV50"/>
      <c r="GW50"/>
      <c r="GX50"/>
      <c r="GY50"/>
      <c r="GZ50"/>
      <c r="HA50"/>
      <c r="HB50"/>
      <c r="HC50"/>
    </row>
    <row r="51" spans="1:211" s="7" customFormat="1">
      <c r="A51" s="4"/>
      <c r="B51" s="36"/>
      <c r="C51" s="12" t="s">
        <v>34</v>
      </c>
      <c r="D51" s="10"/>
      <c r="E51" s="10" t="s">
        <v>52</v>
      </c>
      <c r="F51" s="13"/>
      <c r="G51" s="44" t="s">
        <v>37</v>
      </c>
      <c r="H51" s="45">
        <v>1</v>
      </c>
      <c r="I51" s="45">
        <v>2</v>
      </c>
      <c r="J51" s="45">
        <v>3</v>
      </c>
      <c r="K51" s="45">
        <v>4</v>
      </c>
      <c r="L51" s="45">
        <v>5</v>
      </c>
      <c r="M51" s="45">
        <v>6</v>
      </c>
      <c r="N51" s="45">
        <v>7</v>
      </c>
      <c r="O51" s="46">
        <v>8</v>
      </c>
      <c r="P51" s="46">
        <v>9</v>
      </c>
      <c r="Q51" s="47">
        <v>10</v>
      </c>
      <c r="R51" s="46">
        <v>11</v>
      </c>
      <c r="S51" s="47">
        <v>12</v>
      </c>
      <c r="T51" s="46">
        <v>13</v>
      </c>
      <c r="U51" s="47">
        <v>14</v>
      </c>
      <c r="V51" s="46">
        <v>15</v>
      </c>
      <c r="W51" s="47">
        <v>16</v>
      </c>
      <c r="X51" s="46">
        <v>17</v>
      </c>
      <c r="Y51" s="47">
        <v>18</v>
      </c>
      <c r="Z51" s="46">
        <v>19</v>
      </c>
      <c r="AA51" s="47">
        <v>20</v>
      </c>
      <c r="AB51" s="46">
        <v>21</v>
      </c>
      <c r="AC51" s="47">
        <v>22</v>
      </c>
      <c r="AD51" s="46">
        <v>23</v>
      </c>
      <c r="AE51" s="47">
        <v>24</v>
      </c>
      <c r="AF51" s="46">
        <v>25</v>
      </c>
      <c r="AG51" s="47">
        <v>26</v>
      </c>
      <c r="AH51" s="46">
        <v>27</v>
      </c>
      <c r="AI51" s="47">
        <v>28</v>
      </c>
      <c r="AJ51" s="46">
        <v>29</v>
      </c>
      <c r="AK51" s="47">
        <v>30</v>
      </c>
      <c r="AL51" s="42"/>
      <c r="AM51" s="43">
        <v>35</v>
      </c>
      <c r="AN51">
        <v>48.863210315248367</v>
      </c>
      <c r="AO51">
        <v>1.122834636252787</v>
      </c>
      <c r="AP51">
        <v>1.5043936458869982</v>
      </c>
      <c r="AQ51">
        <v>6.3486477712542859</v>
      </c>
      <c r="AR51">
        <v>1.0447002484291072</v>
      </c>
      <c r="AS51">
        <v>4.498289024754027</v>
      </c>
      <c r="AT51">
        <v>0.78895126212649103</v>
      </c>
      <c r="AU51">
        <v>0.1833900476347895</v>
      </c>
      <c r="AV51"/>
      <c r="AW51"/>
      <c r="FY51" s="211">
        <v>46</v>
      </c>
      <c r="FZ51">
        <v>1.6156780996707227</v>
      </c>
      <c r="GA51">
        <v>3.1051109301090554</v>
      </c>
      <c r="GB51">
        <v>1.3519753644491823</v>
      </c>
      <c r="GC51">
        <v>0.66176990485764764</v>
      </c>
      <c r="GD51">
        <v>0.23354045632945925</v>
      </c>
      <c r="GE51">
        <v>6.4504180352025001E-2</v>
      </c>
      <c r="GF51">
        <v>0.81368341010771561</v>
      </c>
      <c r="GG51">
        <v>0.9583248922729537</v>
      </c>
      <c r="GH51">
        <v>0.35560050271995491</v>
      </c>
      <c r="GI51">
        <v>0.90448619645258743</v>
      </c>
      <c r="GJ51"/>
      <c r="GK51">
        <v>1.6102536764705877</v>
      </c>
      <c r="GL51">
        <v>2.6153591452205878</v>
      </c>
      <c r="GM51">
        <v>2.2189868607954546</v>
      </c>
      <c r="GN51">
        <v>1.9409354099025973</v>
      </c>
      <c r="GO51">
        <v>0.88816339285714285</v>
      </c>
      <c r="GP51">
        <v>0.12126562500000002</v>
      </c>
      <c r="GQ51">
        <v>0.98215760869565205</v>
      </c>
      <c r="GR51">
        <v>1.3339805253623187</v>
      </c>
      <c r="GS51">
        <v>0.37611678685897432</v>
      </c>
      <c r="GT51">
        <v>1.2151356651355625</v>
      </c>
      <c r="GU51"/>
      <c r="GV51"/>
      <c r="GW51"/>
      <c r="GX51"/>
      <c r="GY51"/>
      <c r="GZ51"/>
      <c r="HA51"/>
      <c r="HB51"/>
      <c r="HC51"/>
    </row>
    <row r="52" spans="1:211" s="7" customFormat="1">
      <c r="A52" s="4"/>
      <c r="B52" s="36"/>
      <c r="C52" s="48" t="s">
        <v>38</v>
      </c>
      <c r="D52" s="49">
        <f>SUM(G52:AK52)</f>
        <v>0</v>
      </c>
      <c r="E52" s="19">
        <f>F374</f>
        <v>0</v>
      </c>
      <c r="F52" s="8"/>
      <c r="G52" s="49">
        <f>$E$52*$E$21*G37</f>
        <v>0</v>
      </c>
      <c r="H52" s="49">
        <f t="shared" ref="H52:AK52" si="26">$E$52*$E$21*H37</f>
        <v>0</v>
      </c>
      <c r="I52" s="49">
        <f t="shared" si="26"/>
        <v>0</v>
      </c>
      <c r="J52" s="49">
        <f t="shared" si="26"/>
        <v>0</v>
      </c>
      <c r="K52" s="49">
        <f t="shared" si="26"/>
        <v>0</v>
      </c>
      <c r="L52" s="49">
        <f t="shared" si="26"/>
        <v>0</v>
      </c>
      <c r="M52" s="49">
        <f t="shared" si="26"/>
        <v>0</v>
      </c>
      <c r="N52" s="49">
        <f t="shared" si="26"/>
        <v>0</v>
      </c>
      <c r="O52" s="49">
        <f t="shared" si="26"/>
        <v>0</v>
      </c>
      <c r="P52" s="49">
        <f t="shared" si="26"/>
        <v>0</v>
      </c>
      <c r="Q52" s="49">
        <f t="shared" si="26"/>
        <v>0</v>
      </c>
      <c r="R52" s="49">
        <f t="shared" si="26"/>
        <v>0</v>
      </c>
      <c r="S52" s="49">
        <f t="shared" si="26"/>
        <v>0</v>
      </c>
      <c r="T52" s="49">
        <f t="shared" si="26"/>
        <v>0</v>
      </c>
      <c r="U52" s="49">
        <f t="shared" si="26"/>
        <v>0</v>
      </c>
      <c r="V52" s="49">
        <f t="shared" si="26"/>
        <v>0</v>
      </c>
      <c r="W52" s="49">
        <f t="shared" si="26"/>
        <v>0</v>
      </c>
      <c r="X52" s="49">
        <f t="shared" si="26"/>
        <v>0</v>
      </c>
      <c r="Y52" s="49">
        <f t="shared" si="26"/>
        <v>0</v>
      </c>
      <c r="Z52" s="49">
        <f t="shared" si="26"/>
        <v>0</v>
      </c>
      <c r="AA52" s="49">
        <f t="shared" si="26"/>
        <v>0</v>
      </c>
      <c r="AB52" s="49">
        <f t="shared" si="26"/>
        <v>0</v>
      </c>
      <c r="AC52" s="49">
        <f t="shared" si="26"/>
        <v>0</v>
      </c>
      <c r="AD52" s="49">
        <f t="shared" si="26"/>
        <v>0</v>
      </c>
      <c r="AE52" s="49">
        <f t="shared" si="26"/>
        <v>0</v>
      </c>
      <c r="AF52" s="49">
        <f t="shared" si="26"/>
        <v>0</v>
      </c>
      <c r="AG52" s="49">
        <f t="shared" si="26"/>
        <v>0</v>
      </c>
      <c r="AH52" s="49">
        <f t="shared" si="26"/>
        <v>0</v>
      </c>
      <c r="AI52" s="49">
        <f t="shared" si="26"/>
        <v>0</v>
      </c>
      <c r="AJ52" s="49">
        <f t="shared" si="26"/>
        <v>0</v>
      </c>
      <c r="AK52" s="49">
        <f t="shared" si="26"/>
        <v>0</v>
      </c>
      <c r="AL52" s="42"/>
      <c r="AM52" s="43">
        <v>36</v>
      </c>
      <c r="AN52">
        <v>36.445833866805728</v>
      </c>
      <c r="AO52">
        <v>0.69191658336143824</v>
      </c>
      <c r="AP52">
        <v>5.9283438249676565E-2</v>
      </c>
      <c r="AQ52">
        <v>5.299498168330298</v>
      </c>
      <c r="AR52">
        <v>0.64067646127263611</v>
      </c>
      <c r="AS52">
        <v>3.0268164139155855</v>
      </c>
      <c r="AT52">
        <v>0.59101204733078394</v>
      </c>
      <c r="AU52">
        <v>-6.2252543927348733E-2</v>
      </c>
      <c r="AV52"/>
      <c r="AW52"/>
      <c r="FY52" s="211">
        <v>47</v>
      </c>
      <c r="FZ52">
        <v>0.92596301040259155</v>
      </c>
      <c r="GA52">
        <v>1.8178105378698832</v>
      </c>
      <c r="GB52">
        <v>1.6003744241147508</v>
      </c>
      <c r="GC52">
        <v>0.76845308263891599</v>
      </c>
      <c r="GD52">
        <v>0.12835482277490676</v>
      </c>
      <c r="GE52">
        <v>0.18585627676222499</v>
      </c>
      <c r="GF52">
        <v>0.9090953625792253</v>
      </c>
      <c r="GG52">
        <v>0.71770870692793864</v>
      </c>
      <c r="GH52">
        <v>2.2985735835423678E-2</v>
      </c>
      <c r="GI52">
        <v>0.76800336010528603</v>
      </c>
      <c r="GJ52"/>
      <c r="GK52">
        <v>0.92276433823529391</v>
      </c>
      <c r="GL52">
        <v>1.5310143382352939</v>
      </c>
      <c r="GM52">
        <v>2.6274580965909089</v>
      </c>
      <c r="GN52">
        <v>2.2559777394480518</v>
      </c>
      <c r="GO52">
        <v>0.48834776785714284</v>
      </c>
      <c r="GP52">
        <v>0.34926562499999997</v>
      </c>
      <c r="GQ52">
        <v>1.0963777173913045</v>
      </c>
      <c r="GR52">
        <v>0.99869021739130437</v>
      </c>
      <c r="GS52">
        <v>2.4293870192307693E-2</v>
      </c>
      <c r="GT52">
        <v>1.0318483580533917</v>
      </c>
      <c r="GU52"/>
      <c r="GV52"/>
      <c r="GW52"/>
      <c r="GX52"/>
      <c r="GY52"/>
      <c r="GZ52"/>
      <c r="HA52"/>
      <c r="HB52"/>
      <c r="HC52"/>
    </row>
    <row r="53" spans="1:211" s="7" customFormat="1">
      <c r="A53" s="4"/>
      <c r="B53" s="36"/>
      <c r="C53" s="48" t="s">
        <v>39</v>
      </c>
      <c r="D53" s="49">
        <f t="shared" ref="D53:D61" si="27">SUM(G53:AK53)</f>
        <v>0.25111183532237513</v>
      </c>
      <c r="E53" s="19">
        <f>F375</f>
        <v>3.2106589126321547E-3</v>
      </c>
      <c r="F53" s="8"/>
      <c r="G53" s="49">
        <f>$E$53*$E$22*G38</f>
        <v>9.3721199341018271E-3</v>
      </c>
      <c r="H53" s="49">
        <f t="shared" ref="H53:AK53" si="28">$E$53*$E$22*H38</f>
        <v>7.271984442003207E-2</v>
      </c>
      <c r="I53" s="49">
        <f t="shared" si="28"/>
        <v>0.16901987096824123</v>
      </c>
      <c r="J53" s="49">
        <f t="shared" si="28"/>
        <v>0</v>
      </c>
      <c r="K53" s="49">
        <f t="shared" si="28"/>
        <v>0</v>
      </c>
      <c r="L53" s="49">
        <f t="shared" si="28"/>
        <v>0</v>
      </c>
      <c r="M53" s="49">
        <f t="shared" si="28"/>
        <v>0</v>
      </c>
      <c r="N53" s="49">
        <f t="shared" si="28"/>
        <v>0</v>
      </c>
      <c r="O53" s="49">
        <f t="shared" si="28"/>
        <v>0</v>
      </c>
      <c r="P53" s="49">
        <f t="shared" si="28"/>
        <v>0</v>
      </c>
      <c r="Q53" s="49">
        <f t="shared" si="28"/>
        <v>0</v>
      </c>
      <c r="R53" s="49">
        <f t="shared" si="28"/>
        <v>0</v>
      </c>
      <c r="S53" s="49">
        <f t="shared" si="28"/>
        <v>0</v>
      </c>
      <c r="T53" s="49">
        <f t="shared" si="28"/>
        <v>0</v>
      </c>
      <c r="U53" s="49">
        <f t="shared" si="28"/>
        <v>0</v>
      </c>
      <c r="V53" s="49">
        <f t="shared" si="28"/>
        <v>0</v>
      </c>
      <c r="W53" s="49">
        <f t="shared" si="28"/>
        <v>0</v>
      </c>
      <c r="X53" s="49">
        <f t="shared" si="28"/>
        <v>0</v>
      </c>
      <c r="Y53" s="49">
        <f t="shared" si="28"/>
        <v>0</v>
      </c>
      <c r="Z53" s="49">
        <f t="shared" si="28"/>
        <v>0</v>
      </c>
      <c r="AA53" s="49">
        <f t="shared" si="28"/>
        <v>0</v>
      </c>
      <c r="AB53" s="49">
        <f t="shared" si="28"/>
        <v>0</v>
      </c>
      <c r="AC53" s="49">
        <f t="shared" si="28"/>
        <v>0</v>
      </c>
      <c r="AD53" s="49">
        <f t="shared" si="28"/>
        <v>0</v>
      </c>
      <c r="AE53" s="49">
        <f t="shared" si="28"/>
        <v>0</v>
      </c>
      <c r="AF53" s="49">
        <f t="shared" si="28"/>
        <v>0</v>
      </c>
      <c r="AG53" s="49">
        <f t="shared" si="28"/>
        <v>0</v>
      </c>
      <c r="AH53" s="49">
        <f t="shared" si="28"/>
        <v>0</v>
      </c>
      <c r="AI53" s="49">
        <f t="shared" si="28"/>
        <v>0</v>
      </c>
      <c r="AJ53" s="49">
        <f t="shared" si="28"/>
        <v>0</v>
      </c>
      <c r="AK53" s="49">
        <f t="shared" si="28"/>
        <v>0</v>
      </c>
      <c r="AL53" s="42"/>
      <c r="AM53" s="43">
        <v>37</v>
      </c>
      <c r="AN53">
        <v>34.178432738758822</v>
      </c>
      <c r="AO53">
        <v>0.8141100497491639</v>
      </c>
      <c r="AP53">
        <v>1.0256297210186476</v>
      </c>
      <c r="AQ53">
        <v>5.8298748131682476</v>
      </c>
      <c r="AR53">
        <v>0.76404153342581338</v>
      </c>
      <c r="AS53">
        <v>2.9478812392824603</v>
      </c>
      <c r="AT53" t="e">
        <v>#DIV/0!</v>
      </c>
      <c r="AU53" t="e">
        <v>#DIV/0!</v>
      </c>
      <c r="AV53"/>
      <c r="AW53"/>
      <c r="FY53" s="211">
        <v>48</v>
      </c>
      <c r="FZ53">
        <v>0.64313233169704309</v>
      </c>
      <c r="GA53">
        <v>1.324758912494294</v>
      </c>
      <c r="GB53">
        <v>0.98267807907001048</v>
      </c>
      <c r="GC53">
        <v>0.80847224600705148</v>
      </c>
      <c r="GD53">
        <v>0.40149884791215001</v>
      </c>
      <c r="GE53">
        <v>0.13569789937837501</v>
      </c>
      <c r="GF53">
        <v>0.33409761863227821</v>
      </c>
      <c r="GG53">
        <v>0.28954215414031298</v>
      </c>
      <c r="GH53">
        <v>0</v>
      </c>
      <c r="GI53">
        <v>0.62295320560592526</v>
      </c>
      <c r="GJ53"/>
      <c r="GK53">
        <v>0.64063124999999999</v>
      </c>
      <c r="GL53">
        <v>1.1153460937500002</v>
      </c>
      <c r="GM53">
        <v>1.6132056107954544</v>
      </c>
      <c r="GN53">
        <v>2.3706001420454546</v>
      </c>
      <c r="GO53">
        <v>1.5271875000000001</v>
      </c>
      <c r="GP53">
        <v>0.25523437500000001</v>
      </c>
      <c r="GQ53">
        <v>0.40278260869565213</v>
      </c>
      <c r="GR53">
        <v>0.40278260869565213</v>
      </c>
      <c r="GS53">
        <v>0</v>
      </c>
      <c r="GT53">
        <v>0.83676139389822135</v>
      </c>
      <c r="GU53"/>
      <c r="GV53"/>
      <c r="GW53"/>
      <c r="GX53"/>
      <c r="GY53"/>
      <c r="GZ53"/>
      <c r="HA53"/>
      <c r="HB53"/>
      <c r="HC53"/>
    </row>
    <row r="54" spans="1:211" s="7" customFormat="1">
      <c r="A54" s="4"/>
      <c r="B54" s="36"/>
      <c r="C54" s="48" t="s">
        <v>40</v>
      </c>
      <c r="D54" s="49">
        <f t="shared" si="27"/>
        <v>0</v>
      </c>
      <c r="E54" s="19">
        <f t="shared" ref="E54:E61" si="29">F376</f>
        <v>0</v>
      </c>
      <c r="F54" s="8"/>
      <c r="G54" s="49">
        <f>$E$54*$E$23*G39</f>
        <v>0</v>
      </c>
      <c r="H54" s="49">
        <f t="shared" ref="H54:AK54" si="30">$E$54*$E$23*H39</f>
        <v>0</v>
      </c>
      <c r="I54" s="49">
        <f t="shared" si="30"/>
        <v>0</v>
      </c>
      <c r="J54" s="49">
        <f t="shared" si="30"/>
        <v>0</v>
      </c>
      <c r="K54" s="49">
        <f t="shared" si="30"/>
        <v>0</v>
      </c>
      <c r="L54" s="49">
        <f t="shared" si="30"/>
        <v>0</v>
      </c>
      <c r="M54" s="49">
        <f t="shared" si="30"/>
        <v>0</v>
      </c>
      <c r="N54" s="49">
        <f t="shared" si="30"/>
        <v>0</v>
      </c>
      <c r="O54" s="49">
        <f t="shared" si="30"/>
        <v>0</v>
      </c>
      <c r="P54" s="49">
        <f t="shared" si="30"/>
        <v>0</v>
      </c>
      <c r="Q54" s="49">
        <f t="shared" si="30"/>
        <v>0</v>
      </c>
      <c r="R54" s="49">
        <f t="shared" si="30"/>
        <v>0</v>
      </c>
      <c r="S54" s="49">
        <f t="shared" si="30"/>
        <v>0</v>
      </c>
      <c r="T54" s="49">
        <f t="shared" si="30"/>
        <v>0</v>
      </c>
      <c r="U54" s="49">
        <f t="shared" si="30"/>
        <v>0</v>
      </c>
      <c r="V54" s="49">
        <f t="shared" si="30"/>
        <v>0</v>
      </c>
      <c r="W54" s="49">
        <f t="shared" si="30"/>
        <v>0</v>
      </c>
      <c r="X54" s="49">
        <f t="shared" si="30"/>
        <v>0</v>
      </c>
      <c r="Y54" s="49">
        <f t="shared" si="30"/>
        <v>0</v>
      </c>
      <c r="Z54" s="49">
        <f t="shared" si="30"/>
        <v>0</v>
      </c>
      <c r="AA54" s="49">
        <f t="shared" si="30"/>
        <v>0</v>
      </c>
      <c r="AB54" s="49">
        <f t="shared" si="30"/>
        <v>0</v>
      </c>
      <c r="AC54" s="49">
        <f t="shared" si="30"/>
        <v>0</v>
      </c>
      <c r="AD54" s="49">
        <f t="shared" si="30"/>
        <v>0</v>
      </c>
      <c r="AE54" s="49">
        <f t="shared" si="30"/>
        <v>0</v>
      </c>
      <c r="AF54" s="49">
        <f t="shared" si="30"/>
        <v>0</v>
      </c>
      <c r="AG54" s="49">
        <f t="shared" si="30"/>
        <v>0</v>
      </c>
      <c r="AH54" s="49">
        <f t="shared" si="30"/>
        <v>0</v>
      </c>
      <c r="AI54" s="49">
        <f t="shared" si="30"/>
        <v>0</v>
      </c>
      <c r="AJ54" s="49">
        <f t="shared" si="30"/>
        <v>0</v>
      </c>
      <c r="AK54" s="49">
        <f t="shared" si="30"/>
        <v>0</v>
      </c>
      <c r="AL54" s="42"/>
      <c r="AM54" s="43">
        <v>38</v>
      </c>
      <c r="AN54">
        <v>47.860617418186145</v>
      </c>
      <c r="AO54">
        <v>0.99654805351316944</v>
      </c>
      <c r="AP54">
        <v>10.201120272448229</v>
      </c>
      <c r="AQ54">
        <v>7.6519362970265599</v>
      </c>
      <c r="AR54">
        <v>0.9298942641203638</v>
      </c>
      <c r="AS54">
        <v>3.8763591887755071</v>
      </c>
      <c r="AT54" t="e">
        <v>#DIV/0!</v>
      </c>
      <c r="AU54" t="e">
        <v>#DIV/0!</v>
      </c>
      <c r="AV54"/>
      <c r="AW54"/>
      <c r="FY54" s="211">
        <v>49</v>
      </c>
      <c r="FZ54">
        <v>1.1729465838454896</v>
      </c>
      <c r="GA54">
        <v>2.2582661521042198</v>
      </c>
      <c r="GB54">
        <v>0.5655555827639438</v>
      </c>
      <c r="GC54">
        <v>0.30799936895108382</v>
      </c>
      <c r="GD54">
        <v>0.21972531161699682</v>
      </c>
      <c r="GE54">
        <v>8.2862930684025005E-2</v>
      </c>
      <c r="GF54">
        <v>0.94961445999065341</v>
      </c>
      <c r="GG54">
        <v>0.71770870692793864</v>
      </c>
      <c r="GH54">
        <v>9.1942943341694713E-2</v>
      </c>
      <c r="GI54">
        <v>0.62168010551960229</v>
      </c>
      <c r="GJ54"/>
      <c r="GK54">
        <v>1.1689705882352939</v>
      </c>
      <c r="GL54">
        <v>1.9022362132352941</v>
      </c>
      <c r="GM54">
        <v>0.92818750000000005</v>
      </c>
      <c r="GN54">
        <v>0.90205401785714301</v>
      </c>
      <c r="GO54">
        <v>0.83571026785714297</v>
      </c>
      <c r="GP54">
        <v>0.15557812500000001</v>
      </c>
      <c r="GQ54">
        <v>1.1452214673913044</v>
      </c>
      <c r="GR54">
        <v>0.99869021739130437</v>
      </c>
      <c r="GS54">
        <v>9.7175480769230771E-2</v>
      </c>
      <c r="GT54">
        <v>0.83505306085059439</v>
      </c>
      <c r="GU54"/>
      <c r="GV54"/>
      <c r="GW54"/>
      <c r="GX54"/>
      <c r="GY54"/>
      <c r="GZ54"/>
      <c r="HA54"/>
      <c r="HB54"/>
      <c r="HC54"/>
    </row>
    <row r="55" spans="1:211" s="7" customFormat="1">
      <c r="A55" s="4"/>
      <c r="B55" s="36"/>
      <c r="C55" s="48" t="s">
        <v>41</v>
      </c>
      <c r="D55" s="49">
        <f t="shared" si="27"/>
        <v>0</v>
      </c>
      <c r="E55" s="19">
        <f t="shared" si="29"/>
        <v>0</v>
      </c>
      <c r="F55" s="8"/>
      <c r="G55" s="49">
        <f>$E$55*$E$24*G40</f>
        <v>0</v>
      </c>
      <c r="H55" s="49">
        <f t="shared" ref="H55:AK55" si="31">$E$55*$E$24*H40</f>
        <v>0</v>
      </c>
      <c r="I55" s="49">
        <f t="shared" si="31"/>
        <v>0</v>
      </c>
      <c r="J55" s="49">
        <f t="shared" si="31"/>
        <v>0</v>
      </c>
      <c r="K55" s="49">
        <f t="shared" si="31"/>
        <v>0</v>
      </c>
      <c r="L55" s="49">
        <f t="shared" si="31"/>
        <v>0</v>
      </c>
      <c r="M55" s="49">
        <f t="shared" si="31"/>
        <v>0</v>
      </c>
      <c r="N55" s="49">
        <f t="shared" si="31"/>
        <v>0</v>
      </c>
      <c r="O55" s="49">
        <f t="shared" si="31"/>
        <v>0</v>
      </c>
      <c r="P55" s="49">
        <f t="shared" si="31"/>
        <v>0</v>
      </c>
      <c r="Q55" s="49">
        <f t="shared" si="31"/>
        <v>0</v>
      </c>
      <c r="R55" s="49">
        <f t="shared" si="31"/>
        <v>0</v>
      </c>
      <c r="S55" s="49">
        <f t="shared" si="31"/>
        <v>0</v>
      </c>
      <c r="T55" s="49">
        <f t="shared" si="31"/>
        <v>0</v>
      </c>
      <c r="U55" s="49">
        <f t="shared" si="31"/>
        <v>0</v>
      </c>
      <c r="V55" s="49">
        <f t="shared" si="31"/>
        <v>0</v>
      </c>
      <c r="W55" s="49">
        <f t="shared" si="31"/>
        <v>0</v>
      </c>
      <c r="X55" s="49">
        <f t="shared" si="31"/>
        <v>0</v>
      </c>
      <c r="Y55" s="49">
        <f t="shared" si="31"/>
        <v>0</v>
      </c>
      <c r="Z55" s="49">
        <f t="shared" si="31"/>
        <v>0</v>
      </c>
      <c r="AA55" s="49">
        <f t="shared" si="31"/>
        <v>0</v>
      </c>
      <c r="AB55" s="49">
        <f t="shared" si="31"/>
        <v>0</v>
      </c>
      <c r="AC55" s="49">
        <f t="shared" si="31"/>
        <v>0</v>
      </c>
      <c r="AD55" s="49">
        <f t="shared" si="31"/>
        <v>0</v>
      </c>
      <c r="AE55" s="49">
        <f t="shared" si="31"/>
        <v>0</v>
      </c>
      <c r="AF55" s="49">
        <f t="shared" si="31"/>
        <v>0</v>
      </c>
      <c r="AG55" s="49">
        <f t="shared" si="31"/>
        <v>0</v>
      </c>
      <c r="AH55" s="49">
        <f t="shared" si="31"/>
        <v>0</v>
      </c>
      <c r="AI55" s="49">
        <f t="shared" si="31"/>
        <v>0</v>
      </c>
      <c r="AJ55" s="49">
        <f t="shared" si="31"/>
        <v>0</v>
      </c>
      <c r="AK55" s="49">
        <f t="shared" si="31"/>
        <v>0</v>
      </c>
      <c r="AL55" s="42"/>
      <c r="AM55" s="43">
        <v>39</v>
      </c>
      <c r="AN55">
        <v>42.768492342589205</v>
      </c>
      <c r="AO55">
        <v>1.0152829399319507</v>
      </c>
      <c r="AP55">
        <v>4.6606755765186048</v>
      </c>
      <c r="AQ55">
        <v>7.011118461719323</v>
      </c>
      <c r="AR55">
        <v>0.92660664993813735</v>
      </c>
      <c r="AS55">
        <v>3.5248694414478101</v>
      </c>
      <c r="AT55" t="e">
        <v>#DIV/0!</v>
      </c>
      <c r="AU55" t="e">
        <v>#DIV/0!</v>
      </c>
      <c r="AV55"/>
      <c r="AW55"/>
      <c r="FY55" s="211">
        <v>50</v>
      </c>
      <c r="FZ55">
        <v>1.6471077392635796</v>
      </c>
      <c r="GA55">
        <v>1.8741229460814504</v>
      </c>
      <c r="GB55">
        <v>1.0584236518110528</v>
      </c>
      <c r="GC55">
        <v>0.82588191075020267</v>
      </c>
      <c r="GD55">
        <v>0.21881455768819927</v>
      </c>
      <c r="GE55">
        <v>4.8178868064750004E-2</v>
      </c>
      <c r="GF55">
        <v>0</v>
      </c>
      <c r="GG55">
        <v>5.0581908438140623E-2</v>
      </c>
      <c r="GH55">
        <v>8.9508689212329934E-2</v>
      </c>
      <c r="GI55">
        <v>0.6409451680605297</v>
      </c>
      <c r="GJ55"/>
      <c r="GK55">
        <v>1.6412924632352941</v>
      </c>
      <c r="GL55">
        <v>1.5783041819852939</v>
      </c>
      <c r="GM55">
        <v>1.7375337357954546</v>
      </c>
      <c r="GN55">
        <v>2.4225479099025975</v>
      </c>
      <c r="GO55">
        <v>0.83202589285714279</v>
      </c>
      <c r="GP55">
        <v>9.0468750000000001E-2</v>
      </c>
      <c r="GQ55">
        <v>0</v>
      </c>
      <c r="GR55">
        <v>7.0364583333333328E-2</v>
      </c>
      <c r="GS55">
        <v>9.465845352564102E-2</v>
      </c>
      <c r="GT55">
        <v>0.86110210908270646</v>
      </c>
      <c r="GU55"/>
      <c r="GV55"/>
      <c r="GW55"/>
      <c r="GX55"/>
      <c r="GY55"/>
      <c r="GZ55"/>
      <c r="HA55"/>
      <c r="HB55"/>
      <c r="HC55"/>
    </row>
    <row r="56" spans="1:211" s="7" customFormat="1">
      <c r="A56" s="4"/>
      <c r="B56" s="36"/>
      <c r="C56" s="48" t="s">
        <v>42</v>
      </c>
      <c r="D56" s="49">
        <f t="shared" si="27"/>
        <v>0.28121007235162876</v>
      </c>
      <c r="E56" s="19">
        <f t="shared" si="29"/>
        <v>1.375329191536692E-2</v>
      </c>
      <c r="F56" s="8"/>
      <c r="G56" s="49">
        <f>$E$56*$E$25*G41</f>
        <v>1.0722410209517936E-2</v>
      </c>
      <c r="H56" s="49">
        <f t="shared" ref="H56:AK56" si="32">$E$56*$E$25*H41</f>
        <v>0.24418449135397163</v>
      </c>
      <c r="I56" s="49">
        <f t="shared" si="32"/>
        <v>2.6303170788139228E-2</v>
      </c>
      <c r="J56" s="49">
        <f t="shared" si="32"/>
        <v>0</v>
      </c>
      <c r="K56" s="49">
        <f t="shared" si="32"/>
        <v>0</v>
      </c>
      <c r="L56" s="49">
        <f t="shared" si="32"/>
        <v>0</v>
      </c>
      <c r="M56" s="49">
        <f t="shared" si="32"/>
        <v>0</v>
      </c>
      <c r="N56" s="49">
        <f t="shared" si="32"/>
        <v>0</v>
      </c>
      <c r="O56" s="49">
        <f t="shared" si="32"/>
        <v>0</v>
      </c>
      <c r="P56" s="49">
        <f t="shared" si="32"/>
        <v>0</v>
      </c>
      <c r="Q56" s="49">
        <f t="shared" si="32"/>
        <v>0</v>
      </c>
      <c r="R56" s="49">
        <f t="shared" si="32"/>
        <v>0</v>
      </c>
      <c r="S56" s="49">
        <f t="shared" si="32"/>
        <v>0</v>
      </c>
      <c r="T56" s="49">
        <f t="shared" si="32"/>
        <v>0</v>
      </c>
      <c r="U56" s="49">
        <f t="shared" si="32"/>
        <v>0</v>
      </c>
      <c r="V56" s="49">
        <f t="shared" si="32"/>
        <v>0</v>
      </c>
      <c r="W56" s="49">
        <f t="shared" si="32"/>
        <v>0</v>
      </c>
      <c r="X56" s="49">
        <f t="shared" si="32"/>
        <v>0</v>
      </c>
      <c r="Y56" s="49">
        <f t="shared" si="32"/>
        <v>0</v>
      </c>
      <c r="Z56" s="49">
        <f t="shared" si="32"/>
        <v>0</v>
      </c>
      <c r="AA56" s="49">
        <f t="shared" si="32"/>
        <v>0</v>
      </c>
      <c r="AB56" s="49">
        <f t="shared" si="32"/>
        <v>0</v>
      </c>
      <c r="AC56" s="49">
        <f t="shared" si="32"/>
        <v>0</v>
      </c>
      <c r="AD56" s="49">
        <f t="shared" si="32"/>
        <v>0</v>
      </c>
      <c r="AE56" s="49">
        <f t="shared" si="32"/>
        <v>0</v>
      </c>
      <c r="AF56" s="49">
        <f t="shared" si="32"/>
        <v>0</v>
      </c>
      <c r="AG56" s="49">
        <f t="shared" si="32"/>
        <v>0</v>
      </c>
      <c r="AH56" s="49">
        <f t="shared" si="32"/>
        <v>0</v>
      </c>
      <c r="AI56" s="49">
        <f t="shared" si="32"/>
        <v>0</v>
      </c>
      <c r="AJ56" s="49">
        <f t="shared" si="32"/>
        <v>0</v>
      </c>
      <c r="AK56" s="49">
        <f t="shared" si="32"/>
        <v>0</v>
      </c>
      <c r="AL56" s="42"/>
      <c r="AM56" s="43">
        <v>40</v>
      </c>
      <c r="AN56">
        <v>44.579540598290599</v>
      </c>
      <c r="AO56">
        <v>1.0461198413461539</v>
      </c>
      <c r="AP56">
        <v>5.8601025701181122</v>
      </c>
      <c r="AQ56">
        <v>5.9472476820828994</v>
      </c>
      <c r="AR56">
        <v>0.95543510489510508</v>
      </c>
      <c r="AS56">
        <v>3.7444965111621507</v>
      </c>
      <c r="AT56" t="e">
        <v>#DIV/0!</v>
      </c>
      <c r="AU56" t="e">
        <v>#DIV/0!</v>
      </c>
      <c r="AV56"/>
      <c r="AW56"/>
      <c r="FY56" s="211">
        <v>51</v>
      </c>
      <c r="FZ56">
        <v>2.4072368547309648</v>
      </c>
      <c r="GA56">
        <v>3.0829117648624487</v>
      </c>
      <c r="GB56">
        <v>1.2928948418025172</v>
      </c>
      <c r="GC56">
        <v>1.0701832346108502</v>
      </c>
      <c r="GD56">
        <v>0.40250715872474246</v>
      </c>
      <c r="GE56">
        <v>0.13580575682962504</v>
      </c>
      <c r="GF56">
        <v>0.9090953625792253</v>
      </c>
      <c r="GG56">
        <v>0.76829061536607923</v>
      </c>
      <c r="GH56">
        <v>6.6522953376906252E-2</v>
      </c>
      <c r="GI56">
        <v>1.0747383483148063</v>
      </c>
      <c r="GJ56"/>
      <c r="GK56">
        <v>2.3991430147058823</v>
      </c>
      <c r="GL56">
        <v>2.5967797334558824</v>
      </c>
      <c r="GM56">
        <v>2.1227432528409089</v>
      </c>
      <c r="GN56">
        <v>3.1390190340909085</v>
      </c>
      <c r="GO56">
        <v>1.530740625</v>
      </c>
      <c r="GP56">
        <v>0.25514062500000001</v>
      </c>
      <c r="GQ56">
        <v>1.0963777173913045</v>
      </c>
      <c r="GR56">
        <v>1.0690548007246377</v>
      </c>
      <c r="GS56">
        <v>7.0364583333333328E-2</v>
      </c>
      <c r="GT56">
        <v>1.443873838654286</v>
      </c>
      <c r="GU56"/>
      <c r="GV56"/>
      <c r="GW56"/>
      <c r="GX56"/>
      <c r="GY56"/>
      <c r="GZ56"/>
      <c r="HA56"/>
      <c r="HB56"/>
      <c r="HC56"/>
    </row>
    <row r="57" spans="1:211" s="7" customFormat="1">
      <c r="A57" s="4"/>
      <c r="B57" s="36"/>
      <c r="C57" s="48" t="s">
        <v>118</v>
      </c>
      <c r="D57" s="49">
        <f t="shared" si="27"/>
        <v>0</v>
      </c>
      <c r="E57" s="19">
        <f t="shared" si="29"/>
        <v>0</v>
      </c>
      <c r="F57" s="8"/>
      <c r="G57" s="49">
        <f>$E$57*$E$26*G42</f>
        <v>0</v>
      </c>
      <c r="H57" s="49">
        <f t="shared" ref="H57:AK57" si="33">$E$57*$E$26*H42</f>
        <v>0</v>
      </c>
      <c r="I57" s="49">
        <f t="shared" si="33"/>
        <v>0</v>
      </c>
      <c r="J57" s="49">
        <f t="shared" si="33"/>
        <v>0</v>
      </c>
      <c r="K57" s="49">
        <f t="shared" si="33"/>
        <v>0</v>
      </c>
      <c r="L57" s="49">
        <f t="shared" si="33"/>
        <v>0</v>
      </c>
      <c r="M57" s="49">
        <f t="shared" si="33"/>
        <v>0</v>
      </c>
      <c r="N57" s="49">
        <f t="shared" si="33"/>
        <v>0</v>
      </c>
      <c r="O57" s="49">
        <f t="shared" si="33"/>
        <v>0</v>
      </c>
      <c r="P57" s="49">
        <f t="shared" si="33"/>
        <v>0</v>
      </c>
      <c r="Q57" s="49">
        <f t="shared" si="33"/>
        <v>0</v>
      </c>
      <c r="R57" s="49">
        <f t="shared" si="33"/>
        <v>0</v>
      </c>
      <c r="S57" s="49">
        <f t="shared" si="33"/>
        <v>0</v>
      </c>
      <c r="T57" s="49">
        <f t="shared" si="33"/>
        <v>0</v>
      </c>
      <c r="U57" s="49">
        <f t="shared" si="33"/>
        <v>0</v>
      </c>
      <c r="V57" s="49">
        <f t="shared" si="33"/>
        <v>0</v>
      </c>
      <c r="W57" s="49">
        <f t="shared" si="33"/>
        <v>0</v>
      </c>
      <c r="X57" s="49">
        <f t="shared" si="33"/>
        <v>0</v>
      </c>
      <c r="Y57" s="49">
        <f t="shared" si="33"/>
        <v>0</v>
      </c>
      <c r="Z57" s="49">
        <f t="shared" si="33"/>
        <v>0</v>
      </c>
      <c r="AA57" s="49">
        <f t="shared" si="33"/>
        <v>0</v>
      </c>
      <c r="AB57" s="49">
        <f t="shared" si="33"/>
        <v>0</v>
      </c>
      <c r="AC57" s="49">
        <f t="shared" si="33"/>
        <v>0</v>
      </c>
      <c r="AD57" s="49">
        <f t="shared" si="33"/>
        <v>0</v>
      </c>
      <c r="AE57" s="49">
        <f t="shared" si="33"/>
        <v>0</v>
      </c>
      <c r="AF57" s="49">
        <f t="shared" si="33"/>
        <v>0</v>
      </c>
      <c r="AG57" s="49">
        <f t="shared" si="33"/>
        <v>0</v>
      </c>
      <c r="AH57" s="49">
        <f t="shared" si="33"/>
        <v>0</v>
      </c>
      <c r="AI57" s="49">
        <f t="shared" si="33"/>
        <v>0</v>
      </c>
      <c r="AJ57" s="49">
        <f t="shared" si="33"/>
        <v>0</v>
      </c>
      <c r="AK57" s="49">
        <f t="shared" si="33"/>
        <v>0</v>
      </c>
      <c r="AL57" s="42"/>
      <c r="AM57" s="43">
        <v>41</v>
      </c>
      <c r="AN57">
        <v>40.394963239848138</v>
      </c>
      <c r="AO57">
        <v>0.95672166249426183</v>
      </c>
      <c r="AP57">
        <v>0.84741285156470902</v>
      </c>
      <c r="AQ57">
        <v>7.257065990507793</v>
      </c>
      <c r="AR57">
        <v>0.87919981773953881</v>
      </c>
      <c r="AS57">
        <v>3.3233876794822894</v>
      </c>
      <c r="AT57">
        <v>0.64840202846335637</v>
      </c>
      <c r="AU57">
        <v>1.303099575027826E-2</v>
      </c>
      <c r="AV57"/>
      <c r="AW57"/>
      <c r="FY57" s="211">
        <v>52</v>
      </c>
      <c r="FZ57">
        <v>1.3019898972041803</v>
      </c>
      <c r="GA57">
        <v>2.1493067051970445</v>
      </c>
      <c r="GB57">
        <v>1.5307967078194251</v>
      </c>
      <c r="GC57">
        <v>0.89126891230207161</v>
      </c>
      <c r="GD57">
        <v>0.26301879795916605</v>
      </c>
      <c r="GE57">
        <v>0.14646218478772499</v>
      </c>
      <c r="GF57">
        <v>0.5344786465355188</v>
      </c>
      <c r="GG57">
        <v>0.52933036966390667</v>
      </c>
      <c r="GH57">
        <v>0.20200311426008355</v>
      </c>
      <c r="GI57">
        <v>0.84394659479527578</v>
      </c>
      <c r="GJ57"/>
      <c r="GK57">
        <v>1.2975299632352939</v>
      </c>
      <c r="GL57">
        <v>1.8102604319852942</v>
      </c>
      <c r="GM57">
        <v>2.5132276278409087</v>
      </c>
      <c r="GN57">
        <v>2.6149614448051945</v>
      </c>
      <c r="GO57">
        <v>1.0000111607142856</v>
      </c>
      <c r="GP57">
        <v>0.27501562500000004</v>
      </c>
      <c r="GQ57">
        <v>0.64475135869565214</v>
      </c>
      <c r="GR57">
        <v>0.73663677536231864</v>
      </c>
      <c r="GS57">
        <v>0.21361077724358973</v>
      </c>
      <c r="GT57">
        <v>1.1338261775459462</v>
      </c>
      <c r="GU57"/>
      <c r="GV57"/>
      <c r="GW57"/>
      <c r="GX57"/>
      <c r="GY57"/>
      <c r="GZ57"/>
      <c r="HA57"/>
      <c r="HB57"/>
      <c r="HC57"/>
    </row>
    <row r="58" spans="1:211" s="7" customFormat="1">
      <c r="A58" s="4"/>
      <c r="B58" s="1"/>
      <c r="C58" s="48" t="s">
        <v>119</v>
      </c>
      <c r="D58" s="49">
        <f t="shared" si="27"/>
        <v>0.18951716555624648</v>
      </c>
      <c r="E58" s="19">
        <f t="shared" si="29"/>
        <v>2.8717054250514502E-3</v>
      </c>
      <c r="F58" s="8"/>
      <c r="G58" s="49">
        <f>$E$58*$E$27*G43</f>
        <v>6.5299889141833987E-4</v>
      </c>
      <c r="H58" s="49">
        <f t="shared" ref="H58:AK58" si="34">$E$58*$E$27*H43</f>
        <v>0.16483606892865546</v>
      </c>
      <c r="I58" s="49">
        <f t="shared" si="34"/>
        <v>2.4028097736172684E-2</v>
      </c>
      <c r="J58" s="49">
        <f t="shared" si="34"/>
        <v>0</v>
      </c>
      <c r="K58" s="49">
        <f t="shared" si="34"/>
        <v>0</v>
      </c>
      <c r="L58" s="49">
        <f t="shared" si="34"/>
        <v>0</v>
      </c>
      <c r="M58" s="49">
        <f t="shared" si="34"/>
        <v>0</v>
      </c>
      <c r="N58" s="49">
        <f t="shared" si="34"/>
        <v>0</v>
      </c>
      <c r="O58" s="49">
        <f t="shared" si="34"/>
        <v>0</v>
      </c>
      <c r="P58" s="49">
        <f t="shared" si="34"/>
        <v>0</v>
      </c>
      <c r="Q58" s="49">
        <f t="shared" si="34"/>
        <v>0</v>
      </c>
      <c r="R58" s="49">
        <f t="shared" si="34"/>
        <v>0</v>
      </c>
      <c r="S58" s="49">
        <f t="shared" si="34"/>
        <v>0</v>
      </c>
      <c r="T58" s="49">
        <f t="shared" si="34"/>
        <v>0</v>
      </c>
      <c r="U58" s="49">
        <f t="shared" si="34"/>
        <v>0</v>
      </c>
      <c r="V58" s="49">
        <f t="shared" si="34"/>
        <v>0</v>
      </c>
      <c r="W58" s="49">
        <f t="shared" si="34"/>
        <v>0</v>
      </c>
      <c r="X58" s="49">
        <f t="shared" si="34"/>
        <v>0</v>
      </c>
      <c r="Y58" s="49">
        <f t="shared" si="34"/>
        <v>0</v>
      </c>
      <c r="Z58" s="49">
        <f t="shared" si="34"/>
        <v>0</v>
      </c>
      <c r="AA58" s="49">
        <f t="shared" si="34"/>
        <v>0</v>
      </c>
      <c r="AB58" s="49">
        <f t="shared" si="34"/>
        <v>0</v>
      </c>
      <c r="AC58" s="49">
        <f t="shared" si="34"/>
        <v>0</v>
      </c>
      <c r="AD58" s="49">
        <f t="shared" si="34"/>
        <v>0</v>
      </c>
      <c r="AE58" s="49">
        <f t="shared" si="34"/>
        <v>0</v>
      </c>
      <c r="AF58" s="49">
        <f t="shared" si="34"/>
        <v>0</v>
      </c>
      <c r="AG58" s="49">
        <f t="shared" si="34"/>
        <v>0</v>
      </c>
      <c r="AH58" s="49">
        <f t="shared" si="34"/>
        <v>0</v>
      </c>
      <c r="AI58" s="49">
        <f t="shared" si="34"/>
        <v>0</v>
      </c>
      <c r="AJ58" s="49">
        <f t="shared" si="34"/>
        <v>0</v>
      </c>
      <c r="AK58" s="49">
        <f t="shared" si="34"/>
        <v>0</v>
      </c>
      <c r="AL58" s="42"/>
      <c r="AM58" s="43">
        <v>42</v>
      </c>
      <c r="AN58">
        <v>30.421076795173654</v>
      </c>
      <c r="AO58">
        <v>0.74037400495026595</v>
      </c>
      <c r="AP58">
        <v>7.6704364631721607</v>
      </c>
      <c r="AQ58">
        <v>5.2244903043405317</v>
      </c>
      <c r="AR58">
        <v>0.67527581088136057</v>
      </c>
      <c r="AS58">
        <v>2.6106308371550075</v>
      </c>
      <c r="AT58" t="e">
        <v>#DIV/0!</v>
      </c>
      <c r="AU58" t="e">
        <v>#DIV/0!</v>
      </c>
      <c r="AV58"/>
      <c r="AW58"/>
      <c r="FY58" s="211">
        <v>53</v>
      </c>
      <c r="FZ58">
        <v>1.0185984725779944</v>
      </c>
      <c r="GA58">
        <v>1.4211743596605713</v>
      </c>
      <c r="GB58">
        <v>0.45698517676612971</v>
      </c>
      <c r="GC58">
        <v>0.57303319046788059</v>
      </c>
      <c r="GD58">
        <v>0.41863365171713252</v>
      </c>
      <c r="GE58">
        <v>0.20705340458159999</v>
      </c>
      <c r="GF58">
        <v>0.61551684135837503</v>
      </c>
      <c r="GG58">
        <v>0.4281665527876255</v>
      </c>
      <c r="GH58">
        <v>0</v>
      </c>
      <c r="GI58">
        <v>0.61045283998181621</v>
      </c>
      <c r="GJ58"/>
      <c r="GK58">
        <v>1.0152674632352943</v>
      </c>
      <c r="GL58">
        <v>1.1970721507352944</v>
      </c>
      <c r="GM58">
        <v>0.74973437500000006</v>
      </c>
      <c r="GN58">
        <v>1.6786890624999999</v>
      </c>
      <c r="GO58">
        <v>1.5923531250000003</v>
      </c>
      <c r="GP58">
        <v>0.38906249999999998</v>
      </c>
      <c r="GQ58">
        <v>0.74243885869565207</v>
      </c>
      <c r="GR58">
        <v>0.59590760869565207</v>
      </c>
      <c r="GS58">
        <v>0</v>
      </c>
      <c r="GT58">
        <v>0.81995876438618942</v>
      </c>
      <c r="GU58"/>
      <c r="GV58"/>
      <c r="GW58"/>
      <c r="GX58"/>
      <c r="GY58"/>
      <c r="GZ58"/>
      <c r="HA58"/>
      <c r="HB58"/>
      <c r="HC58"/>
    </row>
    <row r="59" spans="1:211" s="7" customFormat="1">
      <c r="A59" s="4"/>
      <c r="B59" s="1"/>
      <c r="C59" s="48" t="s">
        <v>120</v>
      </c>
      <c r="D59" s="49">
        <f t="shared" si="27"/>
        <v>0</v>
      </c>
      <c r="E59" s="19">
        <f t="shared" si="29"/>
        <v>0</v>
      </c>
      <c r="F59" s="8"/>
      <c r="G59" s="49">
        <f>$E$59*$E$28*G44</f>
        <v>0</v>
      </c>
      <c r="H59" s="49">
        <f t="shared" ref="H59:AK59" si="35">$E$59*$E$28*H44</f>
        <v>0</v>
      </c>
      <c r="I59" s="49">
        <f t="shared" si="35"/>
        <v>0</v>
      </c>
      <c r="J59" s="49">
        <f t="shared" si="35"/>
        <v>0</v>
      </c>
      <c r="K59" s="49">
        <f t="shared" si="35"/>
        <v>0</v>
      </c>
      <c r="L59" s="49">
        <f t="shared" si="35"/>
        <v>0</v>
      </c>
      <c r="M59" s="49">
        <f t="shared" si="35"/>
        <v>0</v>
      </c>
      <c r="N59" s="49">
        <f t="shared" si="35"/>
        <v>0</v>
      </c>
      <c r="O59" s="49">
        <f t="shared" si="35"/>
        <v>0</v>
      </c>
      <c r="P59" s="49">
        <f t="shared" si="35"/>
        <v>0</v>
      </c>
      <c r="Q59" s="49">
        <f t="shared" si="35"/>
        <v>0</v>
      </c>
      <c r="R59" s="49">
        <f t="shared" si="35"/>
        <v>0</v>
      </c>
      <c r="S59" s="49">
        <f t="shared" si="35"/>
        <v>0</v>
      </c>
      <c r="T59" s="49">
        <f t="shared" si="35"/>
        <v>0</v>
      </c>
      <c r="U59" s="49">
        <f t="shared" si="35"/>
        <v>0</v>
      </c>
      <c r="V59" s="49">
        <f t="shared" si="35"/>
        <v>0</v>
      </c>
      <c r="W59" s="49">
        <f t="shared" si="35"/>
        <v>0</v>
      </c>
      <c r="X59" s="49">
        <f t="shared" si="35"/>
        <v>0</v>
      </c>
      <c r="Y59" s="49">
        <f t="shared" si="35"/>
        <v>0</v>
      </c>
      <c r="Z59" s="49">
        <f t="shared" si="35"/>
        <v>0</v>
      </c>
      <c r="AA59" s="49">
        <f t="shared" si="35"/>
        <v>0</v>
      </c>
      <c r="AB59" s="49">
        <f t="shared" si="35"/>
        <v>0</v>
      </c>
      <c r="AC59" s="49">
        <f t="shared" si="35"/>
        <v>0</v>
      </c>
      <c r="AD59" s="49">
        <f t="shared" si="35"/>
        <v>0</v>
      </c>
      <c r="AE59" s="49">
        <f t="shared" si="35"/>
        <v>0</v>
      </c>
      <c r="AF59" s="49">
        <f t="shared" si="35"/>
        <v>0</v>
      </c>
      <c r="AG59" s="49">
        <f t="shared" si="35"/>
        <v>0</v>
      </c>
      <c r="AH59" s="49">
        <f t="shared" si="35"/>
        <v>0</v>
      </c>
      <c r="AI59" s="49">
        <f t="shared" si="35"/>
        <v>0</v>
      </c>
      <c r="AJ59" s="49">
        <f t="shared" si="35"/>
        <v>0</v>
      </c>
      <c r="AK59" s="49">
        <f t="shared" si="35"/>
        <v>0</v>
      </c>
      <c r="AL59" s="42"/>
      <c r="AM59" s="43">
        <v>43</v>
      </c>
      <c r="AN59">
        <v>27.267366198616195</v>
      </c>
      <c r="AO59">
        <v>0.52247544894688636</v>
      </c>
      <c r="AP59">
        <v>8.4539734436075822</v>
      </c>
      <c r="AQ59">
        <v>3.5354988492496524</v>
      </c>
      <c r="AR59">
        <v>0.47718621451465193</v>
      </c>
      <c r="AS59">
        <v>2.2700192482451973</v>
      </c>
      <c r="AT59" t="e">
        <v>#DIV/0!</v>
      </c>
      <c r="AU59" t="e">
        <v>#DIV/0!</v>
      </c>
      <c r="AV59"/>
      <c r="AW59"/>
      <c r="FY59" s="211">
        <v>54</v>
      </c>
      <c r="FZ59">
        <v>0.31795834556278968</v>
      </c>
      <c r="GA59">
        <v>0.66058248341859904</v>
      </c>
      <c r="GB59">
        <v>1.3539017347946261</v>
      </c>
      <c r="GC59">
        <v>0.92252452334748702</v>
      </c>
      <c r="GD59">
        <v>0.24117806578691245</v>
      </c>
      <c r="GE59">
        <v>8.1904075710074992E-2</v>
      </c>
      <c r="GF59">
        <v>0</v>
      </c>
      <c r="GG59">
        <v>5.0581908438140623E-2</v>
      </c>
      <c r="GH59">
        <v>0.11249442504775362</v>
      </c>
      <c r="GI59">
        <v>0.53232586627703271</v>
      </c>
      <c r="GJ59"/>
      <c r="GK59">
        <v>0.31669687499999999</v>
      </c>
      <c r="GL59">
        <v>0.55600546875000001</v>
      </c>
      <c r="GM59">
        <v>2.222969815340909</v>
      </c>
      <c r="GN59">
        <v>2.7074112215909087</v>
      </c>
      <c r="GO59">
        <v>0.91739062499999979</v>
      </c>
      <c r="GP59">
        <v>0.153796875</v>
      </c>
      <c r="GQ59">
        <v>0</v>
      </c>
      <c r="GR59">
        <v>7.0364583333333328E-2</v>
      </c>
      <c r="GS59">
        <v>0.11895232371794871</v>
      </c>
      <c r="GT59">
        <v>0.7152019278117715</v>
      </c>
      <c r="GU59"/>
      <c r="GV59"/>
      <c r="GW59"/>
      <c r="GX59"/>
      <c r="GY59"/>
      <c r="GZ59"/>
      <c r="HA59"/>
      <c r="HB59"/>
      <c r="HC59"/>
    </row>
    <row r="60" spans="1:211" s="7" customFormat="1">
      <c r="A60" s="4"/>
      <c r="B60" s="1"/>
      <c r="C60" s="48" t="s">
        <v>121</v>
      </c>
      <c r="D60" s="49">
        <f t="shared" si="27"/>
        <v>0</v>
      </c>
      <c r="E60" s="19">
        <f t="shared" si="29"/>
        <v>0</v>
      </c>
      <c r="F60" s="8"/>
      <c r="G60" s="49">
        <f>$E$60*$E$29*G45</f>
        <v>0</v>
      </c>
      <c r="H60" s="49">
        <f t="shared" ref="H60:AK60" si="36">$E$60*$E$29*H45</f>
        <v>0</v>
      </c>
      <c r="I60" s="49">
        <f t="shared" si="36"/>
        <v>0</v>
      </c>
      <c r="J60" s="49">
        <f t="shared" si="36"/>
        <v>0</v>
      </c>
      <c r="K60" s="49">
        <f t="shared" si="36"/>
        <v>0</v>
      </c>
      <c r="L60" s="49">
        <f t="shared" si="36"/>
        <v>0</v>
      </c>
      <c r="M60" s="49">
        <f t="shared" si="36"/>
        <v>0</v>
      </c>
      <c r="N60" s="49">
        <f t="shared" si="36"/>
        <v>0</v>
      </c>
      <c r="O60" s="49">
        <f t="shared" si="36"/>
        <v>0</v>
      </c>
      <c r="P60" s="49">
        <f t="shared" si="36"/>
        <v>0</v>
      </c>
      <c r="Q60" s="49">
        <f t="shared" si="36"/>
        <v>0</v>
      </c>
      <c r="R60" s="49">
        <f t="shared" si="36"/>
        <v>0</v>
      </c>
      <c r="S60" s="49">
        <f t="shared" si="36"/>
        <v>0</v>
      </c>
      <c r="T60" s="49">
        <f t="shared" si="36"/>
        <v>0</v>
      </c>
      <c r="U60" s="49">
        <f t="shared" si="36"/>
        <v>0</v>
      </c>
      <c r="V60" s="49">
        <f t="shared" si="36"/>
        <v>0</v>
      </c>
      <c r="W60" s="49">
        <f t="shared" si="36"/>
        <v>0</v>
      </c>
      <c r="X60" s="49">
        <f t="shared" si="36"/>
        <v>0</v>
      </c>
      <c r="Y60" s="49">
        <f t="shared" si="36"/>
        <v>0</v>
      </c>
      <c r="Z60" s="49">
        <f t="shared" si="36"/>
        <v>0</v>
      </c>
      <c r="AA60" s="49">
        <f t="shared" si="36"/>
        <v>0</v>
      </c>
      <c r="AB60" s="49">
        <f t="shared" si="36"/>
        <v>0</v>
      </c>
      <c r="AC60" s="49">
        <f t="shared" si="36"/>
        <v>0</v>
      </c>
      <c r="AD60" s="49">
        <f t="shared" si="36"/>
        <v>0</v>
      </c>
      <c r="AE60" s="49">
        <f t="shared" si="36"/>
        <v>0</v>
      </c>
      <c r="AF60" s="49">
        <f t="shared" si="36"/>
        <v>0</v>
      </c>
      <c r="AG60" s="49">
        <f t="shared" si="36"/>
        <v>0</v>
      </c>
      <c r="AH60" s="49">
        <f t="shared" si="36"/>
        <v>0</v>
      </c>
      <c r="AI60" s="49">
        <f t="shared" si="36"/>
        <v>0</v>
      </c>
      <c r="AJ60" s="49">
        <f t="shared" si="36"/>
        <v>0</v>
      </c>
      <c r="AK60" s="49">
        <f t="shared" si="36"/>
        <v>0</v>
      </c>
      <c r="AL60" s="42"/>
      <c r="AM60" s="43">
        <v>44</v>
      </c>
      <c r="AN60">
        <v>54.77284340366581</v>
      </c>
      <c r="AO60">
        <v>1.1242378928628516</v>
      </c>
      <c r="AP60">
        <v>1.503422659497335</v>
      </c>
      <c r="AQ60">
        <v>6.9727165585798616</v>
      </c>
      <c r="AR60">
        <v>1.0510117207844107</v>
      </c>
      <c r="AS60">
        <v>4.7521005849321289</v>
      </c>
      <c r="AT60" t="e">
        <v>#DIV/0!</v>
      </c>
      <c r="AU60" t="e">
        <v>#DIV/0!</v>
      </c>
      <c r="AV60"/>
      <c r="AW60"/>
      <c r="FY60" s="211">
        <v>55</v>
      </c>
      <c r="FZ60">
        <v>0.56505100230437888</v>
      </c>
      <c r="GA60">
        <v>1.3478821431114683</v>
      </c>
      <c r="GB60">
        <v>1.0662076866232333</v>
      </c>
      <c r="GC60">
        <v>0.46911981818669135</v>
      </c>
      <c r="GD60">
        <v>0.13594140897389678</v>
      </c>
      <c r="GE60">
        <v>0.15315172346204997</v>
      </c>
      <c r="GF60">
        <v>0.69434057702733132</v>
      </c>
      <c r="GG60">
        <v>0.61737285987307855</v>
      </c>
      <c r="GH60">
        <v>6.6522953376906252E-2</v>
      </c>
      <c r="GI60">
        <v>0.55660238720884403</v>
      </c>
      <c r="GJ60"/>
      <c r="GK60">
        <v>0.56286562499999993</v>
      </c>
      <c r="GL60">
        <v>1.1349281250000001</v>
      </c>
      <c r="GM60">
        <v>1.7503970170454544</v>
      </c>
      <c r="GN60">
        <v>1.3771072849025972</v>
      </c>
      <c r="GO60">
        <v>0.51733526785714279</v>
      </c>
      <c r="GP60">
        <v>0.28771875000000002</v>
      </c>
      <c r="GQ60">
        <v>0.83787635869565202</v>
      </c>
      <c r="GR60">
        <v>0.85939719202898535</v>
      </c>
      <c r="GS60">
        <v>7.0364583333333328E-2</v>
      </c>
      <c r="GT60">
        <v>0.74776777038631648</v>
      </c>
      <c r="GU60"/>
      <c r="GV60"/>
      <c r="GW60"/>
      <c r="GX60"/>
      <c r="GY60"/>
      <c r="GZ60"/>
      <c r="HA60"/>
      <c r="HB60"/>
      <c r="HC60"/>
    </row>
    <row r="61" spans="1:211" s="7" customFormat="1">
      <c r="A61" s="4"/>
      <c r="B61" s="1"/>
      <c r="C61" s="48" t="s">
        <v>122</v>
      </c>
      <c r="D61" s="49">
        <f t="shared" si="27"/>
        <v>0</v>
      </c>
      <c r="E61" s="19">
        <f t="shared" si="29"/>
        <v>0</v>
      </c>
      <c r="F61" s="8"/>
      <c r="G61" s="49">
        <f>$E$61*$E$30*G46</f>
        <v>0</v>
      </c>
      <c r="H61" s="49">
        <f t="shared" ref="H61:AK61" si="37">$E$61*$E$30*H46</f>
        <v>0</v>
      </c>
      <c r="I61" s="49">
        <f t="shared" si="37"/>
        <v>0</v>
      </c>
      <c r="J61" s="49">
        <f t="shared" si="37"/>
        <v>0</v>
      </c>
      <c r="K61" s="49">
        <f t="shared" si="37"/>
        <v>0</v>
      </c>
      <c r="L61" s="49">
        <f t="shared" si="37"/>
        <v>0</v>
      </c>
      <c r="M61" s="49">
        <f t="shared" si="37"/>
        <v>0</v>
      </c>
      <c r="N61" s="49">
        <f t="shared" si="37"/>
        <v>0</v>
      </c>
      <c r="O61" s="49">
        <f t="shared" si="37"/>
        <v>0</v>
      </c>
      <c r="P61" s="49">
        <f t="shared" si="37"/>
        <v>0</v>
      </c>
      <c r="Q61" s="49">
        <f t="shared" si="37"/>
        <v>0</v>
      </c>
      <c r="R61" s="49">
        <f t="shared" si="37"/>
        <v>0</v>
      </c>
      <c r="S61" s="49">
        <f t="shared" si="37"/>
        <v>0</v>
      </c>
      <c r="T61" s="49">
        <f t="shared" si="37"/>
        <v>0</v>
      </c>
      <c r="U61" s="49">
        <f t="shared" si="37"/>
        <v>0</v>
      </c>
      <c r="V61" s="49">
        <f t="shared" si="37"/>
        <v>0</v>
      </c>
      <c r="W61" s="49">
        <f t="shared" si="37"/>
        <v>0</v>
      </c>
      <c r="X61" s="49">
        <f t="shared" si="37"/>
        <v>0</v>
      </c>
      <c r="Y61" s="49">
        <f t="shared" si="37"/>
        <v>0</v>
      </c>
      <c r="Z61" s="49">
        <f t="shared" si="37"/>
        <v>0</v>
      </c>
      <c r="AA61" s="49">
        <f t="shared" si="37"/>
        <v>0</v>
      </c>
      <c r="AB61" s="49">
        <f t="shared" si="37"/>
        <v>0</v>
      </c>
      <c r="AC61" s="49">
        <f t="shared" si="37"/>
        <v>0</v>
      </c>
      <c r="AD61" s="49">
        <f t="shared" si="37"/>
        <v>0</v>
      </c>
      <c r="AE61" s="49">
        <f t="shared" si="37"/>
        <v>0</v>
      </c>
      <c r="AF61" s="49">
        <f t="shared" si="37"/>
        <v>0</v>
      </c>
      <c r="AG61" s="49">
        <f t="shared" si="37"/>
        <v>0</v>
      </c>
      <c r="AH61" s="49">
        <f t="shared" si="37"/>
        <v>0</v>
      </c>
      <c r="AI61" s="49">
        <f t="shared" si="37"/>
        <v>0</v>
      </c>
      <c r="AJ61" s="49">
        <f t="shared" si="37"/>
        <v>0</v>
      </c>
      <c r="AK61" s="49">
        <f t="shared" si="37"/>
        <v>0</v>
      </c>
      <c r="AL61" s="42"/>
      <c r="AM61" s="43">
        <v>45</v>
      </c>
      <c r="AN61">
        <v>62.675495854464046</v>
      </c>
      <c r="AO61">
        <v>1.4086699919513164</v>
      </c>
      <c r="AP61">
        <v>1.1200043632671202</v>
      </c>
      <c r="AQ61">
        <v>9.4164676946585413</v>
      </c>
      <c r="AR61">
        <v>1.3154170490641337</v>
      </c>
      <c r="AS61">
        <v>5.0431144260898435</v>
      </c>
      <c r="AT61">
        <v>1.0125560573090082</v>
      </c>
      <c r="AU61">
        <v>0.3132083482370922</v>
      </c>
      <c r="AV61"/>
      <c r="AW61"/>
      <c r="FY61" s="211">
        <v>56</v>
      </c>
      <c r="FZ61">
        <v>2.2968949656114486</v>
      </c>
      <c r="GA61">
        <v>3.0921215569412017</v>
      </c>
      <c r="GB61">
        <v>1.9034489092429436</v>
      </c>
      <c r="GC61">
        <v>1.5234810535271959</v>
      </c>
      <c r="GD61">
        <v>0.55618243578976179</v>
      </c>
      <c r="GE61">
        <v>0.13677248244915</v>
      </c>
      <c r="GF61">
        <v>0.33409761863227821</v>
      </c>
      <c r="GG61">
        <v>0.39070597101659427</v>
      </c>
      <c r="GH61">
        <v>0.1330459067538125</v>
      </c>
      <c r="GI61">
        <v>1.2017701635947402</v>
      </c>
      <c r="GJ61"/>
      <c r="GK61">
        <v>2.2890318014705882</v>
      </c>
      <c r="GL61">
        <v>2.6043716452205881</v>
      </c>
      <c r="GM61">
        <v>3.125460582386363</v>
      </c>
      <c r="GN61">
        <v>4.4687872564935063</v>
      </c>
      <c r="GO61">
        <v>2.1148540178571427</v>
      </c>
      <c r="GP61">
        <v>0.25696875000000002</v>
      </c>
      <c r="GQ61">
        <v>0.40278260869565213</v>
      </c>
      <c r="GR61">
        <v>0.54351177536231876</v>
      </c>
      <c r="GS61">
        <v>0.14072916666666666</v>
      </c>
      <c r="GT61">
        <v>1.6145716354152826</v>
      </c>
      <c r="GU61"/>
      <c r="GV61"/>
      <c r="GW61"/>
      <c r="GX61"/>
      <c r="GY61"/>
      <c r="GZ61"/>
      <c r="HA61"/>
      <c r="HB61"/>
      <c r="HC61"/>
    </row>
    <row r="62" spans="1:211" s="7" customFormat="1">
      <c r="A62" s="4"/>
      <c r="B62" s="1"/>
      <c r="C62" s="48"/>
      <c r="D62" s="49"/>
      <c r="E62" s="19"/>
      <c r="F62" s="8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2"/>
      <c r="AM62" s="43">
        <v>46</v>
      </c>
      <c r="AN62">
        <v>56.80243037827357</v>
      </c>
      <c r="AO62">
        <v>1.3302354696298877</v>
      </c>
      <c r="AP62">
        <v>10.747804774060839</v>
      </c>
      <c r="AQ62">
        <v>10.064673937321306</v>
      </c>
      <c r="AR62">
        <v>1.2151356651355627</v>
      </c>
      <c r="AS62">
        <v>4.6867105095905117</v>
      </c>
      <c r="AT62" t="e">
        <v>#DIV/0!</v>
      </c>
      <c r="AU62" t="e">
        <v>#DIV/0!</v>
      </c>
      <c r="AV62"/>
      <c r="AW62"/>
      <c r="FY62" s="211">
        <v>57</v>
      </c>
      <c r="FZ62">
        <v>1.1403170620665302</v>
      </c>
      <c r="GA62">
        <v>1.2615583088898252</v>
      </c>
      <c r="GB62">
        <v>1.0455250409169363</v>
      </c>
      <c r="GC62">
        <v>0.85475126778465449</v>
      </c>
      <c r="GD62">
        <v>0.32501998493842499</v>
      </c>
      <c r="GE62">
        <v>6.9375995884124991E-2</v>
      </c>
      <c r="GF62">
        <v>0.36024295839505316</v>
      </c>
      <c r="GG62">
        <v>0.27724879729462504</v>
      </c>
      <c r="GH62">
        <v>2.2985735835423678E-2</v>
      </c>
      <c r="GI62">
        <v>0.67704399013167804</v>
      </c>
      <c r="GJ62"/>
      <c r="GK62">
        <v>1.136626838235294</v>
      </c>
      <c r="GL62">
        <v>1.0626698069852942</v>
      </c>
      <c r="GM62">
        <v>1.7164477982954545</v>
      </c>
      <c r="GN62">
        <v>2.506420454545454</v>
      </c>
      <c r="GO62">
        <v>1.23571875</v>
      </c>
      <c r="GP62">
        <v>0.130265625</v>
      </c>
      <c r="GQ62">
        <v>0.43509375</v>
      </c>
      <c r="GR62">
        <v>0.38624999999999998</v>
      </c>
      <c r="GS62">
        <v>2.4293870192307693E-2</v>
      </c>
      <c r="GT62">
        <v>0.90963620134461132</v>
      </c>
      <c r="GU62"/>
      <c r="GV62"/>
      <c r="GW62"/>
      <c r="GX62"/>
      <c r="GY62"/>
      <c r="GZ62"/>
      <c r="HA62"/>
      <c r="HB62"/>
      <c r="HC62"/>
    </row>
    <row r="63" spans="1:211" s="7" customFormat="1">
      <c r="A63" s="4"/>
      <c r="B63" s="1"/>
      <c r="C63" s="52" t="s">
        <v>53</v>
      </c>
      <c r="D63" s="53">
        <f>SUM(D52:D62)</f>
        <v>0.72183907323025043</v>
      </c>
      <c r="E63" s="19"/>
      <c r="F63" s="19"/>
      <c r="G63" s="19"/>
      <c r="H63" s="19"/>
      <c r="I63" s="18"/>
      <c r="J63" s="19"/>
      <c r="K63" s="61"/>
      <c r="L63" s="19"/>
      <c r="M63" s="18"/>
      <c r="N63" s="19"/>
      <c r="O63" s="19"/>
      <c r="P63" s="19"/>
      <c r="Q63" s="18"/>
      <c r="R63" s="18"/>
      <c r="S63" s="18"/>
      <c r="T63" s="18"/>
      <c r="U63" s="18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3"/>
      <c r="AH63" s="63"/>
      <c r="AI63" s="63"/>
      <c r="AJ63" s="63"/>
      <c r="AK63" s="63"/>
      <c r="AL63" s="42"/>
      <c r="AM63" s="43">
        <v>47</v>
      </c>
      <c r="AN63">
        <v>45.505694059953967</v>
      </c>
      <c r="AO63">
        <v>1.1326038068394999</v>
      </c>
      <c r="AP63">
        <v>10.803072550414079</v>
      </c>
      <c r="AQ63">
        <v>7.844605320011147</v>
      </c>
      <c r="AR63">
        <v>1.0318483580533915</v>
      </c>
      <c r="AS63">
        <v>3.8226421067642473</v>
      </c>
      <c r="AT63" t="e">
        <v>#DIV/0!</v>
      </c>
      <c r="AU63" t="e">
        <v>#DIV/0!</v>
      </c>
      <c r="AV63"/>
      <c r="AW63"/>
      <c r="FY63" s="211">
        <v>58</v>
      </c>
      <c r="FZ63">
        <v>1.8064478304626266</v>
      </c>
      <c r="GA63">
        <v>2.5424581236677386</v>
      </c>
      <c r="GB63">
        <v>0.96882162631564905</v>
      </c>
      <c r="GC63">
        <v>0.66709427240333374</v>
      </c>
      <c r="GD63">
        <v>0.29150315385265929</v>
      </c>
      <c r="GE63">
        <v>0.15502337532990002</v>
      </c>
      <c r="GF63">
        <v>4.0519097411428125E-2</v>
      </c>
      <c r="GG63">
        <v>0.10116381687628125</v>
      </c>
      <c r="GH63">
        <v>0.1330459067538125</v>
      </c>
      <c r="GI63">
        <v>0.69801691066878324</v>
      </c>
      <c r="GJ63"/>
      <c r="GK63">
        <v>1.8003130514705881</v>
      </c>
      <c r="GL63">
        <v>2.1414927389705882</v>
      </c>
      <c r="GM63">
        <v>1.5898515624999998</v>
      </c>
      <c r="GN63">
        <v>1.9558040178571425</v>
      </c>
      <c r="GO63">
        <v>1.1090383928571428</v>
      </c>
      <c r="GP63">
        <v>0.291375</v>
      </c>
      <c r="GQ63">
        <v>4.8843750000000005E-2</v>
      </c>
      <c r="GR63">
        <v>0.14072916666666666</v>
      </c>
      <c r="GS63">
        <v>0.14072916666666666</v>
      </c>
      <c r="GT63">
        <v>0.93775518469887942</v>
      </c>
      <c r="GU63"/>
      <c r="GV63"/>
      <c r="GW63"/>
      <c r="GX63"/>
      <c r="GY63"/>
      <c r="GZ63"/>
      <c r="HA63"/>
      <c r="HB63"/>
      <c r="HC63"/>
    </row>
    <row r="64" spans="1:211" s="7" customFormat="1">
      <c r="A64" s="4"/>
      <c r="B64" s="1"/>
      <c r="C64" s="64"/>
      <c r="D64" s="64"/>
      <c r="E64" s="64"/>
      <c r="F64" s="64"/>
      <c r="G64" s="64"/>
      <c r="H64" s="64"/>
      <c r="I64" s="64"/>
      <c r="J64" s="62"/>
      <c r="K64" s="64"/>
      <c r="L64" s="64"/>
      <c r="M64" s="64"/>
      <c r="N64" s="65"/>
      <c r="O64" s="64"/>
      <c r="P64" s="65"/>
      <c r="Q64" s="64"/>
      <c r="R64" s="64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63"/>
      <c r="AH64" s="63"/>
      <c r="AI64" s="63"/>
      <c r="AJ64" s="63"/>
      <c r="AK64" s="63"/>
      <c r="AL64" s="42"/>
      <c r="AM64" s="43">
        <v>48</v>
      </c>
      <c r="AN64">
        <v>42.669331219806764</v>
      </c>
      <c r="AO64">
        <v>0.91645315828804341</v>
      </c>
      <c r="AP64">
        <v>5.3046472565555396</v>
      </c>
      <c r="AQ64">
        <v>5.5428312949374412</v>
      </c>
      <c r="AR64">
        <v>0.83676139389822146</v>
      </c>
      <c r="AS64">
        <v>3.8652645245120993</v>
      </c>
      <c r="AT64" t="e">
        <v>#DIV/0!</v>
      </c>
      <c r="AU64" t="e">
        <v>#DIV/0!</v>
      </c>
      <c r="AV64"/>
      <c r="AW64"/>
      <c r="FY64" s="211">
        <v>59</v>
      </c>
      <c r="FZ64">
        <v>1.8682545500357823</v>
      </c>
      <c r="GA64">
        <v>2.0389528970787518</v>
      </c>
      <c r="GB64">
        <v>1.3140982350173074</v>
      </c>
      <c r="GC64">
        <v>1.1048603110149822</v>
      </c>
      <c r="GD64">
        <v>0.38489872091278499</v>
      </c>
      <c r="GE64">
        <v>0.11460862901025</v>
      </c>
      <c r="GF64">
        <v>0.70871433467598444</v>
      </c>
      <c r="GG64">
        <v>0.57908430828062596</v>
      </c>
      <c r="GH64">
        <v>0</v>
      </c>
      <c r="GI64">
        <v>0.94351727679038366</v>
      </c>
      <c r="GJ64"/>
      <c r="GK64">
        <v>1.8620005514705877</v>
      </c>
      <c r="GL64">
        <v>1.7174966452205878</v>
      </c>
      <c r="GM64">
        <v>2.1579073153409087</v>
      </c>
      <c r="GN64">
        <v>3.2411112215909088</v>
      </c>
      <c r="GO64">
        <v>1.46379375</v>
      </c>
      <c r="GP64">
        <v>0.21534374999999997</v>
      </c>
      <c r="GQ64">
        <v>0.85440896739130423</v>
      </c>
      <c r="GR64">
        <v>0.80556521739130427</v>
      </c>
      <c r="GS64">
        <v>0</v>
      </c>
      <c r="GT64">
        <v>1.2676221168405601</v>
      </c>
      <c r="GU64"/>
      <c r="GV64"/>
      <c r="GW64"/>
      <c r="GX64"/>
      <c r="GY64"/>
      <c r="GZ64"/>
      <c r="HA64"/>
      <c r="HB64"/>
      <c r="HC64"/>
    </row>
    <row r="65" spans="1:211" s="7" customFormat="1">
      <c r="A65" s="4"/>
      <c r="B65" s="66"/>
      <c r="C65" s="66"/>
      <c r="D65" s="66"/>
      <c r="E65" s="66"/>
      <c r="F65" s="66"/>
      <c r="G65" s="66"/>
      <c r="H65" s="66"/>
      <c r="I65" s="66"/>
      <c r="J65" s="67"/>
      <c r="K65" s="66"/>
      <c r="L65" s="66"/>
      <c r="M65" s="66"/>
      <c r="N65" s="42"/>
      <c r="O65" s="66"/>
      <c r="P65" s="42"/>
      <c r="Q65" s="66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3">
        <v>49</v>
      </c>
      <c r="AN65">
        <v>43.275699401834309</v>
      </c>
      <c r="AO65">
        <v>0.89688769385873068</v>
      </c>
      <c r="AP65">
        <v>1.4344390678336016</v>
      </c>
      <c r="AQ65">
        <v>6.9883021457456476</v>
      </c>
      <c r="AR65">
        <v>0.83505306085059428</v>
      </c>
      <c r="AS65">
        <v>3.454489417614254</v>
      </c>
      <c r="AT65" t="e">
        <v>#DIV/0!</v>
      </c>
      <c r="AU65" t="e">
        <v>#DIV/0!</v>
      </c>
      <c r="AV65"/>
      <c r="AW65"/>
      <c r="FY65" s="211">
        <v>60</v>
      </c>
      <c r="FZ65">
        <v>1.1947852894284114</v>
      </c>
      <c r="GA65">
        <v>1.4856483387004644</v>
      </c>
      <c r="GB65">
        <v>1.4583256423055015</v>
      </c>
      <c r="GC65">
        <v>1.0047843946962884</v>
      </c>
      <c r="GD65">
        <v>0.22679663781288861</v>
      </c>
      <c r="GE65">
        <v>3.0832901432324998E-2</v>
      </c>
      <c r="GF65">
        <v>0.36024295839505316</v>
      </c>
      <c r="GG65">
        <v>0.37841261417090627</v>
      </c>
      <c r="GH65">
        <v>0.15603164258923619</v>
      </c>
      <c r="GI65">
        <v>0.75134037996499048</v>
      </c>
      <c r="GJ65"/>
      <c r="GK65">
        <v>1.190814338235294</v>
      </c>
      <c r="GL65">
        <v>1.251259650735294</v>
      </c>
      <c r="GM65">
        <v>2.3941065340909091</v>
      </c>
      <c r="GN65">
        <v>2.9481536323051944</v>
      </c>
      <c r="GO65">
        <v>0.86260178571428581</v>
      </c>
      <c r="GP65">
        <v>5.7890625000000001E-2</v>
      </c>
      <c r="GQ65">
        <v>0.43509375</v>
      </c>
      <c r="GR65">
        <v>0.52697916666666667</v>
      </c>
      <c r="GS65">
        <v>0.16502303685897435</v>
      </c>
      <c r="GT65">
        <v>1.0095278889798927</v>
      </c>
      <c r="GU65"/>
      <c r="GV65"/>
      <c r="GW65"/>
      <c r="GX65"/>
      <c r="GY65"/>
      <c r="GZ65"/>
      <c r="HA65"/>
      <c r="HB65"/>
      <c r="HC65"/>
    </row>
    <row r="66" spans="1:211" s="7" customFormat="1">
      <c r="A66" s="4"/>
      <c r="B66" s="68"/>
      <c r="C66" s="68"/>
      <c r="D66" s="68"/>
      <c r="E66" s="68"/>
      <c r="F66" s="68"/>
      <c r="G66" s="68"/>
      <c r="H66" s="68"/>
      <c r="I66" s="68"/>
      <c r="J66" s="69"/>
      <c r="K66" s="68"/>
      <c r="L66" s="68"/>
      <c r="M66" s="68"/>
      <c r="N66" s="70"/>
      <c r="O66" s="68"/>
      <c r="P66" s="70"/>
      <c r="Q66" s="68"/>
      <c r="R66" s="70"/>
      <c r="S66" s="28"/>
      <c r="T66" s="28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3">
        <v>50</v>
      </c>
      <c r="AN66">
        <v>40.040006157377476</v>
      </c>
      <c r="AO66">
        <v>0.93282980797174631</v>
      </c>
      <c r="AP66">
        <v>1.7258267198605326</v>
      </c>
      <c r="AQ66">
        <v>6.4535654393702355</v>
      </c>
      <c r="AR66">
        <v>0.86110210908270668</v>
      </c>
      <c r="AS66">
        <v>3.1034860002471825</v>
      </c>
      <c r="AT66" t="e">
        <v>#DIV/0!</v>
      </c>
      <c r="AU66" t="e">
        <v>#DIV/0!</v>
      </c>
      <c r="AV66"/>
      <c r="AW66"/>
      <c r="FY66" s="211">
        <v>61</v>
      </c>
      <c r="FZ66">
        <v>1.2129145978357239</v>
      </c>
      <c r="GA66">
        <v>1.8128641844505038</v>
      </c>
      <c r="GB66">
        <v>0.33704758636208088</v>
      </c>
      <c r="GC66">
        <v>6.46833590306225E-2</v>
      </c>
      <c r="GD66">
        <v>9.5152871534129976E-2</v>
      </c>
      <c r="GE66">
        <v>0.13195459564267498</v>
      </c>
      <c r="GF66">
        <v>0</v>
      </c>
      <c r="GG66">
        <v>0</v>
      </c>
      <c r="GH66">
        <v>2.2985735835423678E-2</v>
      </c>
      <c r="GI66">
        <v>0.3197488898281543</v>
      </c>
      <c r="GJ66"/>
      <c r="GK66">
        <v>1.2088143382352938</v>
      </c>
      <c r="GL66">
        <v>1.5268494944852939</v>
      </c>
      <c r="GM66">
        <v>0.5528007812500001</v>
      </c>
      <c r="GN66">
        <v>0.18938125</v>
      </c>
      <c r="GO66">
        <v>0.36191249999999997</v>
      </c>
      <c r="GP66">
        <v>0.24792187499999993</v>
      </c>
      <c r="GQ66">
        <v>0</v>
      </c>
      <c r="GR66">
        <v>0</v>
      </c>
      <c r="GS66">
        <v>2.4293870192307693E-2</v>
      </c>
      <c r="GT66">
        <v>0.42956429793552031</v>
      </c>
      <c r="GU66"/>
      <c r="GV66"/>
      <c r="GW66"/>
      <c r="GX66"/>
      <c r="GY66"/>
      <c r="GZ66"/>
      <c r="HA66"/>
      <c r="HB66"/>
      <c r="HC66"/>
    </row>
    <row r="67" spans="1:211" s="7" customFormat="1">
      <c r="A67" s="4"/>
      <c r="B67" s="66"/>
      <c r="C67" s="1"/>
      <c r="D67" s="1"/>
      <c r="E67" s="2"/>
      <c r="F67" s="2"/>
      <c r="G67" s="1"/>
      <c r="H67" s="1"/>
      <c r="I67" s="3"/>
      <c r="J67" s="2"/>
      <c r="K67" s="1"/>
      <c r="L67" s="1"/>
      <c r="M67" s="1"/>
      <c r="N67" s="1"/>
      <c r="O67" s="2"/>
      <c r="P67" s="1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43">
        <v>51</v>
      </c>
      <c r="AN67">
        <v>67.359839591029655</v>
      </c>
      <c r="AO67">
        <v>1.5723237225197142</v>
      </c>
      <c r="AP67">
        <v>1.5849975909757719</v>
      </c>
      <c r="AQ67">
        <v>11.210186891198163</v>
      </c>
      <c r="AR67">
        <v>1.443873838654286</v>
      </c>
      <c r="AS67">
        <v>5.3703214637798871</v>
      </c>
      <c r="AT67" t="e">
        <v>#DIV/0!</v>
      </c>
      <c r="AU67" t="e">
        <v>#DIV/0!</v>
      </c>
      <c r="AV67"/>
      <c r="AW67"/>
      <c r="FY67" s="211">
        <v>62</v>
      </c>
      <c r="FZ67">
        <v>1.1457469362789088</v>
      </c>
      <c r="GA67">
        <v>1.3669043444088262</v>
      </c>
      <c r="GB67">
        <v>1.1538726551482392</v>
      </c>
      <c r="GC67">
        <v>0.67950609710585907</v>
      </c>
      <c r="GD67">
        <v>0.10402874259970177</v>
      </c>
      <c r="GE67">
        <v>0.11460862901025</v>
      </c>
      <c r="GF67">
        <v>0.69434057702733132</v>
      </c>
      <c r="GG67">
        <v>0.56679095143493796</v>
      </c>
      <c r="GH67">
        <v>2.2985735835423678E-2</v>
      </c>
      <c r="GI67">
        <v>0.63924530356637299</v>
      </c>
      <c r="GJ67"/>
      <c r="GK67">
        <v>1.141811213235294</v>
      </c>
      <c r="GL67">
        <v>1.1511979319852941</v>
      </c>
      <c r="GM67">
        <v>1.8946495028409087</v>
      </c>
      <c r="GN67">
        <v>1.9953855519480519</v>
      </c>
      <c r="GO67">
        <v>0.39615401785714283</v>
      </c>
      <c r="GP67">
        <v>0.21534374999999997</v>
      </c>
      <c r="GQ67">
        <v>0.83787635869565202</v>
      </c>
      <c r="GR67">
        <v>0.78903260869565206</v>
      </c>
      <c r="GS67">
        <v>2.4293870192307693E-2</v>
      </c>
      <c r="GT67">
        <v>0.85895699256426106</v>
      </c>
      <c r="GU67"/>
      <c r="GV67"/>
      <c r="GW67"/>
      <c r="GX67"/>
      <c r="GY67"/>
      <c r="GZ67"/>
      <c r="HA67"/>
      <c r="HB67"/>
      <c r="HC67"/>
    </row>
    <row r="68" spans="1:211" s="7" customFormat="1">
      <c r="A68" s="4"/>
      <c r="B68" s="66"/>
      <c r="C68" s="13"/>
      <c r="D68" s="13"/>
      <c r="E68" s="14"/>
      <c r="F68" s="14" t="s">
        <v>54</v>
      </c>
      <c r="G68" s="13"/>
      <c r="H68" s="13"/>
      <c r="I68" s="21"/>
      <c r="J68" s="14"/>
      <c r="K68" s="13"/>
      <c r="L68" s="13"/>
      <c r="M68" s="13"/>
      <c r="N68" s="13"/>
      <c r="O68" s="14"/>
      <c r="P68" s="13"/>
      <c r="Q68" s="14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2"/>
      <c r="AM68" s="43">
        <v>52</v>
      </c>
      <c r="AN68">
        <v>51.669689814099172</v>
      </c>
      <c r="AO68">
        <v>1.2239831342428484</v>
      </c>
      <c r="AP68">
        <v>1.0645852074733435</v>
      </c>
      <c r="AQ68">
        <v>8.3926019305243962</v>
      </c>
      <c r="AR68">
        <v>1.1338261775459462</v>
      </c>
      <c r="AS68">
        <v>4.0825750813148804</v>
      </c>
      <c r="AT68">
        <v>0.84124349324827319</v>
      </c>
      <c r="AU68">
        <v>-5.017511143864048E-2</v>
      </c>
      <c r="AV68"/>
      <c r="AW68"/>
      <c r="FY68" s="211">
        <v>63</v>
      </c>
      <c r="FZ68">
        <v>1.185755101339115</v>
      </c>
      <c r="GA68">
        <v>1.6420686377933418</v>
      </c>
      <c r="GB68">
        <v>0.5990035934279847</v>
      </c>
      <c r="GC68">
        <v>0.27183274753259373</v>
      </c>
      <c r="GD68">
        <v>7.7870428256378563E-2</v>
      </c>
      <c r="GE68">
        <v>4.3360981258274998E-2</v>
      </c>
      <c r="GF68">
        <v>0.6538214796159032</v>
      </c>
      <c r="GG68">
        <v>0.56679095143493796</v>
      </c>
      <c r="GH68">
        <v>4.5971471670847357E-2</v>
      </c>
      <c r="GI68">
        <v>0.49105191111105551</v>
      </c>
      <c r="GJ68"/>
      <c r="GK68">
        <v>1.1817487132352942</v>
      </c>
      <c r="GL68">
        <v>1.3830416819852944</v>
      </c>
      <c r="GM68">
        <v>0.98285546874999996</v>
      </c>
      <c r="GN68">
        <v>0.79719866071428558</v>
      </c>
      <c r="GO68">
        <v>0.29627678571428567</v>
      </c>
      <c r="GP68">
        <v>8.1421875000000005E-2</v>
      </c>
      <c r="GQ68">
        <v>0.78903260869565206</v>
      </c>
      <c r="GR68">
        <v>0.78903260869565206</v>
      </c>
      <c r="GS68">
        <v>4.8587740384615385E-2</v>
      </c>
      <c r="GT68">
        <v>0.65970026335596943</v>
      </c>
      <c r="GU68"/>
      <c r="GV68"/>
      <c r="GW68"/>
      <c r="GX68"/>
      <c r="GY68"/>
      <c r="GZ68"/>
      <c r="HA68"/>
      <c r="HB68"/>
      <c r="HC68"/>
    </row>
    <row r="69" spans="1:211" s="7" customFormat="1">
      <c r="A69" s="133"/>
      <c r="B69" s="66"/>
      <c r="C69" s="9" t="s">
        <v>21</v>
      </c>
      <c r="D69" s="13"/>
      <c r="E69" s="13"/>
      <c r="F69" s="11" t="s">
        <v>33</v>
      </c>
      <c r="G69" s="44" t="s">
        <v>37</v>
      </c>
      <c r="H69" s="45">
        <v>1</v>
      </c>
      <c r="I69" s="45">
        <v>2</v>
      </c>
      <c r="J69" s="45">
        <v>3</v>
      </c>
      <c r="K69" s="45">
        <v>4</v>
      </c>
      <c r="L69" s="45">
        <v>5</v>
      </c>
      <c r="M69" s="45">
        <v>6</v>
      </c>
      <c r="N69" s="45">
        <v>7</v>
      </c>
      <c r="O69" s="46">
        <v>8</v>
      </c>
      <c r="P69" s="46">
        <v>9</v>
      </c>
      <c r="Q69" s="47">
        <v>10</v>
      </c>
      <c r="R69" s="46">
        <v>11</v>
      </c>
      <c r="S69" s="47">
        <v>12</v>
      </c>
      <c r="T69" s="46">
        <v>13</v>
      </c>
      <c r="U69" s="47">
        <v>14</v>
      </c>
      <c r="V69" s="46">
        <v>15</v>
      </c>
      <c r="W69" s="47">
        <v>16</v>
      </c>
      <c r="X69" s="46">
        <v>17</v>
      </c>
      <c r="Y69" s="47">
        <v>18</v>
      </c>
      <c r="Z69" s="46">
        <v>19</v>
      </c>
      <c r="AA69" s="47">
        <v>20</v>
      </c>
      <c r="AB69" s="46">
        <v>21</v>
      </c>
      <c r="AC69" s="47">
        <v>22</v>
      </c>
      <c r="AD69" s="46">
        <v>23</v>
      </c>
      <c r="AE69" s="47">
        <v>24</v>
      </c>
      <c r="AF69" s="46">
        <v>25</v>
      </c>
      <c r="AG69" s="47">
        <v>26</v>
      </c>
      <c r="AH69" s="46">
        <v>27</v>
      </c>
      <c r="AI69" s="47">
        <v>28</v>
      </c>
      <c r="AJ69" s="46">
        <v>29</v>
      </c>
      <c r="AK69" s="47">
        <v>30</v>
      </c>
      <c r="AL69" s="2"/>
      <c r="AM69" s="43">
        <v>53</v>
      </c>
      <c r="AN69">
        <v>42.071914961636836</v>
      </c>
      <c r="AO69">
        <v>0.87804839082480812</v>
      </c>
      <c r="AP69">
        <v>0.5020383359900058</v>
      </c>
      <c r="AQ69">
        <v>5.7496144898991259</v>
      </c>
      <c r="AR69">
        <v>0.81995876438618942</v>
      </c>
      <c r="AS69">
        <v>3.6978919172069089</v>
      </c>
      <c r="AT69" t="e">
        <v>#DIV/0!</v>
      </c>
      <c r="AU69" t="e">
        <v>#DIV/0!</v>
      </c>
      <c r="AV69"/>
      <c r="AW69"/>
      <c r="FY69" s="211">
        <v>64</v>
      </c>
      <c r="FZ69">
        <v>1.8519260208051831</v>
      </c>
      <c r="GA69">
        <v>2.6876301380554057</v>
      </c>
      <c r="GB69">
        <v>0.78845227715917265</v>
      </c>
      <c r="GC69">
        <v>0.41386114672280194</v>
      </c>
      <c r="GD69">
        <v>0.10169046159389356</v>
      </c>
      <c r="GE69">
        <v>3.0832901432324998E-2</v>
      </c>
      <c r="GF69">
        <v>0.20038102790324064</v>
      </c>
      <c r="GG69">
        <v>0.13862439864731252</v>
      </c>
      <c r="GH69">
        <v>4.5971471670847357E-2</v>
      </c>
      <c r="GI69">
        <v>0.56815347443181963</v>
      </c>
      <c r="GJ69"/>
      <c r="GK69">
        <v>1.8455286764705878</v>
      </c>
      <c r="GL69">
        <v>2.2637005514705884</v>
      </c>
      <c r="GM69">
        <v>1.2938359375000001</v>
      </c>
      <c r="GN69">
        <v>1.2134439732142859</v>
      </c>
      <c r="GO69">
        <v>0.38667053571428567</v>
      </c>
      <c r="GP69">
        <v>5.7890625000000001E-2</v>
      </c>
      <c r="GQ69">
        <v>0.24196875000000001</v>
      </c>
      <c r="GR69">
        <v>0.19312499999999999</v>
      </c>
      <c r="GS69">
        <v>4.8587740384615385E-2</v>
      </c>
      <c r="GT69">
        <v>0.76331832801389787</v>
      </c>
      <c r="GU69"/>
      <c r="GV69"/>
      <c r="GW69"/>
      <c r="GX69"/>
      <c r="GY69"/>
      <c r="GZ69"/>
      <c r="HA69"/>
      <c r="HB69"/>
      <c r="HC69"/>
    </row>
    <row r="70" spans="1:211" s="7" customFormat="1">
      <c r="A70" s="4"/>
      <c r="B70" s="66"/>
      <c r="C70" s="71">
        <f t="shared" ref="C70:C79" si="38">C4</f>
        <v>39646</v>
      </c>
      <c r="D70" s="72">
        <f t="shared" ref="D70:D75" si="39">SUM(G70:AK70)</f>
        <v>8.3333333333333321</v>
      </c>
      <c r="E70" s="64"/>
      <c r="F70" s="64"/>
      <c r="G70" s="18">
        <f>AVERAGE(E228:E237)</f>
        <v>0</v>
      </c>
      <c r="H70" s="18">
        <f t="shared" ref="H70:AK70" si="40">AVERAGE(F228:F237)</f>
        <v>0</v>
      </c>
      <c r="I70" s="18">
        <f t="shared" si="40"/>
        <v>8.3333333333333321</v>
      </c>
      <c r="J70" s="18">
        <f t="shared" si="40"/>
        <v>0</v>
      </c>
      <c r="K70" s="18">
        <f t="shared" si="40"/>
        <v>0</v>
      </c>
      <c r="L70" s="18">
        <f t="shared" si="40"/>
        <v>0</v>
      </c>
      <c r="M70" s="18">
        <f t="shared" si="40"/>
        <v>0</v>
      </c>
      <c r="N70" s="18">
        <f t="shared" si="40"/>
        <v>0</v>
      </c>
      <c r="O70" s="18">
        <f t="shared" si="40"/>
        <v>0</v>
      </c>
      <c r="P70" s="18">
        <f t="shared" si="40"/>
        <v>0</v>
      </c>
      <c r="Q70" s="18">
        <f t="shared" si="40"/>
        <v>0</v>
      </c>
      <c r="R70" s="18">
        <f t="shared" si="40"/>
        <v>0</v>
      </c>
      <c r="S70" s="18">
        <f t="shared" si="40"/>
        <v>0</v>
      </c>
      <c r="T70" s="18">
        <f t="shared" si="40"/>
        <v>0</v>
      </c>
      <c r="U70" s="18">
        <f t="shared" si="40"/>
        <v>0</v>
      </c>
      <c r="V70" s="18">
        <f t="shared" si="40"/>
        <v>0</v>
      </c>
      <c r="W70" s="18">
        <f t="shared" si="40"/>
        <v>0</v>
      </c>
      <c r="X70" s="18">
        <f t="shared" si="40"/>
        <v>0</v>
      </c>
      <c r="Y70" s="18">
        <f t="shared" si="40"/>
        <v>0</v>
      </c>
      <c r="Z70" s="18">
        <f t="shared" si="40"/>
        <v>0</v>
      </c>
      <c r="AA70" s="18">
        <f t="shared" si="40"/>
        <v>0</v>
      </c>
      <c r="AB70" s="18">
        <f t="shared" si="40"/>
        <v>0</v>
      </c>
      <c r="AC70" s="18">
        <f t="shared" si="40"/>
        <v>0</v>
      </c>
      <c r="AD70" s="18">
        <f t="shared" si="40"/>
        <v>0</v>
      </c>
      <c r="AE70" s="18">
        <f t="shared" si="40"/>
        <v>0</v>
      </c>
      <c r="AF70" s="18">
        <f t="shared" si="40"/>
        <v>0</v>
      </c>
      <c r="AG70" s="18">
        <f t="shared" si="40"/>
        <v>0</v>
      </c>
      <c r="AH70" s="18">
        <f t="shared" si="40"/>
        <v>0</v>
      </c>
      <c r="AI70" s="18">
        <f t="shared" si="40"/>
        <v>0</v>
      </c>
      <c r="AJ70" s="18">
        <f t="shared" si="40"/>
        <v>0</v>
      </c>
      <c r="AK70" s="18">
        <f t="shared" si="40"/>
        <v>0</v>
      </c>
      <c r="AL70" s="2"/>
      <c r="AM70" s="43">
        <v>54</v>
      </c>
      <c r="AN70">
        <v>31.419876246438747</v>
      </c>
      <c r="AO70">
        <v>0.77787897155448715</v>
      </c>
      <c r="AP70">
        <v>2.1060433056759291</v>
      </c>
      <c r="AQ70">
        <v>4.2734514283834164</v>
      </c>
      <c r="AR70">
        <v>0.71520192781177172</v>
      </c>
      <c r="AS70">
        <v>2.5504407732537584</v>
      </c>
      <c r="AT70" t="e">
        <v>#DIV/0!</v>
      </c>
      <c r="AU70" t="e">
        <v>#DIV/0!</v>
      </c>
      <c r="AV70"/>
      <c r="AW70"/>
      <c r="FY70" s="211">
        <v>65</v>
      </c>
      <c r="FZ70">
        <v>2.3381455623576253</v>
      </c>
      <c r="GA70">
        <v>2.9855200553687058</v>
      </c>
      <c r="GB70">
        <v>0.34762798227727965</v>
      </c>
      <c r="GC70">
        <v>0.16359842365296373</v>
      </c>
      <c r="GD70">
        <v>0.11116578532429927</v>
      </c>
      <c r="GE70">
        <v>9.0465266252250001E-2</v>
      </c>
      <c r="GF70">
        <v>0.31972386098362504</v>
      </c>
      <c r="GG70">
        <v>0.37841261417090627</v>
      </c>
      <c r="GH70">
        <v>0.17901737842465987</v>
      </c>
      <c r="GI70">
        <v>0.58042186042156874</v>
      </c>
      <c r="GJ70"/>
      <c r="GK70">
        <v>2.3303492647058821</v>
      </c>
      <c r="GL70">
        <v>2.5149430147058824</v>
      </c>
      <c r="GM70">
        <v>0.57014062499999996</v>
      </c>
      <c r="GN70">
        <v>0.47929151785714286</v>
      </c>
      <c r="GO70">
        <v>0.42327589285714284</v>
      </c>
      <c r="GP70">
        <v>0.17015625000000001</v>
      </c>
      <c r="GQ70">
        <v>0.38624999999999998</v>
      </c>
      <c r="GR70">
        <v>0.52697916666666667</v>
      </c>
      <c r="GS70">
        <v>0.18931690705128204</v>
      </c>
      <c r="GT70">
        <v>0.77986653792286142</v>
      </c>
      <c r="GU70"/>
      <c r="GV70"/>
      <c r="GW70"/>
      <c r="GX70"/>
      <c r="GY70"/>
      <c r="GZ70"/>
      <c r="HA70"/>
      <c r="HB70"/>
      <c r="HC70"/>
    </row>
    <row r="71" spans="1:211" s="7" customFormat="1">
      <c r="A71" s="4"/>
      <c r="B71" s="66"/>
      <c r="C71" s="71">
        <f t="shared" si="38"/>
        <v>39673</v>
      </c>
      <c r="D71" s="72">
        <f t="shared" si="39"/>
        <v>91.915849673202615</v>
      </c>
      <c r="E71" s="64"/>
      <c r="F71" s="64"/>
      <c r="G71" s="18">
        <f>AVERAGE(E238:E247)</f>
        <v>20.54738562091503</v>
      </c>
      <c r="H71" s="18">
        <f t="shared" ref="H71:AK71" si="41">AVERAGE(F238:F247)</f>
        <v>32.357026143790847</v>
      </c>
      <c r="I71" s="18">
        <f t="shared" si="41"/>
        <v>39.011437908496731</v>
      </c>
      <c r="J71" s="18">
        <f t="shared" si="41"/>
        <v>0</v>
      </c>
      <c r="K71" s="18">
        <f t="shared" si="41"/>
        <v>0</v>
      </c>
      <c r="L71" s="18">
        <f t="shared" si="41"/>
        <v>0</v>
      </c>
      <c r="M71" s="18">
        <f t="shared" si="41"/>
        <v>0</v>
      </c>
      <c r="N71" s="18">
        <f t="shared" si="41"/>
        <v>0</v>
      </c>
      <c r="O71" s="18">
        <f t="shared" si="41"/>
        <v>0</v>
      </c>
      <c r="P71" s="18">
        <f t="shared" si="41"/>
        <v>0</v>
      </c>
      <c r="Q71" s="18">
        <f t="shared" si="41"/>
        <v>0</v>
      </c>
      <c r="R71" s="18">
        <f t="shared" si="41"/>
        <v>0</v>
      </c>
      <c r="S71" s="18">
        <f t="shared" si="41"/>
        <v>0</v>
      </c>
      <c r="T71" s="18">
        <f t="shared" si="41"/>
        <v>0</v>
      </c>
      <c r="U71" s="18">
        <f t="shared" si="41"/>
        <v>0</v>
      </c>
      <c r="V71" s="18">
        <f t="shared" si="41"/>
        <v>0</v>
      </c>
      <c r="W71" s="18">
        <f t="shared" si="41"/>
        <v>0</v>
      </c>
      <c r="X71" s="18">
        <f t="shared" si="41"/>
        <v>0</v>
      </c>
      <c r="Y71" s="18">
        <f t="shared" si="41"/>
        <v>0</v>
      </c>
      <c r="Z71" s="18">
        <f t="shared" si="41"/>
        <v>0</v>
      </c>
      <c r="AA71" s="18">
        <f t="shared" si="41"/>
        <v>0</v>
      </c>
      <c r="AB71" s="18">
        <f t="shared" si="41"/>
        <v>0</v>
      </c>
      <c r="AC71" s="18">
        <f t="shared" si="41"/>
        <v>0</v>
      </c>
      <c r="AD71" s="18">
        <f t="shared" si="41"/>
        <v>0</v>
      </c>
      <c r="AE71" s="18">
        <f t="shared" si="41"/>
        <v>0</v>
      </c>
      <c r="AF71" s="18">
        <f t="shared" si="41"/>
        <v>0</v>
      </c>
      <c r="AG71" s="18">
        <f t="shared" si="41"/>
        <v>0</v>
      </c>
      <c r="AH71" s="18">
        <f t="shared" si="41"/>
        <v>0</v>
      </c>
      <c r="AI71" s="18">
        <f t="shared" si="41"/>
        <v>0</v>
      </c>
      <c r="AJ71" s="18">
        <f t="shared" si="41"/>
        <v>0</v>
      </c>
      <c r="AK71" s="18">
        <f t="shared" si="41"/>
        <v>0</v>
      </c>
      <c r="AL71" s="2"/>
      <c r="AM71" s="43">
        <v>55</v>
      </c>
      <c r="AN71">
        <v>33.646670836208884</v>
      </c>
      <c r="AO71">
        <v>0.81457579742494812</v>
      </c>
      <c r="AP71">
        <v>1.1379655944039531</v>
      </c>
      <c r="AQ71">
        <v>5.67219256014788</v>
      </c>
      <c r="AR71">
        <v>0.74776777038631648</v>
      </c>
      <c r="AS71">
        <v>3.0635589224927515</v>
      </c>
      <c r="AT71" t="e">
        <v>#DIV/0!</v>
      </c>
      <c r="AU71" t="e">
        <v>#DIV/0!</v>
      </c>
      <c r="AV71"/>
      <c r="AW71"/>
      <c r="FY71" s="211">
        <v>66</v>
      </c>
      <c r="FZ71">
        <v>1.0876496138813618</v>
      </c>
      <c r="GA71">
        <v>1.5690045974159137</v>
      </c>
      <c r="GB71">
        <v>0.98124953337110732</v>
      </c>
      <c r="GC71">
        <v>0.4689138202279951</v>
      </c>
      <c r="GD71">
        <v>5.3162034280601775E-2</v>
      </c>
      <c r="GE71">
        <v>2.6015014625850003E-2</v>
      </c>
      <c r="GF71">
        <v>0.36024295839505316</v>
      </c>
      <c r="GG71">
        <v>0.42899452260904691</v>
      </c>
      <c r="GH71">
        <v>0.19956886013071873</v>
      </c>
      <c r="GI71">
        <v>0.52740529179883511</v>
      </c>
      <c r="GJ71"/>
      <c r="GK71">
        <v>1.083967463235294</v>
      </c>
      <c r="GL71">
        <v>1.3214479319852943</v>
      </c>
      <c r="GM71">
        <v>1.6107368607954544</v>
      </c>
      <c r="GN71">
        <v>1.3765041599025971</v>
      </c>
      <c r="GO71">
        <v>0.20246651785714284</v>
      </c>
      <c r="GP71">
        <v>4.8843750000000005E-2</v>
      </c>
      <c r="GQ71">
        <v>0.43509375</v>
      </c>
      <c r="GR71">
        <v>0.59734375000000006</v>
      </c>
      <c r="GS71">
        <v>0.21109375</v>
      </c>
      <c r="GT71">
        <v>0.70867166837757822</v>
      </c>
      <c r="GU71"/>
      <c r="GV71"/>
      <c r="GW71"/>
      <c r="GX71"/>
      <c r="GY71"/>
      <c r="GZ71"/>
      <c r="HA71"/>
      <c r="HB71"/>
      <c r="HC71"/>
    </row>
    <row r="72" spans="1:211" s="7" customFormat="1">
      <c r="A72" s="4"/>
      <c r="B72" s="66"/>
      <c r="C72" s="71">
        <f t="shared" si="38"/>
        <v>39714</v>
      </c>
      <c r="D72" s="72">
        <f t="shared" si="39"/>
        <v>59.375</v>
      </c>
      <c r="E72" s="64"/>
      <c r="F72" s="64"/>
      <c r="G72" s="18">
        <f>AVERAGE(E248:E257)</f>
        <v>0</v>
      </c>
      <c r="H72" s="18">
        <f t="shared" ref="H72:AK72" si="42">AVERAGE(F248:F257)</f>
        <v>31.25</v>
      </c>
      <c r="I72" s="18">
        <f t="shared" si="42"/>
        <v>28.125</v>
      </c>
      <c r="J72" s="18">
        <f t="shared" si="42"/>
        <v>0</v>
      </c>
      <c r="K72" s="18">
        <f t="shared" si="42"/>
        <v>0</v>
      </c>
      <c r="L72" s="18">
        <f t="shared" si="42"/>
        <v>0</v>
      </c>
      <c r="M72" s="18">
        <f t="shared" si="42"/>
        <v>0</v>
      </c>
      <c r="N72" s="18">
        <f t="shared" si="42"/>
        <v>0</v>
      </c>
      <c r="O72" s="18">
        <f t="shared" si="42"/>
        <v>0</v>
      </c>
      <c r="P72" s="18">
        <f t="shared" si="42"/>
        <v>0</v>
      </c>
      <c r="Q72" s="18">
        <f t="shared" si="42"/>
        <v>0</v>
      </c>
      <c r="R72" s="18">
        <f t="shared" si="42"/>
        <v>0</v>
      </c>
      <c r="S72" s="18">
        <f t="shared" si="42"/>
        <v>0</v>
      </c>
      <c r="T72" s="18">
        <f t="shared" si="42"/>
        <v>0</v>
      </c>
      <c r="U72" s="18">
        <f t="shared" si="42"/>
        <v>0</v>
      </c>
      <c r="V72" s="18">
        <f t="shared" si="42"/>
        <v>0</v>
      </c>
      <c r="W72" s="18">
        <f t="shared" si="42"/>
        <v>0</v>
      </c>
      <c r="X72" s="18">
        <f t="shared" si="42"/>
        <v>0</v>
      </c>
      <c r="Y72" s="18">
        <f t="shared" si="42"/>
        <v>0</v>
      </c>
      <c r="Z72" s="18">
        <f t="shared" si="42"/>
        <v>0</v>
      </c>
      <c r="AA72" s="18">
        <f t="shared" si="42"/>
        <v>0</v>
      </c>
      <c r="AB72" s="18">
        <f t="shared" si="42"/>
        <v>0</v>
      </c>
      <c r="AC72" s="18">
        <f t="shared" si="42"/>
        <v>0</v>
      </c>
      <c r="AD72" s="18">
        <f t="shared" si="42"/>
        <v>0</v>
      </c>
      <c r="AE72" s="18">
        <f t="shared" si="42"/>
        <v>0</v>
      </c>
      <c r="AF72" s="18">
        <f t="shared" si="42"/>
        <v>0</v>
      </c>
      <c r="AG72" s="18">
        <f t="shared" si="42"/>
        <v>0</v>
      </c>
      <c r="AH72" s="18">
        <f t="shared" si="42"/>
        <v>0</v>
      </c>
      <c r="AI72" s="18">
        <f t="shared" si="42"/>
        <v>0</v>
      </c>
      <c r="AJ72" s="18">
        <f t="shared" si="42"/>
        <v>0</v>
      </c>
      <c r="AK72" s="18">
        <f t="shared" si="42"/>
        <v>0</v>
      </c>
      <c r="AL72" s="2"/>
      <c r="AM72" s="43">
        <v>56</v>
      </c>
      <c r="AN72">
        <v>74.185576745794933</v>
      </c>
      <c r="AO72">
        <v>1.756106923956811</v>
      </c>
      <c r="AP72">
        <v>5.542340782166562</v>
      </c>
      <c r="AQ72">
        <v>11.568521063559125</v>
      </c>
      <c r="AR72">
        <v>1.6145716354152824</v>
      </c>
      <c r="AS72">
        <v>5.863560716892068</v>
      </c>
      <c r="AT72" t="e">
        <v>#DIV/0!</v>
      </c>
      <c r="AU72" t="e">
        <v>#DIV/0!</v>
      </c>
      <c r="AV72"/>
      <c r="AW72"/>
      <c r="FY72" s="211">
        <v>67</v>
      </c>
      <c r="FZ72">
        <v>0.97865923974650748</v>
      </c>
      <c r="GA72">
        <v>1.4234339498756743</v>
      </c>
      <c r="GB72">
        <v>2.0592859712263238</v>
      </c>
      <c r="GC72">
        <v>1.3427423697530958</v>
      </c>
      <c r="GD72">
        <v>0.24256623658547255</v>
      </c>
      <c r="GE72">
        <v>7.9011769497075002E-2</v>
      </c>
      <c r="GF72">
        <v>0.70871433467598444</v>
      </c>
      <c r="GG72">
        <v>0.57908430828062596</v>
      </c>
      <c r="GH72">
        <v>4.5971471670847357E-2</v>
      </c>
      <c r="GI72">
        <v>0.92027847236842852</v>
      </c>
      <c r="GJ72"/>
      <c r="GK72">
        <v>0.97519871323529406</v>
      </c>
      <c r="GL72">
        <v>1.1986752757352941</v>
      </c>
      <c r="GM72">
        <v>3.3811754261363633</v>
      </c>
      <c r="GN72">
        <v>3.941242613636363</v>
      </c>
      <c r="GO72">
        <v>0.92290312500000005</v>
      </c>
      <c r="GP72">
        <v>0.14835937500000002</v>
      </c>
      <c r="GQ72">
        <v>0.85440896739130423</v>
      </c>
      <c r="GR72">
        <v>0.80556521739130427</v>
      </c>
      <c r="GS72">
        <v>4.8587740384615385E-2</v>
      </c>
      <c r="GT72">
        <v>1.2364547944295152</v>
      </c>
      <c r="GU72"/>
      <c r="GV72"/>
      <c r="GW72"/>
      <c r="GX72"/>
      <c r="GY72"/>
      <c r="GZ72"/>
      <c r="HA72"/>
      <c r="HB72"/>
      <c r="HC72"/>
    </row>
    <row r="73" spans="1:211" s="7" customFormat="1">
      <c r="A73" s="4"/>
      <c r="B73" s="66"/>
      <c r="C73" s="71">
        <f t="shared" si="38"/>
        <v>39747</v>
      </c>
      <c r="D73" s="72">
        <f t="shared" si="39"/>
        <v>35.590277777777779</v>
      </c>
      <c r="E73" s="64"/>
      <c r="F73" s="64"/>
      <c r="G73" s="18">
        <f>AVERAGE(E258:E267)</f>
        <v>0</v>
      </c>
      <c r="H73" s="18">
        <f t="shared" ref="H73:AK73" si="43">AVERAGE(F258:F267)</f>
        <v>26.475694444444446</v>
      </c>
      <c r="I73" s="18">
        <f t="shared" si="43"/>
        <v>9.1145833333333321</v>
      </c>
      <c r="J73" s="18">
        <f t="shared" si="43"/>
        <v>0</v>
      </c>
      <c r="K73" s="18">
        <f t="shared" si="43"/>
        <v>0</v>
      </c>
      <c r="L73" s="18">
        <f t="shared" si="43"/>
        <v>0</v>
      </c>
      <c r="M73" s="18">
        <f t="shared" si="43"/>
        <v>0</v>
      </c>
      <c r="N73" s="18">
        <f t="shared" si="43"/>
        <v>0</v>
      </c>
      <c r="O73" s="18">
        <f t="shared" si="43"/>
        <v>0</v>
      </c>
      <c r="P73" s="18">
        <f t="shared" si="43"/>
        <v>0</v>
      </c>
      <c r="Q73" s="18">
        <f t="shared" si="43"/>
        <v>0</v>
      </c>
      <c r="R73" s="18">
        <f t="shared" si="43"/>
        <v>0</v>
      </c>
      <c r="S73" s="18">
        <f t="shared" si="43"/>
        <v>0</v>
      </c>
      <c r="T73" s="18">
        <f t="shared" si="43"/>
        <v>0</v>
      </c>
      <c r="U73" s="18">
        <f t="shared" si="43"/>
        <v>0</v>
      </c>
      <c r="V73" s="18">
        <f t="shared" si="43"/>
        <v>0</v>
      </c>
      <c r="W73" s="18">
        <f t="shared" si="43"/>
        <v>0</v>
      </c>
      <c r="X73" s="18">
        <f t="shared" si="43"/>
        <v>0</v>
      </c>
      <c r="Y73" s="18">
        <f t="shared" si="43"/>
        <v>0</v>
      </c>
      <c r="Z73" s="18">
        <f t="shared" si="43"/>
        <v>0</v>
      </c>
      <c r="AA73" s="18">
        <f t="shared" si="43"/>
        <v>0</v>
      </c>
      <c r="AB73" s="18">
        <f t="shared" si="43"/>
        <v>0</v>
      </c>
      <c r="AC73" s="18">
        <f t="shared" si="43"/>
        <v>0</v>
      </c>
      <c r="AD73" s="18">
        <f t="shared" si="43"/>
        <v>0</v>
      </c>
      <c r="AE73" s="18">
        <f t="shared" si="43"/>
        <v>0</v>
      </c>
      <c r="AF73" s="18">
        <f t="shared" si="43"/>
        <v>0</v>
      </c>
      <c r="AG73" s="18">
        <f t="shared" si="43"/>
        <v>0</v>
      </c>
      <c r="AH73" s="18">
        <f t="shared" si="43"/>
        <v>0</v>
      </c>
      <c r="AI73" s="18">
        <f t="shared" si="43"/>
        <v>0</v>
      </c>
      <c r="AJ73" s="18">
        <f t="shared" si="43"/>
        <v>0</v>
      </c>
      <c r="AK73" s="18">
        <f t="shared" si="43"/>
        <v>0</v>
      </c>
      <c r="AL73" s="2"/>
      <c r="AM73" s="43">
        <v>57</v>
      </c>
      <c r="AN73">
        <v>39.651729040975361</v>
      </c>
      <c r="AO73">
        <v>0.95434230945984155</v>
      </c>
      <c r="AP73">
        <v>1.0372518647930884</v>
      </c>
      <c r="AQ73">
        <v>6.0340691421372776</v>
      </c>
      <c r="AR73">
        <v>0.9096362013446111</v>
      </c>
      <c r="AS73">
        <v>3.1871136230137576</v>
      </c>
      <c r="AT73" t="e">
        <v>#DIV/0!</v>
      </c>
      <c r="AU73" t="e">
        <v>#DIV/0!</v>
      </c>
      <c r="AV73"/>
      <c r="AW73"/>
      <c r="FY73" s="211">
        <v>68</v>
      </c>
      <c r="FZ73">
        <v>2.0753390417171658</v>
      </c>
      <c r="GA73">
        <v>2.8939518762730332</v>
      </c>
      <c r="GB73">
        <v>1.6003744241147508</v>
      </c>
      <c r="GC73">
        <v>1.1355215809754746</v>
      </c>
      <c r="GD73">
        <v>0.38775338668811254</v>
      </c>
      <c r="GE73">
        <v>8.6721962516549997E-2</v>
      </c>
      <c r="GF73">
        <v>0.66819523726455643</v>
      </c>
      <c r="GG73">
        <v>0.62966621671876666</v>
      </c>
      <c r="GH73">
        <v>8.9508689212329934E-2</v>
      </c>
      <c r="GI73">
        <v>1.0525964175770748</v>
      </c>
      <c r="GJ73"/>
      <c r="GK73">
        <v>2.0682318014705876</v>
      </c>
      <c r="GL73">
        <v>2.4374193014705878</v>
      </c>
      <c r="GM73">
        <v>2.6274580965909089</v>
      </c>
      <c r="GN73">
        <v>3.3310049715909091</v>
      </c>
      <c r="GO73">
        <v>1.4746406250000001</v>
      </c>
      <c r="GP73">
        <v>0.16284375000000001</v>
      </c>
      <c r="GQ73">
        <v>0.80556521739130427</v>
      </c>
      <c r="GR73">
        <v>0.87592980072463755</v>
      </c>
      <c r="GS73">
        <v>9.465845352564102E-2</v>
      </c>
      <c r="GT73">
        <v>1.4141108387956884</v>
      </c>
      <c r="GU73"/>
      <c r="GV73"/>
      <c r="GW73"/>
      <c r="GX73"/>
      <c r="GY73"/>
      <c r="GZ73"/>
      <c r="HA73"/>
      <c r="HB73"/>
      <c r="HC73"/>
    </row>
    <row r="74" spans="1:211" s="7" customFormat="1">
      <c r="A74" s="4"/>
      <c r="B74" s="66"/>
      <c r="C74" s="71">
        <f t="shared" si="38"/>
        <v>39775</v>
      </c>
      <c r="D74" s="72">
        <f t="shared" si="39"/>
        <v>91.428571428571402</v>
      </c>
      <c r="E74" s="64"/>
      <c r="F74" s="64"/>
      <c r="G74" s="18">
        <f>AVERAGE(E268:E277)</f>
        <v>9.3750000000000018</v>
      </c>
      <c r="H74" s="18">
        <f t="shared" ref="H74:AK74" si="44">AVERAGE(F268:F277)</f>
        <v>79.970238095238074</v>
      </c>
      <c r="I74" s="18">
        <f t="shared" si="44"/>
        <v>2.083333333333333</v>
      </c>
      <c r="J74" s="18">
        <f t="shared" si="44"/>
        <v>0</v>
      </c>
      <c r="K74" s="18">
        <f t="shared" si="44"/>
        <v>0</v>
      </c>
      <c r="L74" s="18">
        <f t="shared" si="44"/>
        <v>0</v>
      </c>
      <c r="M74" s="18">
        <f t="shared" si="44"/>
        <v>0</v>
      </c>
      <c r="N74" s="18">
        <f t="shared" si="44"/>
        <v>0</v>
      </c>
      <c r="O74" s="18">
        <f t="shared" si="44"/>
        <v>0</v>
      </c>
      <c r="P74" s="18">
        <f t="shared" si="44"/>
        <v>0</v>
      </c>
      <c r="Q74" s="18">
        <f t="shared" si="44"/>
        <v>0</v>
      </c>
      <c r="R74" s="18">
        <f t="shared" si="44"/>
        <v>0</v>
      </c>
      <c r="S74" s="18">
        <f t="shared" si="44"/>
        <v>0</v>
      </c>
      <c r="T74" s="18">
        <f t="shared" si="44"/>
        <v>0</v>
      </c>
      <c r="U74" s="18">
        <f t="shared" si="44"/>
        <v>0</v>
      </c>
      <c r="V74" s="18">
        <f t="shared" si="44"/>
        <v>0</v>
      </c>
      <c r="W74" s="18">
        <f t="shared" si="44"/>
        <v>0</v>
      </c>
      <c r="X74" s="18">
        <f t="shared" si="44"/>
        <v>0</v>
      </c>
      <c r="Y74" s="18">
        <f t="shared" si="44"/>
        <v>0</v>
      </c>
      <c r="Z74" s="18">
        <f t="shared" si="44"/>
        <v>0</v>
      </c>
      <c r="AA74" s="18">
        <f t="shared" si="44"/>
        <v>0</v>
      </c>
      <c r="AB74" s="18">
        <f t="shared" si="44"/>
        <v>0</v>
      </c>
      <c r="AC74" s="18">
        <f t="shared" si="44"/>
        <v>0</v>
      </c>
      <c r="AD74" s="18">
        <f t="shared" si="44"/>
        <v>0</v>
      </c>
      <c r="AE74" s="18">
        <f t="shared" si="44"/>
        <v>0</v>
      </c>
      <c r="AF74" s="18">
        <f t="shared" si="44"/>
        <v>0</v>
      </c>
      <c r="AG74" s="18">
        <f t="shared" si="44"/>
        <v>0</v>
      </c>
      <c r="AH74" s="18">
        <f t="shared" si="44"/>
        <v>0</v>
      </c>
      <c r="AI74" s="18">
        <f t="shared" si="44"/>
        <v>0</v>
      </c>
      <c r="AJ74" s="18">
        <f t="shared" si="44"/>
        <v>0</v>
      </c>
      <c r="AK74" s="18">
        <f t="shared" si="44"/>
        <v>0</v>
      </c>
      <c r="AL74" s="2"/>
      <c r="AM74" s="43">
        <v>58</v>
      </c>
      <c r="AN74">
        <v>44.000273303765951</v>
      </c>
      <c r="AO74">
        <v>1.0155932031687673</v>
      </c>
      <c r="AP74">
        <v>1.6776704170841292</v>
      </c>
      <c r="AQ74">
        <v>7.4040941137422127</v>
      </c>
      <c r="AR74">
        <v>0.93775518469887942</v>
      </c>
      <c r="AS74">
        <v>3.3583217987161471</v>
      </c>
      <c r="AT74" t="e">
        <v>#DIV/0!</v>
      </c>
      <c r="AU74" t="e">
        <v>#DIV/0!</v>
      </c>
      <c r="AV74"/>
      <c r="AW74"/>
      <c r="FY74" s="211">
        <v>69</v>
      </c>
      <c r="FZ74">
        <v>1.0912361594171598</v>
      </c>
      <c r="GA74">
        <v>1.6763713642969327</v>
      </c>
      <c r="GB74">
        <v>0.62292448854060811</v>
      </c>
      <c r="GC74">
        <v>0.53726737604073249</v>
      </c>
      <c r="GD74">
        <v>0.28716691145162782</v>
      </c>
      <c r="GE74">
        <v>0.11942651581672502</v>
      </c>
      <c r="GF74">
        <v>1.362535814291888</v>
      </c>
      <c r="GG74">
        <v>1.2470390765918453</v>
      </c>
      <c r="GH74">
        <v>0.15603164258923619</v>
      </c>
      <c r="GI74">
        <v>0.74604893757745194</v>
      </c>
      <c r="GJ74"/>
      <c r="GK74">
        <v>1.0875487132352939</v>
      </c>
      <c r="GL74">
        <v>1.4120291819852939</v>
      </c>
      <c r="GM74">
        <v>1.02205859375</v>
      </c>
      <c r="GN74">
        <v>1.5743026785714287</v>
      </c>
      <c r="GO74">
        <v>1.0921151785714283</v>
      </c>
      <c r="GP74">
        <v>0.22439062500000001</v>
      </c>
      <c r="GQ74">
        <v>1.6434415760869565</v>
      </c>
      <c r="GR74">
        <v>1.735326992753623</v>
      </c>
      <c r="GS74">
        <v>0.16502303685897435</v>
      </c>
      <c r="GT74">
        <v>1.0020374197005308</v>
      </c>
      <c r="GU74"/>
      <c r="GV74"/>
      <c r="GW74"/>
      <c r="GX74"/>
      <c r="GY74"/>
      <c r="GZ74"/>
      <c r="HA74"/>
      <c r="HB74"/>
      <c r="HC74"/>
    </row>
    <row r="75" spans="1:211" s="7" customFormat="1">
      <c r="A75" s="4"/>
      <c r="B75" s="66"/>
      <c r="C75" s="71">
        <f t="shared" si="38"/>
        <v>39799</v>
      </c>
      <c r="D75" s="72">
        <f t="shared" si="39"/>
        <v>7.291666666666667</v>
      </c>
      <c r="E75" s="64"/>
      <c r="F75" s="64"/>
      <c r="G75" s="18">
        <f>AVERAGE(E278:E287)</f>
        <v>0</v>
      </c>
      <c r="H75" s="18">
        <f t="shared" ref="H75:AK75" si="45">AVERAGE(F278:F287)</f>
        <v>5.2083333333333339</v>
      </c>
      <c r="I75" s="18">
        <f t="shared" si="45"/>
        <v>2.083333333333333</v>
      </c>
      <c r="J75" s="18">
        <f t="shared" si="45"/>
        <v>0</v>
      </c>
      <c r="K75" s="18">
        <f t="shared" si="45"/>
        <v>0</v>
      </c>
      <c r="L75" s="18">
        <f t="shared" si="45"/>
        <v>0</v>
      </c>
      <c r="M75" s="18">
        <f t="shared" si="45"/>
        <v>0</v>
      </c>
      <c r="N75" s="18">
        <f t="shared" si="45"/>
        <v>0</v>
      </c>
      <c r="O75" s="18">
        <f t="shared" si="45"/>
        <v>0</v>
      </c>
      <c r="P75" s="18">
        <f t="shared" si="45"/>
        <v>0</v>
      </c>
      <c r="Q75" s="18">
        <f t="shared" si="45"/>
        <v>0</v>
      </c>
      <c r="R75" s="18">
        <f t="shared" si="45"/>
        <v>0</v>
      </c>
      <c r="S75" s="18">
        <f t="shared" si="45"/>
        <v>0</v>
      </c>
      <c r="T75" s="18">
        <f t="shared" si="45"/>
        <v>0</v>
      </c>
      <c r="U75" s="18">
        <f t="shared" si="45"/>
        <v>0</v>
      </c>
      <c r="V75" s="18">
        <f t="shared" si="45"/>
        <v>0</v>
      </c>
      <c r="W75" s="18">
        <f t="shared" si="45"/>
        <v>0</v>
      </c>
      <c r="X75" s="18">
        <f t="shared" si="45"/>
        <v>0</v>
      </c>
      <c r="Y75" s="18">
        <f t="shared" si="45"/>
        <v>0</v>
      </c>
      <c r="Z75" s="18">
        <f t="shared" si="45"/>
        <v>0</v>
      </c>
      <c r="AA75" s="18">
        <f t="shared" si="45"/>
        <v>0</v>
      </c>
      <c r="AB75" s="18">
        <f t="shared" si="45"/>
        <v>0</v>
      </c>
      <c r="AC75" s="18">
        <f t="shared" si="45"/>
        <v>0</v>
      </c>
      <c r="AD75" s="18">
        <f t="shared" si="45"/>
        <v>0</v>
      </c>
      <c r="AE75" s="18">
        <f t="shared" si="45"/>
        <v>0</v>
      </c>
      <c r="AF75" s="18">
        <f t="shared" si="45"/>
        <v>0</v>
      </c>
      <c r="AG75" s="18">
        <f t="shared" si="45"/>
        <v>0</v>
      </c>
      <c r="AH75" s="18">
        <f t="shared" si="45"/>
        <v>0</v>
      </c>
      <c r="AI75" s="18">
        <f t="shared" si="45"/>
        <v>0</v>
      </c>
      <c r="AJ75" s="18">
        <f t="shared" si="45"/>
        <v>0</v>
      </c>
      <c r="AK75" s="18">
        <f t="shared" si="45"/>
        <v>0</v>
      </c>
      <c r="AL75" s="2"/>
      <c r="AM75" s="43">
        <v>59</v>
      </c>
      <c r="AN75">
        <v>57.055461867718101</v>
      </c>
      <c r="AO75">
        <v>1.3585249535246162</v>
      </c>
      <c r="AP75">
        <v>1.0771057195600857</v>
      </c>
      <c r="AQ75">
        <v>9.0569892628168542</v>
      </c>
      <c r="AR75">
        <v>1.2676221168405601</v>
      </c>
      <c r="AS75">
        <v>4.5486921731666028</v>
      </c>
      <c r="AT75" t="e">
        <v>#DIV/0!</v>
      </c>
      <c r="AU75" t="e">
        <v>#DIV/0!</v>
      </c>
      <c r="AV75"/>
      <c r="AW75"/>
      <c r="FY75" s="211">
        <v>70</v>
      </c>
      <c r="FZ75">
        <v>1.0119147967684208</v>
      </c>
      <c r="GA75">
        <v>1.0812685404289846</v>
      </c>
      <c r="GB75">
        <v>0.74102201008983992</v>
      </c>
      <c r="GC75">
        <v>0.91018401906970448</v>
      </c>
      <c r="GD75">
        <v>0.55145051536609924</v>
      </c>
      <c r="GE75">
        <v>0.14159036925562499</v>
      </c>
      <c r="GF75">
        <v>0.31972386098362504</v>
      </c>
      <c r="GG75">
        <v>0.32783070573276563</v>
      </c>
      <c r="GH75">
        <v>8.9508689212329934E-2</v>
      </c>
      <c r="GI75">
        <v>0.71504086221178964</v>
      </c>
      <c r="GJ75"/>
      <c r="GK75">
        <v>1.0083843749999999</v>
      </c>
      <c r="GL75">
        <v>0.91041562500000006</v>
      </c>
      <c r="GM75">
        <v>1.2159765625000001</v>
      </c>
      <c r="GN75">
        <v>2.6665180803571431</v>
      </c>
      <c r="GO75">
        <v>2.0967133928571426</v>
      </c>
      <c r="GP75">
        <v>0.26601562499999998</v>
      </c>
      <c r="GQ75">
        <v>0.38624999999999998</v>
      </c>
      <c r="GR75">
        <v>0.45661458333333332</v>
      </c>
      <c r="GS75">
        <v>9.465845352564102E-2</v>
      </c>
      <c r="GT75">
        <v>0.96039655677655689</v>
      </c>
      <c r="GU75"/>
      <c r="GV75"/>
      <c r="GW75"/>
      <c r="GX75"/>
      <c r="GY75"/>
      <c r="GZ75"/>
      <c r="HA75"/>
      <c r="HB75"/>
      <c r="HC75"/>
    </row>
    <row r="76" spans="1:211" s="7" customFormat="1">
      <c r="A76" s="4"/>
      <c r="B76" s="66"/>
      <c r="C76" s="71">
        <f t="shared" si="38"/>
        <v>39847</v>
      </c>
      <c r="D76" s="72">
        <f>SUM(G76:AK76)</f>
        <v>6.25</v>
      </c>
      <c r="E76" s="64"/>
      <c r="F76" s="64"/>
      <c r="G76" s="18">
        <f>AVERAGE(E288:E297)</f>
        <v>1.0416666666666665</v>
      </c>
      <c r="H76" s="18">
        <f t="shared" ref="H76:AK76" si="46">AVERAGE(F288:F297)</f>
        <v>5.2083333333333339</v>
      </c>
      <c r="I76" s="18">
        <f t="shared" si="46"/>
        <v>0</v>
      </c>
      <c r="J76" s="18">
        <f t="shared" si="46"/>
        <v>0</v>
      </c>
      <c r="K76" s="18">
        <f t="shared" si="46"/>
        <v>0</v>
      </c>
      <c r="L76" s="18">
        <f t="shared" si="46"/>
        <v>0</v>
      </c>
      <c r="M76" s="18">
        <f t="shared" si="46"/>
        <v>0</v>
      </c>
      <c r="N76" s="18">
        <f t="shared" si="46"/>
        <v>0</v>
      </c>
      <c r="O76" s="18">
        <f t="shared" si="46"/>
        <v>0</v>
      </c>
      <c r="P76" s="18">
        <f t="shared" si="46"/>
        <v>0</v>
      </c>
      <c r="Q76" s="18">
        <f t="shared" si="46"/>
        <v>0</v>
      </c>
      <c r="R76" s="18">
        <f t="shared" si="46"/>
        <v>0</v>
      </c>
      <c r="S76" s="18">
        <f t="shared" si="46"/>
        <v>0</v>
      </c>
      <c r="T76" s="18">
        <f t="shared" si="46"/>
        <v>0</v>
      </c>
      <c r="U76" s="18">
        <f t="shared" si="46"/>
        <v>0</v>
      </c>
      <c r="V76" s="18">
        <f t="shared" si="46"/>
        <v>0</v>
      </c>
      <c r="W76" s="18">
        <f t="shared" si="46"/>
        <v>0</v>
      </c>
      <c r="X76" s="18">
        <f t="shared" si="46"/>
        <v>0</v>
      </c>
      <c r="Y76" s="18">
        <f t="shared" si="46"/>
        <v>0</v>
      </c>
      <c r="Z76" s="18">
        <f t="shared" si="46"/>
        <v>0</v>
      </c>
      <c r="AA76" s="18">
        <f t="shared" si="46"/>
        <v>0</v>
      </c>
      <c r="AB76" s="18">
        <f t="shared" si="46"/>
        <v>0</v>
      </c>
      <c r="AC76" s="18">
        <f t="shared" si="46"/>
        <v>0</v>
      </c>
      <c r="AD76" s="18">
        <f t="shared" si="46"/>
        <v>0</v>
      </c>
      <c r="AE76" s="18">
        <f t="shared" si="46"/>
        <v>0</v>
      </c>
      <c r="AF76" s="18">
        <f t="shared" si="46"/>
        <v>0</v>
      </c>
      <c r="AG76" s="18">
        <f t="shared" si="46"/>
        <v>0</v>
      </c>
      <c r="AH76" s="18">
        <f t="shared" si="46"/>
        <v>0</v>
      </c>
      <c r="AI76" s="18">
        <f t="shared" si="46"/>
        <v>0</v>
      </c>
      <c r="AJ76" s="18">
        <f t="shared" si="46"/>
        <v>0</v>
      </c>
      <c r="AK76" s="18">
        <f t="shared" si="46"/>
        <v>0</v>
      </c>
      <c r="AL76" s="2"/>
      <c r="AM76" s="43">
        <v>60</v>
      </c>
      <c r="AN76">
        <v>42.54894299600182</v>
      </c>
      <c r="AO76">
        <v>1.0841450408586513</v>
      </c>
      <c r="AP76">
        <v>1.567739401507114</v>
      </c>
      <c r="AQ76">
        <v>7.0472007994960677</v>
      </c>
      <c r="AR76">
        <v>1.0095278889798927</v>
      </c>
      <c r="AS76">
        <v>3.6072581914911321</v>
      </c>
      <c r="AT76">
        <v>0.68926879329011481</v>
      </c>
      <c r="AU76">
        <v>0.18368677855333881</v>
      </c>
      <c r="AV76"/>
      <c r="AW76"/>
      <c r="FY76" s="211">
        <v>71</v>
      </c>
      <c r="FZ76">
        <v>2.5870929176870194</v>
      </c>
      <c r="GA76">
        <v>2.8840760523520226</v>
      </c>
      <c r="GB76">
        <v>0.1495055944538965</v>
      </c>
      <c r="GC76">
        <v>0.49892758818167743</v>
      </c>
      <c r="GD76">
        <v>0.42479592122627352</v>
      </c>
      <c r="GE76">
        <v>0.14833383665557504</v>
      </c>
      <c r="GF76">
        <v>0.37461671604370633</v>
      </c>
      <c r="GG76">
        <v>0.28954215414031298</v>
      </c>
      <c r="GH76">
        <v>4.5971471670847357E-2</v>
      </c>
      <c r="GI76">
        <v>0.7353655544952451</v>
      </c>
      <c r="GJ76"/>
      <c r="GK76">
        <v>2.5784398897058818</v>
      </c>
      <c r="GL76">
        <v>2.429318795955882</v>
      </c>
      <c r="GM76">
        <v>0.24501953125000001</v>
      </c>
      <c r="GN76">
        <v>1.4607705357142855</v>
      </c>
      <c r="GO76">
        <v>1.6152080357142857</v>
      </c>
      <c r="GP76">
        <v>0.27867187500000001</v>
      </c>
      <c r="GQ76">
        <v>0.45162635869565215</v>
      </c>
      <c r="GR76">
        <v>0.40278260869565213</v>
      </c>
      <c r="GS76">
        <v>4.8587740384615385E-2</v>
      </c>
      <c r="GT76">
        <v>0.98777631115008702</v>
      </c>
      <c r="GU76"/>
      <c r="GV76"/>
      <c r="GW76"/>
      <c r="GX76"/>
      <c r="GY76"/>
      <c r="GZ76"/>
      <c r="HA76"/>
      <c r="HB76"/>
      <c r="HC76"/>
    </row>
    <row r="77" spans="1:211" s="7" customFormat="1">
      <c r="A77" s="4"/>
      <c r="B77" s="66"/>
      <c r="C77" s="71">
        <f t="shared" si="38"/>
        <v>39910</v>
      </c>
      <c r="D77" s="72">
        <f>SUM(G77:AK77)</f>
        <v>106.64251207729468</v>
      </c>
      <c r="E77" s="64"/>
      <c r="F77" s="64"/>
      <c r="G77" s="18">
        <f>AVERAGE(E298:E307)</f>
        <v>0</v>
      </c>
      <c r="H77" s="18">
        <f t="shared" ref="H77:AK77" si="47">AVERAGE(F298:F307)</f>
        <v>99.69806763285024</v>
      </c>
      <c r="I77" s="18">
        <f t="shared" si="47"/>
        <v>6.9444444444444446</v>
      </c>
      <c r="J77" s="18">
        <f t="shared" si="47"/>
        <v>0</v>
      </c>
      <c r="K77" s="18">
        <f t="shared" si="47"/>
        <v>0</v>
      </c>
      <c r="L77" s="18">
        <f t="shared" si="47"/>
        <v>0</v>
      </c>
      <c r="M77" s="18">
        <f t="shared" si="47"/>
        <v>0</v>
      </c>
      <c r="N77" s="18">
        <f t="shared" si="47"/>
        <v>0</v>
      </c>
      <c r="O77" s="18">
        <f t="shared" si="47"/>
        <v>0</v>
      </c>
      <c r="P77" s="18">
        <f t="shared" si="47"/>
        <v>0</v>
      </c>
      <c r="Q77" s="18">
        <f t="shared" si="47"/>
        <v>0</v>
      </c>
      <c r="R77" s="18">
        <f t="shared" si="47"/>
        <v>0</v>
      </c>
      <c r="S77" s="18">
        <f t="shared" si="47"/>
        <v>0</v>
      </c>
      <c r="T77" s="18">
        <f t="shared" si="47"/>
        <v>0</v>
      </c>
      <c r="U77" s="18">
        <f t="shared" si="47"/>
        <v>0</v>
      </c>
      <c r="V77" s="18">
        <f t="shared" si="47"/>
        <v>0</v>
      </c>
      <c r="W77" s="18">
        <f t="shared" si="47"/>
        <v>0</v>
      </c>
      <c r="X77" s="18">
        <f t="shared" si="47"/>
        <v>0</v>
      </c>
      <c r="Y77" s="18">
        <f t="shared" si="47"/>
        <v>0</v>
      </c>
      <c r="Z77" s="18">
        <f t="shared" si="47"/>
        <v>0</v>
      </c>
      <c r="AA77" s="18">
        <f t="shared" si="47"/>
        <v>0</v>
      </c>
      <c r="AB77" s="18">
        <f t="shared" si="47"/>
        <v>0</v>
      </c>
      <c r="AC77" s="18">
        <f t="shared" si="47"/>
        <v>0</v>
      </c>
      <c r="AD77" s="18">
        <f t="shared" si="47"/>
        <v>0</v>
      </c>
      <c r="AE77" s="18">
        <f t="shared" si="47"/>
        <v>0</v>
      </c>
      <c r="AF77" s="18">
        <f t="shared" si="47"/>
        <v>0</v>
      </c>
      <c r="AG77" s="18">
        <f t="shared" si="47"/>
        <v>0</v>
      </c>
      <c r="AH77" s="18">
        <f t="shared" si="47"/>
        <v>0</v>
      </c>
      <c r="AI77" s="18">
        <f t="shared" si="47"/>
        <v>0</v>
      </c>
      <c r="AJ77" s="18">
        <f t="shared" si="47"/>
        <v>0</v>
      </c>
      <c r="AK77" s="18">
        <f t="shared" si="47"/>
        <v>0</v>
      </c>
      <c r="AL77" s="2"/>
      <c r="AM77" s="43">
        <v>61</v>
      </c>
      <c r="AN77">
        <v>20.482631818753141</v>
      </c>
      <c r="AO77">
        <v>0.45415384070984166</v>
      </c>
      <c r="AP77">
        <v>0.24807588450526441</v>
      </c>
      <c r="AQ77">
        <v>3.9973518205193139</v>
      </c>
      <c r="AR77">
        <v>0.42956429793552042</v>
      </c>
      <c r="AS77">
        <v>1.5339383715128729</v>
      </c>
      <c r="AT77" t="e">
        <v>#DIV/0!</v>
      </c>
      <c r="AU77" t="e">
        <v>#DIV/0!</v>
      </c>
      <c r="AV77"/>
      <c r="AW77"/>
      <c r="FY77" s="211">
        <v>72</v>
      </c>
      <c r="FZ77">
        <v>1.989850287884507</v>
      </c>
      <c r="GA77">
        <v>2.8593319888186972</v>
      </c>
      <c r="GB77">
        <v>0.32949378560185316</v>
      </c>
      <c r="GC77">
        <v>8.4439930332878749E-2</v>
      </c>
      <c r="GD77">
        <v>4.9953684672629992E-2</v>
      </c>
      <c r="GE77">
        <v>9.6357736129499983E-3</v>
      </c>
      <c r="GF77">
        <v>0.15986193049181252</v>
      </c>
      <c r="GG77">
        <v>0.18920630708545313</v>
      </c>
      <c r="GH77">
        <v>0.13548016088317727</v>
      </c>
      <c r="GI77">
        <v>0.45402453722848179</v>
      </c>
      <c r="GJ77"/>
      <c r="GK77">
        <v>1.9830974264705876</v>
      </c>
      <c r="GL77">
        <v>2.4085818014705875</v>
      </c>
      <c r="GM77">
        <v>0.54071875000000014</v>
      </c>
      <c r="GN77">
        <v>0.247271875</v>
      </c>
      <c r="GO77">
        <v>0.18997499999999998</v>
      </c>
      <c r="GP77">
        <v>1.8093749999999999E-2</v>
      </c>
      <c r="GQ77">
        <v>0.19312499999999999</v>
      </c>
      <c r="GR77">
        <v>0.26348958333333333</v>
      </c>
      <c r="GS77">
        <v>0.14324619391025639</v>
      </c>
      <c r="GT77">
        <v>0.6100324740761689</v>
      </c>
      <c r="GU77"/>
      <c r="GV77"/>
      <c r="GW77"/>
      <c r="GX77"/>
      <c r="GY77"/>
      <c r="GZ77"/>
      <c r="HA77"/>
      <c r="HB77"/>
      <c r="HC77"/>
    </row>
    <row r="78" spans="1:211" s="7" customFormat="1">
      <c r="A78" s="4"/>
      <c r="B78" s="66"/>
      <c r="C78" s="71">
        <f t="shared" si="38"/>
        <v>39949</v>
      </c>
      <c r="D78" s="72">
        <f>SUM(G78:AK78)</f>
        <v>16.203703703703702</v>
      </c>
      <c r="E78" s="64"/>
      <c r="F78" s="64"/>
      <c r="G78" s="18">
        <f>AVERAGE(E308:E317)</f>
        <v>0</v>
      </c>
      <c r="H78" s="18">
        <f t="shared" ref="H78:AK78" si="48">AVERAGE(F308:F317)</f>
        <v>16.203703703703702</v>
      </c>
      <c r="I78" s="18">
        <f t="shared" si="48"/>
        <v>0</v>
      </c>
      <c r="J78" s="18">
        <f t="shared" si="48"/>
        <v>0</v>
      </c>
      <c r="K78" s="18">
        <f t="shared" si="48"/>
        <v>0</v>
      </c>
      <c r="L78" s="18">
        <f t="shared" si="48"/>
        <v>0</v>
      </c>
      <c r="M78" s="18">
        <f t="shared" si="48"/>
        <v>0</v>
      </c>
      <c r="N78" s="18">
        <f t="shared" si="48"/>
        <v>0</v>
      </c>
      <c r="O78" s="18">
        <f t="shared" si="48"/>
        <v>0</v>
      </c>
      <c r="P78" s="18">
        <f t="shared" si="48"/>
        <v>0</v>
      </c>
      <c r="Q78" s="18">
        <f t="shared" si="48"/>
        <v>0</v>
      </c>
      <c r="R78" s="18">
        <f t="shared" si="48"/>
        <v>0</v>
      </c>
      <c r="S78" s="18">
        <f t="shared" si="48"/>
        <v>0</v>
      </c>
      <c r="T78" s="18">
        <f t="shared" si="48"/>
        <v>0</v>
      </c>
      <c r="U78" s="18">
        <f t="shared" si="48"/>
        <v>0</v>
      </c>
      <c r="V78" s="18">
        <f t="shared" si="48"/>
        <v>0</v>
      </c>
      <c r="W78" s="18">
        <f t="shared" si="48"/>
        <v>0</v>
      </c>
      <c r="X78" s="18">
        <f t="shared" si="48"/>
        <v>0</v>
      </c>
      <c r="Y78" s="18">
        <f t="shared" si="48"/>
        <v>0</v>
      </c>
      <c r="Z78" s="18">
        <f t="shared" si="48"/>
        <v>0</v>
      </c>
      <c r="AA78" s="18">
        <f t="shared" si="48"/>
        <v>0</v>
      </c>
      <c r="AB78" s="18">
        <f t="shared" si="48"/>
        <v>0</v>
      </c>
      <c r="AC78" s="18">
        <f t="shared" si="48"/>
        <v>0</v>
      </c>
      <c r="AD78" s="18">
        <f t="shared" si="48"/>
        <v>0</v>
      </c>
      <c r="AE78" s="18">
        <f t="shared" si="48"/>
        <v>0</v>
      </c>
      <c r="AF78" s="18">
        <f t="shared" si="48"/>
        <v>0</v>
      </c>
      <c r="AG78" s="18">
        <f t="shared" si="48"/>
        <v>0</v>
      </c>
      <c r="AH78" s="18">
        <f t="shared" si="48"/>
        <v>0</v>
      </c>
      <c r="AI78" s="18">
        <f t="shared" si="48"/>
        <v>0</v>
      </c>
      <c r="AJ78" s="18">
        <f t="shared" si="48"/>
        <v>0</v>
      </c>
      <c r="AK78" s="18">
        <f t="shared" si="48"/>
        <v>0</v>
      </c>
      <c r="AL78" s="2"/>
      <c r="AM78" s="43">
        <v>62</v>
      </c>
      <c r="AN78">
        <v>35.22004339570276</v>
      </c>
      <c r="AO78">
        <v>0.93047017980145641</v>
      </c>
      <c r="AP78">
        <v>1.8742292279458297</v>
      </c>
      <c r="AQ78">
        <v>6.4880299724158519</v>
      </c>
      <c r="AR78">
        <v>0.85895699256426106</v>
      </c>
      <c r="AS78">
        <v>3.0191830157894297</v>
      </c>
      <c r="AT78" t="e">
        <v>#DIV/0!</v>
      </c>
      <c r="AU78" t="e">
        <v>#DIV/0!</v>
      </c>
      <c r="AV78"/>
      <c r="AW78"/>
      <c r="FY78" s="211">
        <v>73</v>
      </c>
      <c r="FZ78">
        <v>1.6684144800846108</v>
      </c>
      <c r="GA78">
        <v>2.2948263251829291</v>
      </c>
      <c r="GB78">
        <v>0.57072454557706753</v>
      </c>
      <c r="GC78">
        <v>0.23882441312879621</v>
      </c>
      <c r="GD78">
        <v>9.6998469924307495E-2</v>
      </c>
      <c r="GE78">
        <v>0.11942651581672502</v>
      </c>
      <c r="GF78">
        <v>0.37461671604370633</v>
      </c>
      <c r="GG78">
        <v>0.39070597101659427</v>
      </c>
      <c r="GH78">
        <v>0.17901737842465987</v>
      </c>
      <c r="GI78">
        <v>0.53733281545858569</v>
      </c>
      <c r="GJ78"/>
      <c r="GK78">
        <v>1.662781801470588</v>
      </c>
      <c r="GL78">
        <v>1.9327935202205884</v>
      </c>
      <c r="GM78">
        <v>0.9363398437499999</v>
      </c>
      <c r="GN78">
        <v>0.70060312499999999</v>
      </c>
      <c r="GO78">
        <v>0.36919687499999998</v>
      </c>
      <c r="GP78">
        <v>0.22439062500000001</v>
      </c>
      <c r="GQ78">
        <v>0.45162635869565215</v>
      </c>
      <c r="GR78">
        <v>0.54351177536231876</v>
      </c>
      <c r="GS78">
        <v>0.18931690705128204</v>
      </c>
      <c r="GT78">
        <v>0.72185235719350449</v>
      </c>
      <c r="GU78"/>
      <c r="GV78"/>
      <c r="GW78"/>
      <c r="GX78"/>
      <c r="GY78"/>
      <c r="GZ78"/>
      <c r="HA78"/>
      <c r="HB78"/>
      <c r="HC78"/>
    </row>
    <row r="79" spans="1:211" s="7" customFormat="1">
      <c r="A79" s="4"/>
      <c r="B79" s="66"/>
      <c r="C79" s="71">
        <f t="shared" si="38"/>
        <v>39987</v>
      </c>
      <c r="D79" s="72">
        <f>SUM(G79:AK79)</f>
        <v>7.0112179487179489</v>
      </c>
      <c r="E79" s="64"/>
      <c r="F79" s="64"/>
      <c r="G79" s="18">
        <f>AVERAGE(E318:E327)</f>
        <v>7.0112179487179489</v>
      </c>
      <c r="H79" s="18">
        <f t="shared" ref="H79:AK79" si="49">AVERAGE(F318:F327)</f>
        <v>0</v>
      </c>
      <c r="I79" s="18">
        <f t="shared" si="49"/>
        <v>0</v>
      </c>
      <c r="J79" s="18">
        <f t="shared" si="49"/>
        <v>0</v>
      </c>
      <c r="K79" s="18">
        <f t="shared" si="49"/>
        <v>0</v>
      </c>
      <c r="L79" s="18">
        <f t="shared" si="49"/>
        <v>0</v>
      </c>
      <c r="M79" s="18">
        <f t="shared" si="49"/>
        <v>0</v>
      </c>
      <c r="N79" s="18">
        <f t="shared" si="49"/>
        <v>0</v>
      </c>
      <c r="O79" s="18">
        <f t="shared" si="49"/>
        <v>0</v>
      </c>
      <c r="P79" s="18">
        <f t="shared" si="49"/>
        <v>0</v>
      </c>
      <c r="Q79" s="18">
        <f t="shared" si="49"/>
        <v>0</v>
      </c>
      <c r="R79" s="18">
        <f t="shared" si="49"/>
        <v>0</v>
      </c>
      <c r="S79" s="18">
        <f t="shared" si="49"/>
        <v>0</v>
      </c>
      <c r="T79" s="18">
        <f t="shared" si="49"/>
        <v>0</v>
      </c>
      <c r="U79" s="18">
        <f t="shared" si="49"/>
        <v>0</v>
      </c>
      <c r="V79" s="18">
        <f t="shared" si="49"/>
        <v>0</v>
      </c>
      <c r="W79" s="18">
        <f t="shared" si="49"/>
        <v>0</v>
      </c>
      <c r="X79" s="18">
        <f t="shared" si="49"/>
        <v>0</v>
      </c>
      <c r="Y79" s="18">
        <f t="shared" si="49"/>
        <v>0</v>
      </c>
      <c r="Z79" s="18">
        <f t="shared" si="49"/>
        <v>0</v>
      </c>
      <c r="AA79" s="18">
        <f t="shared" si="49"/>
        <v>0</v>
      </c>
      <c r="AB79" s="18">
        <f t="shared" si="49"/>
        <v>0</v>
      </c>
      <c r="AC79" s="18">
        <f t="shared" si="49"/>
        <v>0</v>
      </c>
      <c r="AD79" s="18">
        <f t="shared" si="49"/>
        <v>0</v>
      </c>
      <c r="AE79" s="18">
        <f t="shared" si="49"/>
        <v>0</v>
      </c>
      <c r="AF79" s="18">
        <f t="shared" si="49"/>
        <v>0</v>
      </c>
      <c r="AG79" s="18">
        <f t="shared" si="49"/>
        <v>0</v>
      </c>
      <c r="AH79" s="18">
        <f t="shared" si="49"/>
        <v>0</v>
      </c>
      <c r="AI79" s="18">
        <f t="shared" si="49"/>
        <v>0</v>
      </c>
      <c r="AJ79" s="18">
        <f t="shared" si="49"/>
        <v>0</v>
      </c>
      <c r="AK79" s="18">
        <f t="shared" si="49"/>
        <v>0</v>
      </c>
      <c r="AL79" s="2"/>
      <c r="AM79" s="43">
        <v>63</v>
      </c>
      <c r="AN79">
        <v>30.129803774213137</v>
      </c>
      <c r="AO79">
        <v>0.70088964065310488</v>
      </c>
      <c r="AP79">
        <v>8.3704024422101746</v>
      </c>
      <c r="AQ79">
        <v>5.5775273034404336</v>
      </c>
      <c r="AR79">
        <v>0.65970026335596943</v>
      </c>
      <c r="AS79">
        <v>2.4993589983405422</v>
      </c>
      <c r="AT79" t="e">
        <v>#DIV/0!</v>
      </c>
      <c r="AU79" t="e">
        <v>#DIV/0!</v>
      </c>
      <c r="AV79"/>
      <c r="AW79"/>
      <c r="FY79" s="211">
        <v>74</v>
      </c>
      <c r="FZ79">
        <v>1.8413950833625616</v>
      </c>
      <c r="GA79">
        <v>2.3850445312121558</v>
      </c>
      <c r="GB79">
        <v>1.3025552032903076</v>
      </c>
      <c r="GC79">
        <v>0.87107815911345288</v>
      </c>
      <c r="GD79">
        <v>0.26821174474030179</v>
      </c>
      <c r="GE79">
        <v>0.12231882202972501</v>
      </c>
      <c r="GF79">
        <v>0.15986193049181252</v>
      </c>
      <c r="GG79">
        <v>0.29037012396173439</v>
      </c>
      <c r="GH79">
        <v>0.22255459596614241</v>
      </c>
      <c r="GI79">
        <v>0.80715467259789164</v>
      </c>
      <c r="GJ79"/>
      <c r="GK79">
        <v>1.835064338235294</v>
      </c>
      <c r="GL79">
        <v>2.0086893382352939</v>
      </c>
      <c r="GM79">
        <v>2.1385752840909089</v>
      </c>
      <c r="GN79">
        <v>2.5562449269480521</v>
      </c>
      <c r="GO79">
        <v>1.0203415178571429</v>
      </c>
      <c r="GP79">
        <v>0.22982812499999999</v>
      </c>
      <c r="GQ79">
        <v>0.19312499999999999</v>
      </c>
      <c r="GR79">
        <v>0.40421875000000002</v>
      </c>
      <c r="GS79">
        <v>0.23538762019230769</v>
      </c>
      <c r="GT79">
        <v>1.0844987520751308</v>
      </c>
      <c r="GU79"/>
      <c r="GV79"/>
      <c r="GW79"/>
      <c r="GX79"/>
      <c r="GY79"/>
      <c r="GZ79"/>
      <c r="HA79"/>
      <c r="HB79"/>
      <c r="HC79"/>
    </row>
    <row r="80" spans="1:211" s="7" customFormat="1">
      <c r="A80" s="4"/>
      <c r="B80" s="66"/>
      <c r="C80" s="71"/>
      <c r="D80" s="72"/>
      <c r="E80" s="64"/>
      <c r="F80" s="64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2"/>
      <c r="AM80" s="43">
        <v>64</v>
      </c>
      <c r="AN80">
        <v>35.294132685125334</v>
      </c>
      <c r="AO80">
        <v>0.83080701177682614</v>
      </c>
      <c r="AP80">
        <v>0.68368090084623967</v>
      </c>
      <c r="AQ80">
        <v>6.8275233184220019</v>
      </c>
      <c r="AR80">
        <v>0.76331832801389798</v>
      </c>
      <c r="AS80">
        <v>2.7701859623864067</v>
      </c>
      <c r="AT80" t="e">
        <v>#DIV/0!</v>
      </c>
      <c r="AU80" t="e">
        <v>#DIV/0!</v>
      </c>
      <c r="AV80"/>
      <c r="AW80"/>
      <c r="FY80" s="211">
        <v>75</v>
      </c>
      <c r="FZ80">
        <v>0.79930636039359559</v>
      </c>
      <c r="GA80">
        <v>0.86248500490148394</v>
      </c>
      <c r="GB80">
        <v>0.52554587051846591</v>
      </c>
      <c r="GC80">
        <v>0.39131938766072993</v>
      </c>
      <c r="GD80">
        <v>0.13497566482691678</v>
      </c>
      <c r="GE80">
        <v>5.2996754871225009E-2</v>
      </c>
      <c r="GF80">
        <v>0.98791909824818158</v>
      </c>
      <c r="GG80">
        <v>0.90691501401339158</v>
      </c>
      <c r="GH80">
        <v>8.9508689212329934E-2</v>
      </c>
      <c r="GI80">
        <v>0.51501557262213393</v>
      </c>
      <c r="GJ80"/>
      <c r="GK80">
        <v>0.79648124999999992</v>
      </c>
      <c r="GL80">
        <v>0.72618046874999997</v>
      </c>
      <c r="GM80">
        <v>0.86204296874999997</v>
      </c>
      <c r="GN80">
        <v>1.1473446428571428</v>
      </c>
      <c r="GO80">
        <v>0.51373526785714285</v>
      </c>
      <c r="GP80">
        <v>9.951562500000001E-2</v>
      </c>
      <c r="GQ80">
        <v>1.1918152173913041</v>
      </c>
      <c r="GR80">
        <v>1.2621798007246374</v>
      </c>
      <c r="GS80">
        <v>9.465845352564102E-2</v>
      </c>
      <c r="GT80">
        <v>0.69174663150481752</v>
      </c>
      <c r="GU80"/>
      <c r="GV80"/>
      <c r="GW80"/>
      <c r="GX80"/>
      <c r="GY80"/>
      <c r="GZ80"/>
      <c r="HA80"/>
      <c r="HB80"/>
      <c r="HC80"/>
    </row>
    <row r="81" spans="1:211" s="7" customFormat="1">
      <c r="A81" s="4"/>
      <c r="B81" s="42"/>
      <c r="C81" s="71"/>
      <c r="D81" s="72"/>
      <c r="E81" s="64"/>
      <c r="F81" s="64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2"/>
      <c r="AM81" s="43">
        <v>65</v>
      </c>
      <c r="AN81">
        <v>34.92701569944218</v>
      </c>
      <c r="AO81">
        <v>0.837056917676686</v>
      </c>
      <c r="AP81">
        <v>4.0866509232137371</v>
      </c>
      <c r="AQ81">
        <v>7.494098789233882</v>
      </c>
      <c r="AR81">
        <v>0.77986653792286131</v>
      </c>
      <c r="AS81">
        <v>2.6326894199411153</v>
      </c>
      <c r="AT81" t="e">
        <v>#DIV/0!</v>
      </c>
      <c r="AU81" t="e">
        <v>#DIV/0!</v>
      </c>
      <c r="AV81"/>
      <c r="AW81"/>
      <c r="FY81" s="211">
        <v>76</v>
      </c>
      <c r="FZ81">
        <v>1.2729067698910477</v>
      </c>
      <c r="GA81">
        <v>1.900490812290863</v>
      </c>
      <c r="GB81">
        <v>1.7322239680173208</v>
      </c>
      <c r="GC81">
        <v>0.91271807546401784</v>
      </c>
      <c r="GD81">
        <v>0.17054565180785033</v>
      </c>
      <c r="GE81">
        <v>0.12900836070404997</v>
      </c>
      <c r="GF81">
        <v>0.31972386098362504</v>
      </c>
      <c r="GG81">
        <v>0.32783070573276563</v>
      </c>
      <c r="GH81">
        <v>6.6522953376906252E-2</v>
      </c>
      <c r="GI81">
        <v>0.77662134040247488</v>
      </c>
      <c r="GJ81"/>
      <c r="GK81">
        <v>1.2686737132352941</v>
      </c>
      <c r="GL81">
        <v>1.6007127757352944</v>
      </c>
      <c r="GM81">
        <v>2.8437862215909089</v>
      </c>
      <c r="GN81">
        <v>2.6790467126623376</v>
      </c>
      <c r="GO81">
        <v>0.64889330357142849</v>
      </c>
      <c r="GP81">
        <v>0.24253124999999998</v>
      </c>
      <c r="GQ81">
        <v>0.38624999999999998</v>
      </c>
      <c r="GR81">
        <v>0.45661458333333332</v>
      </c>
      <c r="GS81">
        <v>7.0364583333333328E-2</v>
      </c>
      <c r="GT81">
        <v>1.0435935643461929</v>
      </c>
      <c r="GU81"/>
      <c r="GV81"/>
      <c r="GW81"/>
      <c r="GX81"/>
      <c r="GY81"/>
      <c r="GZ81"/>
      <c r="HA81"/>
      <c r="HB81"/>
      <c r="HC81"/>
    </row>
    <row r="82" spans="1:211" s="7" customFormat="1">
      <c r="A82" s="4"/>
      <c r="B82" s="1"/>
      <c r="C82" s="73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63"/>
      <c r="AG82" s="63"/>
      <c r="AH82" s="63"/>
      <c r="AI82" s="63"/>
      <c r="AJ82" s="63"/>
      <c r="AK82" s="63"/>
      <c r="AL82" s="2"/>
      <c r="AM82" s="43">
        <v>66</v>
      </c>
      <c r="AN82">
        <v>28.848962710084031</v>
      </c>
      <c r="AO82">
        <v>0.7596169602153362</v>
      </c>
      <c r="AP82">
        <v>1.2959841364110962</v>
      </c>
      <c r="AQ82">
        <v>5.702206246736484</v>
      </c>
      <c r="AR82">
        <v>0.70867166837757822</v>
      </c>
      <c r="AS82">
        <v>2.4207598941129898</v>
      </c>
      <c r="AT82" t="e">
        <v>#DIV/0!</v>
      </c>
      <c r="AU82" t="e">
        <v>#DIV/0!</v>
      </c>
      <c r="AV82"/>
      <c r="AW82"/>
      <c r="FY82" s="211">
        <v>77</v>
      </c>
      <c r="FZ82">
        <v>1.7083824940748451</v>
      </c>
      <c r="GA82">
        <v>2.5241717694956121</v>
      </c>
      <c r="GB82">
        <v>1.0944867344741507</v>
      </c>
      <c r="GC82">
        <v>0.69685507493301391</v>
      </c>
      <c r="GD82">
        <v>0.27005961284815178</v>
      </c>
      <c r="GE82">
        <v>0.13580575682962504</v>
      </c>
      <c r="GF82">
        <v>0.41513581345513451</v>
      </c>
      <c r="GG82">
        <v>0.34012406257845362</v>
      </c>
      <c r="GH82">
        <v>8.9508689212329934E-2</v>
      </c>
      <c r="GI82">
        <v>0.76250414304256342</v>
      </c>
      <c r="GJ82"/>
      <c r="GK82">
        <v>1.7026255514705879</v>
      </c>
      <c r="GL82">
        <v>2.1262818014705878</v>
      </c>
      <c r="GM82">
        <v>1.7969126420454544</v>
      </c>
      <c r="GN82">
        <v>2.0442385349025973</v>
      </c>
      <c r="GO82">
        <v>1.0276540178571429</v>
      </c>
      <c r="GP82">
        <v>0.25514062500000001</v>
      </c>
      <c r="GQ82">
        <v>0.50047010869565223</v>
      </c>
      <c r="GR82">
        <v>0.47314719202898542</v>
      </c>
      <c r="GS82">
        <v>9.465845352564102E-2</v>
      </c>
      <c r="GT82">
        <v>1.0244641547188955</v>
      </c>
      <c r="GU82"/>
      <c r="GV82"/>
      <c r="GW82"/>
      <c r="GX82"/>
      <c r="GY82"/>
      <c r="GZ82"/>
      <c r="HA82"/>
      <c r="HB82"/>
      <c r="HC82"/>
    </row>
    <row r="83" spans="1:211" s="7" customFormat="1">
      <c r="A83" s="4"/>
      <c r="B83" s="1"/>
      <c r="C83" s="3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43">
        <v>67</v>
      </c>
      <c r="AN83">
        <v>53.994224279734183</v>
      </c>
      <c r="AO83">
        <v>1.3512571248340055</v>
      </c>
      <c r="AP83">
        <v>2.4500224587731632</v>
      </c>
      <c r="AQ83">
        <v>8.3797481236800344</v>
      </c>
      <c r="AR83">
        <v>1.2364547944295154</v>
      </c>
      <c r="AS83">
        <v>4.4349630614049929</v>
      </c>
      <c r="AT83" t="e">
        <v>#DIV/0!</v>
      </c>
      <c r="AU83" t="e">
        <v>#DIV/0!</v>
      </c>
      <c r="AV83"/>
      <c r="AW83"/>
      <c r="FY83" s="211">
        <v>78</v>
      </c>
      <c r="FZ83">
        <v>0.61035117711952491</v>
      </c>
      <c r="GA83">
        <v>1.167124222450064</v>
      </c>
      <c r="GB83">
        <v>1.8910284444729275</v>
      </c>
      <c r="GC83">
        <v>0.94508033731682595</v>
      </c>
      <c r="GD83">
        <v>8.841902275552499E-2</v>
      </c>
      <c r="GE83">
        <v>0.117554863948875</v>
      </c>
      <c r="GF83">
        <v>0.5344786465355188</v>
      </c>
      <c r="GG83">
        <v>0.47874846122576609</v>
      </c>
      <c r="GH83">
        <v>0.13548016088317727</v>
      </c>
      <c r="GI83">
        <v>0.72006892992568217</v>
      </c>
      <c r="GJ83"/>
      <c r="GK83">
        <v>0.60824999999999996</v>
      </c>
      <c r="GL83">
        <v>0.98292187499999994</v>
      </c>
      <c r="GM83">
        <v>3.105105113636363</v>
      </c>
      <c r="GN83">
        <v>2.7756676136363629</v>
      </c>
      <c r="GO83">
        <v>0.33665624999999999</v>
      </c>
      <c r="GP83">
        <v>0.22073437500000001</v>
      </c>
      <c r="GQ83">
        <v>0.64475135869565214</v>
      </c>
      <c r="GR83">
        <v>0.66627219202898535</v>
      </c>
      <c r="GS83">
        <v>0.14324619391025639</v>
      </c>
      <c r="GT83">
        <v>0.96760178324845425</v>
      </c>
      <c r="GU83"/>
      <c r="GV83"/>
      <c r="GW83"/>
      <c r="GX83"/>
      <c r="GY83"/>
      <c r="GZ83"/>
      <c r="HA83"/>
      <c r="HB83"/>
      <c r="HC83"/>
    </row>
    <row r="84" spans="1:211" s="7" customFormat="1">
      <c r="A84" s="4"/>
      <c r="B84" s="4"/>
      <c r="C84" s="34"/>
      <c r="D84" s="28"/>
      <c r="E84" s="28"/>
      <c r="F84" s="28">
        <v>0.09</v>
      </c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>
        <v>3.0028000000000028</v>
      </c>
      <c r="AM84" s="43">
        <v>68</v>
      </c>
      <c r="AN84">
        <v>65.793553926122655</v>
      </c>
      <c r="AO84">
        <v>1.5291862856560265</v>
      </c>
      <c r="AP84">
        <v>8.840819574694688</v>
      </c>
      <c r="AQ84">
        <v>10.619628833057815</v>
      </c>
      <c r="AR84">
        <v>1.4141108387956884</v>
      </c>
      <c r="AS84">
        <v>5.4132853023645628</v>
      </c>
      <c r="AT84" t="e">
        <v>#DIV/0!</v>
      </c>
      <c r="AU84" t="e">
        <v>#DIV/0!</v>
      </c>
      <c r="AV84"/>
      <c r="AW84"/>
      <c r="AX84" s="157" t="s">
        <v>111</v>
      </c>
      <c r="CJ84" s="157" t="s">
        <v>112</v>
      </c>
      <c r="FY84" s="211">
        <v>79</v>
      </c>
      <c r="FZ84">
        <v>0.95683190407481</v>
      </c>
      <c r="GA84">
        <v>1.2503100241846152</v>
      </c>
      <c r="GB84">
        <v>1.4334847127654695</v>
      </c>
      <c r="GC84">
        <v>1.0048378378185134</v>
      </c>
      <c r="GD84">
        <v>0.28486686195784927</v>
      </c>
      <c r="GE84">
        <v>0.17434885128142502</v>
      </c>
      <c r="GF84">
        <v>0.41513581345513451</v>
      </c>
      <c r="GG84">
        <v>0.34012406257845362</v>
      </c>
      <c r="GH84">
        <v>0.11249442504775362</v>
      </c>
      <c r="GI84">
        <v>0.74582526082027534</v>
      </c>
      <c r="GJ84"/>
      <c r="GK84">
        <v>0.95367371323529404</v>
      </c>
      <c r="GL84">
        <v>1.0530955882352941</v>
      </c>
      <c r="GM84">
        <v>2.353395596590909</v>
      </c>
      <c r="GN84">
        <v>2.9484214894480516</v>
      </c>
      <c r="GO84">
        <v>1.0836508928571427</v>
      </c>
      <c r="GP84">
        <v>0.32751562500000003</v>
      </c>
      <c r="GQ84">
        <v>0.50047010869565223</v>
      </c>
      <c r="GR84">
        <v>0.47314719202898542</v>
      </c>
      <c r="GS84">
        <v>0.11895232371794871</v>
      </c>
      <c r="GT84">
        <v>1.0020285270193894</v>
      </c>
      <c r="GU84"/>
      <c r="GV84"/>
      <c r="GW84"/>
      <c r="GX84"/>
      <c r="GY84"/>
      <c r="GZ84"/>
      <c r="HA84"/>
      <c r="HB84"/>
      <c r="HC84"/>
    </row>
    <row r="85" spans="1:211" s="7" customFormat="1">
      <c r="A85" s="1"/>
      <c r="B85" s="1"/>
      <c r="C85" s="1"/>
      <c r="D85" s="1"/>
      <c r="E85" s="1"/>
      <c r="F85" s="2"/>
      <c r="G85" s="2"/>
      <c r="H85" s="3"/>
      <c r="I85" s="1"/>
      <c r="J85" s="1"/>
      <c r="K85" s="1"/>
      <c r="L85" s="1"/>
      <c r="M85" s="1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80"/>
      <c r="AL85" s="74">
        <v>3.0028000000000028</v>
      </c>
      <c r="AM85" s="43">
        <v>69</v>
      </c>
      <c r="AN85">
        <v>53.214773957009399</v>
      </c>
      <c r="AO85">
        <v>1.095827399651353</v>
      </c>
      <c r="AP85">
        <v>0.48106495244721326</v>
      </c>
      <c r="AQ85">
        <v>7.8460482866142085</v>
      </c>
      <c r="AR85">
        <v>1.0020374197005308</v>
      </c>
      <c r="AS85">
        <v>4.4239790312994343</v>
      </c>
      <c r="AT85">
        <v>0.84937753946070915</v>
      </c>
      <c r="AU85">
        <v>-3.2404566529370148E-2</v>
      </c>
      <c r="AV85"/>
      <c r="AW85"/>
      <c r="AX85" s="146"/>
      <c r="AY85" s="146"/>
      <c r="AZ85" s="146"/>
      <c r="BA85" s="146"/>
      <c r="BB85" s="146"/>
      <c r="BC85" s="147"/>
      <c r="BD85" s="147"/>
      <c r="BE85" s="148"/>
      <c r="BF85" s="146"/>
      <c r="BG85" s="146"/>
      <c r="BH85" s="146"/>
      <c r="BI85" s="146"/>
      <c r="BJ85" s="146"/>
      <c r="BK85" s="147"/>
      <c r="BL85" s="147"/>
      <c r="BM85" s="147"/>
      <c r="BN85" s="147"/>
      <c r="BO85" s="147"/>
      <c r="BP85" s="147"/>
      <c r="BQ85" s="147"/>
      <c r="BR85" s="147"/>
      <c r="BS85" s="147"/>
      <c r="BT85" s="147"/>
      <c r="BU85" s="147"/>
      <c r="BV85" s="147"/>
      <c r="BW85" s="147"/>
      <c r="BX85" s="147"/>
      <c r="BY85" s="147"/>
      <c r="BZ85" s="147"/>
      <c r="CA85" s="147"/>
      <c r="CB85" s="147"/>
      <c r="CC85" s="147"/>
      <c r="CD85" s="147"/>
      <c r="CE85" s="147"/>
      <c r="CF85" s="147"/>
      <c r="CG85" s="147"/>
      <c r="CH85" s="149"/>
      <c r="CJ85" s="146"/>
      <c r="CK85" s="146"/>
      <c r="CL85" s="146"/>
      <c r="CM85" s="146"/>
      <c r="CN85" s="146"/>
      <c r="CO85" s="147"/>
      <c r="CP85" s="147"/>
      <c r="CQ85" s="148"/>
      <c r="CR85" s="146"/>
      <c r="CS85" s="146"/>
      <c r="CT85" s="146"/>
      <c r="CU85" s="146"/>
      <c r="CW85" s="150"/>
      <c r="CX85" s="150"/>
      <c r="CZ85" s="150"/>
      <c r="DB85" s="146"/>
      <c r="DC85" s="146"/>
      <c r="DD85" s="146"/>
      <c r="DE85" s="146"/>
      <c r="DF85" s="146"/>
      <c r="DG85" s="147"/>
      <c r="DH85" s="147"/>
      <c r="DI85" s="148"/>
      <c r="DJ85" s="146"/>
      <c r="DK85" s="146"/>
      <c r="DL85" s="146"/>
      <c r="DM85" s="146"/>
      <c r="DN85" s="146"/>
      <c r="DO85" s="147"/>
      <c r="DP85" s="147"/>
      <c r="DQ85" s="147"/>
      <c r="DR85" s="147"/>
      <c r="DS85" s="147"/>
      <c r="DT85" s="147"/>
      <c r="DU85" s="147"/>
      <c r="DV85" s="147"/>
      <c r="DW85" s="147"/>
      <c r="DX85" s="147"/>
      <c r="DY85" s="147"/>
      <c r="DZ85" s="147"/>
      <c r="EA85" s="147"/>
      <c r="EB85" s="147"/>
      <c r="EC85" s="147"/>
      <c r="ED85" s="147"/>
      <c r="EE85" s="147"/>
      <c r="EF85" s="147"/>
      <c r="EG85" s="147"/>
      <c r="EH85" s="147"/>
      <c r="EI85" s="147"/>
      <c r="EJ85" s="147"/>
      <c r="EK85" s="147"/>
      <c r="EL85" s="149"/>
      <c r="EN85" s="146"/>
      <c r="EO85" s="146"/>
      <c r="EP85" s="146"/>
      <c r="EQ85" s="147"/>
      <c r="ER85" s="147"/>
      <c r="ES85" s="148"/>
      <c r="ET85" s="146"/>
      <c r="EU85" s="146"/>
      <c r="EV85" s="146"/>
      <c r="EW85" s="146"/>
      <c r="EX85" s="146"/>
      <c r="EY85" s="147"/>
      <c r="EZ85" s="147"/>
      <c r="FA85" s="147"/>
      <c r="FB85" s="147"/>
      <c r="FC85" s="147"/>
      <c r="FD85" s="147"/>
      <c r="FE85" s="147"/>
      <c r="FF85" s="147"/>
      <c r="FG85" s="147"/>
      <c r="FH85" s="147"/>
      <c r="FI85" s="147"/>
      <c r="FJ85" s="147"/>
      <c r="FK85" s="147"/>
      <c r="FL85" s="147"/>
      <c r="FM85" s="147"/>
      <c r="FN85" s="147"/>
      <c r="FO85" s="147"/>
      <c r="FP85" s="147"/>
      <c r="FQ85" s="147"/>
      <c r="FR85" s="147"/>
      <c r="FS85" s="147"/>
      <c r="FT85" s="147"/>
      <c r="FU85" s="147"/>
      <c r="FV85" s="149"/>
      <c r="FY85" s="211">
        <v>80</v>
      </c>
      <c r="FZ85">
        <v>1.0149693775423287</v>
      </c>
      <c r="GA85">
        <v>1.6103047052308836</v>
      </c>
      <c r="GB85">
        <v>0.52942587713265932</v>
      </c>
      <c r="GC85">
        <v>0.43176845973063432</v>
      </c>
      <c r="GD85">
        <v>0.2733640061948035</v>
      </c>
      <c r="GE85">
        <v>9.5283153058725006E-2</v>
      </c>
      <c r="GF85">
        <v>0.15986193049181252</v>
      </c>
      <c r="GG85">
        <v>0.13862439864731252</v>
      </c>
      <c r="GH85">
        <v>4.5971471670847357E-2</v>
      </c>
      <c r="GI85">
        <v>0.47073934677189677</v>
      </c>
      <c r="GJ85"/>
      <c r="GK85">
        <v>1.0116112132352941</v>
      </c>
      <c r="GL85">
        <v>1.3564471507352942</v>
      </c>
      <c r="GM85">
        <v>0.86862499999999998</v>
      </c>
      <c r="GN85">
        <v>1.2650502232142855</v>
      </c>
      <c r="GO85">
        <v>1.0399955357142854</v>
      </c>
      <c r="GP85">
        <v>0.17920312499999999</v>
      </c>
      <c r="GQ85">
        <v>0.19312499999999999</v>
      </c>
      <c r="GR85">
        <v>0.19312499999999999</v>
      </c>
      <c r="GS85">
        <v>4.8587740384615385E-2</v>
      </c>
      <c r="GT85">
        <v>0.63238889786683905</v>
      </c>
      <c r="GU85"/>
      <c r="GV85"/>
      <c r="GW85"/>
      <c r="GX85"/>
      <c r="GY85"/>
      <c r="GZ85"/>
      <c r="HA85"/>
      <c r="HB85"/>
      <c r="HC85"/>
    </row>
    <row r="86" spans="1:211" s="7" customFormat="1">
      <c r="A86" s="141" t="s">
        <v>109</v>
      </c>
      <c r="B86" s="10"/>
      <c r="C86" s="13"/>
      <c r="D86" s="13"/>
      <c r="E86" s="13" t="s">
        <v>56</v>
      </c>
      <c r="F86" s="21"/>
      <c r="G86" s="14"/>
      <c r="H86" s="21"/>
      <c r="I86" s="13"/>
      <c r="J86" s="13"/>
      <c r="K86" s="13"/>
      <c r="L86" s="13"/>
      <c r="M86" s="13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80"/>
      <c r="AL86" s="74">
        <v>3.0028000000000028</v>
      </c>
      <c r="AM86" s="43">
        <v>70</v>
      </c>
      <c r="AN86">
        <v>49.409644637769645</v>
      </c>
      <c r="AO86">
        <v>1.0061943254349817</v>
      </c>
      <c r="AP86">
        <v>4.5024188173576709</v>
      </c>
      <c r="AQ86">
        <v>5.8895343691191844</v>
      </c>
      <c r="AR86">
        <v>0.96039655677655678</v>
      </c>
      <c r="AS86">
        <v>4.2790451362804944</v>
      </c>
      <c r="AT86" t="e">
        <v>#DIV/0!</v>
      </c>
      <c r="AU86" t="e">
        <v>#DIV/0!</v>
      </c>
      <c r="AV86"/>
      <c r="AW86"/>
      <c r="AX86" s="9" t="s">
        <v>55</v>
      </c>
      <c r="AY86" s="10"/>
      <c r="AZ86" s="13"/>
      <c r="BA86" s="13"/>
      <c r="BB86" s="13" t="s">
        <v>56</v>
      </c>
      <c r="BC86" s="21"/>
      <c r="BD86" s="14"/>
      <c r="BE86" s="21"/>
      <c r="BF86" s="13"/>
      <c r="BG86" s="13"/>
      <c r="BH86" s="13"/>
      <c r="BI86" s="13"/>
      <c r="BJ86" s="13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54"/>
      <c r="CJ86" s="9" t="s">
        <v>55</v>
      </c>
      <c r="CK86" s="10"/>
      <c r="CL86" s="13"/>
      <c r="CM86" s="13"/>
      <c r="CN86" s="13" t="s">
        <v>56</v>
      </c>
      <c r="CO86" s="21"/>
      <c r="CP86" s="14"/>
      <c r="CQ86" s="21"/>
      <c r="CR86" s="13"/>
      <c r="CS86" s="13"/>
      <c r="CT86" s="13"/>
      <c r="CU86" s="13"/>
      <c r="CW86" s="219" t="s">
        <v>123</v>
      </c>
      <c r="CX86" s="219"/>
      <c r="CY86" s="144"/>
      <c r="CZ86" s="156" t="s">
        <v>113</v>
      </c>
      <c r="DB86" s="9" t="s">
        <v>105</v>
      </c>
      <c r="DC86" s="10"/>
      <c r="DD86" s="13"/>
      <c r="DE86" s="13"/>
      <c r="DF86" s="13" t="s">
        <v>56</v>
      </c>
      <c r="DG86" s="21"/>
      <c r="DH86" s="14"/>
      <c r="DI86" s="21"/>
      <c r="DJ86" s="13"/>
      <c r="DK86" s="13"/>
      <c r="DL86" s="13"/>
      <c r="DM86" s="13"/>
      <c r="DN86" s="13"/>
      <c r="DO86" s="14"/>
      <c r="DP86" s="14"/>
      <c r="DQ86" s="14"/>
      <c r="DR86" s="14"/>
      <c r="DS86" s="14"/>
      <c r="DT86" s="14"/>
      <c r="DU86" s="14"/>
      <c r="DV86" s="14"/>
      <c r="DW86" s="14"/>
      <c r="DX86" s="14"/>
      <c r="DY86" s="14"/>
      <c r="DZ86" s="14"/>
      <c r="EA86" s="14"/>
      <c r="EB86" s="14"/>
      <c r="EC86" s="14"/>
      <c r="ED86" s="14"/>
      <c r="EE86" s="14"/>
      <c r="EF86" s="14"/>
      <c r="EG86" s="14"/>
      <c r="EH86" s="14"/>
      <c r="EI86" s="14"/>
      <c r="EJ86" s="14"/>
      <c r="EK86" s="140" t="s">
        <v>108</v>
      </c>
      <c r="EL86" s="154"/>
      <c r="EN86" s="9"/>
      <c r="EO86" s="9" t="s">
        <v>106</v>
      </c>
      <c r="EP86" s="13" t="s">
        <v>56</v>
      </c>
      <c r="EQ86" s="21"/>
      <c r="ER86" s="14"/>
      <c r="ES86" s="21"/>
      <c r="ET86" s="13"/>
      <c r="EU86" s="13"/>
      <c r="EV86" s="13"/>
      <c r="EW86" s="13"/>
      <c r="EX86" s="13"/>
      <c r="EY86" s="14"/>
      <c r="EZ86" s="14"/>
      <c r="FA86" s="14"/>
      <c r="FB86" s="14"/>
      <c r="FC86" s="14"/>
      <c r="FD86" s="14"/>
      <c r="FE86" s="14"/>
      <c r="FF86" s="14"/>
      <c r="FG86" s="14"/>
      <c r="FH86" s="14"/>
      <c r="FI86" s="14"/>
      <c r="FJ86" s="14"/>
      <c r="FK86" s="14"/>
      <c r="FL86" s="14"/>
      <c r="FM86" s="14"/>
      <c r="FN86" s="14"/>
      <c r="FO86" s="14"/>
      <c r="FP86" s="14"/>
      <c r="FQ86" s="14"/>
      <c r="FR86" s="14"/>
      <c r="FS86" s="14"/>
      <c r="FT86" s="14"/>
      <c r="FU86" s="14"/>
      <c r="FV86" s="154"/>
      <c r="FY86" s="211">
        <v>81</v>
      </c>
      <c r="FZ86">
        <v>0.2797760979316406</v>
      </c>
      <c r="GA86">
        <v>0.4788481523122371</v>
      </c>
      <c r="GB86">
        <v>0.57641425589868389</v>
      </c>
      <c r="GC86">
        <v>0.61685101406182619</v>
      </c>
      <c r="GD86">
        <v>0.38494128757839741</v>
      </c>
      <c r="GE86">
        <v>0.17916673808789996</v>
      </c>
      <c r="GF86">
        <v>0.40076205580648128</v>
      </c>
      <c r="GG86">
        <v>0.27724879729462504</v>
      </c>
      <c r="GH86">
        <v>0</v>
      </c>
      <c r="GI86">
        <v>0.47237300764873758</v>
      </c>
      <c r="GJ86"/>
      <c r="GK86">
        <v>0.27890624999999997</v>
      </c>
      <c r="GL86">
        <v>0.40320703125000001</v>
      </c>
      <c r="GM86">
        <v>0.94570703125</v>
      </c>
      <c r="GN86">
        <v>1.807215625</v>
      </c>
      <c r="GO86">
        <v>1.4637468749999998</v>
      </c>
      <c r="GP86">
        <v>0.33656249999999999</v>
      </c>
      <c r="GQ86">
        <v>0.48393750000000002</v>
      </c>
      <c r="GR86">
        <v>0.38624999999999998</v>
      </c>
      <c r="GS86">
        <v>0</v>
      </c>
      <c r="GT86">
        <v>0.63445953124999999</v>
      </c>
      <c r="GU86"/>
      <c r="GV86"/>
      <c r="GW86"/>
      <c r="GX86"/>
      <c r="GY86"/>
      <c r="GZ86"/>
      <c r="HA86"/>
      <c r="HB86"/>
      <c r="HC86"/>
    </row>
    <row r="87" spans="1:211" s="7" customFormat="1">
      <c r="A87" s="9" t="s">
        <v>107</v>
      </c>
      <c r="B87" s="10" t="s">
        <v>58</v>
      </c>
      <c r="C87" s="10" t="s">
        <v>59</v>
      </c>
      <c r="D87" s="75"/>
      <c r="E87" s="76" t="s">
        <v>37</v>
      </c>
      <c r="F87" s="45">
        <v>1</v>
      </c>
      <c r="G87" s="45">
        <v>2</v>
      </c>
      <c r="H87" s="45">
        <v>3</v>
      </c>
      <c r="I87" s="45">
        <v>4</v>
      </c>
      <c r="J87" s="45">
        <v>5</v>
      </c>
      <c r="K87" s="45">
        <v>6</v>
      </c>
      <c r="L87" s="45">
        <v>7</v>
      </c>
      <c r="M87" s="46">
        <v>8</v>
      </c>
      <c r="N87" s="46">
        <v>9</v>
      </c>
      <c r="O87" s="47">
        <v>10</v>
      </c>
      <c r="P87" s="46">
        <v>11</v>
      </c>
      <c r="Q87" s="47">
        <v>12</v>
      </c>
      <c r="R87" s="46">
        <v>13</v>
      </c>
      <c r="S87" s="47">
        <v>14</v>
      </c>
      <c r="T87" s="46">
        <v>15</v>
      </c>
      <c r="U87" s="47">
        <v>16</v>
      </c>
      <c r="V87" s="46">
        <v>17</v>
      </c>
      <c r="W87" s="47">
        <v>18</v>
      </c>
      <c r="X87" s="46">
        <v>19</v>
      </c>
      <c r="Y87" s="47">
        <v>20</v>
      </c>
      <c r="Z87" s="46">
        <v>21</v>
      </c>
      <c r="AA87" s="47">
        <v>22</v>
      </c>
      <c r="AB87" s="46">
        <v>23</v>
      </c>
      <c r="AC87" s="47">
        <v>24</v>
      </c>
      <c r="AD87" s="46">
        <v>25</v>
      </c>
      <c r="AE87" s="47">
        <v>26</v>
      </c>
      <c r="AF87" s="46">
        <v>27</v>
      </c>
      <c r="AG87" s="47">
        <v>28</v>
      </c>
      <c r="AH87" s="46">
        <v>29</v>
      </c>
      <c r="AI87" s="47">
        <v>30</v>
      </c>
      <c r="AJ87" s="12"/>
      <c r="AK87" s="80"/>
      <c r="AL87" s="74">
        <v>3.0028000000000028</v>
      </c>
      <c r="AM87" s="43">
        <v>71</v>
      </c>
      <c r="AN87">
        <v>50.821776813428826</v>
      </c>
      <c r="AO87">
        <v>1.0498201682266344</v>
      </c>
      <c r="AP87">
        <v>0.69401390489166692</v>
      </c>
      <c r="AQ87">
        <v>8.1382278069065759</v>
      </c>
      <c r="AR87">
        <v>0.98777631115008724</v>
      </c>
      <c r="AS87">
        <v>4.1912444885836022</v>
      </c>
      <c r="AT87" t="e">
        <v>#DIV/0!</v>
      </c>
      <c r="AU87" t="e">
        <v>#DIV/0!</v>
      </c>
      <c r="AV87"/>
      <c r="AW87"/>
      <c r="AX87" s="9" t="s">
        <v>57</v>
      </c>
      <c r="AY87" s="10" t="s">
        <v>58</v>
      </c>
      <c r="AZ87" s="10" t="s">
        <v>59</v>
      </c>
      <c r="BA87" s="75" t="s">
        <v>21</v>
      </c>
      <c r="BB87" s="76" t="s">
        <v>37</v>
      </c>
      <c r="BC87" s="45">
        <v>1</v>
      </c>
      <c r="BD87" s="45">
        <v>2</v>
      </c>
      <c r="BE87" s="45">
        <v>3</v>
      </c>
      <c r="BF87" s="45">
        <v>4</v>
      </c>
      <c r="BG87" s="45">
        <v>5</v>
      </c>
      <c r="BH87" s="45">
        <v>6</v>
      </c>
      <c r="BI87" s="45">
        <v>7</v>
      </c>
      <c r="BJ87" s="46">
        <v>8</v>
      </c>
      <c r="BK87" s="46">
        <v>9</v>
      </c>
      <c r="BL87" s="47">
        <v>10</v>
      </c>
      <c r="BM87" s="46">
        <v>11</v>
      </c>
      <c r="BN87" s="47">
        <v>12</v>
      </c>
      <c r="BO87" s="46">
        <v>13</v>
      </c>
      <c r="BP87" s="47">
        <v>14</v>
      </c>
      <c r="BQ87" s="46">
        <v>15</v>
      </c>
      <c r="BR87" s="47">
        <v>16</v>
      </c>
      <c r="BS87" s="46">
        <v>17</v>
      </c>
      <c r="BT87" s="47">
        <v>18</v>
      </c>
      <c r="BU87" s="46">
        <v>19</v>
      </c>
      <c r="BV87" s="47">
        <v>20</v>
      </c>
      <c r="BW87" s="46">
        <v>21</v>
      </c>
      <c r="BX87" s="47">
        <v>22</v>
      </c>
      <c r="BY87" s="46">
        <v>23</v>
      </c>
      <c r="BZ87" s="47">
        <v>24</v>
      </c>
      <c r="CA87" s="46">
        <v>25</v>
      </c>
      <c r="CB87" s="47">
        <v>26</v>
      </c>
      <c r="CC87" s="46">
        <v>27</v>
      </c>
      <c r="CD87" s="47">
        <v>28</v>
      </c>
      <c r="CE87" s="46">
        <v>29</v>
      </c>
      <c r="CF87" s="47">
        <v>30</v>
      </c>
      <c r="CG87" s="12"/>
      <c r="CH87" s="154"/>
      <c r="CJ87" s="9" t="s">
        <v>57</v>
      </c>
      <c r="CK87" s="10" t="s">
        <v>58</v>
      </c>
      <c r="CL87" s="10" t="s">
        <v>59</v>
      </c>
      <c r="CM87" s="75" t="s">
        <v>21</v>
      </c>
      <c r="CN87" s="76" t="s">
        <v>37</v>
      </c>
      <c r="CO87" s="45">
        <v>1</v>
      </c>
      <c r="CP87" s="45">
        <v>2</v>
      </c>
      <c r="CQ87" s="45">
        <v>3</v>
      </c>
      <c r="CR87" s="45">
        <v>4</v>
      </c>
      <c r="CS87" s="45">
        <v>5</v>
      </c>
      <c r="CT87" s="45">
        <v>6</v>
      </c>
      <c r="CU87" s="45">
        <v>7</v>
      </c>
      <c r="CW87" s="96" t="s">
        <v>124</v>
      </c>
      <c r="CX87" s="96" t="s">
        <v>125</v>
      </c>
      <c r="CZ87" s="156" t="s">
        <v>114</v>
      </c>
      <c r="DB87" s="9" t="s">
        <v>110</v>
      </c>
      <c r="DC87" s="10" t="s">
        <v>58</v>
      </c>
      <c r="DD87" s="10" t="s">
        <v>59</v>
      </c>
      <c r="DE87" s="75" t="s">
        <v>21</v>
      </c>
      <c r="DF87" s="76" t="s">
        <v>37</v>
      </c>
      <c r="DG87" s="45">
        <v>1</v>
      </c>
      <c r="DH87" s="45">
        <v>2</v>
      </c>
      <c r="DI87" s="45">
        <v>3</v>
      </c>
      <c r="DJ87" s="45">
        <v>4</v>
      </c>
      <c r="DK87" s="45">
        <v>5</v>
      </c>
      <c r="DL87" s="45">
        <v>6</v>
      </c>
      <c r="DM87" s="45">
        <v>7</v>
      </c>
      <c r="DN87" s="46">
        <v>8</v>
      </c>
      <c r="DO87" s="46">
        <v>9</v>
      </c>
      <c r="DP87" s="47">
        <v>10</v>
      </c>
      <c r="DQ87" s="46">
        <v>11</v>
      </c>
      <c r="DR87" s="47">
        <v>12</v>
      </c>
      <c r="DS87" s="46">
        <v>13</v>
      </c>
      <c r="DT87" s="47">
        <v>14</v>
      </c>
      <c r="DU87" s="46">
        <v>15</v>
      </c>
      <c r="DV87" s="47">
        <v>16</v>
      </c>
      <c r="DW87" s="46">
        <v>17</v>
      </c>
      <c r="DX87" s="47">
        <v>18</v>
      </c>
      <c r="DY87" s="46">
        <v>19</v>
      </c>
      <c r="DZ87" s="47">
        <v>20</v>
      </c>
      <c r="EA87" s="46">
        <v>21</v>
      </c>
      <c r="EB87" s="47">
        <v>22</v>
      </c>
      <c r="EC87" s="46">
        <v>23</v>
      </c>
      <c r="ED87" s="47">
        <v>24</v>
      </c>
      <c r="EE87" s="46">
        <v>25</v>
      </c>
      <c r="EF87" s="47">
        <v>26</v>
      </c>
      <c r="EG87" s="46">
        <v>27</v>
      </c>
      <c r="EH87" s="47">
        <v>28</v>
      </c>
      <c r="EI87" s="46">
        <v>29</v>
      </c>
      <c r="EJ87" s="47">
        <v>30</v>
      </c>
      <c r="EK87" s="12"/>
      <c r="EL87" s="154"/>
      <c r="EN87" s="9"/>
      <c r="EO87" s="9"/>
      <c r="EP87" s="76" t="s">
        <v>37</v>
      </c>
      <c r="EQ87" s="45">
        <v>1</v>
      </c>
      <c r="ER87" s="45">
        <v>2</v>
      </c>
      <c r="ES87" s="45">
        <v>3</v>
      </c>
      <c r="ET87" s="45">
        <v>4</v>
      </c>
      <c r="EU87" s="45">
        <v>5</v>
      </c>
      <c r="EV87" s="45">
        <v>6</v>
      </c>
      <c r="EW87" s="45">
        <v>7</v>
      </c>
      <c r="EX87" s="46">
        <v>8</v>
      </c>
      <c r="EY87" s="46">
        <v>9</v>
      </c>
      <c r="EZ87" s="47">
        <v>10</v>
      </c>
      <c r="FA87" s="46">
        <v>11</v>
      </c>
      <c r="FB87" s="47">
        <v>12</v>
      </c>
      <c r="FC87" s="46">
        <v>13</v>
      </c>
      <c r="FD87" s="47">
        <v>14</v>
      </c>
      <c r="FE87" s="46">
        <v>15</v>
      </c>
      <c r="FF87" s="47">
        <v>16</v>
      </c>
      <c r="FG87" s="46">
        <v>17</v>
      </c>
      <c r="FH87" s="47">
        <v>18</v>
      </c>
      <c r="FI87" s="46">
        <v>19</v>
      </c>
      <c r="FJ87" s="47">
        <v>20</v>
      </c>
      <c r="FK87" s="46">
        <v>21</v>
      </c>
      <c r="FL87" s="47">
        <v>22</v>
      </c>
      <c r="FM87" s="46">
        <v>23</v>
      </c>
      <c r="FN87" s="47">
        <v>24</v>
      </c>
      <c r="FO87" s="46">
        <v>25</v>
      </c>
      <c r="FP87" s="47">
        <v>26</v>
      </c>
      <c r="FQ87" s="46">
        <v>27</v>
      </c>
      <c r="FR87" s="47">
        <v>28</v>
      </c>
      <c r="FS87" s="46">
        <v>29</v>
      </c>
      <c r="FT87" s="47">
        <v>30</v>
      </c>
      <c r="FU87" s="12" t="s">
        <v>11</v>
      </c>
      <c r="FV87" s="155"/>
      <c r="FY87" s="211">
        <v>82</v>
      </c>
      <c r="FZ87">
        <v>0.63407336244899892</v>
      </c>
      <c r="GA87">
        <v>1.6644166506497817</v>
      </c>
      <c r="GB87">
        <v>0.81529054307418869</v>
      </c>
      <c r="GC87">
        <v>0.37713275549569808</v>
      </c>
      <c r="GD87">
        <v>0.24781435768172244</v>
      </c>
      <c r="GE87">
        <v>8.8593614384399985E-2</v>
      </c>
      <c r="GF87">
        <v>0.49395954912409079</v>
      </c>
      <c r="GG87">
        <v>0.47874846122576609</v>
      </c>
      <c r="GH87">
        <v>6.6522953376906252E-2</v>
      </c>
      <c r="GI87">
        <v>0.53283493865776166</v>
      </c>
      <c r="GJ87"/>
      <c r="GK87">
        <v>0.63179062499999983</v>
      </c>
      <c r="GL87">
        <v>1.4014898437499999</v>
      </c>
      <c r="GM87">
        <v>1.33762890625</v>
      </c>
      <c r="GN87">
        <v>1.1051453124999999</v>
      </c>
      <c r="GO87">
        <v>0.9427781249999998</v>
      </c>
      <c r="GP87">
        <v>0.16649999999999998</v>
      </c>
      <c r="GQ87">
        <v>0.59590760869565207</v>
      </c>
      <c r="GR87">
        <v>0.66627219202898535</v>
      </c>
      <c r="GS87">
        <v>7.0364583333333328E-2</v>
      </c>
      <c r="GT87">
        <v>0.71569396965579712</v>
      </c>
      <c r="GU87"/>
      <c r="GV87"/>
      <c r="GW87"/>
      <c r="GX87"/>
      <c r="GY87"/>
      <c r="GZ87"/>
      <c r="HA87"/>
      <c r="HB87"/>
      <c r="HC87"/>
    </row>
    <row r="88" spans="1:211" s="7" customFormat="1">
      <c r="A88" s="128"/>
      <c r="B88" s="76">
        <f t="shared" ref="B88:B119" ca="1" si="50">IF(C88="", "", RAND())</f>
        <v>0.58327226147173716</v>
      </c>
      <c r="C88">
        <v>5</v>
      </c>
      <c r="D88">
        <v>39646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 s="2"/>
      <c r="AK88" s="80"/>
      <c r="AL88" s="74"/>
      <c r="AM88" s="43">
        <v>72</v>
      </c>
      <c r="AN88">
        <v>28.2135987514664</v>
      </c>
      <c r="AO88">
        <v>0.65976318542609336</v>
      </c>
      <c r="AP88">
        <v>2.3700551801068634</v>
      </c>
      <c r="AQ88">
        <v>6.2612783866124415</v>
      </c>
      <c r="AR88">
        <v>0.61003247407616878</v>
      </c>
      <c r="AS88">
        <v>1.9534391402015667</v>
      </c>
      <c r="AT88" t="e">
        <v>#DIV/0!</v>
      </c>
      <c r="AU88" t="e">
        <v>#DIV/0!</v>
      </c>
      <c r="AV88"/>
      <c r="AW88"/>
      <c r="AX88" s="128"/>
      <c r="AY88" s="76">
        <f ca="1">IF(AZ88="", "", RAND())</f>
        <v>0.92219737288780923</v>
      </c>
      <c r="AZ88">
        <v>1</v>
      </c>
      <c r="BA88" s="129">
        <f>IF(AZ88="", "",$C$4)</f>
        <v>39646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 s="147"/>
      <c r="CH88" s="176"/>
      <c r="CJ88" s="128"/>
      <c r="CK88" s="76">
        <f ca="1">IF(AZ88="", "", RAND())</f>
        <v>0.36733822004814698</v>
      </c>
      <c r="CL88" s="179">
        <f>IF(AZ88="", "", AZ88)</f>
        <v>1</v>
      </c>
      <c r="CM88" s="180">
        <f>IF(AZ88="", "", BA88)</f>
        <v>39646</v>
      </c>
      <c r="CN88">
        <v>0</v>
      </c>
      <c r="CO88">
        <v>0</v>
      </c>
      <c r="CP88">
        <v>1</v>
      </c>
      <c r="CQ88">
        <v>0</v>
      </c>
      <c r="CR88">
        <v>0</v>
      </c>
      <c r="CS88">
        <v>0</v>
      </c>
      <c r="CT88">
        <v>0</v>
      </c>
      <c r="CU88">
        <v>0</v>
      </c>
      <c r="CW88">
        <v>1</v>
      </c>
      <c r="CX88">
        <v>2</v>
      </c>
      <c r="CY88" s="158"/>
      <c r="CZ88" s="177">
        <f>IF(AZ88="", "", $G$15)</f>
        <v>9.6000000000000002E-2</v>
      </c>
      <c r="DB88" s="128"/>
      <c r="DC88" s="76">
        <f t="shared" ref="DC88:DC151" ca="1" si="51">IF(DD88="", "", RAND())</f>
        <v>0.83911646034449117</v>
      </c>
      <c r="DD88">
        <f>IF(AZ88="", "", AZ88)</f>
        <v>1</v>
      </c>
      <c r="DE88" s="129">
        <f t="shared" ref="DE88:DE97" si="52">IF(DD88="", "", $C$4)</f>
        <v>39646</v>
      </c>
      <c r="DF88" s="161">
        <f t="shared" ref="DF88:DM88" si="53">IF($AZ88="", "", ((BB88*$CW88)+(CN88*$CX88))/$CZ88)</f>
        <v>0</v>
      </c>
      <c r="DG88" s="161">
        <f t="shared" si="53"/>
        <v>0</v>
      </c>
      <c r="DH88" s="161">
        <f t="shared" si="53"/>
        <v>20.833333333333332</v>
      </c>
      <c r="DI88" s="161">
        <f t="shared" si="53"/>
        <v>0</v>
      </c>
      <c r="DJ88" s="161">
        <f t="shared" si="53"/>
        <v>0</v>
      </c>
      <c r="DK88" s="161">
        <f t="shared" si="53"/>
        <v>0</v>
      </c>
      <c r="DL88" s="161">
        <f t="shared" si="53"/>
        <v>0</v>
      </c>
      <c r="DM88" s="161">
        <f t="shared" si="53"/>
        <v>0</v>
      </c>
      <c r="DN88" s="161">
        <f t="shared" ref="DN88:EJ88" si="54">IF($AZ88="", "", (BJ88*$CW88)/$CZ88)</f>
        <v>0</v>
      </c>
      <c r="DO88" s="161">
        <f t="shared" si="54"/>
        <v>0</v>
      </c>
      <c r="DP88" s="161">
        <f t="shared" si="54"/>
        <v>0</v>
      </c>
      <c r="DQ88" s="161">
        <f t="shared" si="54"/>
        <v>0</v>
      </c>
      <c r="DR88" s="161">
        <f t="shared" si="54"/>
        <v>0</v>
      </c>
      <c r="DS88" s="161">
        <f t="shared" si="54"/>
        <v>0</v>
      </c>
      <c r="DT88" s="161">
        <f t="shared" si="54"/>
        <v>0</v>
      </c>
      <c r="DU88" s="161">
        <f t="shared" si="54"/>
        <v>0</v>
      </c>
      <c r="DV88" s="161">
        <f t="shared" si="54"/>
        <v>0</v>
      </c>
      <c r="DW88" s="161">
        <f t="shared" si="54"/>
        <v>0</v>
      </c>
      <c r="DX88" s="161">
        <f t="shared" si="54"/>
        <v>0</v>
      </c>
      <c r="DY88" s="161">
        <f t="shared" si="54"/>
        <v>0</v>
      </c>
      <c r="DZ88" s="161">
        <f t="shared" si="54"/>
        <v>0</v>
      </c>
      <c r="EA88" s="161">
        <f t="shared" si="54"/>
        <v>0</v>
      </c>
      <c r="EB88" s="161">
        <f t="shared" si="54"/>
        <v>0</v>
      </c>
      <c r="EC88" s="161">
        <f t="shared" si="54"/>
        <v>0</v>
      </c>
      <c r="ED88" s="161">
        <f t="shared" si="54"/>
        <v>0</v>
      </c>
      <c r="EE88" s="161">
        <f t="shared" si="54"/>
        <v>0</v>
      </c>
      <c r="EF88" s="161">
        <f t="shared" si="54"/>
        <v>0</v>
      </c>
      <c r="EG88" s="161">
        <f t="shared" si="54"/>
        <v>0</v>
      </c>
      <c r="EH88" s="161">
        <f t="shared" si="54"/>
        <v>0</v>
      </c>
      <c r="EI88" s="161">
        <f t="shared" si="54"/>
        <v>0</v>
      </c>
      <c r="EJ88" s="161">
        <f t="shared" si="54"/>
        <v>0</v>
      </c>
      <c r="EK88" s="147">
        <f t="shared" ref="EK88:EK119" si="55">IF(DF88="", "", SUM(DF88:EJ88))</f>
        <v>20.833333333333332</v>
      </c>
      <c r="EL88" s="149"/>
      <c r="EN88" s="146"/>
      <c r="EO88" s="146"/>
      <c r="EP88" s="139">
        <f t="shared" ref="EP88:EP119" si="56">IF(DF88="", "", DF88*G$36)</f>
        <v>0</v>
      </c>
      <c r="EQ88" s="139">
        <f t="shared" ref="EQ88:EQ119" si="57">IF(DG88="", "", DG88*H$36)</f>
        <v>0</v>
      </c>
      <c r="ER88" s="139">
        <f t="shared" ref="ER88:ER119" si="58">IF(DH88="", "", DH88*I$36)</f>
        <v>0.79687499999999989</v>
      </c>
      <c r="ES88" s="139">
        <f t="shared" ref="ES88:ES119" si="59">IF(DI88="", "", DI88*J$36)</f>
        <v>0</v>
      </c>
      <c r="ET88" s="139">
        <f t="shared" ref="ET88:ET119" si="60">IF(DJ88="", "", DJ88*K$36)</f>
        <v>0</v>
      </c>
      <c r="EU88" s="139">
        <f t="shared" ref="EU88:EU119" si="61">IF(DK88="", "", DK88*L$36)</f>
        <v>0</v>
      </c>
      <c r="EV88" s="139">
        <f t="shared" ref="EV88:EV119" si="62">IF(DL88="", "", DL88*M$36)</f>
        <v>0</v>
      </c>
      <c r="EW88" s="139">
        <f t="shared" ref="EW88:EW119" si="63">IF(DM88="", "", DM88*N$36)</f>
        <v>0</v>
      </c>
      <c r="EX88" s="139">
        <f t="shared" ref="EX88:EX119" si="64">IF(DN88="", "", DN88*O$36)</f>
        <v>0</v>
      </c>
      <c r="EY88" s="139">
        <f t="shared" ref="EY88:EY119" si="65">IF(DO88="", "", DO88*P$36)</f>
        <v>0</v>
      </c>
      <c r="EZ88" s="139">
        <f t="shared" ref="EZ88:EZ119" si="66">IF(DP88="", "", DP88*Q$36)</f>
        <v>0</v>
      </c>
      <c r="FA88" s="139">
        <f t="shared" ref="FA88:FA119" si="67">IF(DQ88="", "", DQ88*R$36)</f>
        <v>0</v>
      </c>
      <c r="FB88" s="139">
        <f t="shared" ref="FB88:FB119" si="68">IF(DR88="", "", DR88*S$36)</f>
        <v>0</v>
      </c>
      <c r="FC88" s="139">
        <f t="shared" ref="FC88:FC119" si="69">IF(DS88="", "", DS88*T$36)</f>
        <v>0</v>
      </c>
      <c r="FD88" s="139">
        <f t="shared" ref="FD88:FD119" si="70">IF(DT88="", "", DT88*U$36)</f>
        <v>0</v>
      </c>
      <c r="FE88" s="139">
        <f t="shared" ref="FE88:FE119" si="71">IF(DU88="", "", DU88*V$36)</f>
        <v>0</v>
      </c>
      <c r="FF88" s="139">
        <f t="shared" ref="FF88:FF119" si="72">IF(DV88="", "", DV88*W$36)</f>
        <v>0</v>
      </c>
      <c r="FG88" s="139">
        <f t="shared" ref="FG88:FG119" si="73">IF(DW88="", "", DW88*X$36)</f>
        <v>0</v>
      </c>
      <c r="FH88" s="139">
        <f t="shared" ref="FH88:FH119" si="74">IF(DX88="", "", DX88*Y$36)</f>
        <v>0</v>
      </c>
      <c r="FI88" s="139">
        <f t="shared" ref="FI88:FI119" si="75">IF(DY88="", "", DY88*Z$36)</f>
        <v>0</v>
      </c>
      <c r="FJ88" s="139">
        <f t="shared" ref="FJ88:FJ119" si="76">IF(DZ88="", "", DZ88*AA$36)</f>
        <v>0</v>
      </c>
      <c r="FK88" s="139">
        <f t="shared" ref="FK88:FK119" si="77">IF(EA88="", "", EA88*AB$36)</f>
        <v>0</v>
      </c>
      <c r="FL88" s="139">
        <f t="shared" ref="FL88:FL119" si="78">IF(EB88="", "", EB88*AC$36)</f>
        <v>0</v>
      </c>
      <c r="FM88" s="139">
        <f t="shared" ref="FM88:FM119" si="79">IF(EC88="", "", EC88*AD$36)</f>
        <v>0</v>
      </c>
      <c r="FN88" s="139">
        <f t="shared" ref="FN88:FN119" si="80">IF(ED88="", "", ED88*AE$36)</f>
        <v>0</v>
      </c>
      <c r="FO88" s="139">
        <f t="shared" ref="FO88:FO119" si="81">IF(EE88="", "", EE88*AF$36)</f>
        <v>0</v>
      </c>
      <c r="FP88" s="139">
        <f t="shared" ref="FP88:FP119" si="82">IF(EF88="", "", EF88*AG$36)</f>
        <v>0</v>
      </c>
      <c r="FQ88" s="139">
        <f t="shared" ref="FQ88:FQ119" si="83">IF(EG88="", "", EG88*AH$36)</f>
        <v>0</v>
      </c>
      <c r="FR88" s="139">
        <f t="shared" ref="FR88:FR119" si="84">IF(EH88="", "", EH88*AI$36)</f>
        <v>0</v>
      </c>
      <c r="FS88" s="139">
        <f t="shared" ref="FS88:FS119" si="85">IF(EI88="", "", EI88*AJ$36)</f>
        <v>0</v>
      </c>
      <c r="FT88" s="139">
        <f t="shared" ref="FT88:FT119" si="86">IF(EJ88="", "", EJ88*AK$36)</f>
        <v>0</v>
      </c>
      <c r="FU88" s="148">
        <f t="shared" ref="FU88:FU119" si="87">IF(EP88="","",SUM(EP88:FT88))</f>
        <v>0.79687499999999989</v>
      </c>
      <c r="FV88" s="149"/>
      <c r="FY88" s="211">
        <v>83</v>
      </c>
      <c r="FZ88">
        <v>0.9227567968301249</v>
      </c>
      <c r="GA88">
        <v>1.3658513363328491</v>
      </c>
      <c r="GB88">
        <v>0.97200069503923103</v>
      </c>
      <c r="GC88">
        <v>0.71450001321553391</v>
      </c>
      <c r="GD88">
        <v>0.28774997360417243</v>
      </c>
      <c r="GE88">
        <v>0.19838435658817499</v>
      </c>
      <c r="GF88">
        <v>0.37461671604370633</v>
      </c>
      <c r="GG88">
        <v>0.39070597101659427</v>
      </c>
      <c r="GH88">
        <v>0.1330459067538125</v>
      </c>
      <c r="GI88">
        <v>0.62562883899918309</v>
      </c>
      <c r="GJ88"/>
      <c r="GK88">
        <v>0.91949999999999998</v>
      </c>
      <c r="GL88">
        <v>1.1502890625</v>
      </c>
      <c r="GM88">
        <v>1.5954517045454544</v>
      </c>
      <c r="GN88">
        <v>2.0957063920454546</v>
      </c>
      <c r="GO88">
        <v>1.0948406249999998</v>
      </c>
      <c r="GP88">
        <v>0.37279687500000003</v>
      </c>
      <c r="GQ88">
        <v>0.45162635869565215</v>
      </c>
      <c r="GR88">
        <v>0.54351177536231876</v>
      </c>
      <c r="GS88">
        <v>0.14072916666666666</v>
      </c>
      <c r="GT88">
        <v>0.84042957098155457</v>
      </c>
      <c r="GU88"/>
      <c r="GV88"/>
      <c r="GW88"/>
      <c r="GX88"/>
      <c r="GY88"/>
      <c r="GZ88"/>
      <c r="HA88"/>
      <c r="HB88"/>
      <c r="HC88"/>
    </row>
    <row r="89" spans="1:211" s="7" customFormat="1">
      <c r="A89" s="115"/>
      <c r="B89" s="76">
        <f t="shared" ca="1" si="50"/>
        <v>0.77946342615807129</v>
      </c>
      <c r="C89">
        <v>10</v>
      </c>
      <c r="D89">
        <v>39646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 s="2"/>
      <c r="AK89" s="80"/>
      <c r="AL89" s="74"/>
      <c r="AM89" s="43">
        <v>73</v>
      </c>
      <c r="AN89">
        <v>34.685752264720449</v>
      </c>
      <c r="AO89">
        <v>0.77324131887439329</v>
      </c>
      <c r="AP89">
        <v>0.33402408302959563</v>
      </c>
      <c r="AQ89">
        <v>6.4708876306579821</v>
      </c>
      <c r="AR89">
        <v>0.72185235719350427</v>
      </c>
      <c r="AS89">
        <v>2.7030043282911973</v>
      </c>
      <c r="AT89">
        <v>0.56674555576529762</v>
      </c>
      <c r="AU89">
        <v>2.4682537998106602E-2</v>
      </c>
      <c r="AV89"/>
      <c r="AW89"/>
      <c r="AX89" s="150"/>
      <c r="AY89" s="76">
        <f t="shared" ref="AY89:AY151" ca="1" si="88">IF(AZ89="", "", RAND())</f>
        <v>0.67805638243152844</v>
      </c>
      <c r="AZ89">
        <v>2</v>
      </c>
      <c r="BA89" s="129">
        <f t="shared" ref="BA89:BA97" si="89">IF(AZ89="", "",$C$4)</f>
        <v>39646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 s="147"/>
      <c r="CH89" s="176"/>
      <c r="CJ89" s="150"/>
      <c r="CK89" s="76">
        <f t="shared" ref="CK89:CK152" ca="1" si="90">IF(AZ89="", "", RAND())</f>
        <v>0.53694701927781585</v>
      </c>
      <c r="CL89" s="179">
        <f t="shared" ref="CL89:CL152" si="91">IF(AZ89="", "", AZ89)</f>
        <v>2</v>
      </c>
      <c r="CM89" s="180">
        <f t="shared" ref="CM89:CM152" si="92">IF(AZ89="", "", BA89)</f>
        <v>39646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W89">
        <v>1</v>
      </c>
      <c r="CX89">
        <f>2/1</f>
        <v>2</v>
      </c>
      <c r="CY89" s="158"/>
      <c r="CZ89" s="177">
        <f t="shared" ref="CZ89:CZ152" si="93">IF(AZ89="", "", $G$15)</f>
        <v>9.6000000000000002E-2</v>
      </c>
      <c r="DB89" s="150"/>
      <c r="DC89" s="76">
        <f t="shared" ca="1" si="51"/>
        <v>0.73817951205210219</v>
      </c>
      <c r="DD89">
        <f t="shared" ref="DD89:DD152" si="94">IF(AZ89="", "", AZ89)</f>
        <v>2</v>
      </c>
      <c r="DE89" s="129">
        <f t="shared" si="52"/>
        <v>39646</v>
      </c>
      <c r="DF89" s="161">
        <f t="shared" ref="DF89:DF152" si="95">IF($AZ89="", "", ((BB89*$CW89)+(CN89*$CX89))/$CZ89)</f>
        <v>0</v>
      </c>
      <c r="DG89" s="161">
        <f t="shared" ref="DG89:DG152" si="96">IF($AZ89="", "", ((BC89*$CW89)+(CO89*$CX89))/$CZ89)</f>
        <v>0</v>
      </c>
      <c r="DH89" s="161">
        <f t="shared" ref="DH89:DH152" si="97">IF($AZ89="", "", ((BD89*$CW89)+(CP89*$CX89))/$CZ89)</f>
        <v>0</v>
      </c>
      <c r="DI89" s="161">
        <f t="shared" ref="DI89:DI152" si="98">IF($AZ89="", "", ((BE89*$CW89)+(CQ89*$CX89))/$CZ89)</f>
        <v>0</v>
      </c>
      <c r="DJ89" s="161">
        <f t="shared" ref="DJ89:DJ152" si="99">IF($AZ89="", "", ((BF89*$CW89)+(CR89*$CX89))/$CZ89)</f>
        <v>0</v>
      </c>
      <c r="DK89" s="161">
        <f t="shared" ref="DK89:DK152" si="100">IF($AZ89="", "", ((BG89*$CW89)+(CS89*$CX89))/$CZ89)</f>
        <v>0</v>
      </c>
      <c r="DL89" s="161">
        <f t="shared" ref="DL89:DL152" si="101">IF($AZ89="", "", ((BH89*$CW89)+(CT89*$CX89))/$CZ89)</f>
        <v>0</v>
      </c>
      <c r="DM89" s="161">
        <f t="shared" ref="DM89:DM152" si="102">IF($AZ89="", "", ((BI89*$CW89)+(CU89*$CX89))/$CZ89)</f>
        <v>0</v>
      </c>
      <c r="DN89" s="161">
        <f t="shared" ref="DN89:DN152" si="103">IF($AZ89="", "", (BJ89*$CW89)/$CZ89)</f>
        <v>0</v>
      </c>
      <c r="DO89" s="161">
        <f t="shared" ref="DO89:DO152" si="104">IF($AZ89="", "", (BK89*$CW89)/$CZ89)</f>
        <v>0</v>
      </c>
      <c r="DP89" s="161">
        <f t="shared" ref="DP89:DP152" si="105">IF($AZ89="", "", (BL89*$CW89)/$CZ89)</f>
        <v>0</v>
      </c>
      <c r="DQ89" s="161">
        <f t="shared" ref="DQ89:DQ152" si="106">IF($AZ89="", "", (BM89*$CW89)/$CZ89)</f>
        <v>0</v>
      </c>
      <c r="DR89" s="161">
        <f t="shared" ref="DR89:DR152" si="107">IF($AZ89="", "", (BN89*$CW89)/$CZ89)</f>
        <v>0</v>
      </c>
      <c r="DS89" s="161">
        <f t="shared" ref="DS89:DS152" si="108">IF($AZ89="", "", (BO89*$CW89)/$CZ89)</f>
        <v>0</v>
      </c>
      <c r="DT89" s="161">
        <f t="shared" ref="DT89:DT152" si="109">IF($AZ89="", "", (BP89*$CW89)/$CZ89)</f>
        <v>0</v>
      </c>
      <c r="DU89" s="161">
        <f t="shared" ref="DU89:DU152" si="110">IF($AZ89="", "", (BQ89*$CW89)/$CZ89)</f>
        <v>0</v>
      </c>
      <c r="DV89" s="161">
        <f t="shared" ref="DV89:DV152" si="111">IF($AZ89="", "", (BR89*$CW89)/$CZ89)</f>
        <v>0</v>
      </c>
      <c r="DW89" s="161">
        <f t="shared" ref="DW89:DW152" si="112">IF($AZ89="", "", (BS89*$CW89)/$CZ89)</f>
        <v>0</v>
      </c>
      <c r="DX89" s="161">
        <f t="shared" ref="DX89:DX152" si="113">IF($AZ89="", "", (BT89*$CW89)/$CZ89)</f>
        <v>0</v>
      </c>
      <c r="DY89" s="161">
        <f t="shared" ref="DY89:DY152" si="114">IF($AZ89="", "", (BU89*$CW89)/$CZ89)</f>
        <v>0</v>
      </c>
      <c r="DZ89" s="161">
        <f t="shared" ref="DZ89:DZ152" si="115">IF($AZ89="", "", (BV89*$CW89)/$CZ89)</f>
        <v>0</v>
      </c>
      <c r="EA89" s="161">
        <f t="shared" ref="EA89:EA152" si="116">IF($AZ89="", "", (BW89*$CW89)/$CZ89)</f>
        <v>0</v>
      </c>
      <c r="EB89" s="161">
        <f t="shared" ref="EB89:EB152" si="117">IF($AZ89="", "", (BX89*$CW89)/$CZ89)</f>
        <v>0</v>
      </c>
      <c r="EC89" s="161">
        <f t="shared" ref="EC89:EC152" si="118">IF($AZ89="", "", (BY89*$CW89)/$CZ89)</f>
        <v>0</v>
      </c>
      <c r="ED89" s="161">
        <f t="shared" ref="ED89:ED152" si="119">IF($AZ89="", "", (BZ89*$CW89)/$CZ89)</f>
        <v>0</v>
      </c>
      <c r="EE89" s="161">
        <f t="shared" ref="EE89:EE152" si="120">IF($AZ89="", "", (CA89*$CW89)/$CZ89)</f>
        <v>0</v>
      </c>
      <c r="EF89" s="161">
        <f t="shared" ref="EF89:EF152" si="121">IF($AZ89="", "", (CB89*$CW89)/$CZ89)</f>
        <v>0</v>
      </c>
      <c r="EG89" s="161">
        <f t="shared" ref="EG89:EG152" si="122">IF($AZ89="", "", (CC89*$CW89)/$CZ89)</f>
        <v>0</v>
      </c>
      <c r="EH89" s="161">
        <f t="shared" ref="EH89:EH152" si="123">IF($AZ89="", "", (CD89*$CW89)/$CZ89)</f>
        <v>0</v>
      </c>
      <c r="EI89" s="161">
        <f t="shared" ref="EI89:EI152" si="124">IF($AZ89="", "", (CE89*$CW89)/$CZ89)</f>
        <v>0</v>
      </c>
      <c r="EJ89" s="161">
        <f t="shared" ref="EJ89:EJ152" si="125">IF($AZ89="", "", (CF89*$CW89)/$CZ89)</f>
        <v>0</v>
      </c>
      <c r="EK89" s="147">
        <f t="shared" si="55"/>
        <v>0</v>
      </c>
      <c r="EL89" s="149"/>
      <c r="EN89" s="150"/>
      <c r="EO89" s="150"/>
      <c r="EP89" s="139">
        <f t="shared" si="56"/>
        <v>0</v>
      </c>
      <c r="EQ89" s="139">
        <f t="shared" si="57"/>
        <v>0</v>
      </c>
      <c r="ER89" s="139">
        <f t="shared" si="58"/>
        <v>0</v>
      </c>
      <c r="ES89" s="139">
        <f t="shared" si="59"/>
        <v>0</v>
      </c>
      <c r="ET89" s="139">
        <f t="shared" si="60"/>
        <v>0</v>
      </c>
      <c r="EU89" s="139">
        <f t="shared" si="61"/>
        <v>0</v>
      </c>
      <c r="EV89" s="139">
        <f t="shared" si="62"/>
        <v>0</v>
      </c>
      <c r="EW89" s="139">
        <f t="shared" si="63"/>
        <v>0</v>
      </c>
      <c r="EX89" s="139">
        <f t="shared" si="64"/>
        <v>0</v>
      </c>
      <c r="EY89" s="139">
        <f t="shared" si="65"/>
        <v>0</v>
      </c>
      <c r="EZ89" s="139">
        <f t="shared" si="66"/>
        <v>0</v>
      </c>
      <c r="FA89" s="139">
        <f t="shared" si="67"/>
        <v>0</v>
      </c>
      <c r="FB89" s="139">
        <f t="shared" si="68"/>
        <v>0</v>
      </c>
      <c r="FC89" s="139">
        <f t="shared" si="69"/>
        <v>0</v>
      </c>
      <c r="FD89" s="139">
        <f t="shared" si="70"/>
        <v>0</v>
      </c>
      <c r="FE89" s="139">
        <f t="shared" si="71"/>
        <v>0</v>
      </c>
      <c r="FF89" s="139">
        <f t="shared" si="72"/>
        <v>0</v>
      </c>
      <c r="FG89" s="139">
        <f t="shared" si="73"/>
        <v>0</v>
      </c>
      <c r="FH89" s="139">
        <f t="shared" si="74"/>
        <v>0</v>
      </c>
      <c r="FI89" s="139">
        <f t="shared" si="75"/>
        <v>0</v>
      </c>
      <c r="FJ89" s="139">
        <f t="shared" si="76"/>
        <v>0</v>
      </c>
      <c r="FK89" s="139">
        <f t="shared" si="77"/>
        <v>0</v>
      </c>
      <c r="FL89" s="139">
        <f t="shared" si="78"/>
        <v>0</v>
      </c>
      <c r="FM89" s="139">
        <f t="shared" si="79"/>
        <v>0</v>
      </c>
      <c r="FN89" s="139">
        <f t="shared" si="80"/>
        <v>0</v>
      </c>
      <c r="FO89" s="139">
        <f t="shared" si="81"/>
        <v>0</v>
      </c>
      <c r="FP89" s="139">
        <f t="shared" si="82"/>
        <v>0</v>
      </c>
      <c r="FQ89" s="139">
        <f t="shared" si="83"/>
        <v>0</v>
      </c>
      <c r="FR89" s="139">
        <f t="shared" si="84"/>
        <v>0</v>
      </c>
      <c r="FS89" s="139">
        <f t="shared" si="85"/>
        <v>0</v>
      </c>
      <c r="FT89" s="139">
        <f t="shared" si="86"/>
        <v>0</v>
      </c>
      <c r="FU89" s="148">
        <f t="shared" si="87"/>
        <v>0</v>
      </c>
      <c r="FV89" s="149"/>
      <c r="FY89" s="211">
        <v>84</v>
      </c>
      <c r="FZ89">
        <v>0.48690074068299555</v>
      </c>
      <c r="GA89">
        <v>0.5422665404628233</v>
      </c>
      <c r="GB89">
        <v>0.50741167384303942</v>
      </c>
      <c r="GC89">
        <v>0.27626800674163243</v>
      </c>
      <c r="GD89">
        <v>0.10123903678052251</v>
      </c>
      <c r="GE89">
        <v>0.10979074220377499</v>
      </c>
      <c r="GF89">
        <v>1.0284381956596096</v>
      </c>
      <c r="GG89">
        <v>0.95749692245153217</v>
      </c>
      <c r="GH89">
        <v>0.17901737842465987</v>
      </c>
      <c r="GI89">
        <v>0.46654323475644677</v>
      </c>
      <c r="GJ89"/>
      <c r="GK89">
        <v>0.48523124999999995</v>
      </c>
      <c r="GL89">
        <v>0.45660234375000008</v>
      </c>
      <c r="GM89">
        <v>0.83262109374999993</v>
      </c>
      <c r="GN89">
        <v>0.81041874999999985</v>
      </c>
      <c r="GO89">
        <v>0.385528125</v>
      </c>
      <c r="GP89">
        <v>0.20629687499999999</v>
      </c>
      <c r="GQ89">
        <v>1.2406589673913042</v>
      </c>
      <c r="GR89">
        <v>1.3325443840579707</v>
      </c>
      <c r="GS89">
        <v>0.18931690705128204</v>
      </c>
      <c r="GT89">
        <v>0.62667126863851719</v>
      </c>
      <c r="GU89"/>
      <c r="GV89"/>
      <c r="GW89"/>
      <c r="GX89"/>
      <c r="GY89"/>
      <c r="GZ89"/>
      <c r="HA89"/>
      <c r="HB89"/>
      <c r="HC89"/>
    </row>
    <row r="90" spans="1:211" s="7" customFormat="1">
      <c r="A90" s="115"/>
      <c r="B90" s="76">
        <f t="shared" ca="1" si="50"/>
        <v>0.20028973664824967</v>
      </c>
      <c r="C90">
        <v>1</v>
      </c>
      <c r="D90">
        <v>39646</v>
      </c>
      <c r="E90">
        <v>0</v>
      </c>
      <c r="F90">
        <v>0</v>
      </c>
      <c r="G90">
        <v>20.833333333333332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 s="2"/>
      <c r="AK90" s="80"/>
      <c r="AL90" s="74"/>
      <c r="AM90" s="43">
        <v>74</v>
      </c>
      <c r="AN90">
        <v>47.733698287007122</v>
      </c>
      <c r="AO90">
        <v>1.170597365263413</v>
      </c>
      <c r="AP90">
        <v>3.1897009356186294</v>
      </c>
      <c r="AQ90">
        <v>8.2705448667660857</v>
      </c>
      <c r="AR90">
        <v>1.0844987520751306</v>
      </c>
      <c r="AS90">
        <v>3.6097924679526159</v>
      </c>
      <c r="AT90" t="e">
        <v>#DIV/0!</v>
      </c>
      <c r="AU90" t="e">
        <v>#DIV/0!</v>
      </c>
      <c r="AV90"/>
      <c r="AW90"/>
      <c r="AX90" s="150"/>
      <c r="AY90" s="76">
        <f t="shared" ca="1" si="88"/>
        <v>0.64910446099587138</v>
      </c>
      <c r="AZ90">
        <v>3</v>
      </c>
      <c r="BA90" s="129">
        <f t="shared" si="89"/>
        <v>39646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 s="147"/>
      <c r="CH90" s="176"/>
      <c r="CJ90" s="150"/>
      <c r="CK90" s="76">
        <f t="shared" ca="1" si="90"/>
        <v>3.754951632919834E-2</v>
      </c>
      <c r="CL90" s="179">
        <f t="shared" si="91"/>
        <v>3</v>
      </c>
      <c r="CM90" s="180">
        <f t="shared" si="92"/>
        <v>39646</v>
      </c>
      <c r="CN90">
        <v>0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W90">
        <v>1</v>
      </c>
      <c r="CX90">
        <v>1</v>
      </c>
      <c r="CY90" s="158"/>
      <c r="CZ90" s="177">
        <f t="shared" si="93"/>
        <v>9.6000000000000002E-2</v>
      </c>
      <c r="DB90" s="150"/>
      <c r="DC90" s="76">
        <f t="shared" ca="1" si="51"/>
        <v>0.42878998581473038</v>
      </c>
      <c r="DD90">
        <f t="shared" si="94"/>
        <v>3</v>
      </c>
      <c r="DE90" s="129">
        <f t="shared" si="52"/>
        <v>39646</v>
      </c>
      <c r="DF90" s="161">
        <f t="shared" si="95"/>
        <v>0</v>
      </c>
      <c r="DG90" s="161">
        <f t="shared" si="96"/>
        <v>0</v>
      </c>
      <c r="DH90" s="161">
        <f t="shared" si="97"/>
        <v>0</v>
      </c>
      <c r="DI90" s="161">
        <f t="shared" si="98"/>
        <v>0</v>
      </c>
      <c r="DJ90" s="161">
        <f t="shared" si="99"/>
        <v>0</v>
      </c>
      <c r="DK90" s="161">
        <f t="shared" si="100"/>
        <v>0</v>
      </c>
      <c r="DL90" s="161">
        <f t="shared" si="101"/>
        <v>0</v>
      </c>
      <c r="DM90" s="161">
        <f t="shared" si="102"/>
        <v>0</v>
      </c>
      <c r="DN90" s="161">
        <f t="shared" si="103"/>
        <v>0</v>
      </c>
      <c r="DO90" s="161">
        <f t="shared" si="104"/>
        <v>0</v>
      </c>
      <c r="DP90" s="161">
        <f t="shared" si="105"/>
        <v>0</v>
      </c>
      <c r="DQ90" s="161">
        <f t="shared" si="106"/>
        <v>0</v>
      </c>
      <c r="DR90" s="161">
        <f t="shared" si="107"/>
        <v>0</v>
      </c>
      <c r="DS90" s="161">
        <f t="shared" si="108"/>
        <v>0</v>
      </c>
      <c r="DT90" s="161">
        <f t="shared" si="109"/>
        <v>0</v>
      </c>
      <c r="DU90" s="161">
        <f t="shared" si="110"/>
        <v>0</v>
      </c>
      <c r="DV90" s="161">
        <f t="shared" si="111"/>
        <v>0</v>
      </c>
      <c r="DW90" s="161">
        <f t="shared" si="112"/>
        <v>0</v>
      </c>
      <c r="DX90" s="161">
        <f t="shared" si="113"/>
        <v>0</v>
      </c>
      <c r="DY90" s="161">
        <f t="shared" si="114"/>
        <v>0</v>
      </c>
      <c r="DZ90" s="161">
        <f t="shared" si="115"/>
        <v>0</v>
      </c>
      <c r="EA90" s="161">
        <f t="shared" si="116"/>
        <v>0</v>
      </c>
      <c r="EB90" s="161">
        <f t="shared" si="117"/>
        <v>0</v>
      </c>
      <c r="EC90" s="161">
        <f t="shared" si="118"/>
        <v>0</v>
      </c>
      <c r="ED90" s="161">
        <f t="shared" si="119"/>
        <v>0</v>
      </c>
      <c r="EE90" s="161">
        <f t="shared" si="120"/>
        <v>0</v>
      </c>
      <c r="EF90" s="161">
        <f t="shared" si="121"/>
        <v>0</v>
      </c>
      <c r="EG90" s="161">
        <f t="shared" si="122"/>
        <v>0</v>
      </c>
      <c r="EH90" s="161">
        <f t="shared" si="123"/>
        <v>0</v>
      </c>
      <c r="EI90" s="161">
        <f t="shared" si="124"/>
        <v>0</v>
      </c>
      <c r="EJ90" s="161">
        <f t="shared" si="125"/>
        <v>0</v>
      </c>
      <c r="EK90" s="147">
        <f t="shared" si="55"/>
        <v>0</v>
      </c>
      <c r="EL90" s="149"/>
      <c r="EN90" s="150"/>
      <c r="EO90" s="150"/>
      <c r="EP90" s="139">
        <f t="shared" si="56"/>
        <v>0</v>
      </c>
      <c r="EQ90" s="139">
        <f t="shared" si="57"/>
        <v>0</v>
      </c>
      <c r="ER90" s="139">
        <f t="shared" si="58"/>
        <v>0</v>
      </c>
      <c r="ES90" s="139">
        <f t="shared" si="59"/>
        <v>0</v>
      </c>
      <c r="ET90" s="139">
        <f t="shared" si="60"/>
        <v>0</v>
      </c>
      <c r="EU90" s="139">
        <f t="shared" si="61"/>
        <v>0</v>
      </c>
      <c r="EV90" s="139">
        <f t="shared" si="62"/>
        <v>0</v>
      </c>
      <c r="EW90" s="139">
        <f t="shared" si="63"/>
        <v>0</v>
      </c>
      <c r="EX90" s="139">
        <f t="shared" si="64"/>
        <v>0</v>
      </c>
      <c r="EY90" s="139">
        <f t="shared" si="65"/>
        <v>0</v>
      </c>
      <c r="EZ90" s="139">
        <f t="shared" si="66"/>
        <v>0</v>
      </c>
      <c r="FA90" s="139">
        <f t="shared" si="67"/>
        <v>0</v>
      </c>
      <c r="FB90" s="139">
        <f t="shared" si="68"/>
        <v>0</v>
      </c>
      <c r="FC90" s="139">
        <f t="shared" si="69"/>
        <v>0</v>
      </c>
      <c r="FD90" s="139">
        <f t="shared" si="70"/>
        <v>0</v>
      </c>
      <c r="FE90" s="139">
        <f t="shared" si="71"/>
        <v>0</v>
      </c>
      <c r="FF90" s="139">
        <f t="shared" si="72"/>
        <v>0</v>
      </c>
      <c r="FG90" s="139">
        <f t="shared" si="73"/>
        <v>0</v>
      </c>
      <c r="FH90" s="139">
        <f t="shared" si="74"/>
        <v>0</v>
      </c>
      <c r="FI90" s="139">
        <f t="shared" si="75"/>
        <v>0</v>
      </c>
      <c r="FJ90" s="139">
        <f t="shared" si="76"/>
        <v>0</v>
      </c>
      <c r="FK90" s="139">
        <f t="shared" si="77"/>
        <v>0</v>
      </c>
      <c r="FL90" s="139">
        <f t="shared" si="78"/>
        <v>0</v>
      </c>
      <c r="FM90" s="139">
        <f t="shared" si="79"/>
        <v>0</v>
      </c>
      <c r="FN90" s="139">
        <f t="shared" si="80"/>
        <v>0</v>
      </c>
      <c r="FO90" s="139">
        <f t="shared" si="81"/>
        <v>0</v>
      </c>
      <c r="FP90" s="139">
        <f t="shared" si="82"/>
        <v>0</v>
      </c>
      <c r="FQ90" s="139">
        <f t="shared" si="83"/>
        <v>0</v>
      </c>
      <c r="FR90" s="139">
        <f t="shared" si="84"/>
        <v>0</v>
      </c>
      <c r="FS90" s="139">
        <f t="shared" si="85"/>
        <v>0</v>
      </c>
      <c r="FT90" s="139">
        <f t="shared" si="86"/>
        <v>0</v>
      </c>
      <c r="FU90" s="148">
        <f t="shared" si="87"/>
        <v>0</v>
      </c>
      <c r="FV90" s="149"/>
      <c r="FY90" s="211">
        <v>85</v>
      </c>
      <c r="FZ90">
        <v>0.99007609118549889</v>
      </c>
      <c r="GA90">
        <v>0.97054810015474158</v>
      </c>
      <c r="GB90">
        <v>0.76012628486250922</v>
      </c>
      <c r="GC90">
        <v>0.850926476457595</v>
      </c>
      <c r="GD90">
        <v>0.36717051702342846</v>
      </c>
      <c r="GE90">
        <v>5.2030029251700007E-2</v>
      </c>
      <c r="GF90">
        <v>8.1038194822856249E-2</v>
      </c>
      <c r="GG90">
        <v>5.0581908438140623E-2</v>
      </c>
      <c r="GH90">
        <v>0.11249442504775362</v>
      </c>
      <c r="GI90">
        <v>0.57284288408851958</v>
      </c>
      <c r="GJ90"/>
      <c r="GK90">
        <v>0.98654062499999984</v>
      </c>
      <c r="GL90">
        <v>0.81706406249999997</v>
      </c>
      <c r="GM90">
        <v>1.2479204545454543</v>
      </c>
      <c r="GN90">
        <v>2.4949863027597399</v>
      </c>
      <c r="GO90">
        <v>1.3963392857142856</v>
      </c>
      <c r="GP90">
        <v>9.768750000000001E-2</v>
      </c>
      <c r="GQ90">
        <v>9.768750000000001E-2</v>
      </c>
      <c r="GR90">
        <v>7.0364583333333328E-2</v>
      </c>
      <c r="GS90">
        <v>0.11895232371794871</v>
      </c>
      <c r="GT90">
        <v>0.76948803779553776</v>
      </c>
      <c r="GU90"/>
      <c r="GV90"/>
      <c r="GW90"/>
      <c r="GX90"/>
      <c r="GY90"/>
      <c r="GZ90"/>
      <c r="HA90"/>
      <c r="HB90"/>
      <c r="HC90"/>
    </row>
    <row r="91" spans="1:211" s="7" customFormat="1">
      <c r="A91" s="77"/>
      <c r="B91" s="76">
        <f t="shared" ca="1" si="50"/>
        <v>0.86422236372780259</v>
      </c>
      <c r="C91">
        <v>2</v>
      </c>
      <c r="D91">
        <v>39646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 s="2"/>
      <c r="AK91" s="80"/>
      <c r="AL91" s="74"/>
      <c r="AM91" s="43">
        <v>75</v>
      </c>
      <c r="AN91">
        <v>35.570702910716491</v>
      </c>
      <c r="AO91">
        <v>0.73857003263606857</v>
      </c>
      <c r="AP91">
        <v>12.048793216078836</v>
      </c>
      <c r="AQ91">
        <v>5.2659874172684544</v>
      </c>
      <c r="AR91">
        <v>0.69174663150481774</v>
      </c>
      <c r="AS91">
        <v>3.1902909574645708</v>
      </c>
      <c r="AT91" t="e">
        <v>#DIV/0!</v>
      </c>
      <c r="AU91" t="e">
        <v>#DIV/0!</v>
      </c>
      <c r="AV91"/>
      <c r="AW91"/>
      <c r="AX91" s="151"/>
      <c r="AY91" s="76">
        <f t="shared" ca="1" si="88"/>
        <v>0.42438241397907639</v>
      </c>
      <c r="AZ91">
        <v>4</v>
      </c>
      <c r="BA91" s="129">
        <f t="shared" si="89"/>
        <v>39646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 s="147"/>
      <c r="CH91" s="176"/>
      <c r="CJ91" s="151"/>
      <c r="CK91" s="76">
        <f t="shared" ca="1" si="90"/>
        <v>0.78591836052022401</v>
      </c>
      <c r="CL91" s="179">
        <f t="shared" si="91"/>
        <v>4</v>
      </c>
      <c r="CM91" s="180">
        <f t="shared" si="92"/>
        <v>39646</v>
      </c>
      <c r="CN91">
        <v>0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W91">
        <v>1</v>
      </c>
      <c r="CX91">
        <v>1</v>
      </c>
      <c r="CY91" s="158"/>
      <c r="CZ91" s="177">
        <f t="shared" si="93"/>
        <v>9.6000000000000002E-2</v>
      </c>
      <c r="DB91" s="151"/>
      <c r="DC91" s="76">
        <f t="shared" ca="1" si="51"/>
        <v>0.9594332259727123</v>
      </c>
      <c r="DD91">
        <f t="shared" si="94"/>
        <v>4</v>
      </c>
      <c r="DE91" s="129">
        <f t="shared" si="52"/>
        <v>39646</v>
      </c>
      <c r="DF91" s="161">
        <f t="shared" si="95"/>
        <v>0</v>
      </c>
      <c r="DG91" s="161">
        <f t="shared" si="96"/>
        <v>0</v>
      </c>
      <c r="DH91" s="161">
        <f t="shared" si="97"/>
        <v>0</v>
      </c>
      <c r="DI91" s="161">
        <f t="shared" si="98"/>
        <v>0</v>
      </c>
      <c r="DJ91" s="161">
        <f t="shared" si="99"/>
        <v>0</v>
      </c>
      <c r="DK91" s="161">
        <f t="shared" si="100"/>
        <v>0</v>
      </c>
      <c r="DL91" s="161">
        <f t="shared" si="101"/>
        <v>0</v>
      </c>
      <c r="DM91" s="161">
        <f t="shared" si="102"/>
        <v>0</v>
      </c>
      <c r="DN91" s="161">
        <f t="shared" si="103"/>
        <v>0</v>
      </c>
      <c r="DO91" s="161">
        <f t="shared" si="104"/>
        <v>0</v>
      </c>
      <c r="DP91" s="161">
        <f t="shared" si="105"/>
        <v>0</v>
      </c>
      <c r="DQ91" s="161">
        <f t="shared" si="106"/>
        <v>0</v>
      </c>
      <c r="DR91" s="161">
        <f t="shared" si="107"/>
        <v>0</v>
      </c>
      <c r="DS91" s="161">
        <f t="shared" si="108"/>
        <v>0</v>
      </c>
      <c r="DT91" s="161">
        <f t="shared" si="109"/>
        <v>0</v>
      </c>
      <c r="DU91" s="161">
        <f t="shared" si="110"/>
        <v>0</v>
      </c>
      <c r="DV91" s="161">
        <f t="shared" si="111"/>
        <v>0</v>
      </c>
      <c r="DW91" s="161">
        <f t="shared" si="112"/>
        <v>0</v>
      </c>
      <c r="DX91" s="161">
        <f t="shared" si="113"/>
        <v>0</v>
      </c>
      <c r="DY91" s="161">
        <f t="shared" si="114"/>
        <v>0</v>
      </c>
      <c r="DZ91" s="161">
        <f t="shared" si="115"/>
        <v>0</v>
      </c>
      <c r="EA91" s="161">
        <f t="shared" si="116"/>
        <v>0</v>
      </c>
      <c r="EB91" s="161">
        <f t="shared" si="117"/>
        <v>0</v>
      </c>
      <c r="EC91" s="161">
        <f t="shared" si="118"/>
        <v>0</v>
      </c>
      <c r="ED91" s="161">
        <f t="shared" si="119"/>
        <v>0</v>
      </c>
      <c r="EE91" s="161">
        <f t="shared" si="120"/>
        <v>0</v>
      </c>
      <c r="EF91" s="161">
        <f t="shared" si="121"/>
        <v>0</v>
      </c>
      <c r="EG91" s="161">
        <f t="shared" si="122"/>
        <v>0</v>
      </c>
      <c r="EH91" s="161">
        <f t="shared" si="123"/>
        <v>0</v>
      </c>
      <c r="EI91" s="161">
        <f t="shared" si="124"/>
        <v>0</v>
      </c>
      <c r="EJ91" s="161">
        <f t="shared" si="125"/>
        <v>0</v>
      </c>
      <c r="EK91" s="147">
        <f t="shared" si="55"/>
        <v>0</v>
      </c>
      <c r="EL91" s="149"/>
      <c r="EN91" s="151"/>
      <c r="EO91" s="151"/>
      <c r="EP91" s="139">
        <f t="shared" si="56"/>
        <v>0</v>
      </c>
      <c r="EQ91" s="139">
        <f t="shared" si="57"/>
        <v>0</v>
      </c>
      <c r="ER91" s="139">
        <f t="shared" si="58"/>
        <v>0</v>
      </c>
      <c r="ES91" s="139">
        <f t="shared" si="59"/>
        <v>0</v>
      </c>
      <c r="ET91" s="139">
        <f t="shared" si="60"/>
        <v>0</v>
      </c>
      <c r="EU91" s="139">
        <f t="shared" si="61"/>
        <v>0</v>
      </c>
      <c r="EV91" s="139">
        <f t="shared" si="62"/>
        <v>0</v>
      </c>
      <c r="EW91" s="139">
        <f t="shared" si="63"/>
        <v>0</v>
      </c>
      <c r="EX91" s="139">
        <f t="shared" si="64"/>
        <v>0</v>
      </c>
      <c r="EY91" s="139">
        <f t="shared" si="65"/>
        <v>0</v>
      </c>
      <c r="EZ91" s="139">
        <f t="shared" si="66"/>
        <v>0</v>
      </c>
      <c r="FA91" s="139">
        <f t="shared" si="67"/>
        <v>0</v>
      </c>
      <c r="FB91" s="139">
        <f t="shared" si="68"/>
        <v>0</v>
      </c>
      <c r="FC91" s="139">
        <f t="shared" si="69"/>
        <v>0</v>
      </c>
      <c r="FD91" s="139">
        <f t="shared" si="70"/>
        <v>0</v>
      </c>
      <c r="FE91" s="139">
        <f t="shared" si="71"/>
        <v>0</v>
      </c>
      <c r="FF91" s="139">
        <f t="shared" si="72"/>
        <v>0</v>
      </c>
      <c r="FG91" s="139">
        <f t="shared" si="73"/>
        <v>0</v>
      </c>
      <c r="FH91" s="139">
        <f t="shared" si="74"/>
        <v>0</v>
      </c>
      <c r="FI91" s="139">
        <f t="shared" si="75"/>
        <v>0</v>
      </c>
      <c r="FJ91" s="139">
        <f t="shared" si="76"/>
        <v>0</v>
      </c>
      <c r="FK91" s="139">
        <f t="shared" si="77"/>
        <v>0</v>
      </c>
      <c r="FL91" s="139">
        <f t="shared" si="78"/>
        <v>0</v>
      </c>
      <c r="FM91" s="139">
        <f t="shared" si="79"/>
        <v>0</v>
      </c>
      <c r="FN91" s="139">
        <f t="shared" si="80"/>
        <v>0</v>
      </c>
      <c r="FO91" s="139">
        <f t="shared" si="81"/>
        <v>0</v>
      </c>
      <c r="FP91" s="139">
        <f t="shared" si="82"/>
        <v>0</v>
      </c>
      <c r="FQ91" s="139">
        <f t="shared" si="83"/>
        <v>0</v>
      </c>
      <c r="FR91" s="139">
        <f t="shared" si="84"/>
        <v>0</v>
      </c>
      <c r="FS91" s="139">
        <f t="shared" si="85"/>
        <v>0</v>
      </c>
      <c r="FT91" s="139">
        <f t="shared" si="86"/>
        <v>0</v>
      </c>
      <c r="FU91" s="148">
        <f t="shared" si="87"/>
        <v>0</v>
      </c>
      <c r="FV91" s="149"/>
      <c r="FY91" s="211">
        <v>86</v>
      </c>
      <c r="FZ91">
        <v>0.82650600796017648</v>
      </c>
      <c r="GA91">
        <v>1.4417319609666528</v>
      </c>
      <c r="GB91">
        <v>1.7192949919758103</v>
      </c>
      <c r="GC91">
        <v>1.0234963162302029</v>
      </c>
      <c r="GD91">
        <v>0.19213683228512679</v>
      </c>
      <c r="GE91">
        <v>2.6015014625850003E-2</v>
      </c>
      <c r="GF91">
        <v>0.37461671604370633</v>
      </c>
      <c r="GG91">
        <v>0.39070597101659427</v>
      </c>
      <c r="GH91">
        <v>0.17901737842465987</v>
      </c>
      <c r="GI91">
        <v>0.74696928319437306</v>
      </c>
      <c r="GJ91"/>
      <c r="GK91">
        <v>0.8236406249999999</v>
      </c>
      <c r="GL91">
        <v>1.2140507812500001</v>
      </c>
      <c r="GM91">
        <v>2.8224698153409089</v>
      </c>
      <c r="GN91">
        <v>3.0034324269480521</v>
      </c>
      <c r="GO91">
        <v>0.73074776785714302</v>
      </c>
      <c r="GP91">
        <v>4.8843750000000005E-2</v>
      </c>
      <c r="GQ91">
        <v>0.45162635869565215</v>
      </c>
      <c r="GR91">
        <v>0.54351177536231876</v>
      </c>
      <c r="GS91">
        <v>0.18931690705128204</v>
      </c>
      <c r="GT91">
        <v>1.003560294788997</v>
      </c>
      <c r="GU91"/>
      <c r="GV91"/>
      <c r="GW91"/>
      <c r="GX91"/>
      <c r="GY91"/>
      <c r="GZ91"/>
      <c r="HA91"/>
      <c r="HB91"/>
      <c r="HC91"/>
    </row>
    <row r="92" spans="1:211" s="7" customFormat="1">
      <c r="A92" s="77"/>
      <c r="B92" s="76">
        <f t="shared" ca="1" si="50"/>
        <v>0.66756075914060542</v>
      </c>
      <c r="C92">
        <v>7</v>
      </c>
      <c r="D92">
        <v>39646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 s="2"/>
      <c r="AK92" s="80"/>
      <c r="AL92" s="74"/>
      <c r="AM92" s="43">
        <v>76</v>
      </c>
      <c r="AN92">
        <v>41.115389628073451</v>
      </c>
      <c r="AO92">
        <v>1.1240466707808126</v>
      </c>
      <c r="AP92">
        <v>5.1588467693341098</v>
      </c>
      <c r="AQ92">
        <v>7.6085924986709221</v>
      </c>
      <c r="AR92">
        <v>1.0435935643461929</v>
      </c>
      <c r="AS92">
        <v>3.6002200783731197</v>
      </c>
      <c r="AT92" t="e">
        <v>#DIV/0!</v>
      </c>
      <c r="AU92" t="e">
        <v>#DIV/0!</v>
      </c>
      <c r="AV92"/>
      <c r="AW92"/>
      <c r="AX92" s="151"/>
      <c r="AY92" s="76">
        <f t="shared" ca="1" si="88"/>
        <v>0.46565547932273654</v>
      </c>
      <c r="AZ92">
        <v>5</v>
      </c>
      <c r="BA92" s="129">
        <f t="shared" si="89"/>
        <v>39646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 s="147"/>
      <c r="CH92" s="176"/>
      <c r="CJ92" s="151"/>
      <c r="CK92" s="76">
        <f t="shared" ca="1" si="90"/>
        <v>0.23480874102069738</v>
      </c>
      <c r="CL92" s="179">
        <f t="shared" si="91"/>
        <v>5</v>
      </c>
      <c r="CM92" s="180">
        <f t="shared" si="92"/>
        <v>39646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W92">
        <v>1</v>
      </c>
      <c r="CX92">
        <v>1</v>
      </c>
      <c r="CY92" s="158"/>
      <c r="CZ92" s="177">
        <f t="shared" si="93"/>
        <v>9.6000000000000002E-2</v>
      </c>
      <c r="DB92" s="151"/>
      <c r="DC92" s="76">
        <f t="shared" ca="1" si="51"/>
        <v>0.44123416265552562</v>
      </c>
      <c r="DD92">
        <f t="shared" si="94"/>
        <v>5</v>
      </c>
      <c r="DE92" s="129">
        <f t="shared" si="52"/>
        <v>39646</v>
      </c>
      <c r="DF92" s="161">
        <f t="shared" si="95"/>
        <v>0</v>
      </c>
      <c r="DG92" s="161">
        <f t="shared" si="96"/>
        <v>0</v>
      </c>
      <c r="DH92" s="161">
        <f t="shared" si="97"/>
        <v>0</v>
      </c>
      <c r="DI92" s="161">
        <f t="shared" si="98"/>
        <v>0</v>
      </c>
      <c r="DJ92" s="161">
        <f t="shared" si="99"/>
        <v>0</v>
      </c>
      <c r="DK92" s="161">
        <f t="shared" si="100"/>
        <v>0</v>
      </c>
      <c r="DL92" s="161">
        <f t="shared" si="101"/>
        <v>0</v>
      </c>
      <c r="DM92" s="161">
        <f t="shared" si="102"/>
        <v>0</v>
      </c>
      <c r="DN92" s="161">
        <f t="shared" si="103"/>
        <v>0</v>
      </c>
      <c r="DO92" s="161">
        <f t="shared" si="104"/>
        <v>0</v>
      </c>
      <c r="DP92" s="161">
        <f t="shared" si="105"/>
        <v>0</v>
      </c>
      <c r="DQ92" s="161">
        <f t="shared" si="106"/>
        <v>0</v>
      </c>
      <c r="DR92" s="161">
        <f t="shared" si="107"/>
        <v>0</v>
      </c>
      <c r="DS92" s="161">
        <f t="shared" si="108"/>
        <v>0</v>
      </c>
      <c r="DT92" s="161">
        <f t="shared" si="109"/>
        <v>0</v>
      </c>
      <c r="DU92" s="161">
        <f t="shared" si="110"/>
        <v>0</v>
      </c>
      <c r="DV92" s="161">
        <f t="shared" si="111"/>
        <v>0</v>
      </c>
      <c r="DW92" s="161">
        <f t="shared" si="112"/>
        <v>0</v>
      </c>
      <c r="DX92" s="161">
        <f t="shared" si="113"/>
        <v>0</v>
      </c>
      <c r="DY92" s="161">
        <f t="shared" si="114"/>
        <v>0</v>
      </c>
      <c r="DZ92" s="161">
        <f t="shared" si="115"/>
        <v>0</v>
      </c>
      <c r="EA92" s="161">
        <f t="shared" si="116"/>
        <v>0</v>
      </c>
      <c r="EB92" s="161">
        <f t="shared" si="117"/>
        <v>0</v>
      </c>
      <c r="EC92" s="161">
        <f t="shared" si="118"/>
        <v>0</v>
      </c>
      <c r="ED92" s="161">
        <f t="shared" si="119"/>
        <v>0</v>
      </c>
      <c r="EE92" s="161">
        <f t="shared" si="120"/>
        <v>0</v>
      </c>
      <c r="EF92" s="161">
        <f t="shared" si="121"/>
        <v>0</v>
      </c>
      <c r="EG92" s="161">
        <f t="shared" si="122"/>
        <v>0</v>
      </c>
      <c r="EH92" s="161">
        <f t="shared" si="123"/>
        <v>0</v>
      </c>
      <c r="EI92" s="161">
        <f t="shared" si="124"/>
        <v>0</v>
      </c>
      <c r="EJ92" s="161">
        <f t="shared" si="125"/>
        <v>0</v>
      </c>
      <c r="EK92" s="147">
        <f t="shared" si="55"/>
        <v>0</v>
      </c>
      <c r="EL92" s="149"/>
      <c r="EN92" s="151"/>
      <c r="EO92" s="151"/>
      <c r="EP92" s="139">
        <f t="shared" si="56"/>
        <v>0</v>
      </c>
      <c r="EQ92" s="139">
        <f t="shared" si="57"/>
        <v>0</v>
      </c>
      <c r="ER92" s="139">
        <f t="shared" si="58"/>
        <v>0</v>
      </c>
      <c r="ES92" s="139">
        <f t="shared" si="59"/>
        <v>0</v>
      </c>
      <c r="ET92" s="139">
        <f t="shared" si="60"/>
        <v>0</v>
      </c>
      <c r="EU92" s="139">
        <f t="shared" si="61"/>
        <v>0</v>
      </c>
      <c r="EV92" s="139">
        <f t="shared" si="62"/>
        <v>0</v>
      </c>
      <c r="EW92" s="139">
        <f t="shared" si="63"/>
        <v>0</v>
      </c>
      <c r="EX92" s="139">
        <f t="shared" si="64"/>
        <v>0</v>
      </c>
      <c r="EY92" s="139">
        <f t="shared" si="65"/>
        <v>0</v>
      </c>
      <c r="EZ92" s="139">
        <f t="shared" si="66"/>
        <v>0</v>
      </c>
      <c r="FA92" s="139">
        <f t="shared" si="67"/>
        <v>0</v>
      </c>
      <c r="FB92" s="139">
        <f t="shared" si="68"/>
        <v>0</v>
      </c>
      <c r="FC92" s="139">
        <f t="shared" si="69"/>
        <v>0</v>
      </c>
      <c r="FD92" s="139">
        <f t="shared" si="70"/>
        <v>0</v>
      </c>
      <c r="FE92" s="139">
        <f t="shared" si="71"/>
        <v>0</v>
      </c>
      <c r="FF92" s="139">
        <f t="shared" si="72"/>
        <v>0</v>
      </c>
      <c r="FG92" s="139">
        <f t="shared" si="73"/>
        <v>0</v>
      </c>
      <c r="FH92" s="139">
        <f t="shared" si="74"/>
        <v>0</v>
      </c>
      <c r="FI92" s="139">
        <f t="shared" si="75"/>
        <v>0</v>
      </c>
      <c r="FJ92" s="139">
        <f t="shared" si="76"/>
        <v>0</v>
      </c>
      <c r="FK92" s="139">
        <f t="shared" si="77"/>
        <v>0</v>
      </c>
      <c r="FL92" s="139">
        <f t="shared" si="78"/>
        <v>0</v>
      </c>
      <c r="FM92" s="139">
        <f t="shared" si="79"/>
        <v>0</v>
      </c>
      <c r="FN92" s="139">
        <f t="shared" si="80"/>
        <v>0</v>
      </c>
      <c r="FO92" s="139">
        <f t="shared" si="81"/>
        <v>0</v>
      </c>
      <c r="FP92" s="139">
        <f t="shared" si="82"/>
        <v>0</v>
      </c>
      <c r="FQ92" s="139">
        <f t="shared" si="83"/>
        <v>0</v>
      </c>
      <c r="FR92" s="139">
        <f t="shared" si="84"/>
        <v>0</v>
      </c>
      <c r="FS92" s="139">
        <f t="shared" si="85"/>
        <v>0</v>
      </c>
      <c r="FT92" s="139">
        <f t="shared" si="86"/>
        <v>0</v>
      </c>
      <c r="FU92" s="148">
        <f t="shared" si="87"/>
        <v>0</v>
      </c>
      <c r="FV92" s="149"/>
      <c r="FY92" s="211">
        <v>87</v>
      </c>
      <c r="FZ92">
        <v>1.1729465838454896</v>
      </c>
      <c r="GA92">
        <v>1.4904467228567007</v>
      </c>
      <c r="GB92">
        <v>0.88663101863119087</v>
      </c>
      <c r="GC92">
        <v>0.63016692994311518</v>
      </c>
      <c r="GD92">
        <v>0.21938783419971</v>
      </c>
      <c r="GE92">
        <v>0.17729508622005</v>
      </c>
      <c r="GF92">
        <v>0.41513581345513451</v>
      </c>
      <c r="GG92">
        <v>0.28954215414031298</v>
      </c>
      <c r="GH92">
        <v>0</v>
      </c>
      <c r="GI92">
        <v>0.58938525486789706</v>
      </c>
      <c r="GJ92"/>
      <c r="GK92">
        <v>1.1689705882352939</v>
      </c>
      <c r="GL92">
        <v>1.2552557444852939</v>
      </c>
      <c r="GM92">
        <v>1.4552446732954545</v>
      </c>
      <c r="GN92">
        <v>1.8482845170454545</v>
      </c>
      <c r="GO92">
        <v>0.83407500000000001</v>
      </c>
      <c r="GP92">
        <v>0.33290625000000001</v>
      </c>
      <c r="GQ92">
        <v>0.50047010869565223</v>
      </c>
      <c r="GR92">
        <v>0.40278260869565213</v>
      </c>
      <c r="GS92">
        <v>0</v>
      </c>
      <c r="GT92">
        <v>0.79175207404528014</v>
      </c>
      <c r="GU92"/>
      <c r="GV92"/>
      <c r="GW92"/>
      <c r="GX92"/>
      <c r="GY92"/>
      <c r="GZ92"/>
      <c r="HA92"/>
      <c r="HB92"/>
      <c r="HC92"/>
    </row>
    <row r="93" spans="1:211" s="7" customFormat="1">
      <c r="A93" s="77"/>
      <c r="B93" s="76">
        <f t="shared" ca="1" si="50"/>
        <v>0.36282845210595216</v>
      </c>
      <c r="C93">
        <v>6</v>
      </c>
      <c r="D93">
        <v>39646</v>
      </c>
      <c r="E93">
        <v>0</v>
      </c>
      <c r="F93">
        <v>0</v>
      </c>
      <c r="G93">
        <v>62.5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 s="2"/>
      <c r="AK93" s="80"/>
      <c r="AL93" s="74"/>
      <c r="AM93" s="43">
        <v>77</v>
      </c>
      <c r="AN93">
        <v>45.550636396792086</v>
      </c>
      <c r="AO93">
        <v>1.1045593081715543</v>
      </c>
      <c r="AP93">
        <v>0.63457233875580188</v>
      </c>
      <c r="AQ93">
        <v>8.0370341509438816</v>
      </c>
      <c r="AR93">
        <v>1.0244641547188955</v>
      </c>
      <c r="AS93">
        <v>3.5203727073857318</v>
      </c>
      <c r="AT93">
        <v>0.73505055224713545</v>
      </c>
      <c r="AU93">
        <v>0.14111328718788957</v>
      </c>
      <c r="AV93"/>
      <c r="AW93"/>
      <c r="AX93" s="151"/>
      <c r="AY93" s="76">
        <f t="shared" ca="1" si="88"/>
        <v>9.3616500044806372E-3</v>
      </c>
      <c r="AZ93">
        <v>6</v>
      </c>
      <c r="BA93" s="129">
        <f t="shared" si="89"/>
        <v>39646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 s="147"/>
      <c r="CH93" s="176"/>
      <c r="CJ93" s="151"/>
      <c r="CK93" s="76">
        <f t="shared" ca="1" si="90"/>
        <v>0.64557883290496698</v>
      </c>
      <c r="CL93" s="179">
        <f t="shared" si="91"/>
        <v>6</v>
      </c>
      <c r="CM93" s="180">
        <f t="shared" si="92"/>
        <v>39646</v>
      </c>
      <c r="CN93">
        <v>0</v>
      </c>
      <c r="CO93">
        <v>0</v>
      </c>
      <c r="CP93">
        <v>3</v>
      </c>
      <c r="CQ93">
        <v>0</v>
      </c>
      <c r="CR93">
        <v>0</v>
      </c>
      <c r="CS93">
        <v>0</v>
      </c>
      <c r="CT93">
        <v>0</v>
      </c>
      <c r="CU93">
        <v>0</v>
      </c>
      <c r="CW93">
        <v>1</v>
      </c>
      <c r="CX93">
        <v>2</v>
      </c>
      <c r="CY93" s="159"/>
      <c r="CZ93" s="177">
        <f t="shared" si="93"/>
        <v>9.6000000000000002E-2</v>
      </c>
      <c r="DB93" s="151"/>
      <c r="DC93" s="76">
        <f t="shared" ca="1" si="51"/>
        <v>0.58747525829644598</v>
      </c>
      <c r="DD93">
        <f t="shared" si="94"/>
        <v>6</v>
      </c>
      <c r="DE93" s="129">
        <f t="shared" si="52"/>
        <v>39646</v>
      </c>
      <c r="DF93" s="161">
        <f t="shared" si="95"/>
        <v>0</v>
      </c>
      <c r="DG93" s="161">
        <f t="shared" si="96"/>
        <v>0</v>
      </c>
      <c r="DH93" s="161">
        <f t="shared" si="97"/>
        <v>62.5</v>
      </c>
      <c r="DI93" s="161">
        <f t="shared" si="98"/>
        <v>0</v>
      </c>
      <c r="DJ93" s="161">
        <f t="shared" si="99"/>
        <v>0</v>
      </c>
      <c r="DK93" s="161">
        <f t="shared" si="100"/>
        <v>0</v>
      </c>
      <c r="DL93" s="161">
        <f t="shared" si="101"/>
        <v>0</v>
      </c>
      <c r="DM93" s="161">
        <f t="shared" si="102"/>
        <v>0</v>
      </c>
      <c r="DN93" s="161">
        <f t="shared" si="103"/>
        <v>0</v>
      </c>
      <c r="DO93" s="161">
        <f t="shared" si="104"/>
        <v>0</v>
      </c>
      <c r="DP93" s="161">
        <f t="shared" si="105"/>
        <v>0</v>
      </c>
      <c r="DQ93" s="161">
        <f t="shared" si="106"/>
        <v>0</v>
      </c>
      <c r="DR93" s="161">
        <f t="shared" si="107"/>
        <v>0</v>
      </c>
      <c r="DS93" s="161">
        <f t="shared" si="108"/>
        <v>0</v>
      </c>
      <c r="DT93" s="161">
        <f t="shared" si="109"/>
        <v>0</v>
      </c>
      <c r="DU93" s="161">
        <f t="shared" si="110"/>
        <v>0</v>
      </c>
      <c r="DV93" s="161">
        <f t="shared" si="111"/>
        <v>0</v>
      </c>
      <c r="DW93" s="161">
        <f t="shared" si="112"/>
        <v>0</v>
      </c>
      <c r="DX93" s="161">
        <f t="shared" si="113"/>
        <v>0</v>
      </c>
      <c r="DY93" s="161">
        <f t="shared" si="114"/>
        <v>0</v>
      </c>
      <c r="DZ93" s="161">
        <f t="shared" si="115"/>
        <v>0</v>
      </c>
      <c r="EA93" s="161">
        <f t="shared" si="116"/>
        <v>0</v>
      </c>
      <c r="EB93" s="161">
        <f t="shared" si="117"/>
        <v>0</v>
      </c>
      <c r="EC93" s="161">
        <f t="shared" si="118"/>
        <v>0</v>
      </c>
      <c r="ED93" s="161">
        <f t="shared" si="119"/>
        <v>0</v>
      </c>
      <c r="EE93" s="161">
        <f t="shared" si="120"/>
        <v>0</v>
      </c>
      <c r="EF93" s="161">
        <f t="shared" si="121"/>
        <v>0</v>
      </c>
      <c r="EG93" s="161">
        <f t="shared" si="122"/>
        <v>0</v>
      </c>
      <c r="EH93" s="161">
        <f t="shared" si="123"/>
        <v>0</v>
      </c>
      <c r="EI93" s="161">
        <f t="shared" si="124"/>
        <v>0</v>
      </c>
      <c r="EJ93" s="161">
        <f t="shared" si="125"/>
        <v>0</v>
      </c>
      <c r="EK93" s="147">
        <f t="shared" si="55"/>
        <v>62.5</v>
      </c>
      <c r="EL93" s="149"/>
      <c r="EN93" s="151"/>
      <c r="EO93" s="151"/>
      <c r="EP93" s="139">
        <f t="shared" si="56"/>
        <v>0</v>
      </c>
      <c r="EQ93" s="139">
        <f t="shared" si="57"/>
        <v>0</v>
      </c>
      <c r="ER93" s="139">
        <f t="shared" si="58"/>
        <v>2.390625</v>
      </c>
      <c r="ES93" s="139">
        <f t="shared" si="59"/>
        <v>0</v>
      </c>
      <c r="ET93" s="139">
        <f t="shared" si="60"/>
        <v>0</v>
      </c>
      <c r="EU93" s="139">
        <f t="shared" si="61"/>
        <v>0</v>
      </c>
      <c r="EV93" s="139">
        <f t="shared" si="62"/>
        <v>0</v>
      </c>
      <c r="EW93" s="139">
        <f t="shared" si="63"/>
        <v>0</v>
      </c>
      <c r="EX93" s="139">
        <f t="shared" si="64"/>
        <v>0</v>
      </c>
      <c r="EY93" s="139">
        <f t="shared" si="65"/>
        <v>0</v>
      </c>
      <c r="EZ93" s="139">
        <f t="shared" si="66"/>
        <v>0</v>
      </c>
      <c r="FA93" s="139">
        <f t="shared" si="67"/>
        <v>0</v>
      </c>
      <c r="FB93" s="139">
        <f t="shared" si="68"/>
        <v>0</v>
      </c>
      <c r="FC93" s="139">
        <f t="shared" si="69"/>
        <v>0</v>
      </c>
      <c r="FD93" s="139">
        <f t="shared" si="70"/>
        <v>0</v>
      </c>
      <c r="FE93" s="139">
        <f t="shared" si="71"/>
        <v>0</v>
      </c>
      <c r="FF93" s="139">
        <f t="shared" si="72"/>
        <v>0</v>
      </c>
      <c r="FG93" s="139">
        <f t="shared" si="73"/>
        <v>0</v>
      </c>
      <c r="FH93" s="139">
        <f t="shared" si="74"/>
        <v>0</v>
      </c>
      <c r="FI93" s="139">
        <f t="shared" si="75"/>
        <v>0</v>
      </c>
      <c r="FJ93" s="139">
        <f t="shared" si="76"/>
        <v>0</v>
      </c>
      <c r="FK93" s="139">
        <f t="shared" si="77"/>
        <v>0</v>
      </c>
      <c r="FL93" s="139">
        <f t="shared" si="78"/>
        <v>0</v>
      </c>
      <c r="FM93" s="139">
        <f t="shared" si="79"/>
        <v>0</v>
      </c>
      <c r="FN93" s="139">
        <f t="shared" si="80"/>
        <v>0</v>
      </c>
      <c r="FO93" s="139">
        <f t="shared" si="81"/>
        <v>0</v>
      </c>
      <c r="FP93" s="139">
        <f t="shared" si="82"/>
        <v>0</v>
      </c>
      <c r="FQ93" s="139">
        <f t="shared" si="83"/>
        <v>0</v>
      </c>
      <c r="FR93" s="139">
        <f t="shared" si="84"/>
        <v>0</v>
      </c>
      <c r="FS93" s="139">
        <f t="shared" si="85"/>
        <v>0</v>
      </c>
      <c r="FT93" s="139">
        <f t="shared" si="86"/>
        <v>0</v>
      </c>
      <c r="FU93" s="148">
        <f t="shared" si="87"/>
        <v>2.390625</v>
      </c>
      <c r="FV93" s="149"/>
      <c r="FY93" s="211">
        <v>88</v>
      </c>
      <c r="FZ93">
        <v>1.2747500985676277</v>
      </c>
      <c r="GA93">
        <v>1.7516949948894645</v>
      </c>
      <c r="GB93">
        <v>0.93708788085549477</v>
      </c>
      <c r="GC93">
        <v>0.63089901319050756</v>
      </c>
      <c r="GD93">
        <v>0.24162930650335171</v>
      </c>
      <c r="GE93">
        <v>0.15502337532990002</v>
      </c>
      <c r="GF93">
        <v>4.0519097411428125E-2</v>
      </c>
      <c r="GG93">
        <v>0</v>
      </c>
      <c r="GH93">
        <v>2.2985735835423678E-2</v>
      </c>
      <c r="GI93">
        <v>0.56579918263180018</v>
      </c>
      <c r="GJ93"/>
      <c r="GK93">
        <v>1.270276838235294</v>
      </c>
      <c r="GL93">
        <v>1.475226056985294</v>
      </c>
      <c r="GM93">
        <v>1.5383618607954543</v>
      </c>
      <c r="GN93">
        <v>1.8504104099025971</v>
      </c>
      <c r="GO93">
        <v>0.91890401785714271</v>
      </c>
      <c r="GP93">
        <v>0.291375</v>
      </c>
      <c r="GQ93">
        <v>4.8843750000000005E-2</v>
      </c>
      <c r="GR93">
        <v>0</v>
      </c>
      <c r="GS93">
        <v>2.4293870192307693E-2</v>
      </c>
      <c r="GT93">
        <v>0.76013606741603978</v>
      </c>
      <c r="GU93"/>
      <c r="GV93"/>
      <c r="GW93"/>
      <c r="GX93"/>
      <c r="GY93"/>
      <c r="GZ93"/>
      <c r="HA93"/>
      <c r="HB93"/>
      <c r="HC93"/>
    </row>
    <row r="94" spans="1:211" s="7" customFormat="1">
      <c r="A94" s="77"/>
      <c r="B94" s="76">
        <f t="shared" ca="1" si="50"/>
        <v>6.1707021067551882E-3</v>
      </c>
      <c r="C94">
        <v>3</v>
      </c>
      <c r="D94">
        <v>39646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 s="2"/>
      <c r="AK94" s="80"/>
      <c r="AL94" s="74"/>
      <c r="AM94" s="43">
        <v>78</v>
      </c>
      <c r="AN94">
        <v>38.10189443205747</v>
      </c>
      <c r="AO94">
        <v>1.0451206755156075</v>
      </c>
      <c r="AP94">
        <v>1.5344094271422999</v>
      </c>
      <c r="AQ94">
        <v>6.6883342666338859</v>
      </c>
      <c r="AR94">
        <v>0.96760178324845425</v>
      </c>
      <c r="AS94">
        <v>3.4879467846630772</v>
      </c>
      <c r="AT94">
        <v>0.62506513673257491</v>
      </c>
      <c r="AU94">
        <v>-8.8744297107993614E-2</v>
      </c>
      <c r="AV94"/>
      <c r="AW94"/>
      <c r="AX94" s="151"/>
      <c r="AY94" s="76">
        <f t="shared" ca="1" si="88"/>
        <v>0.58192935128412415</v>
      </c>
      <c r="AZ94">
        <v>7</v>
      </c>
      <c r="BA94" s="129">
        <f t="shared" si="89"/>
        <v>39646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 s="147"/>
      <c r="CH94" s="176"/>
      <c r="CJ94" s="151"/>
      <c r="CK94" s="76">
        <f t="shared" ca="1" si="90"/>
        <v>0.17231033990076927</v>
      </c>
      <c r="CL94" s="179">
        <f t="shared" si="91"/>
        <v>7</v>
      </c>
      <c r="CM94" s="180">
        <f t="shared" si="92"/>
        <v>39646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 s="160"/>
      <c r="CW94">
        <v>1</v>
      </c>
      <c r="CX94">
        <v>2</v>
      </c>
      <c r="CY94" s="164"/>
      <c r="CZ94" s="177">
        <f t="shared" si="93"/>
        <v>9.6000000000000002E-2</v>
      </c>
      <c r="DB94" s="151"/>
      <c r="DC94" s="76">
        <f t="shared" ca="1" si="51"/>
        <v>0.88118214448146936</v>
      </c>
      <c r="DD94">
        <f t="shared" si="94"/>
        <v>7</v>
      </c>
      <c r="DE94" s="129">
        <f t="shared" si="52"/>
        <v>39646</v>
      </c>
      <c r="DF94" s="161">
        <f t="shared" si="95"/>
        <v>0</v>
      </c>
      <c r="DG94" s="161">
        <f t="shared" si="96"/>
        <v>0</v>
      </c>
      <c r="DH94" s="161">
        <f t="shared" si="97"/>
        <v>0</v>
      </c>
      <c r="DI94" s="161">
        <f t="shared" si="98"/>
        <v>0</v>
      </c>
      <c r="DJ94" s="161">
        <f t="shared" si="99"/>
        <v>0</v>
      </c>
      <c r="DK94" s="161">
        <f t="shared" si="100"/>
        <v>0</v>
      </c>
      <c r="DL94" s="161">
        <f t="shared" si="101"/>
        <v>0</v>
      </c>
      <c r="DM94" s="161">
        <f t="shared" si="102"/>
        <v>0</v>
      </c>
      <c r="DN94" s="161">
        <f t="shared" si="103"/>
        <v>0</v>
      </c>
      <c r="DO94" s="161">
        <f t="shared" si="104"/>
        <v>0</v>
      </c>
      <c r="DP94" s="161">
        <f t="shared" si="105"/>
        <v>0</v>
      </c>
      <c r="DQ94" s="161">
        <f t="shared" si="106"/>
        <v>0</v>
      </c>
      <c r="DR94" s="161">
        <f t="shared" si="107"/>
        <v>0</v>
      </c>
      <c r="DS94" s="161">
        <f t="shared" si="108"/>
        <v>0</v>
      </c>
      <c r="DT94" s="161">
        <f t="shared" si="109"/>
        <v>0</v>
      </c>
      <c r="DU94" s="161">
        <f t="shared" si="110"/>
        <v>0</v>
      </c>
      <c r="DV94" s="161">
        <f t="shared" si="111"/>
        <v>0</v>
      </c>
      <c r="DW94" s="161">
        <f t="shared" si="112"/>
        <v>0</v>
      </c>
      <c r="DX94" s="161">
        <f t="shared" si="113"/>
        <v>0</v>
      </c>
      <c r="DY94" s="161">
        <f t="shared" si="114"/>
        <v>0</v>
      </c>
      <c r="DZ94" s="161">
        <f t="shared" si="115"/>
        <v>0</v>
      </c>
      <c r="EA94" s="161">
        <f t="shared" si="116"/>
        <v>0</v>
      </c>
      <c r="EB94" s="161">
        <f t="shared" si="117"/>
        <v>0</v>
      </c>
      <c r="EC94" s="161">
        <f t="shared" si="118"/>
        <v>0</v>
      </c>
      <c r="ED94" s="161">
        <f t="shared" si="119"/>
        <v>0</v>
      </c>
      <c r="EE94" s="161">
        <f t="shared" si="120"/>
        <v>0</v>
      </c>
      <c r="EF94" s="161">
        <f t="shared" si="121"/>
        <v>0</v>
      </c>
      <c r="EG94" s="161">
        <f t="shared" si="122"/>
        <v>0</v>
      </c>
      <c r="EH94" s="161">
        <f t="shared" si="123"/>
        <v>0</v>
      </c>
      <c r="EI94" s="161">
        <f t="shared" si="124"/>
        <v>0</v>
      </c>
      <c r="EJ94" s="161">
        <f t="shared" si="125"/>
        <v>0</v>
      </c>
      <c r="EK94" s="147">
        <f t="shared" si="55"/>
        <v>0</v>
      </c>
      <c r="EL94" s="149"/>
      <c r="EN94" s="151"/>
      <c r="EO94" s="151"/>
      <c r="EP94" s="139">
        <f t="shared" si="56"/>
        <v>0</v>
      </c>
      <c r="EQ94" s="139">
        <f t="shared" si="57"/>
        <v>0</v>
      </c>
      <c r="ER94" s="139">
        <f t="shared" si="58"/>
        <v>0</v>
      </c>
      <c r="ES94" s="139">
        <f t="shared" si="59"/>
        <v>0</v>
      </c>
      <c r="ET94" s="139">
        <f t="shared" si="60"/>
        <v>0</v>
      </c>
      <c r="EU94" s="139">
        <f t="shared" si="61"/>
        <v>0</v>
      </c>
      <c r="EV94" s="139">
        <f t="shared" si="62"/>
        <v>0</v>
      </c>
      <c r="EW94" s="139">
        <f t="shared" si="63"/>
        <v>0</v>
      </c>
      <c r="EX94" s="139">
        <f t="shared" si="64"/>
        <v>0</v>
      </c>
      <c r="EY94" s="139">
        <f t="shared" si="65"/>
        <v>0</v>
      </c>
      <c r="EZ94" s="139">
        <f t="shared" si="66"/>
        <v>0</v>
      </c>
      <c r="FA94" s="139">
        <f t="shared" si="67"/>
        <v>0</v>
      </c>
      <c r="FB94" s="139">
        <f t="shared" si="68"/>
        <v>0</v>
      </c>
      <c r="FC94" s="139">
        <f t="shared" si="69"/>
        <v>0</v>
      </c>
      <c r="FD94" s="139">
        <f t="shared" si="70"/>
        <v>0</v>
      </c>
      <c r="FE94" s="139">
        <f t="shared" si="71"/>
        <v>0</v>
      </c>
      <c r="FF94" s="139">
        <f t="shared" si="72"/>
        <v>0</v>
      </c>
      <c r="FG94" s="139">
        <f t="shared" si="73"/>
        <v>0</v>
      </c>
      <c r="FH94" s="139">
        <f t="shared" si="74"/>
        <v>0</v>
      </c>
      <c r="FI94" s="139">
        <f t="shared" si="75"/>
        <v>0</v>
      </c>
      <c r="FJ94" s="139">
        <f t="shared" si="76"/>
        <v>0</v>
      </c>
      <c r="FK94" s="139">
        <f t="shared" si="77"/>
        <v>0</v>
      </c>
      <c r="FL94" s="139">
        <f t="shared" si="78"/>
        <v>0</v>
      </c>
      <c r="FM94" s="139">
        <f t="shared" si="79"/>
        <v>0</v>
      </c>
      <c r="FN94" s="139">
        <f t="shared" si="80"/>
        <v>0</v>
      </c>
      <c r="FO94" s="139">
        <f t="shared" si="81"/>
        <v>0</v>
      </c>
      <c r="FP94" s="139">
        <f t="shared" si="82"/>
        <v>0</v>
      </c>
      <c r="FQ94" s="139">
        <f t="shared" si="83"/>
        <v>0</v>
      </c>
      <c r="FR94" s="139">
        <f t="shared" si="84"/>
        <v>0</v>
      </c>
      <c r="FS94" s="139">
        <f t="shared" si="85"/>
        <v>0</v>
      </c>
      <c r="FT94" s="139">
        <f t="shared" si="86"/>
        <v>0</v>
      </c>
      <c r="FU94" s="148">
        <f t="shared" si="87"/>
        <v>0</v>
      </c>
      <c r="FV94" s="149"/>
      <c r="FY94" s="211">
        <v>89</v>
      </c>
      <c r="FZ94">
        <v>0.41236580575615778</v>
      </c>
      <c r="GA94">
        <v>0.81950220581710653</v>
      </c>
      <c r="GB94">
        <v>1.1342598691040753</v>
      </c>
      <c r="GC94">
        <v>0.96851500233374188</v>
      </c>
      <c r="GD94">
        <v>0.41433676559455174</v>
      </c>
      <c r="GE94">
        <v>0.20518175271375</v>
      </c>
      <c r="GF94">
        <v>0.61551684135837503</v>
      </c>
      <c r="GG94">
        <v>0.47874846122576609</v>
      </c>
      <c r="GH94">
        <v>8.9508689212329934E-2</v>
      </c>
      <c r="GI94">
        <v>0.69765232515058018</v>
      </c>
      <c r="GJ94"/>
      <c r="GK94">
        <v>0.41095312499999992</v>
      </c>
      <c r="GL94">
        <v>0.6901054687499999</v>
      </c>
      <c r="GM94">
        <v>1.8617446732954546</v>
      </c>
      <c r="GN94">
        <v>2.8397463474025972</v>
      </c>
      <c r="GO94">
        <v>1.5757165178571428</v>
      </c>
      <c r="GP94">
        <v>0.38540625000000006</v>
      </c>
      <c r="GQ94">
        <v>0.74243885869565207</v>
      </c>
      <c r="GR94">
        <v>0.66627219202898535</v>
      </c>
      <c r="GS94">
        <v>9.465845352564102E-2</v>
      </c>
      <c r="GT94">
        <v>0.93710232567477814</v>
      </c>
      <c r="GU94"/>
      <c r="GV94"/>
      <c r="GW94"/>
      <c r="GX94"/>
      <c r="GY94"/>
      <c r="GZ94"/>
      <c r="HA94"/>
      <c r="HB94"/>
      <c r="HC94"/>
    </row>
    <row r="95" spans="1:211" s="7" customFormat="1">
      <c r="A95" s="77"/>
      <c r="B95" s="76">
        <f t="shared" ca="1" si="50"/>
        <v>0.35913679913551388</v>
      </c>
      <c r="C95">
        <v>4</v>
      </c>
      <c r="D95">
        <v>39646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 s="2"/>
      <c r="AK95" s="80"/>
      <c r="AL95" s="74"/>
      <c r="AM95" s="43">
        <v>79</v>
      </c>
      <c r="AN95">
        <v>44.782788231885093</v>
      </c>
      <c r="AO95">
        <v>1.0814351056828666</v>
      </c>
      <c r="AP95">
        <v>1.3672859296483648</v>
      </c>
      <c r="AQ95">
        <v>6.7182597539842996</v>
      </c>
      <c r="AR95">
        <v>1.0020285270193892</v>
      </c>
      <c r="AS95">
        <v>3.6583891555818036</v>
      </c>
      <c r="AT95">
        <v>0.72672234895011767</v>
      </c>
      <c r="AU95">
        <v>2.4238510373768341E-2</v>
      </c>
      <c r="AV95"/>
      <c r="AW95"/>
      <c r="AX95" s="151"/>
      <c r="AY95" s="76">
        <f t="shared" ca="1" si="88"/>
        <v>2.8707119221595079E-2</v>
      </c>
      <c r="AZ95">
        <v>8</v>
      </c>
      <c r="BA95" s="129">
        <f t="shared" si="89"/>
        <v>39646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 s="147"/>
      <c r="CH95" s="176"/>
      <c r="CJ95" s="151"/>
      <c r="CK95" s="76">
        <f t="shared" ca="1" si="90"/>
        <v>0.46277347468767593</v>
      </c>
      <c r="CL95" s="179">
        <f t="shared" si="91"/>
        <v>8</v>
      </c>
      <c r="CM95" s="180">
        <f t="shared" si="92"/>
        <v>39646</v>
      </c>
      <c r="CN95">
        <v>0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 s="160"/>
      <c r="CW95">
        <v>1</v>
      </c>
      <c r="CX95">
        <v>2</v>
      </c>
      <c r="CY95" s="164"/>
      <c r="CZ95" s="177">
        <f t="shared" si="93"/>
        <v>9.6000000000000002E-2</v>
      </c>
      <c r="DB95" s="151"/>
      <c r="DC95" s="76">
        <f t="shared" ca="1" si="51"/>
        <v>0.14916921729368493</v>
      </c>
      <c r="DD95">
        <f t="shared" si="94"/>
        <v>8</v>
      </c>
      <c r="DE95" s="129">
        <f t="shared" si="52"/>
        <v>39646</v>
      </c>
      <c r="DF95" s="161">
        <f t="shared" si="95"/>
        <v>0</v>
      </c>
      <c r="DG95" s="161">
        <f t="shared" si="96"/>
        <v>0</v>
      </c>
      <c r="DH95" s="161">
        <f t="shared" si="97"/>
        <v>0</v>
      </c>
      <c r="DI95" s="161">
        <f t="shared" si="98"/>
        <v>0</v>
      </c>
      <c r="DJ95" s="161">
        <f t="shared" si="99"/>
        <v>0</v>
      </c>
      <c r="DK95" s="161">
        <f t="shared" si="100"/>
        <v>0</v>
      </c>
      <c r="DL95" s="161">
        <f t="shared" si="101"/>
        <v>0</v>
      </c>
      <c r="DM95" s="161">
        <f t="shared" si="102"/>
        <v>0</v>
      </c>
      <c r="DN95" s="161">
        <f t="shared" si="103"/>
        <v>0</v>
      </c>
      <c r="DO95" s="161">
        <f t="shared" si="104"/>
        <v>0</v>
      </c>
      <c r="DP95" s="161">
        <f t="shared" si="105"/>
        <v>0</v>
      </c>
      <c r="DQ95" s="161">
        <f t="shared" si="106"/>
        <v>0</v>
      </c>
      <c r="DR95" s="161">
        <f t="shared" si="107"/>
        <v>0</v>
      </c>
      <c r="DS95" s="161">
        <f t="shared" si="108"/>
        <v>0</v>
      </c>
      <c r="DT95" s="161">
        <f t="shared" si="109"/>
        <v>0</v>
      </c>
      <c r="DU95" s="161">
        <f t="shared" si="110"/>
        <v>0</v>
      </c>
      <c r="DV95" s="161">
        <f t="shared" si="111"/>
        <v>0</v>
      </c>
      <c r="DW95" s="161">
        <f t="shared" si="112"/>
        <v>0</v>
      </c>
      <c r="DX95" s="161">
        <f t="shared" si="113"/>
        <v>0</v>
      </c>
      <c r="DY95" s="161">
        <f t="shared" si="114"/>
        <v>0</v>
      </c>
      <c r="DZ95" s="161">
        <f t="shared" si="115"/>
        <v>0</v>
      </c>
      <c r="EA95" s="161">
        <f t="shared" si="116"/>
        <v>0</v>
      </c>
      <c r="EB95" s="161">
        <f t="shared" si="117"/>
        <v>0</v>
      </c>
      <c r="EC95" s="161">
        <f t="shared" si="118"/>
        <v>0</v>
      </c>
      <c r="ED95" s="161">
        <f t="shared" si="119"/>
        <v>0</v>
      </c>
      <c r="EE95" s="161">
        <f t="shared" si="120"/>
        <v>0</v>
      </c>
      <c r="EF95" s="161">
        <f t="shared" si="121"/>
        <v>0</v>
      </c>
      <c r="EG95" s="161">
        <f t="shared" si="122"/>
        <v>0</v>
      </c>
      <c r="EH95" s="161">
        <f t="shared" si="123"/>
        <v>0</v>
      </c>
      <c r="EI95" s="161">
        <f t="shared" si="124"/>
        <v>0</v>
      </c>
      <c r="EJ95" s="161">
        <f t="shared" si="125"/>
        <v>0</v>
      </c>
      <c r="EK95" s="147">
        <f t="shared" si="55"/>
        <v>0</v>
      </c>
      <c r="EL95" s="149"/>
      <c r="EN95" s="151"/>
      <c r="EO95" s="151"/>
      <c r="EP95" s="139">
        <f t="shared" si="56"/>
        <v>0</v>
      </c>
      <c r="EQ95" s="139">
        <f t="shared" si="57"/>
        <v>0</v>
      </c>
      <c r="ER95" s="139">
        <f t="shared" si="58"/>
        <v>0</v>
      </c>
      <c r="ES95" s="139">
        <f t="shared" si="59"/>
        <v>0</v>
      </c>
      <c r="ET95" s="139">
        <f t="shared" si="60"/>
        <v>0</v>
      </c>
      <c r="EU95" s="139">
        <f t="shared" si="61"/>
        <v>0</v>
      </c>
      <c r="EV95" s="139">
        <f t="shared" si="62"/>
        <v>0</v>
      </c>
      <c r="EW95" s="139">
        <f t="shared" si="63"/>
        <v>0</v>
      </c>
      <c r="EX95" s="139">
        <f t="shared" si="64"/>
        <v>0</v>
      </c>
      <c r="EY95" s="139">
        <f t="shared" si="65"/>
        <v>0</v>
      </c>
      <c r="EZ95" s="139">
        <f t="shared" si="66"/>
        <v>0</v>
      </c>
      <c r="FA95" s="139">
        <f t="shared" si="67"/>
        <v>0</v>
      </c>
      <c r="FB95" s="139">
        <f t="shared" si="68"/>
        <v>0</v>
      </c>
      <c r="FC95" s="139">
        <f t="shared" si="69"/>
        <v>0</v>
      </c>
      <c r="FD95" s="139">
        <f t="shared" si="70"/>
        <v>0</v>
      </c>
      <c r="FE95" s="139">
        <f t="shared" si="71"/>
        <v>0</v>
      </c>
      <c r="FF95" s="139">
        <f t="shared" si="72"/>
        <v>0</v>
      </c>
      <c r="FG95" s="139">
        <f t="shared" si="73"/>
        <v>0</v>
      </c>
      <c r="FH95" s="139">
        <f t="shared" si="74"/>
        <v>0</v>
      </c>
      <c r="FI95" s="139">
        <f t="shared" si="75"/>
        <v>0</v>
      </c>
      <c r="FJ95" s="139">
        <f t="shared" si="76"/>
        <v>0</v>
      </c>
      <c r="FK95" s="139">
        <f t="shared" si="77"/>
        <v>0</v>
      </c>
      <c r="FL95" s="139">
        <f t="shared" si="78"/>
        <v>0</v>
      </c>
      <c r="FM95" s="139">
        <f t="shared" si="79"/>
        <v>0</v>
      </c>
      <c r="FN95" s="139">
        <f t="shared" si="80"/>
        <v>0</v>
      </c>
      <c r="FO95" s="139">
        <f t="shared" si="81"/>
        <v>0</v>
      </c>
      <c r="FP95" s="139">
        <f t="shared" si="82"/>
        <v>0</v>
      </c>
      <c r="FQ95" s="139">
        <f t="shared" si="83"/>
        <v>0</v>
      </c>
      <c r="FR95" s="139">
        <f t="shared" si="84"/>
        <v>0</v>
      </c>
      <c r="FS95" s="139">
        <f t="shared" si="85"/>
        <v>0</v>
      </c>
      <c r="FT95" s="139">
        <f t="shared" si="86"/>
        <v>0</v>
      </c>
      <c r="FU95" s="148">
        <f t="shared" si="87"/>
        <v>0</v>
      </c>
      <c r="FV95" s="149"/>
      <c r="FY95" s="211">
        <v>90</v>
      </c>
      <c r="FZ95">
        <v>1.2056989572642602</v>
      </c>
      <c r="GA95">
        <v>2.0552890131742934</v>
      </c>
      <c r="GB95">
        <v>1.4515752093346617</v>
      </c>
      <c r="GC95">
        <v>0.87100717044315579</v>
      </c>
      <c r="GD95">
        <v>0.25820307325246172</v>
      </c>
      <c r="GE95">
        <v>4.3360981258274998E-2</v>
      </c>
      <c r="GF95">
        <v>0</v>
      </c>
      <c r="GG95">
        <v>0</v>
      </c>
      <c r="GH95">
        <v>2.2985735835423678E-2</v>
      </c>
      <c r="GI95">
        <v>0.68336247264316574</v>
      </c>
      <c r="GJ95"/>
      <c r="GK95">
        <v>1.201576838235294</v>
      </c>
      <c r="GL95">
        <v>1.7310065257352938</v>
      </c>
      <c r="GM95">
        <v>2.3823345170454546</v>
      </c>
      <c r="GN95">
        <v>2.5546182224025973</v>
      </c>
      <c r="GO95">
        <v>0.98235401785714271</v>
      </c>
      <c r="GP95">
        <v>8.1421875000000005E-2</v>
      </c>
      <c r="GQ95">
        <v>0</v>
      </c>
      <c r="GR95">
        <v>0</v>
      </c>
      <c r="GS95">
        <v>2.4293870192307693E-2</v>
      </c>
      <c r="GT95">
        <v>0.91811184866603979</v>
      </c>
      <c r="GU95"/>
      <c r="GV95"/>
      <c r="GW95"/>
      <c r="GX95"/>
      <c r="GY95"/>
      <c r="GZ95"/>
      <c r="HA95"/>
      <c r="HB95"/>
      <c r="HC95"/>
    </row>
    <row r="96" spans="1:211" s="7" customFormat="1">
      <c r="A96" s="77"/>
      <c r="B96" s="76">
        <f t="shared" ca="1" si="50"/>
        <v>0.58195018045260483</v>
      </c>
      <c r="C96">
        <v>9</v>
      </c>
      <c r="D96">
        <v>39646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 s="2"/>
      <c r="AK96" s="80"/>
      <c r="AL96" s="74"/>
      <c r="AM96" s="43">
        <v>80</v>
      </c>
      <c r="AN96">
        <v>30.112208665517489</v>
      </c>
      <c r="AO96">
        <v>0.67881588861506148</v>
      </c>
      <c r="AP96">
        <v>2.6617622469604627</v>
      </c>
      <c r="AQ96">
        <v>4.7703127264719036</v>
      </c>
      <c r="AR96">
        <v>0.63238889786683905</v>
      </c>
      <c r="AS96">
        <v>2.4194946047329791</v>
      </c>
      <c r="AT96" t="e">
        <v>#DIV/0!</v>
      </c>
      <c r="AU96" t="e">
        <v>#DIV/0!</v>
      </c>
      <c r="AV96"/>
      <c r="AW96"/>
      <c r="AX96" s="151"/>
      <c r="AY96" s="76">
        <f t="shared" ca="1" si="88"/>
        <v>0.55447944385733661</v>
      </c>
      <c r="AZ96">
        <v>9</v>
      </c>
      <c r="BA96" s="129">
        <f t="shared" si="89"/>
        <v>39646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 s="147"/>
      <c r="CH96" s="176"/>
      <c r="CJ96" s="151"/>
      <c r="CK96" s="76">
        <f t="shared" ca="1" si="90"/>
        <v>0.15499057980020159</v>
      </c>
      <c r="CL96" s="179">
        <f t="shared" si="91"/>
        <v>9</v>
      </c>
      <c r="CM96" s="180">
        <f t="shared" si="92"/>
        <v>39646</v>
      </c>
      <c r="CN96">
        <v>0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 s="160"/>
      <c r="CW96">
        <v>1</v>
      </c>
      <c r="CX96">
        <v>1</v>
      </c>
      <c r="CY96" s="164"/>
      <c r="CZ96" s="177">
        <f t="shared" si="93"/>
        <v>9.6000000000000002E-2</v>
      </c>
      <c r="DB96" s="151"/>
      <c r="DC96" s="76">
        <f t="shared" ca="1" si="51"/>
        <v>0.22385263863405669</v>
      </c>
      <c r="DD96">
        <f t="shared" si="94"/>
        <v>9</v>
      </c>
      <c r="DE96" s="129">
        <f t="shared" si="52"/>
        <v>39646</v>
      </c>
      <c r="DF96" s="161">
        <f t="shared" si="95"/>
        <v>0</v>
      </c>
      <c r="DG96" s="161">
        <f t="shared" si="96"/>
        <v>0</v>
      </c>
      <c r="DH96" s="161">
        <f t="shared" si="97"/>
        <v>0</v>
      </c>
      <c r="DI96" s="161">
        <f t="shared" si="98"/>
        <v>0</v>
      </c>
      <c r="DJ96" s="161">
        <f t="shared" si="99"/>
        <v>0</v>
      </c>
      <c r="DK96" s="161">
        <f t="shared" si="100"/>
        <v>0</v>
      </c>
      <c r="DL96" s="161">
        <f t="shared" si="101"/>
        <v>0</v>
      </c>
      <c r="DM96" s="161">
        <f t="shared" si="102"/>
        <v>0</v>
      </c>
      <c r="DN96" s="161">
        <f t="shared" si="103"/>
        <v>0</v>
      </c>
      <c r="DO96" s="161">
        <f t="shared" si="104"/>
        <v>0</v>
      </c>
      <c r="DP96" s="161">
        <f t="shared" si="105"/>
        <v>0</v>
      </c>
      <c r="DQ96" s="161">
        <f t="shared" si="106"/>
        <v>0</v>
      </c>
      <c r="DR96" s="161">
        <f t="shared" si="107"/>
        <v>0</v>
      </c>
      <c r="DS96" s="161">
        <f t="shared" si="108"/>
        <v>0</v>
      </c>
      <c r="DT96" s="161">
        <f t="shared" si="109"/>
        <v>0</v>
      </c>
      <c r="DU96" s="161">
        <f t="shared" si="110"/>
        <v>0</v>
      </c>
      <c r="DV96" s="161">
        <f t="shared" si="111"/>
        <v>0</v>
      </c>
      <c r="DW96" s="161">
        <f t="shared" si="112"/>
        <v>0</v>
      </c>
      <c r="DX96" s="161">
        <f t="shared" si="113"/>
        <v>0</v>
      </c>
      <c r="DY96" s="161">
        <f t="shared" si="114"/>
        <v>0</v>
      </c>
      <c r="DZ96" s="161">
        <f t="shared" si="115"/>
        <v>0</v>
      </c>
      <c r="EA96" s="161">
        <f t="shared" si="116"/>
        <v>0</v>
      </c>
      <c r="EB96" s="161">
        <f t="shared" si="117"/>
        <v>0</v>
      </c>
      <c r="EC96" s="161">
        <f t="shared" si="118"/>
        <v>0</v>
      </c>
      <c r="ED96" s="161">
        <f t="shared" si="119"/>
        <v>0</v>
      </c>
      <c r="EE96" s="161">
        <f t="shared" si="120"/>
        <v>0</v>
      </c>
      <c r="EF96" s="161">
        <f t="shared" si="121"/>
        <v>0</v>
      </c>
      <c r="EG96" s="161">
        <f t="shared" si="122"/>
        <v>0</v>
      </c>
      <c r="EH96" s="161">
        <f t="shared" si="123"/>
        <v>0</v>
      </c>
      <c r="EI96" s="161">
        <f t="shared" si="124"/>
        <v>0</v>
      </c>
      <c r="EJ96" s="161">
        <f t="shared" si="125"/>
        <v>0</v>
      </c>
      <c r="EK96" s="147">
        <f t="shared" si="55"/>
        <v>0</v>
      </c>
      <c r="EL96" s="149"/>
      <c r="EN96" s="151"/>
      <c r="EO96" s="151"/>
      <c r="EP96" s="139">
        <f t="shared" si="56"/>
        <v>0</v>
      </c>
      <c r="EQ96" s="139">
        <f t="shared" si="57"/>
        <v>0</v>
      </c>
      <c r="ER96" s="139">
        <f t="shared" si="58"/>
        <v>0</v>
      </c>
      <c r="ES96" s="139">
        <f t="shared" si="59"/>
        <v>0</v>
      </c>
      <c r="ET96" s="139">
        <f t="shared" si="60"/>
        <v>0</v>
      </c>
      <c r="EU96" s="139">
        <f t="shared" si="61"/>
        <v>0</v>
      </c>
      <c r="EV96" s="139">
        <f t="shared" si="62"/>
        <v>0</v>
      </c>
      <c r="EW96" s="139">
        <f t="shared" si="63"/>
        <v>0</v>
      </c>
      <c r="EX96" s="139">
        <f t="shared" si="64"/>
        <v>0</v>
      </c>
      <c r="EY96" s="139">
        <f t="shared" si="65"/>
        <v>0</v>
      </c>
      <c r="EZ96" s="139">
        <f t="shared" si="66"/>
        <v>0</v>
      </c>
      <c r="FA96" s="139">
        <f t="shared" si="67"/>
        <v>0</v>
      </c>
      <c r="FB96" s="139">
        <f t="shared" si="68"/>
        <v>0</v>
      </c>
      <c r="FC96" s="139">
        <f t="shared" si="69"/>
        <v>0</v>
      </c>
      <c r="FD96" s="139">
        <f t="shared" si="70"/>
        <v>0</v>
      </c>
      <c r="FE96" s="139">
        <f t="shared" si="71"/>
        <v>0</v>
      </c>
      <c r="FF96" s="139">
        <f t="shared" si="72"/>
        <v>0</v>
      </c>
      <c r="FG96" s="139">
        <f t="shared" si="73"/>
        <v>0</v>
      </c>
      <c r="FH96" s="139">
        <f t="shared" si="74"/>
        <v>0</v>
      </c>
      <c r="FI96" s="139">
        <f t="shared" si="75"/>
        <v>0</v>
      </c>
      <c r="FJ96" s="139">
        <f t="shared" si="76"/>
        <v>0</v>
      </c>
      <c r="FK96" s="139">
        <f t="shared" si="77"/>
        <v>0</v>
      </c>
      <c r="FL96" s="139">
        <f t="shared" si="78"/>
        <v>0</v>
      </c>
      <c r="FM96" s="139">
        <f t="shared" si="79"/>
        <v>0</v>
      </c>
      <c r="FN96" s="139">
        <f t="shared" si="80"/>
        <v>0</v>
      </c>
      <c r="FO96" s="139">
        <f t="shared" si="81"/>
        <v>0</v>
      </c>
      <c r="FP96" s="139">
        <f t="shared" si="82"/>
        <v>0</v>
      </c>
      <c r="FQ96" s="139">
        <f t="shared" si="83"/>
        <v>0</v>
      </c>
      <c r="FR96" s="139">
        <f t="shared" si="84"/>
        <v>0</v>
      </c>
      <c r="FS96" s="139">
        <f t="shared" si="85"/>
        <v>0</v>
      </c>
      <c r="FT96" s="139">
        <f t="shared" si="86"/>
        <v>0</v>
      </c>
      <c r="FU96" s="148">
        <f t="shared" si="87"/>
        <v>0</v>
      </c>
      <c r="FV96" s="149"/>
      <c r="FY96" s="211">
        <v>91</v>
      </c>
      <c r="FZ96">
        <v>1.7174126821641418</v>
      </c>
      <c r="GA96">
        <v>2.25969832760169</v>
      </c>
      <c r="GB96">
        <v>0.82058840876233119</v>
      </c>
      <c r="GC96">
        <v>0.39418664468680076</v>
      </c>
      <c r="GD96">
        <v>8.3687858904419987E-2</v>
      </c>
      <c r="GE96">
        <v>0.10979074220377499</v>
      </c>
      <c r="GF96">
        <v>0.36024295839505316</v>
      </c>
      <c r="GG96">
        <v>0.32783070573276563</v>
      </c>
      <c r="GH96">
        <v>6.6522953376906252E-2</v>
      </c>
      <c r="GI96">
        <v>0.57790164027413693</v>
      </c>
      <c r="GJ96"/>
      <c r="GK96">
        <v>1.711691176470588</v>
      </c>
      <c r="GL96">
        <v>1.9035974264705882</v>
      </c>
      <c r="GM96">
        <v>1.3472329545454544</v>
      </c>
      <c r="GN96">
        <v>1.1570235795454544</v>
      </c>
      <c r="GO96">
        <v>0.318525</v>
      </c>
      <c r="GP96">
        <v>0.20629687499999999</v>
      </c>
      <c r="GQ96">
        <v>0.43509375</v>
      </c>
      <c r="GR96">
        <v>0.45661458333333332</v>
      </c>
      <c r="GS96">
        <v>7.0364583333333328E-2</v>
      </c>
      <c r="GT96">
        <v>0.7765814928698751</v>
      </c>
      <c r="GU96"/>
      <c r="GV96"/>
      <c r="GW96"/>
      <c r="GX96"/>
      <c r="GY96"/>
      <c r="GZ96"/>
      <c r="HA96"/>
      <c r="HB96"/>
      <c r="HC96"/>
    </row>
    <row r="97" spans="1:211" s="7" customFormat="1">
      <c r="A97" s="77"/>
      <c r="B97" s="76">
        <f t="shared" ca="1" si="50"/>
        <v>0.89005112725459856</v>
      </c>
      <c r="C97">
        <v>8</v>
      </c>
      <c r="D97">
        <v>39646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 s="2"/>
      <c r="AK97" s="80"/>
      <c r="AL97" s="74"/>
      <c r="AM97" s="43">
        <v>81</v>
      </c>
      <c r="AN97">
        <v>32.827604166666667</v>
      </c>
      <c r="AO97">
        <v>0.67399923437499998</v>
      </c>
      <c r="AP97">
        <v>0.62157525840769035</v>
      </c>
      <c r="AQ97">
        <v>3.6663814066205296</v>
      </c>
      <c r="AR97">
        <v>0.63445953124999988</v>
      </c>
      <c r="AS97">
        <v>2.7656042747394141</v>
      </c>
      <c r="AT97" t="e">
        <v>#DIV/0!</v>
      </c>
      <c r="AU97" t="e">
        <v>#DIV/0!</v>
      </c>
      <c r="AV97"/>
      <c r="AW97"/>
      <c r="AX97" s="151"/>
      <c r="AY97" s="76">
        <f t="shared" ca="1" si="88"/>
        <v>0.18303685717303519</v>
      </c>
      <c r="AZ97">
        <v>10</v>
      </c>
      <c r="BA97" s="129">
        <f t="shared" si="89"/>
        <v>39646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 s="147"/>
      <c r="CH97" s="176"/>
      <c r="CJ97" s="151"/>
      <c r="CK97" s="76">
        <f t="shared" ca="1" si="90"/>
        <v>5.659168391610514E-2</v>
      </c>
      <c r="CL97" s="179">
        <f t="shared" si="91"/>
        <v>10</v>
      </c>
      <c r="CM97" s="180">
        <f t="shared" si="92"/>
        <v>39646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 s="160"/>
      <c r="CW97">
        <v>1</v>
      </c>
      <c r="CX97">
        <v>2</v>
      </c>
      <c r="CY97" s="164"/>
      <c r="CZ97" s="177">
        <f t="shared" si="93"/>
        <v>9.6000000000000002E-2</v>
      </c>
      <c r="DB97" s="151"/>
      <c r="DC97" s="76">
        <f t="shared" ca="1" si="51"/>
        <v>0.30468302360780708</v>
      </c>
      <c r="DD97">
        <f t="shared" si="94"/>
        <v>10</v>
      </c>
      <c r="DE97" s="129">
        <f t="shared" si="52"/>
        <v>39646</v>
      </c>
      <c r="DF97" s="161">
        <f t="shared" si="95"/>
        <v>0</v>
      </c>
      <c r="DG97" s="161">
        <f t="shared" si="96"/>
        <v>0</v>
      </c>
      <c r="DH97" s="161">
        <f t="shared" si="97"/>
        <v>0</v>
      </c>
      <c r="DI97" s="161">
        <f t="shared" si="98"/>
        <v>0</v>
      </c>
      <c r="DJ97" s="161">
        <f t="shared" si="99"/>
        <v>0</v>
      </c>
      <c r="DK97" s="161">
        <f t="shared" si="100"/>
        <v>0</v>
      </c>
      <c r="DL97" s="161">
        <f t="shared" si="101"/>
        <v>0</v>
      </c>
      <c r="DM97" s="161">
        <f t="shared" si="102"/>
        <v>0</v>
      </c>
      <c r="DN97" s="161">
        <f t="shared" si="103"/>
        <v>0</v>
      </c>
      <c r="DO97" s="161">
        <f t="shared" si="104"/>
        <v>0</v>
      </c>
      <c r="DP97" s="161">
        <f t="shared" si="105"/>
        <v>0</v>
      </c>
      <c r="DQ97" s="161">
        <f t="shared" si="106"/>
        <v>0</v>
      </c>
      <c r="DR97" s="161">
        <f t="shared" si="107"/>
        <v>0</v>
      </c>
      <c r="DS97" s="161">
        <f t="shared" si="108"/>
        <v>0</v>
      </c>
      <c r="DT97" s="161">
        <f t="shared" si="109"/>
        <v>0</v>
      </c>
      <c r="DU97" s="161">
        <f t="shared" si="110"/>
        <v>0</v>
      </c>
      <c r="DV97" s="161">
        <f t="shared" si="111"/>
        <v>0</v>
      </c>
      <c r="DW97" s="161">
        <f t="shared" si="112"/>
        <v>0</v>
      </c>
      <c r="DX97" s="161">
        <f t="shared" si="113"/>
        <v>0</v>
      </c>
      <c r="DY97" s="161">
        <f t="shared" si="114"/>
        <v>0</v>
      </c>
      <c r="DZ97" s="161">
        <f t="shared" si="115"/>
        <v>0</v>
      </c>
      <c r="EA97" s="161">
        <f t="shared" si="116"/>
        <v>0</v>
      </c>
      <c r="EB97" s="161">
        <f t="shared" si="117"/>
        <v>0</v>
      </c>
      <c r="EC97" s="161">
        <f t="shared" si="118"/>
        <v>0</v>
      </c>
      <c r="ED97" s="161">
        <f t="shared" si="119"/>
        <v>0</v>
      </c>
      <c r="EE97" s="161">
        <f t="shared" si="120"/>
        <v>0</v>
      </c>
      <c r="EF97" s="161">
        <f t="shared" si="121"/>
        <v>0</v>
      </c>
      <c r="EG97" s="161">
        <f t="shared" si="122"/>
        <v>0</v>
      </c>
      <c r="EH97" s="161">
        <f t="shared" si="123"/>
        <v>0</v>
      </c>
      <c r="EI97" s="161">
        <f t="shared" si="124"/>
        <v>0</v>
      </c>
      <c r="EJ97" s="161">
        <f t="shared" si="125"/>
        <v>0</v>
      </c>
      <c r="EK97" s="147">
        <f t="shared" si="55"/>
        <v>0</v>
      </c>
      <c r="EL97" s="149"/>
      <c r="EN97" s="151"/>
      <c r="EO97" s="151"/>
      <c r="EP97" s="139">
        <f t="shared" si="56"/>
        <v>0</v>
      </c>
      <c r="EQ97" s="139">
        <f t="shared" si="57"/>
        <v>0</v>
      </c>
      <c r="ER97" s="139">
        <f t="shared" si="58"/>
        <v>0</v>
      </c>
      <c r="ES97" s="139">
        <f t="shared" si="59"/>
        <v>0</v>
      </c>
      <c r="ET97" s="139">
        <f t="shared" si="60"/>
        <v>0</v>
      </c>
      <c r="EU97" s="139">
        <f t="shared" si="61"/>
        <v>0</v>
      </c>
      <c r="EV97" s="139">
        <f t="shared" si="62"/>
        <v>0</v>
      </c>
      <c r="EW97" s="139">
        <f t="shared" si="63"/>
        <v>0</v>
      </c>
      <c r="EX97" s="139">
        <f t="shared" si="64"/>
        <v>0</v>
      </c>
      <c r="EY97" s="139">
        <f t="shared" si="65"/>
        <v>0</v>
      </c>
      <c r="EZ97" s="139">
        <f t="shared" si="66"/>
        <v>0</v>
      </c>
      <c r="FA97" s="139">
        <f t="shared" si="67"/>
        <v>0</v>
      </c>
      <c r="FB97" s="139">
        <f t="shared" si="68"/>
        <v>0</v>
      </c>
      <c r="FC97" s="139">
        <f t="shared" si="69"/>
        <v>0</v>
      </c>
      <c r="FD97" s="139">
        <f t="shared" si="70"/>
        <v>0</v>
      </c>
      <c r="FE97" s="139">
        <f t="shared" si="71"/>
        <v>0</v>
      </c>
      <c r="FF97" s="139">
        <f t="shared" si="72"/>
        <v>0</v>
      </c>
      <c r="FG97" s="139">
        <f t="shared" si="73"/>
        <v>0</v>
      </c>
      <c r="FH97" s="139">
        <f t="shared" si="74"/>
        <v>0</v>
      </c>
      <c r="FI97" s="139">
        <f t="shared" si="75"/>
        <v>0</v>
      </c>
      <c r="FJ97" s="139">
        <f t="shared" si="76"/>
        <v>0</v>
      </c>
      <c r="FK97" s="139">
        <f t="shared" si="77"/>
        <v>0</v>
      </c>
      <c r="FL97" s="139">
        <f t="shared" si="78"/>
        <v>0</v>
      </c>
      <c r="FM97" s="139">
        <f t="shared" si="79"/>
        <v>0</v>
      </c>
      <c r="FN97" s="139">
        <f t="shared" si="80"/>
        <v>0</v>
      </c>
      <c r="FO97" s="139">
        <f t="shared" si="81"/>
        <v>0</v>
      </c>
      <c r="FP97" s="139">
        <f t="shared" si="82"/>
        <v>0</v>
      </c>
      <c r="FQ97" s="139">
        <f t="shared" si="83"/>
        <v>0</v>
      </c>
      <c r="FR97" s="139">
        <f t="shared" si="84"/>
        <v>0</v>
      </c>
      <c r="FS97" s="139">
        <f t="shared" si="85"/>
        <v>0</v>
      </c>
      <c r="FT97" s="139">
        <f t="shared" si="86"/>
        <v>0</v>
      </c>
      <c r="FU97" s="148">
        <f t="shared" si="87"/>
        <v>0</v>
      </c>
      <c r="FV97" s="149"/>
      <c r="FY97" s="211">
        <v>92</v>
      </c>
      <c r="FZ97">
        <v>1.1239483817659588</v>
      </c>
      <c r="GA97">
        <v>2.2503918848700026</v>
      </c>
      <c r="GB97">
        <v>0.69725964449314337</v>
      </c>
      <c r="GC97">
        <v>0.22128604340852934</v>
      </c>
      <c r="GD97">
        <v>0.10875914987824928</v>
      </c>
      <c r="GE97">
        <v>0.1020805491843</v>
      </c>
      <c r="GF97">
        <v>0.24090012531466881</v>
      </c>
      <c r="GG97">
        <v>0.18920630708545313</v>
      </c>
      <c r="GH97">
        <v>6.6522953376906252E-2</v>
      </c>
      <c r="GI97">
        <v>0.45247022896156353</v>
      </c>
      <c r="GJ97"/>
      <c r="GK97">
        <v>1.1200612132352941</v>
      </c>
      <c r="GL97">
        <v>1.8952448069852943</v>
      </c>
      <c r="GM97">
        <v>1.14389453125</v>
      </c>
      <c r="GN97">
        <v>0.64901808035714281</v>
      </c>
      <c r="GO97">
        <v>0.41427589285714284</v>
      </c>
      <c r="GP97">
        <v>0.1918125</v>
      </c>
      <c r="GQ97">
        <v>0.29081250000000003</v>
      </c>
      <c r="GR97">
        <v>0.26348958333333333</v>
      </c>
      <c r="GS97">
        <v>7.0364583333333328E-2</v>
      </c>
      <c r="GT97">
        <v>0.60788174413515406</v>
      </c>
      <c r="GU97"/>
      <c r="GV97"/>
      <c r="GW97"/>
      <c r="GX97"/>
      <c r="GY97"/>
      <c r="GZ97"/>
      <c r="HA97"/>
      <c r="HB97"/>
      <c r="HC97"/>
    </row>
    <row r="98" spans="1:211" s="7" customFormat="1">
      <c r="A98" s="128"/>
      <c r="B98" s="76">
        <f t="shared" ca="1" si="50"/>
        <v>0.71304651138197417</v>
      </c>
      <c r="C98">
        <v>8</v>
      </c>
      <c r="D98">
        <v>39673</v>
      </c>
      <c r="E98">
        <v>0</v>
      </c>
      <c r="F98">
        <v>20.833333333333332</v>
      </c>
      <c r="G98">
        <v>20.833333333333332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 s="2"/>
      <c r="AK98" s="80"/>
      <c r="AL98" s="74"/>
      <c r="AM98" s="43">
        <v>82</v>
      </c>
      <c r="AN98">
        <v>35.963312701288238</v>
      </c>
      <c r="AO98">
        <v>0.76335711662137684</v>
      </c>
      <c r="AP98">
        <v>6.2553863714532927</v>
      </c>
      <c r="AQ98">
        <v>5.3993871861193155</v>
      </c>
      <c r="AR98">
        <v>0.71569396965579701</v>
      </c>
      <c r="AS98">
        <v>3.1205564127595031</v>
      </c>
      <c r="AT98" t="e">
        <v>#DIV/0!</v>
      </c>
      <c r="AU98" t="e">
        <v>#DIV/0!</v>
      </c>
      <c r="AV98"/>
      <c r="AW98"/>
      <c r="AX98" s="128"/>
      <c r="AY98" s="76">
        <f t="shared" ca="1" si="88"/>
        <v>0.4323807145423344</v>
      </c>
      <c r="AZ98">
        <v>1</v>
      </c>
      <c r="BA98" s="129">
        <f>IF(AZ98="", "",$C$5)</f>
        <v>39673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 s="147"/>
      <c r="CH98" s="176"/>
      <c r="CJ98" s="128"/>
      <c r="CK98" s="76">
        <f t="shared" ca="1" si="90"/>
        <v>0.54377455106869643</v>
      </c>
      <c r="CL98" s="179">
        <f t="shared" si="91"/>
        <v>1</v>
      </c>
      <c r="CM98" s="180">
        <f t="shared" si="92"/>
        <v>39673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W98">
        <v>1</v>
      </c>
      <c r="CX98">
        <v>1</v>
      </c>
      <c r="CY98" s="158"/>
      <c r="CZ98" s="177">
        <f t="shared" si="93"/>
        <v>9.6000000000000002E-2</v>
      </c>
      <c r="DB98" s="128"/>
      <c r="DC98" s="76">
        <f t="shared" ca="1" si="51"/>
        <v>0.39216348258636047</v>
      </c>
      <c r="DD98">
        <f t="shared" si="94"/>
        <v>1</v>
      </c>
      <c r="DE98" s="129">
        <f t="shared" ref="DE98:DE107" si="126">IF((DD98)="", "", $C$5)</f>
        <v>39673</v>
      </c>
      <c r="DF98" s="161">
        <f t="shared" si="95"/>
        <v>0</v>
      </c>
      <c r="DG98" s="161">
        <f t="shared" si="96"/>
        <v>0</v>
      </c>
      <c r="DH98" s="161">
        <f t="shared" si="97"/>
        <v>0</v>
      </c>
      <c r="DI98" s="161">
        <f t="shared" si="98"/>
        <v>0</v>
      </c>
      <c r="DJ98" s="161">
        <f t="shared" si="99"/>
        <v>0</v>
      </c>
      <c r="DK98" s="161">
        <f t="shared" si="100"/>
        <v>0</v>
      </c>
      <c r="DL98" s="161">
        <f t="shared" si="101"/>
        <v>0</v>
      </c>
      <c r="DM98" s="161">
        <f t="shared" si="102"/>
        <v>0</v>
      </c>
      <c r="DN98" s="161">
        <f t="shared" si="103"/>
        <v>0</v>
      </c>
      <c r="DO98" s="161">
        <f t="shared" si="104"/>
        <v>0</v>
      </c>
      <c r="DP98" s="161">
        <f t="shared" si="105"/>
        <v>0</v>
      </c>
      <c r="DQ98" s="161">
        <f t="shared" si="106"/>
        <v>0</v>
      </c>
      <c r="DR98" s="161">
        <f t="shared" si="107"/>
        <v>0</v>
      </c>
      <c r="DS98" s="161">
        <f t="shared" si="108"/>
        <v>0</v>
      </c>
      <c r="DT98" s="161">
        <f t="shared" si="109"/>
        <v>0</v>
      </c>
      <c r="DU98" s="161">
        <f t="shared" si="110"/>
        <v>0</v>
      </c>
      <c r="DV98" s="161">
        <f t="shared" si="111"/>
        <v>0</v>
      </c>
      <c r="DW98" s="161">
        <f t="shared" si="112"/>
        <v>0</v>
      </c>
      <c r="DX98" s="161">
        <f t="shared" si="113"/>
        <v>0</v>
      </c>
      <c r="DY98" s="161">
        <f t="shared" si="114"/>
        <v>0</v>
      </c>
      <c r="DZ98" s="161">
        <f t="shared" si="115"/>
        <v>0</v>
      </c>
      <c r="EA98" s="161">
        <f t="shared" si="116"/>
        <v>0</v>
      </c>
      <c r="EB98" s="161">
        <f t="shared" si="117"/>
        <v>0</v>
      </c>
      <c r="EC98" s="161">
        <f t="shared" si="118"/>
        <v>0</v>
      </c>
      <c r="ED98" s="161">
        <f t="shared" si="119"/>
        <v>0</v>
      </c>
      <c r="EE98" s="161">
        <f t="shared" si="120"/>
        <v>0</v>
      </c>
      <c r="EF98" s="161">
        <f t="shared" si="121"/>
        <v>0</v>
      </c>
      <c r="EG98" s="161">
        <f t="shared" si="122"/>
        <v>0</v>
      </c>
      <c r="EH98" s="161">
        <f t="shared" si="123"/>
        <v>0</v>
      </c>
      <c r="EI98" s="161">
        <f t="shared" si="124"/>
        <v>0</v>
      </c>
      <c r="EJ98" s="161">
        <f t="shared" si="125"/>
        <v>0</v>
      </c>
      <c r="EK98" s="147">
        <f t="shared" si="55"/>
        <v>0</v>
      </c>
      <c r="EL98" s="149"/>
      <c r="EN98" s="146"/>
      <c r="EO98" s="146"/>
      <c r="EP98" s="139">
        <f t="shared" si="56"/>
        <v>0</v>
      </c>
      <c r="EQ98" s="139">
        <f t="shared" si="57"/>
        <v>0</v>
      </c>
      <c r="ER98" s="139">
        <f t="shared" si="58"/>
        <v>0</v>
      </c>
      <c r="ES98" s="139">
        <f t="shared" si="59"/>
        <v>0</v>
      </c>
      <c r="ET98" s="139">
        <f t="shared" si="60"/>
        <v>0</v>
      </c>
      <c r="EU98" s="139">
        <f t="shared" si="61"/>
        <v>0</v>
      </c>
      <c r="EV98" s="139">
        <f t="shared" si="62"/>
        <v>0</v>
      </c>
      <c r="EW98" s="139">
        <f t="shared" si="63"/>
        <v>0</v>
      </c>
      <c r="EX98" s="139">
        <f t="shared" si="64"/>
        <v>0</v>
      </c>
      <c r="EY98" s="139">
        <f t="shared" si="65"/>
        <v>0</v>
      </c>
      <c r="EZ98" s="139">
        <f t="shared" si="66"/>
        <v>0</v>
      </c>
      <c r="FA98" s="139">
        <f t="shared" si="67"/>
        <v>0</v>
      </c>
      <c r="FB98" s="139">
        <f t="shared" si="68"/>
        <v>0</v>
      </c>
      <c r="FC98" s="139">
        <f t="shared" si="69"/>
        <v>0</v>
      </c>
      <c r="FD98" s="139">
        <f t="shared" si="70"/>
        <v>0</v>
      </c>
      <c r="FE98" s="139">
        <f t="shared" si="71"/>
        <v>0</v>
      </c>
      <c r="FF98" s="139">
        <f t="shared" si="72"/>
        <v>0</v>
      </c>
      <c r="FG98" s="139">
        <f t="shared" si="73"/>
        <v>0</v>
      </c>
      <c r="FH98" s="139">
        <f t="shared" si="74"/>
        <v>0</v>
      </c>
      <c r="FI98" s="139">
        <f t="shared" si="75"/>
        <v>0</v>
      </c>
      <c r="FJ98" s="139">
        <f t="shared" si="76"/>
        <v>0</v>
      </c>
      <c r="FK98" s="139">
        <f t="shared" si="77"/>
        <v>0</v>
      </c>
      <c r="FL98" s="139">
        <f t="shared" si="78"/>
        <v>0</v>
      </c>
      <c r="FM98" s="139">
        <f t="shared" si="79"/>
        <v>0</v>
      </c>
      <c r="FN98" s="139">
        <f t="shared" si="80"/>
        <v>0</v>
      </c>
      <c r="FO98" s="139">
        <f t="shared" si="81"/>
        <v>0</v>
      </c>
      <c r="FP98" s="139">
        <f t="shared" si="82"/>
        <v>0</v>
      </c>
      <c r="FQ98" s="139">
        <f t="shared" si="83"/>
        <v>0</v>
      </c>
      <c r="FR98" s="139">
        <f t="shared" si="84"/>
        <v>0</v>
      </c>
      <c r="FS98" s="139">
        <f t="shared" si="85"/>
        <v>0</v>
      </c>
      <c r="FT98" s="139">
        <f t="shared" si="86"/>
        <v>0</v>
      </c>
      <c r="FU98" s="148">
        <f t="shared" si="87"/>
        <v>0</v>
      </c>
      <c r="FV98" s="149"/>
      <c r="FY98" s="211">
        <v>93</v>
      </c>
      <c r="FZ98">
        <v>1.9008840718147417</v>
      </c>
      <c r="GA98">
        <v>2.7917821267008227</v>
      </c>
      <c r="GB98">
        <v>0.67950660582623668</v>
      </c>
      <c r="GC98">
        <v>0.85259555021237476</v>
      </c>
      <c r="GD98">
        <v>0.52761427561322671</v>
      </c>
      <c r="GE98">
        <v>0.11460862901025</v>
      </c>
      <c r="GF98">
        <v>0.37461671604370633</v>
      </c>
      <c r="GG98">
        <v>0.28954215414031298</v>
      </c>
      <c r="GH98">
        <v>2.2985735835423678E-2</v>
      </c>
      <c r="GI98">
        <v>0.81768630585923219</v>
      </c>
      <c r="GJ98"/>
      <c r="GK98">
        <v>1.8943443014705879</v>
      </c>
      <c r="GL98">
        <v>2.3513989889705877</v>
      </c>
      <c r="GM98">
        <v>1.1147890624999999</v>
      </c>
      <c r="GN98">
        <v>2.4975446428571426</v>
      </c>
      <c r="GO98">
        <v>2.0063102678571427</v>
      </c>
      <c r="GP98">
        <v>0.21534374999999997</v>
      </c>
      <c r="GQ98">
        <v>0.45162635869565215</v>
      </c>
      <c r="GR98">
        <v>0.40278260869565213</v>
      </c>
      <c r="GS98">
        <v>2.4293870192307693E-2</v>
      </c>
      <c r="GT98">
        <v>1.098272772143138</v>
      </c>
      <c r="GU98"/>
      <c r="GV98"/>
      <c r="GW98"/>
      <c r="GX98"/>
      <c r="GY98"/>
      <c r="GZ98"/>
      <c r="HA98"/>
      <c r="HB98"/>
      <c r="HC98"/>
    </row>
    <row r="99" spans="1:211" s="7" customFormat="1">
      <c r="A99" s="1"/>
      <c r="B99" s="76">
        <f t="shared" ca="1" si="50"/>
        <v>0.283966362840677</v>
      </c>
      <c r="C99">
        <v>6</v>
      </c>
      <c r="D99">
        <v>39673</v>
      </c>
      <c r="E99">
        <v>0</v>
      </c>
      <c r="F99">
        <v>0</v>
      </c>
      <c r="G99">
        <v>10.416666666666666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 s="2"/>
      <c r="AK99" s="80"/>
      <c r="AL99" s="74"/>
      <c r="AM99" s="43">
        <v>83</v>
      </c>
      <c r="AN99">
        <v>41.455384460547499</v>
      </c>
      <c r="AO99">
        <v>0.92048815307970988</v>
      </c>
      <c r="AP99">
        <v>0.59417868036732735</v>
      </c>
      <c r="AQ99">
        <v>5.9852406044233817</v>
      </c>
      <c r="AR99">
        <v>0.84042957098155469</v>
      </c>
      <c r="AS99">
        <v>3.4380675677701569</v>
      </c>
      <c r="AT99" t="e">
        <v>#DIV/0!</v>
      </c>
      <c r="AU99" t="e">
        <v>#DIV/0!</v>
      </c>
      <c r="AV99"/>
      <c r="AW99"/>
      <c r="AX99" s="146"/>
      <c r="AY99" s="76">
        <f t="shared" ca="1" si="88"/>
        <v>0.29048909000573619</v>
      </c>
      <c r="AZ99">
        <v>2</v>
      </c>
      <c r="BA99" s="129">
        <f t="shared" ref="BA99:BA107" si="127">IF(AZ99="", "",$C$5)</f>
        <v>39673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 s="147"/>
      <c r="CH99" s="176"/>
      <c r="CJ99" s="146"/>
      <c r="CK99" s="76">
        <f t="shared" ca="1" si="90"/>
        <v>9.6832455793019356E-2</v>
      </c>
      <c r="CL99" s="179">
        <f t="shared" si="91"/>
        <v>2</v>
      </c>
      <c r="CM99" s="180">
        <f t="shared" si="92"/>
        <v>39673</v>
      </c>
      <c r="CN99">
        <v>1</v>
      </c>
      <c r="CO99">
        <v>1</v>
      </c>
      <c r="CP99">
        <v>1</v>
      </c>
      <c r="CQ99">
        <v>0</v>
      </c>
      <c r="CR99">
        <v>0</v>
      </c>
      <c r="CS99">
        <v>0</v>
      </c>
      <c r="CT99">
        <v>0</v>
      </c>
      <c r="CU99">
        <v>0</v>
      </c>
      <c r="CW99">
        <v>1</v>
      </c>
      <c r="CX99">
        <v>6</v>
      </c>
      <c r="CY99" s="158"/>
      <c r="CZ99" s="177">
        <f t="shared" si="93"/>
        <v>9.6000000000000002E-2</v>
      </c>
      <c r="DB99" s="146"/>
      <c r="DC99" s="76">
        <f t="shared" ca="1" si="51"/>
        <v>0.93724341852009374</v>
      </c>
      <c r="DD99">
        <f t="shared" si="94"/>
        <v>2</v>
      </c>
      <c r="DE99" s="129">
        <f t="shared" si="126"/>
        <v>39673</v>
      </c>
      <c r="DF99" s="161">
        <f t="shared" si="95"/>
        <v>62.5</v>
      </c>
      <c r="DG99" s="161">
        <f t="shared" si="96"/>
        <v>62.5</v>
      </c>
      <c r="DH99" s="161">
        <f t="shared" si="97"/>
        <v>62.5</v>
      </c>
      <c r="DI99" s="161">
        <f t="shared" si="98"/>
        <v>0</v>
      </c>
      <c r="DJ99" s="161">
        <f t="shared" si="99"/>
        <v>0</v>
      </c>
      <c r="DK99" s="161">
        <f t="shared" si="100"/>
        <v>0</v>
      </c>
      <c r="DL99" s="161">
        <f t="shared" si="101"/>
        <v>0</v>
      </c>
      <c r="DM99" s="161">
        <f t="shared" si="102"/>
        <v>0</v>
      </c>
      <c r="DN99" s="161">
        <f t="shared" si="103"/>
        <v>0</v>
      </c>
      <c r="DO99" s="161">
        <f t="shared" si="104"/>
        <v>0</v>
      </c>
      <c r="DP99" s="161">
        <f t="shared" si="105"/>
        <v>0</v>
      </c>
      <c r="DQ99" s="161">
        <f t="shared" si="106"/>
        <v>0</v>
      </c>
      <c r="DR99" s="161">
        <f t="shared" si="107"/>
        <v>0</v>
      </c>
      <c r="DS99" s="161">
        <f t="shared" si="108"/>
        <v>0</v>
      </c>
      <c r="DT99" s="161">
        <f t="shared" si="109"/>
        <v>0</v>
      </c>
      <c r="DU99" s="161">
        <f t="shared" si="110"/>
        <v>0</v>
      </c>
      <c r="DV99" s="161">
        <f t="shared" si="111"/>
        <v>0</v>
      </c>
      <c r="DW99" s="161">
        <f t="shared" si="112"/>
        <v>0</v>
      </c>
      <c r="DX99" s="161">
        <f t="shared" si="113"/>
        <v>0</v>
      </c>
      <c r="DY99" s="161">
        <f t="shared" si="114"/>
        <v>0</v>
      </c>
      <c r="DZ99" s="161">
        <f t="shared" si="115"/>
        <v>0</v>
      </c>
      <c r="EA99" s="161">
        <f t="shared" si="116"/>
        <v>0</v>
      </c>
      <c r="EB99" s="161">
        <f t="shared" si="117"/>
        <v>0</v>
      </c>
      <c r="EC99" s="161">
        <f t="shared" si="118"/>
        <v>0</v>
      </c>
      <c r="ED99" s="161">
        <f t="shared" si="119"/>
        <v>0</v>
      </c>
      <c r="EE99" s="161">
        <f t="shared" si="120"/>
        <v>0</v>
      </c>
      <c r="EF99" s="161">
        <f t="shared" si="121"/>
        <v>0</v>
      </c>
      <c r="EG99" s="161">
        <f t="shared" si="122"/>
        <v>0</v>
      </c>
      <c r="EH99" s="161">
        <f t="shared" si="123"/>
        <v>0</v>
      </c>
      <c r="EI99" s="161">
        <f t="shared" si="124"/>
        <v>0</v>
      </c>
      <c r="EJ99" s="161">
        <f t="shared" si="125"/>
        <v>0</v>
      </c>
      <c r="EK99" s="147">
        <f t="shared" si="55"/>
        <v>187.5</v>
      </c>
      <c r="EL99" s="149"/>
      <c r="EN99" s="146"/>
      <c r="EO99" s="146"/>
      <c r="EP99" s="139">
        <f t="shared" si="56"/>
        <v>0.43312499999999998</v>
      </c>
      <c r="EQ99" s="139">
        <f t="shared" si="57"/>
        <v>1.0856250000000001</v>
      </c>
      <c r="ER99" s="139">
        <f t="shared" si="58"/>
        <v>2.390625</v>
      </c>
      <c r="ES99" s="139">
        <f t="shared" si="59"/>
        <v>0</v>
      </c>
      <c r="ET99" s="139">
        <f t="shared" si="60"/>
        <v>0</v>
      </c>
      <c r="EU99" s="139">
        <f t="shared" si="61"/>
        <v>0</v>
      </c>
      <c r="EV99" s="139">
        <f t="shared" si="62"/>
        <v>0</v>
      </c>
      <c r="EW99" s="139">
        <f t="shared" si="63"/>
        <v>0</v>
      </c>
      <c r="EX99" s="139">
        <f t="shared" si="64"/>
        <v>0</v>
      </c>
      <c r="EY99" s="139">
        <f t="shared" si="65"/>
        <v>0</v>
      </c>
      <c r="EZ99" s="139">
        <f t="shared" si="66"/>
        <v>0</v>
      </c>
      <c r="FA99" s="139">
        <f t="shared" si="67"/>
        <v>0</v>
      </c>
      <c r="FB99" s="139">
        <f t="shared" si="68"/>
        <v>0</v>
      </c>
      <c r="FC99" s="139">
        <f t="shared" si="69"/>
        <v>0</v>
      </c>
      <c r="FD99" s="139">
        <f t="shared" si="70"/>
        <v>0</v>
      </c>
      <c r="FE99" s="139">
        <f t="shared" si="71"/>
        <v>0</v>
      </c>
      <c r="FF99" s="139">
        <f t="shared" si="72"/>
        <v>0</v>
      </c>
      <c r="FG99" s="139">
        <f t="shared" si="73"/>
        <v>0</v>
      </c>
      <c r="FH99" s="139">
        <f t="shared" si="74"/>
        <v>0</v>
      </c>
      <c r="FI99" s="139">
        <f t="shared" si="75"/>
        <v>0</v>
      </c>
      <c r="FJ99" s="139">
        <f t="shared" si="76"/>
        <v>0</v>
      </c>
      <c r="FK99" s="139">
        <f t="shared" si="77"/>
        <v>0</v>
      </c>
      <c r="FL99" s="139">
        <f t="shared" si="78"/>
        <v>0</v>
      </c>
      <c r="FM99" s="139">
        <f t="shared" si="79"/>
        <v>0</v>
      </c>
      <c r="FN99" s="139">
        <f t="shared" si="80"/>
        <v>0</v>
      </c>
      <c r="FO99" s="139">
        <f t="shared" si="81"/>
        <v>0</v>
      </c>
      <c r="FP99" s="139">
        <f t="shared" si="82"/>
        <v>0</v>
      </c>
      <c r="FQ99" s="139">
        <f t="shared" si="83"/>
        <v>0</v>
      </c>
      <c r="FR99" s="139">
        <f t="shared" si="84"/>
        <v>0</v>
      </c>
      <c r="FS99" s="139">
        <f t="shared" si="85"/>
        <v>0</v>
      </c>
      <c r="FT99" s="139">
        <f t="shared" si="86"/>
        <v>0</v>
      </c>
      <c r="FU99" s="148">
        <f t="shared" si="87"/>
        <v>3.9093749999999998</v>
      </c>
      <c r="FV99" s="149"/>
      <c r="FY99" s="211">
        <v>94</v>
      </c>
      <c r="FZ99">
        <v>1.8264719885277154</v>
      </c>
      <c r="GA99">
        <v>2.3286209415596173</v>
      </c>
      <c r="GB99">
        <v>0.99274996371371471</v>
      </c>
      <c r="GC99">
        <v>0.67705279585474631</v>
      </c>
      <c r="GD99">
        <v>0.19837611710912245</v>
      </c>
      <c r="GE99">
        <v>6.1665802864649996E-2</v>
      </c>
      <c r="GF99">
        <v>0.40076205580648128</v>
      </c>
      <c r="GG99">
        <v>0.32783070573276563</v>
      </c>
      <c r="GH99">
        <v>6.6522953376906252E-2</v>
      </c>
      <c r="GI99">
        <v>0.70835404253716572</v>
      </c>
      <c r="GJ99"/>
      <c r="GK99">
        <v>1.8203286764705879</v>
      </c>
      <c r="GL99">
        <v>1.961422426470588</v>
      </c>
      <c r="GM99">
        <v>1.6295845170454544</v>
      </c>
      <c r="GN99">
        <v>1.9858626420454542</v>
      </c>
      <c r="GO99">
        <v>0.75452812499999977</v>
      </c>
      <c r="GP99">
        <v>0.11578125</v>
      </c>
      <c r="GQ99">
        <v>0.48393750000000002</v>
      </c>
      <c r="GR99">
        <v>0.45661458333333332</v>
      </c>
      <c r="GS99">
        <v>7.0364583333333328E-2</v>
      </c>
      <c r="GT99">
        <v>0.95174868036987514</v>
      </c>
      <c r="GU99"/>
      <c r="GV99"/>
      <c r="GW99"/>
      <c r="GX99"/>
      <c r="GY99"/>
      <c r="GZ99"/>
      <c r="HA99"/>
      <c r="HB99"/>
      <c r="HC99"/>
    </row>
    <row r="100" spans="1:211" s="7" customFormat="1">
      <c r="A100" s="1"/>
      <c r="B100" s="76">
        <f t="shared" ca="1" si="50"/>
        <v>0.72648504181017604</v>
      </c>
      <c r="C100">
        <v>3</v>
      </c>
      <c r="D100">
        <v>39673</v>
      </c>
      <c r="E100">
        <v>142.97385620915031</v>
      </c>
      <c r="F100">
        <v>71.486928104575156</v>
      </c>
      <c r="G100">
        <v>285.94771241830063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 s="2"/>
      <c r="AK100" s="80"/>
      <c r="AL100" s="74"/>
      <c r="AM100" s="43">
        <v>84</v>
      </c>
      <c r="AN100">
        <v>30.734464611978193</v>
      </c>
      <c r="AO100">
        <v>0.65658899646390734</v>
      </c>
      <c r="AP100">
        <v>0.40643259941302889</v>
      </c>
      <c r="AQ100">
        <v>4.655372472007036</v>
      </c>
      <c r="AR100">
        <v>0.62667126863851719</v>
      </c>
      <c r="AS100">
        <v>2.5930984871186338</v>
      </c>
      <c r="AT100">
        <v>0.50908687936557617</v>
      </c>
      <c r="AU100">
        <v>0.15782245842245424</v>
      </c>
      <c r="AV100"/>
      <c r="AW100"/>
      <c r="AX100" s="146"/>
      <c r="AY100" s="76">
        <f t="shared" ca="1" si="88"/>
        <v>0.26892931334317938</v>
      </c>
      <c r="AZ100">
        <v>3</v>
      </c>
      <c r="BA100" s="129">
        <f t="shared" si="127"/>
        <v>39673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 s="147"/>
      <c r="CH100" s="176"/>
      <c r="CJ100" s="146"/>
      <c r="CK100" s="76">
        <f t="shared" ca="1" si="90"/>
        <v>0.11253302483670602</v>
      </c>
      <c r="CL100" s="179">
        <f t="shared" si="91"/>
        <v>3</v>
      </c>
      <c r="CM100" s="180">
        <f t="shared" si="92"/>
        <v>39673</v>
      </c>
      <c r="CN100">
        <v>2</v>
      </c>
      <c r="CO100">
        <v>1</v>
      </c>
      <c r="CP100">
        <v>4</v>
      </c>
      <c r="CQ100">
        <v>0</v>
      </c>
      <c r="CR100">
        <v>0</v>
      </c>
      <c r="CS100">
        <v>0</v>
      </c>
      <c r="CT100">
        <v>0</v>
      </c>
      <c r="CU100">
        <v>0</v>
      </c>
      <c r="CW100">
        <v>1</v>
      </c>
      <c r="CX100">
        <f>350/51</f>
        <v>6.8627450980392153</v>
      </c>
      <c r="CY100" s="158"/>
      <c r="CZ100" s="177">
        <f t="shared" si="93"/>
        <v>9.6000000000000002E-2</v>
      </c>
      <c r="DB100" s="146"/>
      <c r="DC100" s="76">
        <f t="shared" ca="1" si="51"/>
        <v>0.91921683674936672</v>
      </c>
      <c r="DD100">
        <f t="shared" si="94"/>
        <v>3</v>
      </c>
      <c r="DE100" s="129">
        <f t="shared" si="126"/>
        <v>39673</v>
      </c>
      <c r="DF100" s="161">
        <f t="shared" si="95"/>
        <v>142.97385620915031</v>
      </c>
      <c r="DG100" s="161">
        <f t="shared" si="96"/>
        <v>71.486928104575156</v>
      </c>
      <c r="DH100" s="161">
        <f t="shared" si="97"/>
        <v>285.94771241830063</v>
      </c>
      <c r="DI100" s="161">
        <f t="shared" si="98"/>
        <v>0</v>
      </c>
      <c r="DJ100" s="161">
        <f t="shared" si="99"/>
        <v>0</v>
      </c>
      <c r="DK100" s="161">
        <f t="shared" si="100"/>
        <v>0</v>
      </c>
      <c r="DL100" s="161">
        <f t="shared" si="101"/>
        <v>0</v>
      </c>
      <c r="DM100" s="161">
        <f t="shared" si="102"/>
        <v>0</v>
      </c>
      <c r="DN100" s="161">
        <f t="shared" si="103"/>
        <v>0</v>
      </c>
      <c r="DO100" s="161">
        <f t="shared" si="104"/>
        <v>0</v>
      </c>
      <c r="DP100" s="161">
        <f t="shared" si="105"/>
        <v>0</v>
      </c>
      <c r="DQ100" s="161">
        <f t="shared" si="106"/>
        <v>0</v>
      </c>
      <c r="DR100" s="161">
        <f t="shared" si="107"/>
        <v>0</v>
      </c>
      <c r="DS100" s="161">
        <f t="shared" si="108"/>
        <v>0</v>
      </c>
      <c r="DT100" s="161">
        <f t="shared" si="109"/>
        <v>0</v>
      </c>
      <c r="DU100" s="161">
        <f t="shared" si="110"/>
        <v>0</v>
      </c>
      <c r="DV100" s="161">
        <f t="shared" si="111"/>
        <v>0</v>
      </c>
      <c r="DW100" s="161">
        <f t="shared" si="112"/>
        <v>0</v>
      </c>
      <c r="DX100" s="161">
        <f t="shared" si="113"/>
        <v>0</v>
      </c>
      <c r="DY100" s="161">
        <f t="shared" si="114"/>
        <v>0</v>
      </c>
      <c r="DZ100" s="161">
        <f t="shared" si="115"/>
        <v>0</v>
      </c>
      <c r="EA100" s="161">
        <f t="shared" si="116"/>
        <v>0</v>
      </c>
      <c r="EB100" s="161">
        <f t="shared" si="117"/>
        <v>0</v>
      </c>
      <c r="EC100" s="161">
        <f t="shared" si="118"/>
        <v>0</v>
      </c>
      <c r="ED100" s="161">
        <f t="shared" si="119"/>
        <v>0</v>
      </c>
      <c r="EE100" s="161">
        <f t="shared" si="120"/>
        <v>0</v>
      </c>
      <c r="EF100" s="161">
        <f t="shared" si="121"/>
        <v>0</v>
      </c>
      <c r="EG100" s="161">
        <f t="shared" si="122"/>
        <v>0</v>
      </c>
      <c r="EH100" s="161">
        <f t="shared" si="123"/>
        <v>0</v>
      </c>
      <c r="EI100" s="161">
        <f t="shared" si="124"/>
        <v>0</v>
      </c>
      <c r="EJ100" s="161">
        <f t="shared" si="125"/>
        <v>0</v>
      </c>
      <c r="EK100" s="147">
        <f t="shared" si="55"/>
        <v>500.40849673202609</v>
      </c>
      <c r="EL100" s="149"/>
      <c r="EN100" s="146"/>
      <c r="EO100" s="146"/>
      <c r="EP100" s="139">
        <f t="shared" si="56"/>
        <v>0.99080882352941158</v>
      </c>
      <c r="EQ100" s="139">
        <f t="shared" si="57"/>
        <v>1.2417279411764706</v>
      </c>
      <c r="ER100" s="139">
        <f t="shared" si="58"/>
        <v>10.937499999999998</v>
      </c>
      <c r="ES100" s="139">
        <f t="shared" si="59"/>
        <v>0</v>
      </c>
      <c r="ET100" s="139">
        <f t="shared" si="60"/>
        <v>0</v>
      </c>
      <c r="EU100" s="139">
        <f t="shared" si="61"/>
        <v>0</v>
      </c>
      <c r="EV100" s="139">
        <f t="shared" si="62"/>
        <v>0</v>
      </c>
      <c r="EW100" s="139">
        <f t="shared" si="63"/>
        <v>0</v>
      </c>
      <c r="EX100" s="139">
        <f t="shared" si="64"/>
        <v>0</v>
      </c>
      <c r="EY100" s="139">
        <f t="shared" si="65"/>
        <v>0</v>
      </c>
      <c r="EZ100" s="139">
        <f t="shared" si="66"/>
        <v>0</v>
      </c>
      <c r="FA100" s="139">
        <f t="shared" si="67"/>
        <v>0</v>
      </c>
      <c r="FB100" s="139">
        <f t="shared" si="68"/>
        <v>0</v>
      </c>
      <c r="FC100" s="139">
        <f t="shared" si="69"/>
        <v>0</v>
      </c>
      <c r="FD100" s="139">
        <f t="shared" si="70"/>
        <v>0</v>
      </c>
      <c r="FE100" s="139">
        <f t="shared" si="71"/>
        <v>0</v>
      </c>
      <c r="FF100" s="139">
        <f t="shared" si="72"/>
        <v>0</v>
      </c>
      <c r="FG100" s="139">
        <f t="shared" si="73"/>
        <v>0</v>
      </c>
      <c r="FH100" s="139">
        <f t="shared" si="74"/>
        <v>0</v>
      </c>
      <c r="FI100" s="139">
        <f t="shared" si="75"/>
        <v>0</v>
      </c>
      <c r="FJ100" s="139">
        <f t="shared" si="76"/>
        <v>0</v>
      </c>
      <c r="FK100" s="139">
        <f t="shared" si="77"/>
        <v>0</v>
      </c>
      <c r="FL100" s="139">
        <f t="shared" si="78"/>
        <v>0</v>
      </c>
      <c r="FM100" s="139">
        <f t="shared" si="79"/>
        <v>0</v>
      </c>
      <c r="FN100" s="139">
        <f t="shared" si="80"/>
        <v>0</v>
      </c>
      <c r="FO100" s="139">
        <f t="shared" si="81"/>
        <v>0</v>
      </c>
      <c r="FP100" s="139">
        <f t="shared" si="82"/>
        <v>0</v>
      </c>
      <c r="FQ100" s="139">
        <f t="shared" si="83"/>
        <v>0</v>
      </c>
      <c r="FR100" s="139">
        <f t="shared" si="84"/>
        <v>0</v>
      </c>
      <c r="FS100" s="139">
        <f t="shared" si="85"/>
        <v>0</v>
      </c>
      <c r="FT100" s="139">
        <f t="shared" si="86"/>
        <v>0</v>
      </c>
      <c r="FU100" s="148">
        <f t="shared" si="87"/>
        <v>13.17003676470588</v>
      </c>
      <c r="FV100" s="149"/>
      <c r="FY100" s="211">
        <v>95</v>
      </c>
      <c r="FZ100">
        <v>1.3856239524490344</v>
      </c>
      <c r="GA100">
        <v>1.5384152459959601</v>
      </c>
      <c r="GB100">
        <v>0.62734926424708826</v>
      </c>
      <c r="GC100">
        <v>0.52335536486692824</v>
      </c>
      <c r="GD100">
        <v>0.2059627033081125</v>
      </c>
      <c r="GE100">
        <v>4.5232633126125001E-2</v>
      </c>
      <c r="GF100">
        <v>0.98791909824818158</v>
      </c>
      <c r="GG100">
        <v>0.856333105575251</v>
      </c>
      <c r="GH100">
        <v>2.2985735835423678E-2</v>
      </c>
      <c r="GI100">
        <v>0.65659202623175472</v>
      </c>
      <c r="GJ100"/>
      <c r="GK100">
        <v>1.380742463235294</v>
      </c>
      <c r="GL100">
        <v>1.2955705882352939</v>
      </c>
      <c r="GM100">
        <v>1.0295546874999999</v>
      </c>
      <c r="GN100">
        <v>1.5342578124999999</v>
      </c>
      <c r="GO100">
        <v>0.78351562499999994</v>
      </c>
      <c r="GP100">
        <v>8.5078125000000004E-2</v>
      </c>
      <c r="GQ100">
        <v>1.1918152173913041</v>
      </c>
      <c r="GR100">
        <v>1.1918152173913041</v>
      </c>
      <c r="GS100">
        <v>2.4293870192307693E-2</v>
      </c>
      <c r="GT100">
        <v>0.88198437266378105</v>
      </c>
      <c r="GU100"/>
      <c r="GV100"/>
      <c r="GW100"/>
      <c r="GX100"/>
      <c r="GY100"/>
      <c r="GZ100"/>
      <c r="HA100"/>
      <c r="HB100"/>
      <c r="HC100"/>
    </row>
    <row r="101" spans="1:211" s="7" customFormat="1">
      <c r="A101" s="1"/>
      <c r="B101" s="76">
        <f t="shared" ca="1" si="50"/>
        <v>0.22307730382220825</v>
      </c>
      <c r="C101">
        <v>4</v>
      </c>
      <c r="D101">
        <v>39673</v>
      </c>
      <c r="E101">
        <v>0</v>
      </c>
      <c r="F101">
        <v>147.91666666666666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 s="2"/>
      <c r="AK101" s="80"/>
      <c r="AL101" s="74"/>
      <c r="AM101" s="43">
        <v>85</v>
      </c>
      <c r="AN101">
        <v>37.905863349613341</v>
      </c>
      <c r="AO101">
        <v>0.80970306753663002</v>
      </c>
      <c r="AP101">
        <v>2.5117461633206064</v>
      </c>
      <c r="AQ101">
        <v>4.8078349113327432</v>
      </c>
      <c r="AR101">
        <v>0.76948803779553776</v>
      </c>
      <c r="AS101">
        <v>3.0775299371256155</v>
      </c>
      <c r="AT101" t="e">
        <v>#DIV/0!</v>
      </c>
      <c r="AU101" t="e">
        <v>#DIV/0!</v>
      </c>
      <c r="AV101"/>
      <c r="AW101"/>
      <c r="AX101" s="146"/>
      <c r="AY101" s="76">
        <f t="shared" ca="1" si="88"/>
        <v>9.9240454411013701E-3</v>
      </c>
      <c r="AZ101">
        <v>4</v>
      </c>
      <c r="BA101" s="129">
        <f t="shared" si="127"/>
        <v>39673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 s="147"/>
      <c r="CH101" s="176"/>
      <c r="CJ101" s="146"/>
      <c r="CK101" s="76">
        <f t="shared" ca="1" si="90"/>
        <v>0.37650753331602904</v>
      </c>
      <c r="CL101" s="179">
        <f t="shared" si="91"/>
        <v>4</v>
      </c>
      <c r="CM101" s="180">
        <f t="shared" si="92"/>
        <v>39673</v>
      </c>
      <c r="CN101">
        <v>0</v>
      </c>
      <c r="CO101">
        <v>2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W101">
        <v>1</v>
      </c>
      <c r="CX101">
        <f>355/50</f>
        <v>7.1</v>
      </c>
      <c r="CY101" s="158"/>
      <c r="CZ101" s="177">
        <f t="shared" si="93"/>
        <v>9.6000000000000002E-2</v>
      </c>
      <c r="DB101" s="146"/>
      <c r="DC101" s="76">
        <f t="shared" ca="1" si="51"/>
        <v>0.63521875415120732</v>
      </c>
      <c r="DD101">
        <f t="shared" si="94"/>
        <v>4</v>
      </c>
      <c r="DE101" s="129">
        <f t="shared" si="126"/>
        <v>39673</v>
      </c>
      <c r="DF101" s="161">
        <f t="shared" si="95"/>
        <v>0</v>
      </c>
      <c r="DG101" s="161">
        <f t="shared" si="96"/>
        <v>147.91666666666666</v>
      </c>
      <c r="DH101" s="161">
        <f t="shared" si="97"/>
        <v>0</v>
      </c>
      <c r="DI101" s="161">
        <f t="shared" si="98"/>
        <v>0</v>
      </c>
      <c r="DJ101" s="161">
        <f t="shared" si="99"/>
        <v>0</v>
      </c>
      <c r="DK101" s="161">
        <f t="shared" si="100"/>
        <v>0</v>
      </c>
      <c r="DL101" s="161">
        <f t="shared" si="101"/>
        <v>0</v>
      </c>
      <c r="DM101" s="161">
        <f t="shared" si="102"/>
        <v>0</v>
      </c>
      <c r="DN101" s="161">
        <f t="shared" si="103"/>
        <v>0</v>
      </c>
      <c r="DO101" s="161">
        <f t="shared" si="104"/>
        <v>0</v>
      </c>
      <c r="DP101" s="161">
        <f t="shared" si="105"/>
        <v>0</v>
      </c>
      <c r="DQ101" s="161">
        <f t="shared" si="106"/>
        <v>0</v>
      </c>
      <c r="DR101" s="161">
        <f t="shared" si="107"/>
        <v>0</v>
      </c>
      <c r="DS101" s="161">
        <f t="shared" si="108"/>
        <v>0</v>
      </c>
      <c r="DT101" s="161">
        <f t="shared" si="109"/>
        <v>0</v>
      </c>
      <c r="DU101" s="161">
        <f t="shared" si="110"/>
        <v>0</v>
      </c>
      <c r="DV101" s="161">
        <f t="shared" si="111"/>
        <v>0</v>
      </c>
      <c r="DW101" s="161">
        <f t="shared" si="112"/>
        <v>0</v>
      </c>
      <c r="DX101" s="161">
        <f t="shared" si="113"/>
        <v>0</v>
      </c>
      <c r="DY101" s="161">
        <f t="shared" si="114"/>
        <v>0</v>
      </c>
      <c r="DZ101" s="161">
        <f t="shared" si="115"/>
        <v>0</v>
      </c>
      <c r="EA101" s="161">
        <f t="shared" si="116"/>
        <v>0</v>
      </c>
      <c r="EB101" s="161">
        <f t="shared" si="117"/>
        <v>0</v>
      </c>
      <c r="EC101" s="161">
        <f t="shared" si="118"/>
        <v>0</v>
      </c>
      <c r="ED101" s="161">
        <f t="shared" si="119"/>
        <v>0</v>
      </c>
      <c r="EE101" s="161">
        <f t="shared" si="120"/>
        <v>0</v>
      </c>
      <c r="EF101" s="161">
        <f t="shared" si="121"/>
        <v>0</v>
      </c>
      <c r="EG101" s="161">
        <f t="shared" si="122"/>
        <v>0</v>
      </c>
      <c r="EH101" s="161">
        <f t="shared" si="123"/>
        <v>0</v>
      </c>
      <c r="EI101" s="161">
        <f t="shared" si="124"/>
        <v>0</v>
      </c>
      <c r="EJ101" s="161">
        <f t="shared" si="125"/>
        <v>0</v>
      </c>
      <c r="EK101" s="147">
        <f t="shared" si="55"/>
        <v>147.91666666666666</v>
      </c>
      <c r="EL101" s="149"/>
      <c r="EN101" s="146"/>
      <c r="EO101" s="146"/>
      <c r="EP101" s="139">
        <f t="shared" si="56"/>
        <v>0</v>
      </c>
      <c r="EQ101" s="139">
        <f t="shared" si="57"/>
        <v>2.5693124999999997</v>
      </c>
      <c r="ER101" s="139">
        <f t="shared" si="58"/>
        <v>0</v>
      </c>
      <c r="ES101" s="139">
        <f t="shared" si="59"/>
        <v>0</v>
      </c>
      <c r="ET101" s="139">
        <f t="shared" si="60"/>
        <v>0</v>
      </c>
      <c r="EU101" s="139">
        <f t="shared" si="61"/>
        <v>0</v>
      </c>
      <c r="EV101" s="139">
        <f t="shared" si="62"/>
        <v>0</v>
      </c>
      <c r="EW101" s="139">
        <f t="shared" si="63"/>
        <v>0</v>
      </c>
      <c r="EX101" s="139">
        <f t="shared" si="64"/>
        <v>0</v>
      </c>
      <c r="EY101" s="139">
        <f t="shared" si="65"/>
        <v>0</v>
      </c>
      <c r="EZ101" s="139">
        <f t="shared" si="66"/>
        <v>0</v>
      </c>
      <c r="FA101" s="139">
        <f t="shared" si="67"/>
        <v>0</v>
      </c>
      <c r="FB101" s="139">
        <f t="shared" si="68"/>
        <v>0</v>
      </c>
      <c r="FC101" s="139">
        <f t="shared" si="69"/>
        <v>0</v>
      </c>
      <c r="FD101" s="139">
        <f t="shared" si="70"/>
        <v>0</v>
      </c>
      <c r="FE101" s="139">
        <f t="shared" si="71"/>
        <v>0</v>
      </c>
      <c r="FF101" s="139">
        <f t="shared" si="72"/>
        <v>0</v>
      </c>
      <c r="FG101" s="139">
        <f t="shared" si="73"/>
        <v>0</v>
      </c>
      <c r="FH101" s="139">
        <f t="shared" si="74"/>
        <v>0</v>
      </c>
      <c r="FI101" s="139">
        <f t="shared" si="75"/>
        <v>0</v>
      </c>
      <c r="FJ101" s="139">
        <f t="shared" si="76"/>
        <v>0</v>
      </c>
      <c r="FK101" s="139">
        <f t="shared" si="77"/>
        <v>0</v>
      </c>
      <c r="FL101" s="139">
        <f t="shared" si="78"/>
        <v>0</v>
      </c>
      <c r="FM101" s="139">
        <f t="shared" si="79"/>
        <v>0</v>
      </c>
      <c r="FN101" s="139">
        <f t="shared" si="80"/>
        <v>0</v>
      </c>
      <c r="FO101" s="139">
        <f t="shared" si="81"/>
        <v>0</v>
      </c>
      <c r="FP101" s="139">
        <f t="shared" si="82"/>
        <v>0</v>
      </c>
      <c r="FQ101" s="139">
        <f t="shared" si="83"/>
        <v>0</v>
      </c>
      <c r="FR101" s="139">
        <f t="shared" si="84"/>
        <v>0</v>
      </c>
      <c r="FS101" s="139">
        <f t="shared" si="85"/>
        <v>0</v>
      </c>
      <c r="FT101" s="139">
        <f t="shared" si="86"/>
        <v>0</v>
      </c>
      <c r="FU101" s="148">
        <f t="shared" si="87"/>
        <v>2.5693124999999997</v>
      </c>
      <c r="FV101" s="149"/>
      <c r="FY101" s="211">
        <v>96</v>
      </c>
      <c r="FZ101">
        <v>0.71755578489529404</v>
      </c>
      <c r="GA101">
        <v>0.9076274305055011</v>
      </c>
      <c r="GB101">
        <v>1.2623098152096808</v>
      </c>
      <c r="GC101">
        <v>0.74814457196199335</v>
      </c>
      <c r="GD101">
        <v>0.11826422834300356</v>
      </c>
      <c r="GE101">
        <v>0.130933941297525</v>
      </c>
      <c r="GF101">
        <v>0.5344786465355188</v>
      </c>
      <c r="GG101">
        <v>0.47874846122576609</v>
      </c>
      <c r="GH101">
        <v>8.9508689212329934E-2</v>
      </c>
      <c r="GI101">
        <v>0.59201785463254386</v>
      </c>
      <c r="GJ101"/>
      <c r="GK101">
        <v>0.71496562499999983</v>
      </c>
      <c r="GL101">
        <v>0.76419609374999986</v>
      </c>
      <c r="GM101">
        <v>2.0727354403409088</v>
      </c>
      <c r="GN101">
        <v>2.1966411323051949</v>
      </c>
      <c r="GO101">
        <v>0.45012053571428567</v>
      </c>
      <c r="GP101">
        <v>0.246140625</v>
      </c>
      <c r="GQ101">
        <v>0.64475135869565214</v>
      </c>
      <c r="GR101">
        <v>0.66627219202898535</v>
      </c>
      <c r="GS101">
        <v>9.465845352564102E-2</v>
      </c>
      <c r="GT101">
        <v>0.79544628265529749</v>
      </c>
      <c r="GU101"/>
      <c r="GV101"/>
      <c r="GW101"/>
      <c r="GX101"/>
      <c r="GY101"/>
      <c r="GZ101"/>
      <c r="HA101"/>
      <c r="HB101"/>
      <c r="HC101"/>
    </row>
    <row r="102" spans="1:211" s="7" customFormat="1">
      <c r="A102" s="1"/>
      <c r="B102" s="76">
        <f t="shared" ca="1" si="50"/>
        <v>0.76439481507415463</v>
      </c>
      <c r="C102">
        <v>5</v>
      </c>
      <c r="D102">
        <v>39673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 s="2"/>
      <c r="AK102" s="80"/>
      <c r="AL102" s="74"/>
      <c r="AM102" s="43">
        <v>86</v>
      </c>
      <c r="AN102">
        <v>45.064116527092075</v>
      </c>
      <c r="AO102">
        <v>1.0831200502294354</v>
      </c>
      <c r="AP102">
        <v>1.7984009503962815</v>
      </c>
      <c r="AQ102">
        <v>6.9204904727231522</v>
      </c>
      <c r="AR102">
        <v>1.0035602947889974</v>
      </c>
      <c r="AS102">
        <v>3.6460024254405052</v>
      </c>
      <c r="AT102" t="e">
        <v>#DIV/0!</v>
      </c>
      <c r="AU102" t="e">
        <v>#DIV/0!</v>
      </c>
      <c r="AV102"/>
      <c r="AW102"/>
      <c r="AX102" s="146"/>
      <c r="AY102" s="76">
        <f t="shared" ca="1" si="88"/>
        <v>0.35345558177694314</v>
      </c>
      <c r="AZ102">
        <v>5</v>
      </c>
      <c r="BA102" s="129">
        <f t="shared" si="127"/>
        <v>39673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 s="147"/>
      <c r="CH102" s="176"/>
      <c r="CJ102" s="146"/>
      <c r="CK102" s="76">
        <f t="shared" ca="1" si="90"/>
        <v>0.68608936879873017</v>
      </c>
      <c r="CL102" s="179">
        <f t="shared" si="91"/>
        <v>5</v>
      </c>
      <c r="CM102" s="180">
        <f t="shared" si="92"/>
        <v>39673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W102">
        <v>1</v>
      </c>
      <c r="CX102">
        <v>1</v>
      </c>
      <c r="CY102" s="164"/>
      <c r="CZ102" s="177">
        <f t="shared" si="93"/>
        <v>9.6000000000000002E-2</v>
      </c>
      <c r="DB102" s="146"/>
      <c r="DC102" s="76">
        <f t="shared" ca="1" si="51"/>
        <v>0.54530124622366327</v>
      </c>
      <c r="DD102">
        <f t="shared" si="94"/>
        <v>5</v>
      </c>
      <c r="DE102" s="129">
        <f t="shared" si="126"/>
        <v>39673</v>
      </c>
      <c r="DF102" s="161">
        <f t="shared" si="95"/>
        <v>0</v>
      </c>
      <c r="DG102" s="161">
        <f t="shared" si="96"/>
        <v>0</v>
      </c>
      <c r="DH102" s="161">
        <f t="shared" si="97"/>
        <v>0</v>
      </c>
      <c r="DI102" s="161">
        <f t="shared" si="98"/>
        <v>0</v>
      </c>
      <c r="DJ102" s="161">
        <f t="shared" si="99"/>
        <v>0</v>
      </c>
      <c r="DK102" s="161">
        <f t="shared" si="100"/>
        <v>0</v>
      </c>
      <c r="DL102" s="161">
        <f t="shared" si="101"/>
        <v>0</v>
      </c>
      <c r="DM102" s="161">
        <f t="shared" si="102"/>
        <v>0</v>
      </c>
      <c r="DN102" s="161">
        <f t="shared" si="103"/>
        <v>0</v>
      </c>
      <c r="DO102" s="161">
        <f t="shared" si="104"/>
        <v>0</v>
      </c>
      <c r="DP102" s="161">
        <f t="shared" si="105"/>
        <v>0</v>
      </c>
      <c r="DQ102" s="161">
        <f t="shared" si="106"/>
        <v>0</v>
      </c>
      <c r="DR102" s="161">
        <f t="shared" si="107"/>
        <v>0</v>
      </c>
      <c r="DS102" s="161">
        <f t="shared" si="108"/>
        <v>0</v>
      </c>
      <c r="DT102" s="161">
        <f t="shared" si="109"/>
        <v>0</v>
      </c>
      <c r="DU102" s="161">
        <f t="shared" si="110"/>
        <v>0</v>
      </c>
      <c r="DV102" s="161">
        <f t="shared" si="111"/>
        <v>0</v>
      </c>
      <c r="DW102" s="161">
        <f t="shared" si="112"/>
        <v>0</v>
      </c>
      <c r="DX102" s="161">
        <f t="shared" si="113"/>
        <v>0</v>
      </c>
      <c r="DY102" s="161">
        <f t="shared" si="114"/>
        <v>0</v>
      </c>
      <c r="DZ102" s="161">
        <f t="shared" si="115"/>
        <v>0</v>
      </c>
      <c r="EA102" s="161">
        <f t="shared" si="116"/>
        <v>0</v>
      </c>
      <c r="EB102" s="161">
        <f t="shared" si="117"/>
        <v>0</v>
      </c>
      <c r="EC102" s="161">
        <f t="shared" si="118"/>
        <v>0</v>
      </c>
      <c r="ED102" s="161">
        <f t="shared" si="119"/>
        <v>0</v>
      </c>
      <c r="EE102" s="161">
        <f t="shared" si="120"/>
        <v>0</v>
      </c>
      <c r="EF102" s="161">
        <f t="shared" si="121"/>
        <v>0</v>
      </c>
      <c r="EG102" s="161">
        <f t="shared" si="122"/>
        <v>0</v>
      </c>
      <c r="EH102" s="161">
        <f t="shared" si="123"/>
        <v>0</v>
      </c>
      <c r="EI102" s="161">
        <f t="shared" si="124"/>
        <v>0</v>
      </c>
      <c r="EJ102" s="161">
        <f t="shared" si="125"/>
        <v>0</v>
      </c>
      <c r="EK102" s="147">
        <f t="shared" si="55"/>
        <v>0</v>
      </c>
      <c r="EL102" s="149"/>
      <c r="EN102" s="146"/>
      <c r="EO102" s="146"/>
      <c r="EP102" s="139">
        <f t="shared" si="56"/>
        <v>0</v>
      </c>
      <c r="EQ102" s="139">
        <f t="shared" si="57"/>
        <v>0</v>
      </c>
      <c r="ER102" s="139">
        <f t="shared" si="58"/>
        <v>0</v>
      </c>
      <c r="ES102" s="139">
        <f t="shared" si="59"/>
        <v>0</v>
      </c>
      <c r="ET102" s="139">
        <f t="shared" si="60"/>
        <v>0</v>
      </c>
      <c r="EU102" s="139">
        <f t="shared" si="61"/>
        <v>0</v>
      </c>
      <c r="EV102" s="139">
        <f t="shared" si="62"/>
        <v>0</v>
      </c>
      <c r="EW102" s="139">
        <f t="shared" si="63"/>
        <v>0</v>
      </c>
      <c r="EX102" s="139">
        <f t="shared" si="64"/>
        <v>0</v>
      </c>
      <c r="EY102" s="139">
        <f t="shared" si="65"/>
        <v>0</v>
      </c>
      <c r="EZ102" s="139">
        <f t="shared" si="66"/>
        <v>0</v>
      </c>
      <c r="FA102" s="139">
        <f t="shared" si="67"/>
        <v>0</v>
      </c>
      <c r="FB102" s="139">
        <f t="shared" si="68"/>
        <v>0</v>
      </c>
      <c r="FC102" s="139">
        <f t="shared" si="69"/>
        <v>0</v>
      </c>
      <c r="FD102" s="139">
        <f t="shared" si="70"/>
        <v>0</v>
      </c>
      <c r="FE102" s="139">
        <f t="shared" si="71"/>
        <v>0</v>
      </c>
      <c r="FF102" s="139">
        <f t="shared" si="72"/>
        <v>0</v>
      </c>
      <c r="FG102" s="139">
        <f t="shared" si="73"/>
        <v>0</v>
      </c>
      <c r="FH102" s="139">
        <f t="shared" si="74"/>
        <v>0</v>
      </c>
      <c r="FI102" s="139">
        <f t="shared" si="75"/>
        <v>0</v>
      </c>
      <c r="FJ102" s="139">
        <f t="shared" si="76"/>
        <v>0</v>
      </c>
      <c r="FK102" s="139">
        <f t="shared" si="77"/>
        <v>0</v>
      </c>
      <c r="FL102" s="139">
        <f t="shared" si="78"/>
        <v>0</v>
      </c>
      <c r="FM102" s="139">
        <f t="shared" si="79"/>
        <v>0</v>
      </c>
      <c r="FN102" s="139">
        <f t="shared" si="80"/>
        <v>0</v>
      </c>
      <c r="FO102" s="139">
        <f t="shared" si="81"/>
        <v>0</v>
      </c>
      <c r="FP102" s="139">
        <f t="shared" si="82"/>
        <v>0</v>
      </c>
      <c r="FQ102" s="139">
        <f t="shared" si="83"/>
        <v>0</v>
      </c>
      <c r="FR102" s="139">
        <f t="shared" si="84"/>
        <v>0</v>
      </c>
      <c r="FS102" s="139">
        <f t="shared" si="85"/>
        <v>0</v>
      </c>
      <c r="FT102" s="139">
        <f t="shared" si="86"/>
        <v>0</v>
      </c>
      <c r="FU102" s="148">
        <f t="shared" si="87"/>
        <v>0</v>
      </c>
      <c r="FV102" s="149"/>
      <c r="FY102" s="211">
        <v>97</v>
      </c>
      <c r="FZ102">
        <v>1.1839004027513103</v>
      </c>
      <c r="GA102">
        <v>1.9811300112720553</v>
      </c>
      <c r="GB102">
        <v>1.0233349903065514</v>
      </c>
      <c r="GC102">
        <v>0.97916006284286694</v>
      </c>
      <c r="GD102">
        <v>0.4976858180335017</v>
      </c>
      <c r="GE102">
        <v>0.1020805491843</v>
      </c>
      <c r="GF102">
        <v>0.41513581345513451</v>
      </c>
      <c r="GG102">
        <v>0.39070597101659427</v>
      </c>
      <c r="GH102">
        <v>0.15603164258923619</v>
      </c>
      <c r="GI102">
        <v>0.80662031118550503</v>
      </c>
      <c r="GJ102"/>
      <c r="GK102">
        <v>1.1798268382352939</v>
      </c>
      <c r="GL102">
        <v>1.6685455882352942</v>
      </c>
      <c r="GM102">
        <v>1.6795923295454545</v>
      </c>
      <c r="GN102">
        <v>2.8694338474025969</v>
      </c>
      <c r="GO102">
        <v>1.8922165178571426</v>
      </c>
      <c r="GP102">
        <v>0.1918125</v>
      </c>
      <c r="GQ102">
        <v>0.50047010869565223</v>
      </c>
      <c r="GR102">
        <v>0.54351177536231876</v>
      </c>
      <c r="GS102">
        <v>0.16502303685897435</v>
      </c>
      <c r="GT102">
        <v>1.0834257662385034</v>
      </c>
      <c r="GU102"/>
      <c r="GV102"/>
      <c r="GW102"/>
      <c r="GX102"/>
      <c r="GY102"/>
      <c r="GZ102"/>
      <c r="HA102"/>
      <c r="HB102"/>
      <c r="HC102"/>
    </row>
    <row r="103" spans="1:211" s="7" customFormat="1">
      <c r="A103" s="1"/>
      <c r="B103" s="76">
        <f t="shared" ca="1" si="50"/>
        <v>0.50363629919888719</v>
      </c>
      <c r="C103">
        <v>1</v>
      </c>
      <c r="D103">
        <v>39673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 s="2"/>
      <c r="AK103" s="80"/>
      <c r="AL103" s="74"/>
      <c r="AM103" s="43">
        <v>87</v>
      </c>
      <c r="AN103">
        <v>38.772088572747933</v>
      </c>
      <c r="AO103">
        <v>0.85897415644980823</v>
      </c>
      <c r="AP103">
        <v>0.94778777944552328</v>
      </c>
      <c r="AQ103">
        <v>5.8709373981596009</v>
      </c>
      <c r="AR103">
        <v>0.79175207404528003</v>
      </c>
      <c r="AS103">
        <v>3.1382894237300221</v>
      </c>
      <c r="AT103" t="e">
        <v>#DIV/0!</v>
      </c>
      <c r="AU103" t="e">
        <v>#DIV/0!</v>
      </c>
      <c r="AV103"/>
      <c r="AW103"/>
      <c r="AX103" s="146"/>
      <c r="AY103" s="76">
        <f ca="1">IF(AZ103="", "", RAND())</f>
        <v>0.43105663844426267</v>
      </c>
      <c r="AZ103">
        <v>6</v>
      </c>
      <c r="BA103" s="129">
        <f t="shared" si="127"/>
        <v>39673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 s="147"/>
      <c r="CH103" s="176"/>
      <c r="CJ103" s="146"/>
      <c r="CK103" s="76">
        <f t="shared" ca="1" si="90"/>
        <v>0.50170266198613866</v>
      </c>
      <c r="CL103" s="179">
        <f t="shared" si="91"/>
        <v>6</v>
      </c>
      <c r="CM103" s="180">
        <f t="shared" si="92"/>
        <v>39673</v>
      </c>
      <c r="CN103">
        <v>0</v>
      </c>
      <c r="CO103">
        <v>0</v>
      </c>
      <c r="CP103">
        <v>1</v>
      </c>
      <c r="CQ103">
        <v>0</v>
      </c>
      <c r="CR103">
        <v>0</v>
      </c>
      <c r="CS103">
        <v>0</v>
      </c>
      <c r="CT103">
        <v>0</v>
      </c>
      <c r="CU103">
        <v>0</v>
      </c>
      <c r="CV103" s="160"/>
      <c r="CW103">
        <v>1</v>
      </c>
      <c r="CX103">
        <v>1</v>
      </c>
      <c r="CY103" s="164"/>
      <c r="CZ103" s="177">
        <f t="shared" si="93"/>
        <v>9.6000000000000002E-2</v>
      </c>
      <c r="DB103" s="146"/>
      <c r="DC103" s="76">
        <f t="shared" ca="1" si="51"/>
        <v>0.65992899874714106</v>
      </c>
      <c r="DD103">
        <f>IF(AZ103="", "", AZ103)</f>
        <v>6</v>
      </c>
      <c r="DE103" s="129">
        <f t="shared" si="126"/>
        <v>39673</v>
      </c>
      <c r="DF103" s="161">
        <f t="shared" si="95"/>
        <v>0</v>
      </c>
      <c r="DG103" s="161">
        <f t="shared" si="96"/>
        <v>0</v>
      </c>
      <c r="DH103" s="161">
        <f t="shared" si="97"/>
        <v>10.416666666666666</v>
      </c>
      <c r="DI103" s="161">
        <f t="shared" si="98"/>
        <v>0</v>
      </c>
      <c r="DJ103" s="161">
        <f t="shared" si="99"/>
        <v>0</v>
      </c>
      <c r="DK103" s="161">
        <f t="shared" si="100"/>
        <v>0</v>
      </c>
      <c r="DL103" s="161">
        <f t="shared" si="101"/>
        <v>0</v>
      </c>
      <c r="DM103" s="161">
        <f t="shared" si="102"/>
        <v>0</v>
      </c>
      <c r="DN103" s="161">
        <f t="shared" si="103"/>
        <v>0</v>
      </c>
      <c r="DO103" s="161">
        <f t="shared" si="104"/>
        <v>0</v>
      </c>
      <c r="DP103" s="161">
        <f t="shared" si="105"/>
        <v>0</v>
      </c>
      <c r="DQ103" s="161">
        <f t="shared" si="106"/>
        <v>0</v>
      </c>
      <c r="DR103" s="161">
        <f t="shared" si="107"/>
        <v>0</v>
      </c>
      <c r="DS103" s="161">
        <f t="shared" si="108"/>
        <v>0</v>
      </c>
      <c r="DT103" s="161">
        <f t="shared" si="109"/>
        <v>0</v>
      </c>
      <c r="DU103" s="161">
        <f t="shared" si="110"/>
        <v>0</v>
      </c>
      <c r="DV103" s="161">
        <f t="shared" si="111"/>
        <v>0</v>
      </c>
      <c r="DW103" s="161">
        <f t="shared" si="112"/>
        <v>0</v>
      </c>
      <c r="DX103" s="161">
        <f t="shared" si="113"/>
        <v>0</v>
      </c>
      <c r="DY103" s="161">
        <f t="shared" si="114"/>
        <v>0</v>
      </c>
      <c r="DZ103" s="161">
        <f t="shared" si="115"/>
        <v>0</v>
      </c>
      <c r="EA103" s="161">
        <f t="shared" si="116"/>
        <v>0</v>
      </c>
      <c r="EB103" s="161">
        <f t="shared" si="117"/>
        <v>0</v>
      </c>
      <c r="EC103" s="161">
        <f t="shared" si="118"/>
        <v>0</v>
      </c>
      <c r="ED103" s="161">
        <f t="shared" si="119"/>
        <v>0</v>
      </c>
      <c r="EE103" s="161">
        <f t="shared" si="120"/>
        <v>0</v>
      </c>
      <c r="EF103" s="161">
        <f t="shared" si="121"/>
        <v>0</v>
      </c>
      <c r="EG103" s="161">
        <f t="shared" si="122"/>
        <v>0</v>
      </c>
      <c r="EH103" s="161">
        <f t="shared" si="123"/>
        <v>0</v>
      </c>
      <c r="EI103" s="161">
        <f t="shared" si="124"/>
        <v>0</v>
      </c>
      <c r="EJ103" s="161">
        <f t="shared" si="125"/>
        <v>0</v>
      </c>
      <c r="EK103" s="147">
        <f t="shared" si="55"/>
        <v>10.416666666666666</v>
      </c>
      <c r="EL103" s="149"/>
      <c r="EN103" s="146"/>
      <c r="EO103" s="146"/>
      <c r="EP103" s="139">
        <f t="shared" si="56"/>
        <v>0</v>
      </c>
      <c r="EQ103" s="139">
        <f t="shared" si="57"/>
        <v>0</v>
      </c>
      <c r="ER103" s="139">
        <f t="shared" si="58"/>
        <v>0.39843749999999994</v>
      </c>
      <c r="ES103" s="139">
        <f t="shared" si="59"/>
        <v>0</v>
      </c>
      <c r="ET103" s="139">
        <f t="shared" si="60"/>
        <v>0</v>
      </c>
      <c r="EU103" s="139">
        <f t="shared" si="61"/>
        <v>0</v>
      </c>
      <c r="EV103" s="139">
        <f t="shared" si="62"/>
        <v>0</v>
      </c>
      <c r="EW103" s="139">
        <f t="shared" si="63"/>
        <v>0</v>
      </c>
      <c r="EX103" s="139">
        <f t="shared" si="64"/>
        <v>0</v>
      </c>
      <c r="EY103" s="139">
        <f t="shared" si="65"/>
        <v>0</v>
      </c>
      <c r="EZ103" s="139">
        <f t="shared" si="66"/>
        <v>0</v>
      </c>
      <c r="FA103" s="139">
        <f t="shared" si="67"/>
        <v>0</v>
      </c>
      <c r="FB103" s="139">
        <f t="shared" si="68"/>
        <v>0</v>
      </c>
      <c r="FC103" s="139">
        <f t="shared" si="69"/>
        <v>0</v>
      </c>
      <c r="FD103" s="139">
        <f t="shared" si="70"/>
        <v>0</v>
      </c>
      <c r="FE103" s="139">
        <f t="shared" si="71"/>
        <v>0</v>
      </c>
      <c r="FF103" s="139">
        <f t="shared" si="72"/>
        <v>0</v>
      </c>
      <c r="FG103" s="139">
        <f t="shared" si="73"/>
        <v>0</v>
      </c>
      <c r="FH103" s="139">
        <f t="shared" si="74"/>
        <v>0</v>
      </c>
      <c r="FI103" s="139">
        <f t="shared" si="75"/>
        <v>0</v>
      </c>
      <c r="FJ103" s="139">
        <f t="shared" si="76"/>
        <v>0</v>
      </c>
      <c r="FK103" s="139">
        <f t="shared" si="77"/>
        <v>0</v>
      </c>
      <c r="FL103" s="139">
        <f t="shared" si="78"/>
        <v>0</v>
      </c>
      <c r="FM103" s="139">
        <f t="shared" si="79"/>
        <v>0</v>
      </c>
      <c r="FN103" s="139">
        <f t="shared" si="80"/>
        <v>0</v>
      </c>
      <c r="FO103" s="139">
        <f t="shared" si="81"/>
        <v>0</v>
      </c>
      <c r="FP103" s="139">
        <f t="shared" si="82"/>
        <v>0</v>
      </c>
      <c r="FQ103" s="139">
        <f t="shared" si="83"/>
        <v>0</v>
      </c>
      <c r="FR103" s="139">
        <f t="shared" si="84"/>
        <v>0</v>
      </c>
      <c r="FS103" s="139">
        <f t="shared" si="85"/>
        <v>0</v>
      </c>
      <c r="FT103" s="139">
        <f t="shared" si="86"/>
        <v>0</v>
      </c>
      <c r="FU103" s="148">
        <f t="shared" si="87"/>
        <v>0.39843749999999994</v>
      </c>
      <c r="FV103" s="149"/>
      <c r="FY103" s="211">
        <v>98</v>
      </c>
      <c r="FZ103">
        <v>1.1784993096976795</v>
      </c>
      <c r="GA103">
        <v>1.6776151734315761</v>
      </c>
      <c r="GB103">
        <v>1.4746927366578972</v>
      </c>
      <c r="GC103">
        <v>0.94960037483463722</v>
      </c>
      <c r="GD103">
        <v>0.26532769242448923</v>
      </c>
      <c r="GE103">
        <v>8.8593614384399985E-2</v>
      </c>
      <c r="GF103">
        <v>0.15986193049181252</v>
      </c>
      <c r="GG103">
        <v>0.18920630708545313</v>
      </c>
      <c r="GH103">
        <v>0.18145163255402463</v>
      </c>
      <c r="GI103">
        <v>0.74278884968570691</v>
      </c>
      <c r="GJ103"/>
      <c r="GK103">
        <v>1.1744174632352942</v>
      </c>
      <c r="GL103">
        <v>1.4127651194852942</v>
      </c>
      <c r="GM103">
        <v>2.4212276278409091</v>
      </c>
      <c r="GN103">
        <v>2.7868308644480519</v>
      </c>
      <c r="GO103">
        <v>1.0095133928571425</v>
      </c>
      <c r="GP103">
        <v>0.16649999999999998</v>
      </c>
      <c r="GQ103">
        <v>0.19312499999999999</v>
      </c>
      <c r="GR103">
        <v>0.26348958333333333</v>
      </c>
      <c r="GS103">
        <v>0.19183393429487178</v>
      </c>
      <c r="GT103">
        <v>0.99802348364564353</v>
      </c>
      <c r="GU103"/>
      <c r="GV103"/>
      <c r="GW103"/>
      <c r="GX103"/>
      <c r="GY103"/>
      <c r="GZ103"/>
      <c r="HA103"/>
      <c r="HB103"/>
      <c r="HC103"/>
    </row>
    <row r="104" spans="1:211" s="7" customFormat="1">
      <c r="A104" s="1"/>
      <c r="B104" s="76">
        <f t="shared" ca="1" si="50"/>
        <v>0.4486658384622193</v>
      </c>
      <c r="C104">
        <v>7</v>
      </c>
      <c r="D104">
        <v>39673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 s="2"/>
      <c r="AK104" s="80"/>
      <c r="AL104" s="74"/>
      <c r="AM104" s="43">
        <v>88</v>
      </c>
      <c r="AN104">
        <v>35.125885787007107</v>
      </c>
      <c r="AO104">
        <v>0.81778278713841301</v>
      </c>
      <c r="AP104">
        <v>1.032444711087253</v>
      </c>
      <c r="AQ104">
        <v>5.6203886852149996</v>
      </c>
      <c r="AR104">
        <v>0.76013606741603978</v>
      </c>
      <c r="AS104">
        <v>2.9089159833845857</v>
      </c>
      <c r="AT104" t="e">
        <v>#DIV/0!</v>
      </c>
      <c r="AU104" t="e">
        <v>#DIV/0!</v>
      </c>
      <c r="AV104"/>
      <c r="AW104"/>
      <c r="AX104" s="146"/>
      <c r="AY104" s="76">
        <f ca="1">IF(AZ104="", "", RAND())</f>
        <v>0.92757216942036624</v>
      </c>
      <c r="AZ104">
        <v>7</v>
      </c>
      <c r="BA104" s="129">
        <f t="shared" si="127"/>
        <v>39673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 s="147"/>
      <c r="CH104" s="176"/>
      <c r="CJ104" s="146"/>
      <c r="CK104" s="76">
        <f t="shared" ca="1" si="90"/>
        <v>0.98200140586637286</v>
      </c>
      <c r="CL104" s="179">
        <f t="shared" si="91"/>
        <v>7</v>
      </c>
      <c r="CM104" s="180">
        <f t="shared" si="92"/>
        <v>39673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 s="160"/>
      <c r="CW104">
        <v>1</v>
      </c>
      <c r="CX104">
        <v>1</v>
      </c>
      <c r="CY104" s="164"/>
      <c r="CZ104" s="177">
        <f t="shared" si="93"/>
        <v>9.6000000000000002E-2</v>
      </c>
      <c r="DB104" s="146"/>
      <c r="DC104" s="76">
        <f t="shared" ca="1" si="51"/>
        <v>0.31157969714724021</v>
      </c>
      <c r="DD104">
        <f>IF(AZ104="", "", AZ104)</f>
        <v>7</v>
      </c>
      <c r="DE104" s="129">
        <f t="shared" si="126"/>
        <v>39673</v>
      </c>
      <c r="DF104" s="161">
        <f t="shared" si="95"/>
        <v>0</v>
      </c>
      <c r="DG104" s="161">
        <f t="shared" si="96"/>
        <v>0</v>
      </c>
      <c r="DH104" s="161">
        <f t="shared" si="97"/>
        <v>0</v>
      </c>
      <c r="DI104" s="161">
        <f t="shared" si="98"/>
        <v>0</v>
      </c>
      <c r="DJ104" s="161">
        <f t="shared" si="99"/>
        <v>0</v>
      </c>
      <c r="DK104" s="161">
        <f t="shared" si="100"/>
        <v>0</v>
      </c>
      <c r="DL104" s="161">
        <f t="shared" si="101"/>
        <v>0</v>
      </c>
      <c r="DM104" s="161">
        <f t="shared" si="102"/>
        <v>0</v>
      </c>
      <c r="DN104" s="161">
        <f t="shared" si="103"/>
        <v>0</v>
      </c>
      <c r="DO104" s="161">
        <f t="shared" si="104"/>
        <v>0</v>
      </c>
      <c r="DP104" s="161">
        <f t="shared" si="105"/>
        <v>0</v>
      </c>
      <c r="DQ104" s="161">
        <f t="shared" si="106"/>
        <v>0</v>
      </c>
      <c r="DR104" s="161">
        <f t="shared" si="107"/>
        <v>0</v>
      </c>
      <c r="DS104" s="161">
        <f t="shared" si="108"/>
        <v>0</v>
      </c>
      <c r="DT104" s="161">
        <f t="shared" si="109"/>
        <v>0</v>
      </c>
      <c r="DU104" s="161">
        <f t="shared" si="110"/>
        <v>0</v>
      </c>
      <c r="DV104" s="161">
        <f t="shared" si="111"/>
        <v>0</v>
      </c>
      <c r="DW104" s="161">
        <f t="shared" si="112"/>
        <v>0</v>
      </c>
      <c r="DX104" s="161">
        <f t="shared" si="113"/>
        <v>0</v>
      </c>
      <c r="DY104" s="161">
        <f t="shared" si="114"/>
        <v>0</v>
      </c>
      <c r="DZ104" s="161">
        <f t="shared" si="115"/>
        <v>0</v>
      </c>
      <c r="EA104" s="161">
        <f t="shared" si="116"/>
        <v>0</v>
      </c>
      <c r="EB104" s="161">
        <f t="shared" si="117"/>
        <v>0</v>
      </c>
      <c r="EC104" s="161">
        <f t="shared" si="118"/>
        <v>0</v>
      </c>
      <c r="ED104" s="161">
        <f t="shared" si="119"/>
        <v>0</v>
      </c>
      <c r="EE104" s="161">
        <f t="shared" si="120"/>
        <v>0</v>
      </c>
      <c r="EF104" s="161">
        <f t="shared" si="121"/>
        <v>0</v>
      </c>
      <c r="EG104" s="161">
        <f t="shared" si="122"/>
        <v>0</v>
      </c>
      <c r="EH104" s="161">
        <f t="shared" si="123"/>
        <v>0</v>
      </c>
      <c r="EI104" s="161">
        <f t="shared" si="124"/>
        <v>0</v>
      </c>
      <c r="EJ104" s="161">
        <f t="shared" si="125"/>
        <v>0</v>
      </c>
      <c r="EK104" s="147">
        <f t="shared" si="55"/>
        <v>0</v>
      </c>
      <c r="EL104" s="149"/>
      <c r="EN104" s="146"/>
      <c r="EO104" s="146"/>
      <c r="EP104" s="139">
        <f t="shared" si="56"/>
        <v>0</v>
      </c>
      <c r="EQ104" s="139">
        <f t="shared" si="57"/>
        <v>0</v>
      </c>
      <c r="ER104" s="139">
        <f t="shared" si="58"/>
        <v>0</v>
      </c>
      <c r="ES104" s="139">
        <f t="shared" si="59"/>
        <v>0</v>
      </c>
      <c r="ET104" s="139">
        <f t="shared" si="60"/>
        <v>0</v>
      </c>
      <c r="EU104" s="139">
        <f t="shared" si="61"/>
        <v>0</v>
      </c>
      <c r="EV104" s="139">
        <f t="shared" si="62"/>
        <v>0</v>
      </c>
      <c r="EW104" s="139">
        <f t="shared" si="63"/>
        <v>0</v>
      </c>
      <c r="EX104" s="139">
        <f t="shared" si="64"/>
        <v>0</v>
      </c>
      <c r="EY104" s="139">
        <f t="shared" si="65"/>
        <v>0</v>
      </c>
      <c r="EZ104" s="139">
        <f t="shared" si="66"/>
        <v>0</v>
      </c>
      <c r="FA104" s="139">
        <f t="shared" si="67"/>
        <v>0</v>
      </c>
      <c r="FB104" s="139">
        <f t="shared" si="68"/>
        <v>0</v>
      </c>
      <c r="FC104" s="139">
        <f t="shared" si="69"/>
        <v>0</v>
      </c>
      <c r="FD104" s="139">
        <f t="shared" si="70"/>
        <v>0</v>
      </c>
      <c r="FE104" s="139">
        <f t="shared" si="71"/>
        <v>0</v>
      </c>
      <c r="FF104" s="139">
        <f t="shared" si="72"/>
        <v>0</v>
      </c>
      <c r="FG104" s="139">
        <f t="shared" si="73"/>
        <v>0</v>
      </c>
      <c r="FH104" s="139">
        <f t="shared" si="74"/>
        <v>0</v>
      </c>
      <c r="FI104" s="139">
        <f t="shared" si="75"/>
        <v>0</v>
      </c>
      <c r="FJ104" s="139">
        <f t="shared" si="76"/>
        <v>0</v>
      </c>
      <c r="FK104" s="139">
        <f t="shared" si="77"/>
        <v>0</v>
      </c>
      <c r="FL104" s="139">
        <f t="shared" si="78"/>
        <v>0</v>
      </c>
      <c r="FM104" s="139">
        <f t="shared" si="79"/>
        <v>0</v>
      </c>
      <c r="FN104" s="139">
        <f t="shared" si="80"/>
        <v>0</v>
      </c>
      <c r="FO104" s="139">
        <f t="shared" si="81"/>
        <v>0</v>
      </c>
      <c r="FP104" s="139">
        <f t="shared" si="82"/>
        <v>0</v>
      </c>
      <c r="FQ104" s="139">
        <f t="shared" si="83"/>
        <v>0</v>
      </c>
      <c r="FR104" s="139">
        <f t="shared" si="84"/>
        <v>0</v>
      </c>
      <c r="FS104" s="139">
        <f t="shared" si="85"/>
        <v>0</v>
      </c>
      <c r="FT104" s="139">
        <f t="shared" si="86"/>
        <v>0</v>
      </c>
      <c r="FU104" s="148">
        <f t="shared" si="87"/>
        <v>0</v>
      </c>
      <c r="FV104" s="149"/>
      <c r="FY104" s="211">
        <v>99</v>
      </c>
      <c r="FZ104">
        <v>1.3455870062300805</v>
      </c>
      <c r="GA104">
        <v>1.8006100711170459</v>
      </c>
      <c r="GB104">
        <v>0.37154887738990316</v>
      </c>
      <c r="GC104">
        <v>0.67442764825859369</v>
      </c>
      <c r="GD104">
        <v>0.51379913090076423</v>
      </c>
      <c r="GE104">
        <v>5.4922335464699996E-2</v>
      </c>
      <c r="GF104">
        <v>0.37461671604370633</v>
      </c>
      <c r="GG104">
        <v>0.44128787945473491</v>
      </c>
      <c r="GH104">
        <v>0.19956886013071873</v>
      </c>
      <c r="GI104">
        <v>0.68009508644001337</v>
      </c>
      <c r="GJ104"/>
      <c r="GK104">
        <v>1.341029963235294</v>
      </c>
      <c r="GL104">
        <v>1.516389338235294</v>
      </c>
      <c r="GM104">
        <v>0.60934375000000007</v>
      </c>
      <c r="GN104">
        <v>1.9749665178571427</v>
      </c>
      <c r="GO104">
        <v>1.9538571428571427</v>
      </c>
      <c r="GP104">
        <v>0.10312499999999999</v>
      </c>
      <c r="GQ104">
        <v>0.45162635869565215</v>
      </c>
      <c r="GR104">
        <v>0.61387635869565216</v>
      </c>
      <c r="GS104">
        <v>0.21109375</v>
      </c>
      <c r="GT104">
        <v>0.91339019295761781</v>
      </c>
      <c r="GU104"/>
      <c r="GV104"/>
      <c r="GW104"/>
      <c r="GX104"/>
      <c r="GY104"/>
      <c r="GZ104"/>
      <c r="HA104"/>
      <c r="HB104"/>
      <c r="HC104"/>
    </row>
    <row r="105" spans="1:211" s="7" customFormat="1">
      <c r="A105" s="1"/>
      <c r="B105" s="76">
        <f t="shared" ca="1" si="50"/>
        <v>0.85074359040970871</v>
      </c>
      <c r="C105">
        <v>9</v>
      </c>
      <c r="D105">
        <v>39673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 s="2"/>
      <c r="AK105" s="80"/>
      <c r="AL105" s="74"/>
      <c r="AM105" s="43">
        <v>89</v>
      </c>
      <c r="AN105">
        <v>47.5977258575764</v>
      </c>
      <c r="AO105">
        <v>1.0204144212230251</v>
      </c>
      <c r="AP105">
        <v>0.95866368321333417</v>
      </c>
      <c r="AQ105">
        <v>5.8355877182664351</v>
      </c>
      <c r="AR105">
        <v>0.93710232567477814</v>
      </c>
      <c r="AS105">
        <v>3.8641608955790727</v>
      </c>
      <c r="AT105">
        <v>0.76219562350923675</v>
      </c>
      <c r="AU105">
        <v>1.0135651218562677E-2</v>
      </c>
      <c r="AV105"/>
      <c r="AW105"/>
      <c r="AX105" s="146"/>
      <c r="AY105" s="76">
        <f ca="1">IF(AZ105="", "", RAND())</f>
        <v>0.91886941990385473</v>
      </c>
      <c r="AZ105">
        <v>8</v>
      </c>
      <c r="BA105" s="129">
        <f t="shared" si="127"/>
        <v>39673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 s="147"/>
      <c r="CH105" s="176"/>
      <c r="CJ105" s="146"/>
      <c r="CK105" s="76">
        <f t="shared" ca="1" si="90"/>
        <v>0.46471530670713923</v>
      </c>
      <c r="CL105" s="179">
        <f t="shared" si="91"/>
        <v>8</v>
      </c>
      <c r="CM105" s="180">
        <f t="shared" si="92"/>
        <v>39673</v>
      </c>
      <c r="CN105">
        <v>0</v>
      </c>
      <c r="CO105">
        <v>1</v>
      </c>
      <c r="CP105">
        <v>1</v>
      </c>
      <c r="CQ105">
        <v>0</v>
      </c>
      <c r="CR105">
        <v>0</v>
      </c>
      <c r="CS105">
        <v>0</v>
      </c>
      <c r="CT105">
        <v>0</v>
      </c>
      <c r="CU105">
        <v>0</v>
      </c>
      <c r="CV105" s="160"/>
      <c r="CW105">
        <v>1</v>
      </c>
      <c r="CX105">
        <v>2</v>
      </c>
      <c r="CY105" s="164"/>
      <c r="CZ105" s="177">
        <f t="shared" si="93"/>
        <v>9.6000000000000002E-2</v>
      </c>
      <c r="DB105" s="146"/>
      <c r="DC105" s="76">
        <f t="shared" ca="1" si="51"/>
        <v>0.29445515606561323</v>
      </c>
      <c r="DD105">
        <f>IF(AZ105="", "", AZ105)</f>
        <v>8</v>
      </c>
      <c r="DE105" s="129">
        <f t="shared" si="126"/>
        <v>39673</v>
      </c>
      <c r="DF105" s="161">
        <f t="shared" si="95"/>
        <v>0</v>
      </c>
      <c r="DG105" s="161">
        <f t="shared" si="96"/>
        <v>20.833333333333332</v>
      </c>
      <c r="DH105" s="161">
        <f t="shared" si="97"/>
        <v>20.833333333333332</v>
      </c>
      <c r="DI105" s="161">
        <f t="shared" si="98"/>
        <v>0</v>
      </c>
      <c r="DJ105" s="161">
        <f t="shared" si="99"/>
        <v>0</v>
      </c>
      <c r="DK105" s="161">
        <f t="shared" si="100"/>
        <v>0</v>
      </c>
      <c r="DL105" s="161">
        <f t="shared" si="101"/>
        <v>0</v>
      </c>
      <c r="DM105" s="161">
        <f t="shared" si="102"/>
        <v>0</v>
      </c>
      <c r="DN105" s="161">
        <f t="shared" si="103"/>
        <v>0</v>
      </c>
      <c r="DO105" s="161">
        <f t="shared" si="104"/>
        <v>0</v>
      </c>
      <c r="DP105" s="161">
        <f t="shared" si="105"/>
        <v>0</v>
      </c>
      <c r="DQ105" s="161">
        <f t="shared" si="106"/>
        <v>0</v>
      </c>
      <c r="DR105" s="161">
        <f t="shared" si="107"/>
        <v>0</v>
      </c>
      <c r="DS105" s="161">
        <f t="shared" si="108"/>
        <v>0</v>
      </c>
      <c r="DT105" s="161">
        <f t="shared" si="109"/>
        <v>0</v>
      </c>
      <c r="DU105" s="161">
        <f t="shared" si="110"/>
        <v>0</v>
      </c>
      <c r="DV105" s="161">
        <f t="shared" si="111"/>
        <v>0</v>
      </c>
      <c r="DW105" s="161">
        <f t="shared" si="112"/>
        <v>0</v>
      </c>
      <c r="DX105" s="161">
        <f t="shared" si="113"/>
        <v>0</v>
      </c>
      <c r="DY105" s="161">
        <f t="shared" si="114"/>
        <v>0</v>
      </c>
      <c r="DZ105" s="161">
        <f t="shared" si="115"/>
        <v>0</v>
      </c>
      <c r="EA105" s="161">
        <f t="shared" si="116"/>
        <v>0</v>
      </c>
      <c r="EB105" s="161">
        <f t="shared" si="117"/>
        <v>0</v>
      </c>
      <c r="EC105" s="161">
        <f t="shared" si="118"/>
        <v>0</v>
      </c>
      <c r="ED105" s="161">
        <f t="shared" si="119"/>
        <v>0</v>
      </c>
      <c r="EE105" s="161">
        <f t="shared" si="120"/>
        <v>0</v>
      </c>
      <c r="EF105" s="161">
        <f t="shared" si="121"/>
        <v>0</v>
      </c>
      <c r="EG105" s="161">
        <f t="shared" si="122"/>
        <v>0</v>
      </c>
      <c r="EH105" s="161">
        <f t="shared" si="123"/>
        <v>0</v>
      </c>
      <c r="EI105" s="161">
        <f t="shared" si="124"/>
        <v>0</v>
      </c>
      <c r="EJ105" s="161">
        <f t="shared" si="125"/>
        <v>0</v>
      </c>
      <c r="EK105" s="147">
        <f t="shared" si="55"/>
        <v>41.666666666666664</v>
      </c>
      <c r="EL105" s="149"/>
      <c r="EN105" s="146"/>
      <c r="EO105" s="146"/>
      <c r="EP105" s="139">
        <f t="shared" si="56"/>
        <v>0</v>
      </c>
      <c r="EQ105" s="139">
        <f t="shared" si="57"/>
        <v>0.361875</v>
      </c>
      <c r="ER105" s="139">
        <f t="shared" si="58"/>
        <v>0.79687499999999989</v>
      </c>
      <c r="ES105" s="139">
        <f t="shared" si="59"/>
        <v>0</v>
      </c>
      <c r="ET105" s="139">
        <f t="shared" si="60"/>
        <v>0</v>
      </c>
      <c r="EU105" s="139">
        <f t="shared" si="61"/>
        <v>0</v>
      </c>
      <c r="EV105" s="139">
        <f t="shared" si="62"/>
        <v>0</v>
      </c>
      <c r="EW105" s="139">
        <f t="shared" si="63"/>
        <v>0</v>
      </c>
      <c r="EX105" s="139">
        <f t="shared" si="64"/>
        <v>0</v>
      </c>
      <c r="EY105" s="139">
        <f t="shared" si="65"/>
        <v>0</v>
      </c>
      <c r="EZ105" s="139">
        <f t="shared" si="66"/>
        <v>0</v>
      </c>
      <c r="FA105" s="139">
        <f t="shared" si="67"/>
        <v>0</v>
      </c>
      <c r="FB105" s="139">
        <f t="shared" si="68"/>
        <v>0</v>
      </c>
      <c r="FC105" s="139">
        <f t="shared" si="69"/>
        <v>0</v>
      </c>
      <c r="FD105" s="139">
        <f t="shared" si="70"/>
        <v>0</v>
      </c>
      <c r="FE105" s="139">
        <f t="shared" si="71"/>
        <v>0</v>
      </c>
      <c r="FF105" s="139">
        <f t="shared" si="72"/>
        <v>0</v>
      </c>
      <c r="FG105" s="139">
        <f t="shared" si="73"/>
        <v>0</v>
      </c>
      <c r="FH105" s="139">
        <f t="shared" si="74"/>
        <v>0</v>
      </c>
      <c r="FI105" s="139">
        <f t="shared" si="75"/>
        <v>0</v>
      </c>
      <c r="FJ105" s="139">
        <f t="shared" si="76"/>
        <v>0</v>
      </c>
      <c r="FK105" s="139">
        <f t="shared" si="77"/>
        <v>0</v>
      </c>
      <c r="FL105" s="139">
        <f t="shared" si="78"/>
        <v>0</v>
      </c>
      <c r="FM105" s="139">
        <f t="shared" si="79"/>
        <v>0</v>
      </c>
      <c r="FN105" s="139">
        <f t="shared" si="80"/>
        <v>0</v>
      </c>
      <c r="FO105" s="139">
        <f t="shared" si="81"/>
        <v>0</v>
      </c>
      <c r="FP105" s="139">
        <f t="shared" si="82"/>
        <v>0</v>
      </c>
      <c r="FQ105" s="139">
        <f t="shared" si="83"/>
        <v>0</v>
      </c>
      <c r="FR105" s="139">
        <f t="shared" si="84"/>
        <v>0</v>
      </c>
      <c r="FS105" s="139">
        <f t="shared" si="85"/>
        <v>0</v>
      </c>
      <c r="FT105" s="139">
        <f t="shared" si="86"/>
        <v>0</v>
      </c>
      <c r="FU105" s="148">
        <f t="shared" si="87"/>
        <v>1.1587499999999999</v>
      </c>
      <c r="FV105" s="149"/>
      <c r="FY105" s="211">
        <v>100</v>
      </c>
      <c r="FZ105">
        <v>0.23613883783576872</v>
      </c>
      <c r="GA105">
        <v>0.76355945174816586</v>
      </c>
      <c r="GB105">
        <v>2.707779448005458</v>
      </c>
      <c r="GC105">
        <v>2.1631200069161753</v>
      </c>
      <c r="GD105">
        <v>0.67047595664132242</v>
      </c>
      <c r="GE105">
        <v>0.12900836070404997</v>
      </c>
      <c r="GF105">
        <v>0.15986193049181252</v>
      </c>
      <c r="GG105">
        <v>0.23978821552359375</v>
      </c>
      <c r="GH105">
        <v>0.1330459067538125</v>
      </c>
      <c r="GI105">
        <v>1.126095174706478</v>
      </c>
      <c r="GJ105"/>
      <c r="GK105">
        <v>0.23531249999999998</v>
      </c>
      <c r="GL105">
        <v>0.64313671874999989</v>
      </c>
      <c r="GM105">
        <v>4.446240411931818</v>
      </c>
      <c r="GN105">
        <v>6.345163068181817</v>
      </c>
      <c r="GO105">
        <v>2.5492781249999998</v>
      </c>
      <c r="GP105">
        <v>0.24253124999999998</v>
      </c>
      <c r="GQ105">
        <v>0.19312499999999999</v>
      </c>
      <c r="GR105">
        <v>0.33385416666666667</v>
      </c>
      <c r="GS105">
        <v>0.14072916666666666</v>
      </c>
      <c r="GT105">
        <v>1.5129370407196967</v>
      </c>
      <c r="GU105"/>
      <c r="GV105"/>
      <c r="GW105"/>
      <c r="GX105"/>
      <c r="GY105"/>
      <c r="GZ105"/>
      <c r="HA105"/>
      <c r="HB105"/>
      <c r="HC105"/>
    </row>
    <row r="106" spans="1:211" s="7" customFormat="1">
      <c r="A106" s="1"/>
      <c r="B106" s="76">
        <f t="shared" ca="1" si="50"/>
        <v>0.4663076778445463</v>
      </c>
      <c r="C106">
        <v>10</v>
      </c>
      <c r="D106">
        <v>39673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 s="2"/>
      <c r="AK106" s="80"/>
      <c r="AL106" s="74"/>
      <c r="AM106" s="43">
        <v>90</v>
      </c>
      <c r="AN106">
        <v>41.065989953673771</v>
      </c>
      <c r="AO106">
        <v>0.98757177151341313</v>
      </c>
      <c r="AP106">
        <v>0.64035692371957387</v>
      </c>
      <c r="AQ106">
        <v>6.5914826132056987</v>
      </c>
      <c r="AR106">
        <v>0.9181118486660399</v>
      </c>
      <c r="AS106">
        <v>3.2008049989895735</v>
      </c>
      <c r="AT106" t="e">
        <v>#DIV/0!</v>
      </c>
      <c r="AU106" t="e">
        <v>#DIV/0!</v>
      </c>
      <c r="AV106"/>
      <c r="AW106"/>
      <c r="AX106" s="146"/>
      <c r="AY106" s="76">
        <f t="shared" ca="1" si="88"/>
        <v>9.8620907816500125E-2</v>
      </c>
      <c r="AZ106">
        <v>9</v>
      </c>
      <c r="BA106" s="129">
        <f t="shared" si="127"/>
        <v>39673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 s="147"/>
      <c r="CH106" s="176"/>
      <c r="CJ106" s="146"/>
      <c r="CK106" s="76">
        <f t="shared" ca="1" si="90"/>
        <v>0.81537276058698627</v>
      </c>
      <c r="CL106" s="179">
        <f t="shared" si="91"/>
        <v>9</v>
      </c>
      <c r="CM106" s="180">
        <f t="shared" si="92"/>
        <v>39673</v>
      </c>
      <c r="CN106">
        <v>0</v>
      </c>
      <c r="CO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 s="160"/>
      <c r="CW106">
        <v>1</v>
      </c>
      <c r="CX106">
        <v>1</v>
      </c>
      <c r="CY106" s="164"/>
      <c r="CZ106" s="177">
        <f t="shared" si="93"/>
        <v>9.6000000000000002E-2</v>
      </c>
      <c r="DB106" s="146"/>
      <c r="DC106" s="76">
        <f t="shared" ca="1" si="51"/>
        <v>0.95046552493835312</v>
      </c>
      <c r="DD106">
        <f t="shared" si="94"/>
        <v>9</v>
      </c>
      <c r="DE106" s="129">
        <f t="shared" si="126"/>
        <v>39673</v>
      </c>
      <c r="DF106" s="161">
        <f t="shared" si="95"/>
        <v>0</v>
      </c>
      <c r="DG106" s="161">
        <f t="shared" si="96"/>
        <v>0</v>
      </c>
      <c r="DH106" s="161">
        <f t="shared" si="97"/>
        <v>0</v>
      </c>
      <c r="DI106" s="161">
        <f t="shared" si="98"/>
        <v>0</v>
      </c>
      <c r="DJ106" s="161">
        <f t="shared" si="99"/>
        <v>0</v>
      </c>
      <c r="DK106" s="161">
        <f t="shared" si="100"/>
        <v>0</v>
      </c>
      <c r="DL106" s="161">
        <f t="shared" si="101"/>
        <v>0</v>
      </c>
      <c r="DM106" s="161">
        <f t="shared" si="102"/>
        <v>0</v>
      </c>
      <c r="DN106" s="161">
        <f t="shared" si="103"/>
        <v>0</v>
      </c>
      <c r="DO106" s="161">
        <f t="shared" si="104"/>
        <v>0</v>
      </c>
      <c r="DP106" s="161">
        <f t="shared" si="105"/>
        <v>0</v>
      </c>
      <c r="DQ106" s="161">
        <f t="shared" si="106"/>
        <v>0</v>
      </c>
      <c r="DR106" s="161">
        <f t="shared" si="107"/>
        <v>0</v>
      </c>
      <c r="DS106" s="161">
        <f t="shared" si="108"/>
        <v>0</v>
      </c>
      <c r="DT106" s="161">
        <f t="shared" si="109"/>
        <v>0</v>
      </c>
      <c r="DU106" s="161">
        <f t="shared" si="110"/>
        <v>0</v>
      </c>
      <c r="DV106" s="161">
        <f t="shared" si="111"/>
        <v>0</v>
      </c>
      <c r="DW106" s="161">
        <f t="shared" si="112"/>
        <v>0</v>
      </c>
      <c r="DX106" s="161">
        <f t="shared" si="113"/>
        <v>0</v>
      </c>
      <c r="DY106" s="161">
        <f t="shared" si="114"/>
        <v>0</v>
      </c>
      <c r="DZ106" s="161">
        <f t="shared" si="115"/>
        <v>0</v>
      </c>
      <c r="EA106" s="161">
        <f t="shared" si="116"/>
        <v>0</v>
      </c>
      <c r="EB106" s="161">
        <f t="shared" si="117"/>
        <v>0</v>
      </c>
      <c r="EC106" s="161">
        <f t="shared" si="118"/>
        <v>0</v>
      </c>
      <c r="ED106" s="161">
        <f t="shared" si="119"/>
        <v>0</v>
      </c>
      <c r="EE106" s="161">
        <f t="shared" si="120"/>
        <v>0</v>
      </c>
      <c r="EF106" s="161">
        <f t="shared" si="121"/>
        <v>0</v>
      </c>
      <c r="EG106" s="161">
        <f t="shared" si="122"/>
        <v>0</v>
      </c>
      <c r="EH106" s="161">
        <f t="shared" si="123"/>
        <v>0</v>
      </c>
      <c r="EI106" s="161">
        <f t="shared" si="124"/>
        <v>0</v>
      </c>
      <c r="EJ106" s="161">
        <f t="shared" si="125"/>
        <v>0</v>
      </c>
      <c r="EK106" s="147">
        <f t="shared" si="55"/>
        <v>0</v>
      </c>
      <c r="EL106" s="149"/>
      <c r="EN106" s="146"/>
      <c r="EO106" s="146"/>
      <c r="EP106" s="139">
        <f t="shared" si="56"/>
        <v>0</v>
      </c>
      <c r="EQ106" s="139">
        <f t="shared" si="57"/>
        <v>0</v>
      </c>
      <c r="ER106" s="139">
        <f t="shared" si="58"/>
        <v>0</v>
      </c>
      <c r="ES106" s="139">
        <f t="shared" si="59"/>
        <v>0</v>
      </c>
      <c r="ET106" s="139">
        <f t="shared" si="60"/>
        <v>0</v>
      </c>
      <c r="EU106" s="139">
        <f t="shared" si="61"/>
        <v>0</v>
      </c>
      <c r="EV106" s="139">
        <f t="shared" si="62"/>
        <v>0</v>
      </c>
      <c r="EW106" s="139">
        <f t="shared" si="63"/>
        <v>0</v>
      </c>
      <c r="EX106" s="139">
        <f t="shared" si="64"/>
        <v>0</v>
      </c>
      <c r="EY106" s="139">
        <f t="shared" si="65"/>
        <v>0</v>
      </c>
      <c r="EZ106" s="139">
        <f t="shared" si="66"/>
        <v>0</v>
      </c>
      <c r="FA106" s="139">
        <f t="shared" si="67"/>
        <v>0</v>
      </c>
      <c r="FB106" s="139">
        <f t="shared" si="68"/>
        <v>0</v>
      </c>
      <c r="FC106" s="139">
        <f t="shared" si="69"/>
        <v>0</v>
      </c>
      <c r="FD106" s="139">
        <f t="shared" si="70"/>
        <v>0</v>
      </c>
      <c r="FE106" s="139">
        <f t="shared" si="71"/>
        <v>0</v>
      </c>
      <c r="FF106" s="139">
        <f t="shared" si="72"/>
        <v>0</v>
      </c>
      <c r="FG106" s="139">
        <f t="shared" si="73"/>
        <v>0</v>
      </c>
      <c r="FH106" s="139">
        <f t="shared" si="74"/>
        <v>0</v>
      </c>
      <c r="FI106" s="139">
        <f t="shared" si="75"/>
        <v>0</v>
      </c>
      <c r="FJ106" s="139">
        <f t="shared" si="76"/>
        <v>0</v>
      </c>
      <c r="FK106" s="139">
        <f t="shared" si="77"/>
        <v>0</v>
      </c>
      <c r="FL106" s="139">
        <f t="shared" si="78"/>
        <v>0</v>
      </c>
      <c r="FM106" s="139">
        <f t="shared" si="79"/>
        <v>0</v>
      </c>
      <c r="FN106" s="139">
        <f t="shared" si="80"/>
        <v>0</v>
      </c>
      <c r="FO106" s="139">
        <f t="shared" si="81"/>
        <v>0</v>
      </c>
      <c r="FP106" s="139">
        <f t="shared" si="82"/>
        <v>0</v>
      </c>
      <c r="FQ106" s="139">
        <f t="shared" si="83"/>
        <v>0</v>
      </c>
      <c r="FR106" s="139">
        <f t="shared" si="84"/>
        <v>0</v>
      </c>
      <c r="FS106" s="139">
        <f t="shared" si="85"/>
        <v>0</v>
      </c>
      <c r="FT106" s="139">
        <f t="shared" si="86"/>
        <v>0</v>
      </c>
      <c r="FU106" s="148">
        <f t="shared" si="87"/>
        <v>0</v>
      </c>
      <c r="FV106" s="149"/>
      <c r="FY106" s="211">
        <v>101</v>
      </c>
      <c r="FZ106">
        <v>1.5617819881407038</v>
      </c>
      <c r="GA106">
        <v>1.3948259591822367</v>
      </c>
      <c r="GB106">
        <v>0.17250645513911131</v>
      </c>
      <c r="GC106">
        <v>0.31939169261790751</v>
      </c>
      <c r="GD106">
        <v>0.20788346529154925</v>
      </c>
      <c r="GE106">
        <v>4.3360981258274998E-2</v>
      </c>
      <c r="GF106">
        <v>0.49395954912409079</v>
      </c>
      <c r="GG106">
        <v>0.47874846122576609</v>
      </c>
      <c r="GH106">
        <v>8.9508689212329934E-2</v>
      </c>
      <c r="GI106">
        <v>0.49436547763325278</v>
      </c>
      <c r="GJ106"/>
      <c r="GK106">
        <v>1.5565143382352939</v>
      </c>
      <c r="GL106">
        <v>1.1747760569852941</v>
      </c>
      <c r="GM106">
        <v>0.28271484375</v>
      </c>
      <c r="GN106">
        <v>0.93515089285714281</v>
      </c>
      <c r="GO106">
        <v>0.79040089285714277</v>
      </c>
      <c r="GP106">
        <v>8.1421875000000005E-2</v>
      </c>
      <c r="GQ106">
        <v>0.59590760869565207</v>
      </c>
      <c r="GR106">
        <v>0.66627219202898535</v>
      </c>
      <c r="GS106">
        <v>9.465845352564102E-2</v>
      </c>
      <c r="GT106">
        <v>0.66403922741274601</v>
      </c>
      <c r="GU106"/>
      <c r="GV106"/>
      <c r="GW106"/>
      <c r="GX106"/>
      <c r="GY106"/>
      <c r="GZ106"/>
      <c r="HA106"/>
      <c r="HB106"/>
      <c r="HC106"/>
    </row>
    <row r="107" spans="1:211" s="7" customFormat="1">
      <c r="A107" s="1"/>
      <c r="B107" s="76">
        <f t="shared" ca="1" si="50"/>
        <v>0.65977692681086708</v>
      </c>
      <c r="C107">
        <v>2</v>
      </c>
      <c r="D107">
        <v>39673</v>
      </c>
      <c r="E107">
        <v>62.5</v>
      </c>
      <c r="F107">
        <v>62.5</v>
      </c>
      <c r="G107">
        <v>62.5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 s="2"/>
      <c r="AK107" s="80"/>
      <c r="AL107" s="74"/>
      <c r="AM107" s="43">
        <v>91</v>
      </c>
      <c r="AN107">
        <v>31.209912854030506</v>
      </c>
      <c r="AO107">
        <v>0.83830214215686283</v>
      </c>
      <c r="AP107">
        <v>0.6622236613489868</v>
      </c>
      <c r="AQ107">
        <v>6.7178629221020207</v>
      </c>
      <c r="AR107">
        <v>0.7765814928698751</v>
      </c>
      <c r="AS107">
        <v>2.9961128094777951</v>
      </c>
      <c r="AT107" t="e">
        <v>#DIV/0!</v>
      </c>
      <c r="AU107" t="e">
        <v>#DIV/0!</v>
      </c>
      <c r="AV107"/>
      <c r="AW107"/>
      <c r="AX107" s="146"/>
      <c r="AY107" s="76">
        <f t="shared" ca="1" si="88"/>
        <v>0.67056195937667873</v>
      </c>
      <c r="AZ107">
        <v>10</v>
      </c>
      <c r="BA107" s="129">
        <f t="shared" si="127"/>
        <v>39673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 s="147"/>
      <c r="CH107" s="176"/>
      <c r="CJ107" s="146"/>
      <c r="CK107" s="76">
        <f t="shared" ca="1" si="90"/>
        <v>0.36516428454229133</v>
      </c>
      <c r="CL107" s="179">
        <f t="shared" si="91"/>
        <v>10</v>
      </c>
      <c r="CM107" s="180">
        <f t="shared" si="92"/>
        <v>39673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 s="160"/>
      <c r="CW107">
        <f>18/10</f>
        <v>1.8</v>
      </c>
      <c r="CX107">
        <f>100/7</f>
        <v>14.285714285714286</v>
      </c>
      <c r="CY107" s="164"/>
      <c r="CZ107" s="177">
        <f t="shared" si="93"/>
        <v>9.6000000000000002E-2</v>
      </c>
      <c r="DB107" s="146"/>
      <c r="DC107" s="76">
        <f t="shared" ca="1" si="51"/>
        <v>0.17487812001639025</v>
      </c>
      <c r="DD107">
        <f t="shared" si="94"/>
        <v>10</v>
      </c>
      <c r="DE107" s="129">
        <f t="shared" si="126"/>
        <v>39673</v>
      </c>
      <c r="DF107" s="161">
        <f t="shared" si="95"/>
        <v>0</v>
      </c>
      <c r="DG107" s="161">
        <f t="shared" si="96"/>
        <v>0</v>
      </c>
      <c r="DH107" s="161">
        <f t="shared" si="97"/>
        <v>0</v>
      </c>
      <c r="DI107" s="161">
        <f t="shared" si="98"/>
        <v>0</v>
      </c>
      <c r="DJ107" s="161">
        <f t="shared" si="99"/>
        <v>0</v>
      </c>
      <c r="DK107" s="161">
        <f t="shared" si="100"/>
        <v>0</v>
      </c>
      <c r="DL107" s="161">
        <f t="shared" si="101"/>
        <v>0</v>
      </c>
      <c r="DM107" s="161">
        <f t="shared" si="102"/>
        <v>0</v>
      </c>
      <c r="DN107" s="161">
        <f t="shared" si="103"/>
        <v>0</v>
      </c>
      <c r="DO107" s="161">
        <f t="shared" si="104"/>
        <v>0</v>
      </c>
      <c r="DP107" s="161">
        <f t="shared" si="105"/>
        <v>0</v>
      </c>
      <c r="DQ107" s="161">
        <f t="shared" si="106"/>
        <v>0</v>
      </c>
      <c r="DR107" s="161">
        <f t="shared" si="107"/>
        <v>0</v>
      </c>
      <c r="DS107" s="161">
        <f t="shared" si="108"/>
        <v>0</v>
      </c>
      <c r="DT107" s="161">
        <f t="shared" si="109"/>
        <v>0</v>
      </c>
      <c r="DU107" s="161">
        <f t="shared" si="110"/>
        <v>0</v>
      </c>
      <c r="DV107" s="161">
        <f t="shared" si="111"/>
        <v>0</v>
      </c>
      <c r="DW107" s="161">
        <f t="shared" si="112"/>
        <v>0</v>
      </c>
      <c r="DX107" s="161">
        <f t="shared" si="113"/>
        <v>0</v>
      </c>
      <c r="DY107" s="161">
        <f t="shared" si="114"/>
        <v>0</v>
      </c>
      <c r="DZ107" s="161">
        <f t="shared" si="115"/>
        <v>0</v>
      </c>
      <c r="EA107" s="161">
        <f t="shared" si="116"/>
        <v>0</v>
      </c>
      <c r="EB107" s="161">
        <f t="shared" si="117"/>
        <v>0</v>
      </c>
      <c r="EC107" s="161">
        <f t="shared" si="118"/>
        <v>0</v>
      </c>
      <c r="ED107" s="161">
        <f t="shared" si="119"/>
        <v>0</v>
      </c>
      <c r="EE107" s="161">
        <f t="shared" si="120"/>
        <v>0</v>
      </c>
      <c r="EF107" s="161">
        <f t="shared" si="121"/>
        <v>0</v>
      </c>
      <c r="EG107" s="161">
        <f t="shared" si="122"/>
        <v>0</v>
      </c>
      <c r="EH107" s="161">
        <f t="shared" si="123"/>
        <v>0</v>
      </c>
      <c r="EI107" s="161">
        <f t="shared" si="124"/>
        <v>0</v>
      </c>
      <c r="EJ107" s="161">
        <f t="shared" si="125"/>
        <v>0</v>
      </c>
      <c r="EK107" s="147">
        <f t="shared" si="55"/>
        <v>0</v>
      </c>
      <c r="EL107" s="149"/>
      <c r="EN107" s="146"/>
      <c r="EO107" s="146"/>
      <c r="EP107" s="139">
        <f t="shared" si="56"/>
        <v>0</v>
      </c>
      <c r="EQ107" s="139">
        <f t="shared" si="57"/>
        <v>0</v>
      </c>
      <c r="ER107" s="139">
        <f t="shared" si="58"/>
        <v>0</v>
      </c>
      <c r="ES107" s="139">
        <f t="shared" si="59"/>
        <v>0</v>
      </c>
      <c r="ET107" s="139">
        <f t="shared" si="60"/>
        <v>0</v>
      </c>
      <c r="EU107" s="139">
        <f t="shared" si="61"/>
        <v>0</v>
      </c>
      <c r="EV107" s="139">
        <f t="shared" si="62"/>
        <v>0</v>
      </c>
      <c r="EW107" s="139">
        <f t="shared" si="63"/>
        <v>0</v>
      </c>
      <c r="EX107" s="139">
        <f t="shared" si="64"/>
        <v>0</v>
      </c>
      <c r="EY107" s="139">
        <f t="shared" si="65"/>
        <v>0</v>
      </c>
      <c r="EZ107" s="139">
        <f t="shared" si="66"/>
        <v>0</v>
      </c>
      <c r="FA107" s="139">
        <f t="shared" si="67"/>
        <v>0</v>
      </c>
      <c r="FB107" s="139">
        <f t="shared" si="68"/>
        <v>0</v>
      </c>
      <c r="FC107" s="139">
        <f t="shared" si="69"/>
        <v>0</v>
      </c>
      <c r="FD107" s="139">
        <f t="shared" si="70"/>
        <v>0</v>
      </c>
      <c r="FE107" s="139">
        <f t="shared" si="71"/>
        <v>0</v>
      </c>
      <c r="FF107" s="139">
        <f t="shared" si="72"/>
        <v>0</v>
      </c>
      <c r="FG107" s="139">
        <f t="shared" si="73"/>
        <v>0</v>
      </c>
      <c r="FH107" s="139">
        <f t="shared" si="74"/>
        <v>0</v>
      </c>
      <c r="FI107" s="139">
        <f t="shared" si="75"/>
        <v>0</v>
      </c>
      <c r="FJ107" s="139">
        <f t="shared" si="76"/>
        <v>0</v>
      </c>
      <c r="FK107" s="139">
        <f t="shared" si="77"/>
        <v>0</v>
      </c>
      <c r="FL107" s="139">
        <f t="shared" si="78"/>
        <v>0</v>
      </c>
      <c r="FM107" s="139">
        <f t="shared" si="79"/>
        <v>0</v>
      </c>
      <c r="FN107" s="139">
        <f t="shared" si="80"/>
        <v>0</v>
      </c>
      <c r="FO107" s="139">
        <f t="shared" si="81"/>
        <v>0</v>
      </c>
      <c r="FP107" s="139">
        <f t="shared" si="82"/>
        <v>0</v>
      </c>
      <c r="FQ107" s="139">
        <f t="shared" si="83"/>
        <v>0</v>
      </c>
      <c r="FR107" s="139">
        <f t="shared" si="84"/>
        <v>0</v>
      </c>
      <c r="FS107" s="139">
        <f t="shared" si="85"/>
        <v>0</v>
      </c>
      <c r="FT107" s="139">
        <f t="shared" si="86"/>
        <v>0</v>
      </c>
      <c r="FU107" s="148">
        <f t="shared" si="87"/>
        <v>0</v>
      </c>
      <c r="FV107" s="149"/>
      <c r="FY107" s="211">
        <v>102</v>
      </c>
      <c r="FZ107">
        <v>1.5866639045863093</v>
      </c>
      <c r="GA107">
        <v>2.2415712126649545</v>
      </c>
      <c r="GB107">
        <v>0.34147236206856091</v>
      </c>
      <c r="GC107">
        <v>0.35634793972036305</v>
      </c>
      <c r="GD107">
        <v>0.25257509217024426</v>
      </c>
      <c r="GE107">
        <v>9.0465266252250001E-2</v>
      </c>
      <c r="GF107">
        <v>0.81368341010771561</v>
      </c>
      <c r="GG107">
        <v>0.75599725852039101</v>
      </c>
      <c r="GH107">
        <v>8.9508689212329934E-2</v>
      </c>
      <c r="GI107">
        <v>0.6221712014895997</v>
      </c>
      <c r="GJ107"/>
      <c r="GK107">
        <v>1.5812661764705882</v>
      </c>
      <c r="GL107">
        <v>1.8880864889705882</v>
      </c>
      <c r="GM107">
        <v>0.56029687500000003</v>
      </c>
      <c r="GN107">
        <v>1.0438399553571427</v>
      </c>
      <c r="GO107">
        <v>0.96051964285714275</v>
      </c>
      <c r="GP107">
        <v>0.17015625000000001</v>
      </c>
      <c r="GQ107">
        <v>0.98215760869565205</v>
      </c>
      <c r="GR107">
        <v>1.0525221920289853</v>
      </c>
      <c r="GS107">
        <v>9.465845352564102E-2</v>
      </c>
      <c r="GT107">
        <v>0.83577975130980486</v>
      </c>
      <c r="GU107"/>
      <c r="GV107"/>
      <c r="GW107"/>
      <c r="GX107"/>
      <c r="GY107"/>
      <c r="GZ107"/>
      <c r="HA107"/>
      <c r="HB107"/>
      <c r="HC107"/>
    </row>
    <row r="108" spans="1:211" s="7" customFormat="1">
      <c r="A108" s="128"/>
      <c r="B108" s="76">
        <f t="shared" ca="1" si="50"/>
        <v>0.90945614142691822</v>
      </c>
      <c r="C108">
        <v>9</v>
      </c>
      <c r="D108">
        <v>39714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 s="2"/>
      <c r="AK108" s="80"/>
      <c r="AL108" s="74"/>
      <c r="AM108" s="43">
        <v>92</v>
      </c>
      <c r="AN108">
        <v>28.335999747121072</v>
      </c>
      <c r="AO108">
        <v>0.6646855435486696</v>
      </c>
      <c r="AP108">
        <v>0.22382814283222069</v>
      </c>
      <c r="AQ108">
        <v>5.452825268338775</v>
      </c>
      <c r="AR108">
        <v>0.60788174413515406</v>
      </c>
      <c r="AS108">
        <v>2.1782928222386051</v>
      </c>
      <c r="AT108" t="e">
        <v>#DIV/0!</v>
      </c>
      <c r="AU108" t="e">
        <v>#DIV/0!</v>
      </c>
      <c r="AV108"/>
      <c r="AW108"/>
      <c r="AX108" s="128"/>
      <c r="AY108" s="76">
        <f t="shared" ca="1" si="88"/>
        <v>0.31431714770750752</v>
      </c>
      <c r="AZ108">
        <v>1</v>
      </c>
      <c r="BA108" s="129">
        <f>IF(AZ108="", "",$C$6)</f>
        <v>39714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 s="147"/>
      <c r="CH108" s="176"/>
      <c r="CJ108" s="128"/>
      <c r="CK108" s="76">
        <f t="shared" ca="1" si="90"/>
        <v>0.41285826780590762</v>
      </c>
      <c r="CL108" s="179">
        <f t="shared" si="91"/>
        <v>1</v>
      </c>
      <c r="CM108" s="180">
        <f t="shared" si="92"/>
        <v>39714</v>
      </c>
      <c r="CN108">
        <v>0</v>
      </c>
      <c r="CO108">
        <v>1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W108">
        <v>1</v>
      </c>
      <c r="CX108">
        <f>300/48</f>
        <v>6.25</v>
      </c>
      <c r="CY108" s="158"/>
      <c r="CZ108" s="177">
        <f t="shared" si="93"/>
        <v>9.6000000000000002E-2</v>
      </c>
      <c r="DB108" s="128"/>
      <c r="DC108" s="76">
        <f t="shared" ca="1" si="51"/>
        <v>0.93366709481648602</v>
      </c>
      <c r="DD108">
        <f t="shared" si="94"/>
        <v>1</v>
      </c>
      <c r="DE108" s="129">
        <f t="shared" ref="DE108:DE117" si="128">IF((DD108)="", "", $C$6)</f>
        <v>39714</v>
      </c>
      <c r="DF108" s="161">
        <f t="shared" si="95"/>
        <v>0</v>
      </c>
      <c r="DG108" s="161">
        <f t="shared" si="96"/>
        <v>65.104166666666671</v>
      </c>
      <c r="DH108" s="161">
        <f t="shared" si="97"/>
        <v>0</v>
      </c>
      <c r="DI108" s="161">
        <f t="shared" si="98"/>
        <v>0</v>
      </c>
      <c r="DJ108" s="161">
        <f t="shared" si="99"/>
        <v>0</v>
      </c>
      <c r="DK108" s="161">
        <f t="shared" si="100"/>
        <v>0</v>
      </c>
      <c r="DL108" s="161">
        <f t="shared" si="101"/>
        <v>0</v>
      </c>
      <c r="DM108" s="161">
        <f t="shared" si="102"/>
        <v>0</v>
      </c>
      <c r="DN108" s="161">
        <f t="shared" si="103"/>
        <v>0</v>
      </c>
      <c r="DO108" s="161">
        <f t="shared" si="104"/>
        <v>0</v>
      </c>
      <c r="DP108" s="161">
        <f t="shared" si="105"/>
        <v>0</v>
      </c>
      <c r="DQ108" s="161">
        <f t="shared" si="106"/>
        <v>0</v>
      </c>
      <c r="DR108" s="161">
        <f t="shared" si="107"/>
        <v>0</v>
      </c>
      <c r="DS108" s="161">
        <f t="shared" si="108"/>
        <v>0</v>
      </c>
      <c r="DT108" s="161">
        <f t="shared" si="109"/>
        <v>0</v>
      </c>
      <c r="DU108" s="161">
        <f t="shared" si="110"/>
        <v>0</v>
      </c>
      <c r="DV108" s="161">
        <f t="shared" si="111"/>
        <v>0</v>
      </c>
      <c r="DW108" s="161">
        <f t="shared" si="112"/>
        <v>0</v>
      </c>
      <c r="DX108" s="161">
        <f t="shared" si="113"/>
        <v>0</v>
      </c>
      <c r="DY108" s="161">
        <f t="shared" si="114"/>
        <v>0</v>
      </c>
      <c r="DZ108" s="161">
        <f t="shared" si="115"/>
        <v>0</v>
      </c>
      <c r="EA108" s="161">
        <f t="shared" si="116"/>
        <v>0</v>
      </c>
      <c r="EB108" s="161">
        <f t="shared" si="117"/>
        <v>0</v>
      </c>
      <c r="EC108" s="161">
        <f t="shared" si="118"/>
        <v>0</v>
      </c>
      <c r="ED108" s="161">
        <f t="shared" si="119"/>
        <v>0</v>
      </c>
      <c r="EE108" s="161">
        <f t="shared" si="120"/>
        <v>0</v>
      </c>
      <c r="EF108" s="161">
        <f t="shared" si="121"/>
        <v>0</v>
      </c>
      <c r="EG108" s="161">
        <f t="shared" si="122"/>
        <v>0</v>
      </c>
      <c r="EH108" s="161">
        <f t="shared" si="123"/>
        <v>0</v>
      </c>
      <c r="EI108" s="161">
        <f t="shared" si="124"/>
        <v>0</v>
      </c>
      <c r="EJ108" s="161">
        <f t="shared" si="125"/>
        <v>0</v>
      </c>
      <c r="EK108" s="147">
        <f t="shared" si="55"/>
        <v>65.104166666666671</v>
      </c>
      <c r="EL108" s="149"/>
      <c r="EN108" s="146"/>
      <c r="EO108" s="146"/>
      <c r="EP108" s="139">
        <f t="shared" si="56"/>
        <v>0</v>
      </c>
      <c r="EQ108" s="139">
        <f t="shared" si="57"/>
        <v>1.130859375</v>
      </c>
      <c r="ER108" s="139">
        <f t="shared" si="58"/>
        <v>0</v>
      </c>
      <c r="ES108" s="139">
        <f t="shared" si="59"/>
        <v>0</v>
      </c>
      <c r="ET108" s="139">
        <f t="shared" si="60"/>
        <v>0</v>
      </c>
      <c r="EU108" s="139">
        <f t="shared" si="61"/>
        <v>0</v>
      </c>
      <c r="EV108" s="139">
        <f t="shared" si="62"/>
        <v>0</v>
      </c>
      <c r="EW108" s="139">
        <f t="shared" si="63"/>
        <v>0</v>
      </c>
      <c r="EX108" s="139">
        <f t="shared" si="64"/>
        <v>0</v>
      </c>
      <c r="EY108" s="139">
        <f t="shared" si="65"/>
        <v>0</v>
      </c>
      <c r="EZ108" s="139">
        <f t="shared" si="66"/>
        <v>0</v>
      </c>
      <c r="FA108" s="139">
        <f t="shared" si="67"/>
        <v>0</v>
      </c>
      <c r="FB108" s="139">
        <f t="shared" si="68"/>
        <v>0</v>
      </c>
      <c r="FC108" s="139">
        <f t="shared" si="69"/>
        <v>0</v>
      </c>
      <c r="FD108" s="139">
        <f t="shared" si="70"/>
        <v>0</v>
      </c>
      <c r="FE108" s="139">
        <f t="shared" si="71"/>
        <v>0</v>
      </c>
      <c r="FF108" s="139">
        <f t="shared" si="72"/>
        <v>0</v>
      </c>
      <c r="FG108" s="139">
        <f t="shared" si="73"/>
        <v>0</v>
      </c>
      <c r="FH108" s="139">
        <f t="shared" si="74"/>
        <v>0</v>
      </c>
      <c r="FI108" s="139">
        <f t="shared" si="75"/>
        <v>0</v>
      </c>
      <c r="FJ108" s="139">
        <f t="shared" si="76"/>
        <v>0</v>
      </c>
      <c r="FK108" s="139">
        <f t="shared" si="77"/>
        <v>0</v>
      </c>
      <c r="FL108" s="139">
        <f t="shared" si="78"/>
        <v>0</v>
      </c>
      <c r="FM108" s="139">
        <f t="shared" si="79"/>
        <v>0</v>
      </c>
      <c r="FN108" s="139">
        <f t="shared" si="80"/>
        <v>0</v>
      </c>
      <c r="FO108" s="139">
        <f t="shared" si="81"/>
        <v>0</v>
      </c>
      <c r="FP108" s="139">
        <f t="shared" si="82"/>
        <v>0</v>
      </c>
      <c r="FQ108" s="139">
        <f t="shared" si="83"/>
        <v>0</v>
      </c>
      <c r="FR108" s="139">
        <f t="shared" si="84"/>
        <v>0</v>
      </c>
      <c r="FS108" s="139">
        <f t="shared" si="85"/>
        <v>0</v>
      </c>
      <c r="FT108" s="139">
        <f t="shared" si="86"/>
        <v>0</v>
      </c>
      <c r="FU108" s="148">
        <f t="shared" si="87"/>
        <v>1.130859375</v>
      </c>
      <c r="FV108" s="149"/>
      <c r="FY108" s="211">
        <v>103</v>
      </c>
      <c r="FZ108">
        <v>0.43423329249782711</v>
      </c>
      <c r="GA108">
        <v>0.89809037690629978</v>
      </c>
      <c r="GB108">
        <v>0.93657936958400023</v>
      </c>
      <c r="GC108">
        <v>0.68153009990785518</v>
      </c>
      <c r="GD108">
        <v>0.30348436715495675</v>
      </c>
      <c r="GE108">
        <v>0.17531557690094995</v>
      </c>
      <c r="GF108">
        <v>1.1621547863886474</v>
      </c>
      <c r="GG108">
        <v>1.0578327695063923</v>
      </c>
      <c r="GH108">
        <v>6.6522953376906252E-2</v>
      </c>
      <c r="GI108">
        <v>0.68437631637816487</v>
      </c>
      <c r="GJ108"/>
      <c r="GK108">
        <v>0.43257187499999994</v>
      </c>
      <c r="GL108">
        <v>0.75609140624999993</v>
      </c>
      <c r="GM108">
        <v>1.5374009232954542</v>
      </c>
      <c r="GN108">
        <v>1.9988541599025973</v>
      </c>
      <c r="GO108">
        <v>1.1541602678571428</v>
      </c>
      <c r="GP108">
        <v>0.32934374999999999</v>
      </c>
      <c r="GQ108">
        <v>1.4014728260869567</v>
      </c>
      <c r="GR108">
        <v>1.47183740942029</v>
      </c>
      <c r="GS108">
        <v>7.0364583333333328E-2</v>
      </c>
      <c r="GT108">
        <v>0.9191940951145775</v>
      </c>
      <c r="GU108"/>
      <c r="GV108"/>
      <c r="GW108"/>
      <c r="GX108"/>
      <c r="GY108"/>
      <c r="GZ108"/>
      <c r="HA108"/>
      <c r="HB108"/>
      <c r="HC108"/>
    </row>
    <row r="109" spans="1:211" s="7" customFormat="1">
      <c r="A109" s="1"/>
      <c r="B109" s="76">
        <f t="shared" ca="1" si="50"/>
        <v>0.5316912035331085</v>
      </c>
      <c r="C109">
        <v>5</v>
      </c>
      <c r="D109">
        <v>39714</v>
      </c>
      <c r="E109">
        <v>0</v>
      </c>
      <c r="F109">
        <v>20.833333333333332</v>
      </c>
      <c r="G109">
        <v>72.916666666666671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 s="2"/>
      <c r="AK109" s="80"/>
      <c r="AL109" s="74"/>
      <c r="AM109" s="43">
        <v>93</v>
      </c>
      <c r="AN109">
        <v>59.378182693088391</v>
      </c>
      <c r="AO109">
        <v>1.2056706623382214</v>
      </c>
      <c r="AP109">
        <v>19.784243735825481</v>
      </c>
      <c r="AQ109">
        <v>8.3718221710563263</v>
      </c>
      <c r="AR109">
        <v>1.098272772143138</v>
      </c>
      <c r="AS109">
        <v>4.6470641524861067</v>
      </c>
      <c r="AT109" t="e">
        <v>#DIV/0!</v>
      </c>
      <c r="AU109" t="e">
        <v>#DIV/0!</v>
      </c>
      <c r="AV109"/>
      <c r="AW109"/>
      <c r="AX109" s="146"/>
      <c r="AY109" s="76">
        <f t="shared" ca="1" si="88"/>
        <v>0.8800679477492821</v>
      </c>
      <c r="AZ109">
        <v>2</v>
      </c>
      <c r="BA109" s="129">
        <f t="shared" ref="BA109:BA117" si="129">IF(AZ109="", "",$C$6)</f>
        <v>39714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 s="147"/>
      <c r="CH109" s="176"/>
      <c r="CJ109" s="146"/>
      <c r="CK109" s="76">
        <f t="shared" ca="1" si="90"/>
        <v>0.63708544021926916</v>
      </c>
      <c r="CL109" s="179">
        <f t="shared" si="91"/>
        <v>2</v>
      </c>
      <c r="CM109" s="180">
        <f t="shared" si="92"/>
        <v>39714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W109">
        <v>1</v>
      </c>
      <c r="CX109">
        <v>1</v>
      </c>
      <c r="CY109" s="158"/>
      <c r="CZ109" s="177">
        <f t="shared" si="93"/>
        <v>9.6000000000000002E-2</v>
      </c>
      <c r="DB109" s="146"/>
      <c r="DC109" s="76">
        <f t="shared" ca="1" si="51"/>
        <v>1.4778142833564267E-2</v>
      </c>
      <c r="DD109">
        <f t="shared" si="94"/>
        <v>2</v>
      </c>
      <c r="DE109" s="129">
        <f t="shared" si="128"/>
        <v>39714</v>
      </c>
      <c r="DF109" s="161">
        <f t="shared" si="95"/>
        <v>0</v>
      </c>
      <c r="DG109" s="161">
        <f t="shared" si="96"/>
        <v>0</v>
      </c>
      <c r="DH109" s="161">
        <f t="shared" si="97"/>
        <v>0</v>
      </c>
      <c r="DI109" s="161">
        <f t="shared" si="98"/>
        <v>0</v>
      </c>
      <c r="DJ109" s="161">
        <f t="shared" si="99"/>
        <v>0</v>
      </c>
      <c r="DK109" s="161">
        <f t="shared" si="100"/>
        <v>0</v>
      </c>
      <c r="DL109" s="161">
        <f t="shared" si="101"/>
        <v>0</v>
      </c>
      <c r="DM109" s="161">
        <f t="shared" si="102"/>
        <v>0</v>
      </c>
      <c r="DN109" s="161">
        <f t="shared" si="103"/>
        <v>0</v>
      </c>
      <c r="DO109" s="161">
        <f t="shared" si="104"/>
        <v>0</v>
      </c>
      <c r="DP109" s="161">
        <f t="shared" si="105"/>
        <v>0</v>
      </c>
      <c r="DQ109" s="161">
        <f t="shared" si="106"/>
        <v>0</v>
      </c>
      <c r="DR109" s="161">
        <f t="shared" si="107"/>
        <v>0</v>
      </c>
      <c r="DS109" s="161">
        <f t="shared" si="108"/>
        <v>0</v>
      </c>
      <c r="DT109" s="161">
        <f t="shared" si="109"/>
        <v>0</v>
      </c>
      <c r="DU109" s="161">
        <f t="shared" si="110"/>
        <v>0</v>
      </c>
      <c r="DV109" s="161">
        <f t="shared" si="111"/>
        <v>0</v>
      </c>
      <c r="DW109" s="161">
        <f t="shared" si="112"/>
        <v>0</v>
      </c>
      <c r="DX109" s="161">
        <f t="shared" si="113"/>
        <v>0</v>
      </c>
      <c r="DY109" s="161">
        <f t="shared" si="114"/>
        <v>0</v>
      </c>
      <c r="DZ109" s="161">
        <f t="shared" si="115"/>
        <v>0</v>
      </c>
      <c r="EA109" s="161">
        <f t="shared" si="116"/>
        <v>0</v>
      </c>
      <c r="EB109" s="161">
        <f t="shared" si="117"/>
        <v>0</v>
      </c>
      <c r="EC109" s="161">
        <f t="shared" si="118"/>
        <v>0</v>
      </c>
      <c r="ED109" s="161">
        <f t="shared" si="119"/>
        <v>0</v>
      </c>
      <c r="EE109" s="161">
        <f t="shared" si="120"/>
        <v>0</v>
      </c>
      <c r="EF109" s="161">
        <f t="shared" si="121"/>
        <v>0</v>
      </c>
      <c r="EG109" s="161">
        <f t="shared" si="122"/>
        <v>0</v>
      </c>
      <c r="EH109" s="161">
        <f t="shared" si="123"/>
        <v>0</v>
      </c>
      <c r="EI109" s="161">
        <f t="shared" si="124"/>
        <v>0</v>
      </c>
      <c r="EJ109" s="161">
        <f t="shared" si="125"/>
        <v>0</v>
      </c>
      <c r="EK109" s="147">
        <f t="shared" si="55"/>
        <v>0</v>
      </c>
      <c r="EL109" s="149"/>
      <c r="EN109" s="146"/>
      <c r="EO109" s="146"/>
      <c r="EP109" s="139">
        <f t="shared" si="56"/>
        <v>0</v>
      </c>
      <c r="EQ109" s="139">
        <f t="shared" si="57"/>
        <v>0</v>
      </c>
      <c r="ER109" s="139">
        <f t="shared" si="58"/>
        <v>0</v>
      </c>
      <c r="ES109" s="139">
        <f t="shared" si="59"/>
        <v>0</v>
      </c>
      <c r="ET109" s="139">
        <f t="shared" si="60"/>
        <v>0</v>
      </c>
      <c r="EU109" s="139">
        <f t="shared" si="61"/>
        <v>0</v>
      </c>
      <c r="EV109" s="139">
        <f t="shared" si="62"/>
        <v>0</v>
      </c>
      <c r="EW109" s="139">
        <f t="shared" si="63"/>
        <v>0</v>
      </c>
      <c r="EX109" s="139">
        <f t="shared" si="64"/>
        <v>0</v>
      </c>
      <c r="EY109" s="139">
        <f t="shared" si="65"/>
        <v>0</v>
      </c>
      <c r="EZ109" s="139">
        <f t="shared" si="66"/>
        <v>0</v>
      </c>
      <c r="FA109" s="139">
        <f t="shared" si="67"/>
        <v>0</v>
      </c>
      <c r="FB109" s="139">
        <f t="shared" si="68"/>
        <v>0</v>
      </c>
      <c r="FC109" s="139">
        <f t="shared" si="69"/>
        <v>0</v>
      </c>
      <c r="FD109" s="139">
        <f t="shared" si="70"/>
        <v>0</v>
      </c>
      <c r="FE109" s="139">
        <f t="shared" si="71"/>
        <v>0</v>
      </c>
      <c r="FF109" s="139">
        <f t="shared" si="72"/>
        <v>0</v>
      </c>
      <c r="FG109" s="139">
        <f t="shared" si="73"/>
        <v>0</v>
      </c>
      <c r="FH109" s="139">
        <f t="shared" si="74"/>
        <v>0</v>
      </c>
      <c r="FI109" s="139">
        <f t="shared" si="75"/>
        <v>0</v>
      </c>
      <c r="FJ109" s="139">
        <f t="shared" si="76"/>
        <v>0</v>
      </c>
      <c r="FK109" s="139">
        <f t="shared" si="77"/>
        <v>0</v>
      </c>
      <c r="FL109" s="139">
        <f t="shared" si="78"/>
        <v>0</v>
      </c>
      <c r="FM109" s="139">
        <f t="shared" si="79"/>
        <v>0</v>
      </c>
      <c r="FN109" s="139">
        <f t="shared" si="80"/>
        <v>0</v>
      </c>
      <c r="FO109" s="139">
        <f t="shared" si="81"/>
        <v>0</v>
      </c>
      <c r="FP109" s="139">
        <f t="shared" si="82"/>
        <v>0</v>
      </c>
      <c r="FQ109" s="139">
        <f t="shared" si="83"/>
        <v>0</v>
      </c>
      <c r="FR109" s="139">
        <f t="shared" si="84"/>
        <v>0</v>
      </c>
      <c r="FS109" s="139">
        <f t="shared" si="85"/>
        <v>0</v>
      </c>
      <c r="FT109" s="139">
        <f t="shared" si="86"/>
        <v>0</v>
      </c>
      <c r="FU109" s="148">
        <f t="shared" si="87"/>
        <v>0</v>
      </c>
      <c r="FV109" s="149"/>
      <c r="FY109" s="211">
        <v>104</v>
      </c>
      <c r="FZ109">
        <v>0.13807350144798747</v>
      </c>
      <c r="GA109">
        <v>0.36168688559454254</v>
      </c>
      <c r="GB109">
        <v>0.73270064847081429</v>
      </c>
      <c r="GC109">
        <v>0.47247311130221947</v>
      </c>
      <c r="GD109">
        <v>0.14872036947839679</v>
      </c>
      <c r="GE109">
        <v>0.14544153044257502</v>
      </c>
      <c r="GF109">
        <v>0.9090953625792253</v>
      </c>
      <c r="GG109">
        <v>0.81887252380421982</v>
      </c>
      <c r="GH109">
        <v>0.15603164258923619</v>
      </c>
      <c r="GI109">
        <v>0.47168231152182422</v>
      </c>
      <c r="GJ109"/>
      <c r="GK109">
        <v>0.13762499999999997</v>
      </c>
      <c r="GL109">
        <v>0.30455859375</v>
      </c>
      <c r="GM109">
        <v>1.2027290482954545</v>
      </c>
      <c r="GN109">
        <v>1.3866775974025973</v>
      </c>
      <c r="GO109">
        <v>0.56627276785714287</v>
      </c>
      <c r="GP109">
        <v>0.27323437500000003</v>
      </c>
      <c r="GQ109">
        <v>1.0963777173913045</v>
      </c>
      <c r="GR109">
        <v>1.1394193840579709</v>
      </c>
      <c r="GS109">
        <v>0.16502303685897435</v>
      </c>
      <c r="GT109">
        <v>0.63360551408057519</v>
      </c>
      <c r="GU109"/>
      <c r="GV109"/>
      <c r="GW109"/>
      <c r="GX109"/>
      <c r="GY109"/>
      <c r="GZ109"/>
      <c r="HA109"/>
      <c r="HB109"/>
      <c r="HC109"/>
    </row>
    <row r="110" spans="1:211" s="7" customFormat="1">
      <c r="A110" s="1"/>
      <c r="B110" s="76">
        <f t="shared" ca="1" si="50"/>
        <v>0.28037768959499232</v>
      </c>
      <c r="C110">
        <v>10</v>
      </c>
      <c r="D110">
        <v>39714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 s="2"/>
      <c r="AK110" s="80"/>
      <c r="AL110" s="74"/>
      <c r="AM110" s="43">
        <v>94</v>
      </c>
      <c r="AN110">
        <v>41.371371187363835</v>
      </c>
      <c r="AO110">
        <v>1.0230172984068626</v>
      </c>
      <c r="AP110">
        <v>0.69044365691870113</v>
      </c>
      <c r="AQ110">
        <v>7.5884073670828851</v>
      </c>
      <c r="AR110">
        <v>0.95174868036987514</v>
      </c>
      <c r="AS110">
        <v>3.19167444558733</v>
      </c>
      <c r="AT110" t="e">
        <v>#DIV/0!</v>
      </c>
      <c r="AU110" t="e">
        <v>#DIV/0!</v>
      </c>
      <c r="AV110"/>
      <c r="AW110"/>
      <c r="AX110" s="146"/>
      <c r="AY110" s="76">
        <f t="shared" ca="1" si="88"/>
        <v>0.11736830711974733</v>
      </c>
      <c r="AZ110">
        <v>3</v>
      </c>
      <c r="BA110" s="129">
        <f t="shared" si="129"/>
        <v>39714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 s="147"/>
      <c r="CH110" s="176"/>
      <c r="CJ110" s="146"/>
      <c r="CK110" s="76">
        <f t="shared" ca="1" si="90"/>
        <v>0.9139762849080173</v>
      </c>
      <c r="CL110" s="179">
        <f t="shared" si="91"/>
        <v>3</v>
      </c>
      <c r="CM110" s="180">
        <f t="shared" si="92"/>
        <v>39714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W110">
        <v>1</v>
      </c>
      <c r="CX110">
        <f>300/32</f>
        <v>9.375</v>
      </c>
      <c r="CY110" s="158"/>
      <c r="CZ110" s="177">
        <f t="shared" si="93"/>
        <v>9.6000000000000002E-2</v>
      </c>
      <c r="DB110" s="146"/>
      <c r="DC110" s="76">
        <f t="shared" ca="1" si="51"/>
        <v>0.79310432867981118</v>
      </c>
      <c r="DD110">
        <f t="shared" si="94"/>
        <v>3</v>
      </c>
      <c r="DE110" s="129">
        <f t="shared" si="128"/>
        <v>39714</v>
      </c>
      <c r="DF110" s="161">
        <f t="shared" si="95"/>
        <v>0</v>
      </c>
      <c r="DG110" s="161">
        <f t="shared" si="96"/>
        <v>0</v>
      </c>
      <c r="DH110" s="161">
        <f t="shared" si="97"/>
        <v>0</v>
      </c>
      <c r="DI110" s="161">
        <f t="shared" si="98"/>
        <v>0</v>
      </c>
      <c r="DJ110" s="161">
        <f t="shared" si="99"/>
        <v>0</v>
      </c>
      <c r="DK110" s="161">
        <f t="shared" si="100"/>
        <v>0</v>
      </c>
      <c r="DL110" s="161">
        <f t="shared" si="101"/>
        <v>0</v>
      </c>
      <c r="DM110" s="161">
        <f t="shared" si="102"/>
        <v>0</v>
      </c>
      <c r="DN110" s="161">
        <f t="shared" si="103"/>
        <v>0</v>
      </c>
      <c r="DO110" s="161">
        <f t="shared" si="104"/>
        <v>0</v>
      </c>
      <c r="DP110" s="161">
        <f t="shared" si="105"/>
        <v>0</v>
      </c>
      <c r="DQ110" s="161">
        <f t="shared" si="106"/>
        <v>0</v>
      </c>
      <c r="DR110" s="161">
        <f t="shared" si="107"/>
        <v>0</v>
      </c>
      <c r="DS110" s="161">
        <f t="shared" si="108"/>
        <v>0</v>
      </c>
      <c r="DT110" s="161">
        <f t="shared" si="109"/>
        <v>0</v>
      </c>
      <c r="DU110" s="161">
        <f t="shared" si="110"/>
        <v>0</v>
      </c>
      <c r="DV110" s="161">
        <f t="shared" si="111"/>
        <v>0</v>
      </c>
      <c r="DW110" s="161">
        <f t="shared" si="112"/>
        <v>0</v>
      </c>
      <c r="DX110" s="161">
        <f t="shared" si="113"/>
        <v>0</v>
      </c>
      <c r="DY110" s="161">
        <f t="shared" si="114"/>
        <v>0</v>
      </c>
      <c r="DZ110" s="161">
        <f t="shared" si="115"/>
        <v>0</v>
      </c>
      <c r="EA110" s="161">
        <f t="shared" si="116"/>
        <v>0</v>
      </c>
      <c r="EB110" s="161">
        <f t="shared" si="117"/>
        <v>0</v>
      </c>
      <c r="EC110" s="161">
        <f t="shared" si="118"/>
        <v>0</v>
      </c>
      <c r="ED110" s="161">
        <f t="shared" si="119"/>
        <v>0</v>
      </c>
      <c r="EE110" s="161">
        <f t="shared" si="120"/>
        <v>0</v>
      </c>
      <c r="EF110" s="161">
        <f t="shared" si="121"/>
        <v>0</v>
      </c>
      <c r="EG110" s="161">
        <f t="shared" si="122"/>
        <v>0</v>
      </c>
      <c r="EH110" s="161">
        <f t="shared" si="123"/>
        <v>0</v>
      </c>
      <c r="EI110" s="161">
        <f t="shared" si="124"/>
        <v>0</v>
      </c>
      <c r="EJ110" s="161">
        <f t="shared" si="125"/>
        <v>0</v>
      </c>
      <c r="EK110" s="147">
        <f t="shared" si="55"/>
        <v>0</v>
      </c>
      <c r="EL110" s="149"/>
      <c r="EN110" s="146"/>
      <c r="EO110" s="146"/>
      <c r="EP110" s="139">
        <f t="shared" si="56"/>
        <v>0</v>
      </c>
      <c r="EQ110" s="139">
        <f t="shared" si="57"/>
        <v>0</v>
      </c>
      <c r="ER110" s="139">
        <f t="shared" si="58"/>
        <v>0</v>
      </c>
      <c r="ES110" s="139">
        <f t="shared" si="59"/>
        <v>0</v>
      </c>
      <c r="ET110" s="139">
        <f t="shared" si="60"/>
        <v>0</v>
      </c>
      <c r="EU110" s="139">
        <f t="shared" si="61"/>
        <v>0</v>
      </c>
      <c r="EV110" s="139">
        <f t="shared" si="62"/>
        <v>0</v>
      </c>
      <c r="EW110" s="139">
        <f t="shared" si="63"/>
        <v>0</v>
      </c>
      <c r="EX110" s="139">
        <f t="shared" si="64"/>
        <v>0</v>
      </c>
      <c r="EY110" s="139">
        <f t="shared" si="65"/>
        <v>0</v>
      </c>
      <c r="EZ110" s="139">
        <f t="shared" si="66"/>
        <v>0</v>
      </c>
      <c r="FA110" s="139">
        <f t="shared" si="67"/>
        <v>0</v>
      </c>
      <c r="FB110" s="139">
        <f t="shared" si="68"/>
        <v>0</v>
      </c>
      <c r="FC110" s="139">
        <f t="shared" si="69"/>
        <v>0</v>
      </c>
      <c r="FD110" s="139">
        <f t="shared" si="70"/>
        <v>0</v>
      </c>
      <c r="FE110" s="139">
        <f t="shared" si="71"/>
        <v>0</v>
      </c>
      <c r="FF110" s="139">
        <f t="shared" si="72"/>
        <v>0</v>
      </c>
      <c r="FG110" s="139">
        <f t="shared" si="73"/>
        <v>0</v>
      </c>
      <c r="FH110" s="139">
        <f t="shared" si="74"/>
        <v>0</v>
      </c>
      <c r="FI110" s="139">
        <f t="shared" si="75"/>
        <v>0</v>
      </c>
      <c r="FJ110" s="139">
        <f t="shared" si="76"/>
        <v>0</v>
      </c>
      <c r="FK110" s="139">
        <f t="shared" si="77"/>
        <v>0</v>
      </c>
      <c r="FL110" s="139">
        <f t="shared" si="78"/>
        <v>0</v>
      </c>
      <c r="FM110" s="139">
        <f t="shared" si="79"/>
        <v>0</v>
      </c>
      <c r="FN110" s="139">
        <f t="shared" si="80"/>
        <v>0</v>
      </c>
      <c r="FO110" s="139">
        <f t="shared" si="81"/>
        <v>0</v>
      </c>
      <c r="FP110" s="139">
        <f t="shared" si="82"/>
        <v>0</v>
      </c>
      <c r="FQ110" s="139">
        <f t="shared" si="83"/>
        <v>0</v>
      </c>
      <c r="FR110" s="139">
        <f t="shared" si="84"/>
        <v>0</v>
      </c>
      <c r="FS110" s="139">
        <f t="shared" si="85"/>
        <v>0</v>
      </c>
      <c r="FT110" s="139">
        <f t="shared" si="86"/>
        <v>0</v>
      </c>
      <c r="FU110" s="148">
        <f t="shared" si="87"/>
        <v>0</v>
      </c>
      <c r="FV110" s="149"/>
      <c r="FY110" s="211">
        <v>105</v>
      </c>
      <c r="FZ110">
        <v>0.36514200012448772</v>
      </c>
      <c r="GA110">
        <v>0.87918775315297581</v>
      </c>
      <c r="GB110">
        <v>0.29978619205203283</v>
      </c>
      <c r="GC110">
        <v>0.30805281207330881</v>
      </c>
      <c r="GD110">
        <v>0.28255457300843251</v>
      </c>
      <c r="GE110">
        <v>0.13195459564267503</v>
      </c>
      <c r="GF110">
        <v>0.49395954912409079</v>
      </c>
      <c r="GG110">
        <v>0.52933036966390667</v>
      </c>
      <c r="GH110">
        <v>0.15603164258923619</v>
      </c>
      <c r="GI110">
        <v>0.400804260355759</v>
      </c>
      <c r="GJ110"/>
      <c r="GK110">
        <v>0.36377812499999995</v>
      </c>
      <c r="GL110">
        <v>0.74027812500000001</v>
      </c>
      <c r="GM110">
        <v>0.49173437500000006</v>
      </c>
      <c r="GN110">
        <v>0.90232187500000016</v>
      </c>
      <c r="GO110">
        <v>1.074853125</v>
      </c>
      <c r="GP110">
        <v>0.24792187500000001</v>
      </c>
      <c r="GQ110">
        <v>0.59590760869565207</v>
      </c>
      <c r="GR110">
        <v>0.73663677536231864</v>
      </c>
      <c r="GS110">
        <v>0.16502303685897435</v>
      </c>
      <c r="GT110">
        <v>0.53825925411092534</v>
      </c>
      <c r="GU110"/>
      <c r="GV110"/>
      <c r="GW110"/>
      <c r="GX110"/>
      <c r="GY110"/>
      <c r="GZ110"/>
      <c r="HA110"/>
      <c r="HB110"/>
      <c r="HC110"/>
    </row>
    <row r="111" spans="1:211" s="7" customFormat="1">
      <c r="A111" s="1"/>
      <c r="B111" s="76">
        <f t="shared" ca="1" si="50"/>
        <v>0.68345233837655339</v>
      </c>
      <c r="C111">
        <v>4</v>
      </c>
      <c r="D111">
        <v>39714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 s="2"/>
      <c r="AK111" s="80"/>
      <c r="AL111" s="74"/>
      <c r="AM111" s="43">
        <v>95</v>
      </c>
      <c r="AN111">
        <v>43.368690091699996</v>
      </c>
      <c r="AO111">
        <v>0.93986279791092853</v>
      </c>
      <c r="AP111">
        <v>12.543426574687588</v>
      </c>
      <c r="AQ111">
        <v>6.8497691298838603</v>
      </c>
      <c r="AR111">
        <v>0.88198437266378127</v>
      </c>
      <c r="AS111">
        <v>3.699856657936452</v>
      </c>
      <c r="AT111" t="e">
        <v>#DIV/0!</v>
      </c>
      <c r="AU111" t="e">
        <v>#DIV/0!</v>
      </c>
      <c r="AV111"/>
      <c r="AW111"/>
      <c r="AX111" s="146"/>
      <c r="AY111" s="76">
        <f t="shared" ca="1" si="88"/>
        <v>0.37661066436346946</v>
      </c>
      <c r="AZ111">
        <v>4</v>
      </c>
      <c r="BA111" s="129">
        <f t="shared" si="129"/>
        <v>39714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 s="147"/>
      <c r="CH111" s="176"/>
      <c r="CJ111" s="146"/>
      <c r="CK111" s="76">
        <f t="shared" ca="1" si="90"/>
        <v>0.16477290457438976</v>
      </c>
      <c r="CL111" s="179">
        <f t="shared" si="91"/>
        <v>4</v>
      </c>
      <c r="CM111" s="180">
        <f t="shared" si="92"/>
        <v>39714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W111">
        <v>1</v>
      </c>
      <c r="CX111">
        <v>1</v>
      </c>
      <c r="CY111" s="158"/>
      <c r="CZ111" s="177">
        <f t="shared" si="93"/>
        <v>9.6000000000000002E-2</v>
      </c>
      <c r="DB111" s="146"/>
      <c r="DC111" s="76">
        <f t="shared" ca="1" si="51"/>
        <v>0.50249044341326798</v>
      </c>
      <c r="DD111">
        <f t="shared" si="94"/>
        <v>4</v>
      </c>
      <c r="DE111" s="129">
        <f t="shared" si="128"/>
        <v>39714</v>
      </c>
      <c r="DF111" s="161">
        <f t="shared" si="95"/>
        <v>0</v>
      </c>
      <c r="DG111" s="161">
        <f t="shared" si="96"/>
        <v>0</v>
      </c>
      <c r="DH111" s="161">
        <f t="shared" si="97"/>
        <v>0</v>
      </c>
      <c r="DI111" s="161">
        <f t="shared" si="98"/>
        <v>0</v>
      </c>
      <c r="DJ111" s="161">
        <f t="shared" si="99"/>
        <v>0</v>
      </c>
      <c r="DK111" s="161">
        <f t="shared" si="100"/>
        <v>0</v>
      </c>
      <c r="DL111" s="161">
        <f t="shared" si="101"/>
        <v>0</v>
      </c>
      <c r="DM111" s="161">
        <f t="shared" si="102"/>
        <v>0</v>
      </c>
      <c r="DN111" s="161">
        <f t="shared" si="103"/>
        <v>0</v>
      </c>
      <c r="DO111" s="161">
        <f t="shared" si="104"/>
        <v>0</v>
      </c>
      <c r="DP111" s="161">
        <f t="shared" si="105"/>
        <v>0</v>
      </c>
      <c r="DQ111" s="161">
        <f t="shared" si="106"/>
        <v>0</v>
      </c>
      <c r="DR111" s="161">
        <f t="shared" si="107"/>
        <v>0</v>
      </c>
      <c r="DS111" s="161">
        <f t="shared" si="108"/>
        <v>0</v>
      </c>
      <c r="DT111" s="161">
        <f t="shared" si="109"/>
        <v>0</v>
      </c>
      <c r="DU111" s="161">
        <f t="shared" si="110"/>
        <v>0</v>
      </c>
      <c r="DV111" s="161">
        <f t="shared" si="111"/>
        <v>0</v>
      </c>
      <c r="DW111" s="161">
        <f t="shared" si="112"/>
        <v>0</v>
      </c>
      <c r="DX111" s="161">
        <f t="shared" si="113"/>
        <v>0</v>
      </c>
      <c r="DY111" s="161">
        <f t="shared" si="114"/>
        <v>0</v>
      </c>
      <c r="DZ111" s="161">
        <f t="shared" si="115"/>
        <v>0</v>
      </c>
      <c r="EA111" s="161">
        <f t="shared" si="116"/>
        <v>0</v>
      </c>
      <c r="EB111" s="161">
        <f t="shared" si="117"/>
        <v>0</v>
      </c>
      <c r="EC111" s="161">
        <f t="shared" si="118"/>
        <v>0</v>
      </c>
      <c r="ED111" s="161">
        <f t="shared" si="119"/>
        <v>0</v>
      </c>
      <c r="EE111" s="161">
        <f t="shared" si="120"/>
        <v>0</v>
      </c>
      <c r="EF111" s="161">
        <f t="shared" si="121"/>
        <v>0</v>
      </c>
      <c r="EG111" s="161">
        <f t="shared" si="122"/>
        <v>0</v>
      </c>
      <c r="EH111" s="161">
        <f t="shared" si="123"/>
        <v>0</v>
      </c>
      <c r="EI111" s="161">
        <f t="shared" si="124"/>
        <v>0</v>
      </c>
      <c r="EJ111" s="161">
        <f t="shared" si="125"/>
        <v>0</v>
      </c>
      <c r="EK111" s="147">
        <f t="shared" si="55"/>
        <v>0</v>
      </c>
      <c r="EL111" s="149"/>
      <c r="EN111" s="146"/>
      <c r="EO111" s="146"/>
      <c r="EP111" s="139">
        <f t="shared" si="56"/>
        <v>0</v>
      </c>
      <c r="EQ111" s="139">
        <f t="shared" si="57"/>
        <v>0</v>
      </c>
      <c r="ER111" s="139">
        <f t="shared" si="58"/>
        <v>0</v>
      </c>
      <c r="ES111" s="139">
        <f t="shared" si="59"/>
        <v>0</v>
      </c>
      <c r="ET111" s="139">
        <f t="shared" si="60"/>
        <v>0</v>
      </c>
      <c r="EU111" s="139">
        <f t="shared" si="61"/>
        <v>0</v>
      </c>
      <c r="EV111" s="139">
        <f t="shared" si="62"/>
        <v>0</v>
      </c>
      <c r="EW111" s="139">
        <f t="shared" si="63"/>
        <v>0</v>
      </c>
      <c r="EX111" s="139">
        <f t="shared" si="64"/>
        <v>0</v>
      </c>
      <c r="EY111" s="139">
        <f t="shared" si="65"/>
        <v>0</v>
      </c>
      <c r="EZ111" s="139">
        <f t="shared" si="66"/>
        <v>0</v>
      </c>
      <c r="FA111" s="139">
        <f t="shared" si="67"/>
        <v>0</v>
      </c>
      <c r="FB111" s="139">
        <f t="shared" si="68"/>
        <v>0</v>
      </c>
      <c r="FC111" s="139">
        <f t="shared" si="69"/>
        <v>0</v>
      </c>
      <c r="FD111" s="139">
        <f t="shared" si="70"/>
        <v>0</v>
      </c>
      <c r="FE111" s="139">
        <f t="shared" si="71"/>
        <v>0</v>
      </c>
      <c r="FF111" s="139">
        <f t="shared" si="72"/>
        <v>0</v>
      </c>
      <c r="FG111" s="139">
        <f t="shared" si="73"/>
        <v>0</v>
      </c>
      <c r="FH111" s="139">
        <f t="shared" si="74"/>
        <v>0</v>
      </c>
      <c r="FI111" s="139">
        <f t="shared" si="75"/>
        <v>0</v>
      </c>
      <c r="FJ111" s="139">
        <f t="shared" si="76"/>
        <v>0</v>
      </c>
      <c r="FK111" s="139">
        <f t="shared" si="77"/>
        <v>0</v>
      </c>
      <c r="FL111" s="139">
        <f t="shared" si="78"/>
        <v>0</v>
      </c>
      <c r="FM111" s="139">
        <f t="shared" si="79"/>
        <v>0</v>
      </c>
      <c r="FN111" s="139">
        <f t="shared" si="80"/>
        <v>0</v>
      </c>
      <c r="FO111" s="139">
        <f t="shared" si="81"/>
        <v>0</v>
      </c>
      <c r="FP111" s="139">
        <f t="shared" si="82"/>
        <v>0</v>
      </c>
      <c r="FQ111" s="139">
        <f t="shared" si="83"/>
        <v>0</v>
      </c>
      <c r="FR111" s="139">
        <f t="shared" si="84"/>
        <v>0</v>
      </c>
      <c r="FS111" s="139">
        <f t="shared" si="85"/>
        <v>0</v>
      </c>
      <c r="FT111" s="139">
        <f t="shared" si="86"/>
        <v>0</v>
      </c>
      <c r="FU111" s="148">
        <f t="shared" si="87"/>
        <v>0</v>
      </c>
      <c r="FV111" s="149"/>
      <c r="FY111" s="211">
        <v>106</v>
      </c>
      <c r="FZ111">
        <v>0.40152107014902838</v>
      </c>
      <c r="GA111">
        <v>0.9887634696413492</v>
      </c>
      <c r="GB111">
        <v>1.3630599285745217</v>
      </c>
      <c r="GC111">
        <v>0.88779400382113038</v>
      </c>
      <c r="GD111">
        <v>0.24777500140327183</v>
      </c>
      <c r="GE111">
        <v>8.088342136492499E-2</v>
      </c>
      <c r="GF111">
        <v>0.37461671604370633</v>
      </c>
      <c r="GG111">
        <v>0.39070597101659427</v>
      </c>
      <c r="GH111">
        <v>0.15603164258923619</v>
      </c>
      <c r="GI111">
        <v>0.62485611134320296</v>
      </c>
      <c r="GJ111"/>
      <c r="GK111">
        <v>0.40005937499999994</v>
      </c>
      <c r="GL111">
        <v>0.83285624999999985</v>
      </c>
      <c r="GM111">
        <v>2.2383721590909089</v>
      </c>
      <c r="GN111">
        <v>2.6050511769480518</v>
      </c>
      <c r="GO111">
        <v>0.94249151785714291</v>
      </c>
      <c r="GP111">
        <v>0.15201562499999999</v>
      </c>
      <c r="GQ111">
        <v>0.45162635869565215</v>
      </c>
      <c r="GR111">
        <v>0.54351177536231876</v>
      </c>
      <c r="GS111">
        <v>0.16502303685897435</v>
      </c>
      <c r="GT111">
        <v>0.83951448950053553</v>
      </c>
      <c r="GU111"/>
      <c r="GV111"/>
      <c r="GW111"/>
      <c r="GX111"/>
      <c r="GY111"/>
      <c r="GZ111"/>
      <c r="HA111"/>
      <c r="HB111"/>
      <c r="HC111"/>
    </row>
    <row r="112" spans="1:211" s="7" customFormat="1">
      <c r="A112" s="1"/>
      <c r="B112" s="76">
        <f t="shared" ca="1" si="50"/>
        <v>0.36234430104279625</v>
      </c>
      <c r="C112">
        <v>8</v>
      </c>
      <c r="D112">
        <v>39714</v>
      </c>
      <c r="E112">
        <v>0</v>
      </c>
      <c r="F112">
        <v>104.16666666666667</v>
      </c>
      <c r="G112">
        <v>31.25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 s="2"/>
      <c r="AK112" s="80"/>
      <c r="AL112" s="74"/>
      <c r="AM112" s="43">
        <v>96</v>
      </c>
      <c r="AN112">
        <v>33.851049270274807</v>
      </c>
      <c r="AO112">
        <v>0.86459277390159639</v>
      </c>
      <c r="AP112">
        <v>1.7709419136545723</v>
      </c>
      <c r="AQ112">
        <v>5.579589423819157</v>
      </c>
      <c r="AR112">
        <v>0.79544628265529749</v>
      </c>
      <c r="AS112">
        <v>2.8093746539744</v>
      </c>
      <c r="AT112">
        <v>0.54490178614252816</v>
      </c>
      <c r="AU112">
        <v>1.2107145578087466E-2</v>
      </c>
      <c r="AV112"/>
      <c r="AW112"/>
      <c r="AX112" s="146"/>
      <c r="AY112" s="76">
        <f t="shared" ca="1" si="88"/>
        <v>0.44364849055813238</v>
      </c>
      <c r="AZ112">
        <v>5</v>
      </c>
      <c r="BA112" s="129">
        <f t="shared" si="129"/>
        <v>39714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 s="147"/>
      <c r="CH112" s="176"/>
      <c r="CJ112" s="146"/>
      <c r="CK112" s="76">
        <f t="shared" ca="1" si="90"/>
        <v>0.39482660197797426</v>
      </c>
      <c r="CL112" s="179">
        <f t="shared" si="91"/>
        <v>5</v>
      </c>
      <c r="CM112" s="180">
        <f t="shared" si="92"/>
        <v>39714</v>
      </c>
      <c r="CN112">
        <v>0</v>
      </c>
      <c r="CO112">
        <v>2</v>
      </c>
      <c r="CP112">
        <v>7</v>
      </c>
      <c r="CQ112">
        <v>0</v>
      </c>
      <c r="CR112">
        <v>0</v>
      </c>
      <c r="CS112">
        <v>0</v>
      </c>
      <c r="CT112">
        <v>0</v>
      </c>
      <c r="CU112">
        <v>0</v>
      </c>
      <c r="CW112">
        <v>1</v>
      </c>
      <c r="CX112">
        <v>1</v>
      </c>
      <c r="CY112" s="158"/>
      <c r="CZ112" s="177">
        <f t="shared" si="93"/>
        <v>9.6000000000000002E-2</v>
      </c>
      <c r="DB112" s="146"/>
      <c r="DC112" s="76">
        <f t="shared" ca="1" si="51"/>
        <v>0.85282837778908416</v>
      </c>
      <c r="DD112">
        <f t="shared" si="94"/>
        <v>5</v>
      </c>
      <c r="DE112" s="129">
        <f t="shared" si="128"/>
        <v>39714</v>
      </c>
      <c r="DF112" s="161">
        <f t="shared" si="95"/>
        <v>0</v>
      </c>
      <c r="DG112" s="161">
        <f t="shared" si="96"/>
        <v>20.833333333333332</v>
      </c>
      <c r="DH112" s="161">
        <f t="shared" si="97"/>
        <v>72.916666666666671</v>
      </c>
      <c r="DI112" s="161">
        <f t="shared" si="98"/>
        <v>0</v>
      </c>
      <c r="DJ112" s="161">
        <f t="shared" si="99"/>
        <v>0</v>
      </c>
      <c r="DK112" s="161">
        <f t="shared" si="100"/>
        <v>0</v>
      </c>
      <c r="DL112" s="161">
        <f t="shared" si="101"/>
        <v>0</v>
      </c>
      <c r="DM112" s="161">
        <f t="shared" si="102"/>
        <v>0</v>
      </c>
      <c r="DN112" s="161">
        <f t="shared" si="103"/>
        <v>0</v>
      </c>
      <c r="DO112" s="161">
        <f t="shared" si="104"/>
        <v>0</v>
      </c>
      <c r="DP112" s="161">
        <f t="shared" si="105"/>
        <v>0</v>
      </c>
      <c r="DQ112" s="161">
        <f t="shared" si="106"/>
        <v>0</v>
      </c>
      <c r="DR112" s="161">
        <f t="shared" si="107"/>
        <v>0</v>
      </c>
      <c r="DS112" s="161">
        <f t="shared" si="108"/>
        <v>0</v>
      </c>
      <c r="DT112" s="161">
        <f t="shared" si="109"/>
        <v>0</v>
      </c>
      <c r="DU112" s="161">
        <f t="shared" si="110"/>
        <v>0</v>
      </c>
      <c r="DV112" s="161">
        <f t="shared" si="111"/>
        <v>0</v>
      </c>
      <c r="DW112" s="161">
        <f t="shared" si="112"/>
        <v>0</v>
      </c>
      <c r="DX112" s="161">
        <f t="shared" si="113"/>
        <v>0</v>
      </c>
      <c r="DY112" s="161">
        <f t="shared" si="114"/>
        <v>0</v>
      </c>
      <c r="DZ112" s="161">
        <f t="shared" si="115"/>
        <v>0</v>
      </c>
      <c r="EA112" s="161">
        <f t="shared" si="116"/>
        <v>0</v>
      </c>
      <c r="EB112" s="161">
        <f t="shared" si="117"/>
        <v>0</v>
      </c>
      <c r="EC112" s="161">
        <f t="shared" si="118"/>
        <v>0</v>
      </c>
      <c r="ED112" s="161">
        <f t="shared" si="119"/>
        <v>0</v>
      </c>
      <c r="EE112" s="161">
        <f t="shared" si="120"/>
        <v>0</v>
      </c>
      <c r="EF112" s="161">
        <f t="shared" si="121"/>
        <v>0</v>
      </c>
      <c r="EG112" s="161">
        <f t="shared" si="122"/>
        <v>0</v>
      </c>
      <c r="EH112" s="161">
        <f t="shared" si="123"/>
        <v>0</v>
      </c>
      <c r="EI112" s="161">
        <f t="shared" si="124"/>
        <v>0</v>
      </c>
      <c r="EJ112" s="161">
        <f t="shared" si="125"/>
        <v>0</v>
      </c>
      <c r="EK112" s="147">
        <f t="shared" si="55"/>
        <v>93.75</v>
      </c>
      <c r="EL112" s="149"/>
      <c r="EN112" s="146"/>
      <c r="EO112" s="146"/>
      <c r="EP112" s="139">
        <f t="shared" si="56"/>
        <v>0</v>
      </c>
      <c r="EQ112" s="139">
        <f t="shared" si="57"/>
        <v>0.361875</v>
      </c>
      <c r="ER112" s="139">
        <f t="shared" si="58"/>
        <v>2.7890625</v>
      </c>
      <c r="ES112" s="139">
        <f t="shared" si="59"/>
        <v>0</v>
      </c>
      <c r="ET112" s="139">
        <f t="shared" si="60"/>
        <v>0</v>
      </c>
      <c r="EU112" s="139">
        <f t="shared" si="61"/>
        <v>0</v>
      </c>
      <c r="EV112" s="139">
        <f t="shared" si="62"/>
        <v>0</v>
      </c>
      <c r="EW112" s="139">
        <f t="shared" si="63"/>
        <v>0</v>
      </c>
      <c r="EX112" s="139">
        <f t="shared" si="64"/>
        <v>0</v>
      </c>
      <c r="EY112" s="139">
        <f t="shared" si="65"/>
        <v>0</v>
      </c>
      <c r="EZ112" s="139">
        <f t="shared" si="66"/>
        <v>0</v>
      </c>
      <c r="FA112" s="139">
        <f t="shared" si="67"/>
        <v>0</v>
      </c>
      <c r="FB112" s="139">
        <f t="shared" si="68"/>
        <v>0</v>
      </c>
      <c r="FC112" s="139">
        <f t="shared" si="69"/>
        <v>0</v>
      </c>
      <c r="FD112" s="139">
        <f t="shared" si="70"/>
        <v>0</v>
      </c>
      <c r="FE112" s="139">
        <f t="shared" si="71"/>
        <v>0</v>
      </c>
      <c r="FF112" s="139">
        <f t="shared" si="72"/>
        <v>0</v>
      </c>
      <c r="FG112" s="139">
        <f t="shared" si="73"/>
        <v>0</v>
      </c>
      <c r="FH112" s="139">
        <f t="shared" si="74"/>
        <v>0</v>
      </c>
      <c r="FI112" s="139">
        <f t="shared" si="75"/>
        <v>0</v>
      </c>
      <c r="FJ112" s="139">
        <f t="shared" si="76"/>
        <v>0</v>
      </c>
      <c r="FK112" s="139">
        <f t="shared" si="77"/>
        <v>0</v>
      </c>
      <c r="FL112" s="139">
        <f t="shared" si="78"/>
        <v>0</v>
      </c>
      <c r="FM112" s="139">
        <f t="shared" si="79"/>
        <v>0</v>
      </c>
      <c r="FN112" s="139">
        <f t="shared" si="80"/>
        <v>0</v>
      </c>
      <c r="FO112" s="139">
        <f t="shared" si="81"/>
        <v>0</v>
      </c>
      <c r="FP112" s="139">
        <f t="shared" si="82"/>
        <v>0</v>
      </c>
      <c r="FQ112" s="139">
        <f t="shared" si="83"/>
        <v>0</v>
      </c>
      <c r="FR112" s="139">
        <f t="shared" si="84"/>
        <v>0</v>
      </c>
      <c r="FS112" s="139">
        <f t="shared" si="85"/>
        <v>0</v>
      </c>
      <c r="FT112" s="139">
        <f t="shared" si="86"/>
        <v>0</v>
      </c>
      <c r="FU112" s="148">
        <f t="shared" si="87"/>
        <v>3.1509374999999999</v>
      </c>
      <c r="FV112" s="149"/>
      <c r="FY112" s="211">
        <v>107</v>
      </c>
      <c r="FZ112">
        <v>0.60132098903022846</v>
      </c>
      <c r="GA112">
        <v>1.0065023430510698</v>
      </c>
      <c r="GB112">
        <v>0.763086257049294</v>
      </c>
      <c r="GC112">
        <v>0.7399256353692607</v>
      </c>
      <c r="GD112">
        <v>0.41100619609457678</v>
      </c>
      <c r="GE112">
        <v>0.12713670883619999</v>
      </c>
      <c r="GF112">
        <v>0.98791909824818158</v>
      </c>
      <c r="GG112">
        <v>0.856333105575251</v>
      </c>
      <c r="GH112">
        <v>2.2985735835423678E-2</v>
      </c>
      <c r="GI112">
        <v>0.68958537725339197</v>
      </c>
      <c r="GJ112"/>
      <c r="GK112">
        <v>0.59918437499999999</v>
      </c>
      <c r="GL112">
        <v>0.84763359374999991</v>
      </c>
      <c r="GM112">
        <v>1.2529946732954544</v>
      </c>
      <c r="GN112">
        <v>2.1693557224025972</v>
      </c>
      <c r="GO112">
        <v>1.5630602678571428</v>
      </c>
      <c r="GP112">
        <v>0.23887499999999998</v>
      </c>
      <c r="GQ112">
        <v>1.1918152173913041</v>
      </c>
      <c r="GR112">
        <v>1.1918152173913041</v>
      </c>
      <c r="GS112">
        <v>2.4293870192307693E-2</v>
      </c>
      <c r="GT112">
        <v>0.92626968074724159</v>
      </c>
      <c r="GU112"/>
      <c r="GV112"/>
      <c r="GW112"/>
      <c r="GX112"/>
      <c r="GY112"/>
      <c r="GZ112"/>
      <c r="HA112"/>
      <c r="HB112"/>
      <c r="HC112"/>
    </row>
    <row r="113" spans="1:211" s="7" customFormat="1">
      <c r="A113" s="1"/>
      <c r="B113" s="76">
        <f t="shared" ca="1" si="50"/>
        <v>0.35772027764204584</v>
      </c>
      <c r="C113">
        <v>2</v>
      </c>
      <c r="D113">
        <v>39714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 s="2"/>
      <c r="AK113" s="80"/>
      <c r="AL113" s="74"/>
      <c r="AM113" s="43">
        <v>97</v>
      </c>
      <c r="AN113">
        <v>56.97727719199905</v>
      </c>
      <c r="AO113">
        <v>1.1773858308431229</v>
      </c>
      <c r="AP113">
        <v>1.0613185099390416</v>
      </c>
      <c r="AQ113">
        <v>7.5357855726370566</v>
      </c>
      <c r="AR113">
        <v>1.0834257662385038</v>
      </c>
      <c r="AS113">
        <v>4.7880043056132724</v>
      </c>
      <c r="AT113">
        <v>0.91219626549219324</v>
      </c>
      <c r="AU113">
        <v>5.2794011592826623E-2</v>
      </c>
      <c r="AV113"/>
      <c r="AW113"/>
      <c r="AX113" s="146"/>
      <c r="AY113" s="76">
        <f t="shared" ca="1" si="88"/>
        <v>0.74415387168973357</v>
      </c>
      <c r="AZ113">
        <v>6</v>
      </c>
      <c r="BA113" s="129">
        <f t="shared" si="129"/>
        <v>39714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 s="147"/>
      <c r="CH113" s="176"/>
      <c r="CJ113" s="146"/>
      <c r="CK113" s="76">
        <f t="shared" ca="1" si="90"/>
        <v>0.77682942265320976</v>
      </c>
      <c r="CL113" s="179">
        <f t="shared" si="91"/>
        <v>6</v>
      </c>
      <c r="CM113" s="180">
        <f t="shared" si="92"/>
        <v>39714</v>
      </c>
      <c r="CN113">
        <v>0</v>
      </c>
      <c r="CO113">
        <v>4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 s="160"/>
      <c r="CW113">
        <v>1</v>
      </c>
      <c r="CX113">
        <v>1</v>
      </c>
      <c r="CY113" s="164"/>
      <c r="CZ113" s="177">
        <f t="shared" si="93"/>
        <v>9.6000000000000002E-2</v>
      </c>
      <c r="DB113" s="146"/>
      <c r="DC113" s="76">
        <f t="shared" ca="1" si="51"/>
        <v>0.41822915721879705</v>
      </c>
      <c r="DD113">
        <f t="shared" si="94"/>
        <v>6</v>
      </c>
      <c r="DE113" s="129">
        <f t="shared" si="128"/>
        <v>39714</v>
      </c>
      <c r="DF113" s="161">
        <f t="shared" si="95"/>
        <v>0</v>
      </c>
      <c r="DG113" s="161">
        <f t="shared" si="96"/>
        <v>41.666666666666664</v>
      </c>
      <c r="DH113" s="161">
        <f t="shared" si="97"/>
        <v>0</v>
      </c>
      <c r="DI113" s="161">
        <f t="shared" si="98"/>
        <v>0</v>
      </c>
      <c r="DJ113" s="161">
        <f t="shared" si="99"/>
        <v>0</v>
      </c>
      <c r="DK113" s="161">
        <f t="shared" si="100"/>
        <v>0</v>
      </c>
      <c r="DL113" s="161">
        <f t="shared" si="101"/>
        <v>0</v>
      </c>
      <c r="DM113" s="161">
        <f t="shared" si="102"/>
        <v>0</v>
      </c>
      <c r="DN113" s="161">
        <f t="shared" si="103"/>
        <v>0</v>
      </c>
      <c r="DO113" s="161">
        <f t="shared" si="104"/>
        <v>0</v>
      </c>
      <c r="DP113" s="161">
        <f t="shared" si="105"/>
        <v>0</v>
      </c>
      <c r="DQ113" s="161">
        <f t="shared" si="106"/>
        <v>0</v>
      </c>
      <c r="DR113" s="161">
        <f t="shared" si="107"/>
        <v>0</v>
      </c>
      <c r="DS113" s="161">
        <f t="shared" si="108"/>
        <v>0</v>
      </c>
      <c r="DT113" s="161">
        <f t="shared" si="109"/>
        <v>0</v>
      </c>
      <c r="DU113" s="161">
        <f t="shared" si="110"/>
        <v>0</v>
      </c>
      <c r="DV113" s="161">
        <f t="shared" si="111"/>
        <v>0</v>
      </c>
      <c r="DW113" s="161">
        <f t="shared" si="112"/>
        <v>0</v>
      </c>
      <c r="DX113" s="161">
        <f t="shared" si="113"/>
        <v>0</v>
      </c>
      <c r="DY113" s="161">
        <f t="shared" si="114"/>
        <v>0</v>
      </c>
      <c r="DZ113" s="161">
        <f t="shared" si="115"/>
        <v>0</v>
      </c>
      <c r="EA113" s="161">
        <f t="shared" si="116"/>
        <v>0</v>
      </c>
      <c r="EB113" s="161">
        <f t="shared" si="117"/>
        <v>0</v>
      </c>
      <c r="EC113" s="161">
        <f t="shared" si="118"/>
        <v>0</v>
      </c>
      <c r="ED113" s="161">
        <f t="shared" si="119"/>
        <v>0</v>
      </c>
      <c r="EE113" s="161">
        <f t="shared" si="120"/>
        <v>0</v>
      </c>
      <c r="EF113" s="161">
        <f t="shared" si="121"/>
        <v>0</v>
      </c>
      <c r="EG113" s="161">
        <f t="shared" si="122"/>
        <v>0</v>
      </c>
      <c r="EH113" s="161">
        <f t="shared" si="123"/>
        <v>0</v>
      </c>
      <c r="EI113" s="161">
        <f t="shared" si="124"/>
        <v>0</v>
      </c>
      <c r="EJ113" s="161">
        <f t="shared" si="125"/>
        <v>0</v>
      </c>
      <c r="EK113" s="147">
        <f t="shared" si="55"/>
        <v>41.666666666666664</v>
      </c>
      <c r="EL113" s="149"/>
      <c r="EN113" s="146"/>
      <c r="EO113" s="146"/>
      <c r="EP113" s="139">
        <f t="shared" si="56"/>
        <v>0</v>
      </c>
      <c r="EQ113" s="139">
        <f t="shared" si="57"/>
        <v>0.72375</v>
      </c>
      <c r="ER113" s="139">
        <f t="shared" si="58"/>
        <v>0</v>
      </c>
      <c r="ES113" s="139">
        <f t="shared" si="59"/>
        <v>0</v>
      </c>
      <c r="ET113" s="139">
        <f t="shared" si="60"/>
        <v>0</v>
      </c>
      <c r="EU113" s="139">
        <f t="shared" si="61"/>
        <v>0</v>
      </c>
      <c r="EV113" s="139">
        <f t="shared" si="62"/>
        <v>0</v>
      </c>
      <c r="EW113" s="139">
        <f t="shared" si="63"/>
        <v>0</v>
      </c>
      <c r="EX113" s="139">
        <f t="shared" si="64"/>
        <v>0</v>
      </c>
      <c r="EY113" s="139">
        <f t="shared" si="65"/>
        <v>0</v>
      </c>
      <c r="EZ113" s="139">
        <f t="shared" si="66"/>
        <v>0</v>
      </c>
      <c r="FA113" s="139">
        <f t="shared" si="67"/>
        <v>0</v>
      </c>
      <c r="FB113" s="139">
        <f t="shared" si="68"/>
        <v>0</v>
      </c>
      <c r="FC113" s="139">
        <f t="shared" si="69"/>
        <v>0</v>
      </c>
      <c r="FD113" s="139">
        <f t="shared" si="70"/>
        <v>0</v>
      </c>
      <c r="FE113" s="139">
        <f t="shared" si="71"/>
        <v>0</v>
      </c>
      <c r="FF113" s="139">
        <f t="shared" si="72"/>
        <v>0</v>
      </c>
      <c r="FG113" s="139">
        <f t="shared" si="73"/>
        <v>0</v>
      </c>
      <c r="FH113" s="139">
        <f t="shared" si="74"/>
        <v>0</v>
      </c>
      <c r="FI113" s="139">
        <f t="shared" si="75"/>
        <v>0</v>
      </c>
      <c r="FJ113" s="139">
        <f t="shared" si="76"/>
        <v>0</v>
      </c>
      <c r="FK113" s="139">
        <f t="shared" si="77"/>
        <v>0</v>
      </c>
      <c r="FL113" s="139">
        <f t="shared" si="78"/>
        <v>0</v>
      </c>
      <c r="FM113" s="139">
        <f t="shared" si="79"/>
        <v>0</v>
      </c>
      <c r="FN113" s="139">
        <f t="shared" si="80"/>
        <v>0</v>
      </c>
      <c r="FO113" s="139">
        <f t="shared" si="81"/>
        <v>0</v>
      </c>
      <c r="FP113" s="139">
        <f t="shared" si="82"/>
        <v>0</v>
      </c>
      <c r="FQ113" s="139">
        <f t="shared" si="83"/>
        <v>0</v>
      </c>
      <c r="FR113" s="139">
        <f t="shared" si="84"/>
        <v>0</v>
      </c>
      <c r="FS113" s="139">
        <f t="shared" si="85"/>
        <v>0</v>
      </c>
      <c r="FT113" s="139">
        <f t="shared" si="86"/>
        <v>0</v>
      </c>
      <c r="FU113" s="148">
        <f t="shared" si="87"/>
        <v>0.72375</v>
      </c>
      <c r="FV113" s="149"/>
      <c r="FY113" s="211">
        <v>108</v>
      </c>
      <c r="FZ113">
        <v>1.262021883213946</v>
      </c>
      <c r="GA113">
        <v>2.1009789195407156</v>
      </c>
      <c r="GB113">
        <v>1.5927236352389424</v>
      </c>
      <c r="GC113">
        <v>0.72539709343943226</v>
      </c>
      <c r="GD113">
        <v>7.2728320636774271E-2</v>
      </c>
      <c r="GE113">
        <v>0.17825394119400001</v>
      </c>
      <c r="GF113">
        <v>0.69655503618123127</v>
      </c>
      <c r="GG113">
        <v>0.47874846122576609</v>
      </c>
      <c r="GH113">
        <v>6.6522953376906252E-2</v>
      </c>
      <c r="GI113">
        <v>0.75313773682776697</v>
      </c>
      <c r="GJ113"/>
      <c r="GK113">
        <v>1.2576862132352939</v>
      </c>
      <c r="GL113">
        <v>1.7694557444852941</v>
      </c>
      <c r="GM113">
        <v>2.6149620028409091</v>
      </c>
      <c r="GN113">
        <v>2.1299058644480517</v>
      </c>
      <c r="GO113">
        <v>0.27655714285714283</v>
      </c>
      <c r="GP113">
        <v>0.33468750000000003</v>
      </c>
      <c r="GQ113">
        <v>0.84012635869565211</v>
      </c>
      <c r="GR113">
        <v>0.66627219202898535</v>
      </c>
      <c r="GS113">
        <v>7.0364583333333328E-2</v>
      </c>
      <c r="GT113">
        <v>1.0119392601924662</v>
      </c>
      <c r="GU113"/>
      <c r="GV113"/>
      <c r="GW113"/>
      <c r="GX113"/>
      <c r="GY113"/>
      <c r="GZ113"/>
      <c r="HA113"/>
      <c r="HB113"/>
      <c r="HC113"/>
    </row>
    <row r="114" spans="1:211" s="7" customFormat="1">
      <c r="A114" s="1"/>
      <c r="B114" s="76">
        <f t="shared" ca="1" si="50"/>
        <v>0.15707088059868646</v>
      </c>
      <c r="C114">
        <v>6</v>
      </c>
      <c r="D114">
        <v>39714</v>
      </c>
      <c r="E114">
        <v>0</v>
      </c>
      <c r="F114">
        <v>41.666666666666664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 s="2"/>
      <c r="AK114" s="80"/>
      <c r="AL114" s="74"/>
      <c r="AM114" s="43">
        <v>98</v>
      </c>
      <c r="AN114">
        <v>42.295267909514237</v>
      </c>
      <c r="AO114">
        <v>1.061772646914054</v>
      </c>
      <c r="AP114">
        <v>3.2130107006411528</v>
      </c>
      <c r="AQ114">
        <v>6.9076376212476767</v>
      </c>
      <c r="AR114">
        <v>0.99802348364564342</v>
      </c>
      <c r="AS114">
        <v>3.2426953684176976</v>
      </c>
      <c r="AT114" t="e">
        <v>#DIV/0!</v>
      </c>
      <c r="AU114" t="e">
        <v>#DIV/0!</v>
      </c>
      <c r="AV114"/>
      <c r="AW114"/>
      <c r="AX114" s="146"/>
      <c r="AY114" s="76">
        <f t="shared" ca="1" si="88"/>
        <v>0.12745879066167287</v>
      </c>
      <c r="AZ114">
        <v>7</v>
      </c>
      <c r="BA114" s="129">
        <f t="shared" si="129"/>
        <v>39714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 s="147"/>
      <c r="CH114" s="176"/>
      <c r="CJ114" s="146"/>
      <c r="CK114" s="76">
        <f t="shared" ca="1" si="90"/>
        <v>0.87811960873524608</v>
      </c>
      <c r="CL114" s="179">
        <f t="shared" si="91"/>
        <v>7</v>
      </c>
      <c r="CM114" s="180">
        <f t="shared" si="92"/>
        <v>39714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 s="160"/>
      <c r="CW114">
        <v>1</v>
      </c>
      <c r="CX114">
        <v>1</v>
      </c>
      <c r="CY114" s="164"/>
      <c r="CZ114" s="177">
        <f t="shared" si="93"/>
        <v>9.6000000000000002E-2</v>
      </c>
      <c r="DB114" s="146"/>
      <c r="DC114" s="76">
        <f t="shared" ca="1" si="51"/>
        <v>0.66725765817742766</v>
      </c>
      <c r="DD114">
        <f t="shared" si="94"/>
        <v>7</v>
      </c>
      <c r="DE114" s="129">
        <f t="shared" si="128"/>
        <v>39714</v>
      </c>
      <c r="DF114" s="161">
        <f t="shared" si="95"/>
        <v>0</v>
      </c>
      <c r="DG114" s="161">
        <f t="shared" si="96"/>
        <v>0</v>
      </c>
      <c r="DH114" s="161">
        <f t="shared" si="97"/>
        <v>0</v>
      </c>
      <c r="DI114" s="161">
        <f t="shared" si="98"/>
        <v>0</v>
      </c>
      <c r="DJ114" s="161">
        <f t="shared" si="99"/>
        <v>0</v>
      </c>
      <c r="DK114" s="161">
        <f t="shared" si="100"/>
        <v>0</v>
      </c>
      <c r="DL114" s="161">
        <f t="shared" si="101"/>
        <v>0</v>
      </c>
      <c r="DM114" s="161">
        <f t="shared" si="102"/>
        <v>0</v>
      </c>
      <c r="DN114" s="161">
        <f t="shared" si="103"/>
        <v>0</v>
      </c>
      <c r="DO114" s="161">
        <f t="shared" si="104"/>
        <v>0</v>
      </c>
      <c r="DP114" s="161">
        <f t="shared" si="105"/>
        <v>0</v>
      </c>
      <c r="DQ114" s="161">
        <f t="shared" si="106"/>
        <v>0</v>
      </c>
      <c r="DR114" s="161">
        <f t="shared" si="107"/>
        <v>0</v>
      </c>
      <c r="DS114" s="161">
        <f t="shared" si="108"/>
        <v>0</v>
      </c>
      <c r="DT114" s="161">
        <f t="shared" si="109"/>
        <v>0</v>
      </c>
      <c r="DU114" s="161">
        <f t="shared" si="110"/>
        <v>0</v>
      </c>
      <c r="DV114" s="161">
        <f t="shared" si="111"/>
        <v>0</v>
      </c>
      <c r="DW114" s="161">
        <f t="shared" si="112"/>
        <v>0</v>
      </c>
      <c r="DX114" s="161">
        <f t="shared" si="113"/>
        <v>0</v>
      </c>
      <c r="DY114" s="161">
        <f t="shared" si="114"/>
        <v>0</v>
      </c>
      <c r="DZ114" s="161">
        <f t="shared" si="115"/>
        <v>0</v>
      </c>
      <c r="EA114" s="161">
        <f t="shared" si="116"/>
        <v>0</v>
      </c>
      <c r="EB114" s="161">
        <f t="shared" si="117"/>
        <v>0</v>
      </c>
      <c r="EC114" s="161">
        <f t="shared" si="118"/>
        <v>0</v>
      </c>
      <c r="ED114" s="161">
        <f t="shared" si="119"/>
        <v>0</v>
      </c>
      <c r="EE114" s="161">
        <f t="shared" si="120"/>
        <v>0</v>
      </c>
      <c r="EF114" s="161">
        <f t="shared" si="121"/>
        <v>0</v>
      </c>
      <c r="EG114" s="161">
        <f t="shared" si="122"/>
        <v>0</v>
      </c>
      <c r="EH114" s="161">
        <f t="shared" si="123"/>
        <v>0</v>
      </c>
      <c r="EI114" s="161">
        <f t="shared" si="124"/>
        <v>0</v>
      </c>
      <c r="EJ114" s="161">
        <f t="shared" si="125"/>
        <v>0</v>
      </c>
      <c r="EK114" s="147">
        <f t="shared" si="55"/>
        <v>0</v>
      </c>
      <c r="EL114" s="149"/>
      <c r="EN114" s="146"/>
      <c r="EO114" s="146"/>
      <c r="EP114" s="139">
        <f t="shared" si="56"/>
        <v>0</v>
      </c>
      <c r="EQ114" s="139">
        <f t="shared" si="57"/>
        <v>0</v>
      </c>
      <c r="ER114" s="139">
        <f t="shared" si="58"/>
        <v>0</v>
      </c>
      <c r="ES114" s="139">
        <f t="shared" si="59"/>
        <v>0</v>
      </c>
      <c r="ET114" s="139">
        <f t="shared" si="60"/>
        <v>0</v>
      </c>
      <c r="EU114" s="139">
        <f t="shared" si="61"/>
        <v>0</v>
      </c>
      <c r="EV114" s="139">
        <f t="shared" si="62"/>
        <v>0</v>
      </c>
      <c r="EW114" s="139">
        <f t="shared" si="63"/>
        <v>0</v>
      </c>
      <c r="EX114" s="139">
        <f t="shared" si="64"/>
        <v>0</v>
      </c>
      <c r="EY114" s="139">
        <f t="shared" si="65"/>
        <v>0</v>
      </c>
      <c r="EZ114" s="139">
        <f t="shared" si="66"/>
        <v>0</v>
      </c>
      <c r="FA114" s="139">
        <f t="shared" si="67"/>
        <v>0</v>
      </c>
      <c r="FB114" s="139">
        <f t="shared" si="68"/>
        <v>0</v>
      </c>
      <c r="FC114" s="139">
        <f t="shared" si="69"/>
        <v>0</v>
      </c>
      <c r="FD114" s="139">
        <f t="shared" si="70"/>
        <v>0</v>
      </c>
      <c r="FE114" s="139">
        <f t="shared" si="71"/>
        <v>0</v>
      </c>
      <c r="FF114" s="139">
        <f t="shared" si="72"/>
        <v>0</v>
      </c>
      <c r="FG114" s="139">
        <f t="shared" si="73"/>
        <v>0</v>
      </c>
      <c r="FH114" s="139">
        <f t="shared" si="74"/>
        <v>0</v>
      </c>
      <c r="FI114" s="139">
        <f t="shared" si="75"/>
        <v>0</v>
      </c>
      <c r="FJ114" s="139">
        <f t="shared" si="76"/>
        <v>0</v>
      </c>
      <c r="FK114" s="139">
        <f t="shared" si="77"/>
        <v>0</v>
      </c>
      <c r="FL114" s="139">
        <f t="shared" si="78"/>
        <v>0</v>
      </c>
      <c r="FM114" s="139">
        <f t="shared" si="79"/>
        <v>0</v>
      </c>
      <c r="FN114" s="139">
        <f t="shared" si="80"/>
        <v>0</v>
      </c>
      <c r="FO114" s="139">
        <f t="shared" si="81"/>
        <v>0</v>
      </c>
      <c r="FP114" s="139">
        <f t="shared" si="82"/>
        <v>0</v>
      </c>
      <c r="FQ114" s="139">
        <f t="shared" si="83"/>
        <v>0</v>
      </c>
      <c r="FR114" s="139">
        <f t="shared" si="84"/>
        <v>0</v>
      </c>
      <c r="FS114" s="139">
        <f t="shared" si="85"/>
        <v>0</v>
      </c>
      <c r="FT114" s="139">
        <f t="shared" si="86"/>
        <v>0</v>
      </c>
      <c r="FU114" s="148">
        <f t="shared" si="87"/>
        <v>0</v>
      </c>
      <c r="FV114" s="149"/>
      <c r="FY114" s="211">
        <v>109</v>
      </c>
      <c r="FZ114">
        <v>1.5012578513234904</v>
      </c>
      <c r="GA114">
        <v>1.8411524313798657</v>
      </c>
      <c r="GB114">
        <v>1.2003754455047215</v>
      </c>
      <c r="GC114">
        <v>1.0123935165458151</v>
      </c>
      <c r="GD114">
        <v>0.3426144860526974</v>
      </c>
      <c r="GE114">
        <v>7.4193882690599997E-2</v>
      </c>
      <c r="GF114">
        <v>0.86857626516779707</v>
      </c>
      <c r="GG114">
        <v>0.76829061536607923</v>
      </c>
      <c r="GH114">
        <v>0.11249442504775362</v>
      </c>
      <c r="GI114">
        <v>0.88373926507136402</v>
      </c>
      <c r="GJ114"/>
      <c r="GK114">
        <v>1.4963005514705883</v>
      </c>
      <c r="GL114">
        <v>1.5510153952205883</v>
      </c>
      <c r="GM114">
        <v>1.9704712357954548</v>
      </c>
      <c r="GN114">
        <v>2.9685970170454548</v>
      </c>
      <c r="GO114">
        <v>1.3026843749999997</v>
      </c>
      <c r="GP114">
        <v>0.13931250000000001</v>
      </c>
      <c r="GQ114">
        <v>1.0475339673913044</v>
      </c>
      <c r="GR114">
        <v>1.0690548007246377</v>
      </c>
      <c r="GS114">
        <v>0.11895232371794871</v>
      </c>
      <c r="GT114">
        <v>1.1871884906750592</v>
      </c>
      <c r="GU114"/>
      <c r="GV114"/>
      <c r="GW114"/>
      <c r="GX114"/>
      <c r="GY114"/>
      <c r="GZ114"/>
      <c r="HA114"/>
      <c r="HB114"/>
      <c r="HC114"/>
    </row>
    <row r="115" spans="1:211" s="7" customFormat="1">
      <c r="A115" s="1"/>
      <c r="B115" s="76">
        <f t="shared" ca="1" si="50"/>
        <v>0.27581668022992822</v>
      </c>
      <c r="C115">
        <v>1</v>
      </c>
      <c r="D115">
        <v>39714</v>
      </c>
      <c r="E115">
        <v>0</v>
      </c>
      <c r="F115">
        <v>65.104166666666671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 s="2"/>
      <c r="AK115" s="80"/>
      <c r="AL115" s="74"/>
      <c r="AM115" s="43">
        <v>99</v>
      </c>
      <c r="AN115">
        <v>49.937391152113015</v>
      </c>
      <c r="AO115">
        <v>0.9688698372533795</v>
      </c>
      <c r="AP115">
        <v>5.3255151778042999E-2</v>
      </c>
      <c r="AQ115">
        <v>6.4564636114302614</v>
      </c>
      <c r="AR115">
        <v>0.91339019295761781</v>
      </c>
      <c r="AS115">
        <v>4.4277964710032514</v>
      </c>
      <c r="AT115" t="e">
        <v>#DIV/0!</v>
      </c>
      <c r="AU115" t="e">
        <v>#DIV/0!</v>
      </c>
      <c r="AV115"/>
      <c r="AW115"/>
      <c r="AX115" s="146"/>
      <c r="AY115" s="76">
        <f t="shared" ca="1" si="88"/>
        <v>0.52641553337677638</v>
      </c>
      <c r="AZ115">
        <v>8</v>
      </c>
      <c r="BA115" s="129">
        <f t="shared" si="129"/>
        <v>39714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 s="147"/>
      <c r="CH115" s="176"/>
      <c r="CJ115" s="146"/>
      <c r="CK115" s="76">
        <f t="shared" ca="1" si="90"/>
        <v>0.1107998087080202</v>
      </c>
      <c r="CL115" s="179">
        <f t="shared" si="91"/>
        <v>8</v>
      </c>
      <c r="CM115" s="180">
        <f t="shared" si="92"/>
        <v>39714</v>
      </c>
      <c r="CN115">
        <v>0</v>
      </c>
      <c r="CO115">
        <v>10</v>
      </c>
      <c r="CP115">
        <v>3</v>
      </c>
      <c r="CQ115">
        <v>0</v>
      </c>
      <c r="CR115">
        <v>0</v>
      </c>
      <c r="CS115">
        <v>0</v>
      </c>
      <c r="CT115">
        <v>0</v>
      </c>
      <c r="CU115">
        <v>0</v>
      </c>
      <c r="CV115" s="160"/>
      <c r="CW115">
        <v>1</v>
      </c>
      <c r="CX115">
        <v>1</v>
      </c>
      <c r="CY115" s="164"/>
      <c r="CZ115" s="177">
        <f t="shared" si="93"/>
        <v>9.6000000000000002E-2</v>
      </c>
      <c r="DB115" s="146"/>
      <c r="DC115" s="76">
        <f t="shared" ca="1" si="51"/>
        <v>3.0405223232337075E-2</v>
      </c>
      <c r="DD115">
        <f t="shared" si="94"/>
        <v>8</v>
      </c>
      <c r="DE115" s="129">
        <f t="shared" si="128"/>
        <v>39714</v>
      </c>
      <c r="DF115" s="161">
        <f t="shared" si="95"/>
        <v>0</v>
      </c>
      <c r="DG115" s="161">
        <f t="shared" si="96"/>
        <v>104.16666666666667</v>
      </c>
      <c r="DH115" s="161">
        <f t="shared" si="97"/>
        <v>31.25</v>
      </c>
      <c r="DI115" s="161">
        <f t="shared" si="98"/>
        <v>0</v>
      </c>
      <c r="DJ115" s="161">
        <f t="shared" si="99"/>
        <v>0</v>
      </c>
      <c r="DK115" s="161">
        <f t="shared" si="100"/>
        <v>0</v>
      </c>
      <c r="DL115" s="161">
        <f t="shared" si="101"/>
        <v>0</v>
      </c>
      <c r="DM115" s="161">
        <f t="shared" si="102"/>
        <v>0</v>
      </c>
      <c r="DN115" s="161">
        <f t="shared" si="103"/>
        <v>0</v>
      </c>
      <c r="DO115" s="161">
        <f t="shared" si="104"/>
        <v>0</v>
      </c>
      <c r="DP115" s="161">
        <f t="shared" si="105"/>
        <v>0</v>
      </c>
      <c r="DQ115" s="161">
        <f t="shared" si="106"/>
        <v>0</v>
      </c>
      <c r="DR115" s="161">
        <f t="shared" si="107"/>
        <v>0</v>
      </c>
      <c r="DS115" s="161">
        <f t="shared" si="108"/>
        <v>0</v>
      </c>
      <c r="DT115" s="161">
        <f t="shared" si="109"/>
        <v>0</v>
      </c>
      <c r="DU115" s="161">
        <f t="shared" si="110"/>
        <v>0</v>
      </c>
      <c r="DV115" s="161">
        <f t="shared" si="111"/>
        <v>0</v>
      </c>
      <c r="DW115" s="161">
        <f t="shared" si="112"/>
        <v>0</v>
      </c>
      <c r="DX115" s="161">
        <f t="shared" si="113"/>
        <v>0</v>
      </c>
      <c r="DY115" s="161">
        <f t="shared" si="114"/>
        <v>0</v>
      </c>
      <c r="DZ115" s="161">
        <f t="shared" si="115"/>
        <v>0</v>
      </c>
      <c r="EA115" s="161">
        <f t="shared" si="116"/>
        <v>0</v>
      </c>
      <c r="EB115" s="161">
        <f t="shared" si="117"/>
        <v>0</v>
      </c>
      <c r="EC115" s="161">
        <f t="shared" si="118"/>
        <v>0</v>
      </c>
      <c r="ED115" s="161">
        <f t="shared" si="119"/>
        <v>0</v>
      </c>
      <c r="EE115" s="161">
        <f t="shared" si="120"/>
        <v>0</v>
      </c>
      <c r="EF115" s="161">
        <f t="shared" si="121"/>
        <v>0</v>
      </c>
      <c r="EG115" s="161">
        <f t="shared" si="122"/>
        <v>0</v>
      </c>
      <c r="EH115" s="161">
        <f t="shared" si="123"/>
        <v>0</v>
      </c>
      <c r="EI115" s="161">
        <f t="shared" si="124"/>
        <v>0</v>
      </c>
      <c r="EJ115" s="161">
        <f t="shared" si="125"/>
        <v>0</v>
      </c>
      <c r="EK115" s="147">
        <f t="shared" si="55"/>
        <v>135.41666666666669</v>
      </c>
      <c r="EL115" s="149"/>
      <c r="EN115" s="146"/>
      <c r="EO115" s="146"/>
      <c r="EP115" s="139">
        <f t="shared" si="56"/>
        <v>0</v>
      </c>
      <c r="EQ115" s="139">
        <f t="shared" si="57"/>
        <v>1.8093750000000002</v>
      </c>
      <c r="ER115" s="139">
        <f t="shared" si="58"/>
        <v>1.1953125</v>
      </c>
      <c r="ES115" s="139">
        <f t="shared" si="59"/>
        <v>0</v>
      </c>
      <c r="ET115" s="139">
        <f t="shared" si="60"/>
        <v>0</v>
      </c>
      <c r="EU115" s="139">
        <f t="shared" si="61"/>
        <v>0</v>
      </c>
      <c r="EV115" s="139">
        <f t="shared" si="62"/>
        <v>0</v>
      </c>
      <c r="EW115" s="139">
        <f t="shared" si="63"/>
        <v>0</v>
      </c>
      <c r="EX115" s="139">
        <f t="shared" si="64"/>
        <v>0</v>
      </c>
      <c r="EY115" s="139">
        <f t="shared" si="65"/>
        <v>0</v>
      </c>
      <c r="EZ115" s="139">
        <f t="shared" si="66"/>
        <v>0</v>
      </c>
      <c r="FA115" s="139">
        <f t="shared" si="67"/>
        <v>0</v>
      </c>
      <c r="FB115" s="139">
        <f t="shared" si="68"/>
        <v>0</v>
      </c>
      <c r="FC115" s="139">
        <f t="shared" si="69"/>
        <v>0</v>
      </c>
      <c r="FD115" s="139">
        <f t="shared" si="70"/>
        <v>0</v>
      </c>
      <c r="FE115" s="139">
        <f t="shared" si="71"/>
        <v>0</v>
      </c>
      <c r="FF115" s="139">
        <f t="shared" si="72"/>
        <v>0</v>
      </c>
      <c r="FG115" s="139">
        <f t="shared" si="73"/>
        <v>0</v>
      </c>
      <c r="FH115" s="139">
        <f t="shared" si="74"/>
        <v>0</v>
      </c>
      <c r="FI115" s="139">
        <f t="shared" si="75"/>
        <v>0</v>
      </c>
      <c r="FJ115" s="139">
        <f t="shared" si="76"/>
        <v>0</v>
      </c>
      <c r="FK115" s="139">
        <f t="shared" si="77"/>
        <v>0</v>
      </c>
      <c r="FL115" s="139">
        <f t="shared" si="78"/>
        <v>0</v>
      </c>
      <c r="FM115" s="139">
        <f t="shared" si="79"/>
        <v>0</v>
      </c>
      <c r="FN115" s="139">
        <f t="shared" si="80"/>
        <v>0</v>
      </c>
      <c r="FO115" s="139">
        <f t="shared" si="81"/>
        <v>0</v>
      </c>
      <c r="FP115" s="139">
        <f t="shared" si="82"/>
        <v>0</v>
      </c>
      <c r="FQ115" s="139">
        <f t="shared" si="83"/>
        <v>0</v>
      </c>
      <c r="FR115" s="139">
        <f t="shared" si="84"/>
        <v>0</v>
      </c>
      <c r="FS115" s="139">
        <f t="shared" si="85"/>
        <v>0</v>
      </c>
      <c r="FT115" s="139">
        <f t="shared" si="86"/>
        <v>0</v>
      </c>
      <c r="FU115" s="148">
        <f t="shared" si="87"/>
        <v>3.0046875000000002</v>
      </c>
      <c r="FV115" s="149"/>
      <c r="FY115" s="211">
        <v>110</v>
      </c>
      <c r="FZ115">
        <v>1.0258830453781773</v>
      </c>
      <c r="GA115">
        <v>1.805965010141209</v>
      </c>
      <c r="GB115">
        <v>0.55293524908936875</v>
      </c>
      <c r="GC115">
        <v>0.38204790436711056</v>
      </c>
      <c r="GD115">
        <v>0.25397474585188495</v>
      </c>
      <c r="GE115">
        <v>9.341150119087499E-2</v>
      </c>
      <c r="GF115">
        <v>1.0022928558968347</v>
      </c>
      <c r="GG115">
        <v>0.96979027929722028</v>
      </c>
      <c r="GH115">
        <v>0.1330459067538125</v>
      </c>
      <c r="GI115">
        <v>0.63211984689350609</v>
      </c>
      <c r="GJ115"/>
      <c r="GK115">
        <v>1.0223737132352939</v>
      </c>
      <c r="GL115">
        <v>1.5211002757352938</v>
      </c>
      <c r="GM115">
        <v>0.90728125000000004</v>
      </c>
      <c r="GN115">
        <v>1.1196765624999998</v>
      </c>
      <c r="GO115">
        <v>0.96635624999999992</v>
      </c>
      <c r="GP115">
        <v>0.17554687499999999</v>
      </c>
      <c r="GQ115">
        <v>1.2083478260869565</v>
      </c>
      <c r="GR115">
        <v>1.349076992753623</v>
      </c>
      <c r="GS115">
        <v>0.14072916666666666</v>
      </c>
      <c r="GT115">
        <v>0.84901764119778333</v>
      </c>
      <c r="GU115"/>
      <c r="GV115"/>
      <c r="GW115"/>
      <c r="GX115"/>
      <c r="GY115"/>
      <c r="GZ115"/>
      <c r="HA115"/>
      <c r="HB115"/>
      <c r="HC115"/>
    </row>
    <row r="116" spans="1:211" s="7" customFormat="1">
      <c r="A116" s="1"/>
      <c r="B116" s="76">
        <f t="shared" ca="1" si="50"/>
        <v>0.44948414798342551</v>
      </c>
      <c r="C116">
        <v>7</v>
      </c>
      <c r="D116">
        <v>39714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 s="2"/>
      <c r="AK116" s="80"/>
      <c r="AL116" s="74"/>
      <c r="AM116" s="43">
        <v>100</v>
      </c>
      <c r="AN116">
        <v>67.455497685185193</v>
      </c>
      <c r="AO116">
        <v>1.6642307447916669</v>
      </c>
      <c r="AP116">
        <v>6.1403879455833579</v>
      </c>
      <c r="AQ116">
        <v>8.3288732893266371</v>
      </c>
      <c r="AR116">
        <v>1.5129370407196969</v>
      </c>
      <c r="AS116">
        <v>5.6627878356717094</v>
      </c>
      <c r="AT116" t="e">
        <v>#DIV/0!</v>
      </c>
      <c r="AU116" t="e">
        <v>#DIV/0!</v>
      </c>
      <c r="AV116"/>
      <c r="AW116"/>
      <c r="AX116" s="146"/>
      <c r="AY116" s="76">
        <f t="shared" ca="1" si="88"/>
        <v>0.8571444975497855</v>
      </c>
      <c r="AZ116">
        <v>9</v>
      </c>
      <c r="BA116" s="129">
        <f t="shared" si="129"/>
        <v>39714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 s="147"/>
      <c r="CH116" s="176"/>
      <c r="CJ116" s="146"/>
      <c r="CK116" s="76">
        <f t="shared" ca="1" si="90"/>
        <v>0.10889473518992809</v>
      </c>
      <c r="CL116" s="179">
        <f t="shared" si="91"/>
        <v>9</v>
      </c>
      <c r="CM116" s="180">
        <f t="shared" si="92"/>
        <v>39714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 s="160"/>
      <c r="CW116">
        <v>1</v>
      </c>
      <c r="CX116">
        <f>300/31</f>
        <v>9.67741935483871</v>
      </c>
      <c r="CY116" s="164"/>
      <c r="CZ116" s="177">
        <f t="shared" si="93"/>
        <v>9.6000000000000002E-2</v>
      </c>
      <c r="DB116" s="146"/>
      <c r="DC116" s="76">
        <f t="shared" ca="1" si="51"/>
        <v>0.36017622230851831</v>
      </c>
      <c r="DD116">
        <f t="shared" si="94"/>
        <v>9</v>
      </c>
      <c r="DE116" s="129">
        <f t="shared" si="128"/>
        <v>39714</v>
      </c>
      <c r="DF116" s="161">
        <f t="shared" si="95"/>
        <v>0</v>
      </c>
      <c r="DG116" s="161">
        <f t="shared" si="96"/>
        <v>0</v>
      </c>
      <c r="DH116" s="161">
        <f t="shared" si="97"/>
        <v>0</v>
      </c>
      <c r="DI116" s="161">
        <f t="shared" si="98"/>
        <v>0</v>
      </c>
      <c r="DJ116" s="161">
        <f t="shared" si="99"/>
        <v>0</v>
      </c>
      <c r="DK116" s="161">
        <f t="shared" si="100"/>
        <v>0</v>
      </c>
      <c r="DL116" s="161">
        <f t="shared" si="101"/>
        <v>0</v>
      </c>
      <c r="DM116" s="161">
        <f t="shared" si="102"/>
        <v>0</v>
      </c>
      <c r="DN116" s="161">
        <f t="shared" si="103"/>
        <v>0</v>
      </c>
      <c r="DO116" s="161">
        <f t="shared" si="104"/>
        <v>0</v>
      </c>
      <c r="DP116" s="161">
        <f t="shared" si="105"/>
        <v>0</v>
      </c>
      <c r="DQ116" s="161">
        <f t="shared" si="106"/>
        <v>0</v>
      </c>
      <c r="DR116" s="161">
        <f t="shared" si="107"/>
        <v>0</v>
      </c>
      <c r="DS116" s="161">
        <f t="shared" si="108"/>
        <v>0</v>
      </c>
      <c r="DT116" s="161">
        <f t="shared" si="109"/>
        <v>0</v>
      </c>
      <c r="DU116" s="161">
        <f t="shared" si="110"/>
        <v>0</v>
      </c>
      <c r="DV116" s="161">
        <f t="shared" si="111"/>
        <v>0</v>
      </c>
      <c r="DW116" s="161">
        <f t="shared" si="112"/>
        <v>0</v>
      </c>
      <c r="DX116" s="161">
        <f t="shared" si="113"/>
        <v>0</v>
      </c>
      <c r="DY116" s="161">
        <f t="shared" si="114"/>
        <v>0</v>
      </c>
      <c r="DZ116" s="161">
        <f t="shared" si="115"/>
        <v>0</v>
      </c>
      <c r="EA116" s="161">
        <f t="shared" si="116"/>
        <v>0</v>
      </c>
      <c r="EB116" s="161">
        <f t="shared" si="117"/>
        <v>0</v>
      </c>
      <c r="EC116" s="161">
        <f t="shared" si="118"/>
        <v>0</v>
      </c>
      <c r="ED116" s="161">
        <f t="shared" si="119"/>
        <v>0</v>
      </c>
      <c r="EE116" s="161">
        <f t="shared" si="120"/>
        <v>0</v>
      </c>
      <c r="EF116" s="161">
        <f t="shared" si="121"/>
        <v>0</v>
      </c>
      <c r="EG116" s="161">
        <f t="shared" si="122"/>
        <v>0</v>
      </c>
      <c r="EH116" s="161">
        <f t="shared" si="123"/>
        <v>0</v>
      </c>
      <c r="EI116" s="161">
        <f t="shared" si="124"/>
        <v>0</v>
      </c>
      <c r="EJ116" s="161">
        <f t="shared" si="125"/>
        <v>0</v>
      </c>
      <c r="EK116" s="147">
        <f t="shared" si="55"/>
        <v>0</v>
      </c>
      <c r="EL116" s="149"/>
      <c r="EN116" s="146"/>
      <c r="EO116" s="146"/>
      <c r="EP116" s="139">
        <f t="shared" si="56"/>
        <v>0</v>
      </c>
      <c r="EQ116" s="139">
        <f t="shared" si="57"/>
        <v>0</v>
      </c>
      <c r="ER116" s="139">
        <f t="shared" si="58"/>
        <v>0</v>
      </c>
      <c r="ES116" s="139">
        <f t="shared" si="59"/>
        <v>0</v>
      </c>
      <c r="ET116" s="139">
        <f t="shared" si="60"/>
        <v>0</v>
      </c>
      <c r="EU116" s="139">
        <f t="shared" si="61"/>
        <v>0</v>
      </c>
      <c r="EV116" s="139">
        <f t="shared" si="62"/>
        <v>0</v>
      </c>
      <c r="EW116" s="139">
        <f t="shared" si="63"/>
        <v>0</v>
      </c>
      <c r="EX116" s="139">
        <f t="shared" si="64"/>
        <v>0</v>
      </c>
      <c r="EY116" s="139">
        <f t="shared" si="65"/>
        <v>0</v>
      </c>
      <c r="EZ116" s="139">
        <f t="shared" si="66"/>
        <v>0</v>
      </c>
      <c r="FA116" s="139">
        <f t="shared" si="67"/>
        <v>0</v>
      </c>
      <c r="FB116" s="139">
        <f t="shared" si="68"/>
        <v>0</v>
      </c>
      <c r="FC116" s="139">
        <f t="shared" si="69"/>
        <v>0</v>
      </c>
      <c r="FD116" s="139">
        <f t="shared" si="70"/>
        <v>0</v>
      </c>
      <c r="FE116" s="139">
        <f t="shared" si="71"/>
        <v>0</v>
      </c>
      <c r="FF116" s="139">
        <f t="shared" si="72"/>
        <v>0</v>
      </c>
      <c r="FG116" s="139">
        <f t="shared" si="73"/>
        <v>0</v>
      </c>
      <c r="FH116" s="139">
        <f t="shared" si="74"/>
        <v>0</v>
      </c>
      <c r="FI116" s="139">
        <f t="shared" si="75"/>
        <v>0</v>
      </c>
      <c r="FJ116" s="139">
        <f t="shared" si="76"/>
        <v>0</v>
      </c>
      <c r="FK116" s="139">
        <f t="shared" si="77"/>
        <v>0</v>
      </c>
      <c r="FL116" s="139">
        <f t="shared" si="78"/>
        <v>0</v>
      </c>
      <c r="FM116" s="139">
        <f t="shared" si="79"/>
        <v>0</v>
      </c>
      <c r="FN116" s="139">
        <f t="shared" si="80"/>
        <v>0</v>
      </c>
      <c r="FO116" s="139">
        <f t="shared" si="81"/>
        <v>0</v>
      </c>
      <c r="FP116" s="139">
        <f t="shared" si="82"/>
        <v>0</v>
      </c>
      <c r="FQ116" s="139">
        <f t="shared" si="83"/>
        <v>0</v>
      </c>
      <c r="FR116" s="139">
        <f t="shared" si="84"/>
        <v>0</v>
      </c>
      <c r="FS116" s="139">
        <f t="shared" si="85"/>
        <v>0</v>
      </c>
      <c r="FT116" s="139">
        <f t="shared" si="86"/>
        <v>0</v>
      </c>
      <c r="FU116" s="148">
        <f t="shared" si="87"/>
        <v>0</v>
      </c>
      <c r="FV116" s="149"/>
      <c r="FY116" s="211">
        <v>111</v>
      </c>
      <c r="FZ116">
        <v>1.893599499014559</v>
      </c>
      <c r="GA116">
        <v>2.7567830718249939</v>
      </c>
      <c r="GB116">
        <v>0.40815672914528789</v>
      </c>
      <c r="GC116">
        <v>0.14723388424455125</v>
      </c>
      <c r="GD116">
        <v>0.17629509620951356</v>
      </c>
      <c r="GE116">
        <v>0.19356646978169997</v>
      </c>
      <c r="GF116">
        <v>0.69434057702733132</v>
      </c>
      <c r="GG116">
        <v>0.71853667674935984</v>
      </c>
      <c r="GH116">
        <v>0.19956886013071873</v>
      </c>
      <c r="GI116">
        <v>0.6366871759690842</v>
      </c>
      <c r="GJ116"/>
      <c r="GK116">
        <v>1.8872380514705882</v>
      </c>
      <c r="GL116">
        <v>2.3221091452205886</v>
      </c>
      <c r="GM116">
        <v>0.66963671875000008</v>
      </c>
      <c r="GN116">
        <v>0.43136741071428575</v>
      </c>
      <c r="GO116">
        <v>0.67088303571428576</v>
      </c>
      <c r="GP116">
        <v>0.36374999999999996</v>
      </c>
      <c r="GQ116">
        <v>0.83787635869565202</v>
      </c>
      <c r="GR116">
        <v>1.0001263586956521</v>
      </c>
      <c r="GS116">
        <v>0.21109375</v>
      </c>
      <c r="GT116">
        <v>0.85534558292610519</v>
      </c>
      <c r="GU116"/>
      <c r="GV116"/>
      <c r="GW116"/>
      <c r="GX116"/>
      <c r="GY116"/>
      <c r="GZ116"/>
      <c r="HA116"/>
      <c r="HB116"/>
      <c r="HC116"/>
    </row>
    <row r="117" spans="1:211" s="7" customFormat="1">
      <c r="A117" s="1"/>
      <c r="B117" s="76">
        <f t="shared" ca="1" si="50"/>
        <v>0.60757829507986649</v>
      </c>
      <c r="C117">
        <v>3</v>
      </c>
      <c r="D117">
        <v>39714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 s="2"/>
      <c r="AK117" s="80"/>
      <c r="AL117" s="74"/>
      <c r="AM117" s="43">
        <v>101</v>
      </c>
      <c r="AN117">
        <v>33.408469321628687</v>
      </c>
      <c r="AO117">
        <v>0.68418563813478994</v>
      </c>
      <c r="AP117">
        <v>5.918735478275293</v>
      </c>
      <c r="AQ117">
        <v>5.2563327188252238</v>
      </c>
      <c r="AR117">
        <v>0.66403922741274601</v>
      </c>
      <c r="AS117">
        <v>2.858030274151071</v>
      </c>
      <c r="AT117" t="e">
        <v>#DIV/0!</v>
      </c>
      <c r="AU117" t="e">
        <v>#DIV/0!</v>
      </c>
      <c r="AV117"/>
      <c r="AW117"/>
      <c r="AX117" s="146"/>
      <c r="AY117" s="76">
        <f t="shared" ca="1" si="88"/>
        <v>0.22192315590922362</v>
      </c>
      <c r="AZ117">
        <v>10</v>
      </c>
      <c r="BA117" s="129">
        <f t="shared" si="129"/>
        <v>39714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 s="147"/>
      <c r="CH117" s="176"/>
      <c r="CJ117" s="146"/>
      <c r="CK117" s="76">
        <f t="shared" ca="1" si="90"/>
        <v>0.47168873653657339</v>
      </c>
      <c r="CL117" s="179">
        <f t="shared" si="91"/>
        <v>10</v>
      </c>
      <c r="CM117" s="180">
        <f t="shared" si="92"/>
        <v>39714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 s="160"/>
      <c r="CW117">
        <v>1</v>
      </c>
      <c r="CX117">
        <f>300/35</f>
        <v>8.5714285714285712</v>
      </c>
      <c r="CY117" s="164"/>
      <c r="CZ117" s="177">
        <f t="shared" si="93"/>
        <v>9.6000000000000002E-2</v>
      </c>
      <c r="DB117" s="146"/>
      <c r="DC117" s="76">
        <f t="shared" ca="1" si="51"/>
        <v>0.7979018411936194</v>
      </c>
      <c r="DD117">
        <f t="shared" si="94"/>
        <v>10</v>
      </c>
      <c r="DE117" s="129">
        <f t="shared" si="128"/>
        <v>39714</v>
      </c>
      <c r="DF117" s="161">
        <f t="shared" si="95"/>
        <v>0</v>
      </c>
      <c r="DG117" s="161">
        <f t="shared" si="96"/>
        <v>0</v>
      </c>
      <c r="DH117" s="161">
        <f t="shared" si="97"/>
        <v>0</v>
      </c>
      <c r="DI117" s="161">
        <f t="shared" si="98"/>
        <v>0</v>
      </c>
      <c r="DJ117" s="161">
        <f t="shared" si="99"/>
        <v>0</v>
      </c>
      <c r="DK117" s="161">
        <f t="shared" si="100"/>
        <v>0</v>
      </c>
      <c r="DL117" s="161">
        <f t="shared" si="101"/>
        <v>0</v>
      </c>
      <c r="DM117" s="161">
        <f t="shared" si="102"/>
        <v>0</v>
      </c>
      <c r="DN117" s="161">
        <f t="shared" si="103"/>
        <v>0</v>
      </c>
      <c r="DO117" s="161">
        <f t="shared" si="104"/>
        <v>0</v>
      </c>
      <c r="DP117" s="161">
        <f t="shared" si="105"/>
        <v>0</v>
      </c>
      <c r="DQ117" s="161">
        <f t="shared" si="106"/>
        <v>0</v>
      </c>
      <c r="DR117" s="161">
        <f t="shared" si="107"/>
        <v>0</v>
      </c>
      <c r="DS117" s="161">
        <f t="shared" si="108"/>
        <v>0</v>
      </c>
      <c r="DT117" s="161">
        <f t="shared" si="109"/>
        <v>0</v>
      </c>
      <c r="DU117" s="161">
        <f t="shared" si="110"/>
        <v>0</v>
      </c>
      <c r="DV117" s="161">
        <f t="shared" si="111"/>
        <v>0</v>
      </c>
      <c r="DW117" s="161">
        <f t="shared" si="112"/>
        <v>0</v>
      </c>
      <c r="DX117" s="161">
        <f t="shared" si="113"/>
        <v>0</v>
      </c>
      <c r="DY117" s="161">
        <f t="shared" si="114"/>
        <v>0</v>
      </c>
      <c r="DZ117" s="161">
        <f t="shared" si="115"/>
        <v>0</v>
      </c>
      <c r="EA117" s="161">
        <f t="shared" si="116"/>
        <v>0</v>
      </c>
      <c r="EB117" s="161">
        <f t="shared" si="117"/>
        <v>0</v>
      </c>
      <c r="EC117" s="161">
        <f t="shared" si="118"/>
        <v>0</v>
      </c>
      <c r="ED117" s="161">
        <f t="shared" si="119"/>
        <v>0</v>
      </c>
      <c r="EE117" s="161">
        <f t="shared" si="120"/>
        <v>0</v>
      </c>
      <c r="EF117" s="161">
        <f t="shared" si="121"/>
        <v>0</v>
      </c>
      <c r="EG117" s="161">
        <f t="shared" si="122"/>
        <v>0</v>
      </c>
      <c r="EH117" s="161">
        <f t="shared" si="123"/>
        <v>0</v>
      </c>
      <c r="EI117" s="161">
        <f t="shared" si="124"/>
        <v>0</v>
      </c>
      <c r="EJ117" s="161">
        <f t="shared" si="125"/>
        <v>0</v>
      </c>
      <c r="EK117" s="147">
        <f t="shared" si="55"/>
        <v>0</v>
      </c>
      <c r="EL117" s="149"/>
      <c r="EN117" s="146"/>
      <c r="EO117" s="146"/>
      <c r="EP117" s="139">
        <f t="shared" si="56"/>
        <v>0</v>
      </c>
      <c r="EQ117" s="139">
        <f t="shared" si="57"/>
        <v>0</v>
      </c>
      <c r="ER117" s="139">
        <f t="shared" si="58"/>
        <v>0</v>
      </c>
      <c r="ES117" s="139">
        <f t="shared" si="59"/>
        <v>0</v>
      </c>
      <c r="ET117" s="139">
        <f t="shared" si="60"/>
        <v>0</v>
      </c>
      <c r="EU117" s="139">
        <f t="shared" si="61"/>
        <v>0</v>
      </c>
      <c r="EV117" s="139">
        <f t="shared" si="62"/>
        <v>0</v>
      </c>
      <c r="EW117" s="139">
        <f t="shared" si="63"/>
        <v>0</v>
      </c>
      <c r="EX117" s="139">
        <f t="shared" si="64"/>
        <v>0</v>
      </c>
      <c r="EY117" s="139">
        <f t="shared" si="65"/>
        <v>0</v>
      </c>
      <c r="EZ117" s="139">
        <f t="shared" si="66"/>
        <v>0</v>
      </c>
      <c r="FA117" s="139">
        <f t="shared" si="67"/>
        <v>0</v>
      </c>
      <c r="FB117" s="139">
        <f t="shared" si="68"/>
        <v>0</v>
      </c>
      <c r="FC117" s="139">
        <f t="shared" si="69"/>
        <v>0</v>
      </c>
      <c r="FD117" s="139">
        <f t="shared" si="70"/>
        <v>0</v>
      </c>
      <c r="FE117" s="139">
        <f t="shared" si="71"/>
        <v>0</v>
      </c>
      <c r="FF117" s="139">
        <f t="shared" si="72"/>
        <v>0</v>
      </c>
      <c r="FG117" s="139">
        <f t="shared" si="73"/>
        <v>0</v>
      </c>
      <c r="FH117" s="139">
        <f t="shared" si="74"/>
        <v>0</v>
      </c>
      <c r="FI117" s="139">
        <f t="shared" si="75"/>
        <v>0</v>
      </c>
      <c r="FJ117" s="139">
        <f t="shared" si="76"/>
        <v>0</v>
      </c>
      <c r="FK117" s="139">
        <f t="shared" si="77"/>
        <v>0</v>
      </c>
      <c r="FL117" s="139">
        <f t="shared" si="78"/>
        <v>0</v>
      </c>
      <c r="FM117" s="139">
        <f t="shared" si="79"/>
        <v>0</v>
      </c>
      <c r="FN117" s="139">
        <f t="shared" si="80"/>
        <v>0</v>
      </c>
      <c r="FO117" s="139">
        <f t="shared" si="81"/>
        <v>0</v>
      </c>
      <c r="FP117" s="139">
        <f t="shared" si="82"/>
        <v>0</v>
      </c>
      <c r="FQ117" s="139">
        <f t="shared" si="83"/>
        <v>0</v>
      </c>
      <c r="FR117" s="139">
        <f t="shared" si="84"/>
        <v>0</v>
      </c>
      <c r="FS117" s="139">
        <f t="shared" si="85"/>
        <v>0</v>
      </c>
      <c r="FT117" s="139">
        <f t="shared" si="86"/>
        <v>0</v>
      </c>
      <c r="FU117" s="148">
        <f t="shared" si="87"/>
        <v>0</v>
      </c>
      <c r="FV117" s="149"/>
      <c r="FY117" s="211">
        <v>112</v>
      </c>
      <c r="FZ117">
        <v>0.90597900340747439</v>
      </c>
      <c r="GA117">
        <v>1.3690739233806775</v>
      </c>
      <c r="GB117">
        <v>1.1817401798432425</v>
      </c>
      <c r="GC117">
        <v>0.66246291757227904</v>
      </c>
      <c r="GD117">
        <v>6.9354243801697496E-2</v>
      </c>
      <c r="GE117">
        <v>3.0832901432324998E-2</v>
      </c>
      <c r="GF117">
        <v>0.52010488888686557</v>
      </c>
      <c r="GG117">
        <v>0.46645510438007809</v>
      </c>
      <c r="GH117">
        <v>0.11249442504775362</v>
      </c>
      <c r="GI117">
        <v>0.57370862895024621</v>
      </c>
      <c r="GJ117"/>
      <c r="GK117">
        <v>0.90284246323529405</v>
      </c>
      <c r="GL117">
        <v>1.1531198069852941</v>
      </c>
      <c r="GM117">
        <v>1.9406182528409088</v>
      </c>
      <c r="GN117">
        <v>1.9456034090909087</v>
      </c>
      <c r="GO117">
        <v>0.26430937499999996</v>
      </c>
      <c r="GP117">
        <v>5.7890625000000001E-2</v>
      </c>
      <c r="GQ117">
        <v>0.62821874999999994</v>
      </c>
      <c r="GR117">
        <v>0.64973958333333326</v>
      </c>
      <c r="GS117">
        <v>0.11895232371794871</v>
      </c>
      <c r="GT117">
        <v>0.77098823295883034</v>
      </c>
      <c r="GU117"/>
      <c r="GV117"/>
      <c r="GW117"/>
      <c r="GX117"/>
      <c r="GY117"/>
      <c r="GZ117"/>
      <c r="HA117"/>
      <c r="HB117"/>
      <c r="HC117"/>
    </row>
    <row r="118" spans="1:211" s="7" customFormat="1">
      <c r="A118" s="128"/>
      <c r="B118" s="76">
        <f t="shared" ca="1" si="50"/>
        <v>0.88231658596605467</v>
      </c>
      <c r="C118">
        <v>2</v>
      </c>
      <c r="D118">
        <v>39747</v>
      </c>
      <c r="E118">
        <v>0</v>
      </c>
      <c r="F118">
        <v>91.145833333333329</v>
      </c>
      <c r="G118">
        <v>91.145833333333329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 s="2"/>
      <c r="AK118" s="80"/>
      <c r="AL118" s="74"/>
      <c r="AM118" s="43">
        <v>102</v>
      </c>
      <c r="AN118">
        <v>41.756539174569852</v>
      </c>
      <c r="AO118">
        <v>0.91692833942155438</v>
      </c>
      <c r="AP118">
        <v>26.314458750587171</v>
      </c>
      <c r="AQ118">
        <v>7.1504563367927192</v>
      </c>
      <c r="AR118">
        <v>0.83577975130980486</v>
      </c>
      <c r="AS118">
        <v>3.2863277726543609</v>
      </c>
      <c r="AT118" t="e">
        <v>#DIV/0!</v>
      </c>
      <c r="AU118" t="e">
        <v>#DIV/0!</v>
      </c>
      <c r="AV118"/>
      <c r="AW118"/>
      <c r="AX118" s="128"/>
      <c r="AY118" s="76">
        <f t="shared" ca="1" si="88"/>
        <v>0.73857779610529661</v>
      </c>
      <c r="AZ118">
        <v>1</v>
      </c>
      <c r="BA118" s="129">
        <f>IF(AZ118="", "",$C$7)</f>
        <v>39747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 s="147"/>
      <c r="CH118" s="176"/>
      <c r="CJ118" s="128"/>
      <c r="CK118" s="76">
        <f t="shared" ca="1" si="90"/>
        <v>0.11402634469048412</v>
      </c>
      <c r="CL118" s="179">
        <f t="shared" si="91"/>
        <v>1</v>
      </c>
      <c r="CM118" s="180">
        <f t="shared" si="92"/>
        <v>39747</v>
      </c>
      <c r="CN118">
        <v>0</v>
      </c>
      <c r="CO118">
        <v>1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 s="160"/>
      <c r="CW118">
        <v>1</v>
      </c>
      <c r="CX118">
        <f>350/42</f>
        <v>8.3333333333333339</v>
      </c>
      <c r="CY118" s="160"/>
      <c r="CZ118" s="177">
        <f t="shared" si="93"/>
        <v>9.6000000000000002E-2</v>
      </c>
      <c r="DB118" s="128"/>
      <c r="DC118" s="76">
        <f t="shared" ca="1" si="51"/>
        <v>0.55336897154335318</v>
      </c>
      <c r="DD118">
        <f t="shared" si="94"/>
        <v>1</v>
      </c>
      <c r="DE118" s="129">
        <f t="shared" ref="DE118:DE127" si="130">IF((DD118)="", "", $C$7)</f>
        <v>39747</v>
      </c>
      <c r="DF118" s="161">
        <f t="shared" si="95"/>
        <v>0</v>
      </c>
      <c r="DG118" s="161">
        <f t="shared" si="96"/>
        <v>86.805555555555557</v>
      </c>
      <c r="DH118" s="161">
        <f t="shared" si="97"/>
        <v>0</v>
      </c>
      <c r="DI118" s="161">
        <f t="shared" si="98"/>
        <v>0</v>
      </c>
      <c r="DJ118" s="161">
        <f t="shared" si="99"/>
        <v>0</v>
      </c>
      <c r="DK118" s="161">
        <f t="shared" si="100"/>
        <v>0</v>
      </c>
      <c r="DL118" s="161">
        <f t="shared" si="101"/>
        <v>0</v>
      </c>
      <c r="DM118" s="161">
        <f t="shared" si="102"/>
        <v>0</v>
      </c>
      <c r="DN118" s="161">
        <f t="shared" si="103"/>
        <v>0</v>
      </c>
      <c r="DO118" s="161">
        <f t="shared" si="104"/>
        <v>0</v>
      </c>
      <c r="DP118" s="161">
        <f t="shared" si="105"/>
        <v>0</v>
      </c>
      <c r="DQ118" s="161">
        <f t="shared" si="106"/>
        <v>0</v>
      </c>
      <c r="DR118" s="161">
        <f t="shared" si="107"/>
        <v>0</v>
      </c>
      <c r="DS118" s="161">
        <f t="shared" si="108"/>
        <v>0</v>
      </c>
      <c r="DT118" s="161">
        <f t="shared" si="109"/>
        <v>0</v>
      </c>
      <c r="DU118" s="161">
        <f t="shared" si="110"/>
        <v>0</v>
      </c>
      <c r="DV118" s="161">
        <f t="shared" si="111"/>
        <v>0</v>
      </c>
      <c r="DW118" s="161">
        <f t="shared" si="112"/>
        <v>0</v>
      </c>
      <c r="DX118" s="161">
        <f t="shared" si="113"/>
        <v>0</v>
      </c>
      <c r="DY118" s="161">
        <f t="shared" si="114"/>
        <v>0</v>
      </c>
      <c r="DZ118" s="161">
        <f t="shared" si="115"/>
        <v>0</v>
      </c>
      <c r="EA118" s="161">
        <f t="shared" si="116"/>
        <v>0</v>
      </c>
      <c r="EB118" s="161">
        <f t="shared" si="117"/>
        <v>0</v>
      </c>
      <c r="EC118" s="161">
        <f t="shared" si="118"/>
        <v>0</v>
      </c>
      <c r="ED118" s="161">
        <f t="shared" si="119"/>
        <v>0</v>
      </c>
      <c r="EE118" s="161">
        <f t="shared" si="120"/>
        <v>0</v>
      </c>
      <c r="EF118" s="161">
        <f t="shared" si="121"/>
        <v>0</v>
      </c>
      <c r="EG118" s="161">
        <f t="shared" si="122"/>
        <v>0</v>
      </c>
      <c r="EH118" s="161">
        <f t="shared" si="123"/>
        <v>0</v>
      </c>
      <c r="EI118" s="161">
        <f t="shared" si="124"/>
        <v>0</v>
      </c>
      <c r="EJ118" s="161">
        <f t="shared" si="125"/>
        <v>0</v>
      </c>
      <c r="EK118" s="147">
        <f t="shared" si="55"/>
        <v>86.805555555555557</v>
      </c>
      <c r="EL118" s="149"/>
      <c r="EN118" s="146"/>
      <c r="EO118" s="146"/>
      <c r="EP118" s="139">
        <f t="shared" si="56"/>
        <v>0</v>
      </c>
      <c r="EQ118" s="139">
        <f t="shared" si="57"/>
        <v>1.5078125</v>
      </c>
      <c r="ER118" s="139">
        <f t="shared" si="58"/>
        <v>0</v>
      </c>
      <c r="ES118" s="139">
        <f t="shared" si="59"/>
        <v>0</v>
      </c>
      <c r="ET118" s="139">
        <f t="shared" si="60"/>
        <v>0</v>
      </c>
      <c r="EU118" s="139">
        <f t="shared" si="61"/>
        <v>0</v>
      </c>
      <c r="EV118" s="139">
        <f t="shared" si="62"/>
        <v>0</v>
      </c>
      <c r="EW118" s="139">
        <f t="shared" si="63"/>
        <v>0</v>
      </c>
      <c r="EX118" s="139">
        <f t="shared" si="64"/>
        <v>0</v>
      </c>
      <c r="EY118" s="139">
        <f t="shared" si="65"/>
        <v>0</v>
      </c>
      <c r="EZ118" s="139">
        <f t="shared" si="66"/>
        <v>0</v>
      </c>
      <c r="FA118" s="139">
        <f t="shared" si="67"/>
        <v>0</v>
      </c>
      <c r="FB118" s="139">
        <f t="shared" si="68"/>
        <v>0</v>
      </c>
      <c r="FC118" s="139">
        <f t="shared" si="69"/>
        <v>0</v>
      </c>
      <c r="FD118" s="139">
        <f t="shared" si="70"/>
        <v>0</v>
      </c>
      <c r="FE118" s="139">
        <f t="shared" si="71"/>
        <v>0</v>
      </c>
      <c r="FF118" s="139">
        <f t="shared" si="72"/>
        <v>0</v>
      </c>
      <c r="FG118" s="139">
        <f t="shared" si="73"/>
        <v>0</v>
      </c>
      <c r="FH118" s="139">
        <f t="shared" si="74"/>
        <v>0</v>
      </c>
      <c r="FI118" s="139">
        <f t="shared" si="75"/>
        <v>0</v>
      </c>
      <c r="FJ118" s="139">
        <f t="shared" si="76"/>
        <v>0</v>
      </c>
      <c r="FK118" s="139">
        <f t="shared" si="77"/>
        <v>0</v>
      </c>
      <c r="FL118" s="139">
        <f t="shared" si="78"/>
        <v>0</v>
      </c>
      <c r="FM118" s="139">
        <f t="shared" si="79"/>
        <v>0</v>
      </c>
      <c r="FN118" s="139">
        <f t="shared" si="80"/>
        <v>0</v>
      </c>
      <c r="FO118" s="139">
        <f t="shared" si="81"/>
        <v>0</v>
      </c>
      <c r="FP118" s="139">
        <f t="shared" si="82"/>
        <v>0</v>
      </c>
      <c r="FQ118" s="139">
        <f t="shared" si="83"/>
        <v>0</v>
      </c>
      <c r="FR118" s="139">
        <f t="shared" si="84"/>
        <v>0</v>
      </c>
      <c r="FS118" s="139">
        <f t="shared" si="85"/>
        <v>0</v>
      </c>
      <c r="FT118" s="139">
        <f t="shared" si="86"/>
        <v>0</v>
      </c>
      <c r="FU118" s="148">
        <f t="shared" si="87"/>
        <v>1.5078125</v>
      </c>
      <c r="FV118" s="149"/>
      <c r="FY118" s="211">
        <v>113</v>
      </c>
      <c r="FZ118">
        <v>0.5304151491390563</v>
      </c>
      <c r="GA118">
        <v>0.98013403766831242</v>
      </c>
      <c r="GB118">
        <v>1.0287464234086265</v>
      </c>
      <c r="GC118">
        <v>0.5899437095219483</v>
      </c>
      <c r="GD118">
        <v>0.12107859717039104</v>
      </c>
      <c r="GE118">
        <v>4.3360981258274998E-2</v>
      </c>
      <c r="GF118">
        <v>0.82805716775636906</v>
      </c>
      <c r="GG118">
        <v>0.81887252380421982</v>
      </c>
      <c r="GH118">
        <v>0.17901737842465987</v>
      </c>
      <c r="GI118">
        <v>0.57560830337403313</v>
      </c>
      <c r="GJ118"/>
      <c r="GK118">
        <v>0.52856250000000005</v>
      </c>
      <c r="GL118">
        <v>0.82537499999999997</v>
      </c>
      <c r="GM118">
        <v>1.6887798295454544</v>
      </c>
      <c r="GN118">
        <v>1.7317441152597404</v>
      </c>
      <c r="GO118">
        <v>0.46104241071428564</v>
      </c>
      <c r="GP118">
        <v>8.1421875000000005E-2</v>
      </c>
      <c r="GQ118">
        <v>0.99869021739130437</v>
      </c>
      <c r="GR118">
        <v>1.1394193840579709</v>
      </c>
      <c r="GS118">
        <v>0.18931690705128204</v>
      </c>
      <c r="GT118">
        <v>0.77327837294046531</v>
      </c>
      <c r="GU118"/>
      <c r="GV118"/>
      <c r="GW118"/>
      <c r="GX118"/>
      <c r="GY118"/>
      <c r="GZ118"/>
      <c r="HA118"/>
      <c r="HB118"/>
      <c r="HC118"/>
    </row>
    <row r="119" spans="1:211" s="7" customFormat="1">
      <c r="A119" s="1"/>
      <c r="B119" s="76">
        <f t="shared" ca="1" si="50"/>
        <v>0.23498869867835648</v>
      </c>
      <c r="C119">
        <v>9</v>
      </c>
      <c r="D119">
        <v>39747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 s="2"/>
      <c r="AK119" s="80"/>
      <c r="AL119" s="74"/>
      <c r="AM119" s="43">
        <v>103</v>
      </c>
      <c r="AN119">
        <v>47.93550688693351</v>
      </c>
      <c r="AO119">
        <v>1.007129129626035</v>
      </c>
      <c r="AP119">
        <v>14.526592582733828</v>
      </c>
      <c r="AQ119">
        <v>6.400119908602</v>
      </c>
      <c r="AR119">
        <v>0.9191940951145775</v>
      </c>
      <c r="AS119">
        <v>4.2532857377186444</v>
      </c>
      <c r="AT119" t="e">
        <v>#DIV/0!</v>
      </c>
      <c r="AU119" t="e">
        <v>#DIV/0!</v>
      </c>
      <c r="AV119"/>
      <c r="AW119"/>
      <c r="AX119" s="146"/>
      <c r="AY119" s="76">
        <f t="shared" ca="1" si="88"/>
        <v>0.28424950433728391</v>
      </c>
      <c r="AZ119">
        <v>2</v>
      </c>
      <c r="BA119" s="129">
        <f t="shared" ref="BA119:BA127" si="131">IF(AZ119="", "",$C$7)</f>
        <v>39747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 s="147"/>
      <c r="CH119" s="176"/>
      <c r="CJ119" s="146"/>
      <c r="CK119" s="76">
        <f t="shared" ca="1" si="90"/>
        <v>0.21122871569451362</v>
      </c>
      <c r="CL119" s="179">
        <f t="shared" si="91"/>
        <v>2</v>
      </c>
      <c r="CM119" s="180">
        <f t="shared" si="92"/>
        <v>39747</v>
      </c>
      <c r="CN119">
        <v>0</v>
      </c>
      <c r="CO119">
        <v>1</v>
      </c>
      <c r="CP119">
        <v>1</v>
      </c>
      <c r="CQ119">
        <v>0</v>
      </c>
      <c r="CR119">
        <v>0</v>
      </c>
      <c r="CS119">
        <v>0</v>
      </c>
      <c r="CT119">
        <v>0</v>
      </c>
      <c r="CU119">
        <v>0</v>
      </c>
      <c r="CV119" s="160"/>
      <c r="CW119">
        <f>20/8</f>
        <v>2.5</v>
      </c>
      <c r="CX119">
        <f>350/40</f>
        <v>8.75</v>
      </c>
      <c r="CY119" s="160"/>
      <c r="CZ119" s="177">
        <f t="shared" si="93"/>
        <v>9.6000000000000002E-2</v>
      </c>
      <c r="DB119" s="146"/>
      <c r="DC119" s="76">
        <f t="shared" ca="1" si="51"/>
        <v>0.19271664281705814</v>
      </c>
      <c r="DD119">
        <f t="shared" si="94"/>
        <v>2</v>
      </c>
      <c r="DE119" s="129">
        <f t="shared" si="130"/>
        <v>39747</v>
      </c>
      <c r="DF119" s="161">
        <f t="shared" si="95"/>
        <v>0</v>
      </c>
      <c r="DG119" s="161">
        <f t="shared" si="96"/>
        <v>91.145833333333329</v>
      </c>
      <c r="DH119" s="161">
        <f t="shared" si="97"/>
        <v>91.145833333333329</v>
      </c>
      <c r="DI119" s="161">
        <f t="shared" si="98"/>
        <v>0</v>
      </c>
      <c r="DJ119" s="161">
        <f t="shared" si="99"/>
        <v>0</v>
      </c>
      <c r="DK119" s="161">
        <f t="shared" si="100"/>
        <v>0</v>
      </c>
      <c r="DL119" s="161">
        <f t="shared" si="101"/>
        <v>0</v>
      </c>
      <c r="DM119" s="161">
        <f t="shared" si="102"/>
        <v>0</v>
      </c>
      <c r="DN119" s="161">
        <f t="shared" si="103"/>
        <v>0</v>
      </c>
      <c r="DO119" s="161">
        <f t="shared" si="104"/>
        <v>0</v>
      </c>
      <c r="DP119" s="161">
        <f t="shared" si="105"/>
        <v>0</v>
      </c>
      <c r="DQ119" s="161">
        <f t="shared" si="106"/>
        <v>0</v>
      </c>
      <c r="DR119" s="161">
        <f t="shared" si="107"/>
        <v>0</v>
      </c>
      <c r="DS119" s="161">
        <f t="shared" si="108"/>
        <v>0</v>
      </c>
      <c r="DT119" s="161">
        <f t="shared" si="109"/>
        <v>0</v>
      </c>
      <c r="DU119" s="161">
        <f t="shared" si="110"/>
        <v>0</v>
      </c>
      <c r="DV119" s="161">
        <f t="shared" si="111"/>
        <v>0</v>
      </c>
      <c r="DW119" s="161">
        <f t="shared" si="112"/>
        <v>0</v>
      </c>
      <c r="DX119" s="161">
        <f t="shared" si="113"/>
        <v>0</v>
      </c>
      <c r="DY119" s="161">
        <f t="shared" si="114"/>
        <v>0</v>
      </c>
      <c r="DZ119" s="161">
        <f t="shared" si="115"/>
        <v>0</v>
      </c>
      <c r="EA119" s="161">
        <f t="shared" si="116"/>
        <v>0</v>
      </c>
      <c r="EB119" s="161">
        <f t="shared" si="117"/>
        <v>0</v>
      </c>
      <c r="EC119" s="161">
        <f t="shared" si="118"/>
        <v>0</v>
      </c>
      <c r="ED119" s="161">
        <f t="shared" si="119"/>
        <v>0</v>
      </c>
      <c r="EE119" s="161">
        <f t="shared" si="120"/>
        <v>0</v>
      </c>
      <c r="EF119" s="161">
        <f t="shared" si="121"/>
        <v>0</v>
      </c>
      <c r="EG119" s="161">
        <f t="shared" si="122"/>
        <v>0</v>
      </c>
      <c r="EH119" s="161">
        <f t="shared" si="123"/>
        <v>0</v>
      </c>
      <c r="EI119" s="161">
        <f t="shared" si="124"/>
        <v>0</v>
      </c>
      <c r="EJ119" s="161">
        <f t="shared" si="125"/>
        <v>0</v>
      </c>
      <c r="EK119" s="147">
        <f t="shared" si="55"/>
        <v>182.29166666666666</v>
      </c>
      <c r="EL119" s="149"/>
      <c r="EN119" s="146"/>
      <c r="EO119" s="146"/>
      <c r="EP119" s="139">
        <f t="shared" si="56"/>
        <v>0</v>
      </c>
      <c r="EQ119" s="139">
        <f t="shared" si="57"/>
        <v>1.5832031249999998</v>
      </c>
      <c r="ER119" s="139">
        <f t="shared" si="58"/>
        <v>3.4863281249999996</v>
      </c>
      <c r="ES119" s="139">
        <f t="shared" si="59"/>
        <v>0</v>
      </c>
      <c r="ET119" s="139">
        <f t="shared" si="60"/>
        <v>0</v>
      </c>
      <c r="EU119" s="139">
        <f t="shared" si="61"/>
        <v>0</v>
      </c>
      <c r="EV119" s="139">
        <f t="shared" si="62"/>
        <v>0</v>
      </c>
      <c r="EW119" s="139">
        <f t="shared" si="63"/>
        <v>0</v>
      </c>
      <c r="EX119" s="139">
        <f t="shared" si="64"/>
        <v>0</v>
      </c>
      <c r="EY119" s="139">
        <f t="shared" si="65"/>
        <v>0</v>
      </c>
      <c r="EZ119" s="139">
        <f t="shared" si="66"/>
        <v>0</v>
      </c>
      <c r="FA119" s="139">
        <f t="shared" si="67"/>
        <v>0</v>
      </c>
      <c r="FB119" s="139">
        <f t="shared" si="68"/>
        <v>0</v>
      </c>
      <c r="FC119" s="139">
        <f t="shared" si="69"/>
        <v>0</v>
      </c>
      <c r="FD119" s="139">
        <f t="shared" si="70"/>
        <v>0</v>
      </c>
      <c r="FE119" s="139">
        <f t="shared" si="71"/>
        <v>0</v>
      </c>
      <c r="FF119" s="139">
        <f t="shared" si="72"/>
        <v>0</v>
      </c>
      <c r="FG119" s="139">
        <f t="shared" si="73"/>
        <v>0</v>
      </c>
      <c r="FH119" s="139">
        <f t="shared" si="74"/>
        <v>0</v>
      </c>
      <c r="FI119" s="139">
        <f t="shared" si="75"/>
        <v>0</v>
      </c>
      <c r="FJ119" s="139">
        <f t="shared" si="76"/>
        <v>0</v>
      </c>
      <c r="FK119" s="139">
        <f t="shared" si="77"/>
        <v>0</v>
      </c>
      <c r="FL119" s="139">
        <f t="shared" si="78"/>
        <v>0</v>
      </c>
      <c r="FM119" s="139">
        <f t="shared" si="79"/>
        <v>0</v>
      </c>
      <c r="FN119" s="139">
        <f t="shared" si="80"/>
        <v>0</v>
      </c>
      <c r="FO119" s="139">
        <f t="shared" si="81"/>
        <v>0</v>
      </c>
      <c r="FP119" s="139">
        <f t="shared" si="82"/>
        <v>0</v>
      </c>
      <c r="FQ119" s="139">
        <f t="shared" si="83"/>
        <v>0</v>
      </c>
      <c r="FR119" s="139">
        <f t="shared" si="84"/>
        <v>0</v>
      </c>
      <c r="FS119" s="139">
        <f t="shared" si="85"/>
        <v>0</v>
      </c>
      <c r="FT119" s="139">
        <f t="shared" si="86"/>
        <v>0</v>
      </c>
      <c r="FU119" s="148">
        <f t="shared" si="87"/>
        <v>5.0695312499999989</v>
      </c>
      <c r="FV119" s="149"/>
      <c r="FY119" s="211">
        <v>114</v>
      </c>
      <c r="FZ119">
        <v>1.6598761056872327</v>
      </c>
      <c r="GA119">
        <v>1.8849626451818762</v>
      </c>
      <c r="GB119">
        <v>1.1725079208097184</v>
      </c>
      <c r="GC119">
        <v>0.7462634753809414</v>
      </c>
      <c r="GD119">
        <v>0.17916502773070925</v>
      </c>
      <c r="GE119">
        <v>0.19838435658817499</v>
      </c>
      <c r="GF119">
        <v>0.5344786465355188</v>
      </c>
      <c r="GG119">
        <v>0.4281665527876255</v>
      </c>
      <c r="GH119">
        <v>0</v>
      </c>
      <c r="GI119">
        <v>0.73023599502353576</v>
      </c>
      <c r="GJ119"/>
      <c r="GK119">
        <v>1.6539768382352942</v>
      </c>
      <c r="GL119">
        <v>1.587332306985294</v>
      </c>
      <c r="GM119">
        <v>1.9245024857954545</v>
      </c>
      <c r="GN119">
        <v>2.1899197849025978</v>
      </c>
      <c r="GO119">
        <v>0.68210089285714282</v>
      </c>
      <c r="GP119">
        <v>0.37279687500000003</v>
      </c>
      <c r="GQ119">
        <v>0.64475135869565214</v>
      </c>
      <c r="GR119">
        <v>0.59590760869565207</v>
      </c>
      <c r="GS119">
        <v>0</v>
      </c>
      <c r="GT119">
        <v>0.98106631511670872</v>
      </c>
      <c r="GU119"/>
      <c r="GV119"/>
      <c r="GW119"/>
      <c r="GX119"/>
      <c r="GY119"/>
      <c r="GZ119"/>
      <c r="HA119"/>
      <c r="HB119"/>
      <c r="HC119"/>
    </row>
    <row r="120" spans="1:211" s="7" customFormat="1">
      <c r="A120" s="1"/>
      <c r="B120" s="76">
        <f t="shared" ref="B120:B151" ca="1" si="132">IF(C120="", "", RAND())</f>
        <v>4.7615258393867821E-2</v>
      </c>
      <c r="C120">
        <v>4</v>
      </c>
      <c r="D120">
        <v>39747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 s="2"/>
      <c r="AK120" s="80"/>
      <c r="AL120" s="74"/>
      <c r="AM120" s="43">
        <v>104</v>
      </c>
      <c r="AN120">
        <v>30.823712169975757</v>
      </c>
      <c r="AO120">
        <v>0.69055230346940188</v>
      </c>
      <c r="AP120">
        <v>0.74017145005869511</v>
      </c>
      <c r="AQ120">
        <v>4.354777887231041</v>
      </c>
      <c r="AR120">
        <v>0.63360551408057519</v>
      </c>
      <c r="AS120">
        <v>2.7065074475319322</v>
      </c>
      <c r="AT120">
        <v>0.49511772380676344</v>
      </c>
      <c r="AU120">
        <v>-3.0473020151251216E-2</v>
      </c>
      <c r="AV120"/>
      <c r="AW120"/>
      <c r="AX120" s="146"/>
      <c r="AY120" s="76">
        <f t="shared" ca="1" si="88"/>
        <v>0.25671635410962956</v>
      </c>
      <c r="AZ120">
        <v>3</v>
      </c>
      <c r="BA120" s="129">
        <f t="shared" si="131"/>
        <v>39747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 s="147"/>
      <c r="CH120" s="176"/>
      <c r="CJ120" s="146"/>
      <c r="CK120" s="76">
        <f t="shared" ca="1" si="90"/>
        <v>0.1431397978784259</v>
      </c>
      <c r="CL120" s="179">
        <f t="shared" si="91"/>
        <v>3</v>
      </c>
      <c r="CM120" s="180">
        <f t="shared" si="92"/>
        <v>39747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 s="160"/>
      <c r="CW120">
        <v>1</v>
      </c>
      <c r="CX120">
        <v>1</v>
      </c>
      <c r="CY120" s="160"/>
      <c r="CZ120" s="177">
        <f t="shared" si="93"/>
        <v>9.6000000000000002E-2</v>
      </c>
      <c r="DB120" s="146"/>
      <c r="DC120" s="76">
        <f t="shared" ca="1" si="51"/>
        <v>0.8484879496443356</v>
      </c>
      <c r="DD120">
        <f t="shared" si="94"/>
        <v>3</v>
      </c>
      <c r="DE120" s="129">
        <f t="shared" si="130"/>
        <v>39747</v>
      </c>
      <c r="DF120" s="161">
        <f t="shared" si="95"/>
        <v>0</v>
      </c>
      <c r="DG120" s="161">
        <f t="shared" si="96"/>
        <v>0</v>
      </c>
      <c r="DH120" s="161">
        <f t="shared" si="97"/>
        <v>0</v>
      </c>
      <c r="DI120" s="161">
        <f t="shared" si="98"/>
        <v>0</v>
      </c>
      <c r="DJ120" s="161">
        <f t="shared" si="99"/>
        <v>0</v>
      </c>
      <c r="DK120" s="161">
        <f t="shared" si="100"/>
        <v>0</v>
      </c>
      <c r="DL120" s="161">
        <f t="shared" si="101"/>
        <v>0</v>
      </c>
      <c r="DM120" s="161">
        <f t="shared" si="102"/>
        <v>0</v>
      </c>
      <c r="DN120" s="161">
        <f t="shared" si="103"/>
        <v>0</v>
      </c>
      <c r="DO120" s="161">
        <f t="shared" si="104"/>
        <v>0</v>
      </c>
      <c r="DP120" s="161">
        <f t="shared" si="105"/>
        <v>0</v>
      </c>
      <c r="DQ120" s="161">
        <f t="shared" si="106"/>
        <v>0</v>
      </c>
      <c r="DR120" s="161">
        <f t="shared" si="107"/>
        <v>0</v>
      </c>
      <c r="DS120" s="161">
        <f t="shared" si="108"/>
        <v>0</v>
      </c>
      <c r="DT120" s="161">
        <f t="shared" si="109"/>
        <v>0</v>
      </c>
      <c r="DU120" s="161">
        <f t="shared" si="110"/>
        <v>0</v>
      </c>
      <c r="DV120" s="161">
        <f t="shared" si="111"/>
        <v>0</v>
      </c>
      <c r="DW120" s="161">
        <f t="shared" si="112"/>
        <v>0</v>
      </c>
      <c r="DX120" s="161">
        <f t="shared" si="113"/>
        <v>0</v>
      </c>
      <c r="DY120" s="161">
        <f t="shared" si="114"/>
        <v>0</v>
      </c>
      <c r="DZ120" s="161">
        <f t="shared" si="115"/>
        <v>0</v>
      </c>
      <c r="EA120" s="161">
        <f t="shared" si="116"/>
        <v>0</v>
      </c>
      <c r="EB120" s="161">
        <f t="shared" si="117"/>
        <v>0</v>
      </c>
      <c r="EC120" s="161">
        <f t="shared" si="118"/>
        <v>0</v>
      </c>
      <c r="ED120" s="161">
        <f t="shared" si="119"/>
        <v>0</v>
      </c>
      <c r="EE120" s="161">
        <f t="shared" si="120"/>
        <v>0</v>
      </c>
      <c r="EF120" s="161">
        <f t="shared" si="121"/>
        <v>0</v>
      </c>
      <c r="EG120" s="161">
        <f t="shared" si="122"/>
        <v>0</v>
      </c>
      <c r="EH120" s="161">
        <f t="shared" si="123"/>
        <v>0</v>
      </c>
      <c r="EI120" s="161">
        <f t="shared" si="124"/>
        <v>0</v>
      </c>
      <c r="EJ120" s="161">
        <f t="shared" si="125"/>
        <v>0</v>
      </c>
      <c r="EK120" s="147">
        <f t="shared" ref="EK120:EK151" si="133">IF(DF120="", "", SUM(DF120:EJ120))</f>
        <v>0</v>
      </c>
      <c r="EL120" s="149"/>
      <c r="EN120" s="146"/>
      <c r="EO120" s="146"/>
      <c r="EP120" s="139">
        <f t="shared" ref="EP120:EP151" si="134">IF(DF120="", "", DF120*G$36)</f>
        <v>0</v>
      </c>
      <c r="EQ120" s="139">
        <f t="shared" ref="EQ120:EQ151" si="135">IF(DG120="", "", DG120*H$36)</f>
        <v>0</v>
      </c>
      <c r="ER120" s="139">
        <f t="shared" ref="ER120:ER151" si="136">IF(DH120="", "", DH120*I$36)</f>
        <v>0</v>
      </c>
      <c r="ES120" s="139">
        <f t="shared" ref="ES120:ES151" si="137">IF(DI120="", "", DI120*J$36)</f>
        <v>0</v>
      </c>
      <c r="ET120" s="139">
        <f t="shared" ref="ET120:ET151" si="138">IF(DJ120="", "", DJ120*K$36)</f>
        <v>0</v>
      </c>
      <c r="EU120" s="139">
        <f t="shared" ref="EU120:EU151" si="139">IF(DK120="", "", DK120*L$36)</f>
        <v>0</v>
      </c>
      <c r="EV120" s="139">
        <f t="shared" ref="EV120:EV151" si="140">IF(DL120="", "", DL120*M$36)</f>
        <v>0</v>
      </c>
      <c r="EW120" s="139">
        <f t="shared" ref="EW120:EW151" si="141">IF(DM120="", "", DM120*N$36)</f>
        <v>0</v>
      </c>
      <c r="EX120" s="139">
        <f t="shared" ref="EX120:EX151" si="142">IF(DN120="", "", DN120*O$36)</f>
        <v>0</v>
      </c>
      <c r="EY120" s="139">
        <f t="shared" ref="EY120:EY151" si="143">IF(DO120="", "", DO120*P$36)</f>
        <v>0</v>
      </c>
      <c r="EZ120" s="139">
        <f t="shared" ref="EZ120:EZ151" si="144">IF(DP120="", "", DP120*Q$36)</f>
        <v>0</v>
      </c>
      <c r="FA120" s="139">
        <f t="shared" ref="FA120:FA151" si="145">IF(DQ120="", "", DQ120*R$36)</f>
        <v>0</v>
      </c>
      <c r="FB120" s="139">
        <f t="shared" ref="FB120:FB151" si="146">IF(DR120="", "", DR120*S$36)</f>
        <v>0</v>
      </c>
      <c r="FC120" s="139">
        <f t="shared" ref="FC120:FC151" si="147">IF(DS120="", "", DS120*T$36)</f>
        <v>0</v>
      </c>
      <c r="FD120" s="139">
        <f t="shared" ref="FD120:FD151" si="148">IF(DT120="", "", DT120*U$36)</f>
        <v>0</v>
      </c>
      <c r="FE120" s="139">
        <f t="shared" ref="FE120:FE151" si="149">IF(DU120="", "", DU120*V$36)</f>
        <v>0</v>
      </c>
      <c r="FF120" s="139">
        <f t="shared" ref="FF120:FF151" si="150">IF(DV120="", "", DV120*W$36)</f>
        <v>0</v>
      </c>
      <c r="FG120" s="139">
        <f t="shared" ref="FG120:FG151" si="151">IF(DW120="", "", DW120*X$36)</f>
        <v>0</v>
      </c>
      <c r="FH120" s="139">
        <f t="shared" ref="FH120:FH151" si="152">IF(DX120="", "", DX120*Y$36)</f>
        <v>0</v>
      </c>
      <c r="FI120" s="139">
        <f t="shared" ref="FI120:FI151" si="153">IF(DY120="", "", DY120*Z$36)</f>
        <v>0</v>
      </c>
      <c r="FJ120" s="139">
        <f t="shared" ref="FJ120:FJ151" si="154">IF(DZ120="", "", DZ120*AA$36)</f>
        <v>0</v>
      </c>
      <c r="FK120" s="139">
        <f t="shared" ref="FK120:FK151" si="155">IF(EA120="", "", EA120*AB$36)</f>
        <v>0</v>
      </c>
      <c r="FL120" s="139">
        <f t="shared" ref="FL120:FL151" si="156">IF(EB120="", "", EB120*AC$36)</f>
        <v>0</v>
      </c>
      <c r="FM120" s="139">
        <f t="shared" ref="FM120:FM151" si="157">IF(EC120="", "", EC120*AD$36)</f>
        <v>0</v>
      </c>
      <c r="FN120" s="139">
        <f t="shared" ref="FN120:FN151" si="158">IF(ED120="", "", ED120*AE$36)</f>
        <v>0</v>
      </c>
      <c r="FO120" s="139">
        <f t="shared" ref="FO120:FO151" si="159">IF(EE120="", "", EE120*AF$36)</f>
        <v>0</v>
      </c>
      <c r="FP120" s="139">
        <f t="shared" ref="FP120:FP151" si="160">IF(EF120="", "", EF120*AG$36)</f>
        <v>0</v>
      </c>
      <c r="FQ120" s="139">
        <f t="shared" ref="FQ120:FQ151" si="161">IF(EG120="", "", EG120*AH$36)</f>
        <v>0</v>
      </c>
      <c r="FR120" s="139">
        <f t="shared" ref="FR120:FR151" si="162">IF(EH120="", "", EH120*AI$36)</f>
        <v>0</v>
      </c>
      <c r="FS120" s="139">
        <f t="shared" ref="FS120:FS151" si="163">IF(EI120="", "", EI120*AJ$36)</f>
        <v>0</v>
      </c>
      <c r="FT120" s="139">
        <f t="shared" ref="FT120:FT151" si="164">IF(EJ120="", "", EJ120*AK$36)</f>
        <v>0</v>
      </c>
      <c r="FU120" s="148">
        <f t="shared" ref="FU120:FU151" si="165">IF(EP120="","",SUM(EP120:FT120))</f>
        <v>0</v>
      </c>
      <c r="FV120" s="149"/>
      <c r="FY120" s="211">
        <v>115</v>
      </c>
      <c r="FZ120">
        <v>0.34515799312937062</v>
      </c>
      <c r="GA120">
        <v>0.88401555549250288</v>
      </c>
      <c r="GB120">
        <v>1.5822098622919298</v>
      </c>
      <c r="GC120">
        <v>1.1708959040948415</v>
      </c>
      <c r="GD120">
        <v>0.3635527367920724</v>
      </c>
      <c r="GE120">
        <v>7.7086188903599986E-2</v>
      </c>
      <c r="GF120">
        <v>1.1621547863886474</v>
      </c>
      <c r="GG120">
        <v>1.0578327695063923</v>
      </c>
      <c r="GH120">
        <v>0.11249442504775362</v>
      </c>
      <c r="GI120">
        <v>0.87016630461382904</v>
      </c>
      <c r="GJ120"/>
      <c r="GK120">
        <v>0.34385624999999997</v>
      </c>
      <c r="GL120">
        <v>0.74436796875</v>
      </c>
      <c r="GM120">
        <v>2.5978057528409089</v>
      </c>
      <c r="GN120">
        <v>3.4348221590909089</v>
      </c>
      <c r="GO120">
        <v>1.3822781249999998</v>
      </c>
      <c r="GP120">
        <v>0.14474999999999999</v>
      </c>
      <c r="GQ120">
        <v>1.4014728260869567</v>
      </c>
      <c r="GR120">
        <v>1.47183740942029</v>
      </c>
      <c r="GS120">
        <v>0.11895232371794871</v>
      </c>
      <c r="GT120">
        <v>1.1688730555291627</v>
      </c>
      <c r="GU120"/>
      <c r="GV120"/>
      <c r="GW120"/>
      <c r="GX120"/>
      <c r="GY120"/>
      <c r="GZ120"/>
      <c r="HA120"/>
      <c r="HB120"/>
      <c r="HC120"/>
    </row>
    <row r="121" spans="1:211" s="7" customFormat="1">
      <c r="A121" s="1"/>
      <c r="B121" s="76">
        <f t="shared" ca="1" si="132"/>
        <v>0.73336953171739605</v>
      </c>
      <c r="C121">
        <v>7</v>
      </c>
      <c r="D121">
        <v>39747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 s="2"/>
      <c r="AK121" s="80"/>
      <c r="AL121" s="74"/>
      <c r="AM121" s="43">
        <v>105</v>
      </c>
      <c r="AN121">
        <v>30.491335315248357</v>
      </c>
      <c r="AO121">
        <v>0.58567141750278706</v>
      </c>
      <c r="AP121">
        <v>6.1332968034322946</v>
      </c>
      <c r="AQ121">
        <v>3.8468037477869053</v>
      </c>
      <c r="AR121">
        <v>0.53825925411092523</v>
      </c>
      <c r="AS121">
        <v>2.6795992159576483</v>
      </c>
      <c r="AT121" t="e">
        <v>#DIV/0!</v>
      </c>
      <c r="AU121" t="e">
        <v>#DIV/0!</v>
      </c>
      <c r="AV121"/>
      <c r="AW121"/>
      <c r="AX121" s="146"/>
      <c r="AY121" s="76">
        <f t="shared" ca="1" si="88"/>
        <v>0.92126213646604449</v>
      </c>
      <c r="AZ121">
        <v>4</v>
      </c>
      <c r="BA121" s="129">
        <f t="shared" si="131"/>
        <v>39747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 s="147"/>
      <c r="CH121" s="176"/>
      <c r="CJ121" s="146"/>
      <c r="CK121" s="76">
        <f t="shared" ca="1" si="90"/>
        <v>0.32974998672011591</v>
      </c>
      <c r="CL121" s="179">
        <f t="shared" si="91"/>
        <v>4</v>
      </c>
      <c r="CM121" s="180">
        <f t="shared" si="92"/>
        <v>39747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 s="160"/>
      <c r="CW121" s="178">
        <f>30/11</f>
        <v>2.7272727272727271</v>
      </c>
      <c r="CX121">
        <f>350/58</f>
        <v>6.0344827586206895</v>
      </c>
      <c r="CY121" s="160"/>
      <c r="CZ121" s="177">
        <f t="shared" si="93"/>
        <v>9.6000000000000002E-2</v>
      </c>
      <c r="DB121" s="146"/>
      <c r="DC121" s="76">
        <f t="shared" ca="1" si="51"/>
        <v>0.69711622992326849</v>
      </c>
      <c r="DD121">
        <f t="shared" si="94"/>
        <v>4</v>
      </c>
      <c r="DE121" s="129">
        <f t="shared" si="130"/>
        <v>39747</v>
      </c>
      <c r="DF121" s="161">
        <f t="shared" si="95"/>
        <v>0</v>
      </c>
      <c r="DG121" s="161">
        <f t="shared" si="96"/>
        <v>0</v>
      </c>
      <c r="DH121" s="161">
        <f t="shared" si="97"/>
        <v>0</v>
      </c>
      <c r="DI121" s="161">
        <f t="shared" si="98"/>
        <v>0</v>
      </c>
      <c r="DJ121" s="161">
        <f t="shared" si="99"/>
        <v>0</v>
      </c>
      <c r="DK121" s="161">
        <f t="shared" si="100"/>
        <v>0</v>
      </c>
      <c r="DL121" s="161">
        <f t="shared" si="101"/>
        <v>0</v>
      </c>
      <c r="DM121" s="161">
        <f t="shared" si="102"/>
        <v>0</v>
      </c>
      <c r="DN121" s="161">
        <f t="shared" si="103"/>
        <v>0</v>
      </c>
      <c r="DO121" s="161">
        <f t="shared" si="104"/>
        <v>0</v>
      </c>
      <c r="DP121" s="161">
        <f t="shared" si="105"/>
        <v>0</v>
      </c>
      <c r="DQ121" s="161">
        <f t="shared" si="106"/>
        <v>0</v>
      </c>
      <c r="DR121" s="161">
        <f t="shared" si="107"/>
        <v>0</v>
      </c>
      <c r="DS121" s="161">
        <f t="shared" si="108"/>
        <v>0</v>
      </c>
      <c r="DT121" s="161">
        <f t="shared" si="109"/>
        <v>0</v>
      </c>
      <c r="DU121" s="161">
        <f t="shared" si="110"/>
        <v>0</v>
      </c>
      <c r="DV121" s="161">
        <f t="shared" si="111"/>
        <v>0</v>
      </c>
      <c r="DW121" s="161">
        <f t="shared" si="112"/>
        <v>0</v>
      </c>
      <c r="DX121" s="161">
        <f t="shared" si="113"/>
        <v>0</v>
      </c>
      <c r="DY121" s="161">
        <f t="shared" si="114"/>
        <v>0</v>
      </c>
      <c r="DZ121" s="161">
        <f t="shared" si="115"/>
        <v>0</v>
      </c>
      <c r="EA121" s="161">
        <f t="shared" si="116"/>
        <v>0</v>
      </c>
      <c r="EB121" s="161">
        <f t="shared" si="117"/>
        <v>0</v>
      </c>
      <c r="EC121" s="161">
        <f t="shared" si="118"/>
        <v>0</v>
      </c>
      <c r="ED121" s="161">
        <f t="shared" si="119"/>
        <v>0</v>
      </c>
      <c r="EE121" s="161">
        <f t="shared" si="120"/>
        <v>0</v>
      </c>
      <c r="EF121" s="161">
        <f t="shared" si="121"/>
        <v>0</v>
      </c>
      <c r="EG121" s="161">
        <f t="shared" si="122"/>
        <v>0</v>
      </c>
      <c r="EH121" s="161">
        <f t="shared" si="123"/>
        <v>0</v>
      </c>
      <c r="EI121" s="161">
        <f t="shared" si="124"/>
        <v>0</v>
      </c>
      <c r="EJ121" s="161">
        <f t="shared" si="125"/>
        <v>0</v>
      </c>
      <c r="EK121" s="147">
        <f t="shared" si="133"/>
        <v>0</v>
      </c>
      <c r="EL121" s="149"/>
      <c r="EN121" s="146"/>
      <c r="EO121" s="146"/>
      <c r="EP121" s="139">
        <f t="shared" si="134"/>
        <v>0</v>
      </c>
      <c r="EQ121" s="139">
        <f t="shared" si="135"/>
        <v>0</v>
      </c>
      <c r="ER121" s="139">
        <f t="shared" si="136"/>
        <v>0</v>
      </c>
      <c r="ES121" s="139">
        <f t="shared" si="137"/>
        <v>0</v>
      </c>
      <c r="ET121" s="139">
        <f t="shared" si="138"/>
        <v>0</v>
      </c>
      <c r="EU121" s="139">
        <f t="shared" si="139"/>
        <v>0</v>
      </c>
      <c r="EV121" s="139">
        <f t="shared" si="140"/>
        <v>0</v>
      </c>
      <c r="EW121" s="139">
        <f t="shared" si="141"/>
        <v>0</v>
      </c>
      <c r="EX121" s="139">
        <f t="shared" si="142"/>
        <v>0</v>
      </c>
      <c r="EY121" s="139">
        <f t="shared" si="143"/>
        <v>0</v>
      </c>
      <c r="EZ121" s="139">
        <f t="shared" si="144"/>
        <v>0</v>
      </c>
      <c r="FA121" s="139">
        <f t="shared" si="145"/>
        <v>0</v>
      </c>
      <c r="FB121" s="139">
        <f t="shared" si="146"/>
        <v>0</v>
      </c>
      <c r="FC121" s="139">
        <f t="shared" si="147"/>
        <v>0</v>
      </c>
      <c r="FD121" s="139">
        <f t="shared" si="148"/>
        <v>0</v>
      </c>
      <c r="FE121" s="139">
        <f t="shared" si="149"/>
        <v>0</v>
      </c>
      <c r="FF121" s="139">
        <f t="shared" si="150"/>
        <v>0</v>
      </c>
      <c r="FG121" s="139">
        <f t="shared" si="151"/>
        <v>0</v>
      </c>
      <c r="FH121" s="139">
        <f t="shared" si="152"/>
        <v>0</v>
      </c>
      <c r="FI121" s="139">
        <f t="shared" si="153"/>
        <v>0</v>
      </c>
      <c r="FJ121" s="139">
        <f t="shared" si="154"/>
        <v>0</v>
      </c>
      <c r="FK121" s="139">
        <f t="shared" si="155"/>
        <v>0</v>
      </c>
      <c r="FL121" s="139">
        <f t="shared" si="156"/>
        <v>0</v>
      </c>
      <c r="FM121" s="139">
        <f t="shared" si="157"/>
        <v>0</v>
      </c>
      <c r="FN121" s="139">
        <f t="shared" si="158"/>
        <v>0</v>
      </c>
      <c r="FO121" s="139">
        <f t="shared" si="159"/>
        <v>0</v>
      </c>
      <c r="FP121" s="139">
        <f t="shared" si="160"/>
        <v>0</v>
      </c>
      <c r="FQ121" s="139">
        <f t="shared" si="161"/>
        <v>0</v>
      </c>
      <c r="FR121" s="139">
        <f t="shared" si="162"/>
        <v>0</v>
      </c>
      <c r="FS121" s="139">
        <f t="shared" si="163"/>
        <v>0</v>
      </c>
      <c r="FT121" s="139">
        <f t="shared" si="164"/>
        <v>0</v>
      </c>
      <c r="FU121" s="148">
        <f t="shared" si="165"/>
        <v>0</v>
      </c>
      <c r="FV121" s="149"/>
      <c r="FY121" s="211">
        <v>116</v>
      </c>
      <c r="FZ121">
        <v>0.79877439563170527</v>
      </c>
      <c r="GA121">
        <v>1.8585631649224481</v>
      </c>
      <c r="GB121">
        <v>1.1621577589464727</v>
      </c>
      <c r="GC121">
        <v>0.63041138818192011</v>
      </c>
      <c r="GD121">
        <v>0.24587214307723931</v>
      </c>
      <c r="GE121">
        <v>9.8229387997349982E-2</v>
      </c>
      <c r="GF121">
        <v>0.49395954912409079</v>
      </c>
      <c r="GG121">
        <v>0.4281665527876255</v>
      </c>
      <c r="GH121">
        <v>0</v>
      </c>
      <c r="GI121">
        <v>0.63046021209474135</v>
      </c>
      <c r="GJ121"/>
      <c r="GK121">
        <v>0.79612683823529407</v>
      </c>
      <c r="GL121">
        <v>1.5655799632352942</v>
      </c>
      <c r="GM121">
        <v>1.9079438920454546</v>
      </c>
      <c r="GN121">
        <v>1.8493166599025972</v>
      </c>
      <c r="GO121">
        <v>0.93526339285714288</v>
      </c>
      <c r="GP121">
        <v>0.18459374999999997</v>
      </c>
      <c r="GQ121">
        <v>0.59590760869565207</v>
      </c>
      <c r="GR121">
        <v>0.59590760869565207</v>
      </c>
      <c r="GS121">
        <v>0</v>
      </c>
      <c r="GT121">
        <v>0.84704834636670867</v>
      </c>
      <c r="GU121"/>
      <c r="GV121"/>
      <c r="GW121"/>
      <c r="GX121"/>
      <c r="GY121"/>
      <c r="GZ121"/>
      <c r="HA121"/>
      <c r="HB121"/>
      <c r="HC121"/>
    </row>
    <row r="122" spans="1:211" s="7" customFormat="1">
      <c r="A122" s="1"/>
      <c r="B122" s="76">
        <f t="shared" ca="1" si="132"/>
        <v>0.89793817239589213</v>
      </c>
      <c r="C122">
        <v>10</v>
      </c>
      <c r="D122">
        <v>39747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 s="2"/>
      <c r="AK122" s="80"/>
      <c r="AL122" s="74"/>
      <c r="AM122" s="43">
        <v>106</v>
      </c>
      <c r="AN122">
        <v>36.803339283502325</v>
      </c>
      <c r="AO122">
        <v>0.91705217643135817</v>
      </c>
      <c r="AP122">
        <v>0.74925836788464983</v>
      </c>
      <c r="AQ122">
        <v>5.5160073359469664</v>
      </c>
      <c r="AR122">
        <v>0.83951448950053564</v>
      </c>
      <c r="AS122">
        <v>2.941455852258537</v>
      </c>
      <c r="AT122">
        <v>0.58993844478219293</v>
      </c>
      <c r="AU122">
        <v>-3.3617690182597061E-2</v>
      </c>
      <c r="AV122"/>
      <c r="AW122"/>
      <c r="AX122" s="146"/>
      <c r="AY122" s="76">
        <f t="shared" ca="1" si="88"/>
        <v>0.6445410060149257</v>
      </c>
      <c r="AZ122">
        <v>5</v>
      </c>
      <c r="BA122" s="129">
        <f t="shared" si="131"/>
        <v>39747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 s="147"/>
      <c r="CH122" s="176"/>
      <c r="CJ122" s="146"/>
      <c r="CK122" s="76">
        <f t="shared" ca="1" si="90"/>
        <v>0.12686803266210811</v>
      </c>
      <c r="CL122" s="179">
        <f t="shared" si="91"/>
        <v>5</v>
      </c>
      <c r="CM122" s="180">
        <f t="shared" si="92"/>
        <v>39747</v>
      </c>
      <c r="CN122">
        <v>0</v>
      </c>
      <c r="CO122">
        <v>0</v>
      </c>
      <c r="CP122">
        <v>4</v>
      </c>
      <c r="CQ122">
        <v>0</v>
      </c>
      <c r="CR122">
        <v>0</v>
      </c>
      <c r="CS122">
        <v>0</v>
      </c>
      <c r="CT122">
        <v>0</v>
      </c>
      <c r="CU122">
        <v>0</v>
      </c>
      <c r="CV122" s="160"/>
      <c r="CW122" s="178">
        <v>1</v>
      </c>
      <c r="CX122">
        <f>350/33</f>
        <v>10.606060606060606</v>
      </c>
      <c r="CY122" s="160"/>
      <c r="CZ122" s="177">
        <f t="shared" si="93"/>
        <v>9.6000000000000002E-2</v>
      </c>
      <c r="DB122" s="146"/>
      <c r="DC122" s="76">
        <f t="shared" ca="1" si="51"/>
        <v>0.50351077828376045</v>
      </c>
      <c r="DD122">
        <f t="shared" si="94"/>
        <v>5</v>
      </c>
      <c r="DE122" s="129">
        <f t="shared" si="130"/>
        <v>39747</v>
      </c>
      <c r="DF122" s="161">
        <f t="shared" si="95"/>
        <v>0</v>
      </c>
      <c r="DG122" s="161">
        <f t="shared" si="96"/>
        <v>0</v>
      </c>
      <c r="DH122" s="161">
        <f t="shared" si="97"/>
        <v>441.91919191919186</v>
      </c>
      <c r="DI122" s="161">
        <f t="shared" si="98"/>
        <v>0</v>
      </c>
      <c r="DJ122" s="161">
        <f t="shared" si="99"/>
        <v>0</v>
      </c>
      <c r="DK122" s="161">
        <f t="shared" si="100"/>
        <v>0</v>
      </c>
      <c r="DL122" s="161">
        <f t="shared" si="101"/>
        <v>0</v>
      </c>
      <c r="DM122" s="161">
        <f t="shared" si="102"/>
        <v>0</v>
      </c>
      <c r="DN122" s="161">
        <f t="shared" si="103"/>
        <v>0</v>
      </c>
      <c r="DO122" s="161">
        <f t="shared" si="104"/>
        <v>0</v>
      </c>
      <c r="DP122" s="161">
        <f t="shared" si="105"/>
        <v>0</v>
      </c>
      <c r="DQ122" s="161">
        <f t="shared" si="106"/>
        <v>0</v>
      </c>
      <c r="DR122" s="161">
        <f t="shared" si="107"/>
        <v>0</v>
      </c>
      <c r="DS122" s="161">
        <f t="shared" si="108"/>
        <v>0</v>
      </c>
      <c r="DT122" s="161">
        <f t="shared" si="109"/>
        <v>0</v>
      </c>
      <c r="DU122" s="161">
        <f t="shared" si="110"/>
        <v>0</v>
      </c>
      <c r="DV122" s="161">
        <f t="shared" si="111"/>
        <v>0</v>
      </c>
      <c r="DW122" s="161">
        <f t="shared" si="112"/>
        <v>0</v>
      </c>
      <c r="DX122" s="161">
        <f t="shared" si="113"/>
        <v>0</v>
      </c>
      <c r="DY122" s="161">
        <f t="shared" si="114"/>
        <v>0</v>
      </c>
      <c r="DZ122" s="161">
        <f t="shared" si="115"/>
        <v>0</v>
      </c>
      <c r="EA122" s="161">
        <f t="shared" si="116"/>
        <v>0</v>
      </c>
      <c r="EB122" s="161">
        <f t="shared" si="117"/>
        <v>0</v>
      </c>
      <c r="EC122" s="161">
        <f t="shared" si="118"/>
        <v>0</v>
      </c>
      <c r="ED122" s="161">
        <f t="shared" si="119"/>
        <v>0</v>
      </c>
      <c r="EE122" s="161">
        <f t="shared" si="120"/>
        <v>0</v>
      </c>
      <c r="EF122" s="161">
        <f t="shared" si="121"/>
        <v>0</v>
      </c>
      <c r="EG122" s="161">
        <f t="shared" si="122"/>
        <v>0</v>
      </c>
      <c r="EH122" s="161">
        <f t="shared" si="123"/>
        <v>0</v>
      </c>
      <c r="EI122" s="161">
        <f t="shared" si="124"/>
        <v>0</v>
      </c>
      <c r="EJ122" s="161">
        <f t="shared" si="125"/>
        <v>0</v>
      </c>
      <c r="EK122" s="147">
        <f t="shared" si="133"/>
        <v>441.91919191919186</v>
      </c>
      <c r="EL122" s="149"/>
      <c r="EN122" s="146"/>
      <c r="EO122" s="146"/>
      <c r="EP122" s="139">
        <f t="shared" si="134"/>
        <v>0</v>
      </c>
      <c r="EQ122" s="139">
        <f t="shared" si="135"/>
        <v>0</v>
      </c>
      <c r="ER122" s="139">
        <f t="shared" si="136"/>
        <v>16.90340909090909</v>
      </c>
      <c r="ES122" s="139">
        <f t="shared" si="137"/>
        <v>0</v>
      </c>
      <c r="ET122" s="139">
        <f t="shared" si="138"/>
        <v>0</v>
      </c>
      <c r="EU122" s="139">
        <f t="shared" si="139"/>
        <v>0</v>
      </c>
      <c r="EV122" s="139">
        <f t="shared" si="140"/>
        <v>0</v>
      </c>
      <c r="EW122" s="139">
        <f t="shared" si="141"/>
        <v>0</v>
      </c>
      <c r="EX122" s="139">
        <f t="shared" si="142"/>
        <v>0</v>
      </c>
      <c r="EY122" s="139">
        <f t="shared" si="143"/>
        <v>0</v>
      </c>
      <c r="EZ122" s="139">
        <f t="shared" si="144"/>
        <v>0</v>
      </c>
      <c r="FA122" s="139">
        <f t="shared" si="145"/>
        <v>0</v>
      </c>
      <c r="FB122" s="139">
        <f t="shared" si="146"/>
        <v>0</v>
      </c>
      <c r="FC122" s="139">
        <f t="shared" si="147"/>
        <v>0</v>
      </c>
      <c r="FD122" s="139">
        <f t="shared" si="148"/>
        <v>0</v>
      </c>
      <c r="FE122" s="139">
        <f t="shared" si="149"/>
        <v>0</v>
      </c>
      <c r="FF122" s="139">
        <f t="shared" si="150"/>
        <v>0</v>
      </c>
      <c r="FG122" s="139">
        <f t="shared" si="151"/>
        <v>0</v>
      </c>
      <c r="FH122" s="139">
        <f t="shared" si="152"/>
        <v>0</v>
      </c>
      <c r="FI122" s="139">
        <f t="shared" si="153"/>
        <v>0</v>
      </c>
      <c r="FJ122" s="139">
        <f t="shared" si="154"/>
        <v>0</v>
      </c>
      <c r="FK122" s="139">
        <f t="shared" si="155"/>
        <v>0</v>
      </c>
      <c r="FL122" s="139">
        <f t="shared" si="156"/>
        <v>0</v>
      </c>
      <c r="FM122" s="139">
        <f t="shared" si="157"/>
        <v>0</v>
      </c>
      <c r="FN122" s="139">
        <f t="shared" si="158"/>
        <v>0</v>
      </c>
      <c r="FO122" s="139">
        <f t="shared" si="159"/>
        <v>0</v>
      </c>
      <c r="FP122" s="139">
        <f t="shared" si="160"/>
        <v>0</v>
      </c>
      <c r="FQ122" s="139">
        <f t="shared" si="161"/>
        <v>0</v>
      </c>
      <c r="FR122" s="139">
        <f t="shared" si="162"/>
        <v>0</v>
      </c>
      <c r="FS122" s="139">
        <f t="shared" si="163"/>
        <v>0</v>
      </c>
      <c r="FT122" s="139">
        <f t="shared" si="164"/>
        <v>0</v>
      </c>
      <c r="FU122" s="148">
        <f t="shared" si="165"/>
        <v>16.90340909090909</v>
      </c>
      <c r="FV122" s="149"/>
      <c r="FY122" s="211">
        <v>117</v>
      </c>
      <c r="FZ122">
        <v>1.6502450206073265</v>
      </c>
      <c r="GA122">
        <v>2.2474442142682318</v>
      </c>
      <c r="GB122">
        <v>0.64936346753670815</v>
      </c>
      <c r="GC122">
        <v>0.53177273794238866</v>
      </c>
      <c r="GD122">
        <v>0.30050275795534925</v>
      </c>
      <c r="GE122">
        <v>0.20705340458159999</v>
      </c>
      <c r="GF122">
        <v>0.94961445999065341</v>
      </c>
      <c r="GG122">
        <v>0.81887252380421982</v>
      </c>
      <c r="GH122">
        <v>0.20200311426008355</v>
      </c>
      <c r="GI122">
        <v>0.77609320415739591</v>
      </c>
      <c r="GJ122"/>
      <c r="GK122">
        <v>1.6446880514705879</v>
      </c>
      <c r="GL122">
        <v>1.893137270220588</v>
      </c>
      <c r="GM122">
        <v>1.0655585937500001</v>
      </c>
      <c r="GN122">
        <v>1.5586665178571428</v>
      </c>
      <c r="GO122">
        <v>1.1434633928571427</v>
      </c>
      <c r="GP122">
        <v>0.38906249999999998</v>
      </c>
      <c r="GQ122">
        <v>1.1452214673913044</v>
      </c>
      <c r="GR122">
        <v>1.1394193840579709</v>
      </c>
      <c r="GS122">
        <v>0.21361077724358973</v>
      </c>
      <c r="GT122">
        <v>1.0425084565425249</v>
      </c>
      <c r="GU122"/>
      <c r="GV122"/>
      <c r="GW122"/>
      <c r="GX122"/>
      <c r="GY122"/>
      <c r="GZ122"/>
      <c r="HA122"/>
      <c r="HB122"/>
      <c r="HC122"/>
    </row>
    <row r="123" spans="1:211" s="7" customFormat="1">
      <c r="A123" s="1"/>
      <c r="B123" s="76">
        <f t="shared" ca="1" si="132"/>
        <v>0.66667083440821728</v>
      </c>
      <c r="C123">
        <v>6</v>
      </c>
      <c r="D123">
        <v>39747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 s="2"/>
      <c r="AK123" s="80"/>
      <c r="AL123" s="74"/>
      <c r="AM123" s="43">
        <v>107</v>
      </c>
      <c r="AN123">
        <v>46.542693651457235</v>
      </c>
      <c r="AO123">
        <v>1.0005297618027353</v>
      </c>
      <c r="AP123">
        <v>12.805136195529526</v>
      </c>
      <c r="AQ123">
        <v>6.2058014463428783</v>
      </c>
      <c r="AR123">
        <v>0.9262696807472417</v>
      </c>
      <c r="AS123">
        <v>4.1629603898631498</v>
      </c>
      <c r="AT123" t="e">
        <v>#DIV/0!</v>
      </c>
      <c r="AU123" t="e">
        <v>#DIV/0!</v>
      </c>
      <c r="AV123"/>
      <c r="AW123"/>
      <c r="AX123" s="146"/>
      <c r="AY123" s="76">
        <f t="shared" ca="1" si="88"/>
        <v>0.93149879976609484</v>
      </c>
      <c r="AZ123">
        <v>6</v>
      </c>
      <c r="BA123" s="129">
        <f t="shared" si="131"/>
        <v>39747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 s="147"/>
      <c r="CH123" s="176"/>
      <c r="CJ123" s="146"/>
      <c r="CK123" s="76">
        <f t="shared" ca="1" si="90"/>
        <v>0.56228406757909455</v>
      </c>
      <c r="CL123" s="179">
        <f t="shared" si="91"/>
        <v>6</v>
      </c>
      <c r="CM123" s="180">
        <f t="shared" si="92"/>
        <v>39747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 s="160"/>
      <c r="CW123" s="178">
        <v>1</v>
      </c>
      <c r="CX123">
        <f>375/60</f>
        <v>6.25</v>
      </c>
      <c r="CY123" s="160"/>
      <c r="CZ123" s="177">
        <f t="shared" si="93"/>
        <v>9.6000000000000002E-2</v>
      </c>
      <c r="DB123" s="146"/>
      <c r="DC123" s="76">
        <f t="shared" ca="1" si="51"/>
        <v>0.1934950159769917</v>
      </c>
      <c r="DD123">
        <f t="shared" si="94"/>
        <v>6</v>
      </c>
      <c r="DE123" s="129">
        <f t="shared" si="130"/>
        <v>39747</v>
      </c>
      <c r="DF123" s="161">
        <f t="shared" si="95"/>
        <v>0</v>
      </c>
      <c r="DG123" s="161">
        <f t="shared" si="96"/>
        <v>0</v>
      </c>
      <c r="DH123" s="161">
        <f t="shared" si="97"/>
        <v>0</v>
      </c>
      <c r="DI123" s="161">
        <f t="shared" si="98"/>
        <v>0</v>
      </c>
      <c r="DJ123" s="161">
        <f t="shared" si="99"/>
        <v>0</v>
      </c>
      <c r="DK123" s="161">
        <f t="shared" si="100"/>
        <v>0</v>
      </c>
      <c r="DL123" s="161">
        <f t="shared" si="101"/>
        <v>0</v>
      </c>
      <c r="DM123" s="161">
        <f t="shared" si="102"/>
        <v>0</v>
      </c>
      <c r="DN123" s="161">
        <f t="shared" si="103"/>
        <v>0</v>
      </c>
      <c r="DO123" s="161">
        <f t="shared" si="104"/>
        <v>0</v>
      </c>
      <c r="DP123" s="161">
        <f t="shared" si="105"/>
        <v>0</v>
      </c>
      <c r="DQ123" s="161">
        <f t="shared" si="106"/>
        <v>0</v>
      </c>
      <c r="DR123" s="161">
        <f t="shared" si="107"/>
        <v>0</v>
      </c>
      <c r="DS123" s="161">
        <f t="shared" si="108"/>
        <v>0</v>
      </c>
      <c r="DT123" s="161">
        <f t="shared" si="109"/>
        <v>0</v>
      </c>
      <c r="DU123" s="161">
        <f t="shared" si="110"/>
        <v>0</v>
      </c>
      <c r="DV123" s="161">
        <f t="shared" si="111"/>
        <v>0</v>
      </c>
      <c r="DW123" s="161">
        <f t="shared" si="112"/>
        <v>0</v>
      </c>
      <c r="DX123" s="161">
        <f t="shared" si="113"/>
        <v>0</v>
      </c>
      <c r="DY123" s="161">
        <f t="shared" si="114"/>
        <v>0</v>
      </c>
      <c r="DZ123" s="161">
        <f t="shared" si="115"/>
        <v>0</v>
      </c>
      <c r="EA123" s="161">
        <f t="shared" si="116"/>
        <v>0</v>
      </c>
      <c r="EB123" s="161">
        <f t="shared" si="117"/>
        <v>0</v>
      </c>
      <c r="EC123" s="161">
        <f t="shared" si="118"/>
        <v>0</v>
      </c>
      <c r="ED123" s="161">
        <f t="shared" si="119"/>
        <v>0</v>
      </c>
      <c r="EE123" s="161">
        <f t="shared" si="120"/>
        <v>0</v>
      </c>
      <c r="EF123" s="161">
        <f t="shared" si="121"/>
        <v>0</v>
      </c>
      <c r="EG123" s="161">
        <f t="shared" si="122"/>
        <v>0</v>
      </c>
      <c r="EH123" s="161">
        <f t="shared" si="123"/>
        <v>0</v>
      </c>
      <c r="EI123" s="161">
        <f t="shared" si="124"/>
        <v>0</v>
      </c>
      <c r="EJ123" s="161">
        <f t="shared" si="125"/>
        <v>0</v>
      </c>
      <c r="EK123" s="147">
        <f t="shared" si="133"/>
        <v>0</v>
      </c>
      <c r="EL123" s="149"/>
      <c r="EN123" s="146"/>
      <c r="EO123" s="146"/>
      <c r="EP123" s="139">
        <f t="shared" si="134"/>
        <v>0</v>
      </c>
      <c r="EQ123" s="139">
        <f t="shared" si="135"/>
        <v>0</v>
      </c>
      <c r="ER123" s="139">
        <f t="shared" si="136"/>
        <v>0</v>
      </c>
      <c r="ES123" s="139">
        <f t="shared" si="137"/>
        <v>0</v>
      </c>
      <c r="ET123" s="139">
        <f t="shared" si="138"/>
        <v>0</v>
      </c>
      <c r="EU123" s="139">
        <f t="shared" si="139"/>
        <v>0</v>
      </c>
      <c r="EV123" s="139">
        <f t="shared" si="140"/>
        <v>0</v>
      </c>
      <c r="EW123" s="139">
        <f t="shared" si="141"/>
        <v>0</v>
      </c>
      <c r="EX123" s="139">
        <f t="shared" si="142"/>
        <v>0</v>
      </c>
      <c r="EY123" s="139">
        <f t="shared" si="143"/>
        <v>0</v>
      </c>
      <c r="EZ123" s="139">
        <f t="shared" si="144"/>
        <v>0</v>
      </c>
      <c r="FA123" s="139">
        <f t="shared" si="145"/>
        <v>0</v>
      </c>
      <c r="FB123" s="139">
        <f t="shared" si="146"/>
        <v>0</v>
      </c>
      <c r="FC123" s="139">
        <f t="shared" si="147"/>
        <v>0</v>
      </c>
      <c r="FD123" s="139">
        <f t="shared" si="148"/>
        <v>0</v>
      </c>
      <c r="FE123" s="139">
        <f t="shared" si="149"/>
        <v>0</v>
      </c>
      <c r="FF123" s="139">
        <f t="shared" si="150"/>
        <v>0</v>
      </c>
      <c r="FG123" s="139">
        <f t="shared" si="151"/>
        <v>0</v>
      </c>
      <c r="FH123" s="139">
        <f t="shared" si="152"/>
        <v>0</v>
      </c>
      <c r="FI123" s="139">
        <f t="shared" si="153"/>
        <v>0</v>
      </c>
      <c r="FJ123" s="139">
        <f t="shared" si="154"/>
        <v>0</v>
      </c>
      <c r="FK123" s="139">
        <f t="shared" si="155"/>
        <v>0</v>
      </c>
      <c r="FL123" s="139">
        <f t="shared" si="156"/>
        <v>0</v>
      </c>
      <c r="FM123" s="139">
        <f t="shared" si="157"/>
        <v>0</v>
      </c>
      <c r="FN123" s="139">
        <f t="shared" si="158"/>
        <v>0</v>
      </c>
      <c r="FO123" s="139">
        <f t="shared" si="159"/>
        <v>0</v>
      </c>
      <c r="FP123" s="139">
        <f t="shared" si="160"/>
        <v>0</v>
      </c>
      <c r="FQ123" s="139">
        <f t="shared" si="161"/>
        <v>0</v>
      </c>
      <c r="FR123" s="139">
        <f t="shared" si="162"/>
        <v>0</v>
      </c>
      <c r="FS123" s="139">
        <f t="shared" si="163"/>
        <v>0</v>
      </c>
      <c r="FT123" s="139">
        <f t="shared" si="164"/>
        <v>0</v>
      </c>
      <c r="FU123" s="148">
        <f t="shared" si="165"/>
        <v>0</v>
      </c>
      <c r="FV123" s="149"/>
      <c r="FY123" s="211">
        <v>118</v>
      </c>
      <c r="FZ123">
        <v>0.49599986100101157</v>
      </c>
      <c r="GA123">
        <v>0.83891250052398814</v>
      </c>
      <c r="GB123">
        <v>0.31840487841515974</v>
      </c>
      <c r="GC123">
        <v>0.13784867881593249</v>
      </c>
      <c r="GD123">
        <v>9.1205702284474277E-2</v>
      </c>
      <c r="GE123">
        <v>7.6065534558449999E-2</v>
      </c>
      <c r="GF123">
        <v>0.20038102790324064</v>
      </c>
      <c r="GG123">
        <v>0.13862439864731252</v>
      </c>
      <c r="GH123">
        <v>4.5971471670847357E-2</v>
      </c>
      <c r="GI123">
        <v>0.24631465236838557</v>
      </c>
      <c r="GJ123"/>
      <c r="GK123">
        <v>0.49416562499999994</v>
      </c>
      <c r="GL123">
        <v>0.70642734375000005</v>
      </c>
      <c r="GM123">
        <v>0.52241796875000002</v>
      </c>
      <c r="GN123">
        <v>0.40390089285714287</v>
      </c>
      <c r="GO123">
        <v>0.34724464285714285</v>
      </c>
      <c r="GP123">
        <v>0.14296875000000001</v>
      </c>
      <c r="GQ123">
        <v>0.24196875000000001</v>
      </c>
      <c r="GR123">
        <v>0.19312499999999999</v>
      </c>
      <c r="GS123">
        <v>4.8587740384615385E-2</v>
      </c>
      <c r="GT123">
        <v>0.33087694539835161</v>
      </c>
      <c r="GU123"/>
      <c r="GV123"/>
      <c r="GW123"/>
      <c r="GX123"/>
      <c r="GY123"/>
      <c r="GZ123"/>
      <c r="HA123"/>
      <c r="HB123"/>
      <c r="HC123"/>
    </row>
    <row r="124" spans="1:211" s="7" customFormat="1">
      <c r="A124" s="1"/>
      <c r="B124" s="76">
        <f t="shared" ca="1" si="132"/>
        <v>0.57690107246492039</v>
      </c>
      <c r="C124">
        <v>5</v>
      </c>
      <c r="D124">
        <v>39747</v>
      </c>
      <c r="E124">
        <v>0</v>
      </c>
      <c r="F124">
        <v>0</v>
      </c>
      <c r="G124">
        <v>441.91919191919186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 s="2"/>
      <c r="AK124" s="80"/>
      <c r="AL124" s="74"/>
      <c r="AM124" s="43">
        <v>108</v>
      </c>
      <c r="AN124">
        <v>43.095435133594499</v>
      </c>
      <c r="AO124">
        <v>1.0971956862117129</v>
      </c>
      <c r="AP124">
        <v>1.3156427212434374</v>
      </c>
      <c r="AQ124">
        <v>7.9270679808754814</v>
      </c>
      <c r="AR124">
        <v>1.0119392601924662</v>
      </c>
      <c r="AS124">
        <v>3.4599317987753309</v>
      </c>
      <c r="AT124" t="e">
        <v>#DIV/0!</v>
      </c>
      <c r="AU124" t="e">
        <v>#DIV/0!</v>
      </c>
      <c r="AV124"/>
      <c r="AW124"/>
      <c r="AX124" s="146"/>
      <c r="AY124" s="76">
        <f t="shared" ca="1" si="88"/>
        <v>0.82750833912793542</v>
      </c>
      <c r="AZ124">
        <v>7</v>
      </c>
      <c r="BA124" s="129">
        <f t="shared" si="131"/>
        <v>39747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 s="147"/>
      <c r="CH124" s="176"/>
      <c r="CJ124" s="146"/>
      <c r="CK124" s="76">
        <f t="shared" ca="1" si="90"/>
        <v>0.81634332146232946</v>
      </c>
      <c r="CL124" s="179">
        <f t="shared" si="91"/>
        <v>7</v>
      </c>
      <c r="CM124" s="180">
        <f t="shared" si="92"/>
        <v>39747</v>
      </c>
      <c r="CN124">
        <v>0</v>
      </c>
      <c r="CO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 s="160"/>
      <c r="CW124" s="178">
        <v>1</v>
      </c>
      <c r="CX124">
        <f>350/49</f>
        <v>7.1428571428571432</v>
      </c>
      <c r="CY124" s="164"/>
      <c r="CZ124" s="177">
        <f t="shared" si="93"/>
        <v>9.6000000000000002E-2</v>
      </c>
      <c r="DB124" s="146"/>
      <c r="DC124" s="76">
        <f t="shared" ca="1" si="51"/>
        <v>0.45621111810120851</v>
      </c>
      <c r="DD124">
        <f t="shared" si="94"/>
        <v>7</v>
      </c>
      <c r="DE124" s="129">
        <f t="shared" si="130"/>
        <v>39747</v>
      </c>
      <c r="DF124" s="161">
        <f t="shared" si="95"/>
        <v>0</v>
      </c>
      <c r="DG124" s="161">
        <f t="shared" si="96"/>
        <v>0</v>
      </c>
      <c r="DH124" s="161">
        <f t="shared" si="97"/>
        <v>0</v>
      </c>
      <c r="DI124" s="161">
        <f t="shared" si="98"/>
        <v>0</v>
      </c>
      <c r="DJ124" s="161">
        <f t="shared" si="99"/>
        <v>0</v>
      </c>
      <c r="DK124" s="161">
        <f t="shared" si="100"/>
        <v>0</v>
      </c>
      <c r="DL124" s="161">
        <f t="shared" si="101"/>
        <v>0</v>
      </c>
      <c r="DM124" s="161">
        <f t="shared" si="102"/>
        <v>0</v>
      </c>
      <c r="DN124" s="161">
        <f t="shared" si="103"/>
        <v>0</v>
      </c>
      <c r="DO124" s="161">
        <f t="shared" si="104"/>
        <v>0</v>
      </c>
      <c r="DP124" s="161">
        <f t="shared" si="105"/>
        <v>0</v>
      </c>
      <c r="DQ124" s="161">
        <f t="shared" si="106"/>
        <v>0</v>
      </c>
      <c r="DR124" s="161">
        <f t="shared" si="107"/>
        <v>0</v>
      </c>
      <c r="DS124" s="161">
        <f t="shared" si="108"/>
        <v>0</v>
      </c>
      <c r="DT124" s="161">
        <f t="shared" si="109"/>
        <v>0</v>
      </c>
      <c r="DU124" s="161">
        <f t="shared" si="110"/>
        <v>0</v>
      </c>
      <c r="DV124" s="161">
        <f t="shared" si="111"/>
        <v>0</v>
      </c>
      <c r="DW124" s="161">
        <f t="shared" si="112"/>
        <v>0</v>
      </c>
      <c r="DX124" s="161">
        <f t="shared" si="113"/>
        <v>0</v>
      </c>
      <c r="DY124" s="161">
        <f t="shared" si="114"/>
        <v>0</v>
      </c>
      <c r="DZ124" s="161">
        <f t="shared" si="115"/>
        <v>0</v>
      </c>
      <c r="EA124" s="161">
        <f t="shared" si="116"/>
        <v>0</v>
      </c>
      <c r="EB124" s="161">
        <f t="shared" si="117"/>
        <v>0</v>
      </c>
      <c r="EC124" s="161">
        <f t="shared" si="118"/>
        <v>0</v>
      </c>
      <c r="ED124" s="161">
        <f t="shared" si="119"/>
        <v>0</v>
      </c>
      <c r="EE124" s="161">
        <f t="shared" si="120"/>
        <v>0</v>
      </c>
      <c r="EF124" s="161">
        <f t="shared" si="121"/>
        <v>0</v>
      </c>
      <c r="EG124" s="161">
        <f t="shared" si="122"/>
        <v>0</v>
      </c>
      <c r="EH124" s="161">
        <f t="shared" si="123"/>
        <v>0</v>
      </c>
      <c r="EI124" s="161">
        <f t="shared" si="124"/>
        <v>0</v>
      </c>
      <c r="EJ124" s="161">
        <f t="shared" si="125"/>
        <v>0</v>
      </c>
      <c r="EK124" s="147">
        <f t="shared" si="133"/>
        <v>0</v>
      </c>
      <c r="EL124" s="149"/>
      <c r="EN124" s="146"/>
      <c r="EO124" s="146"/>
      <c r="EP124" s="139">
        <f t="shared" si="134"/>
        <v>0</v>
      </c>
      <c r="EQ124" s="139">
        <f t="shared" si="135"/>
        <v>0</v>
      </c>
      <c r="ER124" s="139">
        <f t="shared" si="136"/>
        <v>0</v>
      </c>
      <c r="ES124" s="139">
        <f t="shared" si="137"/>
        <v>0</v>
      </c>
      <c r="ET124" s="139">
        <f t="shared" si="138"/>
        <v>0</v>
      </c>
      <c r="EU124" s="139">
        <f t="shared" si="139"/>
        <v>0</v>
      </c>
      <c r="EV124" s="139">
        <f t="shared" si="140"/>
        <v>0</v>
      </c>
      <c r="EW124" s="139">
        <f t="shared" si="141"/>
        <v>0</v>
      </c>
      <c r="EX124" s="139">
        <f t="shared" si="142"/>
        <v>0</v>
      </c>
      <c r="EY124" s="139">
        <f t="shared" si="143"/>
        <v>0</v>
      </c>
      <c r="EZ124" s="139">
        <f t="shared" si="144"/>
        <v>0</v>
      </c>
      <c r="FA124" s="139">
        <f t="shared" si="145"/>
        <v>0</v>
      </c>
      <c r="FB124" s="139">
        <f t="shared" si="146"/>
        <v>0</v>
      </c>
      <c r="FC124" s="139">
        <f t="shared" si="147"/>
        <v>0</v>
      </c>
      <c r="FD124" s="139">
        <f t="shared" si="148"/>
        <v>0</v>
      </c>
      <c r="FE124" s="139">
        <f t="shared" si="149"/>
        <v>0</v>
      </c>
      <c r="FF124" s="139">
        <f t="shared" si="150"/>
        <v>0</v>
      </c>
      <c r="FG124" s="139">
        <f t="shared" si="151"/>
        <v>0</v>
      </c>
      <c r="FH124" s="139">
        <f t="shared" si="152"/>
        <v>0</v>
      </c>
      <c r="FI124" s="139">
        <f t="shared" si="153"/>
        <v>0</v>
      </c>
      <c r="FJ124" s="139">
        <f t="shared" si="154"/>
        <v>0</v>
      </c>
      <c r="FK124" s="139">
        <f t="shared" si="155"/>
        <v>0</v>
      </c>
      <c r="FL124" s="139">
        <f t="shared" si="156"/>
        <v>0</v>
      </c>
      <c r="FM124" s="139">
        <f t="shared" si="157"/>
        <v>0</v>
      </c>
      <c r="FN124" s="139">
        <f t="shared" si="158"/>
        <v>0</v>
      </c>
      <c r="FO124" s="139">
        <f t="shared" si="159"/>
        <v>0</v>
      </c>
      <c r="FP124" s="139">
        <f t="shared" si="160"/>
        <v>0</v>
      </c>
      <c r="FQ124" s="139">
        <f t="shared" si="161"/>
        <v>0</v>
      </c>
      <c r="FR124" s="139">
        <f t="shared" si="162"/>
        <v>0</v>
      </c>
      <c r="FS124" s="139">
        <f t="shared" si="163"/>
        <v>0</v>
      </c>
      <c r="FT124" s="139">
        <f t="shared" si="164"/>
        <v>0</v>
      </c>
      <c r="FU124" s="148">
        <f t="shared" si="165"/>
        <v>0</v>
      </c>
      <c r="FV124" s="149"/>
      <c r="FY124" s="211">
        <v>119</v>
      </c>
      <c r="FZ124">
        <v>1.2820058902090632</v>
      </c>
      <c r="GA124">
        <v>1.5050192627718435</v>
      </c>
      <c r="GB124">
        <v>0.22908857242473984</v>
      </c>
      <c r="GC124">
        <v>0.57504173115923252</v>
      </c>
      <c r="GD124">
        <v>0.44705284337271545</v>
      </c>
      <c r="GE124">
        <v>0.12900836070404997</v>
      </c>
      <c r="GF124">
        <v>0.33409761863227821</v>
      </c>
      <c r="GG124">
        <v>0.39070597101659427</v>
      </c>
      <c r="GH124">
        <v>0.15603164258923619</v>
      </c>
      <c r="GI124">
        <v>0.58391325179666576</v>
      </c>
      <c r="GJ124"/>
      <c r="GK124">
        <v>1.277608088235294</v>
      </c>
      <c r="GL124">
        <v>1.267506525735294</v>
      </c>
      <c r="GM124">
        <v>0.37544531250000002</v>
      </c>
      <c r="GN124">
        <v>1.6836776785714287</v>
      </c>
      <c r="GO124">
        <v>1.7000370535714291</v>
      </c>
      <c r="GP124">
        <v>0.24253124999999998</v>
      </c>
      <c r="GQ124">
        <v>0.40278260869565213</v>
      </c>
      <c r="GR124">
        <v>0.54351177536231876</v>
      </c>
      <c r="GS124">
        <v>0.16502303685897435</v>
      </c>
      <c r="GT124">
        <v>0.78417921997226991</v>
      </c>
      <c r="GU124"/>
      <c r="GV124"/>
      <c r="GW124"/>
      <c r="GX124"/>
      <c r="GY124"/>
      <c r="GZ124"/>
      <c r="HA124"/>
      <c r="HB124"/>
      <c r="HC124"/>
    </row>
    <row r="125" spans="1:211" s="7" customFormat="1">
      <c r="A125" s="1"/>
      <c r="B125" s="76">
        <f t="shared" ca="1" si="132"/>
        <v>0.2191007927831059</v>
      </c>
      <c r="C125">
        <v>3</v>
      </c>
      <c r="D125">
        <v>39747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 s="2"/>
      <c r="AK125" s="80"/>
      <c r="AL125" s="74"/>
      <c r="AM125" s="43">
        <v>109</v>
      </c>
      <c r="AN125">
        <v>57.289400614156833</v>
      </c>
      <c r="AO125">
        <v>1.2851110657041036</v>
      </c>
      <c r="AP125">
        <v>0.48491597731304664</v>
      </c>
      <c r="AQ125">
        <v>8.6050881841501834</v>
      </c>
      <c r="AR125">
        <v>1.1871884906750592</v>
      </c>
      <c r="AS125">
        <v>4.8084934305597908</v>
      </c>
      <c r="AT125">
        <v>0.9245529952895587</v>
      </c>
      <c r="AU125">
        <v>2.2133795355085972E-2</v>
      </c>
      <c r="AV125"/>
      <c r="AW125"/>
      <c r="AX125" s="146"/>
      <c r="AY125" s="76">
        <f t="shared" ca="1" si="88"/>
        <v>0.12362511620608174</v>
      </c>
      <c r="AZ125">
        <v>8</v>
      </c>
      <c r="BA125" s="129">
        <f t="shared" si="131"/>
        <v>39747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 s="147"/>
      <c r="CH125" s="176"/>
      <c r="CJ125" s="146"/>
      <c r="CK125" s="76">
        <f t="shared" ca="1" si="90"/>
        <v>0.14192016561256082</v>
      </c>
      <c r="CL125" s="179">
        <f t="shared" si="91"/>
        <v>8</v>
      </c>
      <c r="CM125" s="180">
        <f t="shared" si="92"/>
        <v>39747</v>
      </c>
      <c r="CN125">
        <v>0</v>
      </c>
      <c r="CO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 s="160"/>
      <c r="CW125" s="178">
        <v>1</v>
      </c>
      <c r="CX125">
        <f>350/52</f>
        <v>6.7307692307692308</v>
      </c>
      <c r="CY125" s="164"/>
      <c r="CZ125" s="177">
        <f t="shared" si="93"/>
        <v>9.6000000000000002E-2</v>
      </c>
      <c r="DB125" s="146"/>
      <c r="DC125" s="76">
        <f t="shared" ca="1" si="51"/>
        <v>0.29822716073691757</v>
      </c>
      <c r="DD125">
        <f t="shared" si="94"/>
        <v>8</v>
      </c>
      <c r="DE125" s="129">
        <f t="shared" si="130"/>
        <v>39747</v>
      </c>
      <c r="DF125" s="161">
        <f t="shared" si="95"/>
        <v>0</v>
      </c>
      <c r="DG125" s="161">
        <f t="shared" si="96"/>
        <v>0</v>
      </c>
      <c r="DH125" s="161">
        <f t="shared" si="97"/>
        <v>0</v>
      </c>
      <c r="DI125" s="161">
        <f t="shared" si="98"/>
        <v>0</v>
      </c>
      <c r="DJ125" s="161">
        <f t="shared" si="99"/>
        <v>0</v>
      </c>
      <c r="DK125" s="161">
        <f t="shared" si="100"/>
        <v>0</v>
      </c>
      <c r="DL125" s="161">
        <f t="shared" si="101"/>
        <v>0</v>
      </c>
      <c r="DM125" s="161">
        <f t="shared" si="102"/>
        <v>0</v>
      </c>
      <c r="DN125" s="161">
        <f t="shared" si="103"/>
        <v>0</v>
      </c>
      <c r="DO125" s="161">
        <f t="shared" si="104"/>
        <v>0</v>
      </c>
      <c r="DP125" s="161">
        <f t="shared" si="105"/>
        <v>0</v>
      </c>
      <c r="DQ125" s="161">
        <f t="shared" si="106"/>
        <v>0</v>
      </c>
      <c r="DR125" s="161">
        <f t="shared" si="107"/>
        <v>0</v>
      </c>
      <c r="DS125" s="161">
        <f t="shared" si="108"/>
        <v>0</v>
      </c>
      <c r="DT125" s="161">
        <f t="shared" si="109"/>
        <v>0</v>
      </c>
      <c r="DU125" s="161">
        <f t="shared" si="110"/>
        <v>0</v>
      </c>
      <c r="DV125" s="161">
        <f t="shared" si="111"/>
        <v>0</v>
      </c>
      <c r="DW125" s="161">
        <f t="shared" si="112"/>
        <v>0</v>
      </c>
      <c r="DX125" s="161">
        <f t="shared" si="113"/>
        <v>0</v>
      </c>
      <c r="DY125" s="161">
        <f t="shared" si="114"/>
        <v>0</v>
      </c>
      <c r="DZ125" s="161">
        <f t="shared" si="115"/>
        <v>0</v>
      </c>
      <c r="EA125" s="161">
        <f t="shared" si="116"/>
        <v>0</v>
      </c>
      <c r="EB125" s="161">
        <f t="shared" si="117"/>
        <v>0</v>
      </c>
      <c r="EC125" s="161">
        <f t="shared" si="118"/>
        <v>0</v>
      </c>
      <c r="ED125" s="161">
        <f t="shared" si="119"/>
        <v>0</v>
      </c>
      <c r="EE125" s="161">
        <f t="shared" si="120"/>
        <v>0</v>
      </c>
      <c r="EF125" s="161">
        <f t="shared" si="121"/>
        <v>0</v>
      </c>
      <c r="EG125" s="161">
        <f t="shared" si="122"/>
        <v>0</v>
      </c>
      <c r="EH125" s="161">
        <f t="shared" si="123"/>
        <v>0</v>
      </c>
      <c r="EI125" s="161">
        <f t="shared" si="124"/>
        <v>0</v>
      </c>
      <c r="EJ125" s="161">
        <f t="shared" si="125"/>
        <v>0</v>
      </c>
      <c r="EK125" s="147">
        <f t="shared" si="133"/>
        <v>0</v>
      </c>
      <c r="EL125" s="149"/>
      <c r="EN125" s="146"/>
      <c r="EO125" s="146"/>
      <c r="EP125" s="139">
        <f t="shared" si="134"/>
        <v>0</v>
      </c>
      <c r="EQ125" s="139">
        <f t="shared" si="135"/>
        <v>0</v>
      </c>
      <c r="ER125" s="139">
        <f t="shared" si="136"/>
        <v>0</v>
      </c>
      <c r="ES125" s="139">
        <f t="shared" si="137"/>
        <v>0</v>
      </c>
      <c r="ET125" s="139">
        <f t="shared" si="138"/>
        <v>0</v>
      </c>
      <c r="EU125" s="139">
        <f t="shared" si="139"/>
        <v>0</v>
      </c>
      <c r="EV125" s="139">
        <f t="shared" si="140"/>
        <v>0</v>
      </c>
      <c r="EW125" s="139">
        <f t="shared" si="141"/>
        <v>0</v>
      </c>
      <c r="EX125" s="139">
        <f t="shared" si="142"/>
        <v>0</v>
      </c>
      <c r="EY125" s="139">
        <f t="shared" si="143"/>
        <v>0</v>
      </c>
      <c r="EZ125" s="139">
        <f t="shared" si="144"/>
        <v>0</v>
      </c>
      <c r="FA125" s="139">
        <f t="shared" si="145"/>
        <v>0</v>
      </c>
      <c r="FB125" s="139">
        <f t="shared" si="146"/>
        <v>0</v>
      </c>
      <c r="FC125" s="139">
        <f t="shared" si="147"/>
        <v>0</v>
      </c>
      <c r="FD125" s="139">
        <f t="shared" si="148"/>
        <v>0</v>
      </c>
      <c r="FE125" s="139">
        <f t="shared" si="149"/>
        <v>0</v>
      </c>
      <c r="FF125" s="139">
        <f t="shared" si="150"/>
        <v>0</v>
      </c>
      <c r="FG125" s="139">
        <f t="shared" si="151"/>
        <v>0</v>
      </c>
      <c r="FH125" s="139">
        <f t="shared" si="152"/>
        <v>0</v>
      </c>
      <c r="FI125" s="139">
        <f t="shared" si="153"/>
        <v>0</v>
      </c>
      <c r="FJ125" s="139">
        <f t="shared" si="154"/>
        <v>0</v>
      </c>
      <c r="FK125" s="139">
        <f t="shared" si="155"/>
        <v>0</v>
      </c>
      <c r="FL125" s="139">
        <f t="shared" si="156"/>
        <v>0</v>
      </c>
      <c r="FM125" s="139">
        <f t="shared" si="157"/>
        <v>0</v>
      </c>
      <c r="FN125" s="139">
        <f t="shared" si="158"/>
        <v>0</v>
      </c>
      <c r="FO125" s="139">
        <f t="shared" si="159"/>
        <v>0</v>
      </c>
      <c r="FP125" s="139">
        <f t="shared" si="160"/>
        <v>0</v>
      </c>
      <c r="FQ125" s="139">
        <f t="shared" si="161"/>
        <v>0</v>
      </c>
      <c r="FR125" s="139">
        <f t="shared" si="162"/>
        <v>0</v>
      </c>
      <c r="FS125" s="139">
        <f t="shared" si="163"/>
        <v>0</v>
      </c>
      <c r="FT125" s="139">
        <f t="shared" si="164"/>
        <v>0</v>
      </c>
      <c r="FU125" s="148">
        <f t="shared" si="165"/>
        <v>0</v>
      </c>
      <c r="FV125" s="149"/>
      <c r="FY125" s="211">
        <v>120</v>
      </c>
      <c r="FZ125">
        <v>1.1681463877824683</v>
      </c>
      <c r="GA125">
        <v>1.2086731415703302</v>
      </c>
      <c r="GB125">
        <v>0.6171878337732456</v>
      </c>
      <c r="GC125">
        <v>0.6049705861178869</v>
      </c>
      <c r="GD125">
        <v>0.24587062993212427</v>
      </c>
      <c r="GE125">
        <v>6.9375995884124991E-2</v>
      </c>
      <c r="GF125">
        <v>1.0428119533082629</v>
      </c>
      <c r="GG125">
        <v>0.8686264624209391</v>
      </c>
      <c r="GH125">
        <v>2.2985735835423678E-2</v>
      </c>
      <c r="GI125">
        <v>0.65427631400899011</v>
      </c>
      <c r="GJ125"/>
      <c r="GK125">
        <v>1.1637843749999999</v>
      </c>
      <c r="GL125">
        <v>1.0174523437499998</v>
      </c>
      <c r="GM125">
        <v>1.0132915482954543</v>
      </c>
      <c r="GN125">
        <v>1.774383847402597</v>
      </c>
      <c r="GO125">
        <v>0.93524464285714282</v>
      </c>
      <c r="GP125">
        <v>0.130265625</v>
      </c>
      <c r="GQ125">
        <v>1.2571915760869565</v>
      </c>
      <c r="GR125">
        <v>1.2083478260869565</v>
      </c>
      <c r="GS125">
        <v>2.4293870192307693E-2</v>
      </c>
      <c r="GT125">
        <v>0.87876120248637224</v>
      </c>
      <c r="GU125"/>
      <c r="GV125"/>
      <c r="GW125"/>
      <c r="GX125"/>
      <c r="GY125"/>
      <c r="GZ125"/>
      <c r="HA125"/>
      <c r="HB125"/>
      <c r="HC125"/>
    </row>
    <row r="126" spans="1:211" s="7" customFormat="1">
      <c r="A126" s="1"/>
      <c r="B126" s="76">
        <f t="shared" ca="1" si="132"/>
        <v>0.69220958101157315</v>
      </c>
      <c r="C126">
        <v>1</v>
      </c>
      <c r="D126">
        <v>39747</v>
      </c>
      <c r="E126">
        <v>0</v>
      </c>
      <c r="F126">
        <v>86.805555555555557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 s="2"/>
      <c r="AK126" s="80"/>
      <c r="AL126" s="74"/>
      <c r="AM126" s="43">
        <v>110</v>
      </c>
      <c r="AN126">
        <v>44.696109808657759</v>
      </c>
      <c r="AO126">
        <v>0.92595065531756171</v>
      </c>
      <c r="AP126">
        <v>11.869666004682607</v>
      </c>
      <c r="AQ126">
        <v>6.8514663448599995</v>
      </c>
      <c r="AR126">
        <v>0.84901764119778345</v>
      </c>
      <c r="AS126">
        <v>3.7836944121497527</v>
      </c>
      <c r="AT126" t="e">
        <v>#DIV/0!</v>
      </c>
      <c r="AU126" t="e">
        <v>#DIV/0!</v>
      </c>
      <c r="AV126"/>
      <c r="AW126"/>
      <c r="AX126" s="146"/>
      <c r="AY126" s="76">
        <f t="shared" ca="1" si="88"/>
        <v>2.1224107083976707E-2</v>
      </c>
      <c r="AZ126">
        <v>9</v>
      </c>
      <c r="BA126" s="129">
        <f t="shared" si="131"/>
        <v>39747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 s="147"/>
      <c r="CH126" s="176"/>
      <c r="CJ126" s="146"/>
      <c r="CK126" s="76">
        <f t="shared" ca="1" si="90"/>
        <v>2.6665551092927231E-2</v>
      </c>
      <c r="CL126" s="179">
        <f t="shared" si="91"/>
        <v>9</v>
      </c>
      <c r="CM126" s="180">
        <f t="shared" si="92"/>
        <v>39747</v>
      </c>
      <c r="CN126">
        <v>0</v>
      </c>
      <c r="CO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 s="160"/>
      <c r="CW126" s="178">
        <v>1</v>
      </c>
      <c r="CX126">
        <f>350/41</f>
        <v>8.536585365853659</v>
      </c>
      <c r="CY126" s="164"/>
      <c r="CZ126" s="177">
        <f t="shared" si="93"/>
        <v>9.6000000000000002E-2</v>
      </c>
      <c r="DB126" s="146"/>
      <c r="DC126" s="76">
        <f t="shared" ca="1" si="51"/>
        <v>0.47427260584768605</v>
      </c>
      <c r="DD126">
        <f t="shared" si="94"/>
        <v>9</v>
      </c>
      <c r="DE126" s="129">
        <f t="shared" si="130"/>
        <v>39747</v>
      </c>
      <c r="DF126" s="161">
        <f t="shared" si="95"/>
        <v>0</v>
      </c>
      <c r="DG126" s="161">
        <f t="shared" si="96"/>
        <v>0</v>
      </c>
      <c r="DH126" s="161">
        <f t="shared" si="97"/>
        <v>0</v>
      </c>
      <c r="DI126" s="161">
        <f>IF($AZ126="", "", ((BE125*$CW126)+(CQ126*$CX126))/$CZ126)</f>
        <v>0</v>
      </c>
      <c r="DJ126" s="161">
        <f t="shared" si="99"/>
        <v>0</v>
      </c>
      <c r="DK126" s="161">
        <f t="shared" si="100"/>
        <v>0</v>
      </c>
      <c r="DL126" s="161">
        <f t="shared" si="101"/>
        <v>0</v>
      </c>
      <c r="DM126" s="161">
        <f t="shared" si="102"/>
        <v>0</v>
      </c>
      <c r="DN126" s="161">
        <f t="shared" si="103"/>
        <v>0</v>
      </c>
      <c r="DO126" s="161">
        <f t="shared" si="104"/>
        <v>0</v>
      </c>
      <c r="DP126" s="161">
        <f t="shared" si="105"/>
        <v>0</v>
      </c>
      <c r="DQ126" s="161">
        <f t="shared" si="106"/>
        <v>0</v>
      </c>
      <c r="DR126" s="161">
        <f t="shared" si="107"/>
        <v>0</v>
      </c>
      <c r="DS126" s="161">
        <f t="shared" si="108"/>
        <v>0</v>
      </c>
      <c r="DT126" s="161">
        <f t="shared" si="109"/>
        <v>0</v>
      </c>
      <c r="DU126" s="161">
        <f t="shared" si="110"/>
        <v>0</v>
      </c>
      <c r="DV126" s="161">
        <f t="shared" si="111"/>
        <v>0</v>
      </c>
      <c r="DW126" s="161">
        <f t="shared" si="112"/>
        <v>0</v>
      </c>
      <c r="DX126" s="161">
        <f t="shared" si="113"/>
        <v>0</v>
      </c>
      <c r="DY126" s="161">
        <f t="shared" si="114"/>
        <v>0</v>
      </c>
      <c r="DZ126" s="161">
        <f t="shared" si="115"/>
        <v>0</v>
      </c>
      <c r="EA126" s="161">
        <f t="shared" si="116"/>
        <v>0</v>
      </c>
      <c r="EB126" s="161">
        <f t="shared" si="117"/>
        <v>0</v>
      </c>
      <c r="EC126" s="161">
        <f t="shared" si="118"/>
        <v>0</v>
      </c>
      <c r="ED126" s="161">
        <f t="shared" si="119"/>
        <v>0</v>
      </c>
      <c r="EE126" s="161">
        <f t="shared" si="120"/>
        <v>0</v>
      </c>
      <c r="EF126" s="161">
        <f t="shared" si="121"/>
        <v>0</v>
      </c>
      <c r="EG126" s="161">
        <f t="shared" si="122"/>
        <v>0</v>
      </c>
      <c r="EH126" s="161">
        <f t="shared" si="123"/>
        <v>0</v>
      </c>
      <c r="EI126" s="161">
        <f t="shared" si="124"/>
        <v>0</v>
      </c>
      <c r="EJ126" s="161">
        <f t="shared" si="125"/>
        <v>0</v>
      </c>
      <c r="EK126" s="147">
        <f t="shared" si="133"/>
        <v>0</v>
      </c>
      <c r="EL126" s="149"/>
      <c r="EN126" s="146"/>
      <c r="EO126" s="146"/>
      <c r="EP126" s="139">
        <f t="shared" si="134"/>
        <v>0</v>
      </c>
      <c r="EQ126" s="139">
        <f t="shared" si="135"/>
        <v>0</v>
      </c>
      <c r="ER126" s="139">
        <f t="shared" si="136"/>
        <v>0</v>
      </c>
      <c r="ES126" s="139">
        <f t="shared" si="137"/>
        <v>0</v>
      </c>
      <c r="ET126" s="139">
        <f t="shared" si="138"/>
        <v>0</v>
      </c>
      <c r="EU126" s="139">
        <f t="shared" si="139"/>
        <v>0</v>
      </c>
      <c r="EV126" s="139">
        <f t="shared" si="140"/>
        <v>0</v>
      </c>
      <c r="EW126" s="139">
        <f t="shared" si="141"/>
        <v>0</v>
      </c>
      <c r="EX126" s="139">
        <f t="shared" si="142"/>
        <v>0</v>
      </c>
      <c r="EY126" s="139">
        <f t="shared" si="143"/>
        <v>0</v>
      </c>
      <c r="EZ126" s="139">
        <f t="shared" si="144"/>
        <v>0</v>
      </c>
      <c r="FA126" s="139">
        <f t="shared" si="145"/>
        <v>0</v>
      </c>
      <c r="FB126" s="139">
        <f t="shared" si="146"/>
        <v>0</v>
      </c>
      <c r="FC126" s="139">
        <f t="shared" si="147"/>
        <v>0</v>
      </c>
      <c r="FD126" s="139">
        <f t="shared" si="148"/>
        <v>0</v>
      </c>
      <c r="FE126" s="139">
        <f t="shared" si="149"/>
        <v>0</v>
      </c>
      <c r="FF126" s="139">
        <f t="shared" si="150"/>
        <v>0</v>
      </c>
      <c r="FG126" s="139">
        <f t="shared" si="151"/>
        <v>0</v>
      </c>
      <c r="FH126" s="139">
        <f t="shared" si="152"/>
        <v>0</v>
      </c>
      <c r="FI126" s="139">
        <f t="shared" si="153"/>
        <v>0</v>
      </c>
      <c r="FJ126" s="139">
        <f t="shared" si="154"/>
        <v>0</v>
      </c>
      <c r="FK126" s="139">
        <f t="shared" si="155"/>
        <v>0</v>
      </c>
      <c r="FL126" s="139">
        <f t="shared" si="156"/>
        <v>0</v>
      </c>
      <c r="FM126" s="139">
        <f t="shared" si="157"/>
        <v>0</v>
      </c>
      <c r="FN126" s="139">
        <f t="shared" si="158"/>
        <v>0</v>
      </c>
      <c r="FO126" s="139">
        <f t="shared" si="159"/>
        <v>0</v>
      </c>
      <c r="FP126" s="139">
        <f t="shared" si="160"/>
        <v>0</v>
      </c>
      <c r="FQ126" s="139">
        <f t="shared" si="161"/>
        <v>0</v>
      </c>
      <c r="FR126" s="139">
        <f t="shared" si="162"/>
        <v>0</v>
      </c>
      <c r="FS126" s="139">
        <f t="shared" si="163"/>
        <v>0</v>
      </c>
      <c r="FT126" s="139">
        <f t="shared" si="164"/>
        <v>0</v>
      </c>
      <c r="FU126" s="148">
        <f t="shared" si="165"/>
        <v>0</v>
      </c>
      <c r="FV126" s="149"/>
      <c r="FY126" s="211">
        <v>121</v>
      </c>
      <c r="FZ126">
        <v>3.6595473507250609</v>
      </c>
      <c r="GA126">
        <v>4.8374728152134931</v>
      </c>
      <c r="GB126">
        <v>0.55823745783886525</v>
      </c>
      <c r="GC126">
        <v>0.32778931514836057</v>
      </c>
      <c r="GD126">
        <v>0.16845144239218499</v>
      </c>
      <c r="GE126">
        <v>4.8178868064749992E-3</v>
      </c>
      <c r="GF126">
        <v>0.15986193049181252</v>
      </c>
      <c r="GG126">
        <v>0.23978821552359375</v>
      </c>
      <c r="GH126">
        <v>0.1330459067538125</v>
      </c>
      <c r="GI126">
        <v>0.82426855593508364</v>
      </c>
      <c r="GJ126"/>
      <c r="GK126">
        <v>3.6473529411764707</v>
      </c>
      <c r="GL126">
        <v>4.0749115349264695</v>
      </c>
      <c r="GM126">
        <v>0.91580078124999997</v>
      </c>
      <c r="GN126">
        <v>0.96030156249999987</v>
      </c>
      <c r="GO126">
        <v>0.64048125</v>
      </c>
      <c r="GP126">
        <v>9.0468749999999994E-3</v>
      </c>
      <c r="GQ126">
        <v>0.19312499999999999</v>
      </c>
      <c r="GR126">
        <v>0.33385416666666667</v>
      </c>
      <c r="GS126">
        <v>0.14072916666666666</v>
      </c>
      <c r="GT126">
        <v>1.1074978278186274</v>
      </c>
      <c r="GU126"/>
      <c r="GV126"/>
      <c r="GW126"/>
      <c r="GX126"/>
      <c r="GY126"/>
      <c r="GZ126"/>
      <c r="HA126"/>
      <c r="HB126"/>
      <c r="HC126"/>
    </row>
    <row r="127" spans="1:211" s="7" customFormat="1">
      <c r="A127" s="1"/>
      <c r="B127" s="76">
        <f t="shared" ca="1" si="132"/>
        <v>0.21165375134300835</v>
      </c>
      <c r="C127">
        <v>8</v>
      </c>
      <c r="D127">
        <v>39747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 s="2"/>
      <c r="AK127" s="80"/>
      <c r="AL127" s="74"/>
      <c r="AM127" s="43">
        <v>111</v>
      </c>
      <c r="AN127">
        <v>41.008228862197058</v>
      </c>
      <c r="AO127">
        <v>0.92494264121871572</v>
      </c>
      <c r="AP127">
        <v>0.36572686494976514</v>
      </c>
      <c r="AQ127">
        <v>7.8247680400971005</v>
      </c>
      <c r="AR127">
        <v>0.85534558292610496</v>
      </c>
      <c r="AS127">
        <v>3.0425544603073305</v>
      </c>
      <c r="AT127" t="e">
        <v>#DIV/0!</v>
      </c>
      <c r="AU127" t="e">
        <v>#DIV/0!</v>
      </c>
      <c r="AV127"/>
      <c r="AW127"/>
      <c r="AX127" s="146"/>
      <c r="AY127" s="76">
        <f t="shared" ca="1" si="88"/>
        <v>0.35345829982293964</v>
      </c>
      <c r="AZ127">
        <v>10</v>
      </c>
      <c r="BA127" s="129">
        <f t="shared" si="131"/>
        <v>39747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 s="147"/>
      <c r="CH127" s="176"/>
      <c r="CJ127" s="146"/>
      <c r="CK127" s="76">
        <f t="shared" ca="1" si="90"/>
        <v>0.62322853904396691</v>
      </c>
      <c r="CL127" s="179">
        <f t="shared" si="91"/>
        <v>10</v>
      </c>
      <c r="CM127" s="180">
        <f t="shared" si="92"/>
        <v>39747</v>
      </c>
      <c r="CN127">
        <v>0</v>
      </c>
      <c r="CO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 s="160"/>
      <c r="CW127" s="178">
        <v>1</v>
      </c>
      <c r="CX127">
        <f>350/56</f>
        <v>6.25</v>
      </c>
      <c r="CY127" s="164"/>
      <c r="CZ127" s="177">
        <f t="shared" si="93"/>
        <v>9.6000000000000002E-2</v>
      </c>
      <c r="DB127" s="146"/>
      <c r="DC127" s="76">
        <f t="shared" ca="1" si="51"/>
        <v>0.15603255599568744</v>
      </c>
      <c r="DD127">
        <f t="shared" si="94"/>
        <v>10</v>
      </c>
      <c r="DE127" s="129">
        <f t="shared" si="130"/>
        <v>39747</v>
      </c>
      <c r="DF127" s="161">
        <f t="shared" si="95"/>
        <v>0</v>
      </c>
      <c r="DG127" s="161">
        <f t="shared" si="96"/>
        <v>0</v>
      </c>
      <c r="DH127" s="161">
        <f t="shared" si="97"/>
        <v>0</v>
      </c>
      <c r="DI127" s="161">
        <f>IF($AZ127="", "", ((BE126*$CW127)+(CQ127*$CX127))/$CZ127)</f>
        <v>0</v>
      </c>
      <c r="DJ127" s="161">
        <f t="shared" si="99"/>
        <v>0</v>
      </c>
      <c r="DK127" s="161">
        <f t="shared" si="100"/>
        <v>0</v>
      </c>
      <c r="DL127" s="161">
        <f t="shared" si="101"/>
        <v>0</v>
      </c>
      <c r="DM127" s="161">
        <f t="shared" si="102"/>
        <v>0</v>
      </c>
      <c r="DN127" s="161">
        <f t="shared" si="103"/>
        <v>0</v>
      </c>
      <c r="DO127" s="161">
        <f t="shared" si="104"/>
        <v>0</v>
      </c>
      <c r="DP127" s="161">
        <f t="shared" si="105"/>
        <v>0</v>
      </c>
      <c r="DQ127" s="161">
        <f t="shared" si="106"/>
        <v>0</v>
      </c>
      <c r="DR127" s="161">
        <f t="shared" si="107"/>
        <v>0</v>
      </c>
      <c r="DS127" s="161">
        <f t="shared" si="108"/>
        <v>0</v>
      </c>
      <c r="DT127" s="161">
        <f t="shared" si="109"/>
        <v>0</v>
      </c>
      <c r="DU127" s="161">
        <f t="shared" si="110"/>
        <v>0</v>
      </c>
      <c r="DV127" s="161">
        <f t="shared" si="111"/>
        <v>0</v>
      </c>
      <c r="DW127" s="161">
        <f t="shared" si="112"/>
        <v>0</v>
      </c>
      <c r="DX127" s="161">
        <f t="shared" si="113"/>
        <v>0</v>
      </c>
      <c r="DY127" s="161">
        <f t="shared" si="114"/>
        <v>0</v>
      </c>
      <c r="DZ127" s="161">
        <f t="shared" si="115"/>
        <v>0</v>
      </c>
      <c r="EA127" s="161">
        <f t="shared" si="116"/>
        <v>0</v>
      </c>
      <c r="EB127" s="161">
        <f t="shared" si="117"/>
        <v>0</v>
      </c>
      <c r="EC127" s="161">
        <f t="shared" si="118"/>
        <v>0</v>
      </c>
      <c r="ED127" s="161">
        <f t="shared" si="119"/>
        <v>0</v>
      </c>
      <c r="EE127" s="161">
        <f t="shared" si="120"/>
        <v>0</v>
      </c>
      <c r="EF127" s="161">
        <f t="shared" si="121"/>
        <v>0</v>
      </c>
      <c r="EG127" s="161">
        <f t="shared" si="122"/>
        <v>0</v>
      </c>
      <c r="EH127" s="161">
        <f t="shared" si="123"/>
        <v>0</v>
      </c>
      <c r="EI127" s="161">
        <f t="shared" si="124"/>
        <v>0</v>
      </c>
      <c r="EJ127" s="161">
        <f t="shared" si="125"/>
        <v>0</v>
      </c>
      <c r="EK127" s="147">
        <f t="shared" si="133"/>
        <v>0</v>
      </c>
      <c r="EL127" s="149"/>
      <c r="EN127" s="146"/>
      <c r="EO127" s="146"/>
      <c r="EP127" s="139">
        <f t="shared" si="134"/>
        <v>0</v>
      </c>
      <c r="EQ127" s="139">
        <f t="shared" si="135"/>
        <v>0</v>
      </c>
      <c r="ER127" s="139">
        <f t="shared" si="136"/>
        <v>0</v>
      </c>
      <c r="ES127" s="139">
        <f t="shared" si="137"/>
        <v>0</v>
      </c>
      <c r="ET127" s="139">
        <f t="shared" si="138"/>
        <v>0</v>
      </c>
      <c r="EU127" s="139">
        <f t="shared" si="139"/>
        <v>0</v>
      </c>
      <c r="EV127" s="139">
        <f t="shared" si="140"/>
        <v>0</v>
      </c>
      <c r="EW127" s="139">
        <f t="shared" si="141"/>
        <v>0</v>
      </c>
      <c r="EX127" s="139">
        <f t="shared" si="142"/>
        <v>0</v>
      </c>
      <c r="EY127" s="139">
        <f t="shared" si="143"/>
        <v>0</v>
      </c>
      <c r="EZ127" s="139">
        <f t="shared" si="144"/>
        <v>0</v>
      </c>
      <c r="FA127" s="139">
        <f t="shared" si="145"/>
        <v>0</v>
      </c>
      <c r="FB127" s="139">
        <f t="shared" si="146"/>
        <v>0</v>
      </c>
      <c r="FC127" s="139">
        <f t="shared" si="147"/>
        <v>0</v>
      </c>
      <c r="FD127" s="139">
        <f t="shared" si="148"/>
        <v>0</v>
      </c>
      <c r="FE127" s="139">
        <f t="shared" si="149"/>
        <v>0</v>
      </c>
      <c r="FF127" s="139">
        <f t="shared" si="150"/>
        <v>0</v>
      </c>
      <c r="FG127" s="139">
        <f t="shared" si="151"/>
        <v>0</v>
      </c>
      <c r="FH127" s="139">
        <f t="shared" si="152"/>
        <v>0</v>
      </c>
      <c r="FI127" s="139">
        <f t="shared" si="153"/>
        <v>0</v>
      </c>
      <c r="FJ127" s="139">
        <f t="shared" si="154"/>
        <v>0</v>
      </c>
      <c r="FK127" s="139">
        <f t="shared" si="155"/>
        <v>0</v>
      </c>
      <c r="FL127" s="139">
        <f t="shared" si="156"/>
        <v>0</v>
      </c>
      <c r="FM127" s="139">
        <f t="shared" si="157"/>
        <v>0</v>
      </c>
      <c r="FN127" s="139">
        <f t="shared" si="158"/>
        <v>0</v>
      </c>
      <c r="FO127" s="139">
        <f t="shared" si="159"/>
        <v>0</v>
      </c>
      <c r="FP127" s="139">
        <f t="shared" si="160"/>
        <v>0</v>
      </c>
      <c r="FQ127" s="139">
        <f t="shared" si="161"/>
        <v>0</v>
      </c>
      <c r="FR127" s="139">
        <f t="shared" si="162"/>
        <v>0</v>
      </c>
      <c r="FS127" s="139">
        <f t="shared" si="163"/>
        <v>0</v>
      </c>
      <c r="FT127" s="139">
        <f t="shared" si="164"/>
        <v>0</v>
      </c>
      <c r="FU127" s="148">
        <f t="shared" si="165"/>
        <v>0</v>
      </c>
      <c r="FV127" s="149"/>
      <c r="FY127" s="211">
        <v>122</v>
      </c>
      <c r="FZ127">
        <v>1.498160721049715</v>
      </c>
      <c r="GA127">
        <v>1.7902780429701772</v>
      </c>
      <c r="GB127">
        <v>1.4061016777581667</v>
      </c>
      <c r="GC127">
        <v>0.77882444851255339</v>
      </c>
      <c r="GD127">
        <v>0.110827551334455</v>
      </c>
      <c r="GE127">
        <v>0.12231882202972501</v>
      </c>
      <c r="GF127">
        <v>0.6538214796159032</v>
      </c>
      <c r="GG127">
        <v>0.61737285987307855</v>
      </c>
      <c r="GH127">
        <v>6.6522953376906252E-2</v>
      </c>
      <c r="GI127">
        <v>0.75653802091337297</v>
      </c>
      <c r="GJ127"/>
      <c r="GK127">
        <v>1.492998713235294</v>
      </c>
      <c r="GL127">
        <v>1.507869806985294</v>
      </c>
      <c r="GM127">
        <v>2.3086885653409088</v>
      </c>
      <c r="GN127">
        <v>2.2864018465909091</v>
      </c>
      <c r="GO127">
        <v>0.42163125000000001</v>
      </c>
      <c r="GP127">
        <v>0.22982812499999999</v>
      </c>
      <c r="GQ127">
        <v>0.78903260869565206</v>
      </c>
      <c r="GR127">
        <v>0.85939719202898535</v>
      </c>
      <c r="GS127">
        <v>7.0364583333333328E-2</v>
      </c>
      <c r="GT127">
        <v>1.0165431441210375</v>
      </c>
      <c r="GU127"/>
      <c r="GV127"/>
      <c r="GW127"/>
      <c r="GX127"/>
      <c r="GY127"/>
      <c r="GZ127"/>
      <c r="HA127"/>
      <c r="HB127"/>
      <c r="HC127"/>
    </row>
    <row r="128" spans="1:211" s="7" customFormat="1">
      <c r="A128" s="128"/>
      <c r="B128" s="76">
        <f t="shared" ca="1" si="132"/>
        <v>0.59203297344323236</v>
      </c>
      <c r="C128">
        <v>2</v>
      </c>
      <c r="D128">
        <v>39775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 s="2"/>
      <c r="AK128" s="80"/>
      <c r="AL128" s="74"/>
      <c r="AM128" s="43">
        <v>112</v>
      </c>
      <c r="AN128">
        <v>29.294161377157707</v>
      </c>
      <c r="AO128">
        <v>0.84322828221625179</v>
      </c>
      <c r="AP128">
        <v>10.334422637992821</v>
      </c>
      <c r="AQ128">
        <v>5.8922062167026388</v>
      </c>
      <c r="AR128">
        <v>0.77098823295883046</v>
      </c>
      <c r="AS128">
        <v>3.1706048464481853</v>
      </c>
      <c r="AT128" t="e">
        <v>#DIV/0!</v>
      </c>
      <c r="AU128" t="e">
        <v>#DIV/0!</v>
      </c>
      <c r="AV128"/>
      <c r="AW128"/>
      <c r="AX128" s="128"/>
      <c r="AY128" s="76">
        <f t="shared" ca="1" si="88"/>
        <v>0.94130553732400379</v>
      </c>
      <c r="AZ128">
        <v>1</v>
      </c>
      <c r="BA128" s="129">
        <f>IF(AZ128="", "",$C$8)</f>
        <v>39775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 s="147"/>
      <c r="CH128" s="176"/>
      <c r="CJ128" s="128"/>
      <c r="CK128" s="76">
        <f t="shared" ca="1" si="90"/>
        <v>0.61431038927860371</v>
      </c>
      <c r="CL128" s="179">
        <f t="shared" si="91"/>
        <v>1</v>
      </c>
      <c r="CM128" s="180">
        <f t="shared" si="92"/>
        <v>39775</v>
      </c>
      <c r="CN128">
        <v>0</v>
      </c>
      <c r="CO128">
        <v>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 s="160"/>
      <c r="CW128">
        <f>40/13</f>
        <v>3.0769230769230771</v>
      </c>
      <c r="CX128">
        <f>21/10</f>
        <v>2.1</v>
      </c>
      <c r="CY128" s="160"/>
      <c r="CZ128" s="177">
        <f t="shared" si="93"/>
        <v>9.6000000000000002E-2</v>
      </c>
      <c r="DB128" s="128"/>
      <c r="DC128" s="76">
        <f t="shared" ca="1" si="51"/>
        <v>0.65718964082032283</v>
      </c>
      <c r="DD128">
        <f t="shared" si="94"/>
        <v>1</v>
      </c>
      <c r="DE128" s="129">
        <f t="shared" ref="DE128:DE137" si="166">IF((DD128)="", "", $C$8)</f>
        <v>39775</v>
      </c>
      <c r="DF128" s="161">
        <f t="shared" si="95"/>
        <v>0</v>
      </c>
      <c r="DG128" s="161">
        <f t="shared" si="96"/>
        <v>43.75</v>
      </c>
      <c r="DH128" s="161">
        <f t="shared" si="97"/>
        <v>0</v>
      </c>
      <c r="DI128" s="161">
        <f t="shared" si="98"/>
        <v>0</v>
      </c>
      <c r="DJ128" s="161">
        <f t="shared" si="99"/>
        <v>0</v>
      </c>
      <c r="DK128" s="161">
        <f t="shared" si="100"/>
        <v>0</v>
      </c>
      <c r="DL128" s="161">
        <f t="shared" si="101"/>
        <v>0</v>
      </c>
      <c r="DM128" s="161">
        <f t="shared" si="102"/>
        <v>0</v>
      </c>
      <c r="DN128" s="161">
        <f t="shared" si="103"/>
        <v>0</v>
      </c>
      <c r="DO128" s="161">
        <f t="shared" si="104"/>
        <v>0</v>
      </c>
      <c r="DP128" s="161">
        <f t="shared" si="105"/>
        <v>0</v>
      </c>
      <c r="DQ128" s="161">
        <f t="shared" si="106"/>
        <v>0</v>
      </c>
      <c r="DR128" s="161">
        <f t="shared" si="107"/>
        <v>0</v>
      </c>
      <c r="DS128" s="161">
        <f t="shared" si="108"/>
        <v>0</v>
      </c>
      <c r="DT128" s="161">
        <f t="shared" si="109"/>
        <v>0</v>
      </c>
      <c r="DU128" s="161">
        <f t="shared" si="110"/>
        <v>0</v>
      </c>
      <c r="DV128" s="161">
        <f t="shared" si="111"/>
        <v>0</v>
      </c>
      <c r="DW128" s="161">
        <f t="shared" si="112"/>
        <v>0</v>
      </c>
      <c r="DX128" s="161">
        <f t="shared" si="113"/>
        <v>0</v>
      </c>
      <c r="DY128" s="161">
        <f t="shared" si="114"/>
        <v>0</v>
      </c>
      <c r="DZ128" s="161">
        <f t="shared" si="115"/>
        <v>0</v>
      </c>
      <c r="EA128" s="161">
        <f t="shared" si="116"/>
        <v>0</v>
      </c>
      <c r="EB128" s="161">
        <f t="shared" si="117"/>
        <v>0</v>
      </c>
      <c r="EC128" s="161">
        <f t="shared" si="118"/>
        <v>0</v>
      </c>
      <c r="ED128" s="161">
        <f t="shared" si="119"/>
        <v>0</v>
      </c>
      <c r="EE128" s="161">
        <f t="shared" si="120"/>
        <v>0</v>
      </c>
      <c r="EF128" s="161">
        <f t="shared" si="121"/>
        <v>0</v>
      </c>
      <c r="EG128" s="161">
        <f t="shared" si="122"/>
        <v>0</v>
      </c>
      <c r="EH128" s="161">
        <f t="shared" si="123"/>
        <v>0</v>
      </c>
      <c r="EI128" s="161">
        <f t="shared" si="124"/>
        <v>0</v>
      </c>
      <c r="EJ128" s="161">
        <f t="shared" si="125"/>
        <v>0</v>
      </c>
      <c r="EK128" s="147">
        <f t="shared" si="133"/>
        <v>43.75</v>
      </c>
      <c r="EL128" s="149"/>
      <c r="EN128" s="146"/>
      <c r="EO128" s="146"/>
      <c r="EP128" s="139">
        <f t="shared" si="134"/>
        <v>0</v>
      </c>
      <c r="EQ128" s="139">
        <f t="shared" si="135"/>
        <v>0.75993750000000004</v>
      </c>
      <c r="ER128" s="139">
        <f t="shared" si="136"/>
        <v>0</v>
      </c>
      <c r="ES128" s="139">
        <f t="shared" si="137"/>
        <v>0</v>
      </c>
      <c r="ET128" s="139">
        <f t="shared" si="138"/>
        <v>0</v>
      </c>
      <c r="EU128" s="139">
        <f t="shared" si="139"/>
        <v>0</v>
      </c>
      <c r="EV128" s="139">
        <f t="shared" si="140"/>
        <v>0</v>
      </c>
      <c r="EW128" s="139">
        <f t="shared" si="141"/>
        <v>0</v>
      </c>
      <c r="EX128" s="139">
        <f t="shared" si="142"/>
        <v>0</v>
      </c>
      <c r="EY128" s="139">
        <f t="shared" si="143"/>
        <v>0</v>
      </c>
      <c r="EZ128" s="139">
        <f t="shared" si="144"/>
        <v>0</v>
      </c>
      <c r="FA128" s="139">
        <f t="shared" si="145"/>
        <v>0</v>
      </c>
      <c r="FB128" s="139">
        <f t="shared" si="146"/>
        <v>0</v>
      </c>
      <c r="FC128" s="139">
        <f t="shared" si="147"/>
        <v>0</v>
      </c>
      <c r="FD128" s="139">
        <f t="shared" si="148"/>
        <v>0</v>
      </c>
      <c r="FE128" s="139">
        <f t="shared" si="149"/>
        <v>0</v>
      </c>
      <c r="FF128" s="139">
        <f t="shared" si="150"/>
        <v>0</v>
      </c>
      <c r="FG128" s="139">
        <f t="shared" si="151"/>
        <v>0</v>
      </c>
      <c r="FH128" s="139">
        <f t="shared" si="152"/>
        <v>0</v>
      </c>
      <c r="FI128" s="139">
        <f t="shared" si="153"/>
        <v>0</v>
      </c>
      <c r="FJ128" s="139">
        <f t="shared" si="154"/>
        <v>0</v>
      </c>
      <c r="FK128" s="139">
        <f t="shared" si="155"/>
        <v>0</v>
      </c>
      <c r="FL128" s="139">
        <f t="shared" si="156"/>
        <v>0</v>
      </c>
      <c r="FM128" s="139">
        <f t="shared" si="157"/>
        <v>0</v>
      </c>
      <c r="FN128" s="139">
        <f t="shared" si="158"/>
        <v>0</v>
      </c>
      <c r="FO128" s="139">
        <f t="shared" si="159"/>
        <v>0</v>
      </c>
      <c r="FP128" s="139">
        <f t="shared" si="160"/>
        <v>0</v>
      </c>
      <c r="FQ128" s="139">
        <f t="shared" si="161"/>
        <v>0</v>
      </c>
      <c r="FR128" s="139">
        <f t="shared" si="162"/>
        <v>0</v>
      </c>
      <c r="FS128" s="139">
        <f t="shared" si="163"/>
        <v>0</v>
      </c>
      <c r="FT128" s="139">
        <f t="shared" si="164"/>
        <v>0</v>
      </c>
      <c r="FU128" s="148">
        <f t="shared" si="165"/>
        <v>0.75993750000000004</v>
      </c>
      <c r="FV128" s="149"/>
      <c r="FY128" s="211">
        <v>123</v>
      </c>
      <c r="FZ128">
        <v>0.35608303087644366</v>
      </c>
      <c r="GA128">
        <v>0.7475625451477792</v>
      </c>
      <c r="GB128">
        <v>1.3883364028542617</v>
      </c>
      <c r="GC128">
        <v>0.69808911659446782</v>
      </c>
      <c r="GD128">
        <v>0.15641769268630928</v>
      </c>
      <c r="GE128">
        <v>0.19169481791385001</v>
      </c>
      <c r="GF128">
        <v>0.70871433467598444</v>
      </c>
      <c r="GG128">
        <v>0.62966621671876666</v>
      </c>
      <c r="GH128">
        <v>8.9508689212329934E-2</v>
      </c>
      <c r="GI128">
        <v>0.62202681238775903</v>
      </c>
      <c r="GJ128"/>
      <c r="GK128">
        <v>0.35493749999999991</v>
      </c>
      <c r="GL128">
        <v>0.62947265625000004</v>
      </c>
      <c r="GM128">
        <v>2.279329190340909</v>
      </c>
      <c r="GN128">
        <v>2.0495824269480516</v>
      </c>
      <c r="GO128">
        <v>0.59510089285714285</v>
      </c>
      <c r="GP128">
        <v>0.36009375000000005</v>
      </c>
      <c r="GQ128">
        <v>0.85440896739130423</v>
      </c>
      <c r="GR128">
        <v>0.87592980072463755</v>
      </c>
      <c r="GS128">
        <v>9.465845352564102E-2</v>
      </c>
      <c r="GT128">
        <v>0.83568700082299929</v>
      </c>
      <c r="GU128"/>
      <c r="GV128"/>
      <c r="GW128"/>
      <c r="GX128"/>
      <c r="GY128"/>
      <c r="GZ128"/>
      <c r="HA128"/>
      <c r="HB128"/>
      <c r="HC128"/>
    </row>
    <row r="129" spans="1:211" s="7" customFormat="1">
      <c r="A129" s="1"/>
      <c r="B129" s="76">
        <f t="shared" ca="1" si="132"/>
        <v>0.29008056994790365</v>
      </c>
      <c r="C129">
        <v>5</v>
      </c>
      <c r="D129">
        <v>39775</v>
      </c>
      <c r="E129">
        <v>0</v>
      </c>
      <c r="F129">
        <v>89.285714285714278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 s="2"/>
      <c r="AK129" s="80"/>
      <c r="AL129" s="74"/>
      <c r="AM129" s="43">
        <v>113</v>
      </c>
      <c r="AN129">
        <v>36.200660048486142</v>
      </c>
      <c r="AO129">
        <v>0.84176306119605049</v>
      </c>
      <c r="AP129">
        <v>10.571870513205688</v>
      </c>
      <c r="AQ129">
        <v>5.6952342715258908</v>
      </c>
      <c r="AR129">
        <v>0.77327837294046531</v>
      </c>
      <c r="AS129">
        <v>3.0099705846248868</v>
      </c>
      <c r="AT129" t="e">
        <v>#DIV/0!</v>
      </c>
      <c r="AU129" t="e">
        <v>#DIV/0!</v>
      </c>
      <c r="AV129"/>
      <c r="AW129"/>
      <c r="AX129" s="146"/>
      <c r="AY129" s="76">
        <f t="shared" ca="1" si="88"/>
        <v>0.65132797666148812</v>
      </c>
      <c r="AZ129">
        <v>2</v>
      </c>
      <c r="BA129" s="129">
        <f t="shared" ref="BA129:BA137" si="167">IF(AZ129="", "",$C$8)</f>
        <v>39775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 s="147"/>
      <c r="CH129" s="176"/>
      <c r="CJ129" s="146"/>
      <c r="CK129" s="76">
        <f t="shared" ca="1" si="90"/>
        <v>0.66881531876505762</v>
      </c>
      <c r="CL129" s="179">
        <f t="shared" si="91"/>
        <v>2</v>
      </c>
      <c r="CM129" s="180">
        <f t="shared" si="92"/>
        <v>39775</v>
      </c>
      <c r="CN129">
        <v>0</v>
      </c>
      <c r="CO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 s="160"/>
      <c r="CW129">
        <v>1</v>
      </c>
      <c r="CX129">
        <f>20/11</f>
        <v>1.8181818181818181</v>
      </c>
      <c r="CY129" s="160"/>
      <c r="CZ129" s="177">
        <f t="shared" si="93"/>
        <v>9.6000000000000002E-2</v>
      </c>
      <c r="DB129" s="146"/>
      <c r="DC129" s="76">
        <f t="shared" ca="1" si="51"/>
        <v>0.92190246686558974</v>
      </c>
      <c r="DD129">
        <f t="shared" si="94"/>
        <v>2</v>
      </c>
      <c r="DE129" s="129">
        <f t="shared" si="166"/>
        <v>39775</v>
      </c>
      <c r="DF129" s="161">
        <f t="shared" si="95"/>
        <v>0</v>
      </c>
      <c r="DG129" s="161">
        <f t="shared" si="96"/>
        <v>0</v>
      </c>
      <c r="DH129" s="161">
        <f t="shared" si="97"/>
        <v>0</v>
      </c>
      <c r="DI129" s="161">
        <f t="shared" si="98"/>
        <v>0</v>
      </c>
      <c r="DJ129" s="161">
        <f t="shared" si="99"/>
        <v>0</v>
      </c>
      <c r="DK129" s="161">
        <f t="shared" si="100"/>
        <v>0</v>
      </c>
      <c r="DL129" s="161">
        <f t="shared" si="101"/>
        <v>0</v>
      </c>
      <c r="DM129" s="161">
        <f t="shared" si="102"/>
        <v>0</v>
      </c>
      <c r="DN129" s="161">
        <f t="shared" si="103"/>
        <v>0</v>
      </c>
      <c r="DO129" s="161">
        <f t="shared" si="104"/>
        <v>0</v>
      </c>
      <c r="DP129" s="161">
        <f t="shared" si="105"/>
        <v>0</v>
      </c>
      <c r="DQ129" s="161">
        <f t="shared" si="106"/>
        <v>0</v>
      </c>
      <c r="DR129" s="161">
        <f t="shared" si="107"/>
        <v>0</v>
      </c>
      <c r="DS129" s="161">
        <f t="shared" si="108"/>
        <v>0</v>
      </c>
      <c r="DT129" s="161">
        <f t="shared" si="109"/>
        <v>0</v>
      </c>
      <c r="DU129" s="161">
        <f t="shared" si="110"/>
        <v>0</v>
      </c>
      <c r="DV129" s="161">
        <f t="shared" si="111"/>
        <v>0</v>
      </c>
      <c r="DW129" s="161">
        <f t="shared" si="112"/>
        <v>0</v>
      </c>
      <c r="DX129" s="161">
        <f t="shared" si="113"/>
        <v>0</v>
      </c>
      <c r="DY129" s="161">
        <f t="shared" si="114"/>
        <v>0</v>
      </c>
      <c r="DZ129" s="161">
        <f t="shared" si="115"/>
        <v>0</v>
      </c>
      <c r="EA129" s="161">
        <f t="shared" si="116"/>
        <v>0</v>
      </c>
      <c r="EB129" s="161">
        <f t="shared" si="117"/>
        <v>0</v>
      </c>
      <c r="EC129" s="161">
        <f t="shared" si="118"/>
        <v>0</v>
      </c>
      <c r="ED129" s="161">
        <f t="shared" si="119"/>
        <v>0</v>
      </c>
      <c r="EE129" s="161">
        <f t="shared" si="120"/>
        <v>0</v>
      </c>
      <c r="EF129" s="161">
        <f t="shared" si="121"/>
        <v>0</v>
      </c>
      <c r="EG129" s="161">
        <f t="shared" si="122"/>
        <v>0</v>
      </c>
      <c r="EH129" s="161">
        <f t="shared" si="123"/>
        <v>0</v>
      </c>
      <c r="EI129" s="161">
        <f t="shared" si="124"/>
        <v>0</v>
      </c>
      <c r="EJ129" s="161">
        <f t="shared" si="125"/>
        <v>0</v>
      </c>
      <c r="EK129" s="147">
        <f t="shared" si="133"/>
        <v>0</v>
      </c>
      <c r="EL129" s="149"/>
      <c r="EN129" s="146"/>
      <c r="EO129" s="146"/>
      <c r="EP129" s="139">
        <f t="shared" si="134"/>
        <v>0</v>
      </c>
      <c r="EQ129" s="139">
        <f t="shared" si="135"/>
        <v>0</v>
      </c>
      <c r="ER129" s="139">
        <f t="shared" si="136"/>
        <v>0</v>
      </c>
      <c r="ES129" s="139">
        <f t="shared" si="137"/>
        <v>0</v>
      </c>
      <c r="ET129" s="139">
        <f t="shared" si="138"/>
        <v>0</v>
      </c>
      <c r="EU129" s="139">
        <f t="shared" si="139"/>
        <v>0</v>
      </c>
      <c r="EV129" s="139">
        <f t="shared" si="140"/>
        <v>0</v>
      </c>
      <c r="EW129" s="139">
        <f t="shared" si="141"/>
        <v>0</v>
      </c>
      <c r="EX129" s="139">
        <f t="shared" si="142"/>
        <v>0</v>
      </c>
      <c r="EY129" s="139">
        <f t="shared" si="143"/>
        <v>0</v>
      </c>
      <c r="EZ129" s="139">
        <f t="shared" si="144"/>
        <v>0</v>
      </c>
      <c r="FA129" s="139">
        <f t="shared" si="145"/>
        <v>0</v>
      </c>
      <c r="FB129" s="139">
        <f t="shared" si="146"/>
        <v>0</v>
      </c>
      <c r="FC129" s="139">
        <f t="shared" si="147"/>
        <v>0</v>
      </c>
      <c r="FD129" s="139">
        <f t="shared" si="148"/>
        <v>0</v>
      </c>
      <c r="FE129" s="139">
        <f t="shared" si="149"/>
        <v>0</v>
      </c>
      <c r="FF129" s="139">
        <f t="shared" si="150"/>
        <v>0</v>
      </c>
      <c r="FG129" s="139">
        <f t="shared" si="151"/>
        <v>0</v>
      </c>
      <c r="FH129" s="139">
        <f t="shared" si="152"/>
        <v>0</v>
      </c>
      <c r="FI129" s="139">
        <f t="shared" si="153"/>
        <v>0</v>
      </c>
      <c r="FJ129" s="139">
        <f t="shared" si="154"/>
        <v>0</v>
      </c>
      <c r="FK129" s="139">
        <f t="shared" si="155"/>
        <v>0</v>
      </c>
      <c r="FL129" s="139">
        <f t="shared" si="156"/>
        <v>0</v>
      </c>
      <c r="FM129" s="139">
        <f t="shared" si="157"/>
        <v>0</v>
      </c>
      <c r="FN129" s="139">
        <f t="shared" si="158"/>
        <v>0</v>
      </c>
      <c r="FO129" s="139">
        <f t="shared" si="159"/>
        <v>0</v>
      </c>
      <c r="FP129" s="139">
        <f t="shared" si="160"/>
        <v>0</v>
      </c>
      <c r="FQ129" s="139">
        <f t="shared" si="161"/>
        <v>0</v>
      </c>
      <c r="FR129" s="139">
        <f t="shared" si="162"/>
        <v>0</v>
      </c>
      <c r="FS129" s="139">
        <f t="shared" si="163"/>
        <v>0</v>
      </c>
      <c r="FT129" s="139">
        <f t="shared" si="164"/>
        <v>0</v>
      </c>
      <c r="FU129" s="148">
        <f t="shared" si="165"/>
        <v>0</v>
      </c>
      <c r="FV129" s="149"/>
      <c r="FY129" s="211">
        <v>124</v>
      </c>
      <c r="FZ129">
        <v>2.8208450921730934</v>
      </c>
      <c r="GA129">
        <v>3.9252378016104226</v>
      </c>
      <c r="GB129">
        <v>0.72945495677904604</v>
      </c>
      <c r="GC129">
        <v>0.44749309779219498</v>
      </c>
      <c r="GD129">
        <v>0.25213854472404745</v>
      </c>
      <c r="GE129">
        <v>0.14833383665557504</v>
      </c>
      <c r="GF129">
        <v>0.20038102790324064</v>
      </c>
      <c r="GG129">
        <v>0.18920630708545313</v>
      </c>
      <c r="GH129">
        <v>6.6522953376906252E-2</v>
      </c>
      <c r="GI129">
        <v>0.78592713173963447</v>
      </c>
      <c r="GJ129"/>
      <c r="GK129">
        <v>2.8114761029411763</v>
      </c>
      <c r="GL129">
        <v>3.3065464154411766</v>
      </c>
      <c r="GM129">
        <v>1.1969453125</v>
      </c>
      <c r="GN129">
        <v>1.3115124999999999</v>
      </c>
      <c r="GO129">
        <v>0.95899687499999986</v>
      </c>
      <c r="GP129">
        <v>0.27867187500000001</v>
      </c>
      <c r="GQ129">
        <v>0.24196875000000001</v>
      </c>
      <c r="GR129">
        <v>0.26348958333333333</v>
      </c>
      <c r="GS129">
        <v>7.0364583333333328E-2</v>
      </c>
      <c r="GT129">
        <v>1.0559503247549018</v>
      </c>
      <c r="GU129"/>
      <c r="GV129"/>
      <c r="GW129"/>
      <c r="GX129"/>
      <c r="GY129"/>
      <c r="GZ129"/>
      <c r="HA129"/>
      <c r="HB129"/>
      <c r="HC129"/>
    </row>
    <row r="130" spans="1:211" s="7" customFormat="1">
      <c r="A130" s="1"/>
      <c r="B130" s="76">
        <f t="shared" ca="1" si="132"/>
        <v>0.47170025626036782</v>
      </c>
      <c r="C130">
        <v>6</v>
      </c>
      <c r="D130">
        <v>39775</v>
      </c>
      <c r="E130">
        <v>0</v>
      </c>
      <c r="F130">
        <v>0</v>
      </c>
      <c r="G130">
        <v>10.416666666666666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 s="2"/>
      <c r="AK130" s="80"/>
      <c r="AL130" s="74"/>
      <c r="AM130" s="43">
        <v>114</v>
      </c>
      <c r="AN130">
        <v>44.573328652113013</v>
      </c>
      <c r="AO130">
        <v>1.0632354466283798</v>
      </c>
      <c r="AP130">
        <v>1.1596719151170902</v>
      </c>
      <c r="AQ130">
        <v>7.5340407257253332</v>
      </c>
      <c r="AR130">
        <v>0.98106631511670861</v>
      </c>
      <c r="AS130">
        <v>3.7466654934413479</v>
      </c>
      <c r="AT130" t="e">
        <v>#DIV/0!</v>
      </c>
      <c r="AU130" t="e">
        <v>#DIV/0!</v>
      </c>
      <c r="AV130"/>
      <c r="AW130"/>
      <c r="AX130" s="146"/>
      <c r="AY130" s="76">
        <f t="shared" ca="1" si="88"/>
        <v>3.4795793321220181E-2</v>
      </c>
      <c r="AZ130">
        <v>3</v>
      </c>
      <c r="BA130" s="129">
        <f t="shared" si="167"/>
        <v>39775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 s="147"/>
      <c r="CH130" s="176"/>
      <c r="CJ130" s="146"/>
      <c r="CK130" s="76">
        <f t="shared" ca="1" si="90"/>
        <v>0.1636895030750436</v>
      </c>
      <c r="CL130" s="179">
        <f t="shared" si="91"/>
        <v>3</v>
      </c>
      <c r="CM130" s="180">
        <f t="shared" si="92"/>
        <v>39775</v>
      </c>
      <c r="CN130">
        <v>1</v>
      </c>
      <c r="CO130">
        <v>12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 s="160"/>
      <c r="CW130">
        <v>1</v>
      </c>
      <c r="CX130">
        <f>50/10</f>
        <v>5</v>
      </c>
      <c r="CY130" s="160"/>
      <c r="CZ130" s="177">
        <f t="shared" si="93"/>
        <v>9.6000000000000002E-2</v>
      </c>
      <c r="DB130" s="146"/>
      <c r="DC130" s="76">
        <f t="shared" ca="1" si="51"/>
        <v>0.2398010982651464</v>
      </c>
      <c r="DD130">
        <f t="shared" si="94"/>
        <v>3</v>
      </c>
      <c r="DE130" s="129">
        <f t="shared" si="166"/>
        <v>39775</v>
      </c>
      <c r="DF130" s="161">
        <f t="shared" si="95"/>
        <v>52.083333333333336</v>
      </c>
      <c r="DG130" s="161">
        <f t="shared" si="96"/>
        <v>625</v>
      </c>
      <c r="DH130" s="161">
        <f t="shared" si="97"/>
        <v>0</v>
      </c>
      <c r="DI130" s="161">
        <f t="shared" si="98"/>
        <v>0</v>
      </c>
      <c r="DJ130" s="161">
        <f t="shared" si="99"/>
        <v>0</v>
      </c>
      <c r="DK130" s="161">
        <f t="shared" si="100"/>
        <v>0</v>
      </c>
      <c r="DL130" s="161">
        <f t="shared" si="101"/>
        <v>0</v>
      </c>
      <c r="DM130" s="161">
        <f t="shared" si="102"/>
        <v>0</v>
      </c>
      <c r="DN130" s="161">
        <f t="shared" si="103"/>
        <v>0</v>
      </c>
      <c r="DO130" s="161">
        <f t="shared" si="104"/>
        <v>0</v>
      </c>
      <c r="DP130" s="161">
        <f t="shared" si="105"/>
        <v>0</v>
      </c>
      <c r="DQ130" s="161">
        <f t="shared" si="106"/>
        <v>0</v>
      </c>
      <c r="DR130" s="161">
        <f t="shared" si="107"/>
        <v>0</v>
      </c>
      <c r="DS130" s="161">
        <f t="shared" si="108"/>
        <v>0</v>
      </c>
      <c r="DT130" s="161">
        <f t="shared" si="109"/>
        <v>0</v>
      </c>
      <c r="DU130" s="161">
        <f t="shared" si="110"/>
        <v>0</v>
      </c>
      <c r="DV130" s="161">
        <f t="shared" si="111"/>
        <v>0</v>
      </c>
      <c r="DW130" s="161">
        <f t="shared" si="112"/>
        <v>0</v>
      </c>
      <c r="DX130" s="161">
        <f t="shared" si="113"/>
        <v>0</v>
      </c>
      <c r="DY130" s="161">
        <f t="shared" si="114"/>
        <v>0</v>
      </c>
      <c r="DZ130" s="161">
        <f t="shared" si="115"/>
        <v>0</v>
      </c>
      <c r="EA130" s="161">
        <f t="shared" si="116"/>
        <v>0</v>
      </c>
      <c r="EB130" s="161">
        <f t="shared" si="117"/>
        <v>0</v>
      </c>
      <c r="EC130" s="161">
        <f t="shared" si="118"/>
        <v>0</v>
      </c>
      <c r="ED130" s="161">
        <f t="shared" si="119"/>
        <v>0</v>
      </c>
      <c r="EE130" s="161">
        <f t="shared" si="120"/>
        <v>0</v>
      </c>
      <c r="EF130" s="161">
        <f t="shared" si="121"/>
        <v>0</v>
      </c>
      <c r="EG130" s="161">
        <f t="shared" si="122"/>
        <v>0</v>
      </c>
      <c r="EH130" s="161">
        <f t="shared" si="123"/>
        <v>0</v>
      </c>
      <c r="EI130" s="161">
        <f t="shared" si="124"/>
        <v>0</v>
      </c>
      <c r="EJ130" s="161">
        <f t="shared" si="125"/>
        <v>0</v>
      </c>
      <c r="EK130" s="147">
        <f t="shared" si="133"/>
        <v>677.08333333333337</v>
      </c>
      <c r="EL130" s="149"/>
      <c r="EN130" s="146"/>
      <c r="EO130" s="146"/>
      <c r="EP130" s="139">
        <f t="shared" si="134"/>
        <v>0.36093749999999997</v>
      </c>
      <c r="EQ130" s="139">
        <f t="shared" si="135"/>
        <v>10.856249999999999</v>
      </c>
      <c r="ER130" s="139">
        <f t="shared" si="136"/>
        <v>0</v>
      </c>
      <c r="ES130" s="139">
        <f t="shared" si="137"/>
        <v>0</v>
      </c>
      <c r="ET130" s="139">
        <f t="shared" si="138"/>
        <v>0</v>
      </c>
      <c r="EU130" s="139">
        <f t="shared" si="139"/>
        <v>0</v>
      </c>
      <c r="EV130" s="139">
        <f t="shared" si="140"/>
        <v>0</v>
      </c>
      <c r="EW130" s="139">
        <f t="shared" si="141"/>
        <v>0</v>
      </c>
      <c r="EX130" s="139">
        <f t="shared" si="142"/>
        <v>0</v>
      </c>
      <c r="EY130" s="139">
        <f t="shared" si="143"/>
        <v>0</v>
      </c>
      <c r="EZ130" s="139">
        <f t="shared" si="144"/>
        <v>0</v>
      </c>
      <c r="FA130" s="139">
        <f t="shared" si="145"/>
        <v>0</v>
      </c>
      <c r="FB130" s="139">
        <f t="shared" si="146"/>
        <v>0</v>
      </c>
      <c r="FC130" s="139">
        <f t="shared" si="147"/>
        <v>0</v>
      </c>
      <c r="FD130" s="139">
        <f t="shared" si="148"/>
        <v>0</v>
      </c>
      <c r="FE130" s="139">
        <f t="shared" si="149"/>
        <v>0</v>
      </c>
      <c r="FF130" s="139">
        <f t="shared" si="150"/>
        <v>0</v>
      </c>
      <c r="FG130" s="139">
        <f t="shared" si="151"/>
        <v>0</v>
      </c>
      <c r="FH130" s="139">
        <f t="shared" si="152"/>
        <v>0</v>
      </c>
      <c r="FI130" s="139">
        <f t="shared" si="153"/>
        <v>0</v>
      </c>
      <c r="FJ130" s="139">
        <f t="shared" si="154"/>
        <v>0</v>
      </c>
      <c r="FK130" s="139">
        <f t="shared" si="155"/>
        <v>0</v>
      </c>
      <c r="FL130" s="139">
        <f t="shared" si="156"/>
        <v>0</v>
      </c>
      <c r="FM130" s="139">
        <f t="shared" si="157"/>
        <v>0</v>
      </c>
      <c r="FN130" s="139">
        <f t="shared" si="158"/>
        <v>0</v>
      </c>
      <c r="FO130" s="139">
        <f t="shared" si="159"/>
        <v>0</v>
      </c>
      <c r="FP130" s="139">
        <f t="shared" si="160"/>
        <v>0</v>
      </c>
      <c r="FQ130" s="139">
        <f t="shared" si="161"/>
        <v>0</v>
      </c>
      <c r="FR130" s="139">
        <f t="shared" si="162"/>
        <v>0</v>
      </c>
      <c r="FS130" s="139">
        <f t="shared" si="163"/>
        <v>0</v>
      </c>
      <c r="FT130" s="139">
        <f t="shared" si="164"/>
        <v>0</v>
      </c>
      <c r="FU130" s="148">
        <f t="shared" si="165"/>
        <v>11.2171875</v>
      </c>
      <c r="FV130" s="149"/>
      <c r="FY130" s="211">
        <v>125</v>
      </c>
      <c r="FZ130">
        <v>0.6939852323643787</v>
      </c>
      <c r="GA130">
        <v>1.0232851500936015</v>
      </c>
      <c r="GB130">
        <v>0.76403031306049674</v>
      </c>
      <c r="GC130">
        <v>0.91986091547122584</v>
      </c>
      <c r="GD130">
        <v>0.52961299358100744</v>
      </c>
      <c r="GE130">
        <v>0.13875199176824998</v>
      </c>
      <c r="GF130">
        <v>0.73485967443875966</v>
      </c>
      <c r="GG130">
        <v>0.66795476831121925</v>
      </c>
      <c r="GH130">
        <v>0.15603164258923619</v>
      </c>
      <c r="GI130">
        <v>0.74621068193764462</v>
      </c>
      <c r="GJ130"/>
      <c r="GK130">
        <v>0.69146249999999987</v>
      </c>
      <c r="GL130">
        <v>0.86143124999999987</v>
      </c>
      <c r="GM130">
        <v>1.2542017045454543</v>
      </c>
      <c r="GN130">
        <v>2.6960860795454544</v>
      </c>
      <c r="GO130">
        <v>2.0137593750000002</v>
      </c>
      <c r="GP130">
        <v>0.26053124999999999</v>
      </c>
      <c r="GQ130">
        <v>0.88672010869565221</v>
      </c>
      <c r="GR130">
        <v>0.92976177536231885</v>
      </c>
      <c r="GS130">
        <v>0.16502303685897435</v>
      </c>
      <c r="GT130">
        <v>1.0022333450200163</v>
      </c>
      <c r="GU130"/>
      <c r="GV130"/>
      <c r="GW130"/>
      <c r="GX130"/>
      <c r="GY130"/>
      <c r="GZ130"/>
      <c r="HA130"/>
      <c r="HB130"/>
      <c r="HC130"/>
    </row>
    <row r="131" spans="1:211" s="7" customFormat="1">
      <c r="A131" s="1"/>
      <c r="B131" s="76">
        <f t="shared" ca="1" si="132"/>
        <v>0.13494065800301502</v>
      </c>
      <c r="C131">
        <v>9</v>
      </c>
      <c r="D131">
        <v>39775</v>
      </c>
      <c r="E131">
        <v>10.416666666666666</v>
      </c>
      <c r="F131">
        <v>10.416666666666666</v>
      </c>
      <c r="G131">
        <v>10.416666666666666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 s="2"/>
      <c r="AK131" s="80"/>
      <c r="AL131" s="74"/>
      <c r="AM131" s="43">
        <v>115</v>
      </c>
      <c r="AN131">
        <v>57.923876850303486</v>
      </c>
      <c r="AO131">
        <v>1.2809015870436178</v>
      </c>
      <c r="AP131">
        <v>18.360394453008794</v>
      </c>
      <c r="AQ131">
        <v>7.6255665262609398</v>
      </c>
      <c r="AR131">
        <v>1.1688730555291627</v>
      </c>
      <c r="AS131">
        <v>4.7172497132765105</v>
      </c>
      <c r="AT131" t="e">
        <v>#DIV/0!</v>
      </c>
      <c r="AU131" t="e">
        <v>#DIV/0!</v>
      </c>
      <c r="AV131"/>
      <c r="AW131"/>
      <c r="AX131" s="146"/>
      <c r="AY131" s="76">
        <f t="shared" ca="1" si="88"/>
        <v>0.23696933207835258</v>
      </c>
      <c r="AZ131">
        <v>4</v>
      </c>
      <c r="BA131" s="129">
        <f t="shared" si="167"/>
        <v>39775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 s="147"/>
      <c r="CH131" s="176"/>
      <c r="CJ131" s="146"/>
      <c r="CK131" s="76">
        <f t="shared" ca="1" si="90"/>
        <v>0.62700736275157998</v>
      </c>
      <c r="CL131" s="179">
        <f t="shared" si="91"/>
        <v>4</v>
      </c>
      <c r="CM131" s="180">
        <f t="shared" si="92"/>
        <v>39775</v>
      </c>
      <c r="CN131">
        <v>1</v>
      </c>
      <c r="CO131">
        <v>1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 s="160"/>
      <c r="CW131">
        <v>1</v>
      </c>
      <c r="CX131">
        <v>1</v>
      </c>
      <c r="CY131" s="160"/>
      <c r="CZ131" s="177">
        <f t="shared" si="93"/>
        <v>9.6000000000000002E-2</v>
      </c>
      <c r="DB131" s="146"/>
      <c r="DC131" s="76">
        <f t="shared" ca="1" si="51"/>
        <v>0.52768394654905393</v>
      </c>
      <c r="DD131">
        <f t="shared" si="94"/>
        <v>4</v>
      </c>
      <c r="DE131" s="129">
        <f t="shared" si="166"/>
        <v>39775</v>
      </c>
      <c r="DF131" s="161">
        <f t="shared" si="95"/>
        <v>10.416666666666666</v>
      </c>
      <c r="DG131" s="161">
        <f t="shared" si="96"/>
        <v>10.416666666666666</v>
      </c>
      <c r="DH131" s="161">
        <f t="shared" si="97"/>
        <v>0</v>
      </c>
      <c r="DI131" s="161">
        <f t="shared" si="98"/>
        <v>0</v>
      </c>
      <c r="DJ131" s="161">
        <f t="shared" si="99"/>
        <v>0</v>
      </c>
      <c r="DK131" s="161">
        <f t="shared" si="100"/>
        <v>0</v>
      </c>
      <c r="DL131" s="161">
        <f t="shared" si="101"/>
        <v>0</v>
      </c>
      <c r="DM131" s="161">
        <f t="shared" si="102"/>
        <v>0</v>
      </c>
      <c r="DN131" s="161">
        <f t="shared" si="103"/>
        <v>0</v>
      </c>
      <c r="DO131" s="161">
        <f t="shared" si="104"/>
        <v>0</v>
      </c>
      <c r="DP131" s="161">
        <f t="shared" si="105"/>
        <v>0</v>
      </c>
      <c r="DQ131" s="161">
        <f t="shared" si="106"/>
        <v>0</v>
      </c>
      <c r="DR131" s="161">
        <f t="shared" si="107"/>
        <v>0</v>
      </c>
      <c r="DS131" s="161">
        <f t="shared" si="108"/>
        <v>0</v>
      </c>
      <c r="DT131" s="161">
        <f t="shared" si="109"/>
        <v>0</v>
      </c>
      <c r="DU131" s="161">
        <f t="shared" si="110"/>
        <v>0</v>
      </c>
      <c r="DV131" s="161">
        <f t="shared" si="111"/>
        <v>0</v>
      </c>
      <c r="DW131" s="161">
        <f t="shared" si="112"/>
        <v>0</v>
      </c>
      <c r="DX131" s="161">
        <f t="shared" si="113"/>
        <v>0</v>
      </c>
      <c r="DY131" s="161">
        <f t="shared" si="114"/>
        <v>0</v>
      </c>
      <c r="DZ131" s="161">
        <f t="shared" si="115"/>
        <v>0</v>
      </c>
      <c r="EA131" s="161">
        <f t="shared" si="116"/>
        <v>0</v>
      </c>
      <c r="EB131" s="161">
        <f t="shared" si="117"/>
        <v>0</v>
      </c>
      <c r="EC131" s="161">
        <f t="shared" si="118"/>
        <v>0</v>
      </c>
      <c r="ED131" s="161">
        <f t="shared" si="119"/>
        <v>0</v>
      </c>
      <c r="EE131" s="161">
        <f t="shared" si="120"/>
        <v>0</v>
      </c>
      <c r="EF131" s="161">
        <f t="shared" si="121"/>
        <v>0</v>
      </c>
      <c r="EG131" s="161">
        <f t="shared" si="122"/>
        <v>0</v>
      </c>
      <c r="EH131" s="161">
        <f t="shared" si="123"/>
        <v>0</v>
      </c>
      <c r="EI131" s="161">
        <f t="shared" si="124"/>
        <v>0</v>
      </c>
      <c r="EJ131" s="161">
        <f t="shared" si="125"/>
        <v>0</v>
      </c>
      <c r="EK131" s="147">
        <f t="shared" si="133"/>
        <v>20.833333333333332</v>
      </c>
      <c r="EL131" s="149"/>
      <c r="EN131" s="146"/>
      <c r="EO131" s="146"/>
      <c r="EP131" s="139">
        <f t="shared" si="134"/>
        <v>7.2187499999999988E-2</v>
      </c>
      <c r="EQ131" s="139">
        <f t="shared" si="135"/>
        <v>0.1809375</v>
      </c>
      <c r="ER131" s="139">
        <f t="shared" si="136"/>
        <v>0</v>
      </c>
      <c r="ES131" s="139">
        <f t="shared" si="137"/>
        <v>0</v>
      </c>
      <c r="ET131" s="139">
        <f t="shared" si="138"/>
        <v>0</v>
      </c>
      <c r="EU131" s="139">
        <f t="shared" si="139"/>
        <v>0</v>
      </c>
      <c r="EV131" s="139">
        <f t="shared" si="140"/>
        <v>0</v>
      </c>
      <c r="EW131" s="139">
        <f t="shared" si="141"/>
        <v>0</v>
      </c>
      <c r="EX131" s="139">
        <f t="shared" si="142"/>
        <v>0</v>
      </c>
      <c r="EY131" s="139">
        <f t="shared" si="143"/>
        <v>0</v>
      </c>
      <c r="EZ131" s="139">
        <f t="shared" si="144"/>
        <v>0</v>
      </c>
      <c r="FA131" s="139">
        <f t="shared" si="145"/>
        <v>0</v>
      </c>
      <c r="FB131" s="139">
        <f t="shared" si="146"/>
        <v>0</v>
      </c>
      <c r="FC131" s="139">
        <f t="shared" si="147"/>
        <v>0</v>
      </c>
      <c r="FD131" s="139">
        <f t="shared" si="148"/>
        <v>0</v>
      </c>
      <c r="FE131" s="139">
        <f t="shared" si="149"/>
        <v>0</v>
      </c>
      <c r="FF131" s="139">
        <f t="shared" si="150"/>
        <v>0</v>
      </c>
      <c r="FG131" s="139">
        <f t="shared" si="151"/>
        <v>0</v>
      </c>
      <c r="FH131" s="139">
        <f t="shared" si="152"/>
        <v>0</v>
      </c>
      <c r="FI131" s="139">
        <f t="shared" si="153"/>
        <v>0</v>
      </c>
      <c r="FJ131" s="139">
        <f t="shared" si="154"/>
        <v>0</v>
      </c>
      <c r="FK131" s="139">
        <f t="shared" si="155"/>
        <v>0</v>
      </c>
      <c r="FL131" s="139">
        <f t="shared" si="156"/>
        <v>0</v>
      </c>
      <c r="FM131" s="139">
        <f t="shared" si="157"/>
        <v>0</v>
      </c>
      <c r="FN131" s="139">
        <f t="shared" si="158"/>
        <v>0</v>
      </c>
      <c r="FO131" s="139">
        <f t="shared" si="159"/>
        <v>0</v>
      </c>
      <c r="FP131" s="139">
        <f t="shared" si="160"/>
        <v>0</v>
      </c>
      <c r="FQ131" s="139">
        <f t="shared" si="161"/>
        <v>0</v>
      </c>
      <c r="FR131" s="139">
        <f t="shared" si="162"/>
        <v>0</v>
      </c>
      <c r="FS131" s="139">
        <f t="shared" si="163"/>
        <v>0</v>
      </c>
      <c r="FT131" s="139">
        <f t="shared" si="164"/>
        <v>0</v>
      </c>
      <c r="FU131" s="148">
        <f t="shared" si="165"/>
        <v>0.25312499999999999</v>
      </c>
      <c r="FV131" s="149"/>
      <c r="FY131" s="211">
        <v>126</v>
      </c>
      <c r="FZ131">
        <v>0.207124642751355</v>
      </c>
      <c r="GA131">
        <v>0.66913317412063089</v>
      </c>
      <c r="GB131">
        <v>0.88672800674677132</v>
      </c>
      <c r="GC131">
        <v>0.46730608652798517</v>
      </c>
      <c r="GD131">
        <v>0.11550296839481997</v>
      </c>
      <c r="GE131">
        <v>0.11460862901025</v>
      </c>
      <c r="GF131">
        <v>0.52010488888686557</v>
      </c>
      <c r="GG131">
        <v>0.46645510438007809</v>
      </c>
      <c r="GH131">
        <v>6.6522953376906252E-2</v>
      </c>
      <c r="GI131">
        <v>0.41683888119429269</v>
      </c>
      <c r="GJ131"/>
      <c r="GK131">
        <v>0.20632499999999998</v>
      </c>
      <c r="GL131">
        <v>0.56333671875000002</v>
      </c>
      <c r="GM131">
        <v>1.4556587357954545</v>
      </c>
      <c r="GN131">
        <v>1.3719845170454543</v>
      </c>
      <c r="GO131">
        <v>0.43983749999999994</v>
      </c>
      <c r="GP131">
        <v>0.21534374999999997</v>
      </c>
      <c r="GQ131">
        <v>0.62821874999999994</v>
      </c>
      <c r="GR131">
        <v>0.64973958333333326</v>
      </c>
      <c r="GS131">
        <v>7.0364583333333328E-2</v>
      </c>
      <c r="GT131">
        <v>0.56008091382575742</v>
      </c>
      <c r="GU131"/>
      <c r="GV131"/>
      <c r="GW131"/>
      <c r="GX131"/>
      <c r="GY131"/>
      <c r="GZ131"/>
      <c r="HA131"/>
      <c r="HB131"/>
      <c r="HC131"/>
    </row>
    <row r="132" spans="1:211" s="7" customFormat="1">
      <c r="A132" s="1"/>
      <c r="B132" s="76">
        <f t="shared" ca="1" si="132"/>
        <v>0.78556427272128815</v>
      </c>
      <c r="C132">
        <v>3</v>
      </c>
      <c r="D132">
        <v>39775</v>
      </c>
      <c r="E132">
        <v>52.083333333333336</v>
      </c>
      <c r="F132">
        <v>625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 s="2"/>
      <c r="AK132" s="80"/>
      <c r="AL132" s="74"/>
      <c r="AM132" s="43">
        <v>116</v>
      </c>
      <c r="AN132">
        <v>37.638432818779684</v>
      </c>
      <c r="AO132">
        <v>0.92776880600337974</v>
      </c>
      <c r="AP132">
        <v>6.4949069109283499</v>
      </c>
      <c r="AQ132">
        <v>6.3465945527635919</v>
      </c>
      <c r="AR132">
        <v>0.84704834636670867</v>
      </c>
      <c r="AS132">
        <v>3.2346960313314446</v>
      </c>
      <c r="AT132" t="e">
        <v>#DIV/0!</v>
      </c>
      <c r="AU132" t="e">
        <v>#DIV/0!</v>
      </c>
      <c r="AV132"/>
      <c r="AW132"/>
      <c r="AX132" s="146"/>
      <c r="AY132" s="76">
        <f t="shared" ca="1" si="88"/>
        <v>9.9922920338050503E-2</v>
      </c>
      <c r="AZ132">
        <v>5</v>
      </c>
      <c r="BA132" s="129">
        <f t="shared" si="167"/>
        <v>39775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 s="147"/>
      <c r="CH132" s="176"/>
      <c r="CJ132" s="146"/>
      <c r="CK132" s="76">
        <f t="shared" ca="1" si="90"/>
        <v>0.45832151064003224</v>
      </c>
      <c r="CL132" s="179">
        <f t="shared" si="91"/>
        <v>5</v>
      </c>
      <c r="CM132" s="180">
        <f t="shared" si="92"/>
        <v>39775</v>
      </c>
      <c r="CN132">
        <v>0</v>
      </c>
      <c r="CO132">
        <v>3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 s="160"/>
      <c r="CW132">
        <v>1</v>
      </c>
      <c r="CX132">
        <f>20/7</f>
        <v>2.8571428571428572</v>
      </c>
      <c r="CY132" s="160"/>
      <c r="CZ132" s="177">
        <f t="shared" si="93"/>
        <v>9.6000000000000002E-2</v>
      </c>
      <c r="DB132" s="146"/>
      <c r="DC132" s="76">
        <f t="shared" ca="1" si="51"/>
        <v>0.39607511886803515</v>
      </c>
      <c r="DD132">
        <f t="shared" si="94"/>
        <v>5</v>
      </c>
      <c r="DE132" s="129">
        <f t="shared" si="166"/>
        <v>39775</v>
      </c>
      <c r="DF132" s="161">
        <f t="shared" si="95"/>
        <v>0</v>
      </c>
      <c r="DG132" s="161">
        <f t="shared" si="96"/>
        <v>89.285714285714278</v>
      </c>
      <c r="DH132" s="161">
        <f t="shared" si="97"/>
        <v>0</v>
      </c>
      <c r="DI132" s="161">
        <f t="shared" si="98"/>
        <v>0</v>
      </c>
      <c r="DJ132" s="161">
        <f t="shared" si="99"/>
        <v>0</v>
      </c>
      <c r="DK132" s="161">
        <f t="shared" si="100"/>
        <v>0</v>
      </c>
      <c r="DL132" s="161">
        <f t="shared" si="101"/>
        <v>0</v>
      </c>
      <c r="DM132" s="161">
        <f t="shared" si="102"/>
        <v>0</v>
      </c>
      <c r="DN132" s="161">
        <f t="shared" si="103"/>
        <v>0</v>
      </c>
      <c r="DO132" s="161">
        <f t="shared" si="104"/>
        <v>0</v>
      </c>
      <c r="DP132" s="161">
        <f t="shared" si="105"/>
        <v>0</v>
      </c>
      <c r="DQ132" s="161">
        <f t="shared" si="106"/>
        <v>0</v>
      </c>
      <c r="DR132" s="161">
        <f t="shared" si="107"/>
        <v>0</v>
      </c>
      <c r="DS132" s="161">
        <f t="shared" si="108"/>
        <v>0</v>
      </c>
      <c r="DT132" s="161">
        <f t="shared" si="109"/>
        <v>0</v>
      </c>
      <c r="DU132" s="161">
        <f t="shared" si="110"/>
        <v>0</v>
      </c>
      <c r="DV132" s="161">
        <f t="shared" si="111"/>
        <v>0</v>
      </c>
      <c r="DW132" s="161">
        <f t="shared" si="112"/>
        <v>0</v>
      </c>
      <c r="DX132" s="161">
        <f t="shared" si="113"/>
        <v>0</v>
      </c>
      <c r="DY132" s="161">
        <f t="shared" si="114"/>
        <v>0</v>
      </c>
      <c r="DZ132" s="161">
        <f t="shared" si="115"/>
        <v>0</v>
      </c>
      <c r="EA132" s="161">
        <f t="shared" si="116"/>
        <v>0</v>
      </c>
      <c r="EB132" s="161">
        <f t="shared" si="117"/>
        <v>0</v>
      </c>
      <c r="EC132" s="161">
        <f t="shared" si="118"/>
        <v>0</v>
      </c>
      <c r="ED132" s="161">
        <f t="shared" si="119"/>
        <v>0</v>
      </c>
      <c r="EE132" s="161">
        <f t="shared" si="120"/>
        <v>0</v>
      </c>
      <c r="EF132" s="161">
        <f t="shared" si="121"/>
        <v>0</v>
      </c>
      <c r="EG132" s="161">
        <f t="shared" si="122"/>
        <v>0</v>
      </c>
      <c r="EH132" s="161">
        <f t="shared" si="123"/>
        <v>0</v>
      </c>
      <c r="EI132" s="161">
        <f t="shared" si="124"/>
        <v>0</v>
      </c>
      <c r="EJ132" s="161">
        <f t="shared" si="125"/>
        <v>0</v>
      </c>
      <c r="EK132" s="147">
        <f t="shared" si="133"/>
        <v>89.285714285714278</v>
      </c>
      <c r="EL132" s="149"/>
      <c r="EN132" s="146"/>
      <c r="EO132" s="146"/>
      <c r="EP132" s="139">
        <f t="shared" si="134"/>
        <v>0</v>
      </c>
      <c r="EQ132" s="139">
        <f t="shared" si="135"/>
        <v>1.5508928571428571</v>
      </c>
      <c r="ER132" s="139">
        <f t="shared" si="136"/>
        <v>0</v>
      </c>
      <c r="ES132" s="139">
        <f t="shared" si="137"/>
        <v>0</v>
      </c>
      <c r="ET132" s="139">
        <f t="shared" si="138"/>
        <v>0</v>
      </c>
      <c r="EU132" s="139">
        <f t="shared" si="139"/>
        <v>0</v>
      </c>
      <c r="EV132" s="139">
        <f t="shared" si="140"/>
        <v>0</v>
      </c>
      <c r="EW132" s="139">
        <f t="shared" si="141"/>
        <v>0</v>
      </c>
      <c r="EX132" s="139">
        <f t="shared" si="142"/>
        <v>0</v>
      </c>
      <c r="EY132" s="139">
        <f t="shared" si="143"/>
        <v>0</v>
      </c>
      <c r="EZ132" s="139">
        <f t="shared" si="144"/>
        <v>0</v>
      </c>
      <c r="FA132" s="139">
        <f t="shared" si="145"/>
        <v>0</v>
      </c>
      <c r="FB132" s="139">
        <f t="shared" si="146"/>
        <v>0</v>
      </c>
      <c r="FC132" s="139">
        <f t="shared" si="147"/>
        <v>0</v>
      </c>
      <c r="FD132" s="139">
        <f t="shared" si="148"/>
        <v>0</v>
      </c>
      <c r="FE132" s="139">
        <f t="shared" si="149"/>
        <v>0</v>
      </c>
      <c r="FF132" s="139">
        <f t="shared" si="150"/>
        <v>0</v>
      </c>
      <c r="FG132" s="139">
        <f t="shared" si="151"/>
        <v>0</v>
      </c>
      <c r="FH132" s="139">
        <f t="shared" si="152"/>
        <v>0</v>
      </c>
      <c r="FI132" s="139">
        <f t="shared" si="153"/>
        <v>0</v>
      </c>
      <c r="FJ132" s="139">
        <f t="shared" si="154"/>
        <v>0</v>
      </c>
      <c r="FK132" s="139">
        <f t="shared" si="155"/>
        <v>0</v>
      </c>
      <c r="FL132" s="139">
        <f t="shared" si="156"/>
        <v>0</v>
      </c>
      <c r="FM132" s="139">
        <f t="shared" si="157"/>
        <v>0</v>
      </c>
      <c r="FN132" s="139">
        <f t="shared" si="158"/>
        <v>0</v>
      </c>
      <c r="FO132" s="139">
        <f t="shared" si="159"/>
        <v>0</v>
      </c>
      <c r="FP132" s="139">
        <f t="shared" si="160"/>
        <v>0</v>
      </c>
      <c r="FQ132" s="139">
        <f t="shared" si="161"/>
        <v>0</v>
      </c>
      <c r="FR132" s="139">
        <f t="shared" si="162"/>
        <v>0</v>
      </c>
      <c r="FS132" s="139">
        <f t="shared" si="163"/>
        <v>0</v>
      </c>
      <c r="FT132" s="139">
        <f t="shared" si="164"/>
        <v>0</v>
      </c>
      <c r="FU132" s="148">
        <f t="shared" si="165"/>
        <v>1.5508928571428571</v>
      </c>
      <c r="FV132" s="149"/>
      <c r="FY132" s="211">
        <v>127</v>
      </c>
      <c r="FZ132">
        <v>1.6361940714277303</v>
      </c>
      <c r="GA132">
        <v>2.1422799057023751</v>
      </c>
      <c r="GB132">
        <v>0.94239008960499127</v>
      </c>
      <c r="GC132">
        <v>0.68702840093813999</v>
      </c>
      <c r="GD132">
        <v>0.25919669079481172</v>
      </c>
      <c r="GE132">
        <v>0.12911621815529997</v>
      </c>
      <c r="GF132">
        <v>0.73485967443875966</v>
      </c>
      <c r="GG132">
        <v>0.61737285987307855</v>
      </c>
      <c r="GH132">
        <v>0.15846589671860095</v>
      </c>
      <c r="GI132">
        <v>0.77678078391058714</v>
      </c>
      <c r="GJ132"/>
      <c r="GK132">
        <v>1.6305299632352939</v>
      </c>
      <c r="GL132">
        <v>1.804154963235294</v>
      </c>
      <c r="GM132">
        <v>1.5468813920454545</v>
      </c>
      <c r="GN132">
        <v>2.0152041599025967</v>
      </c>
      <c r="GO132">
        <v>0.98591651785714263</v>
      </c>
      <c r="GP132">
        <v>0.24243749999999997</v>
      </c>
      <c r="GQ132">
        <v>0.88672010869565221</v>
      </c>
      <c r="GR132">
        <v>0.85939719202898535</v>
      </c>
      <c r="GS132">
        <v>0.16754006410256411</v>
      </c>
      <c r="GT132">
        <v>1.0435176091872214</v>
      </c>
      <c r="GU132"/>
      <c r="GV132"/>
      <c r="GW132"/>
      <c r="GX132"/>
      <c r="GY132"/>
      <c r="GZ132"/>
      <c r="HA132"/>
      <c r="HB132"/>
      <c r="HC132"/>
    </row>
    <row r="133" spans="1:211" s="7" customFormat="1">
      <c r="A133" s="1"/>
      <c r="B133" s="76">
        <f t="shared" ca="1" si="132"/>
        <v>2.319187492776198E-2</v>
      </c>
      <c r="C133">
        <v>1</v>
      </c>
      <c r="D133">
        <v>39775</v>
      </c>
      <c r="E133">
        <v>0</v>
      </c>
      <c r="F133">
        <v>43.75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 s="2"/>
      <c r="AK133" s="80"/>
      <c r="AL133" s="74"/>
      <c r="AM133" s="43">
        <v>117</v>
      </c>
      <c r="AN133">
        <v>52.396267474148701</v>
      </c>
      <c r="AO133">
        <v>1.123533641139085</v>
      </c>
      <c r="AP133">
        <v>0.50513929412069769</v>
      </c>
      <c r="AQ133">
        <v>8.3329649051039567</v>
      </c>
      <c r="AR133">
        <v>1.0425084565425249</v>
      </c>
      <c r="AS133">
        <v>4.3317143052087328</v>
      </c>
      <c r="AT133">
        <v>0.85253116883712787</v>
      </c>
      <c r="AU133">
        <v>-4.8236100538118165E-2</v>
      </c>
      <c r="AV133"/>
      <c r="AW133"/>
      <c r="AX133" s="146"/>
      <c r="AY133" s="76">
        <f t="shared" ca="1" si="88"/>
        <v>0.47167033703996619</v>
      </c>
      <c r="AZ133">
        <v>6</v>
      </c>
      <c r="BA133" s="129">
        <f t="shared" si="167"/>
        <v>39775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 s="147"/>
      <c r="CH133" s="176"/>
      <c r="CJ133" s="146"/>
      <c r="CK133" s="76">
        <f t="shared" ca="1" si="90"/>
        <v>0.44906963422259238</v>
      </c>
      <c r="CL133" s="179">
        <f t="shared" si="91"/>
        <v>6</v>
      </c>
      <c r="CM133" s="180">
        <f t="shared" si="92"/>
        <v>39775</v>
      </c>
      <c r="CN133">
        <v>0</v>
      </c>
      <c r="CO133">
        <v>0</v>
      </c>
      <c r="CP133">
        <v>1</v>
      </c>
      <c r="CQ133">
        <v>0</v>
      </c>
      <c r="CR133">
        <v>0</v>
      </c>
      <c r="CS133">
        <v>0</v>
      </c>
      <c r="CT133">
        <v>0</v>
      </c>
      <c r="CU133">
        <v>0</v>
      </c>
      <c r="CV133" s="160"/>
      <c r="CW133">
        <v>1</v>
      </c>
      <c r="CX133">
        <v>1</v>
      </c>
      <c r="CY133" s="164"/>
      <c r="CZ133" s="177">
        <f t="shared" si="93"/>
        <v>9.6000000000000002E-2</v>
      </c>
      <c r="DB133" s="146"/>
      <c r="DC133" s="76">
        <f t="shared" ca="1" si="51"/>
        <v>0.52253432926414334</v>
      </c>
      <c r="DD133">
        <f t="shared" si="94"/>
        <v>6</v>
      </c>
      <c r="DE133" s="129">
        <f t="shared" si="166"/>
        <v>39775</v>
      </c>
      <c r="DF133" s="161">
        <f t="shared" si="95"/>
        <v>0</v>
      </c>
      <c r="DG133" s="161">
        <f t="shared" si="96"/>
        <v>0</v>
      </c>
      <c r="DH133" s="161">
        <f t="shared" si="97"/>
        <v>10.416666666666666</v>
      </c>
      <c r="DI133" s="161">
        <f t="shared" si="98"/>
        <v>0</v>
      </c>
      <c r="DJ133" s="161">
        <f t="shared" si="99"/>
        <v>0</v>
      </c>
      <c r="DK133" s="161">
        <f t="shared" si="100"/>
        <v>0</v>
      </c>
      <c r="DL133" s="161">
        <f t="shared" si="101"/>
        <v>0</v>
      </c>
      <c r="DM133" s="161">
        <f t="shared" si="102"/>
        <v>0</v>
      </c>
      <c r="DN133" s="161">
        <f t="shared" si="103"/>
        <v>0</v>
      </c>
      <c r="DO133" s="161">
        <f t="shared" si="104"/>
        <v>0</v>
      </c>
      <c r="DP133" s="161">
        <f t="shared" si="105"/>
        <v>0</v>
      </c>
      <c r="DQ133" s="161">
        <f t="shared" si="106"/>
        <v>0</v>
      </c>
      <c r="DR133" s="161">
        <f t="shared" si="107"/>
        <v>0</v>
      </c>
      <c r="DS133" s="161">
        <f t="shared" si="108"/>
        <v>0</v>
      </c>
      <c r="DT133" s="161">
        <f t="shared" si="109"/>
        <v>0</v>
      </c>
      <c r="DU133" s="161">
        <f t="shared" si="110"/>
        <v>0</v>
      </c>
      <c r="DV133" s="161">
        <f t="shared" si="111"/>
        <v>0</v>
      </c>
      <c r="DW133" s="161">
        <f t="shared" si="112"/>
        <v>0</v>
      </c>
      <c r="DX133" s="161">
        <f t="shared" si="113"/>
        <v>0</v>
      </c>
      <c r="DY133" s="161">
        <f t="shared" si="114"/>
        <v>0</v>
      </c>
      <c r="DZ133" s="161">
        <f t="shared" si="115"/>
        <v>0</v>
      </c>
      <c r="EA133" s="161">
        <f t="shared" si="116"/>
        <v>0</v>
      </c>
      <c r="EB133" s="161">
        <f t="shared" si="117"/>
        <v>0</v>
      </c>
      <c r="EC133" s="161">
        <f t="shared" si="118"/>
        <v>0</v>
      </c>
      <c r="ED133" s="161">
        <f t="shared" si="119"/>
        <v>0</v>
      </c>
      <c r="EE133" s="161">
        <f t="shared" si="120"/>
        <v>0</v>
      </c>
      <c r="EF133" s="161">
        <f t="shared" si="121"/>
        <v>0</v>
      </c>
      <c r="EG133" s="161">
        <f t="shared" si="122"/>
        <v>0</v>
      </c>
      <c r="EH133" s="161">
        <f t="shared" si="123"/>
        <v>0</v>
      </c>
      <c r="EI133" s="161">
        <f t="shared" si="124"/>
        <v>0</v>
      </c>
      <c r="EJ133" s="161">
        <f t="shared" si="125"/>
        <v>0</v>
      </c>
      <c r="EK133" s="147">
        <f t="shared" si="133"/>
        <v>10.416666666666666</v>
      </c>
      <c r="EL133" s="149"/>
      <c r="EN133" s="146"/>
      <c r="EO133" s="146"/>
      <c r="EP133" s="139">
        <f t="shared" si="134"/>
        <v>0</v>
      </c>
      <c r="EQ133" s="139">
        <f t="shared" si="135"/>
        <v>0</v>
      </c>
      <c r="ER133" s="139">
        <f t="shared" si="136"/>
        <v>0.39843749999999994</v>
      </c>
      <c r="ES133" s="139">
        <f t="shared" si="137"/>
        <v>0</v>
      </c>
      <c r="ET133" s="139">
        <f t="shared" si="138"/>
        <v>0</v>
      </c>
      <c r="EU133" s="139">
        <f t="shared" si="139"/>
        <v>0</v>
      </c>
      <c r="EV133" s="139">
        <f t="shared" si="140"/>
        <v>0</v>
      </c>
      <c r="EW133" s="139">
        <f t="shared" si="141"/>
        <v>0</v>
      </c>
      <c r="EX133" s="139">
        <f t="shared" si="142"/>
        <v>0</v>
      </c>
      <c r="EY133" s="139">
        <f t="shared" si="143"/>
        <v>0</v>
      </c>
      <c r="EZ133" s="139">
        <f t="shared" si="144"/>
        <v>0</v>
      </c>
      <c r="FA133" s="139">
        <f t="shared" si="145"/>
        <v>0</v>
      </c>
      <c r="FB133" s="139">
        <f t="shared" si="146"/>
        <v>0</v>
      </c>
      <c r="FC133" s="139">
        <f t="shared" si="147"/>
        <v>0</v>
      </c>
      <c r="FD133" s="139">
        <f t="shared" si="148"/>
        <v>0</v>
      </c>
      <c r="FE133" s="139">
        <f t="shared" si="149"/>
        <v>0</v>
      </c>
      <c r="FF133" s="139">
        <f t="shared" si="150"/>
        <v>0</v>
      </c>
      <c r="FG133" s="139">
        <f t="shared" si="151"/>
        <v>0</v>
      </c>
      <c r="FH133" s="139">
        <f t="shared" si="152"/>
        <v>0</v>
      </c>
      <c r="FI133" s="139">
        <f t="shared" si="153"/>
        <v>0</v>
      </c>
      <c r="FJ133" s="139">
        <f t="shared" si="154"/>
        <v>0</v>
      </c>
      <c r="FK133" s="139">
        <f t="shared" si="155"/>
        <v>0</v>
      </c>
      <c r="FL133" s="139">
        <f t="shared" si="156"/>
        <v>0</v>
      </c>
      <c r="FM133" s="139">
        <f t="shared" si="157"/>
        <v>0</v>
      </c>
      <c r="FN133" s="139">
        <f t="shared" si="158"/>
        <v>0</v>
      </c>
      <c r="FO133" s="139">
        <f t="shared" si="159"/>
        <v>0</v>
      </c>
      <c r="FP133" s="139">
        <f t="shared" si="160"/>
        <v>0</v>
      </c>
      <c r="FQ133" s="139">
        <f t="shared" si="161"/>
        <v>0</v>
      </c>
      <c r="FR133" s="139">
        <f t="shared" si="162"/>
        <v>0</v>
      </c>
      <c r="FS133" s="139">
        <f t="shared" si="163"/>
        <v>0</v>
      </c>
      <c r="FT133" s="139">
        <f t="shared" si="164"/>
        <v>0</v>
      </c>
      <c r="FU133" s="148">
        <f t="shared" si="165"/>
        <v>0.39843749999999994</v>
      </c>
      <c r="FV133" s="149"/>
      <c r="FY133" s="211">
        <v>128</v>
      </c>
      <c r="FZ133">
        <v>2.2043134228471377</v>
      </c>
      <c r="GA133">
        <v>2.5403179628791777</v>
      </c>
      <c r="GB133">
        <v>0.41098345539570003</v>
      </c>
      <c r="GC133">
        <v>0.40745533153612307</v>
      </c>
      <c r="GD133">
        <v>0.28768123078523677</v>
      </c>
      <c r="GE133">
        <v>0.13393410496177499</v>
      </c>
      <c r="GF133">
        <v>8.1038194822856249E-2</v>
      </c>
      <c r="GG133">
        <v>5.0581908438140623E-2</v>
      </c>
      <c r="GH133">
        <v>6.6522953376906252E-2</v>
      </c>
      <c r="GI133">
        <v>0.61539476781676017</v>
      </c>
      <c r="GJ133"/>
      <c r="GK133">
        <v>2.1969224264705884</v>
      </c>
      <c r="GL133">
        <v>2.1396646139705884</v>
      </c>
      <c r="GM133">
        <v>0.67434375000000002</v>
      </c>
      <c r="GN133">
        <v>1.1942524553571428</v>
      </c>
      <c r="GO133">
        <v>1.0945727678571429</v>
      </c>
      <c r="GP133">
        <v>0.25148437500000004</v>
      </c>
      <c r="GQ133">
        <v>9.768750000000001E-2</v>
      </c>
      <c r="GR133">
        <v>7.0364583333333328E-2</v>
      </c>
      <c r="GS133">
        <v>7.0364583333333328E-2</v>
      </c>
      <c r="GT133">
        <v>0.82677820553221282</v>
      </c>
      <c r="GU133"/>
      <c r="GV133"/>
      <c r="GW133"/>
      <c r="GX133"/>
      <c r="GY133"/>
      <c r="GZ133"/>
      <c r="HA133"/>
      <c r="HB133"/>
      <c r="HC133"/>
    </row>
    <row r="134" spans="1:211" s="7" customFormat="1">
      <c r="A134" s="1"/>
      <c r="B134" s="76">
        <f t="shared" ca="1" si="132"/>
        <v>0.34842834552854285</v>
      </c>
      <c r="C134">
        <v>4</v>
      </c>
      <c r="D134">
        <v>39775</v>
      </c>
      <c r="E134">
        <v>10.416666666666666</v>
      </c>
      <c r="F134">
        <v>10.416666666666666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 s="2"/>
      <c r="AK134" s="80"/>
      <c r="AL134" s="74"/>
      <c r="AM134" s="43">
        <v>118</v>
      </c>
      <c r="AN134">
        <v>15.712551510989012</v>
      </c>
      <c r="AO134">
        <v>0.34316836589972527</v>
      </c>
      <c r="AP134">
        <v>0.96950436167560272</v>
      </c>
      <c r="AQ134">
        <v>2.5897287061888026</v>
      </c>
      <c r="AR134">
        <v>0.33087694539835166</v>
      </c>
      <c r="AS134">
        <v>1.2935772471018765</v>
      </c>
      <c r="AT134" t="e">
        <v>#DIV/0!</v>
      </c>
      <c r="AU134" t="e">
        <v>#DIV/0!</v>
      </c>
      <c r="AV134"/>
      <c r="AW134"/>
      <c r="AX134" s="146"/>
      <c r="AY134" s="76">
        <f t="shared" ca="1" si="88"/>
        <v>9.5955292388038238E-2</v>
      </c>
      <c r="AZ134">
        <v>7</v>
      </c>
      <c r="BA134" s="129">
        <f t="shared" si="167"/>
        <v>39775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 s="147"/>
      <c r="CH134" s="176"/>
      <c r="CJ134" s="146"/>
      <c r="CK134" s="76">
        <f t="shared" ca="1" si="90"/>
        <v>0.29887171764614551</v>
      </c>
      <c r="CL134" s="179">
        <f t="shared" si="91"/>
        <v>7</v>
      </c>
      <c r="CM134" s="180">
        <f t="shared" si="92"/>
        <v>39775</v>
      </c>
      <c r="CN134">
        <v>0</v>
      </c>
      <c r="CO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 s="160"/>
      <c r="CW134">
        <f>30/22</f>
        <v>1.3636363636363635</v>
      </c>
      <c r="CX134">
        <f>20/9</f>
        <v>2.2222222222222223</v>
      </c>
      <c r="CY134" s="164"/>
      <c r="CZ134" s="177">
        <f t="shared" si="93"/>
        <v>9.6000000000000002E-2</v>
      </c>
      <c r="DB134" s="146"/>
      <c r="DC134" s="76">
        <f t="shared" ca="1" si="51"/>
        <v>0.25107812175261568</v>
      </c>
      <c r="DD134">
        <f t="shared" si="94"/>
        <v>7</v>
      </c>
      <c r="DE134" s="129">
        <f t="shared" si="166"/>
        <v>39775</v>
      </c>
      <c r="DF134" s="161">
        <f t="shared" si="95"/>
        <v>0</v>
      </c>
      <c r="DG134" s="161">
        <f t="shared" si="96"/>
        <v>0</v>
      </c>
      <c r="DH134" s="161">
        <f t="shared" si="97"/>
        <v>0</v>
      </c>
      <c r="DI134" s="161">
        <f t="shared" si="98"/>
        <v>0</v>
      </c>
      <c r="DJ134" s="161">
        <f t="shared" si="99"/>
        <v>0</v>
      </c>
      <c r="DK134" s="161">
        <f t="shared" si="100"/>
        <v>0</v>
      </c>
      <c r="DL134" s="161">
        <f t="shared" si="101"/>
        <v>0</v>
      </c>
      <c r="DM134" s="161">
        <f t="shared" si="102"/>
        <v>0</v>
      </c>
      <c r="DN134" s="161">
        <f t="shared" si="103"/>
        <v>0</v>
      </c>
      <c r="DO134" s="161">
        <f t="shared" si="104"/>
        <v>0</v>
      </c>
      <c r="DP134" s="161">
        <f t="shared" si="105"/>
        <v>0</v>
      </c>
      <c r="DQ134" s="161">
        <f t="shared" si="106"/>
        <v>0</v>
      </c>
      <c r="DR134" s="161">
        <f t="shared" si="107"/>
        <v>0</v>
      </c>
      <c r="DS134" s="161">
        <f t="shared" si="108"/>
        <v>0</v>
      </c>
      <c r="DT134" s="161">
        <f t="shared" si="109"/>
        <v>0</v>
      </c>
      <c r="DU134" s="161">
        <f t="shared" si="110"/>
        <v>0</v>
      </c>
      <c r="DV134" s="161">
        <f t="shared" si="111"/>
        <v>0</v>
      </c>
      <c r="DW134" s="161">
        <f t="shared" si="112"/>
        <v>0</v>
      </c>
      <c r="DX134" s="161">
        <f t="shared" si="113"/>
        <v>0</v>
      </c>
      <c r="DY134" s="161">
        <f t="shared" si="114"/>
        <v>0</v>
      </c>
      <c r="DZ134" s="161">
        <f t="shared" si="115"/>
        <v>0</v>
      </c>
      <c r="EA134" s="161">
        <f t="shared" si="116"/>
        <v>0</v>
      </c>
      <c r="EB134" s="161">
        <f t="shared" si="117"/>
        <v>0</v>
      </c>
      <c r="EC134" s="161">
        <f t="shared" si="118"/>
        <v>0</v>
      </c>
      <c r="ED134" s="161">
        <f t="shared" si="119"/>
        <v>0</v>
      </c>
      <c r="EE134" s="161">
        <f t="shared" si="120"/>
        <v>0</v>
      </c>
      <c r="EF134" s="161">
        <f t="shared" si="121"/>
        <v>0</v>
      </c>
      <c r="EG134" s="161">
        <f t="shared" si="122"/>
        <v>0</v>
      </c>
      <c r="EH134" s="161">
        <f t="shared" si="123"/>
        <v>0</v>
      </c>
      <c r="EI134" s="161">
        <f t="shared" si="124"/>
        <v>0</v>
      </c>
      <c r="EJ134" s="161">
        <f t="shared" si="125"/>
        <v>0</v>
      </c>
      <c r="EK134" s="147">
        <f t="shared" si="133"/>
        <v>0</v>
      </c>
      <c r="EL134" s="149"/>
      <c r="EN134" s="146"/>
      <c r="EO134" s="146"/>
      <c r="EP134" s="139">
        <f t="shared" si="134"/>
        <v>0</v>
      </c>
      <c r="EQ134" s="139">
        <f t="shared" si="135"/>
        <v>0</v>
      </c>
      <c r="ER134" s="139">
        <f t="shared" si="136"/>
        <v>0</v>
      </c>
      <c r="ES134" s="139">
        <f t="shared" si="137"/>
        <v>0</v>
      </c>
      <c r="ET134" s="139">
        <f t="shared" si="138"/>
        <v>0</v>
      </c>
      <c r="EU134" s="139">
        <f t="shared" si="139"/>
        <v>0</v>
      </c>
      <c r="EV134" s="139">
        <f t="shared" si="140"/>
        <v>0</v>
      </c>
      <c r="EW134" s="139">
        <f t="shared" si="141"/>
        <v>0</v>
      </c>
      <c r="EX134" s="139">
        <f t="shared" si="142"/>
        <v>0</v>
      </c>
      <c r="EY134" s="139">
        <f t="shared" si="143"/>
        <v>0</v>
      </c>
      <c r="EZ134" s="139">
        <f t="shared" si="144"/>
        <v>0</v>
      </c>
      <c r="FA134" s="139">
        <f t="shared" si="145"/>
        <v>0</v>
      </c>
      <c r="FB134" s="139">
        <f t="shared" si="146"/>
        <v>0</v>
      </c>
      <c r="FC134" s="139">
        <f t="shared" si="147"/>
        <v>0</v>
      </c>
      <c r="FD134" s="139">
        <f t="shared" si="148"/>
        <v>0</v>
      </c>
      <c r="FE134" s="139">
        <f t="shared" si="149"/>
        <v>0</v>
      </c>
      <c r="FF134" s="139">
        <f t="shared" si="150"/>
        <v>0</v>
      </c>
      <c r="FG134" s="139">
        <f t="shared" si="151"/>
        <v>0</v>
      </c>
      <c r="FH134" s="139">
        <f t="shared" si="152"/>
        <v>0</v>
      </c>
      <c r="FI134" s="139">
        <f t="shared" si="153"/>
        <v>0</v>
      </c>
      <c r="FJ134" s="139">
        <f t="shared" si="154"/>
        <v>0</v>
      </c>
      <c r="FK134" s="139">
        <f t="shared" si="155"/>
        <v>0</v>
      </c>
      <c r="FL134" s="139">
        <f t="shared" si="156"/>
        <v>0</v>
      </c>
      <c r="FM134" s="139">
        <f t="shared" si="157"/>
        <v>0</v>
      </c>
      <c r="FN134" s="139">
        <f t="shared" si="158"/>
        <v>0</v>
      </c>
      <c r="FO134" s="139">
        <f t="shared" si="159"/>
        <v>0</v>
      </c>
      <c r="FP134" s="139">
        <f t="shared" si="160"/>
        <v>0</v>
      </c>
      <c r="FQ134" s="139">
        <f t="shared" si="161"/>
        <v>0</v>
      </c>
      <c r="FR134" s="139">
        <f t="shared" si="162"/>
        <v>0</v>
      </c>
      <c r="FS134" s="139">
        <f t="shared" si="163"/>
        <v>0</v>
      </c>
      <c r="FT134" s="139">
        <f t="shared" si="164"/>
        <v>0</v>
      </c>
      <c r="FU134" s="148">
        <f t="shared" si="165"/>
        <v>0</v>
      </c>
      <c r="FV134" s="149"/>
      <c r="FY134" s="211">
        <v>129</v>
      </c>
      <c r="FZ134">
        <v>0.87206689887257249</v>
      </c>
      <c r="GA134">
        <v>1.2731159457335535</v>
      </c>
      <c r="GB134">
        <v>1.5797280362292456</v>
      </c>
      <c r="GC134">
        <v>0.82030359911403639</v>
      </c>
      <c r="GD134">
        <v>0.19103644469357353</v>
      </c>
      <c r="GE134">
        <v>0.21770983253970005</v>
      </c>
      <c r="GF134">
        <v>1.2431929812115035</v>
      </c>
      <c r="GG134">
        <v>1.0072508610682518</v>
      </c>
      <c r="GH134">
        <v>4.5971471670847357E-2</v>
      </c>
      <c r="GI134">
        <v>0.85412008276541918</v>
      </c>
      <c r="GJ134"/>
      <c r="GK134">
        <v>0.86902499999999994</v>
      </c>
      <c r="GL134">
        <v>1.0721460937499998</v>
      </c>
      <c r="GM134">
        <v>2.593462002840909</v>
      </c>
      <c r="GN134">
        <v>2.4076739448051945</v>
      </c>
      <c r="GO134">
        <v>0.7270205357142856</v>
      </c>
      <c r="GP134">
        <v>0.40893750000000006</v>
      </c>
      <c r="GQ134">
        <v>1.4991603260869566</v>
      </c>
      <c r="GR134">
        <v>1.4014728260869567</v>
      </c>
      <c r="GS134">
        <v>4.8587740384615385E-2</v>
      </c>
      <c r="GT134">
        <v>1.1474511210053533</v>
      </c>
      <c r="GU134"/>
      <c r="GV134"/>
      <c r="GW134"/>
      <c r="GX134"/>
      <c r="GY134"/>
      <c r="GZ134"/>
      <c r="HA134"/>
      <c r="HB134"/>
      <c r="HC134"/>
    </row>
    <row r="135" spans="1:211" s="7" customFormat="1">
      <c r="A135" s="1"/>
      <c r="B135" s="76">
        <f t="shared" ca="1" si="132"/>
        <v>0.7143812215010803</v>
      </c>
      <c r="C135">
        <v>8</v>
      </c>
      <c r="D135">
        <v>39775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 s="2"/>
      <c r="AK135" s="80"/>
      <c r="AL135" s="74"/>
      <c r="AM135" s="43">
        <v>119</v>
      </c>
      <c r="AN135">
        <v>44.31691012850699</v>
      </c>
      <c r="AO135">
        <v>0.84423025495026616</v>
      </c>
      <c r="AP135">
        <v>4.3182053561679217</v>
      </c>
      <c r="AQ135">
        <v>5.6319651446764194</v>
      </c>
      <c r="AR135">
        <v>0.78417921997227003</v>
      </c>
      <c r="AS135">
        <v>3.7656202169257305</v>
      </c>
      <c r="AT135" t="e">
        <v>#DIV/0!</v>
      </c>
      <c r="AU135" t="e">
        <v>#DIV/0!</v>
      </c>
      <c r="AV135"/>
      <c r="AW135"/>
      <c r="AX135" s="146"/>
      <c r="AY135" s="76">
        <f t="shared" ca="1" si="88"/>
        <v>0.46124370787676505</v>
      </c>
      <c r="AZ135">
        <v>8</v>
      </c>
      <c r="BA135" s="129">
        <f t="shared" si="167"/>
        <v>39775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 s="147"/>
      <c r="CH135" s="176"/>
      <c r="CJ135" s="146"/>
      <c r="CK135" s="76">
        <f t="shared" ca="1" si="90"/>
        <v>0.54935239903663469</v>
      </c>
      <c r="CL135" s="179">
        <f t="shared" si="91"/>
        <v>8</v>
      </c>
      <c r="CM135" s="180">
        <f t="shared" si="92"/>
        <v>39775</v>
      </c>
      <c r="CN135">
        <v>0</v>
      </c>
      <c r="CO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 s="160"/>
      <c r="CW135">
        <f>30/9</f>
        <v>3.3333333333333335</v>
      </c>
      <c r="CX135">
        <f>40/8</f>
        <v>5</v>
      </c>
      <c r="CY135" s="164"/>
      <c r="CZ135" s="177">
        <f t="shared" si="93"/>
        <v>9.6000000000000002E-2</v>
      </c>
      <c r="DB135" s="146"/>
      <c r="DC135" s="76">
        <f t="shared" ca="1" si="51"/>
        <v>0.82597492668862671</v>
      </c>
      <c r="DD135">
        <f t="shared" si="94"/>
        <v>8</v>
      </c>
      <c r="DE135" s="129">
        <f t="shared" si="166"/>
        <v>39775</v>
      </c>
      <c r="DF135" s="161">
        <f t="shared" si="95"/>
        <v>0</v>
      </c>
      <c r="DG135" s="161">
        <f t="shared" si="96"/>
        <v>0</v>
      </c>
      <c r="DH135" s="161">
        <f t="shared" si="97"/>
        <v>0</v>
      </c>
      <c r="DI135" s="161">
        <f t="shared" si="98"/>
        <v>0</v>
      </c>
      <c r="DJ135" s="161">
        <f t="shared" si="99"/>
        <v>0</v>
      </c>
      <c r="DK135" s="161">
        <f t="shared" si="100"/>
        <v>0</v>
      </c>
      <c r="DL135" s="161">
        <f t="shared" si="101"/>
        <v>0</v>
      </c>
      <c r="DM135" s="161">
        <f t="shared" si="102"/>
        <v>0</v>
      </c>
      <c r="DN135" s="161">
        <f t="shared" si="103"/>
        <v>0</v>
      </c>
      <c r="DO135" s="161">
        <f t="shared" si="104"/>
        <v>0</v>
      </c>
      <c r="DP135" s="161">
        <f t="shared" si="105"/>
        <v>0</v>
      </c>
      <c r="DQ135" s="161">
        <f t="shared" si="106"/>
        <v>0</v>
      </c>
      <c r="DR135" s="161">
        <f t="shared" si="107"/>
        <v>0</v>
      </c>
      <c r="DS135" s="161">
        <f t="shared" si="108"/>
        <v>0</v>
      </c>
      <c r="DT135" s="161">
        <f t="shared" si="109"/>
        <v>0</v>
      </c>
      <c r="DU135" s="161">
        <f t="shared" si="110"/>
        <v>0</v>
      </c>
      <c r="DV135" s="161">
        <f t="shared" si="111"/>
        <v>0</v>
      </c>
      <c r="DW135" s="161">
        <f t="shared" si="112"/>
        <v>0</v>
      </c>
      <c r="DX135" s="161">
        <f t="shared" si="113"/>
        <v>0</v>
      </c>
      <c r="DY135" s="161">
        <f t="shared" si="114"/>
        <v>0</v>
      </c>
      <c r="DZ135" s="161">
        <f t="shared" si="115"/>
        <v>0</v>
      </c>
      <c r="EA135" s="161">
        <f t="shared" si="116"/>
        <v>0</v>
      </c>
      <c r="EB135" s="161">
        <f t="shared" si="117"/>
        <v>0</v>
      </c>
      <c r="EC135" s="161">
        <f t="shared" si="118"/>
        <v>0</v>
      </c>
      <c r="ED135" s="161">
        <f t="shared" si="119"/>
        <v>0</v>
      </c>
      <c r="EE135" s="161">
        <f t="shared" si="120"/>
        <v>0</v>
      </c>
      <c r="EF135" s="161">
        <f t="shared" si="121"/>
        <v>0</v>
      </c>
      <c r="EG135" s="161">
        <f t="shared" si="122"/>
        <v>0</v>
      </c>
      <c r="EH135" s="161">
        <f t="shared" si="123"/>
        <v>0</v>
      </c>
      <c r="EI135" s="161">
        <f t="shared" si="124"/>
        <v>0</v>
      </c>
      <c r="EJ135" s="161">
        <f t="shared" si="125"/>
        <v>0</v>
      </c>
      <c r="EK135" s="147">
        <f t="shared" si="133"/>
        <v>0</v>
      </c>
      <c r="EL135" s="149"/>
      <c r="EN135" s="146"/>
      <c r="EO135" s="146"/>
      <c r="EP135" s="139">
        <f t="shared" si="134"/>
        <v>0</v>
      </c>
      <c r="EQ135" s="139">
        <f t="shared" si="135"/>
        <v>0</v>
      </c>
      <c r="ER135" s="139">
        <f t="shared" si="136"/>
        <v>0</v>
      </c>
      <c r="ES135" s="139">
        <f t="shared" si="137"/>
        <v>0</v>
      </c>
      <c r="ET135" s="139">
        <f t="shared" si="138"/>
        <v>0</v>
      </c>
      <c r="EU135" s="139">
        <f t="shared" si="139"/>
        <v>0</v>
      </c>
      <c r="EV135" s="139">
        <f t="shared" si="140"/>
        <v>0</v>
      </c>
      <c r="EW135" s="139">
        <f t="shared" si="141"/>
        <v>0</v>
      </c>
      <c r="EX135" s="139">
        <f t="shared" si="142"/>
        <v>0</v>
      </c>
      <c r="EY135" s="139">
        <f t="shared" si="143"/>
        <v>0</v>
      </c>
      <c r="EZ135" s="139">
        <f t="shared" si="144"/>
        <v>0</v>
      </c>
      <c r="FA135" s="139">
        <f t="shared" si="145"/>
        <v>0</v>
      </c>
      <c r="FB135" s="139">
        <f t="shared" si="146"/>
        <v>0</v>
      </c>
      <c r="FC135" s="139">
        <f t="shared" si="147"/>
        <v>0</v>
      </c>
      <c r="FD135" s="139">
        <f t="shared" si="148"/>
        <v>0</v>
      </c>
      <c r="FE135" s="139">
        <f t="shared" si="149"/>
        <v>0</v>
      </c>
      <c r="FF135" s="139">
        <f t="shared" si="150"/>
        <v>0</v>
      </c>
      <c r="FG135" s="139">
        <f t="shared" si="151"/>
        <v>0</v>
      </c>
      <c r="FH135" s="139">
        <f t="shared" si="152"/>
        <v>0</v>
      </c>
      <c r="FI135" s="139">
        <f t="shared" si="153"/>
        <v>0</v>
      </c>
      <c r="FJ135" s="139">
        <f t="shared" si="154"/>
        <v>0</v>
      </c>
      <c r="FK135" s="139">
        <f t="shared" si="155"/>
        <v>0</v>
      </c>
      <c r="FL135" s="139">
        <f t="shared" si="156"/>
        <v>0</v>
      </c>
      <c r="FM135" s="139">
        <f t="shared" si="157"/>
        <v>0</v>
      </c>
      <c r="FN135" s="139">
        <f t="shared" si="158"/>
        <v>0</v>
      </c>
      <c r="FO135" s="139">
        <f t="shared" si="159"/>
        <v>0</v>
      </c>
      <c r="FP135" s="139">
        <f t="shared" si="160"/>
        <v>0</v>
      </c>
      <c r="FQ135" s="139">
        <f t="shared" si="161"/>
        <v>0</v>
      </c>
      <c r="FR135" s="139">
        <f t="shared" si="162"/>
        <v>0</v>
      </c>
      <c r="FS135" s="139">
        <f t="shared" si="163"/>
        <v>0</v>
      </c>
      <c r="FT135" s="139">
        <f t="shared" si="164"/>
        <v>0</v>
      </c>
      <c r="FU135" s="148">
        <f t="shared" si="165"/>
        <v>0</v>
      </c>
      <c r="FV135" s="149"/>
      <c r="FY135" s="211">
        <v>130</v>
      </c>
      <c r="FZ135">
        <v>2.63609111976655</v>
      </c>
      <c r="GA135">
        <v>2.6888840477597524</v>
      </c>
      <c r="GB135">
        <v>0.26852315043053671</v>
      </c>
      <c r="GC135">
        <v>0.40042492589702305</v>
      </c>
      <c r="GD135">
        <v>0.26588400594808498</v>
      </c>
      <c r="GE135">
        <v>0.15502337532990002</v>
      </c>
      <c r="GF135">
        <v>0.20038102790324064</v>
      </c>
      <c r="GG135">
        <v>0.18920630708545313</v>
      </c>
      <c r="GH135">
        <v>0.11249442504775362</v>
      </c>
      <c r="GI135">
        <v>0.6609796714849081</v>
      </c>
      <c r="GJ135"/>
      <c r="GK135">
        <v>2.6273492647058823</v>
      </c>
      <c r="GL135">
        <v>2.2650992647058823</v>
      </c>
      <c r="GM135">
        <v>0.44044531249999996</v>
      </c>
      <c r="GN135">
        <v>1.1732703124999999</v>
      </c>
      <c r="GO135">
        <v>1.01154375</v>
      </c>
      <c r="GP135">
        <v>0.291375</v>
      </c>
      <c r="GQ135">
        <v>0.24196875000000001</v>
      </c>
      <c r="GR135">
        <v>0.26348958333333333</v>
      </c>
      <c r="GS135">
        <v>0.11895232371794871</v>
      </c>
      <c r="GT135">
        <v>0.88805188018476611</v>
      </c>
      <c r="GU135"/>
      <c r="GV135"/>
      <c r="GW135"/>
      <c r="GX135"/>
      <c r="GY135"/>
      <c r="GZ135"/>
      <c r="HA135"/>
      <c r="HB135"/>
      <c r="HC135"/>
    </row>
    <row r="136" spans="1:211" s="7" customFormat="1">
      <c r="A136" s="1"/>
      <c r="B136" s="76">
        <f t="shared" ca="1" si="132"/>
        <v>0.53450110355536928</v>
      </c>
      <c r="C136">
        <v>10</v>
      </c>
      <c r="D136">
        <v>39775</v>
      </c>
      <c r="E136">
        <v>0</v>
      </c>
      <c r="F136">
        <v>0</v>
      </c>
      <c r="G136">
        <v>31.25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 s="2"/>
      <c r="AK136" s="80"/>
      <c r="AL136" s="74"/>
      <c r="AM136" s="43">
        <v>120</v>
      </c>
      <c r="AN136">
        <v>46.333031815708445</v>
      </c>
      <c r="AO136">
        <v>0.94030168571577855</v>
      </c>
      <c r="AP136">
        <v>1.0522926591689343</v>
      </c>
      <c r="AQ136">
        <v>6.5029250406337953</v>
      </c>
      <c r="AR136">
        <v>0.87876120248637224</v>
      </c>
      <c r="AS136">
        <v>4.2484193369162586</v>
      </c>
      <c r="AT136" t="e">
        <v>#DIV/0!</v>
      </c>
      <c r="AU136" t="e">
        <v>#DIV/0!</v>
      </c>
      <c r="AV136"/>
      <c r="AW136"/>
      <c r="AX136" s="146"/>
      <c r="AY136" s="76">
        <f t="shared" ca="1" si="88"/>
        <v>0.11426188130108006</v>
      </c>
      <c r="AZ136">
        <v>9</v>
      </c>
      <c r="BA136" s="129">
        <f t="shared" si="167"/>
        <v>39775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 s="147"/>
      <c r="CH136" s="176"/>
      <c r="CJ136" s="146"/>
      <c r="CK136" s="76">
        <f t="shared" ca="1" si="90"/>
        <v>0.56697706655151681</v>
      </c>
      <c r="CL136" s="179">
        <f t="shared" si="91"/>
        <v>9</v>
      </c>
      <c r="CM136" s="180">
        <f t="shared" si="92"/>
        <v>39775</v>
      </c>
      <c r="CN136">
        <v>1</v>
      </c>
      <c r="CO136">
        <v>1</v>
      </c>
      <c r="CP136">
        <v>1</v>
      </c>
      <c r="CQ136">
        <v>0</v>
      </c>
      <c r="CR136">
        <v>0</v>
      </c>
      <c r="CS136">
        <v>0</v>
      </c>
      <c r="CT136">
        <v>0</v>
      </c>
      <c r="CU136">
        <v>0</v>
      </c>
      <c r="CV136" s="160"/>
      <c r="CW136">
        <v>1</v>
      </c>
      <c r="CX136">
        <v>1</v>
      </c>
      <c r="CY136" s="164"/>
      <c r="CZ136" s="177">
        <f t="shared" si="93"/>
        <v>9.6000000000000002E-2</v>
      </c>
      <c r="DB136" s="146"/>
      <c r="DC136" s="76">
        <f t="shared" ca="1" si="51"/>
        <v>0.28836847326373505</v>
      </c>
      <c r="DD136">
        <f t="shared" si="94"/>
        <v>9</v>
      </c>
      <c r="DE136" s="129">
        <f t="shared" si="166"/>
        <v>39775</v>
      </c>
      <c r="DF136" s="161">
        <f t="shared" si="95"/>
        <v>10.416666666666666</v>
      </c>
      <c r="DG136" s="161">
        <f t="shared" si="96"/>
        <v>10.416666666666666</v>
      </c>
      <c r="DH136" s="161">
        <f t="shared" si="97"/>
        <v>10.416666666666666</v>
      </c>
      <c r="DI136" s="161">
        <f t="shared" si="98"/>
        <v>0</v>
      </c>
      <c r="DJ136" s="161">
        <f t="shared" si="99"/>
        <v>0</v>
      </c>
      <c r="DK136" s="161">
        <f t="shared" si="100"/>
        <v>0</v>
      </c>
      <c r="DL136" s="161">
        <f t="shared" si="101"/>
        <v>0</v>
      </c>
      <c r="DM136" s="161">
        <f t="shared" si="102"/>
        <v>0</v>
      </c>
      <c r="DN136" s="161">
        <f t="shared" si="103"/>
        <v>0</v>
      </c>
      <c r="DO136" s="161">
        <f t="shared" si="104"/>
        <v>0</v>
      </c>
      <c r="DP136" s="161">
        <f t="shared" si="105"/>
        <v>0</v>
      </c>
      <c r="DQ136" s="161">
        <f t="shared" si="106"/>
        <v>0</v>
      </c>
      <c r="DR136" s="161">
        <f t="shared" si="107"/>
        <v>0</v>
      </c>
      <c r="DS136" s="161">
        <f t="shared" si="108"/>
        <v>0</v>
      </c>
      <c r="DT136" s="161">
        <f t="shared" si="109"/>
        <v>0</v>
      </c>
      <c r="DU136" s="161">
        <f t="shared" si="110"/>
        <v>0</v>
      </c>
      <c r="DV136" s="161">
        <f t="shared" si="111"/>
        <v>0</v>
      </c>
      <c r="DW136" s="161">
        <f t="shared" si="112"/>
        <v>0</v>
      </c>
      <c r="DX136" s="161">
        <f t="shared" si="113"/>
        <v>0</v>
      </c>
      <c r="DY136" s="161">
        <f t="shared" si="114"/>
        <v>0</v>
      </c>
      <c r="DZ136" s="161">
        <f t="shared" si="115"/>
        <v>0</v>
      </c>
      <c r="EA136" s="161">
        <f t="shared" si="116"/>
        <v>0</v>
      </c>
      <c r="EB136" s="161">
        <f t="shared" si="117"/>
        <v>0</v>
      </c>
      <c r="EC136" s="161">
        <f t="shared" si="118"/>
        <v>0</v>
      </c>
      <c r="ED136" s="161">
        <f t="shared" si="119"/>
        <v>0</v>
      </c>
      <c r="EE136" s="161">
        <f t="shared" si="120"/>
        <v>0</v>
      </c>
      <c r="EF136" s="161">
        <f t="shared" si="121"/>
        <v>0</v>
      </c>
      <c r="EG136" s="161">
        <f t="shared" si="122"/>
        <v>0</v>
      </c>
      <c r="EH136" s="161">
        <f t="shared" si="123"/>
        <v>0</v>
      </c>
      <c r="EI136" s="161">
        <f t="shared" si="124"/>
        <v>0</v>
      </c>
      <c r="EJ136" s="161">
        <f t="shared" si="125"/>
        <v>0</v>
      </c>
      <c r="EK136" s="147">
        <f t="shared" si="133"/>
        <v>31.25</v>
      </c>
      <c r="EL136" s="149"/>
      <c r="EN136" s="146"/>
      <c r="EO136" s="146"/>
      <c r="EP136" s="139">
        <f t="shared" si="134"/>
        <v>7.2187499999999988E-2</v>
      </c>
      <c r="EQ136" s="139">
        <f t="shared" si="135"/>
        <v>0.1809375</v>
      </c>
      <c r="ER136" s="139">
        <f t="shared" si="136"/>
        <v>0.39843749999999994</v>
      </c>
      <c r="ES136" s="139">
        <f t="shared" si="137"/>
        <v>0</v>
      </c>
      <c r="ET136" s="139">
        <f t="shared" si="138"/>
        <v>0</v>
      </c>
      <c r="EU136" s="139">
        <f t="shared" si="139"/>
        <v>0</v>
      </c>
      <c r="EV136" s="139">
        <f t="shared" si="140"/>
        <v>0</v>
      </c>
      <c r="EW136" s="139">
        <f t="shared" si="141"/>
        <v>0</v>
      </c>
      <c r="EX136" s="139">
        <f t="shared" si="142"/>
        <v>0</v>
      </c>
      <c r="EY136" s="139">
        <f t="shared" si="143"/>
        <v>0</v>
      </c>
      <c r="EZ136" s="139">
        <f t="shared" si="144"/>
        <v>0</v>
      </c>
      <c r="FA136" s="139">
        <f t="shared" si="145"/>
        <v>0</v>
      </c>
      <c r="FB136" s="139">
        <f t="shared" si="146"/>
        <v>0</v>
      </c>
      <c r="FC136" s="139">
        <f t="shared" si="147"/>
        <v>0</v>
      </c>
      <c r="FD136" s="139">
        <f t="shared" si="148"/>
        <v>0</v>
      </c>
      <c r="FE136" s="139">
        <f t="shared" si="149"/>
        <v>0</v>
      </c>
      <c r="FF136" s="139">
        <f t="shared" si="150"/>
        <v>0</v>
      </c>
      <c r="FG136" s="139">
        <f t="shared" si="151"/>
        <v>0</v>
      </c>
      <c r="FH136" s="139">
        <f t="shared" si="152"/>
        <v>0</v>
      </c>
      <c r="FI136" s="139">
        <f t="shared" si="153"/>
        <v>0</v>
      </c>
      <c r="FJ136" s="139">
        <f t="shared" si="154"/>
        <v>0</v>
      </c>
      <c r="FK136" s="139">
        <f t="shared" si="155"/>
        <v>0</v>
      </c>
      <c r="FL136" s="139">
        <f t="shared" si="156"/>
        <v>0</v>
      </c>
      <c r="FM136" s="139">
        <f t="shared" si="157"/>
        <v>0</v>
      </c>
      <c r="FN136" s="139">
        <f t="shared" si="158"/>
        <v>0</v>
      </c>
      <c r="FO136" s="139">
        <f t="shared" si="159"/>
        <v>0</v>
      </c>
      <c r="FP136" s="139">
        <f t="shared" si="160"/>
        <v>0</v>
      </c>
      <c r="FQ136" s="139">
        <f t="shared" si="161"/>
        <v>0</v>
      </c>
      <c r="FR136" s="139">
        <f t="shared" si="162"/>
        <v>0</v>
      </c>
      <c r="FS136" s="139">
        <f t="shared" si="163"/>
        <v>0</v>
      </c>
      <c r="FT136" s="139">
        <f t="shared" si="164"/>
        <v>0</v>
      </c>
      <c r="FU136" s="148">
        <f t="shared" si="165"/>
        <v>0.65156249999999993</v>
      </c>
      <c r="FV136" s="149"/>
      <c r="FY136" s="211">
        <v>131</v>
      </c>
      <c r="FZ136">
        <v>0.65941831142777518</v>
      </c>
      <c r="GA136">
        <v>1.3138097364195371</v>
      </c>
      <c r="GB136">
        <v>1.0373961059170276</v>
      </c>
      <c r="GC136">
        <v>0.4954563389305463</v>
      </c>
      <c r="GD136">
        <v>0.13969289198033677</v>
      </c>
      <c r="GE136">
        <v>0.13382624751052499</v>
      </c>
      <c r="GF136">
        <v>0.6538214796159032</v>
      </c>
      <c r="GG136">
        <v>0.56679095143493796</v>
      </c>
      <c r="GH136">
        <v>4.5971471670847357E-2</v>
      </c>
      <c r="GI136">
        <v>0.55520091464600085</v>
      </c>
      <c r="GJ136"/>
      <c r="GK136">
        <v>0.65702812499999985</v>
      </c>
      <c r="GL136">
        <v>1.10652421875</v>
      </c>
      <c r="GM136">
        <v>1.7032212357954544</v>
      </c>
      <c r="GN136">
        <v>1.454344784902597</v>
      </c>
      <c r="GO136">
        <v>0.53188526785714285</v>
      </c>
      <c r="GP136">
        <v>0.25157812499999999</v>
      </c>
      <c r="GQ136">
        <v>0.78903260869565206</v>
      </c>
      <c r="GR136">
        <v>0.78903260869565206</v>
      </c>
      <c r="GS136">
        <v>4.8587740384615385E-2</v>
      </c>
      <c r="GT136">
        <v>0.74595099554657285</v>
      </c>
      <c r="GU136"/>
      <c r="GV136"/>
      <c r="GW136"/>
      <c r="GX136"/>
      <c r="GY136"/>
      <c r="GZ136"/>
      <c r="HA136"/>
      <c r="HB136"/>
      <c r="HC136"/>
    </row>
    <row r="137" spans="1:211" s="7" customFormat="1">
      <c r="A137" s="1"/>
      <c r="B137" s="76">
        <f t="shared" ca="1" si="132"/>
        <v>0.5430158438115309</v>
      </c>
      <c r="C137">
        <v>7</v>
      </c>
      <c r="D137">
        <v>39775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 s="2"/>
      <c r="AK137" s="80"/>
      <c r="AL137" s="74"/>
      <c r="AM137" s="43">
        <v>121</v>
      </c>
      <c r="AN137">
        <v>50.385951116557727</v>
      </c>
      <c r="AO137">
        <v>1.2023101106004901</v>
      </c>
      <c r="AP137">
        <v>2.0583974924482922</v>
      </c>
      <c r="AQ137">
        <v>10.913280876828741</v>
      </c>
      <c r="AR137">
        <v>1.1074978278186274</v>
      </c>
      <c r="AS137">
        <v>3.6137716850809491</v>
      </c>
      <c r="AT137" t="e">
        <v>#DIV/0!</v>
      </c>
      <c r="AU137" t="e">
        <v>#DIV/0!</v>
      </c>
      <c r="AV137"/>
      <c r="AW137"/>
      <c r="AX137" s="146"/>
      <c r="AY137" s="76">
        <f t="shared" ca="1" si="88"/>
        <v>0.16137033463329753</v>
      </c>
      <c r="AZ137">
        <v>10</v>
      </c>
      <c r="BA137" s="129">
        <f t="shared" si="167"/>
        <v>39775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 s="147"/>
      <c r="CH137" s="176"/>
      <c r="CJ137" s="146"/>
      <c r="CK137" s="76">
        <f t="shared" ca="1" si="90"/>
        <v>0.75674875312842649</v>
      </c>
      <c r="CL137" s="179">
        <f t="shared" si="91"/>
        <v>10</v>
      </c>
      <c r="CM137" s="180">
        <f t="shared" si="92"/>
        <v>39775</v>
      </c>
      <c r="CN137">
        <v>0</v>
      </c>
      <c r="CO137">
        <v>0</v>
      </c>
      <c r="CP137">
        <v>3</v>
      </c>
      <c r="CQ137">
        <v>0</v>
      </c>
      <c r="CR137">
        <v>0</v>
      </c>
      <c r="CS137">
        <v>0</v>
      </c>
      <c r="CT137">
        <v>0</v>
      </c>
      <c r="CU137">
        <v>0</v>
      </c>
      <c r="CV137" s="160"/>
      <c r="CW137">
        <v>1</v>
      </c>
      <c r="CX137">
        <v>1</v>
      </c>
      <c r="CY137" s="164"/>
      <c r="CZ137" s="177">
        <f t="shared" si="93"/>
        <v>9.6000000000000002E-2</v>
      </c>
      <c r="DB137" s="146"/>
      <c r="DC137" s="76">
        <f t="shared" ca="1" si="51"/>
        <v>0.3113141724365287</v>
      </c>
      <c r="DD137">
        <f t="shared" si="94"/>
        <v>10</v>
      </c>
      <c r="DE137" s="129">
        <f t="shared" si="166"/>
        <v>39775</v>
      </c>
      <c r="DF137" s="161">
        <f t="shared" si="95"/>
        <v>0</v>
      </c>
      <c r="DG137" s="161">
        <f t="shared" si="96"/>
        <v>0</v>
      </c>
      <c r="DH137" s="161">
        <f t="shared" si="97"/>
        <v>31.25</v>
      </c>
      <c r="DI137" s="161">
        <f t="shared" si="98"/>
        <v>0</v>
      </c>
      <c r="DJ137" s="161">
        <f t="shared" si="99"/>
        <v>0</v>
      </c>
      <c r="DK137" s="161">
        <f t="shared" si="100"/>
        <v>0</v>
      </c>
      <c r="DL137" s="161">
        <f t="shared" si="101"/>
        <v>0</v>
      </c>
      <c r="DM137" s="161">
        <f t="shared" si="102"/>
        <v>0</v>
      </c>
      <c r="DN137" s="161">
        <f t="shared" si="103"/>
        <v>0</v>
      </c>
      <c r="DO137" s="161">
        <f t="shared" si="104"/>
        <v>0</v>
      </c>
      <c r="DP137" s="161">
        <f t="shared" si="105"/>
        <v>0</v>
      </c>
      <c r="DQ137" s="161">
        <f t="shared" si="106"/>
        <v>0</v>
      </c>
      <c r="DR137" s="161">
        <f t="shared" si="107"/>
        <v>0</v>
      </c>
      <c r="DS137" s="161">
        <f t="shared" si="108"/>
        <v>0</v>
      </c>
      <c r="DT137" s="161">
        <f t="shared" si="109"/>
        <v>0</v>
      </c>
      <c r="DU137" s="161">
        <f t="shared" si="110"/>
        <v>0</v>
      </c>
      <c r="DV137" s="161">
        <f t="shared" si="111"/>
        <v>0</v>
      </c>
      <c r="DW137" s="161">
        <f t="shared" si="112"/>
        <v>0</v>
      </c>
      <c r="DX137" s="161">
        <f t="shared" si="113"/>
        <v>0</v>
      </c>
      <c r="DY137" s="161">
        <f t="shared" si="114"/>
        <v>0</v>
      </c>
      <c r="DZ137" s="161">
        <f t="shared" si="115"/>
        <v>0</v>
      </c>
      <c r="EA137" s="161">
        <f t="shared" si="116"/>
        <v>0</v>
      </c>
      <c r="EB137" s="161">
        <f t="shared" si="117"/>
        <v>0</v>
      </c>
      <c r="EC137" s="161">
        <f t="shared" si="118"/>
        <v>0</v>
      </c>
      <c r="ED137" s="161">
        <f t="shared" si="119"/>
        <v>0</v>
      </c>
      <c r="EE137" s="161">
        <f t="shared" si="120"/>
        <v>0</v>
      </c>
      <c r="EF137" s="161">
        <f t="shared" si="121"/>
        <v>0</v>
      </c>
      <c r="EG137" s="161">
        <f t="shared" si="122"/>
        <v>0</v>
      </c>
      <c r="EH137" s="161">
        <f t="shared" si="123"/>
        <v>0</v>
      </c>
      <c r="EI137" s="161">
        <f t="shared" si="124"/>
        <v>0</v>
      </c>
      <c r="EJ137" s="161">
        <f t="shared" si="125"/>
        <v>0</v>
      </c>
      <c r="EK137" s="147">
        <f t="shared" si="133"/>
        <v>31.25</v>
      </c>
      <c r="EL137" s="149"/>
      <c r="EN137" s="146"/>
      <c r="EO137" s="146"/>
      <c r="EP137" s="139">
        <f t="shared" si="134"/>
        <v>0</v>
      </c>
      <c r="EQ137" s="139">
        <f t="shared" si="135"/>
        <v>0</v>
      </c>
      <c r="ER137" s="139">
        <f t="shared" si="136"/>
        <v>1.1953125</v>
      </c>
      <c r="ES137" s="139">
        <f t="shared" si="137"/>
        <v>0</v>
      </c>
      <c r="ET137" s="139">
        <f t="shared" si="138"/>
        <v>0</v>
      </c>
      <c r="EU137" s="139">
        <f t="shared" si="139"/>
        <v>0</v>
      </c>
      <c r="EV137" s="139">
        <f t="shared" si="140"/>
        <v>0</v>
      </c>
      <c r="EW137" s="139">
        <f t="shared" si="141"/>
        <v>0</v>
      </c>
      <c r="EX137" s="139">
        <f t="shared" si="142"/>
        <v>0</v>
      </c>
      <c r="EY137" s="139">
        <f t="shared" si="143"/>
        <v>0</v>
      </c>
      <c r="EZ137" s="139">
        <f t="shared" si="144"/>
        <v>0</v>
      </c>
      <c r="FA137" s="139">
        <f t="shared" si="145"/>
        <v>0</v>
      </c>
      <c r="FB137" s="139">
        <f t="shared" si="146"/>
        <v>0</v>
      </c>
      <c r="FC137" s="139">
        <f t="shared" si="147"/>
        <v>0</v>
      </c>
      <c r="FD137" s="139">
        <f t="shared" si="148"/>
        <v>0</v>
      </c>
      <c r="FE137" s="139">
        <f t="shared" si="149"/>
        <v>0</v>
      </c>
      <c r="FF137" s="139">
        <f t="shared" si="150"/>
        <v>0</v>
      </c>
      <c r="FG137" s="139">
        <f t="shared" si="151"/>
        <v>0</v>
      </c>
      <c r="FH137" s="139">
        <f t="shared" si="152"/>
        <v>0</v>
      </c>
      <c r="FI137" s="139">
        <f t="shared" si="153"/>
        <v>0</v>
      </c>
      <c r="FJ137" s="139">
        <f t="shared" si="154"/>
        <v>0</v>
      </c>
      <c r="FK137" s="139">
        <f t="shared" si="155"/>
        <v>0</v>
      </c>
      <c r="FL137" s="139">
        <f t="shared" si="156"/>
        <v>0</v>
      </c>
      <c r="FM137" s="139">
        <f t="shared" si="157"/>
        <v>0</v>
      </c>
      <c r="FN137" s="139">
        <f t="shared" si="158"/>
        <v>0</v>
      </c>
      <c r="FO137" s="139">
        <f t="shared" si="159"/>
        <v>0</v>
      </c>
      <c r="FP137" s="139">
        <f t="shared" si="160"/>
        <v>0</v>
      </c>
      <c r="FQ137" s="139">
        <f t="shared" si="161"/>
        <v>0</v>
      </c>
      <c r="FR137" s="139">
        <f t="shared" si="162"/>
        <v>0</v>
      </c>
      <c r="FS137" s="139">
        <f t="shared" si="163"/>
        <v>0</v>
      </c>
      <c r="FT137" s="139">
        <f t="shared" si="164"/>
        <v>0</v>
      </c>
      <c r="FU137" s="148">
        <f t="shared" si="165"/>
        <v>1.1953125</v>
      </c>
      <c r="FV137" s="149"/>
      <c r="FY137" s="211">
        <v>132</v>
      </c>
      <c r="FZ137">
        <v>1.6157182507406946</v>
      </c>
      <c r="GA137">
        <v>2.1436614405920964</v>
      </c>
      <c r="GB137">
        <v>0.79850758250452492</v>
      </c>
      <c r="GC137">
        <v>0.43044170364387324</v>
      </c>
      <c r="GD137">
        <v>9.2566940357153571E-2</v>
      </c>
      <c r="GE137">
        <v>4.5232633126125001E-2</v>
      </c>
      <c r="GF137">
        <v>0.6538214796159032</v>
      </c>
      <c r="GG137">
        <v>0.61737285987307855</v>
      </c>
      <c r="GH137">
        <v>8.9508689212329934E-2</v>
      </c>
      <c r="GI137">
        <v>0.61881748342519716</v>
      </c>
      <c r="GJ137"/>
      <c r="GK137">
        <v>1.6103474264705879</v>
      </c>
      <c r="GL137">
        <v>1.8059099264705882</v>
      </c>
      <c r="GM137">
        <v>1.3110454545454546</v>
      </c>
      <c r="GN137">
        <v>1.2633066152597401</v>
      </c>
      <c r="GO137">
        <v>0.35243303571428575</v>
      </c>
      <c r="GP137">
        <v>8.5078125000000004E-2</v>
      </c>
      <c r="GQ137">
        <v>0.78903260869565206</v>
      </c>
      <c r="GR137">
        <v>0.85939719202898535</v>
      </c>
      <c r="GS137">
        <v>9.465845352564102E-2</v>
      </c>
      <c r="GT137">
        <v>0.8315033957903244</v>
      </c>
      <c r="GU137"/>
      <c r="GV137"/>
      <c r="GW137"/>
      <c r="GX137"/>
      <c r="GY137"/>
      <c r="GZ137"/>
      <c r="HA137"/>
      <c r="HB137"/>
      <c r="HC137"/>
    </row>
    <row r="138" spans="1:211" s="7" customFormat="1">
      <c r="A138" s="128"/>
      <c r="B138" s="76">
        <f t="shared" ca="1" si="132"/>
        <v>0.58159887167308821</v>
      </c>
      <c r="C138">
        <v>6</v>
      </c>
      <c r="D138">
        <v>39799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 s="2"/>
      <c r="AK138" s="80"/>
      <c r="AL138" s="74"/>
      <c r="AM138" s="43">
        <v>122</v>
      </c>
      <c r="AN138">
        <v>42.226833943118308</v>
      </c>
      <c r="AO138">
        <v>1.0982755835331415</v>
      </c>
      <c r="AP138">
        <v>8.6292201733791245</v>
      </c>
      <c r="AQ138">
        <v>7.8007665774340529</v>
      </c>
      <c r="AR138">
        <v>1.0165431441210373</v>
      </c>
      <c r="AS138">
        <v>3.3786572913652195</v>
      </c>
      <c r="AT138" t="e">
        <v>#DIV/0!</v>
      </c>
      <c r="AU138" t="e">
        <v>#DIV/0!</v>
      </c>
      <c r="AV138"/>
      <c r="AW138"/>
      <c r="AX138" s="128"/>
      <c r="AY138" s="76">
        <f t="shared" ca="1" si="88"/>
        <v>0.63354155017897984</v>
      </c>
      <c r="AZ138">
        <v>1</v>
      </c>
      <c r="BA138" s="129">
        <f>IF(AZ138="", "",$C$9)</f>
        <v>39799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 s="147"/>
      <c r="CH138" s="176"/>
      <c r="CJ138" s="128"/>
      <c r="CK138" s="76">
        <f t="shared" ca="1" si="90"/>
        <v>0.88658152629483666</v>
      </c>
      <c r="CL138" s="179">
        <f t="shared" si="91"/>
        <v>1</v>
      </c>
      <c r="CM138" s="180">
        <f t="shared" si="92"/>
        <v>39799</v>
      </c>
      <c r="CN138">
        <v>0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 s="160"/>
      <c r="CW138">
        <v>1</v>
      </c>
      <c r="CX138">
        <v>8</v>
      </c>
      <c r="CY138" s="160"/>
      <c r="CZ138" s="177">
        <f t="shared" si="93"/>
        <v>9.6000000000000002E-2</v>
      </c>
      <c r="DB138" s="128"/>
      <c r="DC138" s="76">
        <f t="shared" ca="1" si="51"/>
        <v>0.70500020197784607</v>
      </c>
      <c r="DD138">
        <f t="shared" si="94"/>
        <v>1</v>
      </c>
      <c r="DE138" s="129">
        <f t="shared" ref="DE138:DE147" si="168">IF((DD138)="","",$C$9)</f>
        <v>39799</v>
      </c>
      <c r="DF138" s="161">
        <f t="shared" si="95"/>
        <v>0</v>
      </c>
      <c r="DG138" s="161">
        <f t="shared" si="96"/>
        <v>83.333333333333329</v>
      </c>
      <c r="DH138" s="161">
        <f t="shared" si="97"/>
        <v>0</v>
      </c>
      <c r="DI138" s="161">
        <f t="shared" si="98"/>
        <v>0</v>
      </c>
      <c r="DJ138" s="161">
        <f t="shared" si="99"/>
        <v>0</v>
      </c>
      <c r="DK138" s="161">
        <f t="shared" si="100"/>
        <v>0</v>
      </c>
      <c r="DL138" s="161">
        <f t="shared" si="101"/>
        <v>0</v>
      </c>
      <c r="DM138" s="161">
        <f t="shared" si="102"/>
        <v>0</v>
      </c>
      <c r="DN138" s="161">
        <f t="shared" si="103"/>
        <v>0</v>
      </c>
      <c r="DO138" s="161">
        <f t="shared" si="104"/>
        <v>0</v>
      </c>
      <c r="DP138" s="161">
        <f t="shared" si="105"/>
        <v>0</v>
      </c>
      <c r="DQ138" s="161">
        <f t="shared" si="106"/>
        <v>0</v>
      </c>
      <c r="DR138" s="161">
        <f t="shared" si="107"/>
        <v>0</v>
      </c>
      <c r="DS138" s="161">
        <f t="shared" si="108"/>
        <v>0</v>
      </c>
      <c r="DT138" s="161">
        <f t="shared" si="109"/>
        <v>0</v>
      </c>
      <c r="DU138" s="161">
        <f t="shared" si="110"/>
        <v>0</v>
      </c>
      <c r="DV138" s="161">
        <f t="shared" si="111"/>
        <v>0</v>
      </c>
      <c r="DW138" s="161">
        <f t="shared" si="112"/>
        <v>0</v>
      </c>
      <c r="DX138" s="161">
        <f t="shared" si="113"/>
        <v>0</v>
      </c>
      <c r="DY138" s="161">
        <f t="shared" si="114"/>
        <v>0</v>
      </c>
      <c r="DZ138" s="161">
        <f t="shared" si="115"/>
        <v>0</v>
      </c>
      <c r="EA138" s="161">
        <f t="shared" si="116"/>
        <v>0</v>
      </c>
      <c r="EB138" s="161">
        <f t="shared" si="117"/>
        <v>0</v>
      </c>
      <c r="EC138" s="161">
        <f t="shared" si="118"/>
        <v>0</v>
      </c>
      <c r="ED138" s="161">
        <f t="shared" si="119"/>
        <v>0</v>
      </c>
      <c r="EE138" s="161">
        <f t="shared" si="120"/>
        <v>0</v>
      </c>
      <c r="EF138" s="161">
        <f t="shared" si="121"/>
        <v>0</v>
      </c>
      <c r="EG138" s="161">
        <f t="shared" si="122"/>
        <v>0</v>
      </c>
      <c r="EH138" s="161">
        <f t="shared" si="123"/>
        <v>0</v>
      </c>
      <c r="EI138" s="161">
        <f t="shared" si="124"/>
        <v>0</v>
      </c>
      <c r="EJ138" s="161">
        <f t="shared" si="125"/>
        <v>0</v>
      </c>
      <c r="EK138" s="147">
        <f t="shared" si="133"/>
        <v>83.333333333333329</v>
      </c>
      <c r="EL138" s="149"/>
      <c r="EN138" s="146"/>
      <c r="EO138" s="146"/>
      <c r="EP138" s="139">
        <f t="shared" si="134"/>
        <v>0</v>
      </c>
      <c r="EQ138" s="139">
        <f t="shared" si="135"/>
        <v>1.4475</v>
      </c>
      <c r="ER138" s="139">
        <f t="shared" si="136"/>
        <v>0</v>
      </c>
      <c r="ES138" s="139">
        <f t="shared" si="137"/>
        <v>0</v>
      </c>
      <c r="ET138" s="139">
        <f t="shared" si="138"/>
        <v>0</v>
      </c>
      <c r="EU138" s="139">
        <f t="shared" si="139"/>
        <v>0</v>
      </c>
      <c r="EV138" s="139">
        <f t="shared" si="140"/>
        <v>0</v>
      </c>
      <c r="EW138" s="139">
        <f t="shared" si="141"/>
        <v>0</v>
      </c>
      <c r="EX138" s="139">
        <f t="shared" si="142"/>
        <v>0</v>
      </c>
      <c r="EY138" s="139">
        <f t="shared" si="143"/>
        <v>0</v>
      </c>
      <c r="EZ138" s="139">
        <f t="shared" si="144"/>
        <v>0</v>
      </c>
      <c r="FA138" s="139">
        <f t="shared" si="145"/>
        <v>0</v>
      </c>
      <c r="FB138" s="139">
        <f t="shared" si="146"/>
        <v>0</v>
      </c>
      <c r="FC138" s="139">
        <f t="shared" si="147"/>
        <v>0</v>
      </c>
      <c r="FD138" s="139">
        <f t="shared" si="148"/>
        <v>0</v>
      </c>
      <c r="FE138" s="139">
        <f t="shared" si="149"/>
        <v>0</v>
      </c>
      <c r="FF138" s="139">
        <f t="shared" si="150"/>
        <v>0</v>
      </c>
      <c r="FG138" s="139">
        <f t="shared" si="151"/>
        <v>0</v>
      </c>
      <c r="FH138" s="139">
        <f t="shared" si="152"/>
        <v>0</v>
      </c>
      <c r="FI138" s="139">
        <f t="shared" si="153"/>
        <v>0</v>
      </c>
      <c r="FJ138" s="139">
        <f t="shared" si="154"/>
        <v>0</v>
      </c>
      <c r="FK138" s="139">
        <f t="shared" si="155"/>
        <v>0</v>
      </c>
      <c r="FL138" s="139">
        <f t="shared" si="156"/>
        <v>0</v>
      </c>
      <c r="FM138" s="139">
        <f t="shared" si="157"/>
        <v>0</v>
      </c>
      <c r="FN138" s="139">
        <f t="shared" si="158"/>
        <v>0</v>
      </c>
      <c r="FO138" s="139">
        <f t="shared" si="159"/>
        <v>0</v>
      </c>
      <c r="FP138" s="139">
        <f t="shared" si="160"/>
        <v>0</v>
      </c>
      <c r="FQ138" s="139">
        <f t="shared" si="161"/>
        <v>0</v>
      </c>
      <c r="FR138" s="139">
        <f t="shared" si="162"/>
        <v>0</v>
      </c>
      <c r="FS138" s="139">
        <f t="shared" si="163"/>
        <v>0</v>
      </c>
      <c r="FT138" s="139">
        <f t="shared" si="164"/>
        <v>0</v>
      </c>
      <c r="FU138" s="148">
        <f t="shared" si="165"/>
        <v>1.4475</v>
      </c>
      <c r="FV138" s="149"/>
      <c r="FY138" s="211">
        <v>133</v>
      </c>
      <c r="FZ138">
        <v>0.96956011942849152</v>
      </c>
      <c r="GA138">
        <v>1.4663267377167999</v>
      </c>
      <c r="GB138">
        <v>0.8215084431897397</v>
      </c>
      <c r="GC138">
        <v>0.55509381298595073</v>
      </c>
      <c r="GD138">
        <v>0.20509375947236994</v>
      </c>
      <c r="GE138">
        <v>0.14260315295519999</v>
      </c>
      <c r="GF138">
        <v>0.65603593876980326</v>
      </c>
      <c r="GG138">
        <v>0.47874846122576609</v>
      </c>
      <c r="GH138">
        <v>8.9508689212329934E-2</v>
      </c>
      <c r="GI138">
        <v>0.59264223647032599</v>
      </c>
      <c r="GJ138"/>
      <c r="GK138">
        <v>0.96626433823529401</v>
      </c>
      <c r="GL138">
        <v>1.2350690257352941</v>
      </c>
      <c r="GM138">
        <v>1.3487407670454545</v>
      </c>
      <c r="GN138">
        <v>1.6279610795454542</v>
      </c>
      <c r="GO138">
        <v>0.77977499999999988</v>
      </c>
      <c r="GP138">
        <v>0.26774999999999999</v>
      </c>
      <c r="GQ138">
        <v>0.79128260869565215</v>
      </c>
      <c r="GR138">
        <v>0.66627219202898535</v>
      </c>
      <c r="GS138">
        <v>9.465845352564102E-2</v>
      </c>
      <c r="GT138">
        <v>0.7961442335004083</v>
      </c>
      <c r="GU138"/>
      <c r="GV138"/>
      <c r="GW138"/>
      <c r="GX138"/>
      <c r="GY138"/>
      <c r="GZ138"/>
      <c r="HA138"/>
      <c r="HB138"/>
      <c r="HC138"/>
    </row>
    <row r="139" spans="1:211" s="7" customFormat="1">
      <c r="A139" s="1"/>
      <c r="B139" s="76">
        <f t="shared" ca="1" si="132"/>
        <v>0.14385918315472601</v>
      </c>
      <c r="C139">
        <v>5</v>
      </c>
      <c r="D139">
        <v>39799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 s="2"/>
      <c r="AK139" s="80"/>
      <c r="AL139" s="74"/>
      <c r="AM139" s="43">
        <v>123</v>
      </c>
      <c r="AN139">
        <v>36.659939021827597</v>
      </c>
      <c r="AO139">
        <v>0.8929200638860687</v>
      </c>
      <c r="AP139">
        <v>1.2330838821849137</v>
      </c>
      <c r="AQ139">
        <v>5.5880996590679519</v>
      </c>
      <c r="AR139">
        <v>0.83568700082299952</v>
      </c>
      <c r="AS139">
        <v>3.1960905635671</v>
      </c>
      <c r="AT139">
        <v>0.59588855923517092</v>
      </c>
      <c r="AU139">
        <v>0.18727630545304619</v>
      </c>
      <c r="AV139"/>
      <c r="AW139"/>
      <c r="AX139" s="146"/>
      <c r="AY139" s="76">
        <f t="shared" ca="1" si="88"/>
        <v>0.47612217530556666</v>
      </c>
      <c r="AZ139">
        <v>2</v>
      </c>
      <c r="BA139" s="129">
        <f t="shared" ref="BA139:BA147" si="169">IF(AZ139="", "",$C$9)</f>
        <v>39799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 s="147"/>
      <c r="CH139" s="176"/>
      <c r="CJ139" s="146"/>
      <c r="CK139" s="76">
        <f t="shared" ca="1" si="90"/>
        <v>0.30747755691831724</v>
      </c>
      <c r="CL139" s="179">
        <f t="shared" si="91"/>
        <v>2</v>
      </c>
      <c r="CM139" s="180">
        <f t="shared" si="92"/>
        <v>39799</v>
      </c>
      <c r="CN139">
        <v>0</v>
      </c>
      <c r="CO139">
        <v>5</v>
      </c>
      <c r="CP139">
        <v>2</v>
      </c>
      <c r="CQ139">
        <v>0</v>
      </c>
      <c r="CR139">
        <v>0</v>
      </c>
      <c r="CS139">
        <v>0</v>
      </c>
      <c r="CT139">
        <v>0</v>
      </c>
      <c r="CU139">
        <v>0</v>
      </c>
      <c r="CV139" s="160"/>
      <c r="CW139">
        <v>1</v>
      </c>
      <c r="CX139">
        <v>1</v>
      </c>
      <c r="CY139" s="160"/>
      <c r="CZ139" s="177">
        <f t="shared" si="93"/>
        <v>9.6000000000000002E-2</v>
      </c>
      <c r="DB139" s="146"/>
      <c r="DC139" s="76">
        <f t="shared" ca="1" si="51"/>
        <v>0.30329710936804832</v>
      </c>
      <c r="DD139">
        <f t="shared" si="94"/>
        <v>2</v>
      </c>
      <c r="DE139" s="129">
        <f t="shared" si="168"/>
        <v>39799</v>
      </c>
      <c r="DF139" s="161">
        <f t="shared" si="95"/>
        <v>0</v>
      </c>
      <c r="DG139" s="161">
        <f t="shared" si="96"/>
        <v>52.083333333333336</v>
      </c>
      <c r="DH139" s="161">
        <f t="shared" si="97"/>
        <v>20.833333333333332</v>
      </c>
      <c r="DI139" s="161">
        <f t="shared" si="98"/>
        <v>0</v>
      </c>
      <c r="DJ139" s="161">
        <f t="shared" si="99"/>
        <v>0</v>
      </c>
      <c r="DK139" s="161">
        <f t="shared" si="100"/>
        <v>0</v>
      </c>
      <c r="DL139" s="161">
        <f t="shared" si="101"/>
        <v>0</v>
      </c>
      <c r="DM139" s="161">
        <f t="shared" si="102"/>
        <v>0</v>
      </c>
      <c r="DN139" s="161">
        <f t="shared" si="103"/>
        <v>0</v>
      </c>
      <c r="DO139" s="161">
        <f t="shared" si="104"/>
        <v>0</v>
      </c>
      <c r="DP139" s="161">
        <f t="shared" si="105"/>
        <v>0</v>
      </c>
      <c r="DQ139" s="161">
        <f t="shared" si="106"/>
        <v>0</v>
      </c>
      <c r="DR139" s="161">
        <f t="shared" si="107"/>
        <v>0</v>
      </c>
      <c r="DS139" s="161">
        <f t="shared" si="108"/>
        <v>0</v>
      </c>
      <c r="DT139" s="161">
        <f t="shared" si="109"/>
        <v>0</v>
      </c>
      <c r="DU139" s="161">
        <f t="shared" si="110"/>
        <v>0</v>
      </c>
      <c r="DV139" s="161">
        <f t="shared" si="111"/>
        <v>0</v>
      </c>
      <c r="DW139" s="161">
        <f t="shared" si="112"/>
        <v>0</v>
      </c>
      <c r="DX139" s="161">
        <f t="shared" si="113"/>
        <v>0</v>
      </c>
      <c r="DY139" s="161">
        <f t="shared" si="114"/>
        <v>0</v>
      </c>
      <c r="DZ139" s="161">
        <f t="shared" si="115"/>
        <v>0</v>
      </c>
      <c r="EA139" s="161">
        <f t="shared" si="116"/>
        <v>0</v>
      </c>
      <c r="EB139" s="161">
        <f t="shared" si="117"/>
        <v>0</v>
      </c>
      <c r="EC139" s="161">
        <f t="shared" si="118"/>
        <v>0</v>
      </c>
      <c r="ED139" s="161">
        <f t="shared" si="119"/>
        <v>0</v>
      </c>
      <c r="EE139" s="161">
        <f t="shared" si="120"/>
        <v>0</v>
      </c>
      <c r="EF139" s="161">
        <f t="shared" si="121"/>
        <v>0</v>
      </c>
      <c r="EG139" s="161">
        <f t="shared" si="122"/>
        <v>0</v>
      </c>
      <c r="EH139" s="161">
        <f t="shared" si="123"/>
        <v>0</v>
      </c>
      <c r="EI139" s="161">
        <f t="shared" si="124"/>
        <v>0</v>
      </c>
      <c r="EJ139" s="161">
        <f t="shared" si="125"/>
        <v>0</v>
      </c>
      <c r="EK139" s="147">
        <f t="shared" si="133"/>
        <v>72.916666666666671</v>
      </c>
      <c r="EL139" s="149"/>
      <c r="EN139" s="146"/>
      <c r="EO139" s="146"/>
      <c r="EP139" s="139">
        <f t="shared" si="134"/>
        <v>0</v>
      </c>
      <c r="EQ139" s="139">
        <f t="shared" si="135"/>
        <v>0.90468750000000009</v>
      </c>
      <c r="ER139" s="139">
        <f t="shared" si="136"/>
        <v>0.79687499999999989</v>
      </c>
      <c r="ES139" s="139">
        <f t="shared" si="137"/>
        <v>0</v>
      </c>
      <c r="ET139" s="139">
        <f t="shared" si="138"/>
        <v>0</v>
      </c>
      <c r="EU139" s="139">
        <f t="shared" si="139"/>
        <v>0</v>
      </c>
      <c r="EV139" s="139">
        <f t="shared" si="140"/>
        <v>0</v>
      </c>
      <c r="EW139" s="139">
        <f t="shared" si="141"/>
        <v>0</v>
      </c>
      <c r="EX139" s="139">
        <f t="shared" si="142"/>
        <v>0</v>
      </c>
      <c r="EY139" s="139">
        <f t="shared" si="143"/>
        <v>0</v>
      </c>
      <c r="EZ139" s="139">
        <f t="shared" si="144"/>
        <v>0</v>
      </c>
      <c r="FA139" s="139">
        <f t="shared" si="145"/>
        <v>0</v>
      </c>
      <c r="FB139" s="139">
        <f t="shared" si="146"/>
        <v>0</v>
      </c>
      <c r="FC139" s="139">
        <f t="shared" si="147"/>
        <v>0</v>
      </c>
      <c r="FD139" s="139">
        <f t="shared" si="148"/>
        <v>0</v>
      </c>
      <c r="FE139" s="139">
        <f t="shared" si="149"/>
        <v>0</v>
      </c>
      <c r="FF139" s="139">
        <f t="shared" si="150"/>
        <v>0</v>
      </c>
      <c r="FG139" s="139">
        <f t="shared" si="151"/>
        <v>0</v>
      </c>
      <c r="FH139" s="139">
        <f t="shared" si="152"/>
        <v>0</v>
      </c>
      <c r="FI139" s="139">
        <f t="shared" si="153"/>
        <v>0</v>
      </c>
      <c r="FJ139" s="139">
        <f t="shared" si="154"/>
        <v>0</v>
      </c>
      <c r="FK139" s="139">
        <f t="shared" si="155"/>
        <v>0</v>
      </c>
      <c r="FL139" s="139">
        <f t="shared" si="156"/>
        <v>0</v>
      </c>
      <c r="FM139" s="139">
        <f t="shared" si="157"/>
        <v>0</v>
      </c>
      <c r="FN139" s="139">
        <f t="shared" si="158"/>
        <v>0</v>
      </c>
      <c r="FO139" s="139">
        <f t="shared" si="159"/>
        <v>0</v>
      </c>
      <c r="FP139" s="139">
        <f t="shared" si="160"/>
        <v>0</v>
      </c>
      <c r="FQ139" s="139">
        <f t="shared" si="161"/>
        <v>0</v>
      </c>
      <c r="FR139" s="139">
        <f t="shared" si="162"/>
        <v>0</v>
      </c>
      <c r="FS139" s="139">
        <f t="shared" si="163"/>
        <v>0</v>
      </c>
      <c r="FT139" s="139">
        <f t="shared" si="164"/>
        <v>0</v>
      </c>
      <c r="FU139" s="148">
        <f t="shared" si="165"/>
        <v>1.7015625000000001</v>
      </c>
      <c r="FV139" s="149"/>
      <c r="FY139" s="211">
        <v>134</v>
      </c>
      <c r="FZ139">
        <v>1.292919558044912</v>
      </c>
      <c r="GA139">
        <v>2.3917021157375435</v>
      </c>
      <c r="GB139">
        <v>0.66963459008709147</v>
      </c>
      <c r="GC139">
        <v>0.56505870841182182</v>
      </c>
      <c r="GD139">
        <v>0.39332977203624109</v>
      </c>
      <c r="GE139">
        <v>7.6065534558449999E-2</v>
      </c>
      <c r="GF139">
        <v>0.5344786465355188</v>
      </c>
      <c r="GG139">
        <v>0.52933036966390667</v>
      </c>
      <c r="GH139">
        <v>0.17901737842465987</v>
      </c>
      <c r="GI139">
        <v>0.7024048996797343</v>
      </c>
      <c r="GJ139"/>
      <c r="GK139">
        <v>1.2883705882352938</v>
      </c>
      <c r="GL139">
        <v>2.014323713235294</v>
      </c>
      <c r="GM139">
        <v>1.0989609375000002</v>
      </c>
      <c r="GN139">
        <v>1.6552064732142859</v>
      </c>
      <c r="GO139">
        <v>1.4958549107142858</v>
      </c>
      <c r="GP139">
        <v>0.14296875000000001</v>
      </c>
      <c r="GQ139">
        <v>0.64475135869565214</v>
      </c>
      <c r="GR139">
        <v>0.73663677536231864</v>
      </c>
      <c r="GS139">
        <v>0.18931690705128204</v>
      </c>
      <c r="GT139">
        <v>0.94345094043930255</v>
      </c>
      <c r="GU139"/>
      <c r="GV139"/>
      <c r="GW139"/>
      <c r="GX139"/>
      <c r="GY139"/>
      <c r="GZ139"/>
      <c r="HA139"/>
      <c r="HB139"/>
      <c r="HC139"/>
    </row>
    <row r="140" spans="1:211" s="7" customFormat="1">
      <c r="A140" s="1"/>
      <c r="B140" s="76">
        <f t="shared" ca="1" si="132"/>
        <v>0.27350199565795297</v>
      </c>
      <c r="C140">
        <v>7</v>
      </c>
      <c r="D140">
        <v>39799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 s="2"/>
      <c r="AK140" s="80"/>
      <c r="AL140" s="74"/>
      <c r="AM140" s="43">
        <v>124</v>
      </c>
      <c r="AN140">
        <v>48.305358115468415</v>
      </c>
      <c r="AO140">
        <v>1.149592232230392</v>
      </c>
      <c r="AP140">
        <v>0.2872471172499701</v>
      </c>
      <c r="AQ140">
        <v>9.565540749839613</v>
      </c>
      <c r="AR140">
        <v>1.0559503247549018</v>
      </c>
      <c r="AS140">
        <v>3.4992759261909625</v>
      </c>
      <c r="AT140" t="e">
        <v>#DIV/0!</v>
      </c>
      <c r="AU140" t="e">
        <v>#DIV/0!</v>
      </c>
      <c r="AV140"/>
      <c r="AW140"/>
      <c r="AX140" s="146"/>
      <c r="AY140" s="76">
        <f t="shared" ca="1" si="88"/>
        <v>0.33160371062536376</v>
      </c>
      <c r="AZ140">
        <v>3</v>
      </c>
      <c r="BA140" s="129">
        <f t="shared" si="169"/>
        <v>39799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 s="147"/>
      <c r="CH140" s="176"/>
      <c r="CJ140" s="146"/>
      <c r="CK140" s="76">
        <f t="shared" ca="1" si="90"/>
        <v>0.89922729339798302</v>
      </c>
      <c r="CL140" s="179">
        <f t="shared" si="91"/>
        <v>3</v>
      </c>
      <c r="CM140" s="180">
        <f t="shared" si="92"/>
        <v>39799</v>
      </c>
      <c r="CN140">
        <v>0</v>
      </c>
      <c r="CO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 s="160"/>
      <c r="CW140" s="178">
        <f>30/13</f>
        <v>2.3076923076923075</v>
      </c>
      <c r="CX140">
        <f>8</f>
        <v>8</v>
      </c>
      <c r="CY140" s="160"/>
      <c r="CZ140" s="177">
        <f t="shared" si="93"/>
        <v>9.6000000000000002E-2</v>
      </c>
      <c r="DB140" s="146"/>
      <c r="DC140" s="76">
        <f t="shared" ca="1" si="51"/>
        <v>0.14013514885741696</v>
      </c>
      <c r="DD140">
        <f t="shared" si="94"/>
        <v>3</v>
      </c>
      <c r="DE140" s="129">
        <f t="shared" si="168"/>
        <v>39799</v>
      </c>
      <c r="DF140" s="161">
        <f t="shared" si="95"/>
        <v>0</v>
      </c>
      <c r="DG140" s="161">
        <f t="shared" si="96"/>
        <v>0</v>
      </c>
      <c r="DH140" s="161">
        <f t="shared" si="97"/>
        <v>0</v>
      </c>
      <c r="DI140" s="161">
        <f t="shared" si="98"/>
        <v>0</v>
      </c>
      <c r="DJ140" s="161">
        <f t="shared" si="99"/>
        <v>0</v>
      </c>
      <c r="DK140" s="161">
        <f t="shared" si="100"/>
        <v>0</v>
      </c>
      <c r="DL140" s="161">
        <f t="shared" si="101"/>
        <v>0</v>
      </c>
      <c r="DM140" s="161">
        <f t="shared" si="102"/>
        <v>0</v>
      </c>
      <c r="DN140" s="161">
        <f t="shared" si="103"/>
        <v>0</v>
      </c>
      <c r="DO140" s="161">
        <f t="shared" si="104"/>
        <v>0</v>
      </c>
      <c r="DP140" s="161">
        <f t="shared" si="105"/>
        <v>0</v>
      </c>
      <c r="DQ140" s="161">
        <f t="shared" si="106"/>
        <v>0</v>
      </c>
      <c r="DR140" s="161">
        <f t="shared" si="107"/>
        <v>0</v>
      </c>
      <c r="DS140" s="161">
        <f t="shared" si="108"/>
        <v>0</v>
      </c>
      <c r="DT140" s="161">
        <f t="shared" si="109"/>
        <v>0</v>
      </c>
      <c r="DU140" s="161">
        <f t="shared" si="110"/>
        <v>0</v>
      </c>
      <c r="DV140" s="161">
        <f t="shared" si="111"/>
        <v>0</v>
      </c>
      <c r="DW140" s="161">
        <f t="shared" si="112"/>
        <v>0</v>
      </c>
      <c r="DX140" s="161">
        <f t="shared" si="113"/>
        <v>0</v>
      </c>
      <c r="DY140" s="161">
        <f t="shared" si="114"/>
        <v>0</v>
      </c>
      <c r="DZ140" s="161">
        <f t="shared" si="115"/>
        <v>0</v>
      </c>
      <c r="EA140" s="161">
        <f t="shared" si="116"/>
        <v>0</v>
      </c>
      <c r="EB140" s="161">
        <f t="shared" si="117"/>
        <v>0</v>
      </c>
      <c r="EC140" s="161">
        <f t="shared" si="118"/>
        <v>0</v>
      </c>
      <c r="ED140" s="161">
        <f t="shared" si="119"/>
        <v>0</v>
      </c>
      <c r="EE140" s="161">
        <f t="shared" si="120"/>
        <v>0</v>
      </c>
      <c r="EF140" s="161">
        <f t="shared" si="121"/>
        <v>0</v>
      </c>
      <c r="EG140" s="161">
        <f t="shared" si="122"/>
        <v>0</v>
      </c>
      <c r="EH140" s="161">
        <f t="shared" si="123"/>
        <v>0</v>
      </c>
      <c r="EI140" s="161">
        <f t="shared" si="124"/>
        <v>0</v>
      </c>
      <c r="EJ140" s="161">
        <f t="shared" si="125"/>
        <v>0</v>
      </c>
      <c r="EK140" s="147">
        <f t="shared" si="133"/>
        <v>0</v>
      </c>
      <c r="EL140" s="149"/>
      <c r="EN140" s="146"/>
      <c r="EO140" s="146"/>
      <c r="EP140" s="139">
        <f t="shared" si="134"/>
        <v>0</v>
      </c>
      <c r="EQ140" s="139">
        <f t="shared" si="135"/>
        <v>0</v>
      </c>
      <c r="ER140" s="139">
        <f t="shared" si="136"/>
        <v>0</v>
      </c>
      <c r="ES140" s="139">
        <f t="shared" si="137"/>
        <v>0</v>
      </c>
      <c r="ET140" s="139">
        <f t="shared" si="138"/>
        <v>0</v>
      </c>
      <c r="EU140" s="139">
        <f t="shared" si="139"/>
        <v>0</v>
      </c>
      <c r="EV140" s="139">
        <f t="shared" si="140"/>
        <v>0</v>
      </c>
      <c r="EW140" s="139">
        <f t="shared" si="141"/>
        <v>0</v>
      </c>
      <c r="EX140" s="139">
        <f t="shared" si="142"/>
        <v>0</v>
      </c>
      <c r="EY140" s="139">
        <f t="shared" si="143"/>
        <v>0</v>
      </c>
      <c r="EZ140" s="139">
        <f t="shared" si="144"/>
        <v>0</v>
      </c>
      <c r="FA140" s="139">
        <f t="shared" si="145"/>
        <v>0</v>
      </c>
      <c r="FB140" s="139">
        <f t="shared" si="146"/>
        <v>0</v>
      </c>
      <c r="FC140" s="139">
        <f t="shared" si="147"/>
        <v>0</v>
      </c>
      <c r="FD140" s="139">
        <f t="shared" si="148"/>
        <v>0</v>
      </c>
      <c r="FE140" s="139">
        <f t="shared" si="149"/>
        <v>0</v>
      </c>
      <c r="FF140" s="139">
        <f t="shared" si="150"/>
        <v>0</v>
      </c>
      <c r="FG140" s="139">
        <f t="shared" si="151"/>
        <v>0</v>
      </c>
      <c r="FH140" s="139">
        <f t="shared" si="152"/>
        <v>0</v>
      </c>
      <c r="FI140" s="139">
        <f t="shared" si="153"/>
        <v>0</v>
      </c>
      <c r="FJ140" s="139">
        <f t="shared" si="154"/>
        <v>0</v>
      </c>
      <c r="FK140" s="139">
        <f t="shared" si="155"/>
        <v>0</v>
      </c>
      <c r="FL140" s="139">
        <f t="shared" si="156"/>
        <v>0</v>
      </c>
      <c r="FM140" s="139">
        <f t="shared" si="157"/>
        <v>0</v>
      </c>
      <c r="FN140" s="139">
        <f t="shared" si="158"/>
        <v>0</v>
      </c>
      <c r="FO140" s="139">
        <f t="shared" si="159"/>
        <v>0</v>
      </c>
      <c r="FP140" s="139">
        <f t="shared" si="160"/>
        <v>0</v>
      </c>
      <c r="FQ140" s="139">
        <f t="shared" si="161"/>
        <v>0</v>
      </c>
      <c r="FR140" s="139">
        <f t="shared" si="162"/>
        <v>0</v>
      </c>
      <c r="FS140" s="139">
        <f t="shared" si="163"/>
        <v>0</v>
      </c>
      <c r="FT140" s="139">
        <f t="shared" si="164"/>
        <v>0</v>
      </c>
      <c r="FU140" s="148">
        <f t="shared" si="165"/>
        <v>0</v>
      </c>
      <c r="FV140" s="149"/>
      <c r="FY140" s="211">
        <v>135</v>
      </c>
      <c r="FZ140">
        <v>1.1566318229560097</v>
      </c>
      <c r="GA140">
        <v>1.4017839698581129</v>
      </c>
      <c r="GB140">
        <v>0.90207807855617794</v>
      </c>
      <c r="GC140">
        <v>0.68083285319262021</v>
      </c>
      <c r="GD140">
        <v>0.2624862067742893</v>
      </c>
      <c r="GE140">
        <v>0.171456545068425</v>
      </c>
      <c r="GF140">
        <v>0.45565491086656262</v>
      </c>
      <c r="GG140">
        <v>0.28954215414031298</v>
      </c>
      <c r="GH140">
        <v>2.2985735835423678E-2</v>
      </c>
      <c r="GI140">
        <v>0.62612799834016042</v>
      </c>
      <c r="GJ140"/>
      <c r="GK140">
        <v>1.1527987132352939</v>
      </c>
      <c r="GL140">
        <v>1.180712775735294</v>
      </c>
      <c r="GM140">
        <v>1.4808579545454543</v>
      </c>
      <c r="GN140">
        <v>1.9971291599025971</v>
      </c>
      <c r="GO140">
        <v>0.99863839285714273</v>
      </c>
      <c r="GP140">
        <v>0.32207812500000005</v>
      </c>
      <c r="GQ140">
        <v>0.54931385869565208</v>
      </c>
      <c r="GR140">
        <v>0.40278260869565213</v>
      </c>
      <c r="GS140">
        <v>2.4293870192307693E-2</v>
      </c>
      <c r="GT140">
        <v>0.8411805579051701</v>
      </c>
      <c r="GU140"/>
      <c r="GV140"/>
      <c r="GW140"/>
      <c r="GX140"/>
      <c r="GY140"/>
      <c r="GZ140"/>
      <c r="HA140"/>
      <c r="HB140"/>
      <c r="HC140"/>
    </row>
    <row r="141" spans="1:211" s="7" customFormat="1">
      <c r="A141" s="1"/>
      <c r="B141" s="76">
        <f t="shared" ca="1" si="132"/>
        <v>6.7675857176185517E-2</v>
      </c>
      <c r="C141">
        <v>3</v>
      </c>
      <c r="D141">
        <v>39799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 s="2"/>
      <c r="AK141" s="80"/>
      <c r="AL141" s="74"/>
      <c r="AM141" s="43">
        <v>125</v>
      </c>
      <c r="AN141">
        <v>53.073279759692795</v>
      </c>
      <c r="AO141">
        <v>1.0761210425027872</v>
      </c>
      <c r="AP141">
        <v>1.1777621210136497</v>
      </c>
      <c r="AQ141">
        <v>6.3745833636158196</v>
      </c>
      <c r="AR141">
        <v>1.002233345020016</v>
      </c>
      <c r="AS141">
        <v>4.7347456118826408</v>
      </c>
      <c r="AT141">
        <v>0.85529891198672747</v>
      </c>
      <c r="AU141">
        <v>0.18139389102572878</v>
      </c>
      <c r="AV141"/>
      <c r="AW141"/>
      <c r="AX141" s="146"/>
      <c r="AY141" s="76">
        <f t="shared" ca="1" si="88"/>
        <v>0.2757781613861594</v>
      </c>
      <c r="AZ141">
        <v>4</v>
      </c>
      <c r="BA141" s="129">
        <f t="shared" si="169"/>
        <v>39799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 s="147"/>
      <c r="CH141" s="176"/>
      <c r="CJ141" s="146"/>
      <c r="CK141" s="76">
        <f t="shared" ca="1" si="90"/>
        <v>0.60714457286783063</v>
      </c>
      <c r="CL141" s="179">
        <f t="shared" si="91"/>
        <v>4</v>
      </c>
      <c r="CM141" s="180">
        <f t="shared" si="92"/>
        <v>39799</v>
      </c>
      <c r="CN141">
        <v>0</v>
      </c>
      <c r="CO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 s="160"/>
      <c r="CW141">
        <f>40/11</f>
        <v>3.6363636363636362</v>
      </c>
      <c r="CX141">
        <f>10500/374</f>
        <v>28.074866310160427</v>
      </c>
      <c r="CY141" s="160"/>
      <c r="CZ141" s="177">
        <f t="shared" si="93"/>
        <v>9.6000000000000002E-2</v>
      </c>
      <c r="DB141" s="146"/>
      <c r="DC141" s="76">
        <f t="shared" ca="1" si="51"/>
        <v>3.3649933113402142E-3</v>
      </c>
      <c r="DD141">
        <f t="shared" si="94"/>
        <v>4</v>
      </c>
      <c r="DE141" s="129">
        <f t="shared" si="168"/>
        <v>39799</v>
      </c>
      <c r="DF141" s="161">
        <f t="shared" si="95"/>
        <v>0</v>
      </c>
      <c r="DG141" s="161">
        <f t="shared" si="96"/>
        <v>0</v>
      </c>
      <c r="DH141" s="161">
        <f t="shared" si="97"/>
        <v>0</v>
      </c>
      <c r="DI141" s="161">
        <f t="shared" si="98"/>
        <v>0</v>
      </c>
      <c r="DJ141" s="161">
        <f t="shared" si="99"/>
        <v>0</v>
      </c>
      <c r="DK141" s="161">
        <f t="shared" si="100"/>
        <v>0</v>
      </c>
      <c r="DL141" s="161">
        <f t="shared" si="101"/>
        <v>0</v>
      </c>
      <c r="DM141" s="161">
        <f t="shared" si="102"/>
        <v>0</v>
      </c>
      <c r="DN141" s="161">
        <f t="shared" si="103"/>
        <v>0</v>
      </c>
      <c r="DO141" s="161">
        <f t="shared" si="104"/>
        <v>0</v>
      </c>
      <c r="DP141" s="161">
        <f t="shared" si="105"/>
        <v>0</v>
      </c>
      <c r="DQ141" s="161">
        <f t="shared" si="106"/>
        <v>0</v>
      </c>
      <c r="DR141" s="161">
        <f t="shared" si="107"/>
        <v>0</v>
      </c>
      <c r="DS141" s="161">
        <f t="shared" si="108"/>
        <v>0</v>
      </c>
      <c r="DT141" s="161">
        <f t="shared" si="109"/>
        <v>0</v>
      </c>
      <c r="DU141" s="161">
        <f t="shared" si="110"/>
        <v>0</v>
      </c>
      <c r="DV141" s="161">
        <f t="shared" si="111"/>
        <v>0</v>
      </c>
      <c r="DW141" s="161">
        <f t="shared" si="112"/>
        <v>0</v>
      </c>
      <c r="DX141" s="161">
        <f t="shared" si="113"/>
        <v>0</v>
      </c>
      <c r="DY141" s="161">
        <f t="shared" si="114"/>
        <v>0</v>
      </c>
      <c r="DZ141" s="161">
        <f t="shared" si="115"/>
        <v>0</v>
      </c>
      <c r="EA141" s="161">
        <f t="shared" si="116"/>
        <v>0</v>
      </c>
      <c r="EB141" s="161">
        <f t="shared" si="117"/>
        <v>0</v>
      </c>
      <c r="EC141" s="161">
        <f t="shared" si="118"/>
        <v>0</v>
      </c>
      <c r="ED141" s="161">
        <f t="shared" si="119"/>
        <v>0</v>
      </c>
      <c r="EE141" s="161">
        <f t="shared" si="120"/>
        <v>0</v>
      </c>
      <c r="EF141" s="161">
        <f t="shared" si="121"/>
        <v>0</v>
      </c>
      <c r="EG141" s="161">
        <f t="shared" si="122"/>
        <v>0</v>
      </c>
      <c r="EH141" s="161">
        <f t="shared" si="123"/>
        <v>0</v>
      </c>
      <c r="EI141" s="161">
        <f t="shared" si="124"/>
        <v>0</v>
      </c>
      <c r="EJ141" s="161">
        <f t="shared" si="125"/>
        <v>0</v>
      </c>
      <c r="EK141" s="147">
        <f t="shared" si="133"/>
        <v>0</v>
      </c>
      <c r="EL141" s="149"/>
      <c r="EN141" s="146"/>
      <c r="EO141" s="146"/>
      <c r="EP141" s="139">
        <f t="shared" si="134"/>
        <v>0</v>
      </c>
      <c r="EQ141" s="139">
        <f t="shared" si="135"/>
        <v>0</v>
      </c>
      <c r="ER141" s="139">
        <f t="shared" si="136"/>
        <v>0</v>
      </c>
      <c r="ES141" s="139">
        <f t="shared" si="137"/>
        <v>0</v>
      </c>
      <c r="ET141" s="139">
        <f t="shared" si="138"/>
        <v>0</v>
      </c>
      <c r="EU141" s="139">
        <f t="shared" si="139"/>
        <v>0</v>
      </c>
      <c r="EV141" s="139">
        <f t="shared" si="140"/>
        <v>0</v>
      </c>
      <c r="EW141" s="139">
        <f t="shared" si="141"/>
        <v>0</v>
      </c>
      <c r="EX141" s="139">
        <f t="shared" si="142"/>
        <v>0</v>
      </c>
      <c r="EY141" s="139">
        <f t="shared" si="143"/>
        <v>0</v>
      </c>
      <c r="EZ141" s="139">
        <f t="shared" si="144"/>
        <v>0</v>
      </c>
      <c r="FA141" s="139">
        <f t="shared" si="145"/>
        <v>0</v>
      </c>
      <c r="FB141" s="139">
        <f t="shared" si="146"/>
        <v>0</v>
      </c>
      <c r="FC141" s="139">
        <f t="shared" si="147"/>
        <v>0</v>
      </c>
      <c r="FD141" s="139">
        <f t="shared" si="148"/>
        <v>0</v>
      </c>
      <c r="FE141" s="139">
        <f t="shared" si="149"/>
        <v>0</v>
      </c>
      <c r="FF141" s="139">
        <f t="shared" si="150"/>
        <v>0</v>
      </c>
      <c r="FG141" s="139">
        <f t="shared" si="151"/>
        <v>0</v>
      </c>
      <c r="FH141" s="139">
        <f t="shared" si="152"/>
        <v>0</v>
      </c>
      <c r="FI141" s="139">
        <f t="shared" si="153"/>
        <v>0</v>
      </c>
      <c r="FJ141" s="139">
        <f t="shared" si="154"/>
        <v>0</v>
      </c>
      <c r="FK141" s="139">
        <f t="shared" si="155"/>
        <v>0</v>
      </c>
      <c r="FL141" s="139">
        <f t="shared" si="156"/>
        <v>0</v>
      </c>
      <c r="FM141" s="139">
        <f t="shared" si="157"/>
        <v>0</v>
      </c>
      <c r="FN141" s="139">
        <f t="shared" si="158"/>
        <v>0</v>
      </c>
      <c r="FO141" s="139">
        <f t="shared" si="159"/>
        <v>0</v>
      </c>
      <c r="FP141" s="139">
        <f t="shared" si="160"/>
        <v>0</v>
      </c>
      <c r="FQ141" s="139">
        <f t="shared" si="161"/>
        <v>0</v>
      </c>
      <c r="FR141" s="139">
        <f t="shared" si="162"/>
        <v>0</v>
      </c>
      <c r="FS141" s="139">
        <f t="shared" si="163"/>
        <v>0</v>
      </c>
      <c r="FT141" s="139">
        <f t="shared" si="164"/>
        <v>0</v>
      </c>
      <c r="FU141" s="148">
        <f t="shared" si="165"/>
        <v>0</v>
      </c>
      <c r="FV141" s="149"/>
      <c r="FY141" s="211">
        <v>136</v>
      </c>
      <c r="FZ141">
        <v>2.2569269516212138</v>
      </c>
      <c r="GA141">
        <v>3.1593125957153525</v>
      </c>
      <c r="GB141">
        <v>0.3481364935487743</v>
      </c>
      <c r="GC141">
        <v>6.1147759931553733E-2</v>
      </c>
      <c r="GD141">
        <v>9.3219870095054988E-2</v>
      </c>
      <c r="GE141">
        <v>0.11942651581672502</v>
      </c>
      <c r="GF141">
        <v>4.0519097411428125E-2</v>
      </c>
      <c r="GG141">
        <v>0</v>
      </c>
      <c r="GH141">
        <v>4.5971471670847357E-2</v>
      </c>
      <c r="GI141">
        <v>0.48713759995250211</v>
      </c>
      <c r="GJ141"/>
      <c r="GK141">
        <v>2.249188051470588</v>
      </c>
      <c r="GL141">
        <v>2.6609146139705881</v>
      </c>
      <c r="GM141">
        <v>0.5711015625000001</v>
      </c>
      <c r="GN141">
        <v>0.17914687499999996</v>
      </c>
      <c r="GO141">
        <v>0.35469374999999997</v>
      </c>
      <c r="GP141">
        <v>0.22439062500000001</v>
      </c>
      <c r="GQ141">
        <v>4.8843750000000005E-2</v>
      </c>
      <c r="GR141">
        <v>0</v>
      </c>
      <c r="GS141">
        <v>4.8587740384615385E-2</v>
      </c>
      <c r="GT141">
        <v>0.65448297087104068</v>
      </c>
      <c r="GU141"/>
      <c r="GV141"/>
      <c r="GW141"/>
      <c r="GX141"/>
      <c r="GY141"/>
      <c r="GZ141"/>
      <c r="HA141"/>
      <c r="HB141"/>
      <c r="HC141"/>
    </row>
    <row r="142" spans="1:211" s="7" customFormat="1">
      <c r="A142" s="1"/>
      <c r="B142" s="76">
        <f t="shared" ca="1" si="132"/>
        <v>2.520431630195219E-2</v>
      </c>
      <c r="C142">
        <v>9</v>
      </c>
      <c r="D142">
        <v>39799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 s="2"/>
      <c r="AK142" s="80"/>
      <c r="AL142" s="74"/>
      <c r="AM142" s="43">
        <v>126</v>
      </c>
      <c r="AN142">
        <v>23.323668981481482</v>
      </c>
      <c r="AO142">
        <v>0.61608900520833321</v>
      </c>
      <c r="AP142">
        <v>3.1628628709896716</v>
      </c>
      <c r="AQ142">
        <v>3.9303253353899548</v>
      </c>
      <c r="AR142">
        <v>0.56008091382575753</v>
      </c>
      <c r="AS142">
        <v>1.9570941408075855</v>
      </c>
      <c r="AT142" t="e">
        <v>#DIV/0!</v>
      </c>
      <c r="AU142" t="e">
        <v>#DIV/0!</v>
      </c>
      <c r="AV142"/>
      <c r="AW142"/>
      <c r="AX142" s="146"/>
      <c r="AY142" s="76">
        <f t="shared" ca="1" si="88"/>
        <v>0.4756278975160555</v>
      </c>
      <c r="AZ142">
        <v>5</v>
      </c>
      <c r="BA142" s="129">
        <f t="shared" si="169"/>
        <v>39799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 s="147"/>
      <c r="CH142" s="176"/>
      <c r="CJ142" s="146"/>
      <c r="CK142" s="76">
        <f t="shared" ca="1" si="90"/>
        <v>0.20670079069700265</v>
      </c>
      <c r="CL142" s="179">
        <f t="shared" si="91"/>
        <v>5</v>
      </c>
      <c r="CM142" s="180">
        <f t="shared" si="92"/>
        <v>39799</v>
      </c>
      <c r="CN142">
        <v>0</v>
      </c>
      <c r="CO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 s="160"/>
      <c r="CW142">
        <v>1</v>
      </c>
      <c r="CX142">
        <f>350/52</f>
        <v>6.7307692307692308</v>
      </c>
      <c r="CY142" s="160"/>
      <c r="CZ142" s="177">
        <f t="shared" si="93"/>
        <v>9.6000000000000002E-2</v>
      </c>
      <c r="DB142" s="146"/>
      <c r="DC142" s="76">
        <f t="shared" ca="1" si="51"/>
        <v>0.24542173058251127</v>
      </c>
      <c r="DD142">
        <f t="shared" si="94"/>
        <v>5</v>
      </c>
      <c r="DE142" s="129">
        <f t="shared" si="168"/>
        <v>39799</v>
      </c>
      <c r="DF142" s="161">
        <f t="shared" si="95"/>
        <v>0</v>
      </c>
      <c r="DG142" s="161">
        <f t="shared" si="96"/>
        <v>0</v>
      </c>
      <c r="DH142" s="161">
        <f t="shared" si="97"/>
        <v>0</v>
      </c>
      <c r="DI142" s="161">
        <f t="shared" si="98"/>
        <v>0</v>
      </c>
      <c r="DJ142" s="161">
        <f t="shared" si="99"/>
        <v>0</v>
      </c>
      <c r="DK142" s="161">
        <f t="shared" si="100"/>
        <v>0</v>
      </c>
      <c r="DL142" s="161">
        <f t="shared" si="101"/>
        <v>0</v>
      </c>
      <c r="DM142" s="161">
        <f t="shared" si="102"/>
        <v>0</v>
      </c>
      <c r="DN142" s="161">
        <f t="shared" si="103"/>
        <v>0</v>
      </c>
      <c r="DO142" s="161">
        <f t="shared" si="104"/>
        <v>0</v>
      </c>
      <c r="DP142" s="161">
        <f t="shared" si="105"/>
        <v>0</v>
      </c>
      <c r="DQ142" s="161">
        <f t="shared" si="106"/>
        <v>0</v>
      </c>
      <c r="DR142" s="161">
        <f t="shared" si="107"/>
        <v>0</v>
      </c>
      <c r="DS142" s="161">
        <f t="shared" si="108"/>
        <v>0</v>
      </c>
      <c r="DT142" s="161">
        <f t="shared" si="109"/>
        <v>0</v>
      </c>
      <c r="DU142" s="161">
        <f t="shared" si="110"/>
        <v>0</v>
      </c>
      <c r="DV142" s="161">
        <f t="shared" si="111"/>
        <v>0</v>
      </c>
      <c r="DW142" s="161">
        <f t="shared" si="112"/>
        <v>0</v>
      </c>
      <c r="DX142" s="161">
        <f t="shared" si="113"/>
        <v>0</v>
      </c>
      <c r="DY142" s="161">
        <f t="shared" si="114"/>
        <v>0</v>
      </c>
      <c r="DZ142" s="161">
        <f t="shared" si="115"/>
        <v>0</v>
      </c>
      <c r="EA142" s="161">
        <f t="shared" si="116"/>
        <v>0</v>
      </c>
      <c r="EB142" s="161">
        <f t="shared" si="117"/>
        <v>0</v>
      </c>
      <c r="EC142" s="161">
        <f t="shared" si="118"/>
        <v>0</v>
      </c>
      <c r="ED142" s="161">
        <f t="shared" si="119"/>
        <v>0</v>
      </c>
      <c r="EE142" s="161">
        <f t="shared" si="120"/>
        <v>0</v>
      </c>
      <c r="EF142" s="161">
        <f t="shared" si="121"/>
        <v>0</v>
      </c>
      <c r="EG142" s="161">
        <f t="shared" si="122"/>
        <v>0</v>
      </c>
      <c r="EH142" s="161">
        <f t="shared" si="123"/>
        <v>0</v>
      </c>
      <c r="EI142" s="161">
        <f t="shared" si="124"/>
        <v>0</v>
      </c>
      <c r="EJ142" s="161">
        <f t="shared" si="125"/>
        <v>0</v>
      </c>
      <c r="EK142" s="147">
        <f t="shared" si="133"/>
        <v>0</v>
      </c>
      <c r="EL142" s="149"/>
      <c r="EN142" s="146"/>
      <c r="EO142" s="146"/>
      <c r="EP142" s="139">
        <f t="shared" si="134"/>
        <v>0</v>
      </c>
      <c r="EQ142" s="139">
        <f t="shared" si="135"/>
        <v>0</v>
      </c>
      <c r="ER142" s="139">
        <f t="shared" si="136"/>
        <v>0</v>
      </c>
      <c r="ES142" s="139">
        <f t="shared" si="137"/>
        <v>0</v>
      </c>
      <c r="ET142" s="139">
        <f t="shared" si="138"/>
        <v>0</v>
      </c>
      <c r="EU142" s="139">
        <f t="shared" si="139"/>
        <v>0</v>
      </c>
      <c r="EV142" s="139">
        <f t="shared" si="140"/>
        <v>0</v>
      </c>
      <c r="EW142" s="139">
        <f t="shared" si="141"/>
        <v>0</v>
      </c>
      <c r="EX142" s="139">
        <f t="shared" si="142"/>
        <v>0</v>
      </c>
      <c r="EY142" s="139">
        <f t="shared" si="143"/>
        <v>0</v>
      </c>
      <c r="EZ142" s="139">
        <f t="shared" si="144"/>
        <v>0</v>
      </c>
      <c r="FA142" s="139">
        <f t="shared" si="145"/>
        <v>0</v>
      </c>
      <c r="FB142" s="139">
        <f t="shared" si="146"/>
        <v>0</v>
      </c>
      <c r="FC142" s="139">
        <f t="shared" si="147"/>
        <v>0</v>
      </c>
      <c r="FD142" s="139">
        <f t="shared" si="148"/>
        <v>0</v>
      </c>
      <c r="FE142" s="139">
        <f t="shared" si="149"/>
        <v>0</v>
      </c>
      <c r="FF142" s="139">
        <f t="shared" si="150"/>
        <v>0</v>
      </c>
      <c r="FG142" s="139">
        <f t="shared" si="151"/>
        <v>0</v>
      </c>
      <c r="FH142" s="139">
        <f t="shared" si="152"/>
        <v>0</v>
      </c>
      <c r="FI142" s="139">
        <f t="shared" si="153"/>
        <v>0</v>
      </c>
      <c r="FJ142" s="139">
        <f t="shared" si="154"/>
        <v>0</v>
      </c>
      <c r="FK142" s="139">
        <f t="shared" si="155"/>
        <v>0</v>
      </c>
      <c r="FL142" s="139">
        <f t="shared" si="156"/>
        <v>0</v>
      </c>
      <c r="FM142" s="139">
        <f t="shared" si="157"/>
        <v>0</v>
      </c>
      <c r="FN142" s="139">
        <f t="shared" si="158"/>
        <v>0</v>
      </c>
      <c r="FO142" s="139">
        <f t="shared" si="159"/>
        <v>0</v>
      </c>
      <c r="FP142" s="139">
        <f t="shared" si="160"/>
        <v>0</v>
      </c>
      <c r="FQ142" s="139">
        <f t="shared" si="161"/>
        <v>0</v>
      </c>
      <c r="FR142" s="139">
        <f t="shared" si="162"/>
        <v>0</v>
      </c>
      <c r="FS142" s="139">
        <f t="shared" si="163"/>
        <v>0</v>
      </c>
      <c r="FT142" s="139">
        <f t="shared" si="164"/>
        <v>0</v>
      </c>
      <c r="FU142" s="148">
        <f t="shared" si="165"/>
        <v>0</v>
      </c>
      <c r="FV142" s="149"/>
      <c r="FY142" s="211">
        <v>137</v>
      </c>
      <c r="FZ142">
        <v>1.0785504935633459</v>
      </c>
      <c r="GA142">
        <v>1.1750062984965073</v>
      </c>
      <c r="GB142">
        <v>0.72463833643909215</v>
      </c>
      <c r="GC142">
        <v>0.6060486107812495</v>
      </c>
      <c r="GD142">
        <v>0.24921664927489928</v>
      </c>
      <c r="GE142">
        <v>0.11460862901025</v>
      </c>
      <c r="GF142">
        <v>0.20038102790324064</v>
      </c>
      <c r="GG142">
        <v>0.18920630708545313</v>
      </c>
      <c r="GH142">
        <v>8.9508689212329934E-2</v>
      </c>
      <c r="GI142">
        <v>0.52832966065208242</v>
      </c>
      <c r="GJ142"/>
      <c r="GK142">
        <v>1.0750330882352941</v>
      </c>
      <c r="GL142">
        <v>0.98986121323529397</v>
      </c>
      <c r="GM142">
        <v>1.1896860795454542</v>
      </c>
      <c r="GN142">
        <v>1.7773525974025972</v>
      </c>
      <c r="GO142">
        <v>0.94790089285714274</v>
      </c>
      <c r="GP142">
        <v>0.21534374999999997</v>
      </c>
      <c r="GQ142">
        <v>0.24196875000000001</v>
      </c>
      <c r="GR142">
        <v>0.26348958333333333</v>
      </c>
      <c r="GS142">
        <v>9.465845352564102E-2</v>
      </c>
      <c r="GT142">
        <v>0.7098494528327064</v>
      </c>
      <c r="GU142"/>
      <c r="GV142"/>
      <c r="GW142"/>
      <c r="GX142"/>
      <c r="GY142"/>
      <c r="GZ142"/>
      <c r="HA142"/>
      <c r="HB142"/>
      <c r="HC142"/>
    </row>
    <row r="143" spans="1:211" s="7" customFormat="1">
      <c r="A143" s="1"/>
      <c r="B143" s="76">
        <f t="shared" ca="1" si="132"/>
        <v>0.99682648350887404</v>
      </c>
      <c r="C143">
        <v>4</v>
      </c>
      <c r="D143">
        <v>39799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 s="2"/>
      <c r="AK143" s="80"/>
      <c r="AL143" s="74"/>
      <c r="AM143" s="43">
        <v>127</v>
      </c>
      <c r="AN143">
        <v>50.230384385731256</v>
      </c>
      <c r="AO143">
        <v>1.1182299470290205</v>
      </c>
      <c r="AP143">
        <v>0.96992852758956549</v>
      </c>
      <c r="AQ143">
        <v>8.083684591564376</v>
      </c>
      <c r="AR143">
        <v>1.0435176091872216</v>
      </c>
      <c r="AS143">
        <v>3.960124606644956</v>
      </c>
      <c r="AT143">
        <v>0.82550121863494252</v>
      </c>
      <c r="AU143">
        <v>-7.9622079967461595E-2</v>
      </c>
      <c r="AV143"/>
      <c r="AW143"/>
      <c r="AX143" s="146"/>
      <c r="AY143" s="76">
        <f t="shared" ca="1" si="88"/>
        <v>1.3753079239775534E-2</v>
      </c>
      <c r="AZ143">
        <v>6</v>
      </c>
      <c r="BA143" s="129">
        <f t="shared" si="169"/>
        <v>39799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 s="147"/>
      <c r="CH143" s="176"/>
      <c r="CJ143" s="146"/>
      <c r="CK143" s="76">
        <f t="shared" ca="1" si="90"/>
        <v>0.36834790411378471</v>
      </c>
      <c r="CL143" s="179">
        <f t="shared" si="91"/>
        <v>6</v>
      </c>
      <c r="CM143" s="180">
        <f t="shared" si="92"/>
        <v>39799</v>
      </c>
      <c r="CN143">
        <v>0</v>
      </c>
      <c r="CO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 s="160"/>
      <c r="CW143">
        <v>1</v>
      </c>
      <c r="CX143">
        <v>1</v>
      </c>
      <c r="CY143" s="160"/>
      <c r="CZ143" s="177">
        <f t="shared" si="93"/>
        <v>9.6000000000000002E-2</v>
      </c>
      <c r="DB143" s="146"/>
      <c r="DC143" s="76">
        <f t="shared" ca="1" si="51"/>
        <v>0.11545134706485216</v>
      </c>
      <c r="DD143">
        <f t="shared" si="94"/>
        <v>6</v>
      </c>
      <c r="DE143" s="129">
        <f t="shared" si="168"/>
        <v>39799</v>
      </c>
      <c r="DF143" s="161">
        <f t="shared" si="95"/>
        <v>0</v>
      </c>
      <c r="DG143" s="161">
        <f t="shared" si="96"/>
        <v>0</v>
      </c>
      <c r="DH143" s="161">
        <f t="shared" si="97"/>
        <v>0</v>
      </c>
      <c r="DI143" s="161">
        <f t="shared" si="98"/>
        <v>0</v>
      </c>
      <c r="DJ143" s="161">
        <f t="shared" si="99"/>
        <v>0</v>
      </c>
      <c r="DK143" s="161">
        <f t="shared" si="100"/>
        <v>0</v>
      </c>
      <c r="DL143" s="161">
        <f t="shared" si="101"/>
        <v>0</v>
      </c>
      <c r="DM143" s="161">
        <f t="shared" si="102"/>
        <v>0</v>
      </c>
      <c r="DN143" s="161">
        <f t="shared" si="103"/>
        <v>0</v>
      </c>
      <c r="DO143" s="161">
        <f t="shared" si="104"/>
        <v>0</v>
      </c>
      <c r="DP143" s="161">
        <f t="shared" si="105"/>
        <v>0</v>
      </c>
      <c r="DQ143" s="161">
        <f t="shared" si="106"/>
        <v>0</v>
      </c>
      <c r="DR143" s="161">
        <f t="shared" si="107"/>
        <v>0</v>
      </c>
      <c r="DS143" s="161">
        <f t="shared" si="108"/>
        <v>0</v>
      </c>
      <c r="DT143" s="161">
        <f t="shared" si="109"/>
        <v>0</v>
      </c>
      <c r="DU143" s="161">
        <f t="shared" si="110"/>
        <v>0</v>
      </c>
      <c r="DV143" s="161">
        <f t="shared" si="111"/>
        <v>0</v>
      </c>
      <c r="DW143" s="161">
        <f t="shared" si="112"/>
        <v>0</v>
      </c>
      <c r="DX143" s="161">
        <f t="shared" si="113"/>
        <v>0</v>
      </c>
      <c r="DY143" s="161">
        <f t="shared" si="114"/>
        <v>0</v>
      </c>
      <c r="DZ143" s="161">
        <f t="shared" si="115"/>
        <v>0</v>
      </c>
      <c r="EA143" s="161">
        <f t="shared" si="116"/>
        <v>0</v>
      </c>
      <c r="EB143" s="161">
        <f t="shared" si="117"/>
        <v>0</v>
      </c>
      <c r="EC143" s="161">
        <f t="shared" si="118"/>
        <v>0</v>
      </c>
      <c r="ED143" s="161">
        <f t="shared" si="119"/>
        <v>0</v>
      </c>
      <c r="EE143" s="161">
        <f t="shared" si="120"/>
        <v>0</v>
      </c>
      <c r="EF143" s="161">
        <f t="shared" si="121"/>
        <v>0</v>
      </c>
      <c r="EG143" s="161">
        <f t="shared" si="122"/>
        <v>0</v>
      </c>
      <c r="EH143" s="161">
        <f t="shared" si="123"/>
        <v>0</v>
      </c>
      <c r="EI143" s="161">
        <f t="shared" si="124"/>
        <v>0</v>
      </c>
      <c r="EJ143" s="161">
        <f t="shared" si="125"/>
        <v>0</v>
      </c>
      <c r="EK143" s="147">
        <f t="shared" si="133"/>
        <v>0</v>
      </c>
      <c r="EL143" s="149"/>
      <c r="EN143" s="146"/>
      <c r="EO143" s="146"/>
      <c r="EP143" s="139">
        <f t="shared" si="134"/>
        <v>0</v>
      </c>
      <c r="EQ143" s="139">
        <f t="shared" si="135"/>
        <v>0</v>
      </c>
      <c r="ER143" s="139">
        <f t="shared" si="136"/>
        <v>0</v>
      </c>
      <c r="ES143" s="139">
        <f t="shared" si="137"/>
        <v>0</v>
      </c>
      <c r="ET143" s="139">
        <f t="shared" si="138"/>
        <v>0</v>
      </c>
      <c r="EU143" s="139">
        <f t="shared" si="139"/>
        <v>0</v>
      </c>
      <c r="EV143" s="139">
        <f t="shared" si="140"/>
        <v>0</v>
      </c>
      <c r="EW143" s="139">
        <f t="shared" si="141"/>
        <v>0</v>
      </c>
      <c r="EX143" s="139">
        <f t="shared" si="142"/>
        <v>0</v>
      </c>
      <c r="EY143" s="139">
        <f t="shared" si="143"/>
        <v>0</v>
      </c>
      <c r="EZ143" s="139">
        <f t="shared" si="144"/>
        <v>0</v>
      </c>
      <c r="FA143" s="139">
        <f t="shared" si="145"/>
        <v>0</v>
      </c>
      <c r="FB143" s="139">
        <f t="shared" si="146"/>
        <v>0</v>
      </c>
      <c r="FC143" s="139">
        <f t="shared" si="147"/>
        <v>0</v>
      </c>
      <c r="FD143" s="139">
        <f t="shared" si="148"/>
        <v>0</v>
      </c>
      <c r="FE143" s="139">
        <f t="shared" si="149"/>
        <v>0</v>
      </c>
      <c r="FF143" s="139">
        <f t="shared" si="150"/>
        <v>0</v>
      </c>
      <c r="FG143" s="139">
        <f t="shared" si="151"/>
        <v>0</v>
      </c>
      <c r="FH143" s="139">
        <f t="shared" si="152"/>
        <v>0</v>
      </c>
      <c r="FI143" s="139">
        <f t="shared" si="153"/>
        <v>0</v>
      </c>
      <c r="FJ143" s="139">
        <f t="shared" si="154"/>
        <v>0</v>
      </c>
      <c r="FK143" s="139">
        <f t="shared" si="155"/>
        <v>0</v>
      </c>
      <c r="FL143" s="139">
        <f t="shared" si="156"/>
        <v>0</v>
      </c>
      <c r="FM143" s="139">
        <f t="shared" si="157"/>
        <v>0</v>
      </c>
      <c r="FN143" s="139">
        <f t="shared" si="158"/>
        <v>0</v>
      </c>
      <c r="FO143" s="139">
        <f t="shared" si="159"/>
        <v>0</v>
      </c>
      <c r="FP143" s="139">
        <f t="shared" si="160"/>
        <v>0</v>
      </c>
      <c r="FQ143" s="139">
        <f t="shared" si="161"/>
        <v>0</v>
      </c>
      <c r="FR143" s="139">
        <f t="shared" si="162"/>
        <v>0</v>
      </c>
      <c r="FS143" s="139">
        <f t="shared" si="163"/>
        <v>0</v>
      </c>
      <c r="FT143" s="139">
        <f t="shared" si="164"/>
        <v>0</v>
      </c>
      <c r="FU143" s="148">
        <f t="shared" si="165"/>
        <v>0</v>
      </c>
      <c r="FV143" s="149"/>
      <c r="FY143" s="211">
        <v>138</v>
      </c>
      <c r="FZ143">
        <v>1.9045533179203793</v>
      </c>
      <c r="GA143">
        <v>3.0765522625033332</v>
      </c>
      <c r="GB143">
        <v>1.7492024544301898</v>
      </c>
      <c r="GC143">
        <v>1.1527707584677509</v>
      </c>
      <c r="GD143">
        <v>0.40288795938019928</v>
      </c>
      <c r="GE143">
        <v>9.0465266252250001E-2</v>
      </c>
      <c r="GF143">
        <v>0.82805716775636906</v>
      </c>
      <c r="GG143">
        <v>0.81887252380421982</v>
      </c>
      <c r="GH143">
        <v>0.15603164258923619</v>
      </c>
      <c r="GI143">
        <v>1.111450005562554</v>
      </c>
      <c r="GJ143"/>
      <c r="GK143">
        <v>1.898094301470588</v>
      </c>
      <c r="GL143">
        <v>2.5915161764705879</v>
      </c>
      <c r="GM143">
        <v>2.8720049715909091</v>
      </c>
      <c r="GN143">
        <v>3.3813902394480517</v>
      </c>
      <c r="GO143">
        <v>1.5323383928571428</v>
      </c>
      <c r="GP143">
        <v>0.17015625000000001</v>
      </c>
      <c r="GQ143">
        <v>0.99869021739130437</v>
      </c>
      <c r="GR143">
        <v>1.1394193840579709</v>
      </c>
      <c r="GS143">
        <v>0.16502303685897435</v>
      </c>
      <c r="GT143">
        <v>1.4932301840337836</v>
      </c>
      <c r="GU143"/>
      <c r="GV143"/>
      <c r="GW143"/>
      <c r="GX143"/>
      <c r="GY143"/>
      <c r="GZ143"/>
      <c r="HA143"/>
      <c r="HB143"/>
      <c r="HC143"/>
    </row>
    <row r="144" spans="1:211" s="7" customFormat="1">
      <c r="A144" s="1"/>
      <c r="B144" s="76">
        <f t="shared" ca="1" si="132"/>
        <v>0.43484408325232948</v>
      </c>
      <c r="C144">
        <v>1</v>
      </c>
      <c r="D144">
        <v>39799</v>
      </c>
      <c r="E144">
        <v>0</v>
      </c>
      <c r="F144">
        <v>83.333333333333329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 s="2"/>
      <c r="AK144" s="80"/>
      <c r="AL144" s="74"/>
      <c r="AM144" s="43">
        <v>128</v>
      </c>
      <c r="AN144">
        <v>37.688583488951139</v>
      </c>
      <c r="AO144">
        <v>0.86164352608543437</v>
      </c>
      <c r="AP144">
        <v>0.80272748029513763</v>
      </c>
      <c r="AQ144">
        <v>6.7982233328598127</v>
      </c>
      <c r="AR144">
        <v>0.82677820553221282</v>
      </c>
      <c r="AS144">
        <v>3.0993942382797743</v>
      </c>
      <c r="AT144" t="e">
        <v>#DIV/0!</v>
      </c>
      <c r="AU144" t="e">
        <v>#DIV/0!</v>
      </c>
      <c r="AV144"/>
      <c r="AW144"/>
      <c r="AX144" s="146"/>
      <c r="AY144" s="76">
        <f t="shared" ca="1" si="88"/>
        <v>0.14653865559479962</v>
      </c>
      <c r="AZ144">
        <v>7</v>
      </c>
      <c r="BA144" s="129">
        <f t="shared" si="169"/>
        <v>39799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 s="147"/>
      <c r="CH144" s="176"/>
      <c r="CJ144" s="146"/>
      <c r="CK144" s="76">
        <f t="shared" ca="1" si="90"/>
        <v>0.77835535298565883</v>
      </c>
      <c r="CL144" s="179">
        <f t="shared" si="91"/>
        <v>7</v>
      </c>
      <c r="CM144" s="180">
        <f t="shared" si="92"/>
        <v>39799</v>
      </c>
      <c r="CN144">
        <v>0</v>
      </c>
      <c r="CO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 s="160"/>
      <c r="CW144">
        <v>1</v>
      </c>
      <c r="CX144">
        <f>350/60</f>
        <v>5.833333333333333</v>
      </c>
      <c r="CY144" s="165"/>
      <c r="CZ144" s="177">
        <f t="shared" si="93"/>
        <v>9.6000000000000002E-2</v>
      </c>
      <c r="DB144" s="146"/>
      <c r="DC144" s="76">
        <f t="shared" ca="1" si="51"/>
        <v>0.2932273001462038</v>
      </c>
      <c r="DD144">
        <f t="shared" si="94"/>
        <v>7</v>
      </c>
      <c r="DE144" s="129">
        <f t="shared" si="168"/>
        <v>39799</v>
      </c>
      <c r="DF144" s="161">
        <f t="shared" si="95"/>
        <v>0</v>
      </c>
      <c r="DG144" s="161">
        <f t="shared" si="96"/>
        <v>0</v>
      </c>
      <c r="DH144" s="161">
        <f t="shared" si="97"/>
        <v>0</v>
      </c>
      <c r="DI144" s="161">
        <f t="shared" si="98"/>
        <v>0</v>
      </c>
      <c r="DJ144" s="161">
        <f t="shared" si="99"/>
        <v>0</v>
      </c>
      <c r="DK144" s="161">
        <f t="shared" si="100"/>
        <v>0</v>
      </c>
      <c r="DL144" s="161">
        <f t="shared" si="101"/>
        <v>0</v>
      </c>
      <c r="DM144" s="161">
        <f t="shared" si="102"/>
        <v>0</v>
      </c>
      <c r="DN144" s="161">
        <f t="shared" si="103"/>
        <v>0</v>
      </c>
      <c r="DO144" s="161">
        <f t="shared" si="104"/>
        <v>0</v>
      </c>
      <c r="DP144" s="161">
        <f t="shared" si="105"/>
        <v>0</v>
      </c>
      <c r="DQ144" s="161">
        <f t="shared" si="106"/>
        <v>0</v>
      </c>
      <c r="DR144" s="161">
        <f t="shared" si="107"/>
        <v>0</v>
      </c>
      <c r="DS144" s="161">
        <f t="shared" si="108"/>
        <v>0</v>
      </c>
      <c r="DT144" s="161">
        <f t="shared" si="109"/>
        <v>0</v>
      </c>
      <c r="DU144" s="161">
        <f t="shared" si="110"/>
        <v>0</v>
      </c>
      <c r="DV144" s="161">
        <f t="shared" si="111"/>
        <v>0</v>
      </c>
      <c r="DW144" s="161">
        <f t="shared" si="112"/>
        <v>0</v>
      </c>
      <c r="DX144" s="161">
        <f t="shared" si="113"/>
        <v>0</v>
      </c>
      <c r="DY144" s="161">
        <f t="shared" si="114"/>
        <v>0</v>
      </c>
      <c r="DZ144" s="161">
        <f t="shared" si="115"/>
        <v>0</v>
      </c>
      <c r="EA144" s="161">
        <f t="shared" si="116"/>
        <v>0</v>
      </c>
      <c r="EB144" s="161">
        <f t="shared" si="117"/>
        <v>0</v>
      </c>
      <c r="EC144" s="161">
        <f t="shared" si="118"/>
        <v>0</v>
      </c>
      <c r="ED144" s="161">
        <f t="shared" si="119"/>
        <v>0</v>
      </c>
      <c r="EE144" s="161">
        <f t="shared" si="120"/>
        <v>0</v>
      </c>
      <c r="EF144" s="161">
        <f t="shared" si="121"/>
        <v>0</v>
      </c>
      <c r="EG144" s="161">
        <f t="shared" si="122"/>
        <v>0</v>
      </c>
      <c r="EH144" s="161">
        <f t="shared" si="123"/>
        <v>0</v>
      </c>
      <c r="EI144" s="161">
        <f t="shared" si="124"/>
        <v>0</v>
      </c>
      <c r="EJ144" s="161">
        <f t="shared" si="125"/>
        <v>0</v>
      </c>
      <c r="EK144" s="147">
        <f t="shared" si="133"/>
        <v>0</v>
      </c>
      <c r="EL144" s="149"/>
      <c r="EN144" s="146"/>
      <c r="EO144" s="146"/>
      <c r="EP144" s="139">
        <f t="shared" si="134"/>
        <v>0</v>
      </c>
      <c r="EQ144" s="139">
        <f t="shared" si="135"/>
        <v>0</v>
      </c>
      <c r="ER144" s="139">
        <f t="shared" si="136"/>
        <v>0</v>
      </c>
      <c r="ES144" s="139">
        <f t="shared" si="137"/>
        <v>0</v>
      </c>
      <c r="ET144" s="139">
        <f t="shared" si="138"/>
        <v>0</v>
      </c>
      <c r="EU144" s="139">
        <f t="shared" si="139"/>
        <v>0</v>
      </c>
      <c r="EV144" s="139">
        <f t="shared" si="140"/>
        <v>0</v>
      </c>
      <c r="EW144" s="139">
        <f t="shared" si="141"/>
        <v>0</v>
      </c>
      <c r="EX144" s="139">
        <f t="shared" si="142"/>
        <v>0</v>
      </c>
      <c r="EY144" s="139">
        <f t="shared" si="143"/>
        <v>0</v>
      </c>
      <c r="EZ144" s="139">
        <f t="shared" si="144"/>
        <v>0</v>
      </c>
      <c r="FA144" s="139">
        <f t="shared" si="145"/>
        <v>0</v>
      </c>
      <c r="FB144" s="139">
        <f t="shared" si="146"/>
        <v>0</v>
      </c>
      <c r="FC144" s="139">
        <f t="shared" si="147"/>
        <v>0</v>
      </c>
      <c r="FD144" s="139">
        <f t="shared" si="148"/>
        <v>0</v>
      </c>
      <c r="FE144" s="139">
        <f t="shared" si="149"/>
        <v>0</v>
      </c>
      <c r="FF144" s="139">
        <f t="shared" si="150"/>
        <v>0</v>
      </c>
      <c r="FG144" s="139">
        <f t="shared" si="151"/>
        <v>0</v>
      </c>
      <c r="FH144" s="139">
        <f t="shared" si="152"/>
        <v>0</v>
      </c>
      <c r="FI144" s="139">
        <f t="shared" si="153"/>
        <v>0</v>
      </c>
      <c r="FJ144" s="139">
        <f t="shared" si="154"/>
        <v>0</v>
      </c>
      <c r="FK144" s="139">
        <f t="shared" si="155"/>
        <v>0</v>
      </c>
      <c r="FL144" s="139">
        <f t="shared" si="156"/>
        <v>0</v>
      </c>
      <c r="FM144" s="139">
        <f t="shared" si="157"/>
        <v>0</v>
      </c>
      <c r="FN144" s="139">
        <f t="shared" si="158"/>
        <v>0</v>
      </c>
      <c r="FO144" s="139">
        <f t="shared" si="159"/>
        <v>0</v>
      </c>
      <c r="FP144" s="139">
        <f t="shared" si="160"/>
        <v>0</v>
      </c>
      <c r="FQ144" s="139">
        <f t="shared" si="161"/>
        <v>0</v>
      </c>
      <c r="FR144" s="139">
        <f t="shared" si="162"/>
        <v>0</v>
      </c>
      <c r="FS144" s="139">
        <f t="shared" si="163"/>
        <v>0</v>
      </c>
      <c r="FT144" s="139">
        <f t="shared" si="164"/>
        <v>0</v>
      </c>
      <c r="FU144" s="148">
        <f t="shared" si="165"/>
        <v>0</v>
      </c>
      <c r="FV144" s="149"/>
      <c r="FY144" s="211">
        <v>139</v>
      </c>
      <c r="FZ144">
        <v>1.6180246119504462</v>
      </c>
      <c r="GA144">
        <v>2.0095402704412901</v>
      </c>
      <c r="GB144">
        <v>0.9937366211093096</v>
      </c>
      <c r="GC144">
        <v>0.6983177797906619</v>
      </c>
      <c r="GD144">
        <v>0.22689249745463674</v>
      </c>
      <c r="GE144">
        <v>0.1406236436361</v>
      </c>
      <c r="GF144">
        <v>0.24090012531466881</v>
      </c>
      <c r="GG144">
        <v>0.13862439864731252</v>
      </c>
      <c r="GH144">
        <v>0</v>
      </c>
      <c r="GI144">
        <v>0.65459775308937851</v>
      </c>
      <c r="GJ144"/>
      <c r="GK144">
        <v>1.6124362132352941</v>
      </c>
      <c r="GL144">
        <v>1.6923698069852942</v>
      </c>
      <c r="GM144">
        <v>1.6312759232954543</v>
      </c>
      <c r="GN144">
        <v>2.0484463474025971</v>
      </c>
      <c r="GO144">
        <v>0.86282276785714274</v>
      </c>
      <c r="GP144">
        <v>0.26418750000000002</v>
      </c>
      <c r="GQ144">
        <v>0.29081250000000003</v>
      </c>
      <c r="GR144">
        <v>0.19312499999999999</v>
      </c>
      <c r="GS144">
        <v>0</v>
      </c>
      <c r="GT144">
        <v>0.87946948087757837</v>
      </c>
      <c r="GU144"/>
      <c r="GV144"/>
      <c r="GW144"/>
      <c r="GX144"/>
      <c r="GY144"/>
      <c r="GZ144"/>
      <c r="HA144"/>
      <c r="HB144"/>
      <c r="HC144"/>
    </row>
    <row r="145" spans="1:211" s="7" customFormat="1">
      <c r="A145" s="1"/>
      <c r="B145" s="76">
        <f t="shared" ca="1" si="132"/>
        <v>0.65767473836694457</v>
      </c>
      <c r="C145">
        <v>2</v>
      </c>
      <c r="D145">
        <v>39799</v>
      </c>
      <c r="E145">
        <v>0</v>
      </c>
      <c r="F145">
        <v>52.083333333333336</v>
      </c>
      <c r="G145">
        <v>20.833333333333332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 s="2"/>
      <c r="AK145" s="80"/>
      <c r="AL145" s="74"/>
      <c r="AM145" s="43">
        <v>129</v>
      </c>
      <c r="AN145">
        <v>51.393486638663276</v>
      </c>
      <c r="AO145">
        <v>1.2174937090674272</v>
      </c>
      <c r="AP145">
        <v>1.3357013804180384</v>
      </c>
      <c r="AQ145">
        <v>8.1044961538987028</v>
      </c>
      <c r="AR145">
        <v>1.1474511210053531</v>
      </c>
      <c r="AS145">
        <v>4.5925798127476973</v>
      </c>
      <c r="AT145" t="e">
        <v>#DIV/0!</v>
      </c>
      <c r="AU145" t="e">
        <v>#DIV/0!</v>
      </c>
      <c r="AV145"/>
      <c r="AW145"/>
      <c r="AX145" s="146"/>
      <c r="AY145" s="76">
        <f t="shared" ca="1" si="88"/>
        <v>9.1015290831065965E-2</v>
      </c>
      <c r="AZ145">
        <v>8</v>
      </c>
      <c r="BA145" s="129">
        <f t="shared" si="169"/>
        <v>39799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 s="147"/>
      <c r="CH145" s="176"/>
      <c r="CJ145" s="146"/>
      <c r="CK145" s="76">
        <f t="shared" ca="1" si="90"/>
        <v>0.96268113165897584</v>
      </c>
      <c r="CL145" s="179">
        <f t="shared" si="91"/>
        <v>8</v>
      </c>
      <c r="CM145" s="180">
        <f t="shared" si="92"/>
        <v>39799</v>
      </c>
      <c r="CN145">
        <v>0</v>
      </c>
      <c r="CO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 s="160"/>
      <c r="CW145">
        <v>1</v>
      </c>
      <c r="CX145">
        <f>350/49</f>
        <v>7.1428571428571432</v>
      </c>
      <c r="CY145" s="165"/>
      <c r="CZ145" s="177">
        <f t="shared" si="93"/>
        <v>9.6000000000000002E-2</v>
      </c>
      <c r="DB145" s="146"/>
      <c r="DC145" s="76">
        <f t="shared" ca="1" si="51"/>
        <v>0.8794817262849679</v>
      </c>
      <c r="DD145">
        <f t="shared" si="94"/>
        <v>8</v>
      </c>
      <c r="DE145" s="129">
        <f t="shared" si="168"/>
        <v>39799</v>
      </c>
      <c r="DF145" s="161">
        <f t="shared" si="95"/>
        <v>0</v>
      </c>
      <c r="DG145" s="161">
        <f t="shared" si="96"/>
        <v>0</v>
      </c>
      <c r="DH145" s="161">
        <f t="shared" si="97"/>
        <v>0</v>
      </c>
      <c r="DI145" s="161">
        <f t="shared" si="98"/>
        <v>0</v>
      </c>
      <c r="DJ145" s="161">
        <f t="shared" si="99"/>
        <v>0</v>
      </c>
      <c r="DK145" s="161">
        <f t="shared" si="100"/>
        <v>0</v>
      </c>
      <c r="DL145" s="161">
        <f t="shared" si="101"/>
        <v>0</v>
      </c>
      <c r="DM145" s="161">
        <f t="shared" si="102"/>
        <v>0</v>
      </c>
      <c r="DN145" s="161">
        <f t="shared" si="103"/>
        <v>0</v>
      </c>
      <c r="DO145" s="161">
        <f t="shared" si="104"/>
        <v>0</v>
      </c>
      <c r="DP145" s="161">
        <f t="shared" si="105"/>
        <v>0</v>
      </c>
      <c r="DQ145" s="161">
        <f t="shared" si="106"/>
        <v>0</v>
      </c>
      <c r="DR145" s="161">
        <f t="shared" si="107"/>
        <v>0</v>
      </c>
      <c r="DS145" s="161">
        <f t="shared" si="108"/>
        <v>0</v>
      </c>
      <c r="DT145" s="161">
        <f t="shared" si="109"/>
        <v>0</v>
      </c>
      <c r="DU145" s="161">
        <f t="shared" si="110"/>
        <v>0</v>
      </c>
      <c r="DV145" s="161">
        <f t="shared" si="111"/>
        <v>0</v>
      </c>
      <c r="DW145" s="161">
        <f t="shared" si="112"/>
        <v>0</v>
      </c>
      <c r="DX145" s="161">
        <f t="shared" si="113"/>
        <v>0</v>
      </c>
      <c r="DY145" s="161">
        <f t="shared" si="114"/>
        <v>0</v>
      </c>
      <c r="DZ145" s="161">
        <f t="shared" si="115"/>
        <v>0</v>
      </c>
      <c r="EA145" s="161">
        <f t="shared" si="116"/>
        <v>0</v>
      </c>
      <c r="EB145" s="161">
        <f t="shared" si="117"/>
        <v>0</v>
      </c>
      <c r="EC145" s="161">
        <f t="shared" si="118"/>
        <v>0</v>
      </c>
      <c r="ED145" s="161">
        <f t="shared" si="119"/>
        <v>0</v>
      </c>
      <c r="EE145" s="161">
        <f t="shared" si="120"/>
        <v>0</v>
      </c>
      <c r="EF145" s="161">
        <f t="shared" si="121"/>
        <v>0</v>
      </c>
      <c r="EG145" s="161">
        <f t="shared" si="122"/>
        <v>0</v>
      </c>
      <c r="EH145" s="161">
        <f t="shared" si="123"/>
        <v>0</v>
      </c>
      <c r="EI145" s="161">
        <f t="shared" si="124"/>
        <v>0</v>
      </c>
      <c r="EJ145" s="161">
        <f t="shared" si="125"/>
        <v>0</v>
      </c>
      <c r="EK145" s="147">
        <f t="shared" si="133"/>
        <v>0</v>
      </c>
      <c r="EL145" s="149"/>
      <c r="EN145" s="146"/>
      <c r="EO145" s="146"/>
      <c r="EP145" s="139">
        <f t="shared" si="134"/>
        <v>0</v>
      </c>
      <c r="EQ145" s="139">
        <f t="shared" si="135"/>
        <v>0</v>
      </c>
      <c r="ER145" s="139">
        <f t="shared" si="136"/>
        <v>0</v>
      </c>
      <c r="ES145" s="139">
        <f t="shared" si="137"/>
        <v>0</v>
      </c>
      <c r="ET145" s="139">
        <f t="shared" si="138"/>
        <v>0</v>
      </c>
      <c r="EU145" s="139">
        <f t="shared" si="139"/>
        <v>0</v>
      </c>
      <c r="EV145" s="139">
        <f t="shared" si="140"/>
        <v>0</v>
      </c>
      <c r="EW145" s="139">
        <f t="shared" si="141"/>
        <v>0</v>
      </c>
      <c r="EX145" s="139">
        <f t="shared" si="142"/>
        <v>0</v>
      </c>
      <c r="EY145" s="139">
        <f t="shared" si="143"/>
        <v>0</v>
      </c>
      <c r="EZ145" s="139">
        <f t="shared" si="144"/>
        <v>0</v>
      </c>
      <c r="FA145" s="139">
        <f t="shared" si="145"/>
        <v>0</v>
      </c>
      <c r="FB145" s="139">
        <f t="shared" si="146"/>
        <v>0</v>
      </c>
      <c r="FC145" s="139">
        <f t="shared" si="147"/>
        <v>0</v>
      </c>
      <c r="FD145" s="139">
        <f t="shared" si="148"/>
        <v>0</v>
      </c>
      <c r="FE145" s="139">
        <f t="shared" si="149"/>
        <v>0</v>
      </c>
      <c r="FF145" s="139">
        <f t="shared" si="150"/>
        <v>0</v>
      </c>
      <c r="FG145" s="139">
        <f t="shared" si="151"/>
        <v>0</v>
      </c>
      <c r="FH145" s="139">
        <f t="shared" si="152"/>
        <v>0</v>
      </c>
      <c r="FI145" s="139">
        <f t="shared" si="153"/>
        <v>0</v>
      </c>
      <c r="FJ145" s="139">
        <f t="shared" si="154"/>
        <v>0</v>
      </c>
      <c r="FK145" s="139">
        <f t="shared" si="155"/>
        <v>0</v>
      </c>
      <c r="FL145" s="139">
        <f t="shared" si="156"/>
        <v>0</v>
      </c>
      <c r="FM145" s="139">
        <f t="shared" si="157"/>
        <v>0</v>
      </c>
      <c r="FN145" s="139">
        <f t="shared" si="158"/>
        <v>0</v>
      </c>
      <c r="FO145" s="139">
        <f t="shared" si="159"/>
        <v>0</v>
      </c>
      <c r="FP145" s="139">
        <f t="shared" si="160"/>
        <v>0</v>
      </c>
      <c r="FQ145" s="139">
        <f t="shared" si="161"/>
        <v>0</v>
      </c>
      <c r="FR145" s="139">
        <f t="shared" si="162"/>
        <v>0</v>
      </c>
      <c r="FS145" s="139">
        <f t="shared" si="163"/>
        <v>0</v>
      </c>
      <c r="FT145" s="139">
        <f t="shared" si="164"/>
        <v>0</v>
      </c>
      <c r="FU145" s="148">
        <f t="shared" si="165"/>
        <v>0</v>
      </c>
      <c r="FV145" s="149"/>
      <c r="FY145" s="211">
        <v>140</v>
      </c>
      <c r="FZ145">
        <v>0.92959210543825721</v>
      </c>
      <c r="GA145">
        <v>1.6980113918622823</v>
      </c>
      <c r="GB145">
        <v>1.5470908356400344</v>
      </c>
      <c r="GC145">
        <v>0.75690426270547284</v>
      </c>
      <c r="GD145">
        <v>8.735987278140106E-2</v>
      </c>
      <c r="GE145">
        <v>4.0468675045275002E-2</v>
      </c>
      <c r="GF145">
        <v>0.36024295839505316</v>
      </c>
      <c r="GG145">
        <v>0.42899452260904691</v>
      </c>
      <c r="GH145">
        <v>0.19956886013071873</v>
      </c>
      <c r="GI145">
        <v>0.66157145049159394</v>
      </c>
      <c r="GJ145"/>
      <c r="GK145">
        <v>0.92642058823529405</v>
      </c>
      <c r="GL145">
        <v>1.4300104319852942</v>
      </c>
      <c r="GM145">
        <v>2.5396338778409087</v>
      </c>
      <c r="GN145">
        <v>2.2218645698051946</v>
      </c>
      <c r="GO145">
        <v>0.3324924107142857</v>
      </c>
      <c r="GP145">
        <v>7.5984375000000007E-2</v>
      </c>
      <c r="GQ145">
        <v>0.43509375</v>
      </c>
      <c r="GR145">
        <v>0.59734375000000006</v>
      </c>
      <c r="GS145">
        <v>0.21109375</v>
      </c>
      <c r="GT145">
        <v>0.8889468753580978</v>
      </c>
      <c r="GU145"/>
      <c r="GV145"/>
      <c r="GW145"/>
      <c r="GX145"/>
      <c r="GY145"/>
      <c r="GZ145"/>
      <c r="HA145"/>
      <c r="HB145"/>
      <c r="HC145"/>
    </row>
    <row r="146" spans="1:211" s="7" customFormat="1">
      <c r="A146" s="1"/>
      <c r="B146" s="76">
        <f t="shared" ca="1" si="132"/>
        <v>0.47091360179774222</v>
      </c>
      <c r="C146">
        <v>10</v>
      </c>
      <c r="D146">
        <v>39799</v>
      </c>
      <c r="E146">
        <v>0</v>
      </c>
      <c r="F146">
        <v>10.416666666666666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 s="2"/>
      <c r="AK146" s="80"/>
      <c r="AL146" s="74"/>
      <c r="AM146" s="43">
        <v>130</v>
      </c>
      <c r="AN146">
        <v>40.65957191637338</v>
      </c>
      <c r="AO146">
        <v>0.93215454416478116</v>
      </c>
      <c r="AP146">
        <v>0.43589381849637121</v>
      </c>
      <c r="AQ146">
        <v>7.5778920566532033</v>
      </c>
      <c r="AR146">
        <v>0.888051880184766</v>
      </c>
      <c r="AS146">
        <v>3.0643230850919001</v>
      </c>
      <c r="AT146">
        <v>0.67128361324242702</v>
      </c>
      <c r="AU146">
        <v>0.28403299980807867</v>
      </c>
      <c r="AV146"/>
      <c r="AW146"/>
      <c r="AX146" s="146"/>
      <c r="AY146" s="76">
        <f t="shared" ca="1" si="88"/>
        <v>0.21151829282934753</v>
      </c>
      <c r="AZ146">
        <v>9</v>
      </c>
      <c r="BA146" s="129">
        <f t="shared" si="169"/>
        <v>39799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 s="147"/>
      <c r="CH146" s="176"/>
      <c r="CJ146" s="146"/>
      <c r="CK146" s="76">
        <f t="shared" ca="1" si="90"/>
        <v>0.19769507409358522</v>
      </c>
      <c r="CL146" s="179">
        <f t="shared" si="91"/>
        <v>9</v>
      </c>
      <c r="CM146" s="180">
        <f t="shared" si="92"/>
        <v>39799</v>
      </c>
      <c r="CN146">
        <v>0</v>
      </c>
      <c r="CO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 s="160"/>
      <c r="CW146">
        <v>1</v>
      </c>
      <c r="CX146">
        <f>475/86</f>
        <v>5.5232558139534884</v>
      </c>
      <c r="CY146" s="165"/>
      <c r="CZ146" s="177">
        <f t="shared" si="93"/>
        <v>9.6000000000000002E-2</v>
      </c>
      <c r="DB146" s="146"/>
      <c r="DC146" s="76">
        <f t="shared" ca="1" si="51"/>
        <v>0.66479071287444391</v>
      </c>
      <c r="DD146">
        <f t="shared" si="94"/>
        <v>9</v>
      </c>
      <c r="DE146" s="129">
        <f t="shared" si="168"/>
        <v>39799</v>
      </c>
      <c r="DF146" s="161">
        <f t="shared" si="95"/>
        <v>0</v>
      </c>
      <c r="DG146" s="161">
        <f t="shared" si="96"/>
        <v>0</v>
      </c>
      <c r="DH146" s="161">
        <f t="shared" si="97"/>
        <v>0</v>
      </c>
      <c r="DI146" s="161">
        <f t="shared" si="98"/>
        <v>0</v>
      </c>
      <c r="DJ146" s="161">
        <f t="shared" si="99"/>
        <v>0</v>
      </c>
      <c r="DK146" s="161">
        <f t="shared" si="100"/>
        <v>0</v>
      </c>
      <c r="DL146" s="161">
        <f t="shared" si="101"/>
        <v>0</v>
      </c>
      <c r="DM146" s="161">
        <f t="shared" si="102"/>
        <v>0</v>
      </c>
      <c r="DN146" s="161">
        <f t="shared" si="103"/>
        <v>0</v>
      </c>
      <c r="DO146" s="161">
        <f t="shared" si="104"/>
        <v>0</v>
      </c>
      <c r="DP146" s="161">
        <f t="shared" si="105"/>
        <v>0</v>
      </c>
      <c r="DQ146" s="161">
        <f t="shared" si="106"/>
        <v>0</v>
      </c>
      <c r="DR146" s="161">
        <f t="shared" si="107"/>
        <v>0</v>
      </c>
      <c r="DS146" s="161">
        <f t="shared" si="108"/>
        <v>0</v>
      </c>
      <c r="DT146" s="161">
        <f t="shared" si="109"/>
        <v>0</v>
      </c>
      <c r="DU146" s="161">
        <f t="shared" si="110"/>
        <v>0</v>
      </c>
      <c r="DV146" s="161">
        <f t="shared" si="111"/>
        <v>0</v>
      </c>
      <c r="DW146" s="161">
        <f t="shared" si="112"/>
        <v>0</v>
      </c>
      <c r="DX146" s="161">
        <f t="shared" si="113"/>
        <v>0</v>
      </c>
      <c r="DY146" s="161">
        <f t="shared" si="114"/>
        <v>0</v>
      </c>
      <c r="DZ146" s="161">
        <f t="shared" si="115"/>
        <v>0</v>
      </c>
      <c r="EA146" s="161">
        <f t="shared" si="116"/>
        <v>0</v>
      </c>
      <c r="EB146" s="161">
        <f t="shared" si="117"/>
        <v>0</v>
      </c>
      <c r="EC146" s="161">
        <f t="shared" si="118"/>
        <v>0</v>
      </c>
      <c r="ED146" s="161">
        <f t="shared" si="119"/>
        <v>0</v>
      </c>
      <c r="EE146" s="161">
        <f t="shared" si="120"/>
        <v>0</v>
      </c>
      <c r="EF146" s="161">
        <f t="shared" si="121"/>
        <v>0</v>
      </c>
      <c r="EG146" s="161">
        <f t="shared" si="122"/>
        <v>0</v>
      </c>
      <c r="EH146" s="161">
        <f t="shared" si="123"/>
        <v>0</v>
      </c>
      <c r="EI146" s="161">
        <f t="shared" si="124"/>
        <v>0</v>
      </c>
      <c r="EJ146" s="161">
        <f t="shared" si="125"/>
        <v>0</v>
      </c>
      <c r="EK146" s="147">
        <f t="shared" si="133"/>
        <v>0</v>
      </c>
      <c r="EL146" s="149"/>
      <c r="EN146" s="146"/>
      <c r="EO146" s="146"/>
      <c r="EP146" s="139">
        <f t="shared" si="134"/>
        <v>0</v>
      </c>
      <c r="EQ146" s="139">
        <f t="shared" si="135"/>
        <v>0</v>
      </c>
      <c r="ER146" s="139">
        <f t="shared" si="136"/>
        <v>0</v>
      </c>
      <c r="ES146" s="139">
        <f t="shared" si="137"/>
        <v>0</v>
      </c>
      <c r="ET146" s="139">
        <f t="shared" si="138"/>
        <v>0</v>
      </c>
      <c r="EU146" s="139">
        <f t="shared" si="139"/>
        <v>0</v>
      </c>
      <c r="EV146" s="139">
        <f t="shared" si="140"/>
        <v>0</v>
      </c>
      <c r="EW146" s="139">
        <f t="shared" si="141"/>
        <v>0</v>
      </c>
      <c r="EX146" s="139">
        <f t="shared" si="142"/>
        <v>0</v>
      </c>
      <c r="EY146" s="139">
        <f t="shared" si="143"/>
        <v>0</v>
      </c>
      <c r="EZ146" s="139">
        <f t="shared" si="144"/>
        <v>0</v>
      </c>
      <c r="FA146" s="139">
        <f t="shared" si="145"/>
        <v>0</v>
      </c>
      <c r="FB146" s="139">
        <f t="shared" si="146"/>
        <v>0</v>
      </c>
      <c r="FC146" s="139">
        <f t="shared" si="147"/>
        <v>0</v>
      </c>
      <c r="FD146" s="139">
        <f t="shared" si="148"/>
        <v>0</v>
      </c>
      <c r="FE146" s="139">
        <f t="shared" si="149"/>
        <v>0</v>
      </c>
      <c r="FF146" s="139">
        <f t="shared" si="150"/>
        <v>0</v>
      </c>
      <c r="FG146" s="139">
        <f t="shared" si="151"/>
        <v>0</v>
      </c>
      <c r="FH146" s="139">
        <f t="shared" si="152"/>
        <v>0</v>
      </c>
      <c r="FI146" s="139">
        <f t="shared" si="153"/>
        <v>0</v>
      </c>
      <c r="FJ146" s="139">
        <f t="shared" si="154"/>
        <v>0</v>
      </c>
      <c r="FK146" s="139">
        <f t="shared" si="155"/>
        <v>0</v>
      </c>
      <c r="FL146" s="139">
        <f t="shared" si="156"/>
        <v>0</v>
      </c>
      <c r="FM146" s="139">
        <f t="shared" si="157"/>
        <v>0</v>
      </c>
      <c r="FN146" s="139">
        <f t="shared" si="158"/>
        <v>0</v>
      </c>
      <c r="FO146" s="139">
        <f t="shared" si="159"/>
        <v>0</v>
      </c>
      <c r="FP146" s="139">
        <f t="shared" si="160"/>
        <v>0</v>
      </c>
      <c r="FQ146" s="139">
        <f t="shared" si="161"/>
        <v>0</v>
      </c>
      <c r="FR146" s="139">
        <f t="shared" si="162"/>
        <v>0</v>
      </c>
      <c r="FS146" s="139">
        <f t="shared" si="163"/>
        <v>0</v>
      </c>
      <c r="FT146" s="139">
        <f t="shared" si="164"/>
        <v>0</v>
      </c>
      <c r="FU146" s="148">
        <f t="shared" si="165"/>
        <v>0</v>
      </c>
      <c r="FV146" s="149"/>
      <c r="FY146" s="211">
        <v>141</v>
      </c>
      <c r="FZ146">
        <v>1.1311640223374224</v>
      </c>
      <c r="GA146">
        <v>1.7467183449401043</v>
      </c>
      <c r="GB146">
        <v>1.07910629751735</v>
      </c>
      <c r="GC146">
        <v>0.65269920315351204</v>
      </c>
      <c r="GD146">
        <v>0.13292138416532789</v>
      </c>
      <c r="GE146">
        <v>9.6357736129499983E-3</v>
      </c>
      <c r="GF146">
        <v>1.1621547863886474</v>
      </c>
      <c r="GG146">
        <v>1.0578327695063923</v>
      </c>
      <c r="GH146">
        <v>6.6522953376906252E-2</v>
      </c>
      <c r="GI146">
        <v>0.72599778225620559</v>
      </c>
      <c r="GJ146"/>
      <c r="GK146">
        <v>1.1272987132352941</v>
      </c>
      <c r="GL146">
        <v>1.4712674632352942</v>
      </c>
      <c r="GM146">
        <v>1.7714829545454545</v>
      </c>
      <c r="GN146">
        <v>1.915410633116883</v>
      </c>
      <c r="GO146">
        <v>0.50599017857142869</v>
      </c>
      <c r="GP146">
        <v>1.8093749999999999E-2</v>
      </c>
      <c r="GQ146">
        <v>1.4014728260869567</v>
      </c>
      <c r="GR146">
        <v>1.47183740942029</v>
      </c>
      <c r="GS146">
        <v>7.0364583333333328E-2</v>
      </c>
      <c r="GT146">
        <v>0.97532185115449344</v>
      </c>
      <c r="GU146"/>
      <c r="GV146"/>
      <c r="GW146"/>
      <c r="GX146"/>
      <c r="GY146"/>
      <c r="GZ146"/>
      <c r="HA146"/>
      <c r="HB146"/>
      <c r="HC146"/>
    </row>
    <row r="147" spans="1:211" s="7" customFormat="1">
      <c r="A147" s="1"/>
      <c r="B147" s="76">
        <f t="shared" ca="1" si="132"/>
        <v>0.97901492639098908</v>
      </c>
      <c r="C147">
        <v>8</v>
      </c>
      <c r="D147">
        <v>39799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 s="2"/>
      <c r="AK147" s="80"/>
      <c r="AL147" s="74"/>
      <c r="AM147" s="43">
        <v>131</v>
      </c>
      <c r="AN147">
        <v>32.449070230795769</v>
      </c>
      <c r="AO147">
        <v>0.80771857106276845</v>
      </c>
      <c r="AP147">
        <v>8.8693728697740539</v>
      </c>
      <c r="AQ147">
        <v>5.6013844495534375</v>
      </c>
      <c r="AR147">
        <v>0.74595099554657274</v>
      </c>
      <c r="AS147">
        <v>2.7302349038517235</v>
      </c>
      <c r="AT147" t="e">
        <v>#DIV/0!</v>
      </c>
      <c r="AU147" t="e">
        <v>#DIV/0!</v>
      </c>
      <c r="AV147"/>
      <c r="AW147"/>
      <c r="AX147" s="146"/>
      <c r="AY147" s="76">
        <f t="shared" ca="1" si="88"/>
        <v>0.30351027613986314</v>
      </c>
      <c r="AZ147">
        <v>10</v>
      </c>
      <c r="BA147" s="129">
        <f t="shared" si="169"/>
        <v>39799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 s="147"/>
      <c r="CH147" s="176"/>
      <c r="CJ147" s="146"/>
      <c r="CK147" s="76">
        <f t="shared" ca="1" si="90"/>
        <v>0.28133847164780024</v>
      </c>
      <c r="CL147" s="179">
        <f t="shared" si="91"/>
        <v>10</v>
      </c>
      <c r="CM147" s="180">
        <f t="shared" si="92"/>
        <v>39799</v>
      </c>
      <c r="CN147">
        <v>0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 s="160"/>
      <c r="CW147">
        <v>1</v>
      </c>
      <c r="CX147">
        <v>1</v>
      </c>
      <c r="CY147" s="165"/>
      <c r="CZ147" s="177">
        <f t="shared" si="93"/>
        <v>9.6000000000000002E-2</v>
      </c>
      <c r="DB147" s="146"/>
      <c r="DC147" s="76">
        <f t="shared" ca="1" si="51"/>
        <v>0.13566089317988927</v>
      </c>
      <c r="DD147">
        <f t="shared" si="94"/>
        <v>10</v>
      </c>
      <c r="DE147" s="129">
        <f t="shared" si="168"/>
        <v>39799</v>
      </c>
      <c r="DF147" s="161">
        <f t="shared" si="95"/>
        <v>0</v>
      </c>
      <c r="DG147" s="161">
        <f t="shared" si="96"/>
        <v>10.416666666666666</v>
      </c>
      <c r="DH147" s="161">
        <f t="shared" si="97"/>
        <v>0</v>
      </c>
      <c r="DI147" s="161">
        <f t="shared" si="98"/>
        <v>0</v>
      </c>
      <c r="DJ147" s="161">
        <f t="shared" si="99"/>
        <v>0</v>
      </c>
      <c r="DK147" s="161">
        <f t="shared" si="100"/>
        <v>0</v>
      </c>
      <c r="DL147" s="161">
        <f t="shared" si="101"/>
        <v>0</v>
      </c>
      <c r="DM147" s="161">
        <f t="shared" si="102"/>
        <v>0</v>
      </c>
      <c r="DN147" s="161">
        <f t="shared" si="103"/>
        <v>0</v>
      </c>
      <c r="DO147" s="161">
        <f t="shared" si="104"/>
        <v>0</v>
      </c>
      <c r="DP147" s="161">
        <f t="shared" si="105"/>
        <v>0</v>
      </c>
      <c r="DQ147" s="161">
        <f t="shared" si="106"/>
        <v>0</v>
      </c>
      <c r="DR147" s="161">
        <f t="shared" si="107"/>
        <v>0</v>
      </c>
      <c r="DS147" s="161">
        <f t="shared" si="108"/>
        <v>0</v>
      </c>
      <c r="DT147" s="161">
        <f t="shared" si="109"/>
        <v>0</v>
      </c>
      <c r="DU147" s="161">
        <f t="shared" si="110"/>
        <v>0</v>
      </c>
      <c r="DV147" s="161">
        <f t="shared" si="111"/>
        <v>0</v>
      </c>
      <c r="DW147" s="161">
        <f t="shared" si="112"/>
        <v>0</v>
      </c>
      <c r="DX147" s="161">
        <f t="shared" si="113"/>
        <v>0</v>
      </c>
      <c r="DY147" s="161">
        <f t="shared" si="114"/>
        <v>0</v>
      </c>
      <c r="DZ147" s="161">
        <f t="shared" si="115"/>
        <v>0</v>
      </c>
      <c r="EA147" s="161">
        <f t="shared" si="116"/>
        <v>0</v>
      </c>
      <c r="EB147" s="161">
        <f t="shared" si="117"/>
        <v>0</v>
      </c>
      <c r="EC147" s="161">
        <f t="shared" si="118"/>
        <v>0</v>
      </c>
      <c r="ED147" s="161">
        <f t="shared" si="119"/>
        <v>0</v>
      </c>
      <c r="EE147" s="161">
        <f t="shared" si="120"/>
        <v>0</v>
      </c>
      <c r="EF147" s="161">
        <f t="shared" si="121"/>
        <v>0</v>
      </c>
      <c r="EG147" s="161">
        <f t="shared" si="122"/>
        <v>0</v>
      </c>
      <c r="EH147" s="161">
        <f t="shared" si="123"/>
        <v>0</v>
      </c>
      <c r="EI147" s="161">
        <f t="shared" si="124"/>
        <v>0</v>
      </c>
      <c r="EJ147" s="161">
        <f t="shared" si="125"/>
        <v>0</v>
      </c>
      <c r="EK147" s="147">
        <f t="shared" si="133"/>
        <v>10.416666666666666</v>
      </c>
      <c r="EL147" s="149"/>
      <c r="EN147" s="146"/>
      <c r="EO147" s="146"/>
      <c r="EP147" s="139">
        <f t="shared" si="134"/>
        <v>0</v>
      </c>
      <c r="EQ147" s="139">
        <f t="shared" si="135"/>
        <v>0.1809375</v>
      </c>
      <c r="ER147" s="139">
        <f t="shared" si="136"/>
        <v>0</v>
      </c>
      <c r="ES147" s="139">
        <f t="shared" si="137"/>
        <v>0</v>
      </c>
      <c r="ET147" s="139">
        <f t="shared" si="138"/>
        <v>0</v>
      </c>
      <c r="EU147" s="139">
        <f t="shared" si="139"/>
        <v>0</v>
      </c>
      <c r="EV147" s="139">
        <f t="shared" si="140"/>
        <v>0</v>
      </c>
      <c r="EW147" s="139">
        <f t="shared" si="141"/>
        <v>0</v>
      </c>
      <c r="EX147" s="139">
        <f t="shared" si="142"/>
        <v>0</v>
      </c>
      <c r="EY147" s="139">
        <f t="shared" si="143"/>
        <v>0</v>
      </c>
      <c r="EZ147" s="139">
        <f t="shared" si="144"/>
        <v>0</v>
      </c>
      <c r="FA147" s="139">
        <f t="shared" si="145"/>
        <v>0</v>
      </c>
      <c r="FB147" s="139">
        <f t="shared" si="146"/>
        <v>0</v>
      </c>
      <c r="FC147" s="139">
        <f t="shared" si="147"/>
        <v>0</v>
      </c>
      <c r="FD147" s="139">
        <f t="shared" si="148"/>
        <v>0</v>
      </c>
      <c r="FE147" s="139">
        <f t="shared" si="149"/>
        <v>0</v>
      </c>
      <c r="FF147" s="139">
        <f t="shared" si="150"/>
        <v>0</v>
      </c>
      <c r="FG147" s="139">
        <f t="shared" si="151"/>
        <v>0</v>
      </c>
      <c r="FH147" s="139">
        <f t="shared" si="152"/>
        <v>0</v>
      </c>
      <c r="FI147" s="139">
        <f t="shared" si="153"/>
        <v>0</v>
      </c>
      <c r="FJ147" s="139">
        <f t="shared" si="154"/>
        <v>0</v>
      </c>
      <c r="FK147" s="139">
        <f t="shared" si="155"/>
        <v>0</v>
      </c>
      <c r="FL147" s="139">
        <f t="shared" si="156"/>
        <v>0</v>
      </c>
      <c r="FM147" s="139">
        <f t="shared" si="157"/>
        <v>0</v>
      </c>
      <c r="FN147" s="139">
        <f t="shared" si="158"/>
        <v>0</v>
      </c>
      <c r="FO147" s="139">
        <f t="shared" si="159"/>
        <v>0</v>
      </c>
      <c r="FP147" s="139">
        <f t="shared" si="160"/>
        <v>0</v>
      </c>
      <c r="FQ147" s="139">
        <f t="shared" si="161"/>
        <v>0</v>
      </c>
      <c r="FR147" s="139">
        <f t="shared" si="162"/>
        <v>0</v>
      </c>
      <c r="FS147" s="139">
        <f t="shared" si="163"/>
        <v>0</v>
      </c>
      <c r="FT147" s="139">
        <f t="shared" si="164"/>
        <v>0</v>
      </c>
      <c r="FU147" s="148">
        <f t="shared" si="165"/>
        <v>0.1809375</v>
      </c>
      <c r="FV147" s="149"/>
      <c r="FY147" s="211">
        <v>142</v>
      </c>
      <c r="FZ147">
        <v>0.53955442052704394</v>
      </c>
      <c r="GA147">
        <v>1.125355814317039</v>
      </c>
      <c r="GB147">
        <v>0.98931184540282957</v>
      </c>
      <c r="GC147">
        <v>0.70913203668370128</v>
      </c>
      <c r="GD147">
        <v>0.2628687046717928</v>
      </c>
      <c r="GE147">
        <v>0.1020805491843</v>
      </c>
      <c r="GF147">
        <v>0.73485967443875966</v>
      </c>
      <c r="GG147">
        <v>0.61737285987307855</v>
      </c>
      <c r="GH147">
        <v>0.11249442504775362</v>
      </c>
      <c r="GI147">
        <v>0.62041343698858942</v>
      </c>
      <c r="GJ147"/>
      <c r="GK147">
        <v>0.53759062499999999</v>
      </c>
      <c r="GL147">
        <v>0.94748906250000009</v>
      </c>
      <c r="GM147">
        <v>1.6237798295454544</v>
      </c>
      <c r="GN147">
        <v>2.0797965706168826</v>
      </c>
      <c r="GO147">
        <v>0.99988392857142838</v>
      </c>
      <c r="GP147">
        <v>0.1918125</v>
      </c>
      <c r="GQ147">
        <v>0.88672010869565221</v>
      </c>
      <c r="GR147">
        <v>0.85939719202898535</v>
      </c>
      <c r="GS147">
        <v>0.11895232371794871</v>
      </c>
      <c r="GT147">
        <v>0.83338536310609668</v>
      </c>
      <c r="GU147"/>
      <c r="GV147"/>
      <c r="GW147"/>
      <c r="GX147"/>
      <c r="GY147"/>
      <c r="GZ147"/>
      <c r="HA147"/>
      <c r="HB147"/>
      <c r="HC147"/>
    </row>
    <row r="148" spans="1:211" s="7" customFormat="1">
      <c r="A148" s="128"/>
      <c r="B148" s="76">
        <f t="shared" ca="1" si="132"/>
        <v>0.82783166675406772</v>
      </c>
      <c r="C148">
        <v>10</v>
      </c>
      <c r="D148">
        <v>39847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 s="2"/>
      <c r="AK148" s="80"/>
      <c r="AL148" s="74">
        <v>3.0028000000000028</v>
      </c>
      <c r="AM148" s="43">
        <v>132</v>
      </c>
      <c r="AN148">
        <v>34.629654253934945</v>
      </c>
      <c r="AO148">
        <v>0.90027122335012599</v>
      </c>
      <c r="AP148">
        <v>8.3262578664158795</v>
      </c>
      <c r="AQ148">
        <v>7.1056490630909774</v>
      </c>
      <c r="AR148">
        <v>0.83150339579032417</v>
      </c>
      <c r="AS148">
        <v>2.7926849515611369</v>
      </c>
      <c r="AT148" t="e">
        <v>#DIV/0!</v>
      </c>
      <c r="AU148" t="e">
        <v>#DIV/0!</v>
      </c>
      <c r="AV148"/>
      <c r="AW148"/>
      <c r="AX148" s="128"/>
      <c r="AY148" s="76">
        <f t="shared" ca="1" si="88"/>
        <v>0.87326081894293606</v>
      </c>
      <c r="AZ148">
        <v>1</v>
      </c>
      <c r="BA148" s="129">
        <f>IF(AZ148="", "",$C$10)</f>
        <v>39847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 s="147"/>
      <c r="CH148" s="176"/>
      <c r="CJ148" s="128"/>
      <c r="CK148" s="76">
        <f t="shared" ca="1" si="90"/>
        <v>0.78282181338920109</v>
      </c>
      <c r="CL148" s="179">
        <f t="shared" si="91"/>
        <v>1</v>
      </c>
      <c r="CM148" s="180">
        <f t="shared" si="92"/>
        <v>39847</v>
      </c>
      <c r="CN148">
        <v>1</v>
      </c>
      <c r="CO148">
        <v>5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 s="160"/>
      <c r="CW148">
        <v>1</v>
      </c>
      <c r="CX148">
        <v>1</v>
      </c>
      <c r="CY148" s="160"/>
      <c r="CZ148" s="177">
        <f t="shared" si="93"/>
        <v>9.6000000000000002E-2</v>
      </c>
      <c r="DB148" s="128"/>
      <c r="DC148" s="76">
        <f t="shared" ca="1" si="51"/>
        <v>0.16733986443847026</v>
      </c>
      <c r="DD148">
        <f t="shared" si="94"/>
        <v>1</v>
      </c>
      <c r="DE148" s="129">
        <f t="shared" ref="DE148:DE157" si="170">IF((DD148)="", "", $C$10)</f>
        <v>39847</v>
      </c>
      <c r="DF148" s="161">
        <f t="shared" si="95"/>
        <v>10.416666666666666</v>
      </c>
      <c r="DG148" s="161">
        <f t="shared" si="96"/>
        <v>52.083333333333336</v>
      </c>
      <c r="DH148" s="161">
        <f t="shared" si="97"/>
        <v>0</v>
      </c>
      <c r="DI148" s="161">
        <f t="shared" si="98"/>
        <v>0</v>
      </c>
      <c r="DJ148" s="161">
        <f t="shared" si="99"/>
        <v>0</v>
      </c>
      <c r="DK148" s="161">
        <f t="shared" si="100"/>
        <v>0</v>
      </c>
      <c r="DL148" s="161">
        <f t="shared" si="101"/>
        <v>0</v>
      </c>
      <c r="DM148" s="161">
        <f t="shared" si="102"/>
        <v>0</v>
      </c>
      <c r="DN148" s="161">
        <f t="shared" si="103"/>
        <v>0</v>
      </c>
      <c r="DO148" s="161">
        <f t="shared" si="104"/>
        <v>0</v>
      </c>
      <c r="DP148" s="161">
        <f t="shared" si="105"/>
        <v>0</v>
      </c>
      <c r="DQ148" s="161">
        <f t="shared" si="106"/>
        <v>0</v>
      </c>
      <c r="DR148" s="161">
        <f t="shared" si="107"/>
        <v>0</v>
      </c>
      <c r="DS148" s="161">
        <f t="shared" si="108"/>
        <v>0</v>
      </c>
      <c r="DT148" s="161">
        <f t="shared" si="109"/>
        <v>0</v>
      </c>
      <c r="DU148" s="161">
        <f t="shared" si="110"/>
        <v>0</v>
      </c>
      <c r="DV148" s="161">
        <f t="shared" si="111"/>
        <v>0</v>
      </c>
      <c r="DW148" s="161">
        <f t="shared" si="112"/>
        <v>0</v>
      </c>
      <c r="DX148" s="161">
        <f t="shared" si="113"/>
        <v>0</v>
      </c>
      <c r="DY148" s="161">
        <f t="shared" si="114"/>
        <v>0</v>
      </c>
      <c r="DZ148" s="161">
        <f t="shared" si="115"/>
        <v>0</v>
      </c>
      <c r="EA148" s="161">
        <f t="shared" si="116"/>
        <v>0</v>
      </c>
      <c r="EB148" s="161">
        <f t="shared" si="117"/>
        <v>0</v>
      </c>
      <c r="EC148" s="161">
        <f t="shared" si="118"/>
        <v>0</v>
      </c>
      <c r="ED148" s="161">
        <f t="shared" si="119"/>
        <v>0</v>
      </c>
      <c r="EE148" s="161">
        <f t="shared" si="120"/>
        <v>0</v>
      </c>
      <c r="EF148" s="161">
        <f t="shared" si="121"/>
        <v>0</v>
      </c>
      <c r="EG148" s="161">
        <f t="shared" si="122"/>
        <v>0</v>
      </c>
      <c r="EH148" s="161">
        <f t="shared" si="123"/>
        <v>0</v>
      </c>
      <c r="EI148" s="161">
        <f t="shared" si="124"/>
        <v>0</v>
      </c>
      <c r="EJ148" s="161">
        <f t="shared" si="125"/>
        <v>0</v>
      </c>
      <c r="EK148" s="147">
        <f t="shared" si="133"/>
        <v>62.5</v>
      </c>
      <c r="EL148" s="149"/>
      <c r="EN148" s="146"/>
      <c r="EO148" s="146"/>
      <c r="EP148" s="139">
        <f t="shared" si="134"/>
        <v>7.2187499999999988E-2</v>
      </c>
      <c r="EQ148" s="139">
        <f t="shared" si="135"/>
        <v>0.90468750000000009</v>
      </c>
      <c r="ER148" s="139">
        <f t="shared" si="136"/>
        <v>0</v>
      </c>
      <c r="ES148" s="139">
        <f t="shared" si="137"/>
        <v>0</v>
      </c>
      <c r="ET148" s="139">
        <f t="shared" si="138"/>
        <v>0</v>
      </c>
      <c r="EU148" s="139">
        <f t="shared" si="139"/>
        <v>0</v>
      </c>
      <c r="EV148" s="139">
        <f t="shared" si="140"/>
        <v>0</v>
      </c>
      <c r="EW148" s="139">
        <f t="shared" si="141"/>
        <v>0</v>
      </c>
      <c r="EX148" s="139">
        <f t="shared" si="142"/>
        <v>0</v>
      </c>
      <c r="EY148" s="139">
        <f t="shared" si="143"/>
        <v>0</v>
      </c>
      <c r="EZ148" s="139">
        <f t="shared" si="144"/>
        <v>0</v>
      </c>
      <c r="FA148" s="139">
        <f t="shared" si="145"/>
        <v>0</v>
      </c>
      <c r="FB148" s="139">
        <f t="shared" si="146"/>
        <v>0</v>
      </c>
      <c r="FC148" s="139">
        <f t="shared" si="147"/>
        <v>0</v>
      </c>
      <c r="FD148" s="139">
        <f t="shared" si="148"/>
        <v>0</v>
      </c>
      <c r="FE148" s="139">
        <f t="shared" si="149"/>
        <v>0</v>
      </c>
      <c r="FF148" s="139">
        <f t="shared" si="150"/>
        <v>0</v>
      </c>
      <c r="FG148" s="139">
        <f t="shared" si="151"/>
        <v>0</v>
      </c>
      <c r="FH148" s="139">
        <f t="shared" si="152"/>
        <v>0</v>
      </c>
      <c r="FI148" s="139">
        <f t="shared" si="153"/>
        <v>0</v>
      </c>
      <c r="FJ148" s="139">
        <f t="shared" si="154"/>
        <v>0</v>
      </c>
      <c r="FK148" s="139">
        <f t="shared" si="155"/>
        <v>0</v>
      </c>
      <c r="FL148" s="139">
        <f t="shared" si="156"/>
        <v>0</v>
      </c>
      <c r="FM148" s="139">
        <f t="shared" si="157"/>
        <v>0</v>
      </c>
      <c r="FN148" s="139">
        <f t="shared" si="158"/>
        <v>0</v>
      </c>
      <c r="FO148" s="139">
        <f t="shared" si="159"/>
        <v>0</v>
      </c>
      <c r="FP148" s="139">
        <f t="shared" si="160"/>
        <v>0</v>
      </c>
      <c r="FQ148" s="139">
        <f t="shared" si="161"/>
        <v>0</v>
      </c>
      <c r="FR148" s="139">
        <f t="shared" si="162"/>
        <v>0</v>
      </c>
      <c r="FS148" s="139">
        <f t="shared" si="163"/>
        <v>0</v>
      </c>
      <c r="FT148" s="139">
        <f t="shared" si="164"/>
        <v>0</v>
      </c>
      <c r="FU148" s="148">
        <f t="shared" si="165"/>
        <v>0.97687500000000005</v>
      </c>
      <c r="FV148" s="149"/>
      <c r="FY148" s="211">
        <v>143</v>
      </c>
      <c r="FZ148">
        <v>1.9359829575132359</v>
      </c>
      <c r="GA148">
        <v>2.2997757005889836</v>
      </c>
      <c r="GB148">
        <v>0.68393138153271682</v>
      </c>
      <c r="GC148">
        <v>0.34657490591590434</v>
      </c>
      <c r="GD148">
        <v>7.3667704533499273E-2</v>
      </c>
      <c r="GE148">
        <v>0.10502678412292502</v>
      </c>
      <c r="GF148">
        <v>0.57499774394694703</v>
      </c>
      <c r="GG148">
        <v>0.52933036966390667</v>
      </c>
      <c r="GH148">
        <v>0.1330459067538125</v>
      </c>
      <c r="GI148">
        <v>0.62023064378588244</v>
      </c>
      <c r="GJ148"/>
      <c r="GK148">
        <v>1.9291330882352939</v>
      </c>
      <c r="GL148">
        <v>1.936691681985294</v>
      </c>
      <c r="GM148">
        <v>1.12228515625</v>
      </c>
      <c r="GN148">
        <v>1.0165180803571428</v>
      </c>
      <c r="GO148">
        <v>0.28021339285714286</v>
      </c>
      <c r="GP148">
        <v>0.19720312500000001</v>
      </c>
      <c r="GQ148">
        <v>0.69359510869565222</v>
      </c>
      <c r="GR148">
        <v>0.73663677536231864</v>
      </c>
      <c r="GS148">
        <v>0.14072916666666666</v>
      </c>
      <c r="GT148">
        <v>0.83319118254095104</v>
      </c>
      <c r="GU148"/>
      <c r="GV148"/>
      <c r="GW148"/>
      <c r="GX148"/>
      <c r="GY148"/>
      <c r="GZ148"/>
      <c r="HA148"/>
      <c r="HB148"/>
      <c r="HC148"/>
    </row>
    <row r="149" spans="1:211" s="7" customFormat="1">
      <c r="A149" s="77"/>
      <c r="B149" s="76">
        <f t="shared" ca="1" si="132"/>
        <v>0.72930693017188908</v>
      </c>
      <c r="C149">
        <v>8</v>
      </c>
      <c r="D149">
        <v>39847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 s="2"/>
      <c r="AK149" s="80"/>
      <c r="AL149" s="74">
        <v>3.0028000000000028</v>
      </c>
      <c r="AM149" s="43">
        <v>133</v>
      </c>
      <c r="AN149">
        <v>38.106361186708043</v>
      </c>
      <c r="AO149">
        <v>0.85739176983121834</v>
      </c>
      <c r="AP149">
        <v>0.69047500108965842</v>
      </c>
      <c r="AQ149">
        <v>5.9771213514267778</v>
      </c>
      <c r="AR149">
        <v>0.7961442335004083</v>
      </c>
      <c r="AS149">
        <v>3.1213526935960805</v>
      </c>
      <c r="AT149">
        <v>0.61535147396309953</v>
      </c>
      <c r="AU149">
        <v>9.7709613587235733E-2</v>
      </c>
      <c r="AV149"/>
      <c r="AW149"/>
      <c r="AX149" s="151"/>
      <c r="AY149" s="76">
        <f t="shared" ca="1" si="88"/>
        <v>0.55609595963055192</v>
      </c>
      <c r="AZ149">
        <v>2</v>
      </c>
      <c r="BA149" s="129">
        <f t="shared" ref="BA149:BA157" si="171">IF(AZ149="", "",$C$10)</f>
        <v>39847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 s="147"/>
      <c r="CH149" s="176"/>
      <c r="CJ149" s="151"/>
      <c r="CK149" s="76">
        <f t="shared" ca="1" si="90"/>
        <v>0.50296323791927944</v>
      </c>
      <c r="CL149" s="179">
        <f t="shared" si="91"/>
        <v>2</v>
      </c>
      <c r="CM149" s="180">
        <f t="shared" si="92"/>
        <v>39847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 s="160"/>
      <c r="CW149">
        <f>40/12</f>
        <v>3.3333333333333335</v>
      </c>
      <c r="CX149">
        <f>350/32</f>
        <v>10.9375</v>
      </c>
      <c r="CY149" s="160"/>
      <c r="CZ149" s="177">
        <f t="shared" si="93"/>
        <v>9.6000000000000002E-2</v>
      </c>
      <c r="DB149" s="151"/>
      <c r="DC149" s="76">
        <f t="shared" ca="1" si="51"/>
        <v>0.40756264358508876</v>
      </c>
      <c r="DD149">
        <f t="shared" si="94"/>
        <v>2</v>
      </c>
      <c r="DE149" s="129">
        <f t="shared" si="170"/>
        <v>39847</v>
      </c>
      <c r="DF149" s="161">
        <f t="shared" si="95"/>
        <v>0</v>
      </c>
      <c r="DG149" s="161">
        <f t="shared" si="96"/>
        <v>0</v>
      </c>
      <c r="DH149" s="161">
        <f t="shared" si="97"/>
        <v>0</v>
      </c>
      <c r="DI149" s="161">
        <f t="shared" si="98"/>
        <v>0</v>
      </c>
      <c r="DJ149" s="161">
        <f t="shared" si="99"/>
        <v>0</v>
      </c>
      <c r="DK149" s="161">
        <f t="shared" si="100"/>
        <v>0</v>
      </c>
      <c r="DL149" s="161">
        <f t="shared" si="101"/>
        <v>0</v>
      </c>
      <c r="DM149" s="161">
        <f t="shared" si="102"/>
        <v>0</v>
      </c>
      <c r="DN149" s="161">
        <f t="shared" si="103"/>
        <v>0</v>
      </c>
      <c r="DO149" s="161">
        <f t="shared" si="104"/>
        <v>0</v>
      </c>
      <c r="DP149" s="161">
        <f t="shared" si="105"/>
        <v>0</v>
      </c>
      <c r="DQ149" s="161">
        <f t="shared" si="106"/>
        <v>0</v>
      </c>
      <c r="DR149" s="161">
        <f t="shared" si="107"/>
        <v>0</v>
      </c>
      <c r="DS149" s="161">
        <f t="shared" si="108"/>
        <v>0</v>
      </c>
      <c r="DT149" s="161">
        <f t="shared" si="109"/>
        <v>0</v>
      </c>
      <c r="DU149" s="161">
        <f t="shared" si="110"/>
        <v>0</v>
      </c>
      <c r="DV149" s="161">
        <f t="shared" si="111"/>
        <v>0</v>
      </c>
      <c r="DW149" s="161">
        <f t="shared" si="112"/>
        <v>0</v>
      </c>
      <c r="DX149" s="161">
        <f t="shared" si="113"/>
        <v>0</v>
      </c>
      <c r="DY149" s="161">
        <f t="shared" si="114"/>
        <v>0</v>
      </c>
      <c r="DZ149" s="161">
        <f t="shared" si="115"/>
        <v>0</v>
      </c>
      <c r="EA149" s="161">
        <f t="shared" si="116"/>
        <v>0</v>
      </c>
      <c r="EB149" s="161">
        <f t="shared" si="117"/>
        <v>0</v>
      </c>
      <c r="EC149" s="161">
        <f t="shared" si="118"/>
        <v>0</v>
      </c>
      <c r="ED149" s="161">
        <f t="shared" si="119"/>
        <v>0</v>
      </c>
      <c r="EE149" s="161">
        <f t="shared" si="120"/>
        <v>0</v>
      </c>
      <c r="EF149" s="161">
        <f t="shared" si="121"/>
        <v>0</v>
      </c>
      <c r="EG149" s="161">
        <f t="shared" si="122"/>
        <v>0</v>
      </c>
      <c r="EH149" s="161">
        <f t="shared" si="123"/>
        <v>0</v>
      </c>
      <c r="EI149" s="161">
        <f t="shared" si="124"/>
        <v>0</v>
      </c>
      <c r="EJ149" s="161">
        <f t="shared" si="125"/>
        <v>0</v>
      </c>
      <c r="EK149" s="147">
        <f t="shared" si="133"/>
        <v>0</v>
      </c>
      <c r="EL149" s="149"/>
      <c r="EN149" s="151"/>
      <c r="EO149" s="151"/>
      <c r="EP149" s="139">
        <f t="shared" si="134"/>
        <v>0</v>
      </c>
      <c r="EQ149" s="139">
        <f t="shared" si="135"/>
        <v>0</v>
      </c>
      <c r="ER149" s="139">
        <f t="shared" si="136"/>
        <v>0</v>
      </c>
      <c r="ES149" s="139">
        <f t="shared" si="137"/>
        <v>0</v>
      </c>
      <c r="ET149" s="139">
        <f t="shared" si="138"/>
        <v>0</v>
      </c>
      <c r="EU149" s="139">
        <f t="shared" si="139"/>
        <v>0</v>
      </c>
      <c r="EV149" s="139">
        <f t="shared" si="140"/>
        <v>0</v>
      </c>
      <c r="EW149" s="139">
        <f t="shared" si="141"/>
        <v>0</v>
      </c>
      <c r="EX149" s="139">
        <f t="shared" si="142"/>
        <v>0</v>
      </c>
      <c r="EY149" s="139">
        <f t="shared" si="143"/>
        <v>0</v>
      </c>
      <c r="EZ149" s="139">
        <f t="shared" si="144"/>
        <v>0</v>
      </c>
      <c r="FA149" s="139">
        <f t="shared" si="145"/>
        <v>0</v>
      </c>
      <c r="FB149" s="139">
        <f t="shared" si="146"/>
        <v>0</v>
      </c>
      <c r="FC149" s="139">
        <f t="shared" si="147"/>
        <v>0</v>
      </c>
      <c r="FD149" s="139">
        <f t="shared" si="148"/>
        <v>0</v>
      </c>
      <c r="FE149" s="139">
        <f t="shared" si="149"/>
        <v>0</v>
      </c>
      <c r="FF149" s="139">
        <f t="shared" si="150"/>
        <v>0</v>
      </c>
      <c r="FG149" s="139">
        <f t="shared" si="151"/>
        <v>0</v>
      </c>
      <c r="FH149" s="139">
        <f t="shared" si="152"/>
        <v>0</v>
      </c>
      <c r="FI149" s="139">
        <f t="shared" si="153"/>
        <v>0</v>
      </c>
      <c r="FJ149" s="139">
        <f t="shared" si="154"/>
        <v>0</v>
      </c>
      <c r="FK149" s="139">
        <f t="shared" si="155"/>
        <v>0</v>
      </c>
      <c r="FL149" s="139">
        <f t="shared" si="156"/>
        <v>0</v>
      </c>
      <c r="FM149" s="139">
        <f t="shared" si="157"/>
        <v>0</v>
      </c>
      <c r="FN149" s="139">
        <f t="shared" si="158"/>
        <v>0</v>
      </c>
      <c r="FO149" s="139">
        <f t="shared" si="159"/>
        <v>0</v>
      </c>
      <c r="FP149" s="139">
        <f t="shared" si="160"/>
        <v>0</v>
      </c>
      <c r="FQ149" s="139">
        <f t="shared" si="161"/>
        <v>0</v>
      </c>
      <c r="FR149" s="139">
        <f t="shared" si="162"/>
        <v>0</v>
      </c>
      <c r="FS149" s="139">
        <f t="shared" si="163"/>
        <v>0</v>
      </c>
      <c r="FT149" s="139">
        <f t="shared" si="164"/>
        <v>0</v>
      </c>
      <c r="FU149" s="148">
        <f t="shared" si="165"/>
        <v>0</v>
      </c>
      <c r="FV149" s="149"/>
      <c r="FY149" s="211">
        <v>144</v>
      </c>
      <c r="FZ149">
        <v>1.6974688262389965</v>
      </c>
      <c r="GA149">
        <v>1.9701592258262339</v>
      </c>
      <c r="GB149">
        <v>0.94957496859369717</v>
      </c>
      <c r="GC149">
        <v>0.52164783083203947</v>
      </c>
      <c r="GD149">
        <v>0.10749698183447998</v>
      </c>
      <c r="GE149">
        <v>0.17434885128142502</v>
      </c>
      <c r="GF149">
        <v>8.1038194822856249E-2</v>
      </c>
      <c r="GG149">
        <v>0.15174572531442188</v>
      </c>
      <c r="GH149">
        <v>0.19956886013071873</v>
      </c>
      <c r="GI149">
        <v>0.59067949753930837</v>
      </c>
      <c r="GJ149"/>
      <c r="GK149">
        <v>1.6918630514705879</v>
      </c>
      <c r="GL149">
        <v>1.659577895220588</v>
      </c>
      <c r="GM149">
        <v>1.5589009232954545</v>
      </c>
      <c r="GN149">
        <v>1.5312704545454543</v>
      </c>
      <c r="GO149">
        <v>0.40897499999999992</v>
      </c>
      <c r="GP149">
        <v>0.32751562500000003</v>
      </c>
      <c r="GQ149">
        <v>9.768750000000001E-2</v>
      </c>
      <c r="GR149">
        <v>0.21109375</v>
      </c>
      <c r="GS149">
        <v>0.21109375</v>
      </c>
      <c r="GT149">
        <v>0.79370404495320868</v>
      </c>
      <c r="GU149"/>
      <c r="GV149"/>
      <c r="GW149"/>
      <c r="GX149"/>
      <c r="GY149"/>
      <c r="GZ149"/>
      <c r="HA149"/>
      <c r="HB149"/>
      <c r="HC149"/>
    </row>
    <row r="150" spans="1:211" s="7" customFormat="1">
      <c r="A150" s="77"/>
      <c r="B150" s="76">
        <f t="shared" ca="1" si="132"/>
        <v>0.47171960141758107</v>
      </c>
      <c r="C150">
        <v>6</v>
      </c>
      <c r="D150">
        <v>39847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 s="2"/>
      <c r="AK150" s="80"/>
      <c r="AL150" s="74">
        <v>3.0028000000000028</v>
      </c>
      <c r="AM150" s="43">
        <v>134</v>
      </c>
      <c r="AN150">
        <v>49.39780145939833</v>
      </c>
      <c r="AO150">
        <v>1.0209841354447715</v>
      </c>
      <c r="AP150">
        <v>0.91633642809746774</v>
      </c>
      <c r="AQ150">
        <v>7.333941573179878</v>
      </c>
      <c r="AR150">
        <v>0.94345094043930278</v>
      </c>
      <c r="AS150">
        <v>4.0690457083780291</v>
      </c>
      <c r="AT150">
        <v>0.79779626576836415</v>
      </c>
      <c r="AU150">
        <v>-1.8431176911175268E-2</v>
      </c>
      <c r="AV150"/>
      <c r="AW150"/>
      <c r="AX150" s="151"/>
      <c r="AY150" s="76">
        <f t="shared" ca="1" si="88"/>
        <v>0.19408663400367665</v>
      </c>
      <c r="AZ150">
        <v>3</v>
      </c>
      <c r="BA150" s="129">
        <f t="shared" si="171"/>
        <v>39847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 s="147"/>
      <c r="CH150" s="176"/>
      <c r="CJ150" s="151"/>
      <c r="CK150" s="76">
        <f t="shared" ca="1" si="90"/>
        <v>0.2631208668660765</v>
      </c>
      <c r="CL150" s="179">
        <f t="shared" si="91"/>
        <v>3</v>
      </c>
      <c r="CM150" s="180">
        <f t="shared" si="92"/>
        <v>39847</v>
      </c>
      <c r="CN150">
        <v>0</v>
      </c>
      <c r="CO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 s="160"/>
      <c r="CW150">
        <v>1</v>
      </c>
      <c r="CX150">
        <v>1</v>
      </c>
      <c r="CY150" s="160"/>
      <c r="CZ150" s="177">
        <f t="shared" si="93"/>
        <v>9.6000000000000002E-2</v>
      </c>
      <c r="DB150" s="151"/>
      <c r="DC150" s="76">
        <f t="shared" ca="1" si="51"/>
        <v>0.63939232842465565</v>
      </c>
      <c r="DD150">
        <f t="shared" si="94"/>
        <v>3</v>
      </c>
      <c r="DE150" s="129">
        <f t="shared" si="170"/>
        <v>39847</v>
      </c>
      <c r="DF150" s="161">
        <f t="shared" si="95"/>
        <v>0</v>
      </c>
      <c r="DG150" s="161">
        <f t="shared" si="96"/>
        <v>0</v>
      </c>
      <c r="DH150" s="161">
        <f t="shared" si="97"/>
        <v>0</v>
      </c>
      <c r="DI150" s="161">
        <f t="shared" si="98"/>
        <v>0</v>
      </c>
      <c r="DJ150" s="161">
        <f t="shared" si="99"/>
        <v>0</v>
      </c>
      <c r="DK150" s="161">
        <f t="shared" si="100"/>
        <v>0</v>
      </c>
      <c r="DL150" s="161">
        <f t="shared" si="101"/>
        <v>0</v>
      </c>
      <c r="DM150" s="161">
        <f t="shared" si="102"/>
        <v>0</v>
      </c>
      <c r="DN150" s="161">
        <f t="shared" si="103"/>
        <v>0</v>
      </c>
      <c r="DO150" s="161">
        <f t="shared" si="104"/>
        <v>0</v>
      </c>
      <c r="DP150" s="161">
        <f t="shared" si="105"/>
        <v>0</v>
      </c>
      <c r="DQ150" s="161">
        <f t="shared" si="106"/>
        <v>0</v>
      </c>
      <c r="DR150" s="161">
        <f t="shared" si="107"/>
        <v>0</v>
      </c>
      <c r="DS150" s="161">
        <f t="shared" si="108"/>
        <v>0</v>
      </c>
      <c r="DT150" s="161">
        <f t="shared" si="109"/>
        <v>0</v>
      </c>
      <c r="DU150" s="161">
        <f t="shared" si="110"/>
        <v>0</v>
      </c>
      <c r="DV150" s="161">
        <f t="shared" si="111"/>
        <v>0</v>
      </c>
      <c r="DW150" s="161">
        <f t="shared" si="112"/>
        <v>0</v>
      </c>
      <c r="DX150" s="161">
        <f t="shared" si="113"/>
        <v>0</v>
      </c>
      <c r="DY150" s="161">
        <f t="shared" si="114"/>
        <v>0</v>
      </c>
      <c r="DZ150" s="161">
        <f t="shared" si="115"/>
        <v>0</v>
      </c>
      <c r="EA150" s="161">
        <f t="shared" si="116"/>
        <v>0</v>
      </c>
      <c r="EB150" s="161">
        <f t="shared" si="117"/>
        <v>0</v>
      </c>
      <c r="EC150" s="161">
        <f t="shared" si="118"/>
        <v>0</v>
      </c>
      <c r="ED150" s="161">
        <f t="shared" si="119"/>
        <v>0</v>
      </c>
      <c r="EE150" s="161">
        <f t="shared" si="120"/>
        <v>0</v>
      </c>
      <c r="EF150" s="161">
        <f t="shared" si="121"/>
        <v>0</v>
      </c>
      <c r="EG150" s="161">
        <f t="shared" si="122"/>
        <v>0</v>
      </c>
      <c r="EH150" s="161">
        <f t="shared" si="123"/>
        <v>0</v>
      </c>
      <c r="EI150" s="161">
        <f t="shared" si="124"/>
        <v>0</v>
      </c>
      <c r="EJ150" s="161">
        <f t="shared" si="125"/>
        <v>0</v>
      </c>
      <c r="EK150" s="147">
        <f t="shared" si="133"/>
        <v>0</v>
      </c>
      <c r="EL150" s="149"/>
      <c r="EN150" s="151"/>
      <c r="EO150" s="151"/>
      <c r="EP150" s="139">
        <f t="shared" si="134"/>
        <v>0</v>
      </c>
      <c r="EQ150" s="139">
        <f t="shared" si="135"/>
        <v>0</v>
      </c>
      <c r="ER150" s="139">
        <f t="shared" si="136"/>
        <v>0</v>
      </c>
      <c r="ES150" s="139">
        <f t="shared" si="137"/>
        <v>0</v>
      </c>
      <c r="ET150" s="139">
        <f t="shared" si="138"/>
        <v>0</v>
      </c>
      <c r="EU150" s="139">
        <f t="shared" si="139"/>
        <v>0</v>
      </c>
      <c r="EV150" s="139">
        <f t="shared" si="140"/>
        <v>0</v>
      </c>
      <c r="EW150" s="139">
        <f t="shared" si="141"/>
        <v>0</v>
      </c>
      <c r="EX150" s="139">
        <f t="shared" si="142"/>
        <v>0</v>
      </c>
      <c r="EY150" s="139">
        <f t="shared" si="143"/>
        <v>0</v>
      </c>
      <c r="EZ150" s="139">
        <f t="shared" si="144"/>
        <v>0</v>
      </c>
      <c r="FA150" s="139">
        <f t="shared" si="145"/>
        <v>0</v>
      </c>
      <c r="FB150" s="139">
        <f t="shared" si="146"/>
        <v>0</v>
      </c>
      <c r="FC150" s="139">
        <f t="shared" si="147"/>
        <v>0</v>
      </c>
      <c r="FD150" s="139">
        <f t="shared" si="148"/>
        <v>0</v>
      </c>
      <c r="FE150" s="139">
        <f t="shared" si="149"/>
        <v>0</v>
      </c>
      <c r="FF150" s="139">
        <f t="shared" si="150"/>
        <v>0</v>
      </c>
      <c r="FG150" s="139">
        <f t="shared" si="151"/>
        <v>0</v>
      </c>
      <c r="FH150" s="139">
        <f t="shared" si="152"/>
        <v>0</v>
      </c>
      <c r="FI150" s="139">
        <f t="shared" si="153"/>
        <v>0</v>
      </c>
      <c r="FJ150" s="139">
        <f t="shared" si="154"/>
        <v>0</v>
      </c>
      <c r="FK150" s="139">
        <f t="shared" si="155"/>
        <v>0</v>
      </c>
      <c r="FL150" s="139">
        <f t="shared" si="156"/>
        <v>0</v>
      </c>
      <c r="FM150" s="139">
        <f t="shared" si="157"/>
        <v>0</v>
      </c>
      <c r="FN150" s="139">
        <f t="shared" si="158"/>
        <v>0</v>
      </c>
      <c r="FO150" s="139">
        <f t="shared" si="159"/>
        <v>0</v>
      </c>
      <c r="FP150" s="139">
        <f t="shared" si="160"/>
        <v>0</v>
      </c>
      <c r="FQ150" s="139">
        <f t="shared" si="161"/>
        <v>0</v>
      </c>
      <c r="FR150" s="139">
        <f t="shared" si="162"/>
        <v>0</v>
      </c>
      <c r="FS150" s="139">
        <f t="shared" si="163"/>
        <v>0</v>
      </c>
      <c r="FT150" s="139">
        <f t="shared" si="164"/>
        <v>0</v>
      </c>
      <c r="FU150" s="148">
        <f t="shared" si="165"/>
        <v>0</v>
      </c>
      <c r="FV150" s="149"/>
      <c r="FY150" s="211">
        <v>145</v>
      </c>
      <c r="FZ150">
        <v>2.2424668893195392</v>
      </c>
      <c r="GA150">
        <v>2.4983608973274718</v>
      </c>
      <c r="GB150">
        <v>1.2114643526914151</v>
      </c>
      <c r="GC150">
        <v>0.8246549549983202</v>
      </c>
      <c r="GD150">
        <v>0.2354408608408875</v>
      </c>
      <c r="GE150">
        <v>8.377572757792498E-2</v>
      </c>
      <c r="GF150">
        <v>0.49395954912409079</v>
      </c>
      <c r="GG150">
        <v>0.52933036966390667</v>
      </c>
      <c r="GH150">
        <v>0.1330459067538125</v>
      </c>
      <c r="GI150">
        <v>0.8717062967314313</v>
      </c>
      <c r="GJ150"/>
      <c r="GK150">
        <v>2.2349380514705883</v>
      </c>
      <c r="GL150">
        <v>2.1044380514705883</v>
      </c>
      <c r="GM150">
        <v>1.9887720170454548</v>
      </c>
      <c r="GN150">
        <v>2.4192720170454547</v>
      </c>
      <c r="GO150">
        <v>0.89573437499999997</v>
      </c>
      <c r="GP150">
        <v>0.15745312499999997</v>
      </c>
      <c r="GQ150">
        <v>0.59590760869565207</v>
      </c>
      <c r="GR150">
        <v>0.73663677536231864</v>
      </c>
      <c r="GS150">
        <v>0.14072916666666666</v>
      </c>
      <c r="GT150">
        <v>1.1712162437756723</v>
      </c>
      <c r="GU150"/>
      <c r="GV150"/>
      <c r="GW150"/>
      <c r="GX150"/>
      <c r="GY150"/>
      <c r="GZ150"/>
      <c r="HA150"/>
      <c r="HB150"/>
      <c r="HC150"/>
    </row>
    <row r="151" spans="1:211" s="7" customFormat="1">
      <c r="A151" s="77"/>
      <c r="B151" s="76">
        <f t="shared" ca="1" si="132"/>
        <v>0.17234083934882882</v>
      </c>
      <c r="C151">
        <v>5</v>
      </c>
      <c r="D151">
        <v>39847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 s="2"/>
      <c r="AK151" s="80"/>
      <c r="AL151" s="74">
        <v>3.0028000000000028</v>
      </c>
      <c r="AM151" s="43">
        <v>135</v>
      </c>
      <c r="AN151">
        <v>38.637230895702757</v>
      </c>
      <c r="AO151">
        <v>0.89497860167645649</v>
      </c>
      <c r="AP151">
        <v>0.87286487827458314</v>
      </c>
      <c r="AQ151">
        <v>5.9695802755880951</v>
      </c>
      <c r="AR151">
        <v>0.84118055790517032</v>
      </c>
      <c r="AS151">
        <v>3.1445310255411583</v>
      </c>
      <c r="AT151" t="e">
        <v>#DIV/0!</v>
      </c>
      <c r="AU151" t="e">
        <v>#DIV/0!</v>
      </c>
      <c r="AV151"/>
      <c r="AW151"/>
      <c r="AX151" s="151"/>
      <c r="AY151" s="76">
        <f t="shared" ca="1" si="88"/>
        <v>0.65295846457814388</v>
      </c>
      <c r="AZ151">
        <v>4</v>
      </c>
      <c r="BA151" s="129">
        <f t="shared" si="171"/>
        <v>39847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 s="147"/>
      <c r="CH151" s="176"/>
      <c r="CJ151" s="151"/>
      <c r="CK151" s="76">
        <f t="shared" ca="1" si="90"/>
        <v>0.27944805112950011</v>
      </c>
      <c r="CL151" s="179">
        <f t="shared" si="91"/>
        <v>4</v>
      </c>
      <c r="CM151" s="180">
        <f t="shared" si="92"/>
        <v>39847</v>
      </c>
      <c r="CN151">
        <v>0</v>
      </c>
      <c r="CO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 s="160"/>
      <c r="CW151">
        <v>1</v>
      </c>
      <c r="CX151">
        <v>1</v>
      </c>
      <c r="CY151" s="160"/>
      <c r="CZ151" s="177">
        <f t="shared" si="93"/>
        <v>9.6000000000000002E-2</v>
      </c>
      <c r="DB151" s="151"/>
      <c r="DC151" s="76">
        <f t="shared" ca="1" si="51"/>
        <v>0.18829261914681172</v>
      </c>
      <c r="DD151">
        <f t="shared" si="94"/>
        <v>4</v>
      </c>
      <c r="DE151" s="129">
        <f t="shared" si="170"/>
        <v>39847</v>
      </c>
      <c r="DF151" s="161">
        <f t="shared" si="95"/>
        <v>0</v>
      </c>
      <c r="DG151" s="161">
        <f t="shared" si="96"/>
        <v>0</v>
      </c>
      <c r="DH151" s="161">
        <f t="shared" si="97"/>
        <v>0</v>
      </c>
      <c r="DI151" s="161">
        <f t="shared" si="98"/>
        <v>0</v>
      </c>
      <c r="DJ151" s="161">
        <f t="shared" si="99"/>
        <v>0</v>
      </c>
      <c r="DK151" s="161">
        <f t="shared" si="100"/>
        <v>0</v>
      </c>
      <c r="DL151" s="161">
        <f t="shared" si="101"/>
        <v>0</v>
      </c>
      <c r="DM151" s="161">
        <f t="shared" si="102"/>
        <v>0</v>
      </c>
      <c r="DN151" s="161">
        <f t="shared" si="103"/>
        <v>0</v>
      </c>
      <c r="DO151" s="161">
        <f t="shared" si="104"/>
        <v>0</v>
      </c>
      <c r="DP151" s="161">
        <f t="shared" si="105"/>
        <v>0</v>
      </c>
      <c r="DQ151" s="161">
        <f t="shared" si="106"/>
        <v>0</v>
      </c>
      <c r="DR151" s="161">
        <f t="shared" si="107"/>
        <v>0</v>
      </c>
      <c r="DS151" s="161">
        <f t="shared" si="108"/>
        <v>0</v>
      </c>
      <c r="DT151" s="161">
        <f t="shared" si="109"/>
        <v>0</v>
      </c>
      <c r="DU151" s="161">
        <f t="shared" si="110"/>
        <v>0</v>
      </c>
      <c r="DV151" s="161">
        <f t="shared" si="111"/>
        <v>0</v>
      </c>
      <c r="DW151" s="161">
        <f t="shared" si="112"/>
        <v>0</v>
      </c>
      <c r="DX151" s="161">
        <f t="shared" si="113"/>
        <v>0</v>
      </c>
      <c r="DY151" s="161">
        <f t="shared" si="114"/>
        <v>0</v>
      </c>
      <c r="DZ151" s="161">
        <f t="shared" si="115"/>
        <v>0</v>
      </c>
      <c r="EA151" s="161">
        <f t="shared" si="116"/>
        <v>0</v>
      </c>
      <c r="EB151" s="161">
        <f t="shared" si="117"/>
        <v>0</v>
      </c>
      <c r="EC151" s="161">
        <f t="shared" si="118"/>
        <v>0</v>
      </c>
      <c r="ED151" s="161">
        <f t="shared" si="119"/>
        <v>0</v>
      </c>
      <c r="EE151" s="161">
        <f t="shared" si="120"/>
        <v>0</v>
      </c>
      <c r="EF151" s="161">
        <f t="shared" si="121"/>
        <v>0</v>
      </c>
      <c r="EG151" s="161">
        <f t="shared" si="122"/>
        <v>0</v>
      </c>
      <c r="EH151" s="161">
        <f t="shared" si="123"/>
        <v>0</v>
      </c>
      <c r="EI151" s="161">
        <f t="shared" si="124"/>
        <v>0</v>
      </c>
      <c r="EJ151" s="161">
        <f t="shared" si="125"/>
        <v>0</v>
      </c>
      <c r="EK151" s="147">
        <f t="shared" si="133"/>
        <v>0</v>
      </c>
      <c r="EL151" s="149"/>
      <c r="EN151" s="151"/>
      <c r="EO151" s="151"/>
      <c r="EP151" s="139">
        <f t="shared" si="134"/>
        <v>0</v>
      </c>
      <c r="EQ151" s="139">
        <f t="shared" si="135"/>
        <v>0</v>
      </c>
      <c r="ER151" s="139">
        <f t="shared" si="136"/>
        <v>0</v>
      </c>
      <c r="ES151" s="139">
        <f t="shared" si="137"/>
        <v>0</v>
      </c>
      <c r="ET151" s="139">
        <f t="shared" si="138"/>
        <v>0</v>
      </c>
      <c r="EU151" s="139">
        <f t="shared" si="139"/>
        <v>0</v>
      </c>
      <c r="EV151" s="139">
        <f t="shared" si="140"/>
        <v>0</v>
      </c>
      <c r="EW151" s="139">
        <f t="shared" si="141"/>
        <v>0</v>
      </c>
      <c r="EX151" s="139">
        <f t="shared" si="142"/>
        <v>0</v>
      </c>
      <c r="EY151" s="139">
        <f t="shared" si="143"/>
        <v>0</v>
      </c>
      <c r="EZ151" s="139">
        <f t="shared" si="144"/>
        <v>0</v>
      </c>
      <c r="FA151" s="139">
        <f t="shared" si="145"/>
        <v>0</v>
      </c>
      <c r="FB151" s="139">
        <f t="shared" si="146"/>
        <v>0</v>
      </c>
      <c r="FC151" s="139">
        <f t="shared" si="147"/>
        <v>0</v>
      </c>
      <c r="FD151" s="139">
        <f t="shared" si="148"/>
        <v>0</v>
      </c>
      <c r="FE151" s="139">
        <f t="shared" si="149"/>
        <v>0</v>
      </c>
      <c r="FF151" s="139">
        <f t="shared" si="150"/>
        <v>0</v>
      </c>
      <c r="FG151" s="139">
        <f t="shared" si="151"/>
        <v>0</v>
      </c>
      <c r="FH151" s="139">
        <f t="shared" si="152"/>
        <v>0</v>
      </c>
      <c r="FI151" s="139">
        <f t="shared" si="153"/>
        <v>0</v>
      </c>
      <c r="FJ151" s="139">
        <f t="shared" si="154"/>
        <v>0</v>
      </c>
      <c r="FK151" s="139">
        <f t="shared" si="155"/>
        <v>0</v>
      </c>
      <c r="FL151" s="139">
        <f t="shared" si="156"/>
        <v>0</v>
      </c>
      <c r="FM151" s="139">
        <f t="shared" si="157"/>
        <v>0</v>
      </c>
      <c r="FN151" s="139">
        <f t="shared" si="158"/>
        <v>0</v>
      </c>
      <c r="FO151" s="139">
        <f t="shared" si="159"/>
        <v>0</v>
      </c>
      <c r="FP151" s="139">
        <f t="shared" si="160"/>
        <v>0</v>
      </c>
      <c r="FQ151" s="139">
        <f t="shared" si="161"/>
        <v>0</v>
      </c>
      <c r="FR151" s="139">
        <f t="shared" si="162"/>
        <v>0</v>
      </c>
      <c r="FS151" s="139">
        <f t="shared" si="163"/>
        <v>0</v>
      </c>
      <c r="FT151" s="139">
        <f t="shared" si="164"/>
        <v>0</v>
      </c>
      <c r="FU151" s="148">
        <f t="shared" si="165"/>
        <v>0</v>
      </c>
      <c r="FV151" s="149"/>
      <c r="FY151" s="211">
        <v>146</v>
      </c>
      <c r="FZ151">
        <v>4.2330965763568456</v>
      </c>
      <c r="GA151">
        <v>5.2988998423575921</v>
      </c>
      <c r="GB151">
        <v>0.89108615948506509</v>
      </c>
      <c r="GC151">
        <v>0.66256267872316754</v>
      </c>
      <c r="GD151">
        <v>0.27155700751051931</v>
      </c>
      <c r="GE151">
        <v>0.12611605449105001</v>
      </c>
      <c r="GF151">
        <v>0.37461671604370633</v>
      </c>
      <c r="GG151">
        <v>0.39070597101659427</v>
      </c>
      <c r="GH151">
        <v>0.1330459067538125</v>
      </c>
      <c r="GI151">
        <v>1.087685820987272</v>
      </c>
      <c r="GJ151"/>
      <c r="GK151">
        <v>4.2189297794117646</v>
      </c>
      <c r="GL151">
        <v>4.4637227481617643</v>
      </c>
      <c r="GM151">
        <v>1.4629712357954543</v>
      </c>
      <c r="GN151">
        <v>1.9433854099025973</v>
      </c>
      <c r="GO151">
        <v>1.0329883928571431</v>
      </c>
      <c r="GP151">
        <v>0.23709374999999999</v>
      </c>
      <c r="GQ151">
        <v>0.45162635869565215</v>
      </c>
      <c r="GR151">
        <v>0.54351177536231876</v>
      </c>
      <c r="GS151">
        <v>0.14072916666666666</v>
      </c>
      <c r="GT151">
        <v>1.461448986685336</v>
      </c>
      <c r="GU151"/>
      <c r="GV151"/>
      <c r="GW151"/>
      <c r="GX151"/>
      <c r="GY151"/>
      <c r="GZ151"/>
      <c r="HA151"/>
      <c r="HB151"/>
      <c r="HC151"/>
    </row>
    <row r="152" spans="1:211" s="7" customFormat="1">
      <c r="A152" s="77"/>
      <c r="B152" s="76">
        <f t="shared" ref="B152:B183" ca="1" si="172">IF(C152="", "", RAND())</f>
        <v>0.99464533758294005</v>
      </c>
      <c r="C152">
        <v>2</v>
      </c>
      <c r="D152">
        <v>39847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 s="2"/>
      <c r="AK152" s="80"/>
      <c r="AL152" s="74"/>
      <c r="AM152" s="43">
        <v>136</v>
      </c>
      <c r="AN152">
        <v>30.832624748617395</v>
      </c>
      <c r="AO152">
        <v>0.69913499391968315</v>
      </c>
      <c r="AP152">
        <v>2.2145355238068167</v>
      </c>
      <c r="AQ152">
        <v>6.6117983557634519</v>
      </c>
      <c r="AR152">
        <v>0.65448297087104057</v>
      </c>
      <c r="AS152">
        <v>2.1667501619328569</v>
      </c>
      <c r="AT152" t="e">
        <v>#DIV/0!</v>
      </c>
      <c r="AU152" t="e">
        <v>#DIV/0!</v>
      </c>
      <c r="AV152"/>
      <c r="AW152"/>
      <c r="AX152" s="151"/>
      <c r="AY152" s="76">
        <f t="shared" ref="AY152:AY207" ca="1" si="173">IF(AZ152="", "", RAND())</f>
        <v>0.4475498542160099</v>
      </c>
      <c r="AZ152">
        <v>5</v>
      </c>
      <c r="BA152" s="129">
        <f t="shared" si="171"/>
        <v>39847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 s="147"/>
      <c r="CH152" s="176"/>
      <c r="CJ152" s="151"/>
      <c r="CK152" s="76">
        <f t="shared" ca="1" si="90"/>
        <v>0.28926654930821516</v>
      </c>
      <c r="CL152" s="179">
        <f t="shared" si="91"/>
        <v>5</v>
      </c>
      <c r="CM152" s="180">
        <f t="shared" si="92"/>
        <v>39847</v>
      </c>
      <c r="CN152">
        <v>0</v>
      </c>
      <c r="CO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 s="160"/>
      <c r="CW152">
        <v>1</v>
      </c>
      <c r="CX152">
        <v>1</v>
      </c>
      <c r="CY152" s="160"/>
      <c r="CZ152" s="177">
        <f t="shared" si="93"/>
        <v>9.6000000000000002E-2</v>
      </c>
      <c r="DB152" s="151"/>
      <c r="DC152" s="76">
        <f t="shared" ref="DC152:DC207" ca="1" si="174">IF(DD152="", "", RAND())</f>
        <v>0.32162860735031984</v>
      </c>
      <c r="DD152">
        <f t="shared" si="94"/>
        <v>5</v>
      </c>
      <c r="DE152" s="129">
        <f t="shared" si="170"/>
        <v>39847</v>
      </c>
      <c r="DF152" s="161">
        <f t="shared" si="95"/>
        <v>0</v>
      </c>
      <c r="DG152" s="161">
        <f t="shared" si="96"/>
        <v>0</v>
      </c>
      <c r="DH152" s="161">
        <f t="shared" si="97"/>
        <v>0</v>
      </c>
      <c r="DI152" s="161">
        <f t="shared" si="98"/>
        <v>0</v>
      </c>
      <c r="DJ152" s="161">
        <f t="shared" si="99"/>
        <v>0</v>
      </c>
      <c r="DK152" s="161">
        <f t="shared" si="100"/>
        <v>0</v>
      </c>
      <c r="DL152" s="161">
        <f t="shared" si="101"/>
        <v>0</v>
      </c>
      <c r="DM152" s="161">
        <f t="shared" si="102"/>
        <v>0</v>
      </c>
      <c r="DN152" s="161">
        <f t="shared" si="103"/>
        <v>0</v>
      </c>
      <c r="DO152" s="161">
        <f t="shared" si="104"/>
        <v>0</v>
      </c>
      <c r="DP152" s="161">
        <f t="shared" si="105"/>
        <v>0</v>
      </c>
      <c r="DQ152" s="161">
        <f t="shared" si="106"/>
        <v>0</v>
      </c>
      <c r="DR152" s="161">
        <f t="shared" si="107"/>
        <v>0</v>
      </c>
      <c r="DS152" s="161">
        <f t="shared" si="108"/>
        <v>0</v>
      </c>
      <c r="DT152" s="161">
        <f t="shared" si="109"/>
        <v>0</v>
      </c>
      <c r="DU152" s="161">
        <f t="shared" si="110"/>
        <v>0</v>
      </c>
      <c r="DV152" s="161">
        <f t="shared" si="111"/>
        <v>0</v>
      </c>
      <c r="DW152" s="161">
        <f t="shared" si="112"/>
        <v>0</v>
      </c>
      <c r="DX152" s="161">
        <f t="shared" si="113"/>
        <v>0</v>
      </c>
      <c r="DY152" s="161">
        <f t="shared" si="114"/>
        <v>0</v>
      </c>
      <c r="DZ152" s="161">
        <f t="shared" si="115"/>
        <v>0</v>
      </c>
      <c r="EA152" s="161">
        <f t="shared" si="116"/>
        <v>0</v>
      </c>
      <c r="EB152" s="161">
        <f t="shared" si="117"/>
        <v>0</v>
      </c>
      <c r="EC152" s="161">
        <f t="shared" si="118"/>
        <v>0</v>
      </c>
      <c r="ED152" s="161">
        <f t="shared" si="119"/>
        <v>0</v>
      </c>
      <c r="EE152" s="161">
        <f t="shared" si="120"/>
        <v>0</v>
      </c>
      <c r="EF152" s="161">
        <f t="shared" si="121"/>
        <v>0</v>
      </c>
      <c r="EG152" s="161">
        <f t="shared" si="122"/>
        <v>0</v>
      </c>
      <c r="EH152" s="161">
        <f t="shared" si="123"/>
        <v>0</v>
      </c>
      <c r="EI152" s="161">
        <f t="shared" si="124"/>
        <v>0</v>
      </c>
      <c r="EJ152" s="161">
        <f t="shared" si="125"/>
        <v>0</v>
      </c>
      <c r="EK152" s="147">
        <f t="shared" ref="EK152:EK183" si="175">IF(DF152="", "", SUM(DF152:EJ152))</f>
        <v>0</v>
      </c>
      <c r="EL152" s="149"/>
      <c r="EN152" s="151"/>
      <c r="EO152" s="151"/>
      <c r="EP152" s="139">
        <f t="shared" ref="EP152:EP183" si="176">IF(DF152="", "", DF152*G$36)</f>
        <v>0</v>
      </c>
      <c r="EQ152" s="139">
        <f t="shared" ref="EQ152:EQ183" si="177">IF(DG152="", "", DG152*H$36)</f>
        <v>0</v>
      </c>
      <c r="ER152" s="139">
        <f t="shared" ref="ER152:ER183" si="178">IF(DH152="", "", DH152*I$36)</f>
        <v>0</v>
      </c>
      <c r="ES152" s="139">
        <f t="shared" ref="ES152:ES183" si="179">IF(DI152="", "", DI152*J$36)</f>
        <v>0</v>
      </c>
      <c r="ET152" s="139">
        <f t="shared" ref="ET152:ET183" si="180">IF(DJ152="", "", DJ152*K$36)</f>
        <v>0</v>
      </c>
      <c r="EU152" s="139">
        <f t="shared" ref="EU152:EU183" si="181">IF(DK152="", "", DK152*L$36)</f>
        <v>0</v>
      </c>
      <c r="EV152" s="139">
        <f t="shared" ref="EV152:EV183" si="182">IF(DL152="", "", DL152*M$36)</f>
        <v>0</v>
      </c>
      <c r="EW152" s="139">
        <f t="shared" ref="EW152:EW183" si="183">IF(DM152="", "", DM152*N$36)</f>
        <v>0</v>
      </c>
      <c r="EX152" s="139">
        <f t="shared" ref="EX152:EX183" si="184">IF(DN152="", "", DN152*O$36)</f>
        <v>0</v>
      </c>
      <c r="EY152" s="139">
        <f t="shared" ref="EY152:EY183" si="185">IF(DO152="", "", DO152*P$36)</f>
        <v>0</v>
      </c>
      <c r="EZ152" s="139">
        <f t="shared" ref="EZ152:EZ183" si="186">IF(DP152="", "", DP152*Q$36)</f>
        <v>0</v>
      </c>
      <c r="FA152" s="139">
        <f t="shared" ref="FA152:FA183" si="187">IF(DQ152="", "", DQ152*R$36)</f>
        <v>0</v>
      </c>
      <c r="FB152" s="139">
        <f t="shared" ref="FB152:FB183" si="188">IF(DR152="", "", DR152*S$36)</f>
        <v>0</v>
      </c>
      <c r="FC152" s="139">
        <f t="shared" ref="FC152:FC183" si="189">IF(DS152="", "", DS152*T$36)</f>
        <v>0</v>
      </c>
      <c r="FD152" s="139">
        <f t="shared" ref="FD152:FD183" si="190">IF(DT152="", "", DT152*U$36)</f>
        <v>0</v>
      </c>
      <c r="FE152" s="139">
        <f t="shared" ref="FE152:FE183" si="191">IF(DU152="", "", DU152*V$36)</f>
        <v>0</v>
      </c>
      <c r="FF152" s="139">
        <f t="shared" ref="FF152:FF183" si="192">IF(DV152="", "", DV152*W$36)</f>
        <v>0</v>
      </c>
      <c r="FG152" s="139">
        <f t="shared" ref="FG152:FG183" si="193">IF(DW152="", "", DW152*X$36)</f>
        <v>0</v>
      </c>
      <c r="FH152" s="139">
        <f t="shared" ref="FH152:FH183" si="194">IF(DX152="", "", DX152*Y$36)</f>
        <v>0</v>
      </c>
      <c r="FI152" s="139">
        <f t="shared" ref="FI152:FI183" si="195">IF(DY152="", "", DY152*Z$36)</f>
        <v>0</v>
      </c>
      <c r="FJ152" s="139">
        <f t="shared" ref="FJ152:FJ183" si="196">IF(DZ152="", "", DZ152*AA$36)</f>
        <v>0</v>
      </c>
      <c r="FK152" s="139">
        <f t="shared" ref="FK152:FK183" si="197">IF(EA152="", "", EA152*AB$36)</f>
        <v>0</v>
      </c>
      <c r="FL152" s="139">
        <f t="shared" ref="FL152:FL183" si="198">IF(EB152="", "", EB152*AC$36)</f>
        <v>0</v>
      </c>
      <c r="FM152" s="139">
        <f t="shared" ref="FM152:FM183" si="199">IF(EC152="", "", EC152*AD$36)</f>
        <v>0</v>
      </c>
      <c r="FN152" s="139">
        <f t="shared" ref="FN152:FN183" si="200">IF(ED152="", "", ED152*AE$36)</f>
        <v>0</v>
      </c>
      <c r="FO152" s="139">
        <f t="shared" ref="FO152:FO183" si="201">IF(EE152="", "", EE152*AF$36)</f>
        <v>0</v>
      </c>
      <c r="FP152" s="139">
        <f t="shared" ref="FP152:FP183" si="202">IF(EF152="", "", EF152*AG$36)</f>
        <v>0</v>
      </c>
      <c r="FQ152" s="139">
        <f t="shared" ref="FQ152:FQ183" si="203">IF(EG152="", "", EG152*AH$36)</f>
        <v>0</v>
      </c>
      <c r="FR152" s="139">
        <f t="shared" ref="FR152:FR183" si="204">IF(EH152="", "", EH152*AI$36)</f>
        <v>0</v>
      </c>
      <c r="FS152" s="139">
        <f t="shared" ref="FS152:FS183" si="205">IF(EI152="", "", EI152*AJ$36)</f>
        <v>0</v>
      </c>
      <c r="FT152" s="139">
        <f t="shared" ref="FT152:FT183" si="206">IF(EJ152="", "", EJ152*AK$36)</f>
        <v>0</v>
      </c>
      <c r="FU152" s="148">
        <f t="shared" ref="FU152:FU183" si="207">IF(EP152="","",SUM(EP152:FT152))</f>
        <v>0</v>
      </c>
      <c r="FV152" s="149"/>
      <c r="FY152" s="211">
        <v>147</v>
      </c>
      <c r="FZ152">
        <v>1.0367967132140261</v>
      </c>
      <c r="GA152">
        <v>1.3326016179052345</v>
      </c>
      <c r="GB152">
        <v>0.12466466491386446</v>
      </c>
      <c r="GC152">
        <v>0.47981123590846997</v>
      </c>
      <c r="GD152">
        <v>0.39909542285326177</v>
      </c>
      <c r="GE152">
        <v>0.12611605449105001</v>
      </c>
      <c r="GF152">
        <v>0.37461671604370633</v>
      </c>
      <c r="GG152">
        <v>0.28954215414031298</v>
      </c>
      <c r="GH152">
        <v>0</v>
      </c>
      <c r="GI152">
        <v>0.47759354560178929</v>
      </c>
      <c r="GJ152"/>
      <c r="GK152">
        <v>1.0331362132352939</v>
      </c>
      <c r="GL152">
        <v>1.1222104319852941</v>
      </c>
      <c r="GM152">
        <v>0.20430859375000002</v>
      </c>
      <c r="GN152">
        <v>1.4049946428571427</v>
      </c>
      <c r="GO152">
        <v>1.5178540178571429</v>
      </c>
      <c r="GP152">
        <v>0.23709374999999999</v>
      </c>
      <c r="GQ152">
        <v>0.45162635869565215</v>
      </c>
      <c r="GR152">
        <v>0.40278260869565213</v>
      </c>
      <c r="GS152">
        <v>0</v>
      </c>
      <c r="GT152">
        <v>0.64138503670761782</v>
      </c>
      <c r="GU152"/>
      <c r="GV152"/>
      <c r="GW152"/>
      <c r="GX152"/>
      <c r="GY152"/>
      <c r="GZ152"/>
      <c r="HA152"/>
      <c r="HB152"/>
      <c r="HC152"/>
    </row>
    <row r="153" spans="1:211" s="7" customFormat="1">
      <c r="A153" s="77"/>
      <c r="B153" s="76">
        <f t="shared" ca="1" si="172"/>
        <v>0.97530940449682202</v>
      </c>
      <c r="C153">
        <v>3</v>
      </c>
      <c r="D153">
        <v>39847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 s="2"/>
      <c r="AK153" s="80"/>
      <c r="AL153" s="74"/>
      <c r="AM153" s="43">
        <v>137</v>
      </c>
      <c r="AN153">
        <v>30.745040879599703</v>
      </c>
      <c r="AO153">
        <v>0.75051438609674626</v>
      </c>
      <c r="AP153">
        <v>0.45927512066178705</v>
      </c>
      <c r="AQ153">
        <v>4.9554947024184512</v>
      </c>
      <c r="AR153">
        <v>0.70984945283270628</v>
      </c>
      <c r="AS153">
        <v>2.5170536533861418</v>
      </c>
      <c r="AT153">
        <v>0.50391694872608428</v>
      </c>
      <c r="AU153">
        <v>0.22849452894146716</v>
      </c>
      <c r="AV153"/>
      <c r="AW153"/>
      <c r="AX153" s="151"/>
      <c r="AY153" s="76">
        <f t="shared" ca="1" si="173"/>
        <v>0.69348764532534224</v>
      </c>
      <c r="AZ153">
        <v>6</v>
      </c>
      <c r="BA153" s="129">
        <f t="shared" si="171"/>
        <v>39847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 s="147"/>
      <c r="CH153" s="176"/>
      <c r="CJ153" s="151"/>
      <c r="CK153" s="76">
        <f t="shared" ref="CK153:CK207" ca="1" si="208">IF(AZ153="", "", RAND())</f>
        <v>0.53147648962917149</v>
      </c>
      <c r="CL153" s="179">
        <f t="shared" ref="CL153:CL207" si="209">IF(AZ153="", "", AZ153)</f>
        <v>6</v>
      </c>
      <c r="CM153" s="180">
        <f t="shared" ref="CM153:CM207" si="210">IF(AZ153="", "", BA153)</f>
        <v>39847</v>
      </c>
      <c r="CN153">
        <v>0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 s="160"/>
      <c r="CW153">
        <v>1</v>
      </c>
      <c r="CX153">
        <v>1</v>
      </c>
      <c r="CY153" s="160"/>
      <c r="CZ153" s="177">
        <f t="shared" ref="CZ153:CZ207" si="211">IF(AZ153="", "", $G$15)</f>
        <v>9.6000000000000002E-2</v>
      </c>
      <c r="DB153" s="151"/>
      <c r="DC153" s="76">
        <f t="shared" ca="1" si="174"/>
        <v>0.64726231306462556</v>
      </c>
      <c r="DD153">
        <f t="shared" ref="DD153:DD207" si="212">IF(AZ153="", "", AZ153)</f>
        <v>6</v>
      </c>
      <c r="DE153" s="129">
        <f t="shared" si="170"/>
        <v>39847</v>
      </c>
      <c r="DF153" s="161">
        <f t="shared" ref="DF153:DF187" si="213">IF($AZ153="", "", ((BB153*$CW153)+(CN153*$CX153))/$CZ153)</f>
        <v>0</v>
      </c>
      <c r="DG153" s="161">
        <f t="shared" ref="DG153:DG187" si="214">IF($AZ153="", "", ((BC153*$CW153)+(CO153*$CX153))/$CZ153)</f>
        <v>0</v>
      </c>
      <c r="DH153" s="161">
        <f t="shared" ref="DH153:DH187" si="215">IF($AZ153="", "", ((BD153*$CW153)+(CP153*$CX153))/$CZ153)</f>
        <v>0</v>
      </c>
      <c r="DI153" s="161">
        <f t="shared" ref="DI153:DI187" si="216">IF($AZ153="", "", ((BE153*$CW153)+(CQ153*$CX153))/$CZ153)</f>
        <v>0</v>
      </c>
      <c r="DJ153" s="161">
        <f t="shared" ref="DJ153:DJ187" si="217">IF($AZ153="", "", ((BF153*$CW153)+(CR153*$CX153))/$CZ153)</f>
        <v>0</v>
      </c>
      <c r="DK153" s="161">
        <f t="shared" ref="DK153:DK187" si="218">IF($AZ153="", "", ((BG153*$CW153)+(CS153*$CX153))/$CZ153)</f>
        <v>0</v>
      </c>
      <c r="DL153" s="161">
        <f t="shared" ref="DL153:DL187" si="219">IF($AZ153="", "", ((BH153*$CW153)+(CT153*$CX153))/$CZ153)</f>
        <v>0</v>
      </c>
      <c r="DM153" s="161">
        <f t="shared" ref="DM153:DM187" si="220">IF($AZ153="", "", ((BI153*$CW153)+(CU153*$CX153))/$CZ153)</f>
        <v>0</v>
      </c>
      <c r="DN153" s="161">
        <f t="shared" ref="DN153:DN187" si="221">IF($AZ153="", "", (BJ153*$CW153)/$CZ153)</f>
        <v>0</v>
      </c>
      <c r="DO153" s="161">
        <f t="shared" ref="DO153:DO187" si="222">IF($AZ153="", "", (BK153*$CW153)/$CZ153)</f>
        <v>0</v>
      </c>
      <c r="DP153" s="161">
        <f t="shared" ref="DP153:DP187" si="223">IF($AZ153="", "", (BL153*$CW153)/$CZ153)</f>
        <v>0</v>
      </c>
      <c r="DQ153" s="161">
        <f t="shared" ref="DQ153:DQ187" si="224">IF($AZ153="", "", (BM153*$CW153)/$CZ153)</f>
        <v>0</v>
      </c>
      <c r="DR153" s="161">
        <f t="shared" ref="DR153:DR187" si="225">IF($AZ153="", "", (BN153*$CW153)/$CZ153)</f>
        <v>0</v>
      </c>
      <c r="DS153" s="161">
        <f t="shared" ref="DS153:DS187" si="226">IF($AZ153="", "", (BO153*$CW153)/$CZ153)</f>
        <v>0</v>
      </c>
      <c r="DT153" s="161">
        <f t="shared" ref="DT153:DT187" si="227">IF($AZ153="", "", (BP153*$CW153)/$CZ153)</f>
        <v>0</v>
      </c>
      <c r="DU153" s="161">
        <f t="shared" ref="DU153:DU187" si="228">IF($AZ153="", "", (BQ153*$CW153)/$CZ153)</f>
        <v>0</v>
      </c>
      <c r="DV153" s="161">
        <f t="shared" ref="DV153:DV187" si="229">IF($AZ153="", "", (BR153*$CW153)/$CZ153)</f>
        <v>0</v>
      </c>
      <c r="DW153" s="161">
        <f t="shared" ref="DW153:DW187" si="230">IF($AZ153="", "", (BS153*$CW153)/$CZ153)</f>
        <v>0</v>
      </c>
      <c r="DX153" s="161">
        <f t="shared" ref="DX153:DX187" si="231">IF($AZ153="", "", (BT153*$CW153)/$CZ153)</f>
        <v>0</v>
      </c>
      <c r="DY153" s="161">
        <f t="shared" ref="DY153:DY187" si="232">IF($AZ153="", "", (BU153*$CW153)/$CZ153)</f>
        <v>0</v>
      </c>
      <c r="DZ153" s="161">
        <f t="shared" ref="DZ153:DZ187" si="233">IF($AZ153="", "", (BV153*$CW153)/$CZ153)</f>
        <v>0</v>
      </c>
      <c r="EA153" s="161">
        <f t="shared" ref="EA153:EA187" si="234">IF($AZ153="", "", (BW153*$CW153)/$CZ153)</f>
        <v>0</v>
      </c>
      <c r="EB153" s="161">
        <f t="shared" ref="EB153:EB187" si="235">IF($AZ153="", "", (BX153*$CW153)/$CZ153)</f>
        <v>0</v>
      </c>
      <c r="EC153" s="161">
        <f t="shared" ref="EC153:EC187" si="236">IF($AZ153="", "", (BY153*$CW153)/$CZ153)</f>
        <v>0</v>
      </c>
      <c r="ED153" s="161">
        <f t="shared" ref="ED153:ED187" si="237">IF($AZ153="", "", (BZ153*$CW153)/$CZ153)</f>
        <v>0</v>
      </c>
      <c r="EE153" s="161">
        <f t="shared" ref="EE153:EE187" si="238">IF($AZ153="", "", (CA153*$CW153)/$CZ153)</f>
        <v>0</v>
      </c>
      <c r="EF153" s="161">
        <f t="shared" ref="EF153:EF187" si="239">IF($AZ153="", "", (CB153*$CW153)/$CZ153)</f>
        <v>0</v>
      </c>
      <c r="EG153" s="161">
        <f t="shared" ref="EG153:EG187" si="240">IF($AZ153="", "", (CC153*$CW153)/$CZ153)</f>
        <v>0</v>
      </c>
      <c r="EH153" s="161">
        <f t="shared" ref="EH153:EH187" si="241">IF($AZ153="", "", (CD153*$CW153)/$CZ153)</f>
        <v>0</v>
      </c>
      <c r="EI153" s="161">
        <f t="shared" ref="EI153:EI187" si="242">IF($AZ153="", "", (CE153*$CW153)/$CZ153)</f>
        <v>0</v>
      </c>
      <c r="EJ153" s="161">
        <f t="shared" ref="EJ153:EJ187" si="243">IF($AZ153="", "", (CF153*$CW153)/$CZ153)</f>
        <v>0</v>
      </c>
      <c r="EK153" s="147">
        <f t="shared" si="175"/>
        <v>0</v>
      </c>
      <c r="EL153" s="149"/>
      <c r="EN153" s="151"/>
      <c r="EO153" s="151"/>
      <c r="EP153" s="139">
        <f t="shared" si="176"/>
        <v>0</v>
      </c>
      <c r="EQ153" s="139">
        <f t="shared" si="177"/>
        <v>0</v>
      </c>
      <c r="ER153" s="139">
        <f t="shared" si="178"/>
        <v>0</v>
      </c>
      <c r="ES153" s="139">
        <f t="shared" si="179"/>
        <v>0</v>
      </c>
      <c r="ET153" s="139">
        <f t="shared" si="180"/>
        <v>0</v>
      </c>
      <c r="EU153" s="139">
        <f t="shared" si="181"/>
        <v>0</v>
      </c>
      <c r="EV153" s="139">
        <f t="shared" si="182"/>
        <v>0</v>
      </c>
      <c r="EW153" s="139">
        <f t="shared" si="183"/>
        <v>0</v>
      </c>
      <c r="EX153" s="139">
        <f t="shared" si="184"/>
        <v>0</v>
      </c>
      <c r="EY153" s="139">
        <f t="shared" si="185"/>
        <v>0</v>
      </c>
      <c r="EZ153" s="139">
        <f t="shared" si="186"/>
        <v>0</v>
      </c>
      <c r="FA153" s="139">
        <f t="shared" si="187"/>
        <v>0</v>
      </c>
      <c r="FB153" s="139">
        <f t="shared" si="188"/>
        <v>0</v>
      </c>
      <c r="FC153" s="139">
        <f t="shared" si="189"/>
        <v>0</v>
      </c>
      <c r="FD153" s="139">
        <f t="shared" si="190"/>
        <v>0</v>
      </c>
      <c r="FE153" s="139">
        <f t="shared" si="191"/>
        <v>0</v>
      </c>
      <c r="FF153" s="139">
        <f t="shared" si="192"/>
        <v>0</v>
      </c>
      <c r="FG153" s="139">
        <f t="shared" si="193"/>
        <v>0</v>
      </c>
      <c r="FH153" s="139">
        <f t="shared" si="194"/>
        <v>0</v>
      </c>
      <c r="FI153" s="139">
        <f t="shared" si="195"/>
        <v>0</v>
      </c>
      <c r="FJ153" s="139">
        <f t="shared" si="196"/>
        <v>0</v>
      </c>
      <c r="FK153" s="139">
        <f t="shared" si="197"/>
        <v>0</v>
      </c>
      <c r="FL153" s="139">
        <f t="shared" si="198"/>
        <v>0</v>
      </c>
      <c r="FM153" s="139">
        <f t="shared" si="199"/>
        <v>0</v>
      </c>
      <c r="FN153" s="139">
        <f t="shared" si="200"/>
        <v>0</v>
      </c>
      <c r="FO153" s="139">
        <f t="shared" si="201"/>
        <v>0</v>
      </c>
      <c r="FP153" s="139">
        <f t="shared" si="202"/>
        <v>0</v>
      </c>
      <c r="FQ153" s="139">
        <f t="shared" si="203"/>
        <v>0</v>
      </c>
      <c r="FR153" s="139">
        <f t="shared" si="204"/>
        <v>0</v>
      </c>
      <c r="FS153" s="139">
        <f t="shared" si="205"/>
        <v>0</v>
      </c>
      <c r="FT153" s="139">
        <f t="shared" si="206"/>
        <v>0</v>
      </c>
      <c r="FU153" s="148">
        <f t="shared" si="207"/>
        <v>0</v>
      </c>
      <c r="FV153" s="149"/>
      <c r="FY153" s="211">
        <v>148</v>
      </c>
      <c r="FZ153">
        <v>0.71027121209511102</v>
      </c>
      <c r="GA153">
        <v>1.0408050695546613</v>
      </c>
      <c r="GB153">
        <v>1.1639674626538954</v>
      </c>
      <c r="GC153">
        <v>0.9358376265037982</v>
      </c>
      <c r="GD153">
        <v>0.40913027049442507</v>
      </c>
      <c r="GE153">
        <v>0.19356646978169997</v>
      </c>
      <c r="GF153">
        <v>0.5344786465355188</v>
      </c>
      <c r="GG153">
        <v>0.52933036966390667</v>
      </c>
      <c r="GH153">
        <v>0.1330459067538125</v>
      </c>
      <c r="GI153">
        <v>0.73849157631270057</v>
      </c>
      <c r="GJ153"/>
      <c r="GK153">
        <v>0.70785937500000007</v>
      </c>
      <c r="GL153">
        <v>0.87662109375000008</v>
      </c>
      <c r="GM153">
        <v>1.9107290482954542</v>
      </c>
      <c r="GN153">
        <v>2.7441548295454545</v>
      </c>
      <c r="GO153">
        <v>1.5561562500000001</v>
      </c>
      <c r="GP153">
        <v>0.36374999999999996</v>
      </c>
      <c r="GQ153">
        <v>0.64475135869565214</v>
      </c>
      <c r="GR153">
        <v>0.73663677536231864</v>
      </c>
      <c r="GS153">
        <v>0.14072916666666666</v>
      </c>
      <c r="GT153">
        <v>0.99204503973155478</v>
      </c>
      <c r="GU153"/>
      <c r="GV153"/>
      <c r="GW153"/>
      <c r="GX153"/>
      <c r="GY153"/>
      <c r="GZ153"/>
      <c r="HA153"/>
      <c r="HB153"/>
      <c r="HC153"/>
    </row>
    <row r="154" spans="1:211" s="7" customFormat="1">
      <c r="A154" s="77"/>
      <c r="B154" s="76">
        <f t="shared" ca="1" si="172"/>
        <v>0.12362088602054411</v>
      </c>
      <c r="C154">
        <v>1</v>
      </c>
      <c r="D154">
        <v>39847</v>
      </c>
      <c r="E154">
        <v>10.416666666666666</v>
      </c>
      <c r="F154">
        <v>52.083333333333336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 s="2"/>
      <c r="AK154" s="80"/>
      <c r="AL154" s="74"/>
      <c r="AM154" s="43">
        <v>138</v>
      </c>
      <c r="AN154">
        <v>68.02801159808034</v>
      </c>
      <c r="AO154">
        <v>1.6241863154179312</v>
      </c>
      <c r="AP154">
        <v>11.233606248031187</v>
      </c>
      <c r="AQ154">
        <v>11.290843358666482</v>
      </c>
      <c r="AR154">
        <v>1.4932301840337838</v>
      </c>
      <c r="AS154">
        <v>5.4814765414104407</v>
      </c>
      <c r="AT154" t="e">
        <v>#DIV/0!</v>
      </c>
      <c r="AU154" t="e">
        <v>#DIV/0!</v>
      </c>
      <c r="AV154"/>
      <c r="AW154"/>
      <c r="AX154" s="151"/>
      <c r="AY154" s="76">
        <f t="shared" ca="1" si="173"/>
        <v>0.65831256161255425</v>
      </c>
      <c r="AZ154">
        <v>7</v>
      </c>
      <c r="BA154" s="129">
        <f t="shared" si="171"/>
        <v>39847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 s="147"/>
      <c r="CH154" s="176"/>
      <c r="CJ154" s="151"/>
      <c r="CK154" s="76">
        <f t="shared" ca="1" si="208"/>
        <v>0.37831635054229973</v>
      </c>
      <c r="CL154" s="179">
        <f t="shared" si="209"/>
        <v>7</v>
      </c>
      <c r="CM154" s="180">
        <f t="shared" si="210"/>
        <v>39847</v>
      </c>
      <c r="CN154">
        <v>0</v>
      </c>
      <c r="CO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 s="160"/>
      <c r="CW154">
        <v>1</v>
      </c>
      <c r="CX154">
        <v>1</v>
      </c>
      <c r="CY154" s="165"/>
      <c r="CZ154" s="177">
        <f t="shared" si="211"/>
        <v>9.6000000000000002E-2</v>
      </c>
      <c r="DB154" s="151"/>
      <c r="DC154" s="76">
        <f t="shared" ca="1" si="174"/>
        <v>4.2570773702993669E-2</v>
      </c>
      <c r="DD154">
        <f t="shared" si="212"/>
        <v>7</v>
      </c>
      <c r="DE154" s="129">
        <f t="shared" si="170"/>
        <v>39847</v>
      </c>
      <c r="DF154" s="161">
        <f t="shared" si="213"/>
        <v>0</v>
      </c>
      <c r="DG154" s="161">
        <f t="shared" si="214"/>
        <v>0</v>
      </c>
      <c r="DH154" s="161">
        <f t="shared" si="215"/>
        <v>0</v>
      </c>
      <c r="DI154" s="161">
        <f t="shared" si="216"/>
        <v>0</v>
      </c>
      <c r="DJ154" s="161">
        <f t="shared" si="217"/>
        <v>0</v>
      </c>
      <c r="DK154" s="161">
        <f t="shared" si="218"/>
        <v>0</v>
      </c>
      <c r="DL154" s="161">
        <f t="shared" si="219"/>
        <v>0</v>
      </c>
      <c r="DM154" s="161">
        <f t="shared" si="220"/>
        <v>0</v>
      </c>
      <c r="DN154" s="161">
        <f t="shared" si="221"/>
        <v>0</v>
      </c>
      <c r="DO154" s="161">
        <f t="shared" si="222"/>
        <v>0</v>
      </c>
      <c r="DP154" s="161">
        <f t="shared" si="223"/>
        <v>0</v>
      </c>
      <c r="DQ154" s="161">
        <f t="shared" si="224"/>
        <v>0</v>
      </c>
      <c r="DR154" s="161">
        <f t="shared" si="225"/>
        <v>0</v>
      </c>
      <c r="DS154" s="161">
        <f t="shared" si="226"/>
        <v>0</v>
      </c>
      <c r="DT154" s="161">
        <f t="shared" si="227"/>
        <v>0</v>
      </c>
      <c r="DU154" s="161">
        <f t="shared" si="228"/>
        <v>0</v>
      </c>
      <c r="DV154" s="161">
        <f t="shared" si="229"/>
        <v>0</v>
      </c>
      <c r="DW154" s="161">
        <f t="shared" si="230"/>
        <v>0</v>
      </c>
      <c r="DX154" s="161">
        <f t="shared" si="231"/>
        <v>0</v>
      </c>
      <c r="DY154" s="161">
        <f t="shared" si="232"/>
        <v>0</v>
      </c>
      <c r="DZ154" s="161">
        <f t="shared" si="233"/>
        <v>0</v>
      </c>
      <c r="EA154" s="161">
        <f t="shared" si="234"/>
        <v>0</v>
      </c>
      <c r="EB154" s="161">
        <f t="shared" si="235"/>
        <v>0</v>
      </c>
      <c r="EC154" s="161">
        <f t="shared" si="236"/>
        <v>0</v>
      </c>
      <c r="ED154" s="161">
        <f t="shared" si="237"/>
        <v>0</v>
      </c>
      <c r="EE154" s="161">
        <f t="shared" si="238"/>
        <v>0</v>
      </c>
      <c r="EF154" s="161">
        <f t="shared" si="239"/>
        <v>0</v>
      </c>
      <c r="EG154" s="161">
        <f t="shared" si="240"/>
        <v>0</v>
      </c>
      <c r="EH154" s="161">
        <f t="shared" si="241"/>
        <v>0</v>
      </c>
      <c r="EI154" s="161">
        <f t="shared" si="242"/>
        <v>0</v>
      </c>
      <c r="EJ154" s="161">
        <f t="shared" si="243"/>
        <v>0</v>
      </c>
      <c r="EK154" s="147">
        <f t="shared" si="175"/>
        <v>0</v>
      </c>
      <c r="EL154" s="149"/>
      <c r="EN154" s="151"/>
      <c r="EO154" s="151"/>
      <c r="EP154" s="139">
        <f t="shared" si="176"/>
        <v>0</v>
      </c>
      <c r="EQ154" s="139">
        <f t="shared" si="177"/>
        <v>0</v>
      </c>
      <c r="ER154" s="139">
        <f t="shared" si="178"/>
        <v>0</v>
      </c>
      <c r="ES154" s="139">
        <f t="shared" si="179"/>
        <v>0</v>
      </c>
      <c r="ET154" s="139">
        <f t="shared" si="180"/>
        <v>0</v>
      </c>
      <c r="EU154" s="139">
        <f t="shared" si="181"/>
        <v>0</v>
      </c>
      <c r="EV154" s="139">
        <f t="shared" si="182"/>
        <v>0</v>
      </c>
      <c r="EW154" s="139">
        <f t="shared" si="183"/>
        <v>0</v>
      </c>
      <c r="EX154" s="139">
        <f t="shared" si="184"/>
        <v>0</v>
      </c>
      <c r="EY154" s="139">
        <f t="shared" si="185"/>
        <v>0</v>
      </c>
      <c r="EZ154" s="139">
        <f t="shared" si="186"/>
        <v>0</v>
      </c>
      <c r="FA154" s="139">
        <f t="shared" si="187"/>
        <v>0</v>
      </c>
      <c r="FB154" s="139">
        <f t="shared" si="188"/>
        <v>0</v>
      </c>
      <c r="FC154" s="139">
        <f t="shared" si="189"/>
        <v>0</v>
      </c>
      <c r="FD154" s="139">
        <f t="shared" si="190"/>
        <v>0</v>
      </c>
      <c r="FE154" s="139">
        <f t="shared" si="191"/>
        <v>0</v>
      </c>
      <c r="FF154" s="139">
        <f t="shared" si="192"/>
        <v>0</v>
      </c>
      <c r="FG154" s="139">
        <f t="shared" si="193"/>
        <v>0</v>
      </c>
      <c r="FH154" s="139">
        <f t="shared" si="194"/>
        <v>0</v>
      </c>
      <c r="FI154" s="139">
        <f t="shared" si="195"/>
        <v>0</v>
      </c>
      <c r="FJ154" s="139">
        <f t="shared" si="196"/>
        <v>0</v>
      </c>
      <c r="FK154" s="139">
        <f t="shared" si="197"/>
        <v>0</v>
      </c>
      <c r="FL154" s="139">
        <f t="shared" si="198"/>
        <v>0</v>
      </c>
      <c r="FM154" s="139">
        <f t="shared" si="199"/>
        <v>0</v>
      </c>
      <c r="FN154" s="139">
        <f t="shared" si="200"/>
        <v>0</v>
      </c>
      <c r="FO154" s="139">
        <f t="shared" si="201"/>
        <v>0</v>
      </c>
      <c r="FP154" s="139">
        <f t="shared" si="202"/>
        <v>0</v>
      </c>
      <c r="FQ154" s="139">
        <f t="shared" si="203"/>
        <v>0</v>
      </c>
      <c r="FR154" s="139">
        <f t="shared" si="204"/>
        <v>0</v>
      </c>
      <c r="FS154" s="139">
        <f t="shared" si="205"/>
        <v>0</v>
      </c>
      <c r="FT154" s="139">
        <f t="shared" si="206"/>
        <v>0</v>
      </c>
      <c r="FU154" s="148">
        <f t="shared" si="207"/>
        <v>0</v>
      </c>
      <c r="FV154" s="149"/>
      <c r="FY154" s="211">
        <v>149</v>
      </c>
      <c r="FZ154">
        <v>1.2638364307317789</v>
      </c>
      <c r="GA154">
        <v>1.4372807432352881</v>
      </c>
      <c r="GB154">
        <v>1.12079990981932</v>
      </c>
      <c r="GC154">
        <v>1.0005847267088153</v>
      </c>
      <c r="GD154">
        <v>0.34970820553912496</v>
      </c>
      <c r="GE154">
        <v>7.1247647751975007E-2</v>
      </c>
      <c r="GF154">
        <v>4.0519097411428125E-2</v>
      </c>
      <c r="GG154">
        <v>5.0581908438140623E-2</v>
      </c>
      <c r="GH154">
        <v>6.6522953376906252E-2</v>
      </c>
      <c r="GI154">
        <v>0.67717467266401132</v>
      </c>
      <c r="GJ154"/>
      <c r="GK154">
        <v>1.2595143382352938</v>
      </c>
      <c r="GL154">
        <v>1.2105299632352939</v>
      </c>
      <c r="GM154">
        <v>1.8405752840909089</v>
      </c>
      <c r="GN154">
        <v>2.9351065340909086</v>
      </c>
      <c r="GO154">
        <v>1.32984375</v>
      </c>
      <c r="GP154">
        <v>0.133921875</v>
      </c>
      <c r="GQ154">
        <v>4.8843750000000005E-2</v>
      </c>
      <c r="GR154">
        <v>7.0364583333333328E-2</v>
      </c>
      <c r="GS154">
        <v>7.0364583333333328E-2</v>
      </c>
      <c r="GT154">
        <v>0.90982834113190725</v>
      </c>
      <c r="GU154"/>
      <c r="GV154"/>
      <c r="GW154"/>
      <c r="GX154"/>
      <c r="GY154"/>
      <c r="GZ154"/>
      <c r="HA154"/>
      <c r="HB154"/>
      <c r="HC154"/>
    </row>
    <row r="155" spans="1:211" s="7" customFormat="1">
      <c r="A155" s="77"/>
      <c r="B155" s="76">
        <f t="shared" ca="1" si="172"/>
        <v>0.58424577196657079</v>
      </c>
      <c r="C155">
        <v>9</v>
      </c>
      <c r="D155">
        <v>39847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 s="2"/>
      <c r="AK155" s="80"/>
      <c r="AL155" s="74"/>
      <c r="AM155" s="43">
        <v>139</v>
      </c>
      <c r="AN155">
        <v>39.929171043417362</v>
      </c>
      <c r="AO155">
        <v>0.94749455396533599</v>
      </c>
      <c r="AP155">
        <v>1.1784987827898807</v>
      </c>
      <c r="AQ155">
        <v>6.721257701433804</v>
      </c>
      <c r="AR155">
        <v>0.87946948087757826</v>
      </c>
      <c r="AS155">
        <v>3.2612633745122008</v>
      </c>
      <c r="AT155" t="e">
        <v>#DIV/0!</v>
      </c>
      <c r="AU155" t="e">
        <v>#DIV/0!</v>
      </c>
      <c r="AV155"/>
      <c r="AW155"/>
      <c r="AX155" s="151"/>
      <c r="AY155" s="76">
        <f t="shared" ca="1" si="173"/>
        <v>0.34058116680991501</v>
      </c>
      <c r="AZ155">
        <v>8</v>
      </c>
      <c r="BA155" s="129">
        <f t="shared" si="171"/>
        <v>39847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 s="147"/>
      <c r="CH155" s="176"/>
      <c r="CJ155" s="151"/>
      <c r="CK155" s="76">
        <f t="shared" ca="1" si="208"/>
        <v>0.50738771156361184</v>
      </c>
      <c r="CL155" s="179">
        <f t="shared" si="209"/>
        <v>8</v>
      </c>
      <c r="CM155" s="180">
        <f t="shared" si="210"/>
        <v>39847</v>
      </c>
      <c r="CN155">
        <v>0</v>
      </c>
      <c r="CO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 s="160"/>
      <c r="CW155">
        <v>1</v>
      </c>
      <c r="CX155">
        <f>360/54</f>
        <v>6.666666666666667</v>
      </c>
      <c r="CY155" s="165"/>
      <c r="CZ155" s="177">
        <f t="shared" si="211"/>
        <v>9.6000000000000002E-2</v>
      </c>
      <c r="DB155" s="151"/>
      <c r="DC155" s="76">
        <f t="shared" ca="1" si="174"/>
        <v>0.24018099498777912</v>
      </c>
      <c r="DD155">
        <f t="shared" si="212"/>
        <v>8</v>
      </c>
      <c r="DE155" s="129">
        <f t="shared" si="170"/>
        <v>39847</v>
      </c>
      <c r="DF155" s="161">
        <f t="shared" si="213"/>
        <v>0</v>
      </c>
      <c r="DG155" s="161">
        <f t="shared" si="214"/>
        <v>0</v>
      </c>
      <c r="DH155" s="161">
        <f t="shared" si="215"/>
        <v>0</v>
      </c>
      <c r="DI155" s="161">
        <f t="shared" si="216"/>
        <v>0</v>
      </c>
      <c r="DJ155" s="161">
        <f t="shared" si="217"/>
        <v>0</v>
      </c>
      <c r="DK155" s="161">
        <f t="shared" si="218"/>
        <v>0</v>
      </c>
      <c r="DL155" s="161">
        <f t="shared" si="219"/>
        <v>0</v>
      </c>
      <c r="DM155" s="161">
        <f t="shared" si="220"/>
        <v>0</v>
      </c>
      <c r="DN155" s="161">
        <f t="shared" si="221"/>
        <v>0</v>
      </c>
      <c r="DO155" s="161">
        <f t="shared" si="222"/>
        <v>0</v>
      </c>
      <c r="DP155" s="161">
        <f t="shared" si="223"/>
        <v>0</v>
      </c>
      <c r="DQ155" s="161">
        <f t="shared" si="224"/>
        <v>0</v>
      </c>
      <c r="DR155" s="161">
        <f t="shared" si="225"/>
        <v>0</v>
      </c>
      <c r="DS155" s="161">
        <f t="shared" si="226"/>
        <v>0</v>
      </c>
      <c r="DT155" s="161">
        <f t="shared" si="227"/>
        <v>0</v>
      </c>
      <c r="DU155" s="161">
        <f t="shared" si="228"/>
        <v>0</v>
      </c>
      <c r="DV155" s="161">
        <f t="shared" si="229"/>
        <v>0</v>
      </c>
      <c r="DW155" s="161">
        <f t="shared" si="230"/>
        <v>0</v>
      </c>
      <c r="DX155" s="161">
        <f t="shared" si="231"/>
        <v>0</v>
      </c>
      <c r="DY155" s="161">
        <f t="shared" si="232"/>
        <v>0</v>
      </c>
      <c r="DZ155" s="161">
        <f t="shared" si="233"/>
        <v>0</v>
      </c>
      <c r="EA155" s="161">
        <f t="shared" si="234"/>
        <v>0</v>
      </c>
      <c r="EB155" s="161">
        <f t="shared" si="235"/>
        <v>0</v>
      </c>
      <c r="EC155" s="161">
        <f t="shared" si="236"/>
        <v>0</v>
      </c>
      <c r="ED155" s="161">
        <f t="shared" si="237"/>
        <v>0</v>
      </c>
      <c r="EE155" s="161">
        <f t="shared" si="238"/>
        <v>0</v>
      </c>
      <c r="EF155" s="161">
        <f t="shared" si="239"/>
        <v>0</v>
      </c>
      <c r="EG155" s="161">
        <f t="shared" si="240"/>
        <v>0</v>
      </c>
      <c r="EH155" s="161">
        <f t="shared" si="241"/>
        <v>0</v>
      </c>
      <c r="EI155" s="161">
        <f t="shared" si="242"/>
        <v>0</v>
      </c>
      <c r="EJ155" s="161">
        <f t="shared" si="243"/>
        <v>0</v>
      </c>
      <c r="EK155" s="147">
        <f t="shared" si="175"/>
        <v>0</v>
      </c>
      <c r="EL155" s="149"/>
      <c r="EN155" s="151"/>
      <c r="EO155" s="151"/>
      <c r="EP155" s="139">
        <f t="shared" si="176"/>
        <v>0</v>
      </c>
      <c r="EQ155" s="139">
        <f t="shared" si="177"/>
        <v>0</v>
      </c>
      <c r="ER155" s="139">
        <f t="shared" si="178"/>
        <v>0</v>
      </c>
      <c r="ES155" s="139">
        <f t="shared" si="179"/>
        <v>0</v>
      </c>
      <c r="ET155" s="139">
        <f t="shared" si="180"/>
        <v>0</v>
      </c>
      <c r="EU155" s="139">
        <f t="shared" si="181"/>
        <v>0</v>
      </c>
      <c r="EV155" s="139">
        <f t="shared" si="182"/>
        <v>0</v>
      </c>
      <c r="EW155" s="139">
        <f t="shared" si="183"/>
        <v>0</v>
      </c>
      <c r="EX155" s="139">
        <f t="shared" si="184"/>
        <v>0</v>
      </c>
      <c r="EY155" s="139">
        <f t="shared" si="185"/>
        <v>0</v>
      </c>
      <c r="EZ155" s="139">
        <f t="shared" si="186"/>
        <v>0</v>
      </c>
      <c r="FA155" s="139">
        <f t="shared" si="187"/>
        <v>0</v>
      </c>
      <c r="FB155" s="139">
        <f t="shared" si="188"/>
        <v>0</v>
      </c>
      <c r="FC155" s="139">
        <f t="shared" si="189"/>
        <v>0</v>
      </c>
      <c r="FD155" s="139">
        <f t="shared" si="190"/>
        <v>0</v>
      </c>
      <c r="FE155" s="139">
        <f t="shared" si="191"/>
        <v>0</v>
      </c>
      <c r="FF155" s="139">
        <f t="shared" si="192"/>
        <v>0</v>
      </c>
      <c r="FG155" s="139">
        <f t="shared" si="193"/>
        <v>0</v>
      </c>
      <c r="FH155" s="139">
        <f t="shared" si="194"/>
        <v>0</v>
      </c>
      <c r="FI155" s="139">
        <f t="shared" si="195"/>
        <v>0</v>
      </c>
      <c r="FJ155" s="139">
        <f t="shared" si="196"/>
        <v>0</v>
      </c>
      <c r="FK155" s="139">
        <f t="shared" si="197"/>
        <v>0</v>
      </c>
      <c r="FL155" s="139">
        <f t="shared" si="198"/>
        <v>0</v>
      </c>
      <c r="FM155" s="139">
        <f t="shared" si="199"/>
        <v>0</v>
      </c>
      <c r="FN155" s="139">
        <f t="shared" si="200"/>
        <v>0</v>
      </c>
      <c r="FO155" s="139">
        <f t="shared" si="201"/>
        <v>0</v>
      </c>
      <c r="FP155" s="139">
        <f t="shared" si="202"/>
        <v>0</v>
      </c>
      <c r="FQ155" s="139">
        <f t="shared" si="203"/>
        <v>0</v>
      </c>
      <c r="FR155" s="139">
        <f t="shared" si="204"/>
        <v>0</v>
      </c>
      <c r="FS155" s="139">
        <f t="shared" si="205"/>
        <v>0</v>
      </c>
      <c r="FT155" s="139">
        <f t="shared" si="206"/>
        <v>0</v>
      </c>
      <c r="FU155" s="148">
        <f t="shared" si="207"/>
        <v>0</v>
      </c>
      <c r="FV155" s="149"/>
      <c r="FY155" s="211">
        <v>150</v>
      </c>
      <c r="FZ155">
        <v>0.98456351640328132</v>
      </c>
      <c r="GA155">
        <v>0.94835063937477537</v>
      </c>
      <c r="GB155">
        <v>2.0416299206749975</v>
      </c>
      <c r="GC155">
        <v>1.3491165997342054</v>
      </c>
      <c r="GD155">
        <v>0.18176205341207249</v>
      </c>
      <c r="GE155">
        <v>6.6483689671125015E-2</v>
      </c>
      <c r="GF155">
        <v>0.41513581345513451</v>
      </c>
      <c r="GG155">
        <v>0.34012406257845362</v>
      </c>
      <c r="GH155">
        <v>8.9508689212329934E-2</v>
      </c>
      <c r="GI155">
        <v>0.83649629297992134</v>
      </c>
      <c r="GJ155"/>
      <c r="GK155">
        <v>0.98118749999999999</v>
      </c>
      <c r="GL155">
        <v>0.79866796875000001</v>
      </c>
      <c r="GM155">
        <v>3.3524840198863628</v>
      </c>
      <c r="GN155">
        <v>3.9599535511363628</v>
      </c>
      <c r="GO155">
        <v>0.69115312499999992</v>
      </c>
      <c r="GP155">
        <v>0.12482812500000001</v>
      </c>
      <c r="GQ155">
        <v>0.50047010869565223</v>
      </c>
      <c r="GR155">
        <v>0.47314719202898542</v>
      </c>
      <c r="GS155">
        <v>9.465845352564102E-2</v>
      </c>
      <c r="GT155">
        <v>1.123990641421531</v>
      </c>
      <c r="GU155"/>
      <c r="GV155"/>
      <c r="GW155"/>
      <c r="GX155"/>
      <c r="GY155"/>
      <c r="GZ155"/>
      <c r="HA155"/>
      <c r="HB155"/>
      <c r="HC155"/>
    </row>
    <row r="156" spans="1:211" s="7" customFormat="1">
      <c r="A156" s="77"/>
      <c r="B156" s="76">
        <f t="shared" ca="1" si="172"/>
        <v>0.42128725580481796</v>
      </c>
      <c r="C156">
        <v>7</v>
      </c>
      <c r="D156">
        <v>39847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 s="2"/>
      <c r="AK156" s="80"/>
      <c r="AL156" s="74"/>
      <c r="AM156" s="43">
        <v>140</v>
      </c>
      <c r="AN156">
        <v>36.317563900560231</v>
      </c>
      <c r="AO156">
        <v>0.96588843789390744</v>
      </c>
      <c r="AP156">
        <v>1.2650767211766853</v>
      </c>
      <c r="AQ156">
        <v>6.709804935099136</v>
      </c>
      <c r="AR156">
        <v>0.88894687535809769</v>
      </c>
      <c r="AS156">
        <v>2.9576218534721588</v>
      </c>
      <c r="AT156" t="e">
        <v>#DIV/0!</v>
      </c>
      <c r="AU156" t="e">
        <v>#DIV/0!</v>
      </c>
      <c r="AV156"/>
      <c r="AW156"/>
      <c r="AX156" s="151"/>
      <c r="AY156" s="76">
        <f t="shared" ca="1" si="173"/>
        <v>0.19274577634691559</v>
      </c>
      <c r="AZ156">
        <v>9</v>
      </c>
      <c r="BA156" s="129">
        <f t="shared" si="171"/>
        <v>39847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 s="147"/>
      <c r="CH156" s="176"/>
      <c r="CJ156" s="151"/>
      <c r="CK156" s="76">
        <f t="shared" ca="1" si="208"/>
        <v>6.0818368072584228E-2</v>
      </c>
      <c r="CL156" s="179">
        <f t="shared" si="209"/>
        <v>9</v>
      </c>
      <c r="CM156" s="180">
        <f t="shared" si="210"/>
        <v>39847</v>
      </c>
      <c r="CN156">
        <v>0</v>
      </c>
      <c r="CO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 s="160"/>
      <c r="CW156">
        <v>1</v>
      </c>
      <c r="CX156">
        <f>350/56</f>
        <v>6.25</v>
      </c>
      <c r="CY156" s="165"/>
      <c r="CZ156" s="177">
        <f t="shared" si="211"/>
        <v>9.6000000000000002E-2</v>
      </c>
      <c r="DB156" s="151"/>
      <c r="DC156" s="76">
        <f t="shared" ca="1" si="174"/>
        <v>0.49952543623868362</v>
      </c>
      <c r="DD156">
        <f t="shared" si="212"/>
        <v>9</v>
      </c>
      <c r="DE156" s="129">
        <f t="shared" si="170"/>
        <v>39847</v>
      </c>
      <c r="DF156" s="161">
        <f t="shared" si="213"/>
        <v>0</v>
      </c>
      <c r="DG156" s="161">
        <f t="shared" si="214"/>
        <v>0</v>
      </c>
      <c r="DH156" s="161">
        <f t="shared" si="215"/>
        <v>0</v>
      </c>
      <c r="DI156" s="161">
        <f t="shared" si="216"/>
        <v>0</v>
      </c>
      <c r="DJ156" s="161">
        <f t="shared" si="217"/>
        <v>0</v>
      </c>
      <c r="DK156" s="161">
        <f t="shared" si="218"/>
        <v>0</v>
      </c>
      <c r="DL156" s="161">
        <f t="shared" si="219"/>
        <v>0</v>
      </c>
      <c r="DM156" s="161">
        <f t="shared" si="220"/>
        <v>0</v>
      </c>
      <c r="DN156" s="161">
        <f t="shared" si="221"/>
        <v>0</v>
      </c>
      <c r="DO156" s="161">
        <f t="shared" si="222"/>
        <v>0</v>
      </c>
      <c r="DP156" s="161">
        <f t="shared" si="223"/>
        <v>0</v>
      </c>
      <c r="DQ156" s="161">
        <f t="shared" si="224"/>
        <v>0</v>
      </c>
      <c r="DR156" s="161">
        <f t="shared" si="225"/>
        <v>0</v>
      </c>
      <c r="DS156" s="161">
        <f t="shared" si="226"/>
        <v>0</v>
      </c>
      <c r="DT156" s="161">
        <f t="shared" si="227"/>
        <v>0</v>
      </c>
      <c r="DU156" s="161">
        <f t="shared" si="228"/>
        <v>0</v>
      </c>
      <c r="DV156" s="161">
        <f t="shared" si="229"/>
        <v>0</v>
      </c>
      <c r="DW156" s="161">
        <f t="shared" si="230"/>
        <v>0</v>
      </c>
      <c r="DX156" s="161">
        <f t="shared" si="231"/>
        <v>0</v>
      </c>
      <c r="DY156" s="161">
        <f t="shared" si="232"/>
        <v>0</v>
      </c>
      <c r="DZ156" s="161">
        <f t="shared" si="233"/>
        <v>0</v>
      </c>
      <c r="EA156" s="161">
        <f t="shared" si="234"/>
        <v>0</v>
      </c>
      <c r="EB156" s="161">
        <f t="shared" si="235"/>
        <v>0</v>
      </c>
      <c r="EC156" s="161">
        <f t="shared" si="236"/>
        <v>0</v>
      </c>
      <c r="ED156" s="161">
        <f t="shared" si="237"/>
        <v>0</v>
      </c>
      <c r="EE156" s="161">
        <f t="shared" si="238"/>
        <v>0</v>
      </c>
      <c r="EF156" s="161">
        <f t="shared" si="239"/>
        <v>0</v>
      </c>
      <c r="EG156" s="161">
        <f t="shared" si="240"/>
        <v>0</v>
      </c>
      <c r="EH156" s="161">
        <f t="shared" si="241"/>
        <v>0</v>
      </c>
      <c r="EI156" s="161">
        <f t="shared" si="242"/>
        <v>0</v>
      </c>
      <c r="EJ156" s="161">
        <f t="shared" si="243"/>
        <v>0</v>
      </c>
      <c r="EK156" s="147">
        <f t="shared" si="175"/>
        <v>0</v>
      </c>
      <c r="EL156" s="149"/>
      <c r="EN156" s="151"/>
      <c r="EO156" s="151"/>
      <c r="EP156" s="139">
        <f t="shared" si="176"/>
        <v>0</v>
      </c>
      <c r="EQ156" s="139">
        <f t="shared" si="177"/>
        <v>0</v>
      </c>
      <c r="ER156" s="139">
        <f t="shared" si="178"/>
        <v>0</v>
      </c>
      <c r="ES156" s="139">
        <f t="shared" si="179"/>
        <v>0</v>
      </c>
      <c r="ET156" s="139">
        <f t="shared" si="180"/>
        <v>0</v>
      </c>
      <c r="EU156" s="139">
        <f t="shared" si="181"/>
        <v>0</v>
      </c>
      <c r="EV156" s="139">
        <f t="shared" si="182"/>
        <v>0</v>
      </c>
      <c r="EW156" s="139">
        <f t="shared" si="183"/>
        <v>0</v>
      </c>
      <c r="EX156" s="139">
        <f t="shared" si="184"/>
        <v>0</v>
      </c>
      <c r="EY156" s="139">
        <f t="shared" si="185"/>
        <v>0</v>
      </c>
      <c r="EZ156" s="139">
        <f t="shared" si="186"/>
        <v>0</v>
      </c>
      <c r="FA156" s="139">
        <f t="shared" si="187"/>
        <v>0</v>
      </c>
      <c r="FB156" s="139">
        <f t="shared" si="188"/>
        <v>0</v>
      </c>
      <c r="FC156" s="139">
        <f t="shared" si="189"/>
        <v>0</v>
      </c>
      <c r="FD156" s="139">
        <f t="shared" si="190"/>
        <v>0</v>
      </c>
      <c r="FE156" s="139">
        <f t="shared" si="191"/>
        <v>0</v>
      </c>
      <c r="FF156" s="139">
        <f t="shared" si="192"/>
        <v>0</v>
      </c>
      <c r="FG156" s="139">
        <f t="shared" si="193"/>
        <v>0</v>
      </c>
      <c r="FH156" s="139">
        <f t="shared" si="194"/>
        <v>0</v>
      </c>
      <c r="FI156" s="139">
        <f t="shared" si="195"/>
        <v>0</v>
      </c>
      <c r="FJ156" s="139">
        <f t="shared" si="196"/>
        <v>0</v>
      </c>
      <c r="FK156" s="139">
        <f t="shared" si="197"/>
        <v>0</v>
      </c>
      <c r="FL156" s="139">
        <f t="shared" si="198"/>
        <v>0</v>
      </c>
      <c r="FM156" s="139">
        <f t="shared" si="199"/>
        <v>0</v>
      </c>
      <c r="FN156" s="139">
        <f t="shared" si="200"/>
        <v>0</v>
      </c>
      <c r="FO156" s="139">
        <f t="shared" si="201"/>
        <v>0</v>
      </c>
      <c r="FP156" s="139">
        <f t="shared" si="202"/>
        <v>0</v>
      </c>
      <c r="FQ156" s="139">
        <f t="shared" si="203"/>
        <v>0</v>
      </c>
      <c r="FR156" s="139">
        <f t="shared" si="204"/>
        <v>0</v>
      </c>
      <c r="FS156" s="139">
        <f t="shared" si="205"/>
        <v>0</v>
      </c>
      <c r="FT156" s="139">
        <f t="shared" si="206"/>
        <v>0</v>
      </c>
      <c r="FU156" s="148">
        <f t="shared" si="207"/>
        <v>0</v>
      </c>
      <c r="FV156" s="149"/>
      <c r="FY156" s="211">
        <v>151</v>
      </c>
      <c r="FZ156">
        <v>0.97318681603426138</v>
      </c>
      <c r="GA156">
        <v>1.3454226777321765</v>
      </c>
      <c r="GB156">
        <v>0.97165579485150344</v>
      </c>
      <c r="GC156">
        <v>0.92753943336978817</v>
      </c>
      <c r="GD156">
        <v>0.36203067912149667</v>
      </c>
      <c r="GE156">
        <v>3.0832901432324998E-2</v>
      </c>
      <c r="GF156">
        <v>4.0519097411428125E-2</v>
      </c>
      <c r="GG156">
        <v>0.10116381687628125</v>
      </c>
      <c r="GH156">
        <v>0.1330459067538125</v>
      </c>
      <c r="GI156">
        <v>0.61504171171942579</v>
      </c>
      <c r="GJ156"/>
      <c r="GK156">
        <v>0.96993933823529399</v>
      </c>
      <c r="GL156">
        <v>1.133216681985294</v>
      </c>
      <c r="GM156">
        <v>1.5950884232954543</v>
      </c>
      <c r="GN156">
        <v>2.7197244724025973</v>
      </c>
      <c r="GO156">
        <v>1.3766477678571425</v>
      </c>
      <c r="GP156">
        <v>5.7890625000000001E-2</v>
      </c>
      <c r="GQ156">
        <v>4.8843750000000005E-2</v>
      </c>
      <c r="GR156">
        <v>0.14072916666666666</v>
      </c>
      <c r="GS156">
        <v>0.14072916666666666</v>
      </c>
      <c r="GT156">
        <v>0.82624968921091146</v>
      </c>
      <c r="GU156"/>
      <c r="GV156"/>
      <c r="GW156"/>
      <c r="GX156"/>
      <c r="GY156"/>
      <c r="GZ156"/>
      <c r="HA156"/>
      <c r="HB156"/>
      <c r="HC156"/>
    </row>
    <row r="157" spans="1:211" s="7" customFormat="1">
      <c r="A157" s="77"/>
      <c r="B157" s="76">
        <f t="shared" ca="1" si="172"/>
        <v>0.23850543559915316</v>
      </c>
      <c r="C157">
        <v>4</v>
      </c>
      <c r="D157">
        <v>39847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 s="2"/>
      <c r="AK157" s="80"/>
      <c r="AL157" s="74"/>
      <c r="AM157" s="43">
        <v>141</v>
      </c>
      <c r="AN157">
        <v>46.106890231938181</v>
      </c>
      <c r="AO157">
        <v>1.0728540362699428</v>
      </c>
      <c r="AP157">
        <v>25.612034625302648</v>
      </c>
      <c r="AQ157">
        <v>7.7647533172548187</v>
      </c>
      <c r="AR157">
        <v>0.97532185115449332</v>
      </c>
      <c r="AS157">
        <v>3.8595147225772357</v>
      </c>
      <c r="AT157" t="e">
        <v>#DIV/0!</v>
      </c>
      <c r="AU157" t="e">
        <v>#DIV/0!</v>
      </c>
      <c r="AV157"/>
      <c r="AW157"/>
      <c r="AX157" s="151"/>
      <c r="AY157" s="76">
        <f t="shared" ca="1" si="173"/>
        <v>0.19862082125635183</v>
      </c>
      <c r="AZ157">
        <v>10</v>
      </c>
      <c r="BA157" s="129">
        <f t="shared" si="171"/>
        <v>39847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 s="147"/>
      <c r="CH157" s="176"/>
      <c r="CJ157" s="151"/>
      <c r="CK157" s="76">
        <f t="shared" ca="1" si="208"/>
        <v>0.79490544520011053</v>
      </c>
      <c r="CL157" s="179">
        <f t="shared" si="209"/>
        <v>10</v>
      </c>
      <c r="CM157" s="180">
        <f t="shared" si="210"/>
        <v>39847</v>
      </c>
      <c r="CN157">
        <v>0</v>
      </c>
      <c r="CO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 s="160"/>
      <c r="CW157">
        <v>1</v>
      </c>
      <c r="CX157">
        <v>1</v>
      </c>
      <c r="CY157" s="165"/>
      <c r="CZ157" s="177">
        <f t="shared" si="211"/>
        <v>9.6000000000000002E-2</v>
      </c>
      <c r="DB157" s="151"/>
      <c r="DC157" s="76">
        <f t="shared" ca="1" si="174"/>
        <v>0.68224220456937235</v>
      </c>
      <c r="DD157">
        <f t="shared" si="212"/>
        <v>10</v>
      </c>
      <c r="DE157" s="129">
        <f t="shared" si="170"/>
        <v>39847</v>
      </c>
      <c r="DF157" s="161">
        <f t="shared" si="213"/>
        <v>0</v>
      </c>
      <c r="DG157" s="161">
        <f t="shared" si="214"/>
        <v>0</v>
      </c>
      <c r="DH157" s="161">
        <f t="shared" si="215"/>
        <v>0</v>
      </c>
      <c r="DI157" s="161">
        <f t="shared" si="216"/>
        <v>0</v>
      </c>
      <c r="DJ157" s="161">
        <f t="shared" si="217"/>
        <v>0</v>
      </c>
      <c r="DK157" s="161">
        <f t="shared" si="218"/>
        <v>0</v>
      </c>
      <c r="DL157" s="161">
        <f t="shared" si="219"/>
        <v>0</v>
      </c>
      <c r="DM157" s="161">
        <f t="shared" si="220"/>
        <v>0</v>
      </c>
      <c r="DN157" s="161">
        <f t="shared" si="221"/>
        <v>0</v>
      </c>
      <c r="DO157" s="161">
        <f t="shared" si="222"/>
        <v>0</v>
      </c>
      <c r="DP157" s="161">
        <f t="shared" si="223"/>
        <v>0</v>
      </c>
      <c r="DQ157" s="161">
        <f t="shared" si="224"/>
        <v>0</v>
      </c>
      <c r="DR157" s="161">
        <f t="shared" si="225"/>
        <v>0</v>
      </c>
      <c r="DS157" s="161">
        <f t="shared" si="226"/>
        <v>0</v>
      </c>
      <c r="DT157" s="161">
        <f t="shared" si="227"/>
        <v>0</v>
      </c>
      <c r="DU157" s="161">
        <f t="shared" si="228"/>
        <v>0</v>
      </c>
      <c r="DV157" s="161">
        <f t="shared" si="229"/>
        <v>0</v>
      </c>
      <c r="DW157" s="161">
        <f t="shared" si="230"/>
        <v>0</v>
      </c>
      <c r="DX157" s="161">
        <f t="shared" si="231"/>
        <v>0</v>
      </c>
      <c r="DY157" s="161">
        <f t="shared" si="232"/>
        <v>0</v>
      </c>
      <c r="DZ157" s="161">
        <f t="shared" si="233"/>
        <v>0</v>
      </c>
      <c r="EA157" s="161">
        <f t="shared" si="234"/>
        <v>0</v>
      </c>
      <c r="EB157" s="161">
        <f t="shared" si="235"/>
        <v>0</v>
      </c>
      <c r="EC157" s="161">
        <f t="shared" si="236"/>
        <v>0</v>
      </c>
      <c r="ED157" s="161">
        <f t="shared" si="237"/>
        <v>0</v>
      </c>
      <c r="EE157" s="161">
        <f t="shared" si="238"/>
        <v>0</v>
      </c>
      <c r="EF157" s="161">
        <f t="shared" si="239"/>
        <v>0</v>
      </c>
      <c r="EG157" s="161">
        <f t="shared" si="240"/>
        <v>0</v>
      </c>
      <c r="EH157" s="161">
        <f t="shared" si="241"/>
        <v>0</v>
      </c>
      <c r="EI157" s="161">
        <f t="shared" si="242"/>
        <v>0</v>
      </c>
      <c r="EJ157" s="161">
        <f t="shared" si="243"/>
        <v>0</v>
      </c>
      <c r="EK157" s="147">
        <f t="shared" si="175"/>
        <v>0</v>
      </c>
      <c r="EL157" s="149"/>
      <c r="EN157" s="151"/>
      <c r="EO157" s="151"/>
      <c r="EP157" s="139">
        <f t="shared" si="176"/>
        <v>0</v>
      </c>
      <c r="EQ157" s="139">
        <f t="shared" si="177"/>
        <v>0</v>
      </c>
      <c r="ER157" s="139">
        <f t="shared" si="178"/>
        <v>0</v>
      </c>
      <c r="ES157" s="139">
        <f t="shared" si="179"/>
        <v>0</v>
      </c>
      <c r="ET157" s="139">
        <f t="shared" si="180"/>
        <v>0</v>
      </c>
      <c r="EU157" s="139">
        <f t="shared" si="181"/>
        <v>0</v>
      </c>
      <c r="EV157" s="139">
        <f t="shared" si="182"/>
        <v>0</v>
      </c>
      <c r="EW157" s="139">
        <f t="shared" si="183"/>
        <v>0</v>
      </c>
      <c r="EX157" s="139">
        <f t="shared" si="184"/>
        <v>0</v>
      </c>
      <c r="EY157" s="139">
        <f t="shared" si="185"/>
        <v>0</v>
      </c>
      <c r="EZ157" s="139">
        <f t="shared" si="186"/>
        <v>0</v>
      </c>
      <c r="FA157" s="139">
        <f t="shared" si="187"/>
        <v>0</v>
      </c>
      <c r="FB157" s="139">
        <f t="shared" si="188"/>
        <v>0</v>
      </c>
      <c r="FC157" s="139">
        <f t="shared" si="189"/>
        <v>0</v>
      </c>
      <c r="FD157" s="139">
        <f t="shared" si="190"/>
        <v>0</v>
      </c>
      <c r="FE157" s="139">
        <f t="shared" si="191"/>
        <v>0</v>
      </c>
      <c r="FF157" s="139">
        <f t="shared" si="192"/>
        <v>0</v>
      </c>
      <c r="FG157" s="139">
        <f t="shared" si="193"/>
        <v>0</v>
      </c>
      <c r="FH157" s="139">
        <f t="shared" si="194"/>
        <v>0</v>
      </c>
      <c r="FI157" s="139">
        <f t="shared" si="195"/>
        <v>0</v>
      </c>
      <c r="FJ157" s="139">
        <f t="shared" si="196"/>
        <v>0</v>
      </c>
      <c r="FK157" s="139">
        <f t="shared" si="197"/>
        <v>0</v>
      </c>
      <c r="FL157" s="139">
        <f t="shared" si="198"/>
        <v>0</v>
      </c>
      <c r="FM157" s="139">
        <f t="shared" si="199"/>
        <v>0</v>
      </c>
      <c r="FN157" s="139">
        <f t="shared" si="200"/>
        <v>0</v>
      </c>
      <c r="FO157" s="139">
        <f t="shared" si="201"/>
        <v>0</v>
      </c>
      <c r="FP157" s="139">
        <f t="shared" si="202"/>
        <v>0</v>
      </c>
      <c r="FQ157" s="139">
        <f t="shared" si="203"/>
        <v>0</v>
      </c>
      <c r="FR157" s="139">
        <f t="shared" si="204"/>
        <v>0</v>
      </c>
      <c r="FS157" s="139">
        <f t="shared" si="205"/>
        <v>0</v>
      </c>
      <c r="FT157" s="139">
        <f t="shared" si="206"/>
        <v>0</v>
      </c>
      <c r="FU157" s="148">
        <f t="shared" si="207"/>
        <v>0</v>
      </c>
      <c r="FV157" s="149"/>
      <c r="FY157" s="211">
        <v>152</v>
      </c>
      <c r="FZ157">
        <v>2.6106233191479618</v>
      </c>
      <c r="GA157">
        <v>3.4138210807917022</v>
      </c>
      <c r="GB157">
        <v>0.74908432212156217</v>
      </c>
      <c r="GC157">
        <v>0.51038111721701562</v>
      </c>
      <c r="GD157">
        <v>0.2007300320546625</v>
      </c>
      <c r="GE157">
        <v>8.088342136492499E-2</v>
      </c>
      <c r="GF157">
        <v>0.5344786465355188</v>
      </c>
      <c r="GG157">
        <v>0.52933036966390667</v>
      </c>
      <c r="GH157">
        <v>0.15603164258923619</v>
      </c>
      <c r="GI157">
        <v>0.80453458093669017</v>
      </c>
      <c r="GJ157"/>
      <c r="GK157">
        <v>2.6018492647058817</v>
      </c>
      <c r="GL157">
        <v>2.8755172334558816</v>
      </c>
      <c r="GM157">
        <v>1.2290195312500001</v>
      </c>
      <c r="GN157">
        <v>1.4962890625</v>
      </c>
      <c r="GO157">
        <v>0.76364062499999996</v>
      </c>
      <c r="GP157">
        <v>0.15201562499999999</v>
      </c>
      <c r="GQ157">
        <v>0.64475135869565214</v>
      </c>
      <c r="GR157">
        <v>0.73663677536231864</v>
      </c>
      <c r="GS157">
        <v>0.16502303685897435</v>
      </c>
      <c r="GT157">
        <v>1.0808567633021018</v>
      </c>
      <c r="GU157"/>
      <c r="GV157"/>
      <c r="GW157"/>
      <c r="GX157"/>
      <c r="GY157"/>
      <c r="GZ157"/>
      <c r="HA157"/>
      <c r="HB157"/>
      <c r="HC157"/>
    </row>
    <row r="158" spans="1:211" s="7" customFormat="1">
      <c r="A158" s="128"/>
      <c r="B158" s="76">
        <f t="shared" ca="1" si="172"/>
        <v>0.98713018090683158</v>
      </c>
      <c r="C158">
        <v>7</v>
      </c>
      <c r="D158">
        <v>39910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 s="2"/>
      <c r="AK158" s="80"/>
      <c r="AL158" s="74">
        <v>3.0028000000000028</v>
      </c>
      <c r="AM158" s="43">
        <v>142</v>
      </c>
      <c r="AN158">
        <v>41.258205482118527</v>
      </c>
      <c r="AO158">
        <v>0.90788075037824478</v>
      </c>
      <c r="AP158">
        <v>1.3008236562619322</v>
      </c>
      <c r="AQ158">
        <v>5.8134437671348875</v>
      </c>
      <c r="AR158">
        <v>0.83338536310609657</v>
      </c>
      <c r="AS158">
        <v>3.5267138830612641</v>
      </c>
      <c r="AT158">
        <v>0.66578544015072549</v>
      </c>
      <c r="AU158">
        <v>-0.10500240525038698</v>
      </c>
      <c r="AV158"/>
      <c r="AW158"/>
      <c r="AX158" s="128"/>
      <c r="AY158" s="76">
        <f t="shared" ca="1" si="173"/>
        <v>0.30459826080825736</v>
      </c>
      <c r="AZ158">
        <v>1</v>
      </c>
      <c r="BA158" s="129">
        <f>IF(AZ158="", "",$C$11)</f>
        <v>39910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 s="147"/>
      <c r="CH158" s="176"/>
      <c r="CJ158" s="128"/>
      <c r="CK158" s="76">
        <f t="shared" ca="1" si="208"/>
        <v>0.92402636969411622</v>
      </c>
      <c r="CL158" s="179">
        <f t="shared" si="209"/>
        <v>1</v>
      </c>
      <c r="CM158" s="180">
        <f t="shared" si="210"/>
        <v>39910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 s="160"/>
      <c r="CW158">
        <v>1</v>
      </c>
      <c r="CX158">
        <v>1</v>
      </c>
      <c r="CY158" s="160"/>
      <c r="CZ158" s="177">
        <f t="shared" si="211"/>
        <v>9.6000000000000002E-2</v>
      </c>
      <c r="DB158" s="128"/>
      <c r="DC158" s="76">
        <f t="shared" ca="1" si="174"/>
        <v>0.5298544261972209</v>
      </c>
      <c r="DD158">
        <f t="shared" si="212"/>
        <v>1</v>
      </c>
      <c r="DE158" s="129">
        <f t="shared" ref="DE158:DE167" si="244">IF((DD158)="", "", $C$11)</f>
        <v>39910</v>
      </c>
      <c r="DF158" s="161">
        <f t="shared" si="213"/>
        <v>0</v>
      </c>
      <c r="DG158" s="161">
        <f t="shared" si="214"/>
        <v>0</v>
      </c>
      <c r="DH158" s="161">
        <f t="shared" si="215"/>
        <v>0</v>
      </c>
      <c r="DI158" s="161">
        <f t="shared" si="216"/>
        <v>0</v>
      </c>
      <c r="DJ158" s="161">
        <f t="shared" si="217"/>
        <v>0</v>
      </c>
      <c r="DK158" s="161">
        <f t="shared" si="218"/>
        <v>0</v>
      </c>
      <c r="DL158" s="161">
        <f t="shared" si="219"/>
        <v>0</v>
      </c>
      <c r="DM158" s="161">
        <f t="shared" si="220"/>
        <v>0</v>
      </c>
      <c r="DN158" s="161">
        <f t="shared" si="221"/>
        <v>0</v>
      </c>
      <c r="DO158" s="161">
        <f t="shared" si="222"/>
        <v>0</v>
      </c>
      <c r="DP158" s="161">
        <f t="shared" si="223"/>
        <v>0</v>
      </c>
      <c r="DQ158" s="161">
        <f t="shared" si="224"/>
        <v>0</v>
      </c>
      <c r="DR158" s="161">
        <f t="shared" si="225"/>
        <v>0</v>
      </c>
      <c r="DS158" s="161">
        <f t="shared" si="226"/>
        <v>0</v>
      </c>
      <c r="DT158" s="161">
        <f t="shared" si="227"/>
        <v>0</v>
      </c>
      <c r="DU158" s="161">
        <f t="shared" si="228"/>
        <v>0</v>
      </c>
      <c r="DV158" s="161">
        <f t="shared" si="229"/>
        <v>0</v>
      </c>
      <c r="DW158" s="161">
        <f t="shared" si="230"/>
        <v>0</v>
      </c>
      <c r="DX158" s="161">
        <f t="shared" si="231"/>
        <v>0</v>
      </c>
      <c r="DY158" s="161">
        <f t="shared" si="232"/>
        <v>0</v>
      </c>
      <c r="DZ158" s="161">
        <f t="shared" si="233"/>
        <v>0</v>
      </c>
      <c r="EA158" s="161">
        <f t="shared" si="234"/>
        <v>0</v>
      </c>
      <c r="EB158" s="161">
        <f t="shared" si="235"/>
        <v>0</v>
      </c>
      <c r="EC158" s="161">
        <f t="shared" si="236"/>
        <v>0</v>
      </c>
      <c r="ED158" s="161">
        <f t="shared" si="237"/>
        <v>0</v>
      </c>
      <c r="EE158" s="161">
        <f t="shared" si="238"/>
        <v>0</v>
      </c>
      <c r="EF158" s="161">
        <f t="shared" si="239"/>
        <v>0</v>
      </c>
      <c r="EG158" s="161">
        <f t="shared" si="240"/>
        <v>0</v>
      </c>
      <c r="EH158" s="161">
        <f t="shared" si="241"/>
        <v>0</v>
      </c>
      <c r="EI158" s="161">
        <f t="shared" si="242"/>
        <v>0</v>
      </c>
      <c r="EJ158" s="161">
        <f t="shared" si="243"/>
        <v>0</v>
      </c>
      <c r="EK158" s="147">
        <f t="shared" si="175"/>
        <v>0</v>
      </c>
      <c r="EL158" s="149"/>
      <c r="EN158" s="146"/>
      <c r="EO158" s="146"/>
      <c r="EP158" s="139">
        <f t="shared" si="176"/>
        <v>0</v>
      </c>
      <c r="EQ158" s="139">
        <f t="shared" si="177"/>
        <v>0</v>
      </c>
      <c r="ER158" s="139">
        <f t="shared" si="178"/>
        <v>0</v>
      </c>
      <c r="ES158" s="139">
        <f t="shared" si="179"/>
        <v>0</v>
      </c>
      <c r="ET158" s="139">
        <f t="shared" si="180"/>
        <v>0</v>
      </c>
      <c r="EU158" s="139">
        <f t="shared" si="181"/>
        <v>0</v>
      </c>
      <c r="EV158" s="139">
        <f t="shared" si="182"/>
        <v>0</v>
      </c>
      <c r="EW158" s="139">
        <f t="shared" si="183"/>
        <v>0</v>
      </c>
      <c r="EX158" s="139">
        <f t="shared" si="184"/>
        <v>0</v>
      </c>
      <c r="EY158" s="139">
        <f t="shared" si="185"/>
        <v>0</v>
      </c>
      <c r="EZ158" s="139">
        <f t="shared" si="186"/>
        <v>0</v>
      </c>
      <c r="FA158" s="139">
        <f t="shared" si="187"/>
        <v>0</v>
      </c>
      <c r="FB158" s="139">
        <f t="shared" si="188"/>
        <v>0</v>
      </c>
      <c r="FC158" s="139">
        <f t="shared" si="189"/>
        <v>0</v>
      </c>
      <c r="FD158" s="139">
        <f t="shared" si="190"/>
        <v>0</v>
      </c>
      <c r="FE158" s="139">
        <f t="shared" si="191"/>
        <v>0</v>
      </c>
      <c r="FF158" s="139">
        <f t="shared" si="192"/>
        <v>0</v>
      </c>
      <c r="FG158" s="139">
        <f t="shared" si="193"/>
        <v>0</v>
      </c>
      <c r="FH158" s="139">
        <f t="shared" si="194"/>
        <v>0</v>
      </c>
      <c r="FI158" s="139">
        <f t="shared" si="195"/>
        <v>0</v>
      </c>
      <c r="FJ158" s="139">
        <f t="shared" si="196"/>
        <v>0</v>
      </c>
      <c r="FK158" s="139">
        <f t="shared" si="197"/>
        <v>0</v>
      </c>
      <c r="FL158" s="139">
        <f t="shared" si="198"/>
        <v>0</v>
      </c>
      <c r="FM158" s="139">
        <f t="shared" si="199"/>
        <v>0</v>
      </c>
      <c r="FN158" s="139">
        <f t="shared" si="200"/>
        <v>0</v>
      </c>
      <c r="FO158" s="139">
        <f t="shared" si="201"/>
        <v>0</v>
      </c>
      <c r="FP158" s="139">
        <f t="shared" si="202"/>
        <v>0</v>
      </c>
      <c r="FQ158" s="139">
        <f t="shared" si="203"/>
        <v>0</v>
      </c>
      <c r="FR158" s="139">
        <f t="shared" si="204"/>
        <v>0</v>
      </c>
      <c r="FS158" s="139">
        <f t="shared" si="205"/>
        <v>0</v>
      </c>
      <c r="FT158" s="139">
        <f t="shared" si="206"/>
        <v>0</v>
      </c>
      <c r="FU158" s="148">
        <f t="shared" si="207"/>
        <v>0</v>
      </c>
      <c r="FV158" s="149"/>
      <c r="FY158" s="211">
        <v>153</v>
      </c>
      <c r="FZ158">
        <v>1.8736154920194412</v>
      </c>
      <c r="GA158">
        <v>2.4591018649522898</v>
      </c>
      <c r="GB158">
        <v>0.26753649303494187</v>
      </c>
      <c r="GC158">
        <v>6.9594884154083742E-2</v>
      </c>
      <c r="GD158">
        <v>5.2796683467944992E-2</v>
      </c>
      <c r="GE158">
        <v>3.8543094451799993E-2</v>
      </c>
      <c r="GF158">
        <v>0.82805716775636906</v>
      </c>
      <c r="GG158">
        <v>0.71770870692793864</v>
      </c>
      <c r="GH158">
        <v>4.5971471670847357E-2</v>
      </c>
      <c r="GI158">
        <v>0.52915027473281984</v>
      </c>
      <c r="GJ158"/>
      <c r="GK158">
        <v>1.8673161764705877</v>
      </c>
      <c r="GL158">
        <v>2.0713044577205881</v>
      </c>
      <c r="GM158">
        <v>0.4387539062500001</v>
      </c>
      <c r="GN158">
        <v>0.20388437499999998</v>
      </c>
      <c r="GO158">
        <v>0.20086874999999998</v>
      </c>
      <c r="GP158">
        <v>7.2374999999999995E-2</v>
      </c>
      <c r="GQ158">
        <v>0.99869021739130437</v>
      </c>
      <c r="GR158">
        <v>0.99869021739130437</v>
      </c>
      <c r="GS158">
        <v>4.8587740384615385E-2</v>
      </c>
      <c r="GT158">
        <v>0.71084335809930144</v>
      </c>
      <c r="GU158"/>
      <c r="GV158"/>
      <c r="GW158"/>
      <c r="GX158"/>
      <c r="GY158"/>
      <c r="GZ158"/>
      <c r="HA158"/>
      <c r="HB158"/>
      <c r="HC158"/>
    </row>
    <row r="159" spans="1:211" s="7" customFormat="1">
      <c r="A159" s="1"/>
      <c r="B159" s="76">
        <f t="shared" ca="1" si="172"/>
        <v>0.21320791525598981</v>
      </c>
      <c r="C159">
        <v>8</v>
      </c>
      <c r="D159">
        <v>39910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 s="2"/>
      <c r="AK159" s="80"/>
      <c r="AL159" s="74">
        <v>3.0028000000000028</v>
      </c>
      <c r="AM159" s="43">
        <v>143</v>
      </c>
      <c r="AN159">
        <v>40.395319392853764</v>
      </c>
      <c r="AO159">
        <v>0.88861967579504619</v>
      </c>
      <c r="AP159">
        <v>0.44772376751585907</v>
      </c>
      <c r="AQ159">
        <v>7.3025640983578146</v>
      </c>
      <c r="AR159">
        <v>0.83319118254095115</v>
      </c>
      <c r="AS159">
        <v>3.2871107541261178</v>
      </c>
      <c r="AT159" t="e">
        <v>#DIV/0!</v>
      </c>
      <c r="AU159" t="e">
        <v>#DIV/0!</v>
      </c>
      <c r="AV159"/>
      <c r="AW159"/>
      <c r="AX159" s="146"/>
      <c r="AY159" s="76">
        <f t="shared" ca="1" si="173"/>
        <v>0.4626601398527157</v>
      </c>
      <c r="AZ159">
        <v>2</v>
      </c>
      <c r="BA159" s="129">
        <f t="shared" ref="BA159:BA167" si="245">IF(AZ159="", "",$C$11)</f>
        <v>39910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 s="147"/>
      <c r="CH159" s="176"/>
      <c r="CJ159" s="146"/>
      <c r="CK159" s="76">
        <f t="shared" ca="1" si="208"/>
        <v>0.74046835275703349</v>
      </c>
      <c r="CL159" s="179">
        <f t="shared" si="209"/>
        <v>2</v>
      </c>
      <c r="CM159" s="180">
        <f t="shared" si="210"/>
        <v>39910</v>
      </c>
      <c r="CN159">
        <v>0</v>
      </c>
      <c r="CO159">
        <v>4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 s="160"/>
      <c r="CW159">
        <v>1</v>
      </c>
      <c r="CX159">
        <f>256/23</f>
        <v>11.130434782608695</v>
      </c>
      <c r="CY159" s="160"/>
      <c r="CZ159" s="177">
        <f t="shared" si="211"/>
        <v>9.6000000000000002E-2</v>
      </c>
      <c r="DB159" s="146"/>
      <c r="DC159" s="76">
        <f t="shared" ca="1" si="174"/>
        <v>0.53152290736734642</v>
      </c>
      <c r="DD159">
        <f t="shared" si="212"/>
        <v>2</v>
      </c>
      <c r="DE159" s="129">
        <f t="shared" si="244"/>
        <v>39910</v>
      </c>
      <c r="DF159" s="161">
        <f t="shared" si="213"/>
        <v>0</v>
      </c>
      <c r="DG159" s="161">
        <f t="shared" si="214"/>
        <v>463.76811594202894</v>
      </c>
      <c r="DH159" s="161">
        <f t="shared" si="215"/>
        <v>0</v>
      </c>
      <c r="DI159" s="161">
        <f t="shared" si="216"/>
        <v>0</v>
      </c>
      <c r="DJ159" s="161">
        <f t="shared" si="217"/>
        <v>0</v>
      </c>
      <c r="DK159" s="161">
        <f t="shared" si="218"/>
        <v>0</v>
      </c>
      <c r="DL159" s="161">
        <f t="shared" si="219"/>
        <v>0</v>
      </c>
      <c r="DM159" s="161">
        <f t="shared" si="220"/>
        <v>0</v>
      </c>
      <c r="DN159" s="161">
        <f t="shared" si="221"/>
        <v>0</v>
      </c>
      <c r="DO159" s="161">
        <f t="shared" si="222"/>
        <v>0</v>
      </c>
      <c r="DP159" s="161">
        <f t="shared" si="223"/>
        <v>0</v>
      </c>
      <c r="DQ159" s="161">
        <f t="shared" si="224"/>
        <v>0</v>
      </c>
      <c r="DR159" s="161">
        <f t="shared" si="225"/>
        <v>0</v>
      </c>
      <c r="DS159" s="161">
        <f t="shared" si="226"/>
        <v>0</v>
      </c>
      <c r="DT159" s="161">
        <f t="shared" si="227"/>
        <v>0</v>
      </c>
      <c r="DU159" s="161">
        <f t="shared" si="228"/>
        <v>0</v>
      </c>
      <c r="DV159" s="161">
        <f t="shared" si="229"/>
        <v>0</v>
      </c>
      <c r="DW159" s="161">
        <f t="shared" si="230"/>
        <v>0</v>
      </c>
      <c r="DX159" s="161">
        <f t="shared" si="231"/>
        <v>0</v>
      </c>
      <c r="DY159" s="161">
        <f t="shared" si="232"/>
        <v>0</v>
      </c>
      <c r="DZ159" s="161">
        <f t="shared" si="233"/>
        <v>0</v>
      </c>
      <c r="EA159" s="161">
        <f t="shared" si="234"/>
        <v>0</v>
      </c>
      <c r="EB159" s="161">
        <f t="shared" si="235"/>
        <v>0</v>
      </c>
      <c r="EC159" s="161">
        <f t="shared" si="236"/>
        <v>0</v>
      </c>
      <c r="ED159" s="161">
        <f t="shared" si="237"/>
        <v>0</v>
      </c>
      <c r="EE159" s="161">
        <f t="shared" si="238"/>
        <v>0</v>
      </c>
      <c r="EF159" s="161">
        <f t="shared" si="239"/>
        <v>0</v>
      </c>
      <c r="EG159" s="161">
        <f t="shared" si="240"/>
        <v>0</v>
      </c>
      <c r="EH159" s="161">
        <f t="shared" si="241"/>
        <v>0</v>
      </c>
      <c r="EI159" s="161">
        <f t="shared" si="242"/>
        <v>0</v>
      </c>
      <c r="EJ159" s="161">
        <f t="shared" si="243"/>
        <v>0</v>
      </c>
      <c r="EK159" s="147">
        <f t="shared" si="175"/>
        <v>463.76811594202894</v>
      </c>
      <c r="EL159" s="149"/>
      <c r="EN159" s="146"/>
      <c r="EO159" s="146"/>
      <c r="EP159" s="139">
        <f t="shared" si="176"/>
        <v>0</v>
      </c>
      <c r="EQ159" s="139">
        <f t="shared" si="177"/>
        <v>8.0556521739130424</v>
      </c>
      <c r="ER159" s="139">
        <f t="shared" si="178"/>
        <v>0</v>
      </c>
      <c r="ES159" s="139">
        <f t="shared" si="179"/>
        <v>0</v>
      </c>
      <c r="ET159" s="139">
        <f t="shared" si="180"/>
        <v>0</v>
      </c>
      <c r="EU159" s="139">
        <f t="shared" si="181"/>
        <v>0</v>
      </c>
      <c r="EV159" s="139">
        <f t="shared" si="182"/>
        <v>0</v>
      </c>
      <c r="EW159" s="139">
        <f t="shared" si="183"/>
        <v>0</v>
      </c>
      <c r="EX159" s="139">
        <f t="shared" si="184"/>
        <v>0</v>
      </c>
      <c r="EY159" s="139">
        <f t="shared" si="185"/>
        <v>0</v>
      </c>
      <c r="EZ159" s="139">
        <f t="shared" si="186"/>
        <v>0</v>
      </c>
      <c r="FA159" s="139">
        <f t="shared" si="187"/>
        <v>0</v>
      </c>
      <c r="FB159" s="139">
        <f t="shared" si="188"/>
        <v>0</v>
      </c>
      <c r="FC159" s="139">
        <f t="shared" si="189"/>
        <v>0</v>
      </c>
      <c r="FD159" s="139">
        <f t="shared" si="190"/>
        <v>0</v>
      </c>
      <c r="FE159" s="139">
        <f t="shared" si="191"/>
        <v>0</v>
      </c>
      <c r="FF159" s="139">
        <f t="shared" si="192"/>
        <v>0</v>
      </c>
      <c r="FG159" s="139">
        <f t="shared" si="193"/>
        <v>0</v>
      </c>
      <c r="FH159" s="139">
        <f t="shared" si="194"/>
        <v>0</v>
      </c>
      <c r="FI159" s="139">
        <f t="shared" si="195"/>
        <v>0</v>
      </c>
      <c r="FJ159" s="139">
        <f t="shared" si="196"/>
        <v>0</v>
      </c>
      <c r="FK159" s="139">
        <f t="shared" si="197"/>
        <v>0</v>
      </c>
      <c r="FL159" s="139">
        <f t="shared" si="198"/>
        <v>0</v>
      </c>
      <c r="FM159" s="139">
        <f t="shared" si="199"/>
        <v>0</v>
      </c>
      <c r="FN159" s="139">
        <f t="shared" si="200"/>
        <v>0</v>
      </c>
      <c r="FO159" s="139">
        <f t="shared" si="201"/>
        <v>0</v>
      </c>
      <c r="FP159" s="139">
        <f t="shared" si="202"/>
        <v>0</v>
      </c>
      <c r="FQ159" s="139">
        <f t="shared" si="203"/>
        <v>0</v>
      </c>
      <c r="FR159" s="139">
        <f t="shared" si="204"/>
        <v>0</v>
      </c>
      <c r="FS159" s="139">
        <f t="shared" si="205"/>
        <v>0</v>
      </c>
      <c r="FT159" s="139">
        <f t="shared" si="206"/>
        <v>0</v>
      </c>
      <c r="FU159" s="148">
        <f t="shared" si="207"/>
        <v>8.0556521739130424</v>
      </c>
      <c r="FV159" s="149"/>
      <c r="FY159" s="211">
        <v>154</v>
      </c>
      <c r="FZ159">
        <v>0.70660196598947345</v>
      </c>
      <c r="GA159">
        <v>0.96611893096778656</v>
      </c>
      <c r="GB159">
        <v>0.29152401111575149</v>
      </c>
      <c r="GC159">
        <v>0.38262739359404185</v>
      </c>
      <c r="GD159">
        <v>0.20830380632238857</v>
      </c>
      <c r="GE159">
        <v>0</v>
      </c>
      <c r="GF159">
        <v>0.31972386098362504</v>
      </c>
      <c r="GG159">
        <v>0.37841261417090627</v>
      </c>
      <c r="GH159">
        <v>0.15603164258923619</v>
      </c>
      <c r="GI159">
        <v>0.37605683972471604</v>
      </c>
      <c r="GJ159"/>
      <c r="GK159">
        <v>0.70410937500000004</v>
      </c>
      <c r="GL159">
        <v>0.81353906249999997</v>
      </c>
      <c r="GM159">
        <v>0.47814062499999999</v>
      </c>
      <c r="GN159">
        <v>1.1207814732142856</v>
      </c>
      <c r="GO159">
        <v>0.79191428571428568</v>
      </c>
      <c r="GP159">
        <v>0</v>
      </c>
      <c r="GQ159">
        <v>0.38624999999999998</v>
      </c>
      <c r="GR159">
        <v>0.52697916666666667</v>
      </c>
      <c r="GS159">
        <v>0.16502303685897435</v>
      </c>
      <c r="GT159">
        <v>0.50508746451465192</v>
      </c>
      <c r="GU159"/>
      <c r="GV159"/>
      <c r="GW159"/>
      <c r="GX159"/>
      <c r="GY159"/>
      <c r="GZ159"/>
      <c r="HA159"/>
      <c r="HB159"/>
      <c r="HC159"/>
    </row>
    <row r="160" spans="1:211" s="7" customFormat="1">
      <c r="A160" s="1"/>
      <c r="B160" s="76">
        <f t="shared" ca="1" si="172"/>
        <v>0.41564050566165722</v>
      </c>
      <c r="C160">
        <v>1</v>
      </c>
      <c r="D160">
        <v>39910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 s="2"/>
      <c r="AK160" s="80"/>
      <c r="AL160" s="74">
        <v>3.0028000000000028</v>
      </c>
      <c r="AM160" s="43">
        <v>144</v>
      </c>
      <c r="AN160">
        <v>32.682771650326792</v>
      </c>
      <c r="AO160">
        <v>0.84916819944852917</v>
      </c>
      <c r="AP160">
        <v>2.8334763228163991</v>
      </c>
      <c r="AQ160">
        <v>6.4437289624141769</v>
      </c>
      <c r="AR160">
        <v>0.79370404495320857</v>
      </c>
      <c r="AS160">
        <v>2.8128829676179383</v>
      </c>
      <c r="AT160" t="e">
        <v>#DIV/0!</v>
      </c>
      <c r="AU160" t="e">
        <v>#DIV/0!</v>
      </c>
      <c r="AV160"/>
      <c r="AW160"/>
      <c r="AX160" s="146"/>
      <c r="AY160" s="76">
        <f t="shared" ca="1" si="173"/>
        <v>0.93889867279753902</v>
      </c>
      <c r="AZ160">
        <v>3</v>
      </c>
      <c r="BA160" s="129">
        <f t="shared" si="245"/>
        <v>39910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 s="147"/>
      <c r="CH160" s="176"/>
      <c r="CJ160" s="146"/>
      <c r="CK160" s="76">
        <f t="shared" ca="1" si="208"/>
        <v>0.47740370412609057</v>
      </c>
      <c r="CL160" s="179">
        <f t="shared" si="209"/>
        <v>3</v>
      </c>
      <c r="CM160" s="180">
        <f t="shared" si="210"/>
        <v>39910</v>
      </c>
      <c r="CN160">
        <v>0</v>
      </c>
      <c r="CO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 s="160"/>
      <c r="CW160">
        <f>30/11</f>
        <v>2.7272727272727271</v>
      </c>
      <c r="CX160">
        <f>350/42</f>
        <v>8.3333333333333339</v>
      </c>
      <c r="CY160" s="160"/>
      <c r="CZ160" s="177">
        <f t="shared" si="211"/>
        <v>9.6000000000000002E-2</v>
      </c>
      <c r="DB160" s="146"/>
      <c r="DC160" s="76">
        <f t="shared" ca="1" si="174"/>
        <v>0.68188405046997325</v>
      </c>
      <c r="DD160">
        <f t="shared" si="212"/>
        <v>3</v>
      </c>
      <c r="DE160" s="129">
        <f t="shared" si="244"/>
        <v>39910</v>
      </c>
      <c r="DF160" s="161">
        <f t="shared" si="213"/>
        <v>0</v>
      </c>
      <c r="DG160" s="161">
        <f t="shared" si="214"/>
        <v>0</v>
      </c>
      <c r="DH160" s="161">
        <f t="shared" si="215"/>
        <v>0</v>
      </c>
      <c r="DI160" s="161">
        <f t="shared" si="216"/>
        <v>0</v>
      </c>
      <c r="DJ160" s="161">
        <f t="shared" si="217"/>
        <v>0</v>
      </c>
      <c r="DK160" s="161">
        <f t="shared" si="218"/>
        <v>0</v>
      </c>
      <c r="DL160" s="161">
        <f t="shared" si="219"/>
        <v>0</v>
      </c>
      <c r="DM160" s="161">
        <f t="shared" si="220"/>
        <v>0</v>
      </c>
      <c r="DN160" s="161">
        <f t="shared" si="221"/>
        <v>0</v>
      </c>
      <c r="DO160" s="161">
        <f t="shared" si="222"/>
        <v>0</v>
      </c>
      <c r="DP160" s="161">
        <f t="shared" si="223"/>
        <v>0</v>
      </c>
      <c r="DQ160" s="161">
        <f t="shared" si="224"/>
        <v>0</v>
      </c>
      <c r="DR160" s="161">
        <f t="shared" si="225"/>
        <v>0</v>
      </c>
      <c r="DS160" s="161">
        <f t="shared" si="226"/>
        <v>0</v>
      </c>
      <c r="DT160" s="161">
        <f t="shared" si="227"/>
        <v>0</v>
      </c>
      <c r="DU160" s="161">
        <f t="shared" si="228"/>
        <v>0</v>
      </c>
      <c r="DV160" s="161">
        <f t="shared" si="229"/>
        <v>0</v>
      </c>
      <c r="DW160" s="161">
        <f t="shared" si="230"/>
        <v>0</v>
      </c>
      <c r="DX160" s="161">
        <f t="shared" si="231"/>
        <v>0</v>
      </c>
      <c r="DY160" s="161">
        <f t="shared" si="232"/>
        <v>0</v>
      </c>
      <c r="DZ160" s="161">
        <f t="shared" si="233"/>
        <v>0</v>
      </c>
      <c r="EA160" s="161">
        <f t="shared" si="234"/>
        <v>0</v>
      </c>
      <c r="EB160" s="161">
        <f t="shared" si="235"/>
        <v>0</v>
      </c>
      <c r="EC160" s="161">
        <f t="shared" si="236"/>
        <v>0</v>
      </c>
      <c r="ED160" s="161">
        <f t="shared" si="237"/>
        <v>0</v>
      </c>
      <c r="EE160" s="161">
        <f t="shared" si="238"/>
        <v>0</v>
      </c>
      <c r="EF160" s="161">
        <f t="shared" si="239"/>
        <v>0</v>
      </c>
      <c r="EG160" s="161">
        <f t="shared" si="240"/>
        <v>0</v>
      </c>
      <c r="EH160" s="161">
        <f t="shared" si="241"/>
        <v>0</v>
      </c>
      <c r="EI160" s="161">
        <f t="shared" si="242"/>
        <v>0</v>
      </c>
      <c r="EJ160" s="161">
        <f t="shared" si="243"/>
        <v>0</v>
      </c>
      <c r="EK160" s="147">
        <f t="shared" si="175"/>
        <v>0</v>
      </c>
      <c r="EL160" s="149"/>
      <c r="EN160" s="146"/>
      <c r="EO160" s="146"/>
      <c r="EP160" s="139">
        <f t="shared" si="176"/>
        <v>0</v>
      </c>
      <c r="EQ160" s="139">
        <f t="shared" si="177"/>
        <v>0</v>
      </c>
      <c r="ER160" s="139">
        <f t="shared" si="178"/>
        <v>0</v>
      </c>
      <c r="ES160" s="139">
        <f t="shared" si="179"/>
        <v>0</v>
      </c>
      <c r="ET160" s="139">
        <f t="shared" si="180"/>
        <v>0</v>
      </c>
      <c r="EU160" s="139">
        <f t="shared" si="181"/>
        <v>0</v>
      </c>
      <c r="EV160" s="139">
        <f t="shared" si="182"/>
        <v>0</v>
      </c>
      <c r="EW160" s="139">
        <f t="shared" si="183"/>
        <v>0</v>
      </c>
      <c r="EX160" s="139">
        <f t="shared" si="184"/>
        <v>0</v>
      </c>
      <c r="EY160" s="139">
        <f t="shared" si="185"/>
        <v>0</v>
      </c>
      <c r="EZ160" s="139">
        <f t="shared" si="186"/>
        <v>0</v>
      </c>
      <c r="FA160" s="139">
        <f t="shared" si="187"/>
        <v>0</v>
      </c>
      <c r="FB160" s="139">
        <f t="shared" si="188"/>
        <v>0</v>
      </c>
      <c r="FC160" s="139">
        <f t="shared" si="189"/>
        <v>0</v>
      </c>
      <c r="FD160" s="139">
        <f t="shared" si="190"/>
        <v>0</v>
      </c>
      <c r="FE160" s="139">
        <f t="shared" si="191"/>
        <v>0</v>
      </c>
      <c r="FF160" s="139">
        <f t="shared" si="192"/>
        <v>0</v>
      </c>
      <c r="FG160" s="139">
        <f t="shared" si="193"/>
        <v>0</v>
      </c>
      <c r="FH160" s="139">
        <f t="shared" si="194"/>
        <v>0</v>
      </c>
      <c r="FI160" s="139">
        <f t="shared" si="195"/>
        <v>0</v>
      </c>
      <c r="FJ160" s="139">
        <f t="shared" si="196"/>
        <v>0</v>
      </c>
      <c r="FK160" s="139">
        <f t="shared" si="197"/>
        <v>0</v>
      </c>
      <c r="FL160" s="139">
        <f t="shared" si="198"/>
        <v>0</v>
      </c>
      <c r="FM160" s="139">
        <f t="shared" si="199"/>
        <v>0</v>
      </c>
      <c r="FN160" s="139">
        <f t="shared" si="200"/>
        <v>0</v>
      </c>
      <c r="FO160" s="139">
        <f t="shared" si="201"/>
        <v>0</v>
      </c>
      <c r="FP160" s="139">
        <f t="shared" si="202"/>
        <v>0</v>
      </c>
      <c r="FQ160" s="139">
        <f t="shared" si="203"/>
        <v>0</v>
      </c>
      <c r="FR160" s="139">
        <f t="shared" si="204"/>
        <v>0</v>
      </c>
      <c r="FS160" s="139">
        <f t="shared" si="205"/>
        <v>0</v>
      </c>
      <c r="FT160" s="139">
        <f t="shared" si="206"/>
        <v>0</v>
      </c>
      <c r="FU160" s="148">
        <f t="shared" si="207"/>
        <v>0</v>
      </c>
      <c r="FV160" s="149"/>
      <c r="FY160" s="211">
        <v>155</v>
      </c>
      <c r="FZ160">
        <v>0.43786238753349277</v>
      </c>
      <c r="GA160">
        <v>0.8287591773435885</v>
      </c>
      <c r="GB160">
        <v>1.0800263319447585</v>
      </c>
      <c r="GC160">
        <v>0.55059085710012079</v>
      </c>
      <c r="GD160">
        <v>0.13546626182180677</v>
      </c>
      <c r="GE160">
        <v>0.15984126213637501</v>
      </c>
      <c r="GF160">
        <v>0.37461671604370633</v>
      </c>
      <c r="GG160">
        <v>0.28954215414031298</v>
      </c>
      <c r="GH160">
        <v>0</v>
      </c>
      <c r="GI160">
        <v>0.47286357857213912</v>
      </c>
      <c r="GJ160"/>
      <c r="GK160">
        <v>0.43622812499999997</v>
      </c>
      <c r="GL160">
        <v>0.6977203125</v>
      </c>
      <c r="GM160">
        <v>1.7729907670454546</v>
      </c>
      <c r="GN160">
        <v>1.6160807224025973</v>
      </c>
      <c r="GO160">
        <v>0.51553526785714288</v>
      </c>
      <c r="GP160">
        <v>0.300421875</v>
      </c>
      <c r="GQ160">
        <v>0.45162635869565215</v>
      </c>
      <c r="GR160">
        <v>0.40278260869565213</v>
      </c>
      <c r="GS160">
        <v>0</v>
      </c>
      <c r="GT160">
        <v>0.63527610371964993</v>
      </c>
      <c r="GU160"/>
      <c r="GV160"/>
      <c r="GW160"/>
      <c r="GX160"/>
      <c r="GY160"/>
      <c r="GZ160"/>
      <c r="HA160"/>
      <c r="HB160"/>
      <c r="HC160"/>
    </row>
    <row r="161" spans="1:211" s="7" customFormat="1">
      <c r="A161" s="1"/>
      <c r="B161" s="76">
        <f t="shared" ca="1" si="172"/>
        <v>0.11705936105813564</v>
      </c>
      <c r="C161">
        <v>4</v>
      </c>
      <c r="D161">
        <v>39910</v>
      </c>
      <c r="E161">
        <v>0</v>
      </c>
      <c r="F161">
        <v>69.444444444444443</v>
      </c>
      <c r="G161">
        <v>69.444444444444443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 s="2"/>
      <c r="AK161" s="80"/>
      <c r="AL161" s="74">
        <v>3.0028000000000028</v>
      </c>
      <c r="AM161" s="43">
        <v>145</v>
      </c>
      <c r="AN161">
        <v>50.639718610874304</v>
      </c>
      <c r="AO161">
        <v>1.2445097431532397</v>
      </c>
      <c r="AP161">
        <v>6.4445427339499846</v>
      </c>
      <c r="AQ161">
        <v>9.1242058050288009</v>
      </c>
      <c r="AR161">
        <v>1.1712162437756723</v>
      </c>
      <c r="AS161">
        <v>4.1432520769135506</v>
      </c>
      <c r="AT161" t="e">
        <v>#DIV/0!</v>
      </c>
      <c r="AU161" t="e">
        <v>#DIV/0!</v>
      </c>
      <c r="AV161"/>
      <c r="AW161"/>
      <c r="AX161" s="146"/>
      <c r="AY161" s="76">
        <f t="shared" ca="1" si="173"/>
        <v>1.1395125584874322E-2</v>
      </c>
      <c r="AZ161">
        <v>4</v>
      </c>
      <c r="BA161" s="129">
        <f t="shared" si="245"/>
        <v>39910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 s="147"/>
      <c r="CH161" s="176"/>
      <c r="CJ161" s="146"/>
      <c r="CK161" s="76">
        <f t="shared" ca="1" si="208"/>
        <v>0.4021555180312566</v>
      </c>
      <c r="CL161" s="179">
        <f t="shared" si="209"/>
        <v>4</v>
      </c>
      <c r="CM161" s="180">
        <f t="shared" si="210"/>
        <v>39910</v>
      </c>
      <c r="CN161">
        <v>0</v>
      </c>
      <c r="CO161">
        <v>2</v>
      </c>
      <c r="CP161">
        <v>2</v>
      </c>
      <c r="CQ161">
        <v>0</v>
      </c>
      <c r="CR161">
        <v>0</v>
      </c>
      <c r="CS161">
        <v>0</v>
      </c>
      <c r="CT161">
        <v>0</v>
      </c>
      <c r="CU161">
        <v>0</v>
      </c>
      <c r="CV161" s="160"/>
      <c r="CW161">
        <v>1</v>
      </c>
      <c r="CX161">
        <f>310/93</f>
        <v>3.3333333333333335</v>
      </c>
      <c r="CY161" s="160"/>
      <c r="CZ161" s="177">
        <f t="shared" si="211"/>
        <v>9.6000000000000002E-2</v>
      </c>
      <c r="DB161" s="146"/>
      <c r="DC161" s="76">
        <f t="shared" ca="1" si="174"/>
        <v>0.2200246953127909</v>
      </c>
      <c r="DD161">
        <f t="shared" si="212"/>
        <v>4</v>
      </c>
      <c r="DE161" s="129">
        <f t="shared" si="244"/>
        <v>39910</v>
      </c>
      <c r="DF161" s="161">
        <f t="shared" si="213"/>
        <v>0</v>
      </c>
      <c r="DG161" s="161">
        <f t="shared" si="214"/>
        <v>69.444444444444443</v>
      </c>
      <c r="DH161" s="161">
        <f t="shared" si="215"/>
        <v>69.444444444444443</v>
      </c>
      <c r="DI161" s="161">
        <f t="shared" si="216"/>
        <v>0</v>
      </c>
      <c r="DJ161" s="161">
        <f t="shared" si="217"/>
        <v>0</v>
      </c>
      <c r="DK161" s="161">
        <f t="shared" si="218"/>
        <v>0</v>
      </c>
      <c r="DL161" s="161">
        <f t="shared" si="219"/>
        <v>0</v>
      </c>
      <c r="DM161" s="161">
        <f t="shared" si="220"/>
        <v>0</v>
      </c>
      <c r="DN161" s="161">
        <f t="shared" si="221"/>
        <v>0</v>
      </c>
      <c r="DO161" s="161">
        <f t="shared" si="222"/>
        <v>0</v>
      </c>
      <c r="DP161" s="161">
        <f t="shared" si="223"/>
        <v>0</v>
      </c>
      <c r="DQ161" s="161">
        <f t="shared" si="224"/>
        <v>0</v>
      </c>
      <c r="DR161" s="161">
        <f t="shared" si="225"/>
        <v>0</v>
      </c>
      <c r="DS161" s="161">
        <f t="shared" si="226"/>
        <v>0</v>
      </c>
      <c r="DT161" s="161">
        <f t="shared" si="227"/>
        <v>0</v>
      </c>
      <c r="DU161" s="161">
        <f t="shared" si="228"/>
        <v>0</v>
      </c>
      <c r="DV161" s="161">
        <f t="shared" si="229"/>
        <v>0</v>
      </c>
      <c r="DW161" s="161">
        <f t="shared" si="230"/>
        <v>0</v>
      </c>
      <c r="DX161" s="161">
        <f t="shared" si="231"/>
        <v>0</v>
      </c>
      <c r="DY161" s="161">
        <f t="shared" si="232"/>
        <v>0</v>
      </c>
      <c r="DZ161" s="161">
        <f t="shared" si="233"/>
        <v>0</v>
      </c>
      <c r="EA161" s="161">
        <f t="shared" si="234"/>
        <v>0</v>
      </c>
      <c r="EB161" s="161">
        <f t="shared" si="235"/>
        <v>0</v>
      </c>
      <c r="EC161" s="161">
        <f t="shared" si="236"/>
        <v>0</v>
      </c>
      <c r="ED161" s="161">
        <f t="shared" si="237"/>
        <v>0</v>
      </c>
      <c r="EE161" s="161">
        <f t="shared" si="238"/>
        <v>0</v>
      </c>
      <c r="EF161" s="161">
        <f t="shared" si="239"/>
        <v>0</v>
      </c>
      <c r="EG161" s="161">
        <f t="shared" si="240"/>
        <v>0</v>
      </c>
      <c r="EH161" s="161">
        <f t="shared" si="241"/>
        <v>0</v>
      </c>
      <c r="EI161" s="161">
        <f t="shared" si="242"/>
        <v>0</v>
      </c>
      <c r="EJ161" s="161">
        <f t="shared" si="243"/>
        <v>0</v>
      </c>
      <c r="EK161" s="147">
        <f t="shared" si="175"/>
        <v>138.88888888888889</v>
      </c>
      <c r="EL161" s="149"/>
      <c r="EN161" s="146"/>
      <c r="EO161" s="146"/>
      <c r="EP161" s="139">
        <f t="shared" si="176"/>
        <v>0</v>
      </c>
      <c r="EQ161" s="139">
        <f t="shared" si="177"/>
        <v>1.20625</v>
      </c>
      <c r="ER161" s="139">
        <f t="shared" si="178"/>
        <v>2.65625</v>
      </c>
      <c r="ES161" s="139">
        <f t="shared" si="179"/>
        <v>0</v>
      </c>
      <c r="ET161" s="139">
        <f t="shared" si="180"/>
        <v>0</v>
      </c>
      <c r="EU161" s="139">
        <f t="shared" si="181"/>
        <v>0</v>
      </c>
      <c r="EV161" s="139">
        <f t="shared" si="182"/>
        <v>0</v>
      </c>
      <c r="EW161" s="139">
        <f t="shared" si="183"/>
        <v>0</v>
      </c>
      <c r="EX161" s="139">
        <f t="shared" si="184"/>
        <v>0</v>
      </c>
      <c r="EY161" s="139">
        <f t="shared" si="185"/>
        <v>0</v>
      </c>
      <c r="EZ161" s="139">
        <f t="shared" si="186"/>
        <v>0</v>
      </c>
      <c r="FA161" s="139">
        <f t="shared" si="187"/>
        <v>0</v>
      </c>
      <c r="FB161" s="139">
        <f t="shared" si="188"/>
        <v>0</v>
      </c>
      <c r="FC161" s="139">
        <f t="shared" si="189"/>
        <v>0</v>
      </c>
      <c r="FD161" s="139">
        <f t="shared" si="190"/>
        <v>0</v>
      </c>
      <c r="FE161" s="139">
        <f t="shared" si="191"/>
        <v>0</v>
      </c>
      <c r="FF161" s="139">
        <f t="shared" si="192"/>
        <v>0</v>
      </c>
      <c r="FG161" s="139">
        <f t="shared" si="193"/>
        <v>0</v>
      </c>
      <c r="FH161" s="139">
        <f t="shared" si="194"/>
        <v>0</v>
      </c>
      <c r="FI161" s="139">
        <f t="shared" si="195"/>
        <v>0</v>
      </c>
      <c r="FJ161" s="139">
        <f t="shared" si="196"/>
        <v>0</v>
      </c>
      <c r="FK161" s="139">
        <f t="shared" si="197"/>
        <v>0</v>
      </c>
      <c r="FL161" s="139">
        <f t="shared" si="198"/>
        <v>0</v>
      </c>
      <c r="FM161" s="139">
        <f t="shared" si="199"/>
        <v>0</v>
      </c>
      <c r="FN161" s="139">
        <f t="shared" si="200"/>
        <v>0</v>
      </c>
      <c r="FO161" s="139">
        <f t="shared" si="201"/>
        <v>0</v>
      </c>
      <c r="FP161" s="139">
        <f t="shared" si="202"/>
        <v>0</v>
      </c>
      <c r="FQ161" s="139">
        <f t="shared" si="203"/>
        <v>0</v>
      </c>
      <c r="FR161" s="139">
        <f t="shared" si="204"/>
        <v>0</v>
      </c>
      <c r="FS161" s="139">
        <f t="shared" si="205"/>
        <v>0</v>
      </c>
      <c r="FT161" s="139">
        <f t="shared" si="206"/>
        <v>0</v>
      </c>
      <c r="FU161" s="148">
        <f t="shared" si="207"/>
        <v>3.8624999999999998</v>
      </c>
      <c r="FV161" s="149"/>
      <c r="FY161" s="211">
        <v>156</v>
      </c>
      <c r="FZ161">
        <v>1.1148492614479426</v>
      </c>
      <c r="GA161">
        <v>1.1970254934833502</v>
      </c>
      <c r="GB161">
        <v>1.4645904868667985</v>
      </c>
      <c r="GC161">
        <v>0.84843410097159033</v>
      </c>
      <c r="GD161">
        <v>0.11932658870428928</v>
      </c>
      <c r="GE161">
        <v>0.21770983253970005</v>
      </c>
      <c r="GF161">
        <v>0.9090953625792253</v>
      </c>
      <c r="GG161">
        <v>0.71770870692793864</v>
      </c>
      <c r="GH161">
        <v>0</v>
      </c>
      <c r="GI161">
        <v>0.75410588416025059</v>
      </c>
      <c r="GJ161"/>
      <c r="GK161">
        <v>1.1111268382352939</v>
      </c>
      <c r="GL161">
        <v>1.0082948069852939</v>
      </c>
      <c r="GM161">
        <v>2.4046182528409088</v>
      </c>
      <c r="GN161">
        <v>2.4907761769480516</v>
      </c>
      <c r="GO161">
        <v>0.4539508928571428</v>
      </c>
      <c r="GP161">
        <v>0.40893750000000006</v>
      </c>
      <c r="GQ161">
        <v>1.0963777173913045</v>
      </c>
      <c r="GR161">
        <v>0.99869021739130437</v>
      </c>
      <c r="GS161">
        <v>0</v>
      </c>
      <c r="GT161">
        <v>1.0132147402649301</v>
      </c>
      <c r="GU161"/>
      <c r="GV161"/>
      <c r="GW161"/>
      <c r="GX161"/>
      <c r="GY161"/>
      <c r="GZ161"/>
      <c r="HA161"/>
      <c r="HB161"/>
      <c r="HC161"/>
    </row>
    <row r="162" spans="1:211" s="7" customFormat="1">
      <c r="A162" s="1"/>
      <c r="B162" s="76">
        <f t="shared" ca="1" si="172"/>
        <v>0.84349432299957883</v>
      </c>
      <c r="C162">
        <v>6</v>
      </c>
      <c r="D162">
        <v>39910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 s="2"/>
      <c r="AK162" s="80"/>
      <c r="AL162" s="74"/>
      <c r="AM162" s="43">
        <v>146</v>
      </c>
      <c r="AN162">
        <v>65.212925602004091</v>
      </c>
      <c r="AO162">
        <v>1.5956407603538696</v>
      </c>
      <c r="AP162">
        <v>0.82039375290291772</v>
      </c>
      <c r="AQ162">
        <v>13.469372733725624</v>
      </c>
      <c r="AR162">
        <v>1.461448986685336</v>
      </c>
      <c r="AS162">
        <v>4.9249144532743641</v>
      </c>
      <c r="AT162" t="e">
        <v>#DIV/0!</v>
      </c>
      <c r="AU162" t="e">
        <v>#DIV/0!</v>
      </c>
      <c r="AV162"/>
      <c r="AW162"/>
      <c r="AX162" s="146"/>
      <c r="AY162" s="76">
        <f t="shared" ca="1" si="173"/>
        <v>0.48366787381227411</v>
      </c>
      <c r="AZ162">
        <v>5</v>
      </c>
      <c r="BA162" s="129">
        <f t="shared" si="245"/>
        <v>39910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 s="147"/>
      <c r="CH162" s="176"/>
      <c r="CJ162" s="146"/>
      <c r="CK162" s="76">
        <f t="shared" ca="1" si="208"/>
        <v>0.30387660868454613</v>
      </c>
      <c r="CL162" s="179">
        <f t="shared" si="209"/>
        <v>5</v>
      </c>
      <c r="CM162" s="180">
        <f t="shared" si="210"/>
        <v>39910</v>
      </c>
      <c r="CN162">
        <v>0</v>
      </c>
      <c r="CO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 s="160"/>
      <c r="CW162">
        <v>1</v>
      </c>
      <c r="CX162">
        <v>1</v>
      </c>
      <c r="CY162" s="160"/>
      <c r="CZ162" s="177">
        <f t="shared" si="211"/>
        <v>9.6000000000000002E-2</v>
      </c>
      <c r="DB162" s="146"/>
      <c r="DC162" s="76">
        <f t="shared" ca="1" si="174"/>
        <v>0.82080907179523455</v>
      </c>
      <c r="DD162">
        <f t="shared" si="212"/>
        <v>5</v>
      </c>
      <c r="DE162" s="129">
        <f t="shared" si="244"/>
        <v>39910</v>
      </c>
      <c r="DF162" s="161">
        <f t="shared" si="213"/>
        <v>0</v>
      </c>
      <c r="DG162" s="161">
        <f t="shared" si="214"/>
        <v>0</v>
      </c>
      <c r="DH162" s="161">
        <f t="shared" si="215"/>
        <v>0</v>
      </c>
      <c r="DI162" s="161">
        <f t="shared" si="216"/>
        <v>0</v>
      </c>
      <c r="DJ162" s="161">
        <f t="shared" si="217"/>
        <v>0</v>
      </c>
      <c r="DK162" s="161">
        <f t="shared" si="218"/>
        <v>0</v>
      </c>
      <c r="DL162" s="161">
        <f t="shared" si="219"/>
        <v>0</v>
      </c>
      <c r="DM162" s="161">
        <f t="shared" si="220"/>
        <v>0</v>
      </c>
      <c r="DN162" s="161">
        <f t="shared" si="221"/>
        <v>0</v>
      </c>
      <c r="DO162" s="161">
        <f t="shared" si="222"/>
        <v>0</v>
      </c>
      <c r="DP162" s="161">
        <f t="shared" si="223"/>
        <v>0</v>
      </c>
      <c r="DQ162" s="161">
        <f t="shared" si="224"/>
        <v>0</v>
      </c>
      <c r="DR162" s="161">
        <f t="shared" si="225"/>
        <v>0</v>
      </c>
      <c r="DS162" s="161">
        <f t="shared" si="226"/>
        <v>0</v>
      </c>
      <c r="DT162" s="161">
        <f t="shared" si="227"/>
        <v>0</v>
      </c>
      <c r="DU162" s="161">
        <f t="shared" si="228"/>
        <v>0</v>
      </c>
      <c r="DV162" s="161">
        <f t="shared" si="229"/>
        <v>0</v>
      </c>
      <c r="DW162" s="161">
        <f t="shared" si="230"/>
        <v>0</v>
      </c>
      <c r="DX162" s="161">
        <f t="shared" si="231"/>
        <v>0</v>
      </c>
      <c r="DY162" s="161">
        <f t="shared" si="232"/>
        <v>0</v>
      </c>
      <c r="DZ162" s="161">
        <f t="shared" si="233"/>
        <v>0</v>
      </c>
      <c r="EA162" s="161">
        <f t="shared" si="234"/>
        <v>0</v>
      </c>
      <c r="EB162" s="161">
        <f t="shared" si="235"/>
        <v>0</v>
      </c>
      <c r="EC162" s="161">
        <f t="shared" si="236"/>
        <v>0</v>
      </c>
      <c r="ED162" s="161">
        <f t="shared" si="237"/>
        <v>0</v>
      </c>
      <c r="EE162" s="161">
        <f t="shared" si="238"/>
        <v>0</v>
      </c>
      <c r="EF162" s="161">
        <f t="shared" si="239"/>
        <v>0</v>
      </c>
      <c r="EG162" s="161">
        <f t="shared" si="240"/>
        <v>0</v>
      </c>
      <c r="EH162" s="161">
        <f t="shared" si="241"/>
        <v>0</v>
      </c>
      <c r="EI162" s="161">
        <f t="shared" si="242"/>
        <v>0</v>
      </c>
      <c r="EJ162" s="161">
        <f t="shared" si="243"/>
        <v>0</v>
      </c>
      <c r="EK162" s="147">
        <f t="shared" si="175"/>
        <v>0</v>
      </c>
      <c r="EL162" s="149"/>
      <c r="EN162" s="146"/>
      <c r="EO162" s="146"/>
      <c r="EP162" s="139">
        <f t="shared" si="176"/>
        <v>0</v>
      </c>
      <c r="EQ162" s="139">
        <f t="shared" si="177"/>
        <v>0</v>
      </c>
      <c r="ER162" s="139">
        <f t="shared" si="178"/>
        <v>0</v>
      </c>
      <c r="ES162" s="139">
        <f t="shared" si="179"/>
        <v>0</v>
      </c>
      <c r="ET162" s="139">
        <f t="shared" si="180"/>
        <v>0</v>
      </c>
      <c r="EU162" s="139">
        <f t="shared" si="181"/>
        <v>0</v>
      </c>
      <c r="EV162" s="139">
        <f t="shared" si="182"/>
        <v>0</v>
      </c>
      <c r="EW162" s="139">
        <f t="shared" si="183"/>
        <v>0</v>
      </c>
      <c r="EX162" s="139">
        <f t="shared" si="184"/>
        <v>0</v>
      </c>
      <c r="EY162" s="139">
        <f t="shared" si="185"/>
        <v>0</v>
      </c>
      <c r="EZ162" s="139">
        <f t="shared" si="186"/>
        <v>0</v>
      </c>
      <c r="FA162" s="139">
        <f t="shared" si="187"/>
        <v>0</v>
      </c>
      <c r="FB162" s="139">
        <f t="shared" si="188"/>
        <v>0</v>
      </c>
      <c r="FC162" s="139">
        <f t="shared" si="189"/>
        <v>0</v>
      </c>
      <c r="FD162" s="139">
        <f t="shared" si="190"/>
        <v>0</v>
      </c>
      <c r="FE162" s="139">
        <f t="shared" si="191"/>
        <v>0</v>
      </c>
      <c r="FF162" s="139">
        <f t="shared" si="192"/>
        <v>0</v>
      </c>
      <c r="FG162" s="139">
        <f t="shared" si="193"/>
        <v>0</v>
      </c>
      <c r="FH162" s="139">
        <f t="shared" si="194"/>
        <v>0</v>
      </c>
      <c r="FI162" s="139">
        <f t="shared" si="195"/>
        <v>0</v>
      </c>
      <c r="FJ162" s="139">
        <f t="shared" si="196"/>
        <v>0</v>
      </c>
      <c r="FK162" s="139">
        <f t="shared" si="197"/>
        <v>0</v>
      </c>
      <c r="FL162" s="139">
        <f t="shared" si="198"/>
        <v>0</v>
      </c>
      <c r="FM162" s="139">
        <f t="shared" si="199"/>
        <v>0</v>
      </c>
      <c r="FN162" s="139">
        <f t="shared" si="200"/>
        <v>0</v>
      </c>
      <c r="FO162" s="139">
        <f t="shared" si="201"/>
        <v>0</v>
      </c>
      <c r="FP162" s="139">
        <f t="shared" si="202"/>
        <v>0</v>
      </c>
      <c r="FQ162" s="139">
        <f t="shared" si="203"/>
        <v>0</v>
      </c>
      <c r="FR162" s="139">
        <f t="shared" si="204"/>
        <v>0</v>
      </c>
      <c r="FS162" s="139">
        <f t="shared" si="205"/>
        <v>0</v>
      </c>
      <c r="FT162" s="139">
        <f t="shared" si="206"/>
        <v>0</v>
      </c>
      <c r="FU162" s="148">
        <f t="shared" si="207"/>
        <v>0</v>
      </c>
      <c r="FV162" s="149"/>
      <c r="FY162" s="211">
        <v>157</v>
      </c>
      <c r="FZ162">
        <v>1.4200793916570507</v>
      </c>
      <c r="GA162">
        <v>1.736604392395207</v>
      </c>
      <c r="GB162">
        <v>0.88965761378616193</v>
      </c>
      <c r="GC162">
        <v>0.67533455216233507</v>
      </c>
      <c r="GD162">
        <v>0.25680399204644677</v>
      </c>
      <c r="GE162">
        <v>0.11648028087809999</v>
      </c>
      <c r="GF162">
        <v>0.5344786465355188</v>
      </c>
      <c r="GG162">
        <v>0.4281665527876255</v>
      </c>
      <c r="GH162">
        <v>6.8957207506271032E-2</v>
      </c>
      <c r="GI162">
        <v>0.68037830274569566</v>
      </c>
      <c r="GJ162"/>
      <c r="GK162">
        <v>1.4152330882352939</v>
      </c>
      <c r="GL162">
        <v>1.4626354319852939</v>
      </c>
      <c r="GM162">
        <v>1.4605024857954545</v>
      </c>
      <c r="GN162">
        <v>1.9807791599025972</v>
      </c>
      <c r="GO162">
        <v>0.97689776785714288</v>
      </c>
      <c r="GP162">
        <v>0.21899999999999997</v>
      </c>
      <c r="GQ162">
        <v>0.64475135869565214</v>
      </c>
      <c r="GR162">
        <v>0.59590760869565207</v>
      </c>
      <c r="GS162">
        <v>7.2881610576923078E-2</v>
      </c>
      <c r="GT162">
        <v>0.91405326223209338</v>
      </c>
      <c r="GU162"/>
      <c r="GV162"/>
      <c r="GW162"/>
      <c r="GX162"/>
      <c r="GY162"/>
      <c r="GZ162"/>
      <c r="HA162"/>
      <c r="HB162"/>
      <c r="HC162"/>
    </row>
    <row r="163" spans="1:211" s="7" customFormat="1">
      <c r="A163" s="1"/>
      <c r="B163" s="76">
        <f t="shared" ca="1" si="172"/>
        <v>0.58303586116172923</v>
      </c>
      <c r="C163">
        <v>10</v>
      </c>
      <c r="D163">
        <v>39910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 s="2"/>
      <c r="AK163" s="80"/>
      <c r="AL163" s="74"/>
      <c r="AM163" s="43">
        <v>147</v>
      </c>
      <c r="AN163">
        <v>36.713259207668571</v>
      </c>
      <c r="AO163">
        <v>0.70153916537837957</v>
      </c>
      <c r="AP163">
        <v>0.46501453092674983</v>
      </c>
      <c r="AQ163">
        <v>4.6408381250717152</v>
      </c>
      <c r="AR163">
        <v>0.64138503670761793</v>
      </c>
      <c r="AS163">
        <v>2.9886804840734245</v>
      </c>
      <c r="AT163" t="e">
        <v>#DIV/0!</v>
      </c>
      <c r="AU163" t="e">
        <v>#DIV/0!</v>
      </c>
      <c r="AV163"/>
      <c r="AW163"/>
      <c r="AX163" s="146"/>
      <c r="AY163" s="76">
        <f t="shared" ca="1" si="173"/>
        <v>0.63476221086962603</v>
      </c>
      <c r="AZ163">
        <v>6</v>
      </c>
      <c r="BA163" s="129">
        <f t="shared" si="245"/>
        <v>39910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 s="147"/>
      <c r="CH163" s="176"/>
      <c r="CJ163" s="146"/>
      <c r="CK163" s="76">
        <f t="shared" ca="1" si="208"/>
        <v>0.7313649803558846</v>
      </c>
      <c r="CL163" s="179">
        <f t="shared" si="209"/>
        <v>6</v>
      </c>
      <c r="CM163" s="180">
        <f t="shared" si="210"/>
        <v>39910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 s="160"/>
      <c r="CW163">
        <v>1</v>
      </c>
      <c r="CX163">
        <v>1</v>
      </c>
      <c r="CY163" s="160"/>
      <c r="CZ163" s="177">
        <f t="shared" si="211"/>
        <v>9.6000000000000002E-2</v>
      </c>
      <c r="DB163" s="146"/>
      <c r="DC163" s="76">
        <f t="shared" ca="1" si="174"/>
        <v>0.80557896555854036</v>
      </c>
      <c r="DD163">
        <f t="shared" si="212"/>
        <v>6</v>
      </c>
      <c r="DE163" s="129">
        <f t="shared" si="244"/>
        <v>39910</v>
      </c>
      <c r="DF163" s="161">
        <f t="shared" si="213"/>
        <v>0</v>
      </c>
      <c r="DG163" s="161">
        <f t="shared" si="214"/>
        <v>0</v>
      </c>
      <c r="DH163" s="161">
        <f t="shared" si="215"/>
        <v>0</v>
      </c>
      <c r="DI163" s="161">
        <f t="shared" si="216"/>
        <v>0</v>
      </c>
      <c r="DJ163" s="161">
        <f t="shared" si="217"/>
        <v>0</v>
      </c>
      <c r="DK163" s="161">
        <f t="shared" si="218"/>
        <v>0</v>
      </c>
      <c r="DL163" s="161">
        <f t="shared" si="219"/>
        <v>0</v>
      </c>
      <c r="DM163" s="161">
        <f t="shared" si="220"/>
        <v>0</v>
      </c>
      <c r="DN163" s="161">
        <f t="shared" si="221"/>
        <v>0</v>
      </c>
      <c r="DO163" s="161">
        <f t="shared" si="222"/>
        <v>0</v>
      </c>
      <c r="DP163" s="161">
        <f t="shared" si="223"/>
        <v>0</v>
      </c>
      <c r="DQ163" s="161">
        <f t="shared" si="224"/>
        <v>0</v>
      </c>
      <c r="DR163" s="161">
        <f t="shared" si="225"/>
        <v>0</v>
      </c>
      <c r="DS163" s="161">
        <f t="shared" si="226"/>
        <v>0</v>
      </c>
      <c r="DT163" s="161">
        <f t="shared" si="227"/>
        <v>0</v>
      </c>
      <c r="DU163" s="161">
        <f t="shared" si="228"/>
        <v>0</v>
      </c>
      <c r="DV163" s="161">
        <f t="shared" si="229"/>
        <v>0</v>
      </c>
      <c r="DW163" s="161">
        <f t="shared" si="230"/>
        <v>0</v>
      </c>
      <c r="DX163" s="161">
        <f t="shared" si="231"/>
        <v>0</v>
      </c>
      <c r="DY163" s="161">
        <f t="shared" si="232"/>
        <v>0</v>
      </c>
      <c r="DZ163" s="161">
        <f t="shared" si="233"/>
        <v>0</v>
      </c>
      <c r="EA163" s="161">
        <f t="shared" si="234"/>
        <v>0</v>
      </c>
      <c r="EB163" s="161">
        <f t="shared" si="235"/>
        <v>0</v>
      </c>
      <c r="EC163" s="161">
        <f t="shared" si="236"/>
        <v>0</v>
      </c>
      <c r="ED163" s="161">
        <f t="shared" si="237"/>
        <v>0</v>
      </c>
      <c r="EE163" s="161">
        <f t="shared" si="238"/>
        <v>0</v>
      </c>
      <c r="EF163" s="161">
        <f t="shared" si="239"/>
        <v>0</v>
      </c>
      <c r="EG163" s="161">
        <f t="shared" si="240"/>
        <v>0</v>
      </c>
      <c r="EH163" s="161">
        <f t="shared" si="241"/>
        <v>0</v>
      </c>
      <c r="EI163" s="161">
        <f t="shared" si="242"/>
        <v>0</v>
      </c>
      <c r="EJ163" s="161">
        <f t="shared" si="243"/>
        <v>0</v>
      </c>
      <c r="EK163" s="147">
        <f t="shared" si="175"/>
        <v>0</v>
      </c>
      <c r="EL163" s="149"/>
      <c r="EN163" s="146"/>
      <c r="EO163" s="146"/>
      <c r="EP163" s="139">
        <f t="shared" si="176"/>
        <v>0</v>
      </c>
      <c r="EQ163" s="139">
        <f t="shared" si="177"/>
        <v>0</v>
      </c>
      <c r="ER163" s="139">
        <f t="shared" si="178"/>
        <v>0</v>
      </c>
      <c r="ES163" s="139">
        <f t="shared" si="179"/>
        <v>0</v>
      </c>
      <c r="ET163" s="139">
        <f t="shared" si="180"/>
        <v>0</v>
      </c>
      <c r="EU163" s="139">
        <f t="shared" si="181"/>
        <v>0</v>
      </c>
      <c r="EV163" s="139">
        <f t="shared" si="182"/>
        <v>0</v>
      </c>
      <c r="EW163" s="139">
        <f t="shared" si="183"/>
        <v>0</v>
      </c>
      <c r="EX163" s="139">
        <f t="shared" si="184"/>
        <v>0</v>
      </c>
      <c r="EY163" s="139">
        <f t="shared" si="185"/>
        <v>0</v>
      </c>
      <c r="EZ163" s="139">
        <f t="shared" si="186"/>
        <v>0</v>
      </c>
      <c r="FA163" s="139">
        <f t="shared" si="187"/>
        <v>0</v>
      </c>
      <c r="FB163" s="139">
        <f t="shared" si="188"/>
        <v>0</v>
      </c>
      <c r="FC163" s="139">
        <f t="shared" si="189"/>
        <v>0</v>
      </c>
      <c r="FD163" s="139">
        <f t="shared" si="190"/>
        <v>0</v>
      </c>
      <c r="FE163" s="139">
        <f t="shared" si="191"/>
        <v>0</v>
      </c>
      <c r="FF163" s="139">
        <f t="shared" si="192"/>
        <v>0</v>
      </c>
      <c r="FG163" s="139">
        <f t="shared" si="193"/>
        <v>0</v>
      </c>
      <c r="FH163" s="139">
        <f t="shared" si="194"/>
        <v>0</v>
      </c>
      <c r="FI163" s="139">
        <f t="shared" si="195"/>
        <v>0</v>
      </c>
      <c r="FJ163" s="139">
        <f t="shared" si="196"/>
        <v>0</v>
      </c>
      <c r="FK163" s="139">
        <f t="shared" si="197"/>
        <v>0</v>
      </c>
      <c r="FL163" s="139">
        <f t="shared" si="198"/>
        <v>0</v>
      </c>
      <c r="FM163" s="139">
        <f t="shared" si="199"/>
        <v>0</v>
      </c>
      <c r="FN163" s="139">
        <f t="shared" si="200"/>
        <v>0</v>
      </c>
      <c r="FO163" s="139">
        <f t="shared" si="201"/>
        <v>0</v>
      </c>
      <c r="FP163" s="139">
        <f t="shared" si="202"/>
        <v>0</v>
      </c>
      <c r="FQ163" s="139">
        <f t="shared" si="203"/>
        <v>0</v>
      </c>
      <c r="FR163" s="139">
        <f t="shared" si="204"/>
        <v>0</v>
      </c>
      <c r="FS163" s="139">
        <f t="shared" si="205"/>
        <v>0</v>
      </c>
      <c r="FT163" s="139">
        <f t="shared" si="206"/>
        <v>0</v>
      </c>
      <c r="FU163" s="148">
        <f t="shared" si="207"/>
        <v>0</v>
      </c>
      <c r="FV163" s="149"/>
      <c r="FY163" s="211">
        <v>158</v>
      </c>
      <c r="FZ163">
        <v>0.93866244459752557</v>
      </c>
      <c r="GA163">
        <v>0.94128100808458282</v>
      </c>
      <c r="GB163">
        <v>0.23494189383012304</v>
      </c>
      <c r="GC163">
        <v>0.3938522239513268</v>
      </c>
      <c r="GD163">
        <v>0.25976921073376497</v>
      </c>
      <c r="GE163">
        <v>0.11273697714240002</v>
      </c>
      <c r="GF163">
        <v>0.70871433467598444</v>
      </c>
      <c r="GG163">
        <v>0.57908430828062596</v>
      </c>
      <c r="GH163">
        <v>0</v>
      </c>
      <c r="GI163">
        <v>0.47104932450451076</v>
      </c>
      <c r="GJ163"/>
      <c r="GK163">
        <v>0.93557996323529402</v>
      </c>
      <c r="GL163">
        <v>0.792904181985294</v>
      </c>
      <c r="GM163">
        <v>0.38541015624999997</v>
      </c>
      <c r="GN163">
        <v>1.1539796874999999</v>
      </c>
      <c r="GO163">
        <v>0.98795624999999998</v>
      </c>
      <c r="GP163">
        <v>0.21168750000000003</v>
      </c>
      <c r="GQ163">
        <v>0.85440896739130423</v>
      </c>
      <c r="GR163">
        <v>0.80556521739130427</v>
      </c>
      <c r="GS163">
        <v>0</v>
      </c>
      <c r="GT163">
        <v>0.63267106737531964</v>
      </c>
      <c r="GU163"/>
      <c r="GV163"/>
      <c r="GW163"/>
      <c r="GX163"/>
      <c r="GY163"/>
      <c r="GZ163"/>
      <c r="HA163"/>
      <c r="HB163"/>
      <c r="HC163"/>
    </row>
    <row r="164" spans="1:211" s="7" customFormat="1">
      <c r="A164" s="1"/>
      <c r="B164" s="76">
        <f t="shared" ca="1" si="172"/>
        <v>0.17171648932652239</v>
      </c>
      <c r="C164">
        <v>2</v>
      </c>
      <c r="D164">
        <v>39910</v>
      </c>
      <c r="E164">
        <v>0</v>
      </c>
      <c r="F164">
        <v>463.76811594202894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 s="2"/>
      <c r="AK164" s="80"/>
      <c r="AL164" s="74"/>
      <c r="AM164" s="43">
        <v>148</v>
      </c>
      <c r="AN164">
        <v>47.586113627214168</v>
      </c>
      <c r="AO164">
        <v>1.06734329370471</v>
      </c>
      <c r="AP164">
        <v>0.76698876227176349</v>
      </c>
      <c r="AQ164">
        <v>6.3889246103495294</v>
      </c>
      <c r="AR164">
        <v>0.99204503973155467</v>
      </c>
      <c r="AS164">
        <v>4.1073329297254757</v>
      </c>
      <c r="AT164" t="e">
        <v>#DIV/0!</v>
      </c>
      <c r="AU164" t="e">
        <v>#DIV/0!</v>
      </c>
      <c r="AV164"/>
      <c r="AW164"/>
      <c r="AX164" s="146"/>
      <c r="AY164" s="76">
        <f t="shared" ca="1" si="173"/>
        <v>0.72620540825373769</v>
      </c>
      <c r="AZ164">
        <v>7</v>
      </c>
      <c r="BA164" s="129">
        <f t="shared" si="245"/>
        <v>39910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0</v>
      </c>
      <c r="CG164" s="147"/>
      <c r="CH164" s="176"/>
      <c r="CJ164" s="146"/>
      <c r="CK164" s="76">
        <f t="shared" ca="1" si="208"/>
        <v>0.50021201521139869</v>
      </c>
      <c r="CL164" s="179">
        <f t="shared" si="209"/>
        <v>7</v>
      </c>
      <c r="CM164" s="180">
        <f t="shared" si="210"/>
        <v>39910</v>
      </c>
      <c r="CN164">
        <v>0</v>
      </c>
      <c r="CO164">
        <v>0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0</v>
      </c>
      <c r="CV164" s="160"/>
      <c r="CW164">
        <v>1</v>
      </c>
      <c r="CX164">
        <v>1</v>
      </c>
      <c r="CY164" s="165"/>
      <c r="CZ164" s="177">
        <f t="shared" si="211"/>
        <v>9.6000000000000002E-2</v>
      </c>
      <c r="DB164" s="146"/>
      <c r="DC164" s="76">
        <f t="shared" ca="1" si="174"/>
        <v>0.37906994740378241</v>
      </c>
      <c r="DD164">
        <f t="shared" si="212"/>
        <v>7</v>
      </c>
      <c r="DE164" s="129">
        <f t="shared" si="244"/>
        <v>39910</v>
      </c>
      <c r="DF164" s="161">
        <f t="shared" si="213"/>
        <v>0</v>
      </c>
      <c r="DG164" s="161">
        <f t="shared" si="214"/>
        <v>0</v>
      </c>
      <c r="DH164" s="161">
        <f t="shared" si="215"/>
        <v>0</v>
      </c>
      <c r="DI164" s="161">
        <f t="shared" si="216"/>
        <v>0</v>
      </c>
      <c r="DJ164" s="161">
        <f t="shared" si="217"/>
        <v>0</v>
      </c>
      <c r="DK164" s="161">
        <f t="shared" si="218"/>
        <v>0</v>
      </c>
      <c r="DL164" s="161">
        <f t="shared" si="219"/>
        <v>0</v>
      </c>
      <c r="DM164" s="161">
        <f t="shared" si="220"/>
        <v>0</v>
      </c>
      <c r="DN164" s="161">
        <f t="shared" si="221"/>
        <v>0</v>
      </c>
      <c r="DO164" s="161">
        <f t="shared" si="222"/>
        <v>0</v>
      </c>
      <c r="DP164" s="161">
        <f t="shared" si="223"/>
        <v>0</v>
      </c>
      <c r="DQ164" s="161">
        <f t="shared" si="224"/>
        <v>0</v>
      </c>
      <c r="DR164" s="161">
        <f t="shared" si="225"/>
        <v>0</v>
      </c>
      <c r="DS164" s="161">
        <f t="shared" si="226"/>
        <v>0</v>
      </c>
      <c r="DT164" s="161">
        <f t="shared" si="227"/>
        <v>0</v>
      </c>
      <c r="DU164" s="161">
        <f t="shared" si="228"/>
        <v>0</v>
      </c>
      <c r="DV164" s="161">
        <f t="shared" si="229"/>
        <v>0</v>
      </c>
      <c r="DW164" s="161">
        <f t="shared" si="230"/>
        <v>0</v>
      </c>
      <c r="DX164" s="161">
        <f t="shared" si="231"/>
        <v>0</v>
      </c>
      <c r="DY164" s="161">
        <f t="shared" si="232"/>
        <v>0</v>
      </c>
      <c r="DZ164" s="161">
        <f t="shared" si="233"/>
        <v>0</v>
      </c>
      <c r="EA164" s="161">
        <f t="shared" si="234"/>
        <v>0</v>
      </c>
      <c r="EB164" s="161">
        <f t="shared" si="235"/>
        <v>0</v>
      </c>
      <c r="EC164" s="161">
        <f t="shared" si="236"/>
        <v>0</v>
      </c>
      <c r="ED164" s="161">
        <f t="shared" si="237"/>
        <v>0</v>
      </c>
      <c r="EE164" s="161">
        <f t="shared" si="238"/>
        <v>0</v>
      </c>
      <c r="EF164" s="161">
        <f t="shared" si="239"/>
        <v>0</v>
      </c>
      <c r="EG164" s="161">
        <f t="shared" si="240"/>
        <v>0</v>
      </c>
      <c r="EH164" s="161">
        <f t="shared" si="241"/>
        <v>0</v>
      </c>
      <c r="EI164" s="161">
        <f t="shared" si="242"/>
        <v>0</v>
      </c>
      <c r="EJ164" s="161">
        <f t="shared" si="243"/>
        <v>0</v>
      </c>
      <c r="EK164" s="147">
        <f t="shared" si="175"/>
        <v>0</v>
      </c>
      <c r="EL164" s="149"/>
      <c r="EN164" s="146"/>
      <c r="EO164" s="146"/>
      <c r="EP164" s="139">
        <f t="shared" si="176"/>
        <v>0</v>
      </c>
      <c r="EQ164" s="139">
        <f t="shared" si="177"/>
        <v>0</v>
      </c>
      <c r="ER164" s="139">
        <f t="shared" si="178"/>
        <v>0</v>
      </c>
      <c r="ES164" s="139">
        <f t="shared" si="179"/>
        <v>0</v>
      </c>
      <c r="ET164" s="139">
        <f t="shared" si="180"/>
        <v>0</v>
      </c>
      <c r="EU164" s="139">
        <f t="shared" si="181"/>
        <v>0</v>
      </c>
      <c r="EV164" s="139">
        <f t="shared" si="182"/>
        <v>0</v>
      </c>
      <c r="EW164" s="139">
        <f t="shared" si="183"/>
        <v>0</v>
      </c>
      <c r="EX164" s="139">
        <f t="shared" si="184"/>
        <v>0</v>
      </c>
      <c r="EY164" s="139">
        <f t="shared" si="185"/>
        <v>0</v>
      </c>
      <c r="EZ164" s="139">
        <f t="shared" si="186"/>
        <v>0</v>
      </c>
      <c r="FA164" s="139">
        <f t="shared" si="187"/>
        <v>0</v>
      </c>
      <c r="FB164" s="139">
        <f t="shared" si="188"/>
        <v>0</v>
      </c>
      <c r="FC164" s="139">
        <f t="shared" si="189"/>
        <v>0</v>
      </c>
      <c r="FD164" s="139">
        <f t="shared" si="190"/>
        <v>0</v>
      </c>
      <c r="FE164" s="139">
        <f t="shared" si="191"/>
        <v>0</v>
      </c>
      <c r="FF164" s="139">
        <f t="shared" si="192"/>
        <v>0</v>
      </c>
      <c r="FG164" s="139">
        <f t="shared" si="193"/>
        <v>0</v>
      </c>
      <c r="FH164" s="139">
        <f t="shared" si="194"/>
        <v>0</v>
      </c>
      <c r="FI164" s="139">
        <f t="shared" si="195"/>
        <v>0</v>
      </c>
      <c r="FJ164" s="139">
        <f t="shared" si="196"/>
        <v>0</v>
      </c>
      <c r="FK164" s="139">
        <f t="shared" si="197"/>
        <v>0</v>
      </c>
      <c r="FL164" s="139">
        <f t="shared" si="198"/>
        <v>0</v>
      </c>
      <c r="FM164" s="139">
        <f t="shared" si="199"/>
        <v>0</v>
      </c>
      <c r="FN164" s="139">
        <f t="shared" si="200"/>
        <v>0</v>
      </c>
      <c r="FO164" s="139">
        <f t="shared" si="201"/>
        <v>0</v>
      </c>
      <c r="FP164" s="139">
        <f t="shared" si="202"/>
        <v>0</v>
      </c>
      <c r="FQ164" s="139">
        <f t="shared" si="203"/>
        <v>0</v>
      </c>
      <c r="FR164" s="139">
        <f t="shared" si="204"/>
        <v>0</v>
      </c>
      <c r="FS164" s="139">
        <f t="shared" si="205"/>
        <v>0</v>
      </c>
      <c r="FT164" s="139">
        <f t="shared" si="206"/>
        <v>0</v>
      </c>
      <c r="FU164" s="148">
        <f t="shared" si="207"/>
        <v>0</v>
      </c>
      <c r="FV164" s="149"/>
      <c r="FY164" s="211">
        <v>159</v>
      </c>
      <c r="FZ164">
        <v>0.70841651350730617</v>
      </c>
      <c r="GA164">
        <v>1.2315982014899576</v>
      </c>
      <c r="GB164">
        <v>0.47521636155713665</v>
      </c>
      <c r="GC164">
        <v>0.18678764923998681</v>
      </c>
      <c r="GD164">
        <v>0.10124224716768426</v>
      </c>
      <c r="GE164">
        <v>8.8593614384399985E-2</v>
      </c>
      <c r="GF164">
        <v>0.82805716775636906</v>
      </c>
      <c r="GG164">
        <v>0.71770870692793864</v>
      </c>
      <c r="GH164">
        <v>2.2985735835423678E-2</v>
      </c>
      <c r="GI164">
        <v>0.43088540297893496</v>
      </c>
      <c r="GJ164"/>
      <c r="GK164">
        <v>0.7059375</v>
      </c>
      <c r="GL164">
        <v>1.037109375</v>
      </c>
      <c r="GM164">
        <v>0.77957031249999997</v>
      </c>
      <c r="GN164">
        <v>0.54756183035714279</v>
      </c>
      <c r="GO164">
        <v>0.38519464285714278</v>
      </c>
      <c r="GP164">
        <v>0.16649999999999998</v>
      </c>
      <c r="GQ164">
        <v>0.99869021739130437</v>
      </c>
      <c r="GR164">
        <v>0.99869021739130437</v>
      </c>
      <c r="GS164">
        <v>2.4293870192307693E-2</v>
      </c>
      <c r="GT164">
        <v>0.57873730858815087</v>
      </c>
      <c r="GU164"/>
      <c r="GV164"/>
      <c r="GW164"/>
      <c r="GX164"/>
      <c r="GY164"/>
      <c r="GZ164"/>
      <c r="HA164"/>
      <c r="HB164"/>
      <c r="HC164"/>
    </row>
    <row r="165" spans="1:211" s="7" customFormat="1">
      <c r="A165" s="1"/>
      <c r="B165" s="76">
        <f t="shared" ca="1" si="172"/>
        <v>0.32051984803542144</v>
      </c>
      <c r="C165">
        <v>5</v>
      </c>
      <c r="D165">
        <v>39910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 s="2"/>
      <c r="AK165" s="80"/>
      <c r="AL165" s="74"/>
      <c r="AM165" s="43">
        <v>149</v>
      </c>
      <c r="AN165">
        <v>40.370002723311543</v>
      </c>
      <c r="AO165">
        <v>0.98088930024509791</v>
      </c>
      <c r="AP165">
        <v>2.1331628108136611</v>
      </c>
      <c r="AQ165">
        <v>6.0782562956767894</v>
      </c>
      <c r="AR165">
        <v>0.90982834113190736</v>
      </c>
      <c r="AS165">
        <v>3.28418993845278</v>
      </c>
      <c r="AT165" t="e">
        <v>#DIV/0!</v>
      </c>
      <c r="AU165" t="e">
        <v>#DIV/0!</v>
      </c>
      <c r="AV165"/>
      <c r="AW165"/>
      <c r="AX165" s="146"/>
      <c r="AY165" s="76">
        <f t="shared" ca="1" si="173"/>
        <v>0.45418375535187216</v>
      </c>
      <c r="AZ165">
        <v>8</v>
      </c>
      <c r="BA165" s="129">
        <f t="shared" si="245"/>
        <v>39910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  <c r="CF165">
        <v>0</v>
      </c>
      <c r="CG165" s="147"/>
      <c r="CH165" s="176"/>
      <c r="CJ165" s="146"/>
      <c r="CK165" s="76">
        <f t="shared" ca="1" si="208"/>
        <v>0.16609370943354751</v>
      </c>
      <c r="CL165" s="179">
        <f t="shared" si="209"/>
        <v>8</v>
      </c>
      <c r="CM165" s="180">
        <f t="shared" si="210"/>
        <v>39910</v>
      </c>
      <c r="CN165">
        <v>0</v>
      </c>
      <c r="CO165">
        <v>0</v>
      </c>
      <c r="CP165">
        <v>0</v>
      </c>
      <c r="CQ165">
        <v>0</v>
      </c>
      <c r="CR165">
        <v>0</v>
      </c>
      <c r="CS165">
        <v>0</v>
      </c>
      <c r="CT165">
        <v>0</v>
      </c>
      <c r="CU165">
        <v>0</v>
      </c>
      <c r="CV165" s="160"/>
      <c r="CW165">
        <v>1</v>
      </c>
      <c r="CX165">
        <v>1</v>
      </c>
      <c r="CY165" s="165"/>
      <c r="CZ165" s="177">
        <f t="shared" si="211"/>
        <v>9.6000000000000002E-2</v>
      </c>
      <c r="DB165" s="146"/>
      <c r="DC165" s="76">
        <f t="shared" ca="1" si="174"/>
        <v>0.58729717053686947</v>
      </c>
      <c r="DD165">
        <f t="shared" si="212"/>
        <v>8</v>
      </c>
      <c r="DE165" s="129">
        <f t="shared" si="244"/>
        <v>39910</v>
      </c>
      <c r="DF165" s="161">
        <f t="shared" si="213"/>
        <v>0</v>
      </c>
      <c r="DG165" s="161">
        <f t="shared" si="214"/>
        <v>0</v>
      </c>
      <c r="DH165" s="161">
        <f t="shared" si="215"/>
        <v>0</v>
      </c>
      <c r="DI165" s="161">
        <f t="shared" si="216"/>
        <v>0</v>
      </c>
      <c r="DJ165" s="161">
        <f t="shared" si="217"/>
        <v>0</v>
      </c>
      <c r="DK165" s="161">
        <f t="shared" si="218"/>
        <v>0</v>
      </c>
      <c r="DL165" s="161">
        <f t="shared" si="219"/>
        <v>0</v>
      </c>
      <c r="DM165" s="161">
        <f t="shared" si="220"/>
        <v>0</v>
      </c>
      <c r="DN165" s="161">
        <f t="shared" si="221"/>
        <v>0</v>
      </c>
      <c r="DO165" s="161">
        <f t="shared" si="222"/>
        <v>0</v>
      </c>
      <c r="DP165" s="161">
        <f t="shared" si="223"/>
        <v>0</v>
      </c>
      <c r="DQ165" s="161">
        <f t="shared" si="224"/>
        <v>0</v>
      </c>
      <c r="DR165" s="161">
        <f t="shared" si="225"/>
        <v>0</v>
      </c>
      <c r="DS165" s="161">
        <f t="shared" si="226"/>
        <v>0</v>
      </c>
      <c r="DT165" s="161">
        <f t="shared" si="227"/>
        <v>0</v>
      </c>
      <c r="DU165" s="161">
        <f t="shared" si="228"/>
        <v>0</v>
      </c>
      <c r="DV165" s="161">
        <f t="shared" si="229"/>
        <v>0</v>
      </c>
      <c r="DW165" s="161">
        <f t="shared" si="230"/>
        <v>0</v>
      </c>
      <c r="DX165" s="161">
        <f t="shared" si="231"/>
        <v>0</v>
      </c>
      <c r="DY165" s="161">
        <f t="shared" si="232"/>
        <v>0</v>
      </c>
      <c r="DZ165" s="161">
        <f t="shared" si="233"/>
        <v>0</v>
      </c>
      <c r="EA165" s="161">
        <f t="shared" si="234"/>
        <v>0</v>
      </c>
      <c r="EB165" s="161">
        <f t="shared" si="235"/>
        <v>0</v>
      </c>
      <c r="EC165" s="161">
        <f t="shared" si="236"/>
        <v>0</v>
      </c>
      <c r="ED165" s="161">
        <f t="shared" si="237"/>
        <v>0</v>
      </c>
      <c r="EE165" s="161">
        <f t="shared" si="238"/>
        <v>0</v>
      </c>
      <c r="EF165" s="161">
        <f t="shared" si="239"/>
        <v>0</v>
      </c>
      <c r="EG165" s="161">
        <f t="shared" si="240"/>
        <v>0</v>
      </c>
      <c r="EH165" s="161">
        <f t="shared" si="241"/>
        <v>0</v>
      </c>
      <c r="EI165" s="161">
        <f t="shared" si="242"/>
        <v>0</v>
      </c>
      <c r="EJ165" s="161">
        <f t="shared" si="243"/>
        <v>0</v>
      </c>
      <c r="EK165" s="147">
        <f t="shared" si="175"/>
        <v>0</v>
      </c>
      <c r="EL165" s="149"/>
      <c r="EN165" s="146"/>
      <c r="EO165" s="146"/>
      <c r="EP165" s="139">
        <f t="shared" si="176"/>
        <v>0</v>
      </c>
      <c r="EQ165" s="139">
        <f t="shared" si="177"/>
        <v>0</v>
      </c>
      <c r="ER165" s="139">
        <f t="shared" si="178"/>
        <v>0</v>
      </c>
      <c r="ES165" s="139">
        <f t="shared" si="179"/>
        <v>0</v>
      </c>
      <c r="ET165" s="139">
        <f t="shared" si="180"/>
        <v>0</v>
      </c>
      <c r="EU165" s="139">
        <f t="shared" si="181"/>
        <v>0</v>
      </c>
      <c r="EV165" s="139">
        <f t="shared" si="182"/>
        <v>0</v>
      </c>
      <c r="EW165" s="139">
        <f t="shared" si="183"/>
        <v>0</v>
      </c>
      <c r="EX165" s="139">
        <f t="shared" si="184"/>
        <v>0</v>
      </c>
      <c r="EY165" s="139">
        <f t="shared" si="185"/>
        <v>0</v>
      </c>
      <c r="EZ165" s="139">
        <f t="shared" si="186"/>
        <v>0</v>
      </c>
      <c r="FA165" s="139">
        <f t="shared" si="187"/>
        <v>0</v>
      </c>
      <c r="FB165" s="139">
        <f t="shared" si="188"/>
        <v>0</v>
      </c>
      <c r="FC165" s="139">
        <f t="shared" si="189"/>
        <v>0</v>
      </c>
      <c r="FD165" s="139">
        <f t="shared" si="190"/>
        <v>0</v>
      </c>
      <c r="FE165" s="139">
        <f t="shared" si="191"/>
        <v>0</v>
      </c>
      <c r="FF165" s="139">
        <f t="shared" si="192"/>
        <v>0</v>
      </c>
      <c r="FG165" s="139">
        <f t="shared" si="193"/>
        <v>0</v>
      </c>
      <c r="FH165" s="139">
        <f t="shared" si="194"/>
        <v>0</v>
      </c>
      <c r="FI165" s="139">
        <f t="shared" si="195"/>
        <v>0</v>
      </c>
      <c r="FJ165" s="139">
        <f t="shared" si="196"/>
        <v>0</v>
      </c>
      <c r="FK165" s="139">
        <f t="shared" si="197"/>
        <v>0</v>
      </c>
      <c r="FL165" s="139">
        <f t="shared" si="198"/>
        <v>0</v>
      </c>
      <c r="FM165" s="139">
        <f t="shared" si="199"/>
        <v>0</v>
      </c>
      <c r="FN165" s="139">
        <f t="shared" si="200"/>
        <v>0</v>
      </c>
      <c r="FO165" s="139">
        <f t="shared" si="201"/>
        <v>0</v>
      </c>
      <c r="FP165" s="139">
        <f t="shared" si="202"/>
        <v>0</v>
      </c>
      <c r="FQ165" s="139">
        <f t="shared" si="203"/>
        <v>0</v>
      </c>
      <c r="FR165" s="139">
        <f t="shared" si="204"/>
        <v>0</v>
      </c>
      <c r="FS165" s="139">
        <f t="shared" si="205"/>
        <v>0</v>
      </c>
      <c r="FT165" s="139">
        <f t="shared" si="206"/>
        <v>0</v>
      </c>
      <c r="FU165" s="148">
        <f t="shared" si="207"/>
        <v>0</v>
      </c>
      <c r="FV165" s="149"/>
      <c r="FY165" s="211">
        <v>160</v>
      </c>
      <c r="FZ165">
        <v>1.9481905780162512</v>
      </c>
      <c r="GA165">
        <v>2.1931936647475654</v>
      </c>
      <c r="GB165">
        <v>0.51850058102973273</v>
      </c>
      <c r="GC165">
        <v>0.46173638522204991</v>
      </c>
      <c r="GD165">
        <v>0.24156056368441597</v>
      </c>
      <c r="GE165">
        <v>3.8543094451799993E-2</v>
      </c>
      <c r="GF165">
        <v>1.1621547863886474</v>
      </c>
      <c r="GG165">
        <v>1.0578327695063923</v>
      </c>
      <c r="GH165">
        <v>0.11249442504775362</v>
      </c>
      <c r="GI165">
        <v>0.77894021218325826</v>
      </c>
      <c r="GJ165"/>
      <c r="GK165">
        <v>1.9416880514705879</v>
      </c>
      <c r="GL165">
        <v>1.8473755514705879</v>
      </c>
      <c r="GM165">
        <v>0.85092187499999994</v>
      </c>
      <c r="GN165">
        <v>1.3532142857142855</v>
      </c>
      <c r="GO165">
        <v>0.91863616071428555</v>
      </c>
      <c r="GP165">
        <v>7.2374999999999995E-2</v>
      </c>
      <c r="GQ165">
        <v>1.4014728260869567</v>
      </c>
      <c r="GR165">
        <v>1.47183740942029</v>
      </c>
      <c r="GS165">
        <v>0.11895232371794871</v>
      </c>
      <c r="GT165">
        <v>1.0463342473979558</v>
      </c>
      <c r="GU165"/>
      <c r="GV165"/>
      <c r="GW165"/>
      <c r="GX165"/>
      <c r="GY165"/>
      <c r="GZ165"/>
      <c r="HA165"/>
      <c r="HB165"/>
      <c r="HC165"/>
    </row>
    <row r="166" spans="1:211" s="7" customFormat="1">
      <c r="A166" s="1"/>
      <c r="B166" s="76">
        <f t="shared" ca="1" si="172"/>
        <v>0.57605186848429391</v>
      </c>
      <c r="C166">
        <v>3</v>
      </c>
      <c r="D166">
        <v>39910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 s="2"/>
      <c r="AK166" s="80"/>
      <c r="AL166" s="74"/>
      <c r="AM166" s="43">
        <v>150</v>
      </c>
      <c r="AN166">
        <v>46.147180222655756</v>
      </c>
      <c r="AO166">
        <v>1.2100540685444536</v>
      </c>
      <c r="AP166">
        <v>2.4375739512428631</v>
      </c>
      <c r="AQ166">
        <v>7.2531712774962971</v>
      </c>
      <c r="AR166">
        <v>1.1239906414215313</v>
      </c>
      <c r="AS166">
        <v>3.7338887344026985</v>
      </c>
      <c r="AT166">
        <v>0.7462846738633151</v>
      </c>
      <c r="AU166">
        <v>0.18428981776545963</v>
      </c>
      <c r="AV166"/>
      <c r="AW166"/>
      <c r="AX166" s="146"/>
      <c r="AY166" s="76">
        <f t="shared" ca="1" si="173"/>
        <v>1.387774065867653E-3</v>
      </c>
      <c r="AZ166">
        <v>9</v>
      </c>
      <c r="BA166" s="129">
        <f t="shared" si="245"/>
        <v>39910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 s="147"/>
      <c r="CH166" s="176"/>
      <c r="CJ166" s="146"/>
      <c r="CK166" s="76">
        <f t="shared" ca="1" si="208"/>
        <v>0.17831493156223832</v>
      </c>
      <c r="CL166" s="179">
        <f t="shared" si="209"/>
        <v>9</v>
      </c>
      <c r="CM166" s="180">
        <f t="shared" si="210"/>
        <v>39910</v>
      </c>
      <c r="CN166">
        <v>0</v>
      </c>
      <c r="CO166">
        <v>0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  <c r="CV166" s="160"/>
      <c r="CW166">
        <f>33/10</f>
        <v>3.3</v>
      </c>
      <c r="CX166">
        <f>350/36</f>
        <v>9.7222222222222214</v>
      </c>
      <c r="CY166" s="165"/>
      <c r="CZ166" s="177">
        <f t="shared" si="211"/>
        <v>9.6000000000000002E-2</v>
      </c>
      <c r="DB166" s="146"/>
      <c r="DC166" s="76">
        <f t="shared" ca="1" si="174"/>
        <v>0.10656469176734462</v>
      </c>
      <c r="DD166">
        <f t="shared" si="212"/>
        <v>9</v>
      </c>
      <c r="DE166" s="129">
        <f t="shared" si="244"/>
        <v>39910</v>
      </c>
      <c r="DF166" s="161">
        <f t="shared" si="213"/>
        <v>0</v>
      </c>
      <c r="DG166" s="161">
        <f t="shared" si="214"/>
        <v>0</v>
      </c>
      <c r="DH166" s="161">
        <f t="shared" si="215"/>
        <v>0</v>
      </c>
      <c r="DI166" s="161">
        <f t="shared" si="216"/>
        <v>0</v>
      </c>
      <c r="DJ166" s="161">
        <f t="shared" si="217"/>
        <v>0</v>
      </c>
      <c r="DK166" s="161">
        <f t="shared" si="218"/>
        <v>0</v>
      </c>
      <c r="DL166" s="161">
        <f t="shared" si="219"/>
        <v>0</v>
      </c>
      <c r="DM166" s="161">
        <f t="shared" si="220"/>
        <v>0</v>
      </c>
      <c r="DN166" s="161">
        <f t="shared" si="221"/>
        <v>0</v>
      </c>
      <c r="DO166" s="161">
        <f t="shared" si="222"/>
        <v>0</v>
      </c>
      <c r="DP166" s="161">
        <f t="shared" si="223"/>
        <v>0</v>
      </c>
      <c r="DQ166" s="161">
        <f t="shared" si="224"/>
        <v>0</v>
      </c>
      <c r="DR166" s="161">
        <f t="shared" si="225"/>
        <v>0</v>
      </c>
      <c r="DS166" s="161">
        <f t="shared" si="226"/>
        <v>0</v>
      </c>
      <c r="DT166" s="161">
        <f t="shared" si="227"/>
        <v>0</v>
      </c>
      <c r="DU166" s="161">
        <f t="shared" si="228"/>
        <v>0</v>
      </c>
      <c r="DV166" s="161">
        <f t="shared" si="229"/>
        <v>0</v>
      </c>
      <c r="DW166" s="161">
        <f t="shared" si="230"/>
        <v>0</v>
      </c>
      <c r="DX166" s="161">
        <f t="shared" si="231"/>
        <v>0</v>
      </c>
      <c r="DY166" s="161">
        <f t="shared" si="232"/>
        <v>0</v>
      </c>
      <c r="DZ166" s="161">
        <f t="shared" si="233"/>
        <v>0</v>
      </c>
      <c r="EA166" s="161">
        <f t="shared" si="234"/>
        <v>0</v>
      </c>
      <c r="EB166" s="161">
        <f t="shared" si="235"/>
        <v>0</v>
      </c>
      <c r="EC166" s="161">
        <f t="shared" si="236"/>
        <v>0</v>
      </c>
      <c r="ED166" s="161">
        <f t="shared" si="237"/>
        <v>0</v>
      </c>
      <c r="EE166" s="161">
        <f t="shared" si="238"/>
        <v>0</v>
      </c>
      <c r="EF166" s="161">
        <f t="shared" si="239"/>
        <v>0</v>
      </c>
      <c r="EG166" s="161">
        <f t="shared" si="240"/>
        <v>0</v>
      </c>
      <c r="EH166" s="161">
        <f t="shared" si="241"/>
        <v>0</v>
      </c>
      <c r="EI166" s="161">
        <f t="shared" si="242"/>
        <v>0</v>
      </c>
      <c r="EJ166" s="161">
        <f t="shared" si="243"/>
        <v>0</v>
      </c>
      <c r="EK166" s="147">
        <f t="shared" si="175"/>
        <v>0</v>
      </c>
      <c r="EL166" s="149"/>
      <c r="EN166" s="146"/>
      <c r="EO166" s="146"/>
      <c r="EP166" s="139">
        <f t="shared" si="176"/>
        <v>0</v>
      </c>
      <c r="EQ166" s="139">
        <f t="shared" si="177"/>
        <v>0</v>
      </c>
      <c r="ER166" s="139">
        <f t="shared" si="178"/>
        <v>0</v>
      </c>
      <c r="ES166" s="139">
        <f t="shared" si="179"/>
        <v>0</v>
      </c>
      <c r="ET166" s="139">
        <f t="shared" si="180"/>
        <v>0</v>
      </c>
      <c r="EU166" s="139">
        <f t="shared" si="181"/>
        <v>0</v>
      </c>
      <c r="EV166" s="139">
        <f t="shared" si="182"/>
        <v>0</v>
      </c>
      <c r="EW166" s="139">
        <f t="shared" si="183"/>
        <v>0</v>
      </c>
      <c r="EX166" s="139">
        <f t="shared" si="184"/>
        <v>0</v>
      </c>
      <c r="EY166" s="139">
        <f t="shared" si="185"/>
        <v>0</v>
      </c>
      <c r="EZ166" s="139">
        <f t="shared" si="186"/>
        <v>0</v>
      </c>
      <c r="FA166" s="139">
        <f t="shared" si="187"/>
        <v>0</v>
      </c>
      <c r="FB166" s="139">
        <f t="shared" si="188"/>
        <v>0</v>
      </c>
      <c r="FC166" s="139">
        <f t="shared" si="189"/>
        <v>0</v>
      </c>
      <c r="FD166" s="139">
        <f t="shared" si="190"/>
        <v>0</v>
      </c>
      <c r="FE166" s="139">
        <f t="shared" si="191"/>
        <v>0</v>
      </c>
      <c r="FF166" s="139">
        <f t="shared" si="192"/>
        <v>0</v>
      </c>
      <c r="FG166" s="139">
        <f t="shared" si="193"/>
        <v>0</v>
      </c>
      <c r="FH166" s="139">
        <f t="shared" si="194"/>
        <v>0</v>
      </c>
      <c r="FI166" s="139">
        <f t="shared" si="195"/>
        <v>0</v>
      </c>
      <c r="FJ166" s="139">
        <f t="shared" si="196"/>
        <v>0</v>
      </c>
      <c r="FK166" s="139">
        <f t="shared" si="197"/>
        <v>0</v>
      </c>
      <c r="FL166" s="139">
        <f t="shared" si="198"/>
        <v>0</v>
      </c>
      <c r="FM166" s="139">
        <f t="shared" si="199"/>
        <v>0</v>
      </c>
      <c r="FN166" s="139">
        <f t="shared" si="200"/>
        <v>0</v>
      </c>
      <c r="FO166" s="139">
        <f t="shared" si="201"/>
        <v>0</v>
      </c>
      <c r="FP166" s="139">
        <f t="shared" si="202"/>
        <v>0</v>
      </c>
      <c r="FQ166" s="139">
        <f t="shared" si="203"/>
        <v>0</v>
      </c>
      <c r="FR166" s="139">
        <f t="shared" si="204"/>
        <v>0</v>
      </c>
      <c r="FS166" s="139">
        <f t="shared" si="205"/>
        <v>0</v>
      </c>
      <c r="FT166" s="139">
        <f t="shared" si="206"/>
        <v>0</v>
      </c>
      <c r="FU166" s="148">
        <f t="shared" si="207"/>
        <v>0</v>
      </c>
      <c r="FV166" s="149"/>
      <c r="FY166" s="211">
        <v>161</v>
      </c>
      <c r="FZ166">
        <v>1.3038733769507327</v>
      </c>
      <c r="GA166">
        <v>1.6980312967667057</v>
      </c>
      <c r="GB166">
        <v>0.9760139475897972</v>
      </c>
      <c r="GC166">
        <v>0.70456677065840689</v>
      </c>
      <c r="GD166">
        <v>0.25496685024911997</v>
      </c>
      <c r="GE166">
        <v>0.16171291400422502</v>
      </c>
      <c r="GF166">
        <v>1.0284381956596096</v>
      </c>
      <c r="GG166">
        <v>1.0080788308896727</v>
      </c>
      <c r="GH166">
        <v>0.22255459596614241</v>
      </c>
      <c r="GI166">
        <v>0.79616299137024049</v>
      </c>
      <c r="GJ166"/>
      <c r="GK166">
        <v>1.2992268382352941</v>
      </c>
      <c r="GL166">
        <v>1.4299729319852941</v>
      </c>
      <c r="GM166">
        <v>1.6024009232954546</v>
      </c>
      <c r="GN166">
        <v>2.0667892045454543</v>
      </c>
      <c r="GO166">
        <v>0.96989999999999987</v>
      </c>
      <c r="GP166">
        <v>0.30407812500000003</v>
      </c>
      <c r="GQ166">
        <v>1.2406589673913042</v>
      </c>
      <c r="GR166">
        <v>1.402908967391304</v>
      </c>
      <c r="GS166">
        <v>0.23538762019230769</v>
      </c>
      <c r="GT166">
        <v>1.069514869822872</v>
      </c>
      <c r="GU166"/>
      <c r="GV166"/>
      <c r="GW166"/>
      <c r="GX166"/>
      <c r="GY166"/>
      <c r="GZ166"/>
      <c r="HA166"/>
      <c r="HB166"/>
      <c r="HC166"/>
    </row>
    <row r="167" spans="1:211" s="7" customFormat="1">
      <c r="A167" s="1"/>
      <c r="B167" s="76">
        <f t="shared" ca="1" si="172"/>
        <v>0.53806449163622272</v>
      </c>
      <c r="C167">
        <v>9</v>
      </c>
      <c r="D167">
        <v>39910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 s="2"/>
      <c r="AK167" s="80"/>
      <c r="AL167" s="74"/>
      <c r="AM167" s="43">
        <v>151</v>
      </c>
      <c r="AN167">
        <v>39.235884006380324</v>
      </c>
      <c r="AO167">
        <v>0.90090590813200266</v>
      </c>
      <c r="AP167">
        <v>2.2093016740618454</v>
      </c>
      <c r="AQ167">
        <v>5.5004388353024982</v>
      </c>
      <c r="AR167">
        <v>0.82624968921091169</v>
      </c>
      <c r="AS167">
        <v>3.4259072987071861</v>
      </c>
      <c r="AT167" t="e">
        <v>#DIV/0!</v>
      </c>
      <c r="AU167" t="e">
        <v>#DIV/0!</v>
      </c>
      <c r="AV167"/>
      <c r="AW167"/>
      <c r="AX167" s="146"/>
      <c r="AY167" s="76">
        <f t="shared" ca="1" si="173"/>
        <v>0.58575839276667829</v>
      </c>
      <c r="AZ167">
        <v>10</v>
      </c>
      <c r="BA167" s="129">
        <f t="shared" si="245"/>
        <v>39910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 s="147"/>
      <c r="CH167" s="176"/>
      <c r="CJ167" s="146"/>
      <c r="CK167" s="76">
        <f t="shared" ca="1" si="208"/>
        <v>0.3484396879449756</v>
      </c>
      <c r="CL167" s="179">
        <f t="shared" si="209"/>
        <v>10</v>
      </c>
      <c r="CM167" s="180">
        <f t="shared" si="210"/>
        <v>39910</v>
      </c>
      <c r="CN167">
        <v>0</v>
      </c>
      <c r="CO167">
        <v>0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0</v>
      </c>
      <c r="CV167" s="160"/>
      <c r="CW167">
        <v>1</v>
      </c>
      <c r="CX167">
        <f>350/35</f>
        <v>10</v>
      </c>
      <c r="CY167" s="165"/>
      <c r="CZ167" s="177">
        <f t="shared" si="211"/>
        <v>9.6000000000000002E-2</v>
      </c>
      <c r="DB167" s="146"/>
      <c r="DC167" s="76">
        <f t="shared" ca="1" si="174"/>
        <v>0.93361644317384962</v>
      </c>
      <c r="DD167">
        <f t="shared" si="212"/>
        <v>10</v>
      </c>
      <c r="DE167" s="129">
        <f t="shared" si="244"/>
        <v>39910</v>
      </c>
      <c r="DF167" s="161">
        <f t="shared" si="213"/>
        <v>0</v>
      </c>
      <c r="DG167" s="161">
        <f t="shared" si="214"/>
        <v>0</v>
      </c>
      <c r="DH167" s="161">
        <f t="shared" si="215"/>
        <v>0</v>
      </c>
      <c r="DI167" s="161">
        <f t="shared" si="216"/>
        <v>0</v>
      </c>
      <c r="DJ167" s="161">
        <f t="shared" si="217"/>
        <v>0</v>
      </c>
      <c r="DK167" s="161">
        <f t="shared" si="218"/>
        <v>0</v>
      </c>
      <c r="DL167" s="161">
        <f t="shared" si="219"/>
        <v>0</v>
      </c>
      <c r="DM167" s="161">
        <f t="shared" si="220"/>
        <v>0</v>
      </c>
      <c r="DN167" s="161">
        <f t="shared" si="221"/>
        <v>0</v>
      </c>
      <c r="DO167" s="161">
        <f t="shared" si="222"/>
        <v>0</v>
      </c>
      <c r="DP167" s="161">
        <f t="shared" si="223"/>
        <v>0</v>
      </c>
      <c r="DQ167" s="161">
        <f t="shared" si="224"/>
        <v>0</v>
      </c>
      <c r="DR167" s="161">
        <f t="shared" si="225"/>
        <v>0</v>
      </c>
      <c r="DS167" s="161">
        <f t="shared" si="226"/>
        <v>0</v>
      </c>
      <c r="DT167" s="161">
        <f t="shared" si="227"/>
        <v>0</v>
      </c>
      <c r="DU167" s="161">
        <f t="shared" si="228"/>
        <v>0</v>
      </c>
      <c r="DV167" s="161">
        <f t="shared" si="229"/>
        <v>0</v>
      </c>
      <c r="DW167" s="161">
        <f t="shared" si="230"/>
        <v>0</v>
      </c>
      <c r="DX167" s="161">
        <f t="shared" si="231"/>
        <v>0</v>
      </c>
      <c r="DY167" s="161">
        <f t="shared" si="232"/>
        <v>0</v>
      </c>
      <c r="DZ167" s="161">
        <f t="shared" si="233"/>
        <v>0</v>
      </c>
      <c r="EA167" s="161">
        <f t="shared" si="234"/>
        <v>0</v>
      </c>
      <c r="EB167" s="161">
        <f t="shared" si="235"/>
        <v>0</v>
      </c>
      <c r="EC167" s="161">
        <f t="shared" si="236"/>
        <v>0</v>
      </c>
      <c r="ED167" s="161">
        <f t="shared" si="237"/>
        <v>0</v>
      </c>
      <c r="EE167" s="161">
        <f t="shared" si="238"/>
        <v>0</v>
      </c>
      <c r="EF167" s="161">
        <f t="shared" si="239"/>
        <v>0</v>
      </c>
      <c r="EG167" s="161">
        <f t="shared" si="240"/>
        <v>0</v>
      </c>
      <c r="EH167" s="161">
        <f t="shared" si="241"/>
        <v>0</v>
      </c>
      <c r="EI167" s="161">
        <f t="shared" si="242"/>
        <v>0</v>
      </c>
      <c r="EJ167" s="161">
        <f t="shared" si="243"/>
        <v>0</v>
      </c>
      <c r="EK167" s="147">
        <f t="shared" si="175"/>
        <v>0</v>
      </c>
      <c r="EL167" s="149"/>
      <c r="EN167" s="146"/>
      <c r="EO167" s="146"/>
      <c r="EP167" s="139">
        <f t="shared" si="176"/>
        <v>0</v>
      </c>
      <c r="EQ167" s="139">
        <f t="shared" si="177"/>
        <v>0</v>
      </c>
      <c r="ER167" s="139">
        <f t="shared" si="178"/>
        <v>0</v>
      </c>
      <c r="ES167" s="139">
        <f t="shared" si="179"/>
        <v>0</v>
      </c>
      <c r="ET167" s="139">
        <f t="shared" si="180"/>
        <v>0</v>
      </c>
      <c r="EU167" s="139">
        <f t="shared" si="181"/>
        <v>0</v>
      </c>
      <c r="EV167" s="139">
        <f t="shared" si="182"/>
        <v>0</v>
      </c>
      <c r="EW167" s="139">
        <f t="shared" si="183"/>
        <v>0</v>
      </c>
      <c r="EX167" s="139">
        <f t="shared" si="184"/>
        <v>0</v>
      </c>
      <c r="EY167" s="139">
        <f t="shared" si="185"/>
        <v>0</v>
      </c>
      <c r="EZ167" s="139">
        <f t="shared" si="186"/>
        <v>0</v>
      </c>
      <c r="FA167" s="139">
        <f t="shared" si="187"/>
        <v>0</v>
      </c>
      <c r="FB167" s="139">
        <f t="shared" si="188"/>
        <v>0</v>
      </c>
      <c r="FC167" s="139">
        <f t="shared" si="189"/>
        <v>0</v>
      </c>
      <c r="FD167" s="139">
        <f t="shared" si="190"/>
        <v>0</v>
      </c>
      <c r="FE167" s="139">
        <f t="shared" si="191"/>
        <v>0</v>
      </c>
      <c r="FF167" s="139">
        <f t="shared" si="192"/>
        <v>0</v>
      </c>
      <c r="FG167" s="139">
        <f t="shared" si="193"/>
        <v>0</v>
      </c>
      <c r="FH167" s="139">
        <f t="shared" si="194"/>
        <v>0</v>
      </c>
      <c r="FI167" s="139">
        <f t="shared" si="195"/>
        <v>0</v>
      </c>
      <c r="FJ167" s="139">
        <f t="shared" si="196"/>
        <v>0</v>
      </c>
      <c r="FK167" s="139">
        <f t="shared" si="197"/>
        <v>0</v>
      </c>
      <c r="FL167" s="139">
        <f t="shared" si="198"/>
        <v>0</v>
      </c>
      <c r="FM167" s="139">
        <f t="shared" si="199"/>
        <v>0</v>
      </c>
      <c r="FN167" s="139">
        <f t="shared" si="200"/>
        <v>0</v>
      </c>
      <c r="FO167" s="139">
        <f t="shared" si="201"/>
        <v>0</v>
      </c>
      <c r="FP167" s="139">
        <f t="shared" si="202"/>
        <v>0</v>
      </c>
      <c r="FQ167" s="139">
        <f t="shared" si="203"/>
        <v>0</v>
      </c>
      <c r="FR167" s="139">
        <f t="shared" si="204"/>
        <v>0</v>
      </c>
      <c r="FS167" s="139">
        <f t="shared" si="205"/>
        <v>0</v>
      </c>
      <c r="FT167" s="139">
        <f t="shared" si="206"/>
        <v>0</v>
      </c>
      <c r="FU167" s="148">
        <f t="shared" si="207"/>
        <v>0</v>
      </c>
      <c r="FV167" s="149"/>
      <c r="FY167" s="211">
        <v>162</v>
      </c>
      <c r="FZ167">
        <v>7.8121480462635937E-2</v>
      </c>
      <c r="GA167">
        <v>0.32241746159380313</v>
      </c>
      <c r="GB167">
        <v>0.67863661506866246</v>
      </c>
      <c r="GC167">
        <v>0.55375634724166689</v>
      </c>
      <c r="GD167">
        <v>0.20406154222412673</v>
      </c>
      <c r="GE167">
        <v>9.05731237035E-2</v>
      </c>
      <c r="GF167">
        <v>0.57499774394694703</v>
      </c>
      <c r="GG167">
        <v>0.47874846122576609</v>
      </c>
      <c r="GH167">
        <v>8.9508689212329934E-2</v>
      </c>
      <c r="GI167">
        <v>0.41038886441015326</v>
      </c>
      <c r="GJ167"/>
      <c r="GK167">
        <v>7.7859374999999995E-2</v>
      </c>
      <c r="GL167">
        <v>0.27159375000000002</v>
      </c>
      <c r="GM167">
        <v>1.1142954545454544</v>
      </c>
      <c r="GN167">
        <v>1.6241213474025971</v>
      </c>
      <c r="GO167">
        <v>0.77593526785714262</v>
      </c>
      <c r="GP167">
        <v>0.17006250000000001</v>
      </c>
      <c r="GQ167">
        <v>0.69359510869565222</v>
      </c>
      <c r="GR167">
        <v>0.66627219202898535</v>
      </c>
      <c r="GS167">
        <v>9.465845352564102E-2</v>
      </c>
      <c r="GT167">
        <v>0.55126873192477799</v>
      </c>
      <c r="GU167"/>
      <c r="GV167"/>
      <c r="GW167"/>
      <c r="GX167"/>
      <c r="GY167"/>
      <c r="GZ167"/>
      <c r="HA167"/>
      <c r="HB167"/>
      <c r="HC167"/>
    </row>
    <row r="168" spans="1:211" s="7" customFormat="1">
      <c r="A168" s="128"/>
      <c r="B168" s="76">
        <f t="shared" ca="1" si="172"/>
        <v>0.2231095406455843</v>
      </c>
      <c r="C168">
        <v>9</v>
      </c>
      <c r="D168">
        <v>39949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 s="2"/>
      <c r="AK168" s="80"/>
      <c r="AL168" s="74">
        <v>3.0028000000000028</v>
      </c>
      <c r="AM168" s="43">
        <v>152</v>
      </c>
      <c r="AN168">
        <v>51.626169874071877</v>
      </c>
      <c r="AO168">
        <v>1.1745599276130814</v>
      </c>
      <c r="AP168">
        <v>0.59092811512768351</v>
      </c>
      <c r="AQ168">
        <v>9.5898985324231809</v>
      </c>
      <c r="AR168">
        <v>1.0808567633021016</v>
      </c>
      <c r="AS168">
        <v>3.9416392726738345</v>
      </c>
      <c r="AT168">
        <v>0.82781174370219002</v>
      </c>
      <c r="AU168">
        <v>5.2141537650650854E-2</v>
      </c>
      <c r="AV168"/>
      <c r="AW168"/>
      <c r="AX168" s="128"/>
      <c r="AY168" s="76">
        <f t="shared" ca="1" si="173"/>
        <v>0.33096819408903944</v>
      </c>
      <c r="AZ168">
        <v>1</v>
      </c>
      <c r="BA168" s="129">
        <f>IF(AZ168="", "",$C$12)</f>
        <v>39949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 s="147"/>
      <c r="CH168" s="176"/>
      <c r="CJ168" s="128"/>
      <c r="CK168" s="76">
        <f t="shared" ca="1" si="208"/>
        <v>0.3331518672744096</v>
      </c>
      <c r="CL168" s="179">
        <f t="shared" si="209"/>
        <v>1</v>
      </c>
      <c r="CM168" s="180">
        <f t="shared" si="210"/>
        <v>39949</v>
      </c>
      <c r="CN168">
        <v>0</v>
      </c>
      <c r="CO168">
        <v>0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0</v>
      </c>
      <c r="CV168" s="160"/>
      <c r="CW168">
        <v>1</v>
      </c>
      <c r="CX168">
        <f>325/83</f>
        <v>3.9156626506024095</v>
      </c>
      <c r="CY168" s="160"/>
      <c r="CZ168" s="177">
        <f t="shared" si="211"/>
        <v>9.6000000000000002E-2</v>
      </c>
      <c r="DB168" s="128"/>
      <c r="DC168" s="76">
        <f t="shared" ca="1" si="174"/>
        <v>0.46344120421422552</v>
      </c>
      <c r="DD168">
        <f t="shared" si="212"/>
        <v>1</v>
      </c>
      <c r="DE168" s="129">
        <f t="shared" ref="DE168:DE177" si="246">IF((DD168)="", "", $C$12)</f>
        <v>39949</v>
      </c>
      <c r="DF168" s="161">
        <f t="shared" si="213"/>
        <v>0</v>
      </c>
      <c r="DG168" s="161">
        <f t="shared" si="214"/>
        <v>0</v>
      </c>
      <c r="DH168" s="161">
        <f t="shared" si="215"/>
        <v>0</v>
      </c>
      <c r="DI168" s="161">
        <f t="shared" si="216"/>
        <v>0</v>
      </c>
      <c r="DJ168" s="161">
        <f t="shared" si="217"/>
        <v>0</v>
      </c>
      <c r="DK168" s="161">
        <f t="shared" si="218"/>
        <v>0</v>
      </c>
      <c r="DL168" s="161">
        <f t="shared" si="219"/>
        <v>0</v>
      </c>
      <c r="DM168" s="161">
        <f t="shared" si="220"/>
        <v>0</v>
      </c>
      <c r="DN168" s="161">
        <f t="shared" si="221"/>
        <v>0</v>
      </c>
      <c r="DO168" s="161">
        <f t="shared" si="222"/>
        <v>0</v>
      </c>
      <c r="DP168" s="161">
        <f t="shared" si="223"/>
        <v>0</v>
      </c>
      <c r="DQ168" s="161">
        <f t="shared" si="224"/>
        <v>0</v>
      </c>
      <c r="DR168" s="161">
        <f t="shared" si="225"/>
        <v>0</v>
      </c>
      <c r="DS168" s="161">
        <f t="shared" si="226"/>
        <v>0</v>
      </c>
      <c r="DT168" s="161">
        <f t="shared" si="227"/>
        <v>0</v>
      </c>
      <c r="DU168" s="161">
        <f t="shared" si="228"/>
        <v>0</v>
      </c>
      <c r="DV168" s="161">
        <f t="shared" si="229"/>
        <v>0</v>
      </c>
      <c r="DW168" s="161">
        <f t="shared" si="230"/>
        <v>0</v>
      </c>
      <c r="DX168" s="161">
        <f t="shared" si="231"/>
        <v>0</v>
      </c>
      <c r="DY168" s="161">
        <f t="shared" si="232"/>
        <v>0</v>
      </c>
      <c r="DZ168" s="161">
        <f t="shared" si="233"/>
        <v>0</v>
      </c>
      <c r="EA168" s="161">
        <f t="shared" si="234"/>
        <v>0</v>
      </c>
      <c r="EB168" s="161">
        <f t="shared" si="235"/>
        <v>0</v>
      </c>
      <c r="EC168" s="161">
        <f t="shared" si="236"/>
        <v>0</v>
      </c>
      <c r="ED168" s="161">
        <f t="shared" si="237"/>
        <v>0</v>
      </c>
      <c r="EE168" s="161">
        <f t="shared" si="238"/>
        <v>0</v>
      </c>
      <c r="EF168" s="161">
        <f t="shared" si="239"/>
        <v>0</v>
      </c>
      <c r="EG168" s="161">
        <f t="shared" si="240"/>
        <v>0</v>
      </c>
      <c r="EH168" s="161">
        <f t="shared" si="241"/>
        <v>0</v>
      </c>
      <c r="EI168" s="161">
        <f t="shared" si="242"/>
        <v>0</v>
      </c>
      <c r="EJ168" s="161">
        <f t="shared" si="243"/>
        <v>0</v>
      </c>
      <c r="EK168" s="147">
        <f t="shared" si="175"/>
        <v>0</v>
      </c>
      <c r="EL168" s="149"/>
      <c r="EN168" s="146"/>
      <c r="EO168" s="146"/>
      <c r="EP168" s="139">
        <f t="shared" si="176"/>
        <v>0</v>
      </c>
      <c r="EQ168" s="139">
        <f t="shared" si="177"/>
        <v>0</v>
      </c>
      <c r="ER168" s="139">
        <f t="shared" si="178"/>
        <v>0</v>
      </c>
      <c r="ES168" s="139">
        <f t="shared" si="179"/>
        <v>0</v>
      </c>
      <c r="ET168" s="139">
        <f t="shared" si="180"/>
        <v>0</v>
      </c>
      <c r="EU168" s="139">
        <f t="shared" si="181"/>
        <v>0</v>
      </c>
      <c r="EV168" s="139">
        <f t="shared" si="182"/>
        <v>0</v>
      </c>
      <c r="EW168" s="139">
        <f t="shared" si="183"/>
        <v>0</v>
      </c>
      <c r="EX168" s="139">
        <f t="shared" si="184"/>
        <v>0</v>
      </c>
      <c r="EY168" s="139">
        <f t="shared" si="185"/>
        <v>0</v>
      </c>
      <c r="EZ168" s="139">
        <f t="shared" si="186"/>
        <v>0</v>
      </c>
      <c r="FA168" s="139">
        <f t="shared" si="187"/>
        <v>0</v>
      </c>
      <c r="FB168" s="139">
        <f t="shared" si="188"/>
        <v>0</v>
      </c>
      <c r="FC168" s="139">
        <f t="shared" si="189"/>
        <v>0</v>
      </c>
      <c r="FD168" s="139">
        <f t="shared" si="190"/>
        <v>0</v>
      </c>
      <c r="FE168" s="139">
        <f t="shared" si="191"/>
        <v>0</v>
      </c>
      <c r="FF168" s="139">
        <f t="shared" si="192"/>
        <v>0</v>
      </c>
      <c r="FG168" s="139">
        <f t="shared" si="193"/>
        <v>0</v>
      </c>
      <c r="FH168" s="139">
        <f t="shared" si="194"/>
        <v>0</v>
      </c>
      <c r="FI168" s="139">
        <f t="shared" si="195"/>
        <v>0</v>
      </c>
      <c r="FJ168" s="139">
        <f t="shared" si="196"/>
        <v>0</v>
      </c>
      <c r="FK168" s="139">
        <f t="shared" si="197"/>
        <v>0</v>
      </c>
      <c r="FL168" s="139">
        <f t="shared" si="198"/>
        <v>0</v>
      </c>
      <c r="FM168" s="139">
        <f t="shared" si="199"/>
        <v>0</v>
      </c>
      <c r="FN168" s="139">
        <f t="shared" si="200"/>
        <v>0</v>
      </c>
      <c r="FO168" s="139">
        <f t="shared" si="201"/>
        <v>0</v>
      </c>
      <c r="FP168" s="139">
        <f t="shared" si="202"/>
        <v>0</v>
      </c>
      <c r="FQ168" s="139">
        <f t="shared" si="203"/>
        <v>0</v>
      </c>
      <c r="FR168" s="139">
        <f t="shared" si="204"/>
        <v>0</v>
      </c>
      <c r="FS168" s="139">
        <f t="shared" si="205"/>
        <v>0</v>
      </c>
      <c r="FT168" s="139">
        <f t="shared" si="206"/>
        <v>0</v>
      </c>
      <c r="FU168" s="148">
        <f t="shared" si="207"/>
        <v>0</v>
      </c>
      <c r="FV168" s="149"/>
      <c r="FY168" s="211">
        <v>163</v>
      </c>
      <c r="FZ168">
        <v>0.9968286992237918</v>
      </c>
      <c r="GA168">
        <v>1.7652123830886444</v>
      </c>
      <c r="GB168">
        <v>0.39270966922030082</v>
      </c>
      <c r="GC168">
        <v>0.84924178153044994</v>
      </c>
      <c r="GD168">
        <v>0.65715140892374979</v>
      </c>
      <c r="GE168">
        <v>0.11273697714239998</v>
      </c>
      <c r="GF168">
        <v>0.20038102790324064</v>
      </c>
      <c r="GG168">
        <v>0.18920630708545313</v>
      </c>
      <c r="GH168">
        <v>0.11249442504775362</v>
      </c>
      <c r="GI168">
        <v>0.66972390326644093</v>
      </c>
      <c r="GJ168"/>
      <c r="GK168">
        <v>0.99329246323529397</v>
      </c>
      <c r="GL168">
        <v>1.4865346507352939</v>
      </c>
      <c r="GM168">
        <v>0.64402343750000013</v>
      </c>
      <c r="GN168">
        <v>2.4865624999999998</v>
      </c>
      <c r="GO168">
        <v>2.4986249999999997</v>
      </c>
      <c r="GP168">
        <v>0.21168749999999995</v>
      </c>
      <c r="GQ168">
        <v>0.24196875000000001</v>
      </c>
      <c r="GR168">
        <v>0.26348958333333333</v>
      </c>
      <c r="GS168">
        <v>0.11895232371794871</v>
      </c>
      <c r="GT168">
        <v>0.89937239489064857</v>
      </c>
      <c r="GU168"/>
      <c r="GV168"/>
      <c r="GW168"/>
      <c r="GX168"/>
      <c r="GY168"/>
      <c r="GZ168"/>
      <c r="HA168"/>
      <c r="HB168"/>
      <c r="HC168"/>
    </row>
    <row r="169" spans="1:211" s="7" customFormat="1">
      <c r="A169" s="1"/>
      <c r="B169" s="76">
        <f t="shared" ca="1" si="172"/>
        <v>0.10613240951454661</v>
      </c>
      <c r="C169">
        <v>3</v>
      </c>
      <c r="D169">
        <v>39949</v>
      </c>
      <c r="E169">
        <v>0</v>
      </c>
      <c r="F169">
        <v>81.018518518518519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 s="2"/>
      <c r="AK169" s="80"/>
      <c r="AL169" s="74">
        <v>3.0028000000000028</v>
      </c>
      <c r="AM169" s="43">
        <v>153</v>
      </c>
      <c r="AN169">
        <v>35.13639135489759</v>
      </c>
      <c r="AO169">
        <v>0.76113141987077026</v>
      </c>
      <c r="AP169">
        <v>10.282350914520535</v>
      </c>
      <c r="AQ169">
        <v>6.8820761331684759</v>
      </c>
      <c r="AR169">
        <v>0.71084335809930144</v>
      </c>
      <c r="AS169">
        <v>2.7115255995680094</v>
      </c>
      <c r="AT169" t="e">
        <v>#DIV/0!</v>
      </c>
      <c r="AU169" t="e">
        <v>#DIV/0!</v>
      </c>
      <c r="AV169"/>
      <c r="AW169"/>
      <c r="AX169" s="146"/>
      <c r="AY169" s="76">
        <f t="shared" ca="1" si="173"/>
        <v>0.35379184613414427</v>
      </c>
      <c r="AZ169">
        <v>2</v>
      </c>
      <c r="BA169" s="129">
        <f t="shared" ref="BA169:BA177" si="247">IF(AZ169="", "",$C$12)</f>
        <v>39949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  <c r="CF169">
        <v>0</v>
      </c>
      <c r="CG169" s="147"/>
      <c r="CH169" s="176"/>
      <c r="CJ169" s="146"/>
      <c r="CK169" s="76">
        <f t="shared" ca="1" si="208"/>
        <v>0.7884863533100761</v>
      </c>
      <c r="CL169" s="179">
        <f t="shared" si="209"/>
        <v>2</v>
      </c>
      <c r="CM169" s="180">
        <f t="shared" si="210"/>
        <v>39949</v>
      </c>
      <c r="CN169">
        <v>0</v>
      </c>
      <c r="CO169">
        <v>0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 s="160"/>
      <c r="CW169">
        <v>1</v>
      </c>
      <c r="CX169">
        <v>1</v>
      </c>
      <c r="CY169" s="160"/>
      <c r="CZ169" s="177">
        <f t="shared" si="211"/>
        <v>9.6000000000000002E-2</v>
      </c>
      <c r="DB169" s="146"/>
      <c r="DC169" s="76">
        <f t="shared" ca="1" si="174"/>
        <v>9.9504410004526589E-2</v>
      </c>
      <c r="DD169">
        <f t="shared" si="212"/>
        <v>2</v>
      </c>
      <c r="DE169" s="129">
        <f t="shared" si="246"/>
        <v>39949</v>
      </c>
      <c r="DF169" s="161">
        <f t="shared" si="213"/>
        <v>0</v>
      </c>
      <c r="DG169" s="161">
        <f t="shared" si="214"/>
        <v>0</v>
      </c>
      <c r="DH169" s="161">
        <f t="shared" si="215"/>
        <v>0</v>
      </c>
      <c r="DI169" s="161">
        <f t="shared" si="216"/>
        <v>0</v>
      </c>
      <c r="DJ169" s="161">
        <f t="shared" si="217"/>
        <v>0</v>
      </c>
      <c r="DK169" s="161">
        <f t="shared" si="218"/>
        <v>0</v>
      </c>
      <c r="DL169" s="161">
        <f t="shared" si="219"/>
        <v>0</v>
      </c>
      <c r="DM169" s="161">
        <f t="shared" si="220"/>
        <v>0</v>
      </c>
      <c r="DN169" s="161">
        <f t="shared" si="221"/>
        <v>0</v>
      </c>
      <c r="DO169" s="161">
        <f t="shared" si="222"/>
        <v>0</v>
      </c>
      <c r="DP169" s="161">
        <f t="shared" si="223"/>
        <v>0</v>
      </c>
      <c r="DQ169" s="161">
        <f t="shared" si="224"/>
        <v>0</v>
      </c>
      <c r="DR169" s="161">
        <f t="shared" si="225"/>
        <v>0</v>
      </c>
      <c r="DS169" s="161">
        <f t="shared" si="226"/>
        <v>0</v>
      </c>
      <c r="DT169" s="161">
        <f t="shared" si="227"/>
        <v>0</v>
      </c>
      <c r="DU169" s="161">
        <f t="shared" si="228"/>
        <v>0</v>
      </c>
      <c r="DV169" s="161">
        <f t="shared" si="229"/>
        <v>0</v>
      </c>
      <c r="DW169" s="161">
        <f t="shared" si="230"/>
        <v>0</v>
      </c>
      <c r="DX169" s="161">
        <f t="shared" si="231"/>
        <v>0</v>
      </c>
      <c r="DY169" s="161">
        <f t="shared" si="232"/>
        <v>0</v>
      </c>
      <c r="DZ169" s="161">
        <f t="shared" si="233"/>
        <v>0</v>
      </c>
      <c r="EA169" s="161">
        <f t="shared" si="234"/>
        <v>0</v>
      </c>
      <c r="EB169" s="161">
        <f t="shared" si="235"/>
        <v>0</v>
      </c>
      <c r="EC169" s="161">
        <f t="shared" si="236"/>
        <v>0</v>
      </c>
      <c r="ED169" s="161">
        <f t="shared" si="237"/>
        <v>0</v>
      </c>
      <c r="EE169" s="161">
        <f t="shared" si="238"/>
        <v>0</v>
      </c>
      <c r="EF169" s="161">
        <f t="shared" si="239"/>
        <v>0</v>
      </c>
      <c r="EG169" s="161">
        <f t="shared" si="240"/>
        <v>0</v>
      </c>
      <c r="EH169" s="161">
        <f t="shared" si="241"/>
        <v>0</v>
      </c>
      <c r="EI169" s="161">
        <f t="shared" si="242"/>
        <v>0</v>
      </c>
      <c r="EJ169" s="161">
        <f t="shared" si="243"/>
        <v>0</v>
      </c>
      <c r="EK169" s="147">
        <f t="shared" si="175"/>
        <v>0</v>
      </c>
      <c r="EL169" s="149"/>
      <c r="EN169" s="146"/>
      <c r="EO169" s="146"/>
      <c r="EP169" s="139">
        <f t="shared" si="176"/>
        <v>0</v>
      </c>
      <c r="EQ169" s="139">
        <f t="shared" si="177"/>
        <v>0</v>
      </c>
      <c r="ER169" s="139">
        <f t="shared" si="178"/>
        <v>0</v>
      </c>
      <c r="ES169" s="139">
        <f t="shared" si="179"/>
        <v>0</v>
      </c>
      <c r="ET169" s="139">
        <f t="shared" si="180"/>
        <v>0</v>
      </c>
      <c r="EU169" s="139">
        <f t="shared" si="181"/>
        <v>0</v>
      </c>
      <c r="EV169" s="139">
        <f t="shared" si="182"/>
        <v>0</v>
      </c>
      <c r="EW169" s="139">
        <f t="shared" si="183"/>
        <v>0</v>
      </c>
      <c r="EX169" s="139">
        <f t="shared" si="184"/>
        <v>0</v>
      </c>
      <c r="EY169" s="139">
        <f t="shared" si="185"/>
        <v>0</v>
      </c>
      <c r="EZ169" s="139">
        <f t="shared" si="186"/>
        <v>0</v>
      </c>
      <c r="FA169" s="139">
        <f t="shared" si="187"/>
        <v>0</v>
      </c>
      <c r="FB169" s="139">
        <f t="shared" si="188"/>
        <v>0</v>
      </c>
      <c r="FC169" s="139">
        <f t="shared" si="189"/>
        <v>0</v>
      </c>
      <c r="FD169" s="139">
        <f t="shared" si="190"/>
        <v>0</v>
      </c>
      <c r="FE169" s="139">
        <f t="shared" si="191"/>
        <v>0</v>
      </c>
      <c r="FF169" s="139">
        <f t="shared" si="192"/>
        <v>0</v>
      </c>
      <c r="FG169" s="139">
        <f t="shared" si="193"/>
        <v>0</v>
      </c>
      <c r="FH169" s="139">
        <f t="shared" si="194"/>
        <v>0</v>
      </c>
      <c r="FI169" s="139">
        <f t="shared" si="195"/>
        <v>0</v>
      </c>
      <c r="FJ169" s="139">
        <f t="shared" si="196"/>
        <v>0</v>
      </c>
      <c r="FK169" s="139">
        <f t="shared" si="197"/>
        <v>0</v>
      </c>
      <c r="FL169" s="139">
        <f t="shared" si="198"/>
        <v>0</v>
      </c>
      <c r="FM169" s="139">
        <f t="shared" si="199"/>
        <v>0</v>
      </c>
      <c r="FN169" s="139">
        <f t="shared" si="200"/>
        <v>0</v>
      </c>
      <c r="FO169" s="139">
        <f t="shared" si="201"/>
        <v>0</v>
      </c>
      <c r="FP169" s="139">
        <f t="shared" si="202"/>
        <v>0</v>
      </c>
      <c r="FQ169" s="139">
        <f t="shared" si="203"/>
        <v>0</v>
      </c>
      <c r="FR169" s="139">
        <f t="shared" si="204"/>
        <v>0</v>
      </c>
      <c r="FS169" s="139">
        <f t="shared" si="205"/>
        <v>0</v>
      </c>
      <c r="FT169" s="139">
        <f t="shared" si="206"/>
        <v>0</v>
      </c>
      <c r="FU169" s="148">
        <f t="shared" si="207"/>
        <v>0</v>
      </c>
      <c r="FV169" s="149"/>
      <c r="FY169" s="211">
        <v>164</v>
      </c>
      <c r="FZ169">
        <v>0.90110987511573359</v>
      </c>
      <c r="GA169">
        <v>1.2140678904033413</v>
      </c>
      <c r="GB169">
        <v>2.2746651226821171</v>
      </c>
      <c r="GC169">
        <v>1.7807579471089854</v>
      </c>
      <c r="GD169">
        <v>0.53094484511320184</v>
      </c>
      <c r="GE169">
        <v>0.1406236436361</v>
      </c>
      <c r="GF169">
        <v>0.9090953625792253</v>
      </c>
      <c r="GG169">
        <v>0.71770870692793864</v>
      </c>
      <c r="GH169">
        <v>0</v>
      </c>
      <c r="GI169">
        <v>1.1534733812525628</v>
      </c>
      <c r="GJ169"/>
      <c r="GK169">
        <v>0.89778749999999996</v>
      </c>
      <c r="GL169">
        <v>1.0220882812500001</v>
      </c>
      <c r="GM169">
        <v>3.7346949573863633</v>
      </c>
      <c r="GN169">
        <v>5.2237981939935061</v>
      </c>
      <c r="GO169">
        <v>2.0189665178571428</v>
      </c>
      <c r="GP169">
        <v>0.26418750000000002</v>
      </c>
      <c r="GQ169">
        <v>1.0963777173913045</v>
      </c>
      <c r="GR169">
        <v>0.99869021739130437</v>
      </c>
      <c r="GS169">
        <v>0</v>
      </c>
      <c r="GT169">
        <v>1.5495653385269621</v>
      </c>
      <c r="GU169"/>
      <c r="GV169"/>
      <c r="GW169"/>
      <c r="GX169"/>
      <c r="GY169"/>
      <c r="GZ169"/>
      <c r="HA169"/>
      <c r="HB169"/>
      <c r="HC169"/>
    </row>
    <row r="170" spans="1:211" s="7" customFormat="1">
      <c r="A170" s="1"/>
      <c r="B170" s="76">
        <f t="shared" ca="1" si="172"/>
        <v>0.61494411523922299</v>
      </c>
      <c r="C170">
        <v>4</v>
      </c>
      <c r="D170">
        <v>39949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 s="2"/>
      <c r="AK170" s="80"/>
      <c r="AL170" s="74">
        <v>3.0028000000000028</v>
      </c>
      <c r="AM170" s="43">
        <v>154</v>
      </c>
      <c r="AN170">
        <v>27.575699531949528</v>
      </c>
      <c r="AO170">
        <v>0.5491824489468865</v>
      </c>
      <c r="AP170">
        <v>4.1158725407502486</v>
      </c>
      <c r="AQ170">
        <v>3.7854010654579255</v>
      </c>
      <c r="AR170">
        <v>0.50508746451465192</v>
      </c>
      <c r="AS170">
        <v>2.2077222649888353</v>
      </c>
      <c r="AT170" t="e">
        <v>#DIV/0!</v>
      </c>
      <c r="AU170" t="e">
        <v>#DIV/0!</v>
      </c>
      <c r="AV170"/>
      <c r="AW170"/>
      <c r="AX170" s="146"/>
      <c r="AY170" s="76">
        <f t="shared" ca="1" si="173"/>
        <v>0.19267673611722236</v>
      </c>
      <c r="AZ170">
        <v>3</v>
      </c>
      <c r="BA170" s="129">
        <f t="shared" si="247"/>
        <v>39949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 s="147"/>
      <c r="CH170" s="176"/>
      <c r="CJ170" s="146"/>
      <c r="CK170" s="76">
        <f t="shared" ca="1" si="208"/>
        <v>0.96375813999129978</v>
      </c>
      <c r="CL170" s="179">
        <f t="shared" si="209"/>
        <v>3</v>
      </c>
      <c r="CM170" s="180">
        <f t="shared" si="210"/>
        <v>39949</v>
      </c>
      <c r="CN170">
        <v>0</v>
      </c>
      <c r="CO170">
        <v>1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 s="160"/>
      <c r="CW170">
        <v>1</v>
      </c>
      <c r="CX170">
        <f>350/45</f>
        <v>7.7777777777777777</v>
      </c>
      <c r="CY170" s="160"/>
      <c r="CZ170" s="177">
        <f t="shared" si="211"/>
        <v>9.6000000000000002E-2</v>
      </c>
      <c r="DB170" s="146"/>
      <c r="DC170" s="76">
        <f t="shared" ca="1" si="174"/>
        <v>0.79075388822769077</v>
      </c>
      <c r="DD170">
        <f t="shared" si="212"/>
        <v>3</v>
      </c>
      <c r="DE170" s="129">
        <f t="shared" si="246"/>
        <v>39949</v>
      </c>
      <c r="DF170" s="161">
        <f t="shared" si="213"/>
        <v>0</v>
      </c>
      <c r="DG170" s="161">
        <f t="shared" si="214"/>
        <v>81.018518518518519</v>
      </c>
      <c r="DH170" s="161">
        <f t="shared" si="215"/>
        <v>0</v>
      </c>
      <c r="DI170" s="161">
        <f t="shared" si="216"/>
        <v>0</v>
      </c>
      <c r="DJ170" s="161">
        <f t="shared" si="217"/>
        <v>0</v>
      </c>
      <c r="DK170" s="161">
        <f t="shared" si="218"/>
        <v>0</v>
      </c>
      <c r="DL170" s="161">
        <f t="shared" si="219"/>
        <v>0</v>
      </c>
      <c r="DM170" s="161">
        <f t="shared" si="220"/>
        <v>0</v>
      </c>
      <c r="DN170" s="161">
        <f t="shared" si="221"/>
        <v>0</v>
      </c>
      <c r="DO170" s="161">
        <f t="shared" si="222"/>
        <v>0</v>
      </c>
      <c r="DP170" s="161">
        <f t="shared" si="223"/>
        <v>0</v>
      </c>
      <c r="DQ170" s="161">
        <f t="shared" si="224"/>
        <v>0</v>
      </c>
      <c r="DR170" s="161">
        <f t="shared" si="225"/>
        <v>0</v>
      </c>
      <c r="DS170" s="161">
        <f t="shared" si="226"/>
        <v>0</v>
      </c>
      <c r="DT170" s="161">
        <f t="shared" si="227"/>
        <v>0</v>
      </c>
      <c r="DU170" s="161">
        <f t="shared" si="228"/>
        <v>0</v>
      </c>
      <c r="DV170" s="161">
        <f t="shared" si="229"/>
        <v>0</v>
      </c>
      <c r="DW170" s="161">
        <f t="shared" si="230"/>
        <v>0</v>
      </c>
      <c r="DX170" s="161">
        <f t="shared" si="231"/>
        <v>0</v>
      </c>
      <c r="DY170" s="161">
        <f t="shared" si="232"/>
        <v>0</v>
      </c>
      <c r="DZ170" s="161">
        <f t="shared" si="233"/>
        <v>0</v>
      </c>
      <c r="EA170" s="161">
        <f t="shared" si="234"/>
        <v>0</v>
      </c>
      <c r="EB170" s="161">
        <f t="shared" si="235"/>
        <v>0</v>
      </c>
      <c r="EC170" s="161">
        <f t="shared" si="236"/>
        <v>0</v>
      </c>
      <c r="ED170" s="161">
        <f t="shared" si="237"/>
        <v>0</v>
      </c>
      <c r="EE170" s="161">
        <f t="shared" si="238"/>
        <v>0</v>
      </c>
      <c r="EF170" s="161">
        <f t="shared" si="239"/>
        <v>0</v>
      </c>
      <c r="EG170" s="161">
        <f t="shared" si="240"/>
        <v>0</v>
      </c>
      <c r="EH170" s="161">
        <f t="shared" si="241"/>
        <v>0</v>
      </c>
      <c r="EI170" s="161">
        <f t="shared" si="242"/>
        <v>0</v>
      </c>
      <c r="EJ170" s="161">
        <f t="shared" si="243"/>
        <v>0</v>
      </c>
      <c r="EK170" s="147">
        <f t="shared" si="175"/>
        <v>81.018518518518519</v>
      </c>
      <c r="EL170" s="149"/>
      <c r="EN170" s="146"/>
      <c r="EO170" s="146"/>
      <c r="EP170" s="139">
        <f t="shared" si="176"/>
        <v>0</v>
      </c>
      <c r="EQ170" s="139">
        <f t="shared" si="177"/>
        <v>1.4072916666666666</v>
      </c>
      <c r="ER170" s="139">
        <f t="shared" si="178"/>
        <v>0</v>
      </c>
      <c r="ES170" s="139">
        <f t="shared" si="179"/>
        <v>0</v>
      </c>
      <c r="ET170" s="139">
        <f t="shared" si="180"/>
        <v>0</v>
      </c>
      <c r="EU170" s="139">
        <f t="shared" si="181"/>
        <v>0</v>
      </c>
      <c r="EV170" s="139">
        <f t="shared" si="182"/>
        <v>0</v>
      </c>
      <c r="EW170" s="139">
        <f t="shared" si="183"/>
        <v>0</v>
      </c>
      <c r="EX170" s="139">
        <f t="shared" si="184"/>
        <v>0</v>
      </c>
      <c r="EY170" s="139">
        <f t="shared" si="185"/>
        <v>0</v>
      </c>
      <c r="EZ170" s="139">
        <f t="shared" si="186"/>
        <v>0</v>
      </c>
      <c r="FA170" s="139">
        <f t="shared" si="187"/>
        <v>0</v>
      </c>
      <c r="FB170" s="139">
        <f t="shared" si="188"/>
        <v>0</v>
      </c>
      <c r="FC170" s="139">
        <f t="shared" si="189"/>
        <v>0</v>
      </c>
      <c r="FD170" s="139">
        <f t="shared" si="190"/>
        <v>0</v>
      </c>
      <c r="FE170" s="139">
        <f t="shared" si="191"/>
        <v>0</v>
      </c>
      <c r="FF170" s="139">
        <f t="shared" si="192"/>
        <v>0</v>
      </c>
      <c r="FG170" s="139">
        <f t="shared" si="193"/>
        <v>0</v>
      </c>
      <c r="FH170" s="139">
        <f t="shared" si="194"/>
        <v>0</v>
      </c>
      <c r="FI170" s="139">
        <f t="shared" si="195"/>
        <v>0</v>
      </c>
      <c r="FJ170" s="139">
        <f t="shared" si="196"/>
        <v>0</v>
      </c>
      <c r="FK170" s="139">
        <f t="shared" si="197"/>
        <v>0</v>
      </c>
      <c r="FL170" s="139">
        <f t="shared" si="198"/>
        <v>0</v>
      </c>
      <c r="FM170" s="139">
        <f t="shared" si="199"/>
        <v>0</v>
      </c>
      <c r="FN170" s="139">
        <f t="shared" si="200"/>
        <v>0</v>
      </c>
      <c r="FO170" s="139">
        <f t="shared" si="201"/>
        <v>0</v>
      </c>
      <c r="FP170" s="139">
        <f t="shared" si="202"/>
        <v>0</v>
      </c>
      <c r="FQ170" s="139">
        <f t="shared" si="203"/>
        <v>0</v>
      </c>
      <c r="FR170" s="139">
        <f t="shared" si="204"/>
        <v>0</v>
      </c>
      <c r="FS170" s="139">
        <f t="shared" si="205"/>
        <v>0</v>
      </c>
      <c r="FT170" s="139">
        <f t="shared" si="206"/>
        <v>0</v>
      </c>
      <c r="FU170" s="148">
        <f t="shared" si="207"/>
        <v>1.4072916666666666</v>
      </c>
      <c r="FV170" s="149"/>
      <c r="FY170" s="211">
        <v>165</v>
      </c>
      <c r="FZ170">
        <v>1.0748812474577085</v>
      </c>
      <c r="GA170">
        <v>1.6694034011688448</v>
      </c>
      <c r="GB170">
        <v>1.9994656045343691</v>
      </c>
      <c r="GC170">
        <v>1.4172135308931302</v>
      </c>
      <c r="GD170">
        <v>0.40477839415366168</v>
      </c>
      <c r="GE170">
        <v>0.14249529550395001</v>
      </c>
      <c r="GF170">
        <v>8.1038194822856249E-2</v>
      </c>
      <c r="GG170">
        <v>0.15174572531442188</v>
      </c>
      <c r="GH170">
        <v>0.19956886013071873</v>
      </c>
      <c r="GI170">
        <v>0.92329047964714805</v>
      </c>
      <c r="GJ170"/>
      <c r="GK170">
        <v>1.0712830882352942</v>
      </c>
      <c r="GL170">
        <v>1.406111213235294</v>
      </c>
      <c r="GM170">
        <v>3.2831910511363631</v>
      </c>
      <c r="GN170">
        <v>4.1584356939935061</v>
      </c>
      <c r="GO170">
        <v>1.5396040178571426</v>
      </c>
      <c r="GP170">
        <v>0.26784374999999999</v>
      </c>
      <c r="GQ170">
        <v>9.768750000000001E-2</v>
      </c>
      <c r="GR170">
        <v>0.21109375</v>
      </c>
      <c r="GS170">
        <v>0.21109375</v>
      </c>
      <c r="GT170">
        <v>1.24057188144576</v>
      </c>
      <c r="GU170"/>
      <c r="GV170"/>
      <c r="GW170"/>
      <c r="GX170"/>
      <c r="GY170"/>
      <c r="GZ170"/>
      <c r="HA170"/>
      <c r="HB170"/>
      <c r="HC170"/>
    </row>
    <row r="171" spans="1:211" s="7" customFormat="1">
      <c r="A171" s="1"/>
      <c r="B171" s="76">
        <f t="shared" ca="1" si="172"/>
        <v>0.20277786700524913</v>
      </c>
      <c r="C171">
        <v>1</v>
      </c>
      <c r="D171">
        <v>39949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 s="2"/>
      <c r="AK171" s="80"/>
      <c r="AL171" s="74">
        <v>3.0028000000000028</v>
      </c>
      <c r="AM171" s="43">
        <v>155</v>
      </c>
      <c r="AN171">
        <v>28.116578243616281</v>
      </c>
      <c r="AO171">
        <v>0.68286621409161485</v>
      </c>
      <c r="AP171">
        <v>0.90621950843191224</v>
      </c>
      <c r="AQ171">
        <v>4.3295687266363005</v>
      </c>
      <c r="AR171">
        <v>0.63527610371964993</v>
      </c>
      <c r="AS171">
        <v>2.4810814376712385</v>
      </c>
      <c r="AT171" t="e">
        <v>#DIV/0!</v>
      </c>
      <c r="AU171" t="e">
        <v>#DIV/0!</v>
      </c>
      <c r="AV171"/>
      <c r="AW171"/>
      <c r="AX171" s="146"/>
      <c r="AY171" s="76">
        <f t="shared" ca="1" si="173"/>
        <v>0.33004563936818765</v>
      </c>
      <c r="AZ171">
        <v>4</v>
      </c>
      <c r="BA171" s="129">
        <f t="shared" si="247"/>
        <v>39949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 s="147"/>
      <c r="CH171" s="176"/>
      <c r="CJ171" s="146"/>
      <c r="CK171" s="76">
        <f t="shared" ca="1" si="208"/>
        <v>0.91113512760897075</v>
      </c>
      <c r="CL171" s="179">
        <f t="shared" si="209"/>
        <v>4</v>
      </c>
      <c r="CM171" s="180">
        <f t="shared" si="210"/>
        <v>39949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 s="160"/>
      <c r="CW171">
        <v>1</v>
      </c>
      <c r="CX171">
        <f>320/73</f>
        <v>4.3835616438356162</v>
      </c>
      <c r="CY171" s="160"/>
      <c r="CZ171" s="177">
        <f t="shared" si="211"/>
        <v>9.6000000000000002E-2</v>
      </c>
      <c r="DB171" s="146"/>
      <c r="DC171" s="76">
        <f t="shared" ca="1" si="174"/>
        <v>0.79033618116916582</v>
      </c>
      <c r="DD171">
        <f t="shared" si="212"/>
        <v>4</v>
      </c>
      <c r="DE171" s="129">
        <f t="shared" si="246"/>
        <v>39949</v>
      </c>
      <c r="DF171" s="161">
        <f t="shared" si="213"/>
        <v>0</v>
      </c>
      <c r="DG171" s="161">
        <f t="shared" si="214"/>
        <v>0</v>
      </c>
      <c r="DH171" s="161">
        <f t="shared" si="215"/>
        <v>0</v>
      </c>
      <c r="DI171" s="161">
        <f t="shared" si="216"/>
        <v>0</v>
      </c>
      <c r="DJ171" s="161">
        <f t="shared" si="217"/>
        <v>0</v>
      </c>
      <c r="DK171" s="161">
        <f t="shared" si="218"/>
        <v>0</v>
      </c>
      <c r="DL171" s="161">
        <f t="shared" si="219"/>
        <v>0</v>
      </c>
      <c r="DM171" s="161">
        <f t="shared" si="220"/>
        <v>0</v>
      </c>
      <c r="DN171" s="161">
        <f t="shared" si="221"/>
        <v>0</v>
      </c>
      <c r="DO171" s="161">
        <f t="shared" si="222"/>
        <v>0</v>
      </c>
      <c r="DP171" s="161">
        <f t="shared" si="223"/>
        <v>0</v>
      </c>
      <c r="DQ171" s="161">
        <f t="shared" si="224"/>
        <v>0</v>
      </c>
      <c r="DR171" s="161">
        <f t="shared" si="225"/>
        <v>0</v>
      </c>
      <c r="DS171" s="161">
        <f t="shared" si="226"/>
        <v>0</v>
      </c>
      <c r="DT171" s="161">
        <f t="shared" si="227"/>
        <v>0</v>
      </c>
      <c r="DU171" s="161">
        <f t="shared" si="228"/>
        <v>0</v>
      </c>
      <c r="DV171" s="161">
        <f t="shared" si="229"/>
        <v>0</v>
      </c>
      <c r="DW171" s="161">
        <f t="shared" si="230"/>
        <v>0</v>
      </c>
      <c r="DX171" s="161">
        <f t="shared" si="231"/>
        <v>0</v>
      </c>
      <c r="DY171" s="161">
        <f t="shared" si="232"/>
        <v>0</v>
      </c>
      <c r="DZ171" s="161">
        <f t="shared" si="233"/>
        <v>0</v>
      </c>
      <c r="EA171" s="161">
        <f t="shared" si="234"/>
        <v>0</v>
      </c>
      <c r="EB171" s="161">
        <f t="shared" si="235"/>
        <v>0</v>
      </c>
      <c r="EC171" s="161">
        <f t="shared" si="236"/>
        <v>0</v>
      </c>
      <c r="ED171" s="161">
        <f t="shared" si="237"/>
        <v>0</v>
      </c>
      <c r="EE171" s="161">
        <f t="shared" si="238"/>
        <v>0</v>
      </c>
      <c r="EF171" s="161">
        <f t="shared" si="239"/>
        <v>0</v>
      </c>
      <c r="EG171" s="161">
        <f t="shared" si="240"/>
        <v>0</v>
      </c>
      <c r="EH171" s="161">
        <f t="shared" si="241"/>
        <v>0</v>
      </c>
      <c r="EI171" s="161">
        <f t="shared" si="242"/>
        <v>0</v>
      </c>
      <c r="EJ171" s="161">
        <f t="shared" si="243"/>
        <v>0</v>
      </c>
      <c r="EK171" s="147">
        <f t="shared" si="175"/>
        <v>0</v>
      </c>
      <c r="EL171" s="149"/>
      <c r="EN171" s="146"/>
      <c r="EO171" s="146"/>
      <c r="EP171" s="139">
        <f t="shared" si="176"/>
        <v>0</v>
      </c>
      <c r="EQ171" s="139">
        <f t="shared" si="177"/>
        <v>0</v>
      </c>
      <c r="ER171" s="139">
        <f t="shared" si="178"/>
        <v>0</v>
      </c>
      <c r="ES171" s="139">
        <f t="shared" si="179"/>
        <v>0</v>
      </c>
      <c r="ET171" s="139">
        <f t="shared" si="180"/>
        <v>0</v>
      </c>
      <c r="EU171" s="139">
        <f t="shared" si="181"/>
        <v>0</v>
      </c>
      <c r="EV171" s="139">
        <f t="shared" si="182"/>
        <v>0</v>
      </c>
      <c r="EW171" s="139">
        <f t="shared" si="183"/>
        <v>0</v>
      </c>
      <c r="EX171" s="139">
        <f t="shared" si="184"/>
        <v>0</v>
      </c>
      <c r="EY171" s="139">
        <f t="shared" si="185"/>
        <v>0</v>
      </c>
      <c r="EZ171" s="139">
        <f t="shared" si="186"/>
        <v>0</v>
      </c>
      <c r="FA171" s="139">
        <f t="shared" si="187"/>
        <v>0</v>
      </c>
      <c r="FB171" s="139">
        <f t="shared" si="188"/>
        <v>0</v>
      </c>
      <c r="FC171" s="139">
        <f t="shared" si="189"/>
        <v>0</v>
      </c>
      <c r="FD171" s="139">
        <f t="shared" si="190"/>
        <v>0</v>
      </c>
      <c r="FE171" s="139">
        <f t="shared" si="191"/>
        <v>0</v>
      </c>
      <c r="FF171" s="139">
        <f t="shared" si="192"/>
        <v>0</v>
      </c>
      <c r="FG171" s="139">
        <f t="shared" si="193"/>
        <v>0</v>
      </c>
      <c r="FH171" s="139">
        <f t="shared" si="194"/>
        <v>0</v>
      </c>
      <c r="FI171" s="139">
        <f t="shared" si="195"/>
        <v>0</v>
      </c>
      <c r="FJ171" s="139">
        <f t="shared" si="196"/>
        <v>0</v>
      </c>
      <c r="FK171" s="139">
        <f t="shared" si="197"/>
        <v>0</v>
      </c>
      <c r="FL171" s="139">
        <f t="shared" si="198"/>
        <v>0</v>
      </c>
      <c r="FM171" s="139">
        <f t="shared" si="199"/>
        <v>0</v>
      </c>
      <c r="FN171" s="139">
        <f t="shared" si="200"/>
        <v>0</v>
      </c>
      <c r="FO171" s="139">
        <f t="shared" si="201"/>
        <v>0</v>
      </c>
      <c r="FP171" s="139">
        <f t="shared" si="202"/>
        <v>0</v>
      </c>
      <c r="FQ171" s="139">
        <f t="shared" si="203"/>
        <v>0</v>
      </c>
      <c r="FR171" s="139">
        <f t="shared" si="204"/>
        <v>0</v>
      </c>
      <c r="FS171" s="139">
        <f t="shared" si="205"/>
        <v>0</v>
      </c>
      <c r="FT171" s="139">
        <f t="shared" si="206"/>
        <v>0</v>
      </c>
      <c r="FU171" s="148">
        <f t="shared" si="207"/>
        <v>0</v>
      </c>
      <c r="FV171" s="149"/>
      <c r="FY171" s="211">
        <v>166</v>
      </c>
      <c r="FZ171">
        <v>0.57586695675276089</v>
      </c>
      <c r="GA171">
        <v>0.79854855417178361</v>
      </c>
      <c r="GB171">
        <v>0.94766827677069354</v>
      </c>
      <c r="GC171">
        <v>0.42468790296281511</v>
      </c>
      <c r="GD171">
        <v>6.0357093513611779E-2</v>
      </c>
      <c r="GE171">
        <v>6.9375995884124991E-2</v>
      </c>
      <c r="GF171">
        <v>1.0284381956596096</v>
      </c>
      <c r="GG171">
        <v>0.95749692245153217</v>
      </c>
      <c r="GH171">
        <v>0.15603164258923619</v>
      </c>
      <c r="GI171">
        <v>0.56048639755952046</v>
      </c>
      <c r="GJ171"/>
      <c r="GK171">
        <v>0.57398437499999999</v>
      </c>
      <c r="GL171">
        <v>0.67244531250000006</v>
      </c>
      <c r="GM171">
        <v>1.5557017045454544</v>
      </c>
      <c r="GN171">
        <v>1.2467666599025973</v>
      </c>
      <c r="GO171">
        <v>0.22954151785714286</v>
      </c>
      <c r="GP171">
        <v>0.130265625</v>
      </c>
      <c r="GQ171">
        <v>1.2406589673913042</v>
      </c>
      <c r="GR171">
        <v>1.3325443840579707</v>
      </c>
      <c r="GS171">
        <v>0.16502303685897435</v>
      </c>
      <c r="GT171">
        <v>0.75298192033057521</v>
      </c>
      <c r="GU171"/>
      <c r="GV171"/>
      <c r="GW171"/>
      <c r="GX171"/>
      <c r="GY171"/>
      <c r="GZ171"/>
      <c r="HA171"/>
      <c r="HB171"/>
      <c r="HC171"/>
    </row>
    <row r="172" spans="1:211" s="7" customFormat="1">
      <c r="A172" s="1"/>
      <c r="B172" s="76">
        <f t="shared" ca="1" si="172"/>
        <v>0.45310611665335898</v>
      </c>
      <c r="C172">
        <v>2</v>
      </c>
      <c r="D172">
        <v>39949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 s="2"/>
      <c r="AK172" s="80"/>
      <c r="AL172" s="74"/>
      <c r="AM172" s="43">
        <v>156</v>
      </c>
      <c r="AN172">
        <v>43.554986260808668</v>
      </c>
      <c r="AO172">
        <v>1.0985987142914231</v>
      </c>
      <c r="AP172">
        <v>1.7433120396599375</v>
      </c>
      <c r="AQ172">
        <v>7.3428457176810857</v>
      </c>
      <c r="AR172">
        <v>1.0132147402649299</v>
      </c>
      <c r="AS172">
        <v>3.5588063318481864</v>
      </c>
      <c r="AT172" t="e">
        <v>#DIV/0!</v>
      </c>
      <c r="AU172" t="e">
        <v>#DIV/0!</v>
      </c>
      <c r="AV172"/>
      <c r="AW172"/>
      <c r="AX172" s="146"/>
      <c r="AY172" s="76">
        <f t="shared" ca="1" si="173"/>
        <v>8.0710102420100238E-2</v>
      </c>
      <c r="AZ172">
        <v>5</v>
      </c>
      <c r="BA172" s="129">
        <f t="shared" si="247"/>
        <v>39949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  <c r="CF172">
        <v>0</v>
      </c>
      <c r="CG172" s="147"/>
      <c r="CH172" s="176"/>
      <c r="CJ172" s="146"/>
      <c r="CK172" s="76">
        <f t="shared" ca="1" si="208"/>
        <v>0.85340039455118366</v>
      </c>
      <c r="CL172" s="179">
        <f t="shared" si="209"/>
        <v>5</v>
      </c>
      <c r="CM172" s="180">
        <f t="shared" si="210"/>
        <v>39949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0</v>
      </c>
      <c r="CV172" s="160"/>
      <c r="CW172">
        <v>1</v>
      </c>
      <c r="CX172">
        <v>1</v>
      </c>
      <c r="CY172" s="160"/>
      <c r="CZ172" s="177">
        <f t="shared" si="211"/>
        <v>9.6000000000000002E-2</v>
      </c>
      <c r="DB172" s="146"/>
      <c r="DC172" s="76">
        <f t="shared" ca="1" si="174"/>
        <v>0.94644346832071169</v>
      </c>
      <c r="DD172">
        <f t="shared" si="212"/>
        <v>5</v>
      </c>
      <c r="DE172" s="129">
        <f t="shared" si="246"/>
        <v>39949</v>
      </c>
      <c r="DF172" s="161">
        <f t="shared" si="213"/>
        <v>0</v>
      </c>
      <c r="DG172" s="161">
        <f t="shared" si="214"/>
        <v>0</v>
      </c>
      <c r="DH172" s="161">
        <f t="shared" si="215"/>
        <v>0</v>
      </c>
      <c r="DI172" s="161">
        <f t="shared" si="216"/>
        <v>0</v>
      </c>
      <c r="DJ172" s="161">
        <f t="shared" si="217"/>
        <v>0</v>
      </c>
      <c r="DK172" s="161">
        <f t="shared" si="218"/>
        <v>0</v>
      </c>
      <c r="DL172" s="161">
        <f t="shared" si="219"/>
        <v>0</v>
      </c>
      <c r="DM172" s="161">
        <f t="shared" si="220"/>
        <v>0</v>
      </c>
      <c r="DN172" s="161">
        <f t="shared" si="221"/>
        <v>0</v>
      </c>
      <c r="DO172" s="161">
        <f t="shared" si="222"/>
        <v>0</v>
      </c>
      <c r="DP172" s="161">
        <f t="shared" si="223"/>
        <v>0</v>
      </c>
      <c r="DQ172" s="161">
        <f t="shared" si="224"/>
        <v>0</v>
      </c>
      <c r="DR172" s="161">
        <f t="shared" si="225"/>
        <v>0</v>
      </c>
      <c r="DS172" s="161">
        <f t="shared" si="226"/>
        <v>0</v>
      </c>
      <c r="DT172" s="161">
        <f t="shared" si="227"/>
        <v>0</v>
      </c>
      <c r="DU172" s="161">
        <f t="shared" si="228"/>
        <v>0</v>
      </c>
      <c r="DV172" s="161">
        <f t="shared" si="229"/>
        <v>0</v>
      </c>
      <c r="DW172" s="161">
        <f t="shared" si="230"/>
        <v>0</v>
      </c>
      <c r="DX172" s="161">
        <f t="shared" si="231"/>
        <v>0</v>
      </c>
      <c r="DY172" s="161">
        <f t="shared" si="232"/>
        <v>0</v>
      </c>
      <c r="DZ172" s="161">
        <f t="shared" si="233"/>
        <v>0</v>
      </c>
      <c r="EA172" s="161">
        <f t="shared" si="234"/>
        <v>0</v>
      </c>
      <c r="EB172" s="161">
        <f t="shared" si="235"/>
        <v>0</v>
      </c>
      <c r="EC172" s="161">
        <f t="shared" si="236"/>
        <v>0</v>
      </c>
      <c r="ED172" s="161">
        <f t="shared" si="237"/>
        <v>0</v>
      </c>
      <c r="EE172" s="161">
        <f t="shared" si="238"/>
        <v>0</v>
      </c>
      <c r="EF172" s="161">
        <f t="shared" si="239"/>
        <v>0</v>
      </c>
      <c r="EG172" s="161">
        <f t="shared" si="240"/>
        <v>0</v>
      </c>
      <c r="EH172" s="161">
        <f t="shared" si="241"/>
        <v>0</v>
      </c>
      <c r="EI172" s="161">
        <f t="shared" si="242"/>
        <v>0</v>
      </c>
      <c r="EJ172" s="161">
        <f t="shared" si="243"/>
        <v>0</v>
      </c>
      <c r="EK172" s="147">
        <f t="shared" si="175"/>
        <v>0</v>
      </c>
      <c r="EL172" s="149"/>
      <c r="EN172" s="146"/>
      <c r="EO172" s="146"/>
      <c r="EP172" s="139">
        <f t="shared" si="176"/>
        <v>0</v>
      </c>
      <c r="EQ172" s="139">
        <f t="shared" si="177"/>
        <v>0</v>
      </c>
      <c r="ER172" s="139">
        <f t="shared" si="178"/>
        <v>0</v>
      </c>
      <c r="ES172" s="139">
        <f t="shared" si="179"/>
        <v>0</v>
      </c>
      <c r="ET172" s="139">
        <f t="shared" si="180"/>
        <v>0</v>
      </c>
      <c r="EU172" s="139">
        <f t="shared" si="181"/>
        <v>0</v>
      </c>
      <c r="EV172" s="139">
        <f t="shared" si="182"/>
        <v>0</v>
      </c>
      <c r="EW172" s="139">
        <f t="shared" si="183"/>
        <v>0</v>
      </c>
      <c r="EX172" s="139">
        <f t="shared" si="184"/>
        <v>0</v>
      </c>
      <c r="EY172" s="139">
        <f t="shared" si="185"/>
        <v>0</v>
      </c>
      <c r="EZ172" s="139">
        <f t="shared" si="186"/>
        <v>0</v>
      </c>
      <c r="FA172" s="139">
        <f t="shared" si="187"/>
        <v>0</v>
      </c>
      <c r="FB172" s="139">
        <f t="shared" si="188"/>
        <v>0</v>
      </c>
      <c r="FC172" s="139">
        <f t="shared" si="189"/>
        <v>0</v>
      </c>
      <c r="FD172" s="139">
        <f t="shared" si="190"/>
        <v>0</v>
      </c>
      <c r="FE172" s="139">
        <f t="shared" si="191"/>
        <v>0</v>
      </c>
      <c r="FF172" s="139">
        <f t="shared" si="192"/>
        <v>0</v>
      </c>
      <c r="FG172" s="139">
        <f t="shared" si="193"/>
        <v>0</v>
      </c>
      <c r="FH172" s="139">
        <f t="shared" si="194"/>
        <v>0</v>
      </c>
      <c r="FI172" s="139">
        <f t="shared" si="195"/>
        <v>0</v>
      </c>
      <c r="FJ172" s="139">
        <f t="shared" si="196"/>
        <v>0</v>
      </c>
      <c r="FK172" s="139">
        <f t="shared" si="197"/>
        <v>0</v>
      </c>
      <c r="FL172" s="139">
        <f t="shared" si="198"/>
        <v>0</v>
      </c>
      <c r="FM172" s="139">
        <f t="shared" si="199"/>
        <v>0</v>
      </c>
      <c r="FN172" s="139">
        <f t="shared" si="200"/>
        <v>0</v>
      </c>
      <c r="FO172" s="139">
        <f t="shared" si="201"/>
        <v>0</v>
      </c>
      <c r="FP172" s="139">
        <f t="shared" si="202"/>
        <v>0</v>
      </c>
      <c r="FQ172" s="139">
        <f t="shared" si="203"/>
        <v>0</v>
      </c>
      <c r="FR172" s="139">
        <f t="shared" si="204"/>
        <v>0</v>
      </c>
      <c r="FS172" s="139">
        <f t="shared" si="205"/>
        <v>0</v>
      </c>
      <c r="FT172" s="139">
        <f t="shared" si="206"/>
        <v>0</v>
      </c>
      <c r="FU172" s="148">
        <f t="shared" si="207"/>
        <v>0</v>
      </c>
      <c r="FV172" s="149"/>
      <c r="FY172" s="211">
        <v>167</v>
      </c>
      <c r="FZ172">
        <v>1.0064310031449506</v>
      </c>
      <c r="GA172">
        <v>1.1957127474124223</v>
      </c>
      <c r="GB172">
        <v>0.30261291830244491</v>
      </c>
      <c r="GC172">
        <v>0.37167291474552178</v>
      </c>
      <c r="GD172">
        <v>0.26105773902778923</v>
      </c>
      <c r="GE172">
        <v>0.13580575682962504</v>
      </c>
      <c r="GF172">
        <v>0.74923343208741267</v>
      </c>
      <c r="GG172">
        <v>0.62966621671876666</v>
      </c>
      <c r="GH172">
        <v>0.11249442504775362</v>
      </c>
      <c r="GI172">
        <v>0.52340425163330973</v>
      </c>
      <c r="GJ172"/>
      <c r="GK172">
        <v>1.0028062499999999</v>
      </c>
      <c r="GL172">
        <v>1.00670859375</v>
      </c>
      <c r="GM172">
        <v>0.49644140624999999</v>
      </c>
      <c r="GN172">
        <v>1.0892243303571427</v>
      </c>
      <c r="GO172">
        <v>0.99320089285714275</v>
      </c>
      <c r="GP172">
        <v>0.25514062500000001</v>
      </c>
      <c r="GQ172">
        <v>0.90325271739130431</v>
      </c>
      <c r="GR172">
        <v>0.87592980072463755</v>
      </c>
      <c r="GS172">
        <v>0.11895232371794871</v>
      </c>
      <c r="GT172">
        <v>0.70293071804327911</v>
      </c>
      <c r="GU172"/>
      <c r="GV172"/>
      <c r="GW172"/>
      <c r="GX172"/>
      <c r="GY172"/>
      <c r="GZ172"/>
      <c r="HA172"/>
      <c r="HB172"/>
      <c r="HC172"/>
    </row>
    <row r="173" spans="1:211" s="7" customFormat="1">
      <c r="A173" s="1"/>
      <c r="B173" s="76">
        <f t="shared" ca="1" si="172"/>
        <v>0.79695466458781472</v>
      </c>
      <c r="C173">
        <v>7</v>
      </c>
      <c r="D173">
        <v>39949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 s="2"/>
      <c r="AK173" s="80"/>
      <c r="AL173" s="74"/>
      <c r="AM173" s="43">
        <v>157</v>
      </c>
      <c r="AN173">
        <v>42.181875660660026</v>
      </c>
      <c r="AO173">
        <v>0.97426417739761018</v>
      </c>
      <c r="AP173">
        <v>1.5586246831633299</v>
      </c>
      <c r="AQ173">
        <v>6.8069409325004111</v>
      </c>
      <c r="AR173">
        <v>0.91405326223209304</v>
      </c>
      <c r="AS173">
        <v>3.3597736660965478</v>
      </c>
      <c r="AT173" t="e">
        <v>#DIV/0!</v>
      </c>
      <c r="AU173" t="e">
        <v>#DIV/0!</v>
      </c>
      <c r="AV173"/>
      <c r="AW173"/>
      <c r="AX173" s="146"/>
      <c r="AY173" s="76">
        <f t="shared" ca="1" si="173"/>
        <v>0.37731355881010131</v>
      </c>
      <c r="AZ173">
        <v>6</v>
      </c>
      <c r="BA173" s="129">
        <f t="shared" si="247"/>
        <v>39949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 s="147"/>
      <c r="CH173" s="176"/>
      <c r="CJ173" s="146"/>
      <c r="CK173" s="76">
        <f t="shared" ca="1" si="208"/>
        <v>0.30073761647375097</v>
      </c>
      <c r="CL173" s="179">
        <f t="shared" si="209"/>
        <v>6</v>
      </c>
      <c r="CM173" s="180">
        <f t="shared" si="210"/>
        <v>39949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 s="160"/>
      <c r="CW173">
        <v>1</v>
      </c>
      <c r="CX173">
        <v>1</v>
      </c>
      <c r="CY173" s="160"/>
      <c r="CZ173" s="177">
        <f t="shared" si="211"/>
        <v>9.6000000000000002E-2</v>
      </c>
      <c r="DB173" s="146"/>
      <c r="DC173" s="76">
        <f t="shared" ca="1" si="174"/>
        <v>0.42462265610090566</v>
      </c>
      <c r="DD173">
        <f t="shared" si="212"/>
        <v>6</v>
      </c>
      <c r="DE173" s="129">
        <f t="shared" si="246"/>
        <v>39949</v>
      </c>
      <c r="DF173" s="161">
        <f t="shared" si="213"/>
        <v>0</v>
      </c>
      <c r="DG173" s="161">
        <f t="shared" si="214"/>
        <v>0</v>
      </c>
      <c r="DH173" s="161">
        <f t="shared" si="215"/>
        <v>0</v>
      </c>
      <c r="DI173" s="161">
        <f t="shared" si="216"/>
        <v>0</v>
      </c>
      <c r="DJ173" s="161">
        <f t="shared" si="217"/>
        <v>0</v>
      </c>
      <c r="DK173" s="161">
        <f t="shared" si="218"/>
        <v>0</v>
      </c>
      <c r="DL173" s="161">
        <f t="shared" si="219"/>
        <v>0</v>
      </c>
      <c r="DM173" s="161">
        <f t="shared" si="220"/>
        <v>0</v>
      </c>
      <c r="DN173" s="161">
        <f t="shared" si="221"/>
        <v>0</v>
      </c>
      <c r="DO173" s="161">
        <f t="shared" si="222"/>
        <v>0</v>
      </c>
      <c r="DP173" s="161">
        <f t="shared" si="223"/>
        <v>0</v>
      </c>
      <c r="DQ173" s="161">
        <f t="shared" si="224"/>
        <v>0</v>
      </c>
      <c r="DR173" s="161">
        <f t="shared" si="225"/>
        <v>0</v>
      </c>
      <c r="DS173" s="161">
        <f t="shared" si="226"/>
        <v>0</v>
      </c>
      <c r="DT173" s="161">
        <f t="shared" si="227"/>
        <v>0</v>
      </c>
      <c r="DU173" s="161">
        <f t="shared" si="228"/>
        <v>0</v>
      </c>
      <c r="DV173" s="161">
        <f t="shared" si="229"/>
        <v>0</v>
      </c>
      <c r="DW173" s="161">
        <f t="shared" si="230"/>
        <v>0</v>
      </c>
      <c r="DX173" s="161">
        <f t="shared" si="231"/>
        <v>0</v>
      </c>
      <c r="DY173" s="161">
        <f t="shared" si="232"/>
        <v>0</v>
      </c>
      <c r="DZ173" s="161">
        <f t="shared" si="233"/>
        <v>0</v>
      </c>
      <c r="EA173" s="161">
        <f t="shared" si="234"/>
        <v>0</v>
      </c>
      <c r="EB173" s="161">
        <f t="shared" si="235"/>
        <v>0</v>
      </c>
      <c r="EC173" s="161">
        <f t="shared" si="236"/>
        <v>0</v>
      </c>
      <c r="ED173" s="161">
        <f t="shared" si="237"/>
        <v>0</v>
      </c>
      <c r="EE173" s="161">
        <f t="shared" si="238"/>
        <v>0</v>
      </c>
      <c r="EF173" s="161">
        <f t="shared" si="239"/>
        <v>0</v>
      </c>
      <c r="EG173" s="161">
        <f t="shared" si="240"/>
        <v>0</v>
      </c>
      <c r="EH173" s="161">
        <f t="shared" si="241"/>
        <v>0</v>
      </c>
      <c r="EI173" s="161">
        <f t="shared" si="242"/>
        <v>0</v>
      </c>
      <c r="EJ173" s="161">
        <f t="shared" si="243"/>
        <v>0</v>
      </c>
      <c r="EK173" s="147">
        <f t="shared" si="175"/>
        <v>0</v>
      </c>
      <c r="EL173" s="149"/>
      <c r="EN173" s="146"/>
      <c r="EO173" s="146"/>
      <c r="EP173" s="139">
        <f t="shared" si="176"/>
        <v>0</v>
      </c>
      <c r="EQ173" s="139">
        <f t="shared" si="177"/>
        <v>0</v>
      </c>
      <c r="ER173" s="139">
        <f t="shared" si="178"/>
        <v>0</v>
      </c>
      <c r="ES173" s="139">
        <f t="shared" si="179"/>
        <v>0</v>
      </c>
      <c r="ET173" s="139">
        <f t="shared" si="180"/>
        <v>0</v>
      </c>
      <c r="EU173" s="139">
        <f t="shared" si="181"/>
        <v>0</v>
      </c>
      <c r="EV173" s="139">
        <f t="shared" si="182"/>
        <v>0</v>
      </c>
      <c r="EW173" s="139">
        <f t="shared" si="183"/>
        <v>0</v>
      </c>
      <c r="EX173" s="139">
        <f t="shared" si="184"/>
        <v>0</v>
      </c>
      <c r="EY173" s="139">
        <f t="shared" si="185"/>
        <v>0</v>
      </c>
      <c r="EZ173" s="139">
        <f t="shared" si="186"/>
        <v>0</v>
      </c>
      <c r="FA173" s="139">
        <f t="shared" si="187"/>
        <v>0</v>
      </c>
      <c r="FB173" s="139">
        <f t="shared" si="188"/>
        <v>0</v>
      </c>
      <c r="FC173" s="139">
        <f t="shared" si="189"/>
        <v>0</v>
      </c>
      <c r="FD173" s="139">
        <f t="shared" si="190"/>
        <v>0</v>
      </c>
      <c r="FE173" s="139">
        <f t="shared" si="191"/>
        <v>0</v>
      </c>
      <c r="FF173" s="139">
        <f t="shared" si="192"/>
        <v>0</v>
      </c>
      <c r="FG173" s="139">
        <f t="shared" si="193"/>
        <v>0</v>
      </c>
      <c r="FH173" s="139">
        <f t="shared" si="194"/>
        <v>0</v>
      </c>
      <c r="FI173" s="139">
        <f t="shared" si="195"/>
        <v>0</v>
      </c>
      <c r="FJ173" s="139">
        <f t="shared" si="196"/>
        <v>0</v>
      </c>
      <c r="FK173" s="139">
        <f t="shared" si="197"/>
        <v>0</v>
      </c>
      <c r="FL173" s="139">
        <f t="shared" si="198"/>
        <v>0</v>
      </c>
      <c r="FM173" s="139">
        <f t="shared" si="199"/>
        <v>0</v>
      </c>
      <c r="FN173" s="139">
        <f t="shared" si="200"/>
        <v>0</v>
      </c>
      <c r="FO173" s="139">
        <f t="shared" si="201"/>
        <v>0</v>
      </c>
      <c r="FP173" s="139">
        <f t="shared" si="202"/>
        <v>0</v>
      </c>
      <c r="FQ173" s="139">
        <f t="shared" si="203"/>
        <v>0</v>
      </c>
      <c r="FR173" s="139">
        <f t="shared" si="204"/>
        <v>0</v>
      </c>
      <c r="FS173" s="139">
        <f t="shared" si="205"/>
        <v>0</v>
      </c>
      <c r="FT173" s="139">
        <f t="shared" si="206"/>
        <v>0</v>
      </c>
      <c r="FU173" s="148">
        <f t="shared" si="207"/>
        <v>0</v>
      </c>
      <c r="FV173" s="149"/>
      <c r="FY173" s="211">
        <v>168</v>
      </c>
      <c r="FZ173">
        <v>2.1910418728203407</v>
      </c>
      <c r="GA173">
        <v>3.0877395672019752</v>
      </c>
      <c r="GB173">
        <v>0.8392311167092521</v>
      </c>
      <c r="GC173">
        <v>0.54703109045949949</v>
      </c>
      <c r="GD173">
        <v>0.18222402043903502</v>
      </c>
      <c r="GE173">
        <v>4.8178868064749992E-3</v>
      </c>
      <c r="GF173">
        <v>0.33409761863227821</v>
      </c>
      <c r="GG173">
        <v>0.28954215414031298</v>
      </c>
      <c r="GH173">
        <v>2.2985735835423678E-2</v>
      </c>
      <c r="GI173">
        <v>0.69686436056665579</v>
      </c>
      <c r="GJ173"/>
      <c r="GK173">
        <v>2.1836586397058819</v>
      </c>
      <c r="GL173">
        <v>2.6008695772058821</v>
      </c>
      <c r="GM173">
        <v>1.3776157670454543</v>
      </c>
      <c r="GN173">
        <v>1.6044954545454546</v>
      </c>
      <c r="GO173">
        <v>0.6929812500000001</v>
      </c>
      <c r="GP173">
        <v>9.0468749999999994E-3</v>
      </c>
      <c r="GQ173">
        <v>0.40278260869565213</v>
      </c>
      <c r="GR173">
        <v>0.40278260869565213</v>
      </c>
      <c r="GS173">
        <v>2.4293870192307693E-2</v>
      </c>
      <c r="GT173">
        <v>0.93626642712785924</v>
      </c>
      <c r="GU173"/>
      <c r="GV173"/>
      <c r="GW173"/>
      <c r="GX173"/>
      <c r="GY173"/>
      <c r="GZ173"/>
      <c r="HA173"/>
      <c r="HB173"/>
      <c r="HC173"/>
    </row>
    <row r="174" spans="1:211" s="7" customFormat="1">
      <c r="A174" s="1"/>
      <c r="B174" s="76">
        <f t="shared" ca="1" si="172"/>
        <v>0.6687478045620312</v>
      </c>
      <c r="C174">
        <v>5</v>
      </c>
      <c r="D174">
        <v>39949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 s="2"/>
      <c r="AK174" s="80"/>
      <c r="AL174" s="74"/>
      <c r="AM174" s="43">
        <v>158</v>
      </c>
      <c r="AN174">
        <v>33.506523959221362</v>
      </c>
      <c r="AO174">
        <v>0.67601629911285166</v>
      </c>
      <c r="AP174">
        <v>0.22182908698046963</v>
      </c>
      <c r="AQ174">
        <v>4.6400917258008443</v>
      </c>
      <c r="AR174">
        <v>0.63267106737531964</v>
      </c>
      <c r="AS174">
        <v>2.8610296224486409</v>
      </c>
      <c r="AT174" t="e">
        <v>#DIV/0!</v>
      </c>
      <c r="AU174" t="e">
        <v>#DIV/0!</v>
      </c>
      <c r="AV174"/>
      <c r="AW174"/>
      <c r="AX174" s="146"/>
      <c r="AY174" s="76">
        <f t="shared" ca="1" si="173"/>
        <v>0.5894050027917479</v>
      </c>
      <c r="AZ174">
        <v>7</v>
      </c>
      <c r="BA174" s="129">
        <f t="shared" si="247"/>
        <v>39949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  <c r="CF174">
        <v>0</v>
      </c>
      <c r="CG174" s="147"/>
      <c r="CH174" s="176"/>
      <c r="CJ174" s="146"/>
      <c r="CK174" s="76">
        <f t="shared" ca="1" si="208"/>
        <v>2.32593078242882E-2</v>
      </c>
      <c r="CL174" s="179">
        <f t="shared" si="209"/>
        <v>7</v>
      </c>
      <c r="CM174" s="180">
        <f t="shared" si="210"/>
        <v>39949</v>
      </c>
      <c r="CN174">
        <v>0</v>
      </c>
      <c r="CO174">
        <v>0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 s="160"/>
      <c r="CW174">
        <v>1</v>
      </c>
      <c r="CX174">
        <v>1</v>
      </c>
      <c r="CY174" s="165"/>
      <c r="CZ174" s="177">
        <f t="shared" si="211"/>
        <v>9.6000000000000002E-2</v>
      </c>
      <c r="DB174" s="146"/>
      <c r="DC174" s="76">
        <f t="shared" ca="1" si="174"/>
        <v>0.57294368778683169</v>
      </c>
      <c r="DD174">
        <f t="shared" si="212"/>
        <v>7</v>
      </c>
      <c r="DE174" s="129">
        <f t="shared" si="246"/>
        <v>39949</v>
      </c>
      <c r="DF174" s="161">
        <f t="shared" si="213"/>
        <v>0</v>
      </c>
      <c r="DG174" s="161">
        <f t="shared" si="214"/>
        <v>0</v>
      </c>
      <c r="DH174" s="161">
        <f t="shared" si="215"/>
        <v>0</v>
      </c>
      <c r="DI174" s="161">
        <f t="shared" si="216"/>
        <v>0</v>
      </c>
      <c r="DJ174" s="161">
        <f t="shared" si="217"/>
        <v>0</v>
      </c>
      <c r="DK174" s="161">
        <f t="shared" si="218"/>
        <v>0</v>
      </c>
      <c r="DL174" s="161">
        <f t="shared" si="219"/>
        <v>0</v>
      </c>
      <c r="DM174" s="161">
        <f t="shared" si="220"/>
        <v>0</v>
      </c>
      <c r="DN174" s="161">
        <f t="shared" si="221"/>
        <v>0</v>
      </c>
      <c r="DO174" s="161">
        <f t="shared" si="222"/>
        <v>0</v>
      </c>
      <c r="DP174" s="161">
        <f t="shared" si="223"/>
        <v>0</v>
      </c>
      <c r="DQ174" s="161">
        <f t="shared" si="224"/>
        <v>0</v>
      </c>
      <c r="DR174" s="161">
        <f t="shared" si="225"/>
        <v>0</v>
      </c>
      <c r="DS174" s="161">
        <f t="shared" si="226"/>
        <v>0</v>
      </c>
      <c r="DT174" s="161">
        <f t="shared" si="227"/>
        <v>0</v>
      </c>
      <c r="DU174" s="161">
        <f t="shared" si="228"/>
        <v>0</v>
      </c>
      <c r="DV174" s="161">
        <f t="shared" si="229"/>
        <v>0</v>
      </c>
      <c r="DW174" s="161">
        <f t="shared" si="230"/>
        <v>0</v>
      </c>
      <c r="DX174" s="161">
        <f t="shared" si="231"/>
        <v>0</v>
      </c>
      <c r="DY174" s="161">
        <f t="shared" si="232"/>
        <v>0</v>
      </c>
      <c r="DZ174" s="161">
        <f t="shared" si="233"/>
        <v>0</v>
      </c>
      <c r="EA174" s="161">
        <f t="shared" si="234"/>
        <v>0</v>
      </c>
      <c r="EB174" s="161">
        <f t="shared" si="235"/>
        <v>0</v>
      </c>
      <c r="EC174" s="161">
        <f t="shared" si="236"/>
        <v>0</v>
      </c>
      <c r="ED174" s="161">
        <f t="shared" si="237"/>
        <v>0</v>
      </c>
      <c r="EE174" s="161">
        <f t="shared" si="238"/>
        <v>0</v>
      </c>
      <c r="EF174" s="161">
        <f t="shared" si="239"/>
        <v>0</v>
      </c>
      <c r="EG174" s="161">
        <f t="shared" si="240"/>
        <v>0</v>
      </c>
      <c r="EH174" s="161">
        <f t="shared" si="241"/>
        <v>0</v>
      </c>
      <c r="EI174" s="161">
        <f t="shared" si="242"/>
        <v>0</v>
      </c>
      <c r="EJ174" s="161">
        <f t="shared" si="243"/>
        <v>0</v>
      </c>
      <c r="EK174" s="147">
        <f t="shared" si="175"/>
        <v>0</v>
      </c>
      <c r="EL174" s="149"/>
      <c r="EN174" s="146"/>
      <c r="EO174" s="146"/>
      <c r="EP174" s="139">
        <f t="shared" si="176"/>
        <v>0</v>
      </c>
      <c r="EQ174" s="139">
        <f t="shared" si="177"/>
        <v>0</v>
      </c>
      <c r="ER174" s="139">
        <f t="shared" si="178"/>
        <v>0</v>
      </c>
      <c r="ES174" s="139">
        <f t="shared" si="179"/>
        <v>0</v>
      </c>
      <c r="ET174" s="139">
        <f t="shared" si="180"/>
        <v>0</v>
      </c>
      <c r="EU174" s="139">
        <f t="shared" si="181"/>
        <v>0</v>
      </c>
      <c r="EV174" s="139">
        <f t="shared" si="182"/>
        <v>0</v>
      </c>
      <c r="EW174" s="139">
        <f t="shared" si="183"/>
        <v>0</v>
      </c>
      <c r="EX174" s="139">
        <f t="shared" si="184"/>
        <v>0</v>
      </c>
      <c r="EY174" s="139">
        <f t="shared" si="185"/>
        <v>0</v>
      </c>
      <c r="EZ174" s="139">
        <f t="shared" si="186"/>
        <v>0</v>
      </c>
      <c r="FA174" s="139">
        <f t="shared" si="187"/>
        <v>0</v>
      </c>
      <c r="FB174" s="139">
        <f t="shared" si="188"/>
        <v>0</v>
      </c>
      <c r="FC174" s="139">
        <f t="shared" si="189"/>
        <v>0</v>
      </c>
      <c r="FD174" s="139">
        <f t="shared" si="190"/>
        <v>0</v>
      </c>
      <c r="FE174" s="139">
        <f t="shared" si="191"/>
        <v>0</v>
      </c>
      <c r="FF174" s="139">
        <f t="shared" si="192"/>
        <v>0</v>
      </c>
      <c r="FG174" s="139">
        <f t="shared" si="193"/>
        <v>0</v>
      </c>
      <c r="FH174" s="139">
        <f t="shared" si="194"/>
        <v>0</v>
      </c>
      <c r="FI174" s="139">
        <f t="shared" si="195"/>
        <v>0</v>
      </c>
      <c r="FJ174" s="139">
        <f t="shared" si="196"/>
        <v>0</v>
      </c>
      <c r="FK174" s="139">
        <f t="shared" si="197"/>
        <v>0</v>
      </c>
      <c r="FL174" s="139">
        <f t="shared" si="198"/>
        <v>0</v>
      </c>
      <c r="FM174" s="139">
        <f t="shared" si="199"/>
        <v>0</v>
      </c>
      <c r="FN174" s="139">
        <f t="shared" si="200"/>
        <v>0</v>
      </c>
      <c r="FO174" s="139">
        <f t="shared" si="201"/>
        <v>0</v>
      </c>
      <c r="FP174" s="139">
        <f t="shared" si="202"/>
        <v>0</v>
      </c>
      <c r="FQ174" s="139">
        <f t="shared" si="203"/>
        <v>0</v>
      </c>
      <c r="FR174" s="139">
        <f t="shared" si="204"/>
        <v>0</v>
      </c>
      <c r="FS174" s="139">
        <f t="shared" si="205"/>
        <v>0</v>
      </c>
      <c r="FT174" s="139">
        <f t="shared" si="206"/>
        <v>0</v>
      </c>
      <c r="FU174" s="148">
        <f t="shared" si="207"/>
        <v>0</v>
      </c>
      <c r="FV174" s="149"/>
      <c r="FY174" s="211">
        <v>169</v>
      </c>
      <c r="FZ174">
        <v>0.88834150869208028</v>
      </c>
      <c r="GA174">
        <v>1.4143573877823017</v>
      </c>
      <c r="GB174">
        <v>0.52993438840415397</v>
      </c>
      <c r="GC174">
        <v>0.23832922294210937</v>
      </c>
      <c r="GD174">
        <v>0.12677701831359106</v>
      </c>
      <c r="GE174">
        <v>0.1001010398652</v>
      </c>
      <c r="GF174">
        <v>0.66819523726455643</v>
      </c>
      <c r="GG174">
        <v>0.57908430828062596</v>
      </c>
      <c r="GH174">
        <v>2.2985735835423678E-2</v>
      </c>
      <c r="GI174">
        <v>0.45672432870161672</v>
      </c>
      <c r="GJ174"/>
      <c r="GK174">
        <v>0.88510312499999988</v>
      </c>
      <c r="GL174">
        <v>1.1910562499999999</v>
      </c>
      <c r="GM174">
        <v>0.86958593750000013</v>
      </c>
      <c r="GN174">
        <v>0.69880022321428581</v>
      </c>
      <c r="GO174">
        <v>0.48279241071428569</v>
      </c>
      <c r="GP174">
        <v>0.18825</v>
      </c>
      <c r="GQ174">
        <v>0.80556521739130427</v>
      </c>
      <c r="GR174">
        <v>0.80556521739130427</v>
      </c>
      <c r="GS174">
        <v>2.4293870192307693E-2</v>
      </c>
      <c r="GT174">
        <v>0.61346811215957953</v>
      </c>
      <c r="GU174"/>
      <c r="GV174"/>
      <c r="GW174"/>
      <c r="GX174"/>
      <c r="GY174"/>
      <c r="GZ174"/>
      <c r="HA174"/>
      <c r="HB174"/>
      <c r="HC174"/>
    </row>
    <row r="175" spans="1:211" s="7" customFormat="1">
      <c r="A175" s="1"/>
      <c r="B175" s="76">
        <f t="shared" ca="1" si="172"/>
        <v>0.58199908044435089</v>
      </c>
      <c r="C175">
        <v>8</v>
      </c>
      <c r="D175">
        <v>39949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 s="2"/>
      <c r="AK175" s="80"/>
      <c r="AL175" s="74"/>
      <c r="AM175" s="43">
        <v>159</v>
      </c>
      <c r="AN175">
        <v>30.608145040346123</v>
      </c>
      <c r="AO175">
        <v>0.62222852742773538</v>
      </c>
      <c r="AP175">
        <v>10.214044029576952</v>
      </c>
      <c r="AQ175">
        <v>4.7914916008451378</v>
      </c>
      <c r="AR175">
        <v>0.57873730858815087</v>
      </c>
      <c r="AS175">
        <v>2.5939031307614853</v>
      </c>
      <c r="AT175" t="e">
        <v>#DIV/0!</v>
      </c>
      <c r="AU175" t="e">
        <v>#DIV/0!</v>
      </c>
      <c r="AV175"/>
      <c r="AW175"/>
      <c r="AX175" s="146"/>
      <c r="AY175" s="76">
        <f t="shared" ca="1" si="173"/>
        <v>0.45161766411239679</v>
      </c>
      <c r="AZ175">
        <v>8</v>
      </c>
      <c r="BA175" s="129">
        <f t="shared" si="247"/>
        <v>39949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  <c r="CF175">
        <v>0</v>
      </c>
      <c r="CG175" s="147"/>
      <c r="CH175" s="176"/>
      <c r="CJ175" s="146"/>
      <c r="CK175" s="76">
        <f t="shared" ca="1" si="208"/>
        <v>0.3329941898813491</v>
      </c>
      <c r="CL175" s="179">
        <f t="shared" si="209"/>
        <v>8</v>
      </c>
      <c r="CM175" s="180">
        <f t="shared" si="210"/>
        <v>39949</v>
      </c>
      <c r="CN175">
        <v>0</v>
      </c>
      <c r="CO175">
        <v>0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0</v>
      </c>
      <c r="CV175" s="160"/>
      <c r="CW175">
        <v>1</v>
      </c>
      <c r="CX175">
        <v>1</v>
      </c>
      <c r="CY175" s="165"/>
      <c r="CZ175" s="177">
        <f t="shared" si="211"/>
        <v>9.6000000000000002E-2</v>
      </c>
      <c r="DB175" s="146"/>
      <c r="DC175" s="76">
        <f t="shared" ca="1" si="174"/>
        <v>0.63232103359895131</v>
      </c>
      <c r="DD175">
        <f t="shared" si="212"/>
        <v>8</v>
      </c>
      <c r="DE175" s="129">
        <f t="shared" si="246"/>
        <v>39949</v>
      </c>
      <c r="DF175" s="161">
        <f t="shared" si="213"/>
        <v>0</v>
      </c>
      <c r="DG175" s="161">
        <f t="shared" si="214"/>
        <v>0</v>
      </c>
      <c r="DH175" s="161">
        <f t="shared" si="215"/>
        <v>0</v>
      </c>
      <c r="DI175" s="161">
        <f t="shared" si="216"/>
        <v>0</v>
      </c>
      <c r="DJ175" s="161">
        <f t="shared" si="217"/>
        <v>0</v>
      </c>
      <c r="DK175" s="161">
        <f t="shared" si="218"/>
        <v>0</v>
      </c>
      <c r="DL175" s="161">
        <f t="shared" si="219"/>
        <v>0</v>
      </c>
      <c r="DM175" s="161">
        <f t="shared" si="220"/>
        <v>0</v>
      </c>
      <c r="DN175" s="161">
        <f t="shared" si="221"/>
        <v>0</v>
      </c>
      <c r="DO175" s="161">
        <f t="shared" si="222"/>
        <v>0</v>
      </c>
      <c r="DP175" s="161">
        <f t="shared" si="223"/>
        <v>0</v>
      </c>
      <c r="DQ175" s="161">
        <f t="shared" si="224"/>
        <v>0</v>
      </c>
      <c r="DR175" s="161">
        <f t="shared" si="225"/>
        <v>0</v>
      </c>
      <c r="DS175" s="161">
        <f t="shared" si="226"/>
        <v>0</v>
      </c>
      <c r="DT175" s="161">
        <f t="shared" si="227"/>
        <v>0</v>
      </c>
      <c r="DU175" s="161">
        <f t="shared" si="228"/>
        <v>0</v>
      </c>
      <c r="DV175" s="161">
        <f t="shared" si="229"/>
        <v>0</v>
      </c>
      <c r="DW175" s="161">
        <f t="shared" si="230"/>
        <v>0</v>
      </c>
      <c r="DX175" s="161">
        <f t="shared" si="231"/>
        <v>0</v>
      </c>
      <c r="DY175" s="161">
        <f t="shared" si="232"/>
        <v>0</v>
      </c>
      <c r="DZ175" s="161">
        <f t="shared" si="233"/>
        <v>0</v>
      </c>
      <c r="EA175" s="161">
        <f t="shared" si="234"/>
        <v>0</v>
      </c>
      <c r="EB175" s="161">
        <f t="shared" si="235"/>
        <v>0</v>
      </c>
      <c r="EC175" s="161">
        <f t="shared" si="236"/>
        <v>0</v>
      </c>
      <c r="ED175" s="161">
        <f t="shared" si="237"/>
        <v>0</v>
      </c>
      <c r="EE175" s="161">
        <f t="shared" si="238"/>
        <v>0</v>
      </c>
      <c r="EF175" s="161">
        <f t="shared" si="239"/>
        <v>0</v>
      </c>
      <c r="EG175" s="161">
        <f t="shared" si="240"/>
        <v>0</v>
      </c>
      <c r="EH175" s="161">
        <f t="shared" si="241"/>
        <v>0</v>
      </c>
      <c r="EI175" s="161">
        <f t="shared" si="242"/>
        <v>0</v>
      </c>
      <c r="EJ175" s="161">
        <f t="shared" si="243"/>
        <v>0</v>
      </c>
      <c r="EK175" s="147">
        <f t="shared" si="175"/>
        <v>0</v>
      </c>
      <c r="EL175" s="149"/>
      <c r="EN175" s="146"/>
      <c r="EO175" s="146"/>
      <c r="EP175" s="139">
        <f t="shared" si="176"/>
        <v>0</v>
      </c>
      <c r="EQ175" s="139">
        <f t="shared" si="177"/>
        <v>0</v>
      </c>
      <c r="ER175" s="139">
        <f t="shared" si="178"/>
        <v>0</v>
      </c>
      <c r="ES175" s="139">
        <f t="shared" si="179"/>
        <v>0</v>
      </c>
      <c r="ET175" s="139">
        <f t="shared" si="180"/>
        <v>0</v>
      </c>
      <c r="EU175" s="139">
        <f t="shared" si="181"/>
        <v>0</v>
      </c>
      <c r="EV175" s="139">
        <f t="shared" si="182"/>
        <v>0</v>
      </c>
      <c r="EW175" s="139">
        <f t="shared" si="183"/>
        <v>0</v>
      </c>
      <c r="EX175" s="139">
        <f t="shared" si="184"/>
        <v>0</v>
      </c>
      <c r="EY175" s="139">
        <f t="shared" si="185"/>
        <v>0</v>
      </c>
      <c r="EZ175" s="139">
        <f t="shared" si="186"/>
        <v>0</v>
      </c>
      <c r="FA175" s="139">
        <f t="shared" si="187"/>
        <v>0</v>
      </c>
      <c r="FB175" s="139">
        <f t="shared" si="188"/>
        <v>0</v>
      </c>
      <c r="FC175" s="139">
        <f t="shared" si="189"/>
        <v>0</v>
      </c>
      <c r="FD175" s="139">
        <f t="shared" si="190"/>
        <v>0</v>
      </c>
      <c r="FE175" s="139">
        <f t="shared" si="191"/>
        <v>0</v>
      </c>
      <c r="FF175" s="139">
        <f t="shared" si="192"/>
        <v>0</v>
      </c>
      <c r="FG175" s="139">
        <f t="shared" si="193"/>
        <v>0</v>
      </c>
      <c r="FH175" s="139">
        <f t="shared" si="194"/>
        <v>0</v>
      </c>
      <c r="FI175" s="139">
        <f t="shared" si="195"/>
        <v>0</v>
      </c>
      <c r="FJ175" s="139">
        <f t="shared" si="196"/>
        <v>0</v>
      </c>
      <c r="FK175" s="139">
        <f t="shared" si="197"/>
        <v>0</v>
      </c>
      <c r="FL175" s="139">
        <f t="shared" si="198"/>
        <v>0</v>
      </c>
      <c r="FM175" s="139">
        <f t="shared" si="199"/>
        <v>0</v>
      </c>
      <c r="FN175" s="139">
        <f t="shared" si="200"/>
        <v>0</v>
      </c>
      <c r="FO175" s="139">
        <f t="shared" si="201"/>
        <v>0</v>
      </c>
      <c r="FP175" s="139">
        <f t="shared" si="202"/>
        <v>0</v>
      </c>
      <c r="FQ175" s="139">
        <f t="shared" si="203"/>
        <v>0</v>
      </c>
      <c r="FR175" s="139">
        <f t="shared" si="204"/>
        <v>0</v>
      </c>
      <c r="FS175" s="139">
        <f t="shared" si="205"/>
        <v>0</v>
      </c>
      <c r="FT175" s="139">
        <f t="shared" si="206"/>
        <v>0</v>
      </c>
      <c r="FU175" s="148">
        <f t="shared" si="207"/>
        <v>0</v>
      </c>
      <c r="FV175" s="149"/>
      <c r="FY175" s="211">
        <v>170</v>
      </c>
      <c r="FZ175">
        <v>0.57412134146364746</v>
      </c>
      <c r="GA175">
        <v>0.82288617574031075</v>
      </c>
      <c r="GB175">
        <v>0.28709923540927151</v>
      </c>
      <c r="GC175">
        <v>0.36146518430431374</v>
      </c>
      <c r="GD175">
        <v>0.26339696070308671</v>
      </c>
      <c r="GE175">
        <v>7.6065534558449999E-2</v>
      </c>
      <c r="GF175">
        <v>0.37461671604370633</v>
      </c>
      <c r="GG175">
        <v>0.28954215414031298</v>
      </c>
      <c r="GH175">
        <v>4.5971471670847357E-2</v>
      </c>
      <c r="GI175">
        <v>0.37905457500346185</v>
      </c>
      <c r="GJ175"/>
      <c r="GK175">
        <v>0.57202500000000001</v>
      </c>
      <c r="GL175">
        <v>0.69266953124999997</v>
      </c>
      <c r="GM175">
        <v>0.47064453125</v>
      </c>
      <c r="GN175">
        <v>1.0589790178571428</v>
      </c>
      <c r="GO175">
        <v>1.0023227678571427</v>
      </c>
      <c r="GP175">
        <v>0.14296875000000001</v>
      </c>
      <c r="GQ175">
        <v>0.45162635869565215</v>
      </c>
      <c r="GR175">
        <v>0.40278260869565213</v>
      </c>
      <c r="GS175">
        <v>4.8587740384615385E-2</v>
      </c>
      <c r="GT175">
        <v>0.50904127963748214</v>
      </c>
      <c r="GU175"/>
      <c r="GV175"/>
      <c r="GW175"/>
      <c r="GX175"/>
      <c r="GY175"/>
      <c r="GZ175"/>
      <c r="HA175"/>
      <c r="HB175"/>
      <c r="HC175"/>
    </row>
    <row r="176" spans="1:211" s="7" customFormat="1">
      <c r="A176" s="1"/>
      <c r="B176" s="76">
        <f t="shared" ca="1" si="172"/>
        <v>0.88798082764916808</v>
      </c>
      <c r="C176">
        <v>6</v>
      </c>
      <c r="D176">
        <v>39949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 s="2"/>
      <c r="AK176" s="80"/>
      <c r="AL176" s="74"/>
      <c r="AM176" s="43">
        <v>160</v>
      </c>
      <c r="AN176">
        <v>51.727531437138211</v>
      </c>
      <c r="AO176">
        <v>1.1022807730992898</v>
      </c>
      <c r="AP176">
        <v>13.849662832853889</v>
      </c>
      <c r="AQ176">
        <v>8.5131470602778663</v>
      </c>
      <c r="AR176">
        <v>1.046334247397956</v>
      </c>
      <c r="AS176">
        <v>4.2357906532063119</v>
      </c>
      <c r="AT176" t="e">
        <v>#DIV/0!</v>
      </c>
      <c r="AU176" t="e">
        <v>#DIV/0!</v>
      </c>
      <c r="AV176"/>
      <c r="AW176"/>
      <c r="AX176" s="146"/>
      <c r="AY176" s="76">
        <f t="shared" ca="1" si="173"/>
        <v>0.46979667198165598</v>
      </c>
      <c r="AZ176">
        <v>9</v>
      </c>
      <c r="BA176" s="129">
        <f t="shared" si="247"/>
        <v>39949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  <c r="CF176">
        <v>0</v>
      </c>
      <c r="CG176" s="147"/>
      <c r="CH176" s="176"/>
      <c r="CJ176" s="146"/>
      <c r="CK176" s="76">
        <f t="shared" ca="1" si="208"/>
        <v>0.42265978504300517</v>
      </c>
      <c r="CL176" s="179">
        <f t="shared" si="209"/>
        <v>9</v>
      </c>
      <c r="CM176" s="180">
        <f t="shared" si="210"/>
        <v>39949</v>
      </c>
      <c r="CN176">
        <v>0</v>
      </c>
      <c r="CO176">
        <v>0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0</v>
      </c>
      <c r="CV176" s="160"/>
      <c r="CW176">
        <v>1</v>
      </c>
      <c r="CX176">
        <v>1</v>
      </c>
      <c r="CY176" s="165"/>
      <c r="CZ176" s="177">
        <f t="shared" si="211"/>
        <v>9.6000000000000002E-2</v>
      </c>
      <c r="DB176" s="146"/>
      <c r="DC176" s="76">
        <f t="shared" ca="1" si="174"/>
        <v>0.39107207619684026</v>
      </c>
      <c r="DD176">
        <f t="shared" si="212"/>
        <v>9</v>
      </c>
      <c r="DE176" s="129">
        <f t="shared" si="246"/>
        <v>39949</v>
      </c>
      <c r="DF176" s="161">
        <f t="shared" si="213"/>
        <v>0</v>
      </c>
      <c r="DG176" s="161">
        <f t="shared" si="214"/>
        <v>0</v>
      </c>
      <c r="DH176" s="161">
        <f t="shared" si="215"/>
        <v>0</v>
      </c>
      <c r="DI176" s="161">
        <f t="shared" si="216"/>
        <v>0</v>
      </c>
      <c r="DJ176" s="161">
        <f t="shared" si="217"/>
        <v>0</v>
      </c>
      <c r="DK176" s="161">
        <f t="shared" si="218"/>
        <v>0</v>
      </c>
      <c r="DL176" s="161">
        <f t="shared" si="219"/>
        <v>0</v>
      </c>
      <c r="DM176" s="161">
        <f t="shared" si="220"/>
        <v>0</v>
      </c>
      <c r="DN176" s="161">
        <f t="shared" si="221"/>
        <v>0</v>
      </c>
      <c r="DO176" s="161">
        <f t="shared" si="222"/>
        <v>0</v>
      </c>
      <c r="DP176" s="161">
        <f t="shared" si="223"/>
        <v>0</v>
      </c>
      <c r="DQ176" s="161">
        <f t="shared" si="224"/>
        <v>0</v>
      </c>
      <c r="DR176" s="161">
        <f t="shared" si="225"/>
        <v>0</v>
      </c>
      <c r="DS176" s="161">
        <f t="shared" si="226"/>
        <v>0</v>
      </c>
      <c r="DT176" s="161">
        <f t="shared" si="227"/>
        <v>0</v>
      </c>
      <c r="DU176" s="161">
        <f t="shared" si="228"/>
        <v>0</v>
      </c>
      <c r="DV176" s="161">
        <f t="shared" si="229"/>
        <v>0</v>
      </c>
      <c r="DW176" s="161">
        <f t="shared" si="230"/>
        <v>0</v>
      </c>
      <c r="DX176" s="161">
        <f t="shared" si="231"/>
        <v>0</v>
      </c>
      <c r="DY176" s="161">
        <f t="shared" si="232"/>
        <v>0</v>
      </c>
      <c r="DZ176" s="161">
        <f t="shared" si="233"/>
        <v>0</v>
      </c>
      <c r="EA176" s="161">
        <f t="shared" si="234"/>
        <v>0</v>
      </c>
      <c r="EB176" s="161">
        <f t="shared" si="235"/>
        <v>0</v>
      </c>
      <c r="EC176" s="161">
        <f t="shared" si="236"/>
        <v>0</v>
      </c>
      <c r="ED176" s="161">
        <f t="shared" si="237"/>
        <v>0</v>
      </c>
      <c r="EE176" s="161">
        <f t="shared" si="238"/>
        <v>0</v>
      </c>
      <c r="EF176" s="161">
        <f t="shared" si="239"/>
        <v>0</v>
      </c>
      <c r="EG176" s="161">
        <f t="shared" si="240"/>
        <v>0</v>
      </c>
      <c r="EH176" s="161">
        <f t="shared" si="241"/>
        <v>0</v>
      </c>
      <c r="EI176" s="161">
        <f t="shared" si="242"/>
        <v>0</v>
      </c>
      <c r="EJ176" s="161">
        <f t="shared" si="243"/>
        <v>0</v>
      </c>
      <c r="EK176" s="147">
        <f t="shared" si="175"/>
        <v>0</v>
      </c>
      <c r="EL176" s="149"/>
      <c r="EN176" s="146"/>
      <c r="EO176" s="146"/>
      <c r="EP176" s="139">
        <f t="shared" si="176"/>
        <v>0</v>
      </c>
      <c r="EQ176" s="139">
        <f t="shared" si="177"/>
        <v>0</v>
      </c>
      <c r="ER176" s="139">
        <f t="shared" si="178"/>
        <v>0</v>
      </c>
      <c r="ES176" s="139">
        <f t="shared" si="179"/>
        <v>0</v>
      </c>
      <c r="ET176" s="139">
        <f t="shared" si="180"/>
        <v>0</v>
      </c>
      <c r="EU176" s="139">
        <f t="shared" si="181"/>
        <v>0</v>
      </c>
      <c r="EV176" s="139">
        <f t="shared" si="182"/>
        <v>0</v>
      </c>
      <c r="EW176" s="139">
        <f t="shared" si="183"/>
        <v>0</v>
      </c>
      <c r="EX176" s="139">
        <f t="shared" si="184"/>
        <v>0</v>
      </c>
      <c r="EY176" s="139">
        <f t="shared" si="185"/>
        <v>0</v>
      </c>
      <c r="EZ176" s="139">
        <f t="shared" si="186"/>
        <v>0</v>
      </c>
      <c r="FA176" s="139">
        <f t="shared" si="187"/>
        <v>0</v>
      </c>
      <c r="FB176" s="139">
        <f t="shared" si="188"/>
        <v>0</v>
      </c>
      <c r="FC176" s="139">
        <f t="shared" si="189"/>
        <v>0</v>
      </c>
      <c r="FD176" s="139">
        <f t="shared" si="190"/>
        <v>0</v>
      </c>
      <c r="FE176" s="139">
        <f t="shared" si="191"/>
        <v>0</v>
      </c>
      <c r="FF176" s="139">
        <f t="shared" si="192"/>
        <v>0</v>
      </c>
      <c r="FG176" s="139">
        <f t="shared" si="193"/>
        <v>0</v>
      </c>
      <c r="FH176" s="139">
        <f t="shared" si="194"/>
        <v>0</v>
      </c>
      <c r="FI176" s="139">
        <f t="shared" si="195"/>
        <v>0</v>
      </c>
      <c r="FJ176" s="139">
        <f t="shared" si="196"/>
        <v>0</v>
      </c>
      <c r="FK176" s="139">
        <f t="shared" si="197"/>
        <v>0</v>
      </c>
      <c r="FL176" s="139">
        <f t="shared" si="198"/>
        <v>0</v>
      </c>
      <c r="FM176" s="139">
        <f t="shared" si="199"/>
        <v>0</v>
      </c>
      <c r="FN176" s="139">
        <f t="shared" si="200"/>
        <v>0</v>
      </c>
      <c r="FO176" s="139">
        <f t="shared" si="201"/>
        <v>0</v>
      </c>
      <c r="FP176" s="139">
        <f t="shared" si="202"/>
        <v>0</v>
      </c>
      <c r="FQ176" s="139">
        <f t="shared" si="203"/>
        <v>0</v>
      </c>
      <c r="FR176" s="139">
        <f t="shared" si="204"/>
        <v>0</v>
      </c>
      <c r="FS176" s="139">
        <f t="shared" si="205"/>
        <v>0</v>
      </c>
      <c r="FT176" s="139">
        <f t="shared" si="206"/>
        <v>0</v>
      </c>
      <c r="FU176" s="148">
        <f t="shared" si="207"/>
        <v>0</v>
      </c>
      <c r="FV176" s="149"/>
      <c r="FY176" s="211">
        <v>171</v>
      </c>
      <c r="FZ176">
        <v>2.0298584529447137</v>
      </c>
      <c r="GA176">
        <v>2.7675834002899165</v>
      </c>
      <c r="GB176">
        <v>0.50971765258495894</v>
      </c>
      <c r="GC176">
        <v>0.32837609105518439</v>
      </c>
      <c r="GD176">
        <v>0.24596800271898744</v>
      </c>
      <c r="GE176">
        <v>0.21289194573322495</v>
      </c>
      <c r="GF176">
        <v>8.1038194822856249E-2</v>
      </c>
      <c r="GG176">
        <v>0.10116381687628125</v>
      </c>
      <c r="GH176">
        <v>0.1330459067538125</v>
      </c>
      <c r="GI176">
        <v>0.60043062718790496</v>
      </c>
      <c r="GJ176"/>
      <c r="GK176">
        <v>2.0230349264705882</v>
      </c>
      <c r="GL176">
        <v>2.3310622702205879</v>
      </c>
      <c r="GM176">
        <v>0.83611328125000006</v>
      </c>
      <c r="GN176">
        <v>0.96214843750000001</v>
      </c>
      <c r="GO176">
        <v>0.93548437500000003</v>
      </c>
      <c r="GP176">
        <v>0.399890625</v>
      </c>
      <c r="GQ176">
        <v>9.768750000000001E-2</v>
      </c>
      <c r="GR176">
        <v>0.14072916666666666</v>
      </c>
      <c r="GS176">
        <v>0.14072916666666666</v>
      </c>
      <c r="GT176">
        <v>0.80660984987745099</v>
      </c>
      <c r="GU176"/>
      <c r="GV176"/>
      <c r="GW176"/>
      <c r="GX176"/>
      <c r="GY176"/>
      <c r="GZ176"/>
      <c r="HA176"/>
      <c r="HB176"/>
      <c r="HC176"/>
    </row>
    <row r="177" spans="1:211" s="7" customFormat="1">
      <c r="A177" s="1"/>
      <c r="B177" s="76">
        <f t="shared" ca="1" si="172"/>
        <v>4.6071472742445607E-2</v>
      </c>
      <c r="C177">
        <v>10</v>
      </c>
      <c r="D177">
        <v>39949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 s="2"/>
      <c r="AK177" s="80"/>
      <c r="AL177" s="74"/>
      <c r="AM177" s="43">
        <v>161</v>
      </c>
      <c r="AN177">
        <v>51.642822036144445</v>
      </c>
      <c r="AO177">
        <v>1.1620838447859283</v>
      </c>
      <c r="AP177">
        <v>1.2140051385308168</v>
      </c>
      <c r="AQ177">
        <v>8.1543997701046536</v>
      </c>
      <c r="AR177">
        <v>1.069514869822872</v>
      </c>
      <c r="AS177">
        <v>4.3274024468534718</v>
      </c>
      <c r="AT177">
        <v>0.82800637784874231</v>
      </c>
      <c r="AU177">
        <v>5.3526349253745123E-2</v>
      </c>
      <c r="AV177"/>
      <c r="AW177"/>
      <c r="AX177" s="146"/>
      <c r="AY177" s="76">
        <f t="shared" ca="1" si="173"/>
        <v>7.7957723727648975E-2</v>
      </c>
      <c r="AZ177">
        <v>10</v>
      </c>
      <c r="BA177" s="129">
        <f t="shared" si="247"/>
        <v>39949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 s="147"/>
      <c r="CH177" s="176"/>
      <c r="CJ177" s="146"/>
      <c r="CK177" s="76">
        <f t="shared" ca="1" si="208"/>
        <v>0.59874424331836229</v>
      </c>
      <c r="CL177" s="179">
        <f t="shared" si="209"/>
        <v>10</v>
      </c>
      <c r="CM177" s="180">
        <f t="shared" si="210"/>
        <v>39949</v>
      </c>
      <c r="CN177">
        <v>0</v>
      </c>
      <c r="CO177">
        <v>0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 s="160"/>
      <c r="CW177">
        <v>1</v>
      </c>
      <c r="CX177">
        <f>500/87</f>
        <v>5.7471264367816088</v>
      </c>
      <c r="CY177" s="165"/>
      <c r="CZ177" s="177">
        <f t="shared" si="211"/>
        <v>9.6000000000000002E-2</v>
      </c>
      <c r="DB177" s="146"/>
      <c r="DC177" s="76">
        <f t="shared" ca="1" si="174"/>
        <v>0.68851754101334262</v>
      </c>
      <c r="DD177">
        <f t="shared" si="212"/>
        <v>10</v>
      </c>
      <c r="DE177" s="129">
        <f t="shared" si="246"/>
        <v>39949</v>
      </c>
      <c r="DF177" s="161">
        <f t="shared" si="213"/>
        <v>0</v>
      </c>
      <c r="DG177" s="161">
        <f t="shared" si="214"/>
        <v>0</v>
      </c>
      <c r="DH177" s="161">
        <f t="shared" si="215"/>
        <v>0</v>
      </c>
      <c r="DI177" s="161">
        <f t="shared" si="216"/>
        <v>0</v>
      </c>
      <c r="DJ177" s="161">
        <f t="shared" si="217"/>
        <v>0</v>
      </c>
      <c r="DK177" s="161">
        <f t="shared" si="218"/>
        <v>0</v>
      </c>
      <c r="DL177" s="161">
        <f t="shared" si="219"/>
        <v>0</v>
      </c>
      <c r="DM177" s="161">
        <f t="shared" si="220"/>
        <v>0</v>
      </c>
      <c r="DN177" s="161">
        <f t="shared" si="221"/>
        <v>0</v>
      </c>
      <c r="DO177" s="161">
        <f t="shared" si="222"/>
        <v>0</v>
      </c>
      <c r="DP177" s="161">
        <f t="shared" si="223"/>
        <v>0</v>
      </c>
      <c r="DQ177" s="161">
        <f t="shared" si="224"/>
        <v>0</v>
      </c>
      <c r="DR177" s="161">
        <f t="shared" si="225"/>
        <v>0</v>
      </c>
      <c r="DS177" s="161">
        <f t="shared" si="226"/>
        <v>0</v>
      </c>
      <c r="DT177" s="161">
        <f t="shared" si="227"/>
        <v>0</v>
      </c>
      <c r="DU177" s="161">
        <f t="shared" si="228"/>
        <v>0</v>
      </c>
      <c r="DV177" s="161">
        <f t="shared" si="229"/>
        <v>0</v>
      </c>
      <c r="DW177" s="161">
        <f t="shared" si="230"/>
        <v>0</v>
      </c>
      <c r="DX177" s="161">
        <f t="shared" si="231"/>
        <v>0</v>
      </c>
      <c r="DY177" s="161">
        <f t="shared" si="232"/>
        <v>0</v>
      </c>
      <c r="DZ177" s="161">
        <f t="shared" si="233"/>
        <v>0</v>
      </c>
      <c r="EA177" s="161">
        <f t="shared" si="234"/>
        <v>0</v>
      </c>
      <c r="EB177" s="161">
        <f t="shared" si="235"/>
        <v>0</v>
      </c>
      <c r="EC177" s="161">
        <f t="shared" si="236"/>
        <v>0</v>
      </c>
      <c r="ED177" s="161">
        <f t="shared" si="237"/>
        <v>0</v>
      </c>
      <c r="EE177" s="161">
        <f t="shared" si="238"/>
        <v>0</v>
      </c>
      <c r="EF177" s="161">
        <f t="shared" si="239"/>
        <v>0</v>
      </c>
      <c r="EG177" s="161">
        <f t="shared" si="240"/>
        <v>0</v>
      </c>
      <c r="EH177" s="161">
        <f t="shared" si="241"/>
        <v>0</v>
      </c>
      <c r="EI177" s="161">
        <f t="shared" si="242"/>
        <v>0</v>
      </c>
      <c r="EJ177" s="161">
        <f t="shared" si="243"/>
        <v>0</v>
      </c>
      <c r="EK177" s="147">
        <f t="shared" si="175"/>
        <v>0</v>
      </c>
      <c r="EL177" s="149"/>
      <c r="EN177" s="146"/>
      <c r="EO177" s="146"/>
      <c r="EP177" s="139">
        <f t="shared" si="176"/>
        <v>0</v>
      </c>
      <c r="EQ177" s="139">
        <f t="shared" si="177"/>
        <v>0</v>
      </c>
      <c r="ER177" s="139">
        <f t="shared" si="178"/>
        <v>0</v>
      </c>
      <c r="ES177" s="139">
        <f t="shared" si="179"/>
        <v>0</v>
      </c>
      <c r="ET177" s="139">
        <f t="shared" si="180"/>
        <v>0</v>
      </c>
      <c r="EU177" s="139">
        <f t="shared" si="181"/>
        <v>0</v>
      </c>
      <c r="EV177" s="139">
        <f t="shared" si="182"/>
        <v>0</v>
      </c>
      <c r="EW177" s="139">
        <f t="shared" si="183"/>
        <v>0</v>
      </c>
      <c r="EX177" s="139">
        <f t="shared" si="184"/>
        <v>0</v>
      </c>
      <c r="EY177" s="139">
        <f t="shared" si="185"/>
        <v>0</v>
      </c>
      <c r="EZ177" s="139">
        <f t="shared" si="186"/>
        <v>0</v>
      </c>
      <c r="FA177" s="139">
        <f t="shared" si="187"/>
        <v>0</v>
      </c>
      <c r="FB177" s="139">
        <f t="shared" si="188"/>
        <v>0</v>
      </c>
      <c r="FC177" s="139">
        <f t="shared" si="189"/>
        <v>0</v>
      </c>
      <c r="FD177" s="139">
        <f t="shared" si="190"/>
        <v>0</v>
      </c>
      <c r="FE177" s="139">
        <f t="shared" si="191"/>
        <v>0</v>
      </c>
      <c r="FF177" s="139">
        <f t="shared" si="192"/>
        <v>0</v>
      </c>
      <c r="FG177" s="139">
        <f t="shared" si="193"/>
        <v>0</v>
      </c>
      <c r="FH177" s="139">
        <f t="shared" si="194"/>
        <v>0</v>
      </c>
      <c r="FI177" s="139">
        <f t="shared" si="195"/>
        <v>0</v>
      </c>
      <c r="FJ177" s="139">
        <f t="shared" si="196"/>
        <v>0</v>
      </c>
      <c r="FK177" s="139">
        <f t="shared" si="197"/>
        <v>0</v>
      </c>
      <c r="FL177" s="139">
        <f t="shared" si="198"/>
        <v>0</v>
      </c>
      <c r="FM177" s="139">
        <f t="shared" si="199"/>
        <v>0</v>
      </c>
      <c r="FN177" s="139">
        <f t="shared" si="200"/>
        <v>0</v>
      </c>
      <c r="FO177" s="139">
        <f t="shared" si="201"/>
        <v>0</v>
      </c>
      <c r="FP177" s="139">
        <f t="shared" si="202"/>
        <v>0</v>
      </c>
      <c r="FQ177" s="139">
        <f t="shared" si="203"/>
        <v>0</v>
      </c>
      <c r="FR177" s="139">
        <f t="shared" si="204"/>
        <v>0</v>
      </c>
      <c r="FS177" s="139">
        <f t="shared" si="205"/>
        <v>0</v>
      </c>
      <c r="FT177" s="139">
        <f t="shared" si="206"/>
        <v>0</v>
      </c>
      <c r="FU177" s="148">
        <f t="shared" si="207"/>
        <v>0</v>
      </c>
      <c r="FV177" s="149"/>
      <c r="FY177" s="211">
        <v>172</v>
      </c>
      <c r="FZ177">
        <v>0.78970405647243691</v>
      </c>
      <c r="GA177">
        <v>1.8521526350089776</v>
      </c>
      <c r="GB177">
        <v>2.1528512056024591</v>
      </c>
      <c r="GC177">
        <v>1.2300691629164762</v>
      </c>
      <c r="GD177">
        <v>0.26676782715100178</v>
      </c>
      <c r="GE177">
        <v>0.16663865826195001</v>
      </c>
      <c r="GF177">
        <v>0.12155729223428439</v>
      </c>
      <c r="GG177">
        <v>0</v>
      </c>
      <c r="GH177">
        <v>2.2985735835423678E-2</v>
      </c>
      <c r="GI177">
        <v>0.8197412763810874</v>
      </c>
      <c r="GJ177"/>
      <c r="GK177">
        <v>0.7869674632352941</v>
      </c>
      <c r="GL177">
        <v>1.5600768382352943</v>
      </c>
      <c r="GM177">
        <v>3.5347926136363634</v>
      </c>
      <c r="GN177">
        <v>3.6100872564935065</v>
      </c>
      <c r="GO177">
        <v>1.0149040178571429</v>
      </c>
      <c r="GP177">
        <v>0.31303125000000004</v>
      </c>
      <c r="GQ177">
        <v>0.14653125</v>
      </c>
      <c r="GR177">
        <v>0</v>
      </c>
      <c r="GS177">
        <v>2.4293870192307693E-2</v>
      </c>
      <c r="GT177">
        <v>1.1014978429842217</v>
      </c>
      <c r="GU177"/>
      <c r="GV177"/>
      <c r="GW177"/>
      <c r="GX177"/>
      <c r="GY177"/>
      <c r="GZ177"/>
      <c r="HA177"/>
      <c r="HB177"/>
      <c r="HC177"/>
    </row>
    <row r="178" spans="1:211" s="7" customFormat="1">
      <c r="A178" s="128"/>
      <c r="B178" s="76">
        <f t="shared" ca="1" si="172"/>
        <v>0.28618424746740345</v>
      </c>
      <c r="C178">
        <v>4</v>
      </c>
      <c r="D178">
        <v>39987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 s="2"/>
      <c r="AK178" s="80"/>
      <c r="AL178" s="74">
        <v>3.0028000000000028</v>
      </c>
      <c r="AM178" s="43">
        <v>162</v>
      </c>
      <c r="AN178">
        <v>27.228802246465285</v>
      </c>
      <c r="AO178">
        <v>0.6039662180980252</v>
      </c>
      <c r="AP178">
        <v>1.2021855456261514</v>
      </c>
      <c r="AQ178">
        <v>3.4812103290895915</v>
      </c>
      <c r="AR178">
        <v>0.55126873192477799</v>
      </c>
      <c r="AS178">
        <v>2.3033043246073932</v>
      </c>
      <c r="AT178" t="e">
        <v>#DIV/0!</v>
      </c>
      <c r="AU178" t="e">
        <v>#DIV/0!</v>
      </c>
      <c r="AV178"/>
      <c r="AW178"/>
      <c r="AX178" s="128"/>
      <c r="AY178" s="76">
        <f t="shared" ca="1" si="173"/>
        <v>0.5755586917390727</v>
      </c>
      <c r="AZ178">
        <v>1</v>
      </c>
      <c r="BA178" s="129">
        <f>IF(AZ178="", "",$C$13)</f>
        <v>39987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 s="147"/>
      <c r="CH178" s="176"/>
      <c r="CJ178" s="128"/>
      <c r="CK178" s="76">
        <f t="shared" ca="1" si="208"/>
        <v>4.8583928108144825E-2</v>
      </c>
      <c r="CL178" s="179">
        <f t="shared" si="209"/>
        <v>1</v>
      </c>
      <c r="CM178" s="180">
        <f t="shared" si="210"/>
        <v>39987</v>
      </c>
      <c r="CN178">
        <v>0</v>
      </c>
      <c r="CO178">
        <v>0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0</v>
      </c>
      <c r="CV178" s="160"/>
      <c r="CW178">
        <v>1</v>
      </c>
      <c r="CX178">
        <f>350/47</f>
        <v>7.4468085106382977</v>
      </c>
      <c r="CY178" s="160"/>
      <c r="CZ178" s="177">
        <f t="shared" si="211"/>
        <v>9.6000000000000002E-2</v>
      </c>
      <c r="DB178" s="128"/>
      <c r="DC178" s="76">
        <f t="shared" ca="1" si="174"/>
        <v>0.18651446537605865</v>
      </c>
      <c r="DD178">
        <f t="shared" si="212"/>
        <v>1</v>
      </c>
      <c r="DE178" s="129">
        <f t="shared" ref="DE178:DE187" si="248">IF((DD178)="", "", $C$13)</f>
        <v>39987</v>
      </c>
      <c r="DF178" s="161">
        <f t="shared" si="213"/>
        <v>0</v>
      </c>
      <c r="DG178" s="161">
        <f t="shared" si="214"/>
        <v>0</v>
      </c>
      <c r="DH178" s="161">
        <f t="shared" si="215"/>
        <v>0</v>
      </c>
      <c r="DI178" s="161">
        <f t="shared" si="216"/>
        <v>0</v>
      </c>
      <c r="DJ178" s="161">
        <f t="shared" si="217"/>
        <v>0</v>
      </c>
      <c r="DK178" s="161">
        <f t="shared" si="218"/>
        <v>0</v>
      </c>
      <c r="DL178" s="161">
        <f t="shared" si="219"/>
        <v>0</v>
      </c>
      <c r="DM178" s="161">
        <f t="shared" si="220"/>
        <v>0</v>
      </c>
      <c r="DN178" s="161">
        <f t="shared" si="221"/>
        <v>0</v>
      </c>
      <c r="DO178" s="161">
        <f t="shared" si="222"/>
        <v>0</v>
      </c>
      <c r="DP178" s="161">
        <f t="shared" si="223"/>
        <v>0</v>
      </c>
      <c r="DQ178" s="161">
        <f t="shared" si="224"/>
        <v>0</v>
      </c>
      <c r="DR178" s="161">
        <f t="shared" si="225"/>
        <v>0</v>
      </c>
      <c r="DS178" s="161">
        <f t="shared" si="226"/>
        <v>0</v>
      </c>
      <c r="DT178" s="161">
        <f t="shared" si="227"/>
        <v>0</v>
      </c>
      <c r="DU178" s="161">
        <f t="shared" si="228"/>
        <v>0</v>
      </c>
      <c r="DV178" s="161">
        <f t="shared" si="229"/>
        <v>0</v>
      </c>
      <c r="DW178" s="161">
        <f t="shared" si="230"/>
        <v>0</v>
      </c>
      <c r="DX178" s="161">
        <f t="shared" si="231"/>
        <v>0</v>
      </c>
      <c r="DY178" s="161">
        <f t="shared" si="232"/>
        <v>0</v>
      </c>
      <c r="DZ178" s="161">
        <f t="shared" si="233"/>
        <v>0</v>
      </c>
      <c r="EA178" s="161">
        <f t="shared" si="234"/>
        <v>0</v>
      </c>
      <c r="EB178" s="161">
        <f t="shared" si="235"/>
        <v>0</v>
      </c>
      <c r="EC178" s="161">
        <f t="shared" si="236"/>
        <v>0</v>
      </c>
      <c r="ED178" s="161">
        <f t="shared" si="237"/>
        <v>0</v>
      </c>
      <c r="EE178" s="161">
        <f t="shared" si="238"/>
        <v>0</v>
      </c>
      <c r="EF178" s="161">
        <f t="shared" si="239"/>
        <v>0</v>
      </c>
      <c r="EG178" s="161">
        <f t="shared" si="240"/>
        <v>0</v>
      </c>
      <c r="EH178" s="161">
        <f t="shared" si="241"/>
        <v>0</v>
      </c>
      <c r="EI178" s="161">
        <f t="shared" si="242"/>
        <v>0</v>
      </c>
      <c r="EJ178" s="161">
        <f t="shared" si="243"/>
        <v>0</v>
      </c>
      <c r="EK178" s="147">
        <f t="shared" si="175"/>
        <v>0</v>
      </c>
      <c r="EL178" s="149"/>
      <c r="EN178" s="146"/>
      <c r="EO178" s="146"/>
      <c r="EP178" s="139">
        <f t="shared" si="176"/>
        <v>0</v>
      </c>
      <c r="EQ178" s="139">
        <f t="shared" si="177"/>
        <v>0</v>
      </c>
      <c r="ER178" s="139">
        <f t="shared" si="178"/>
        <v>0</v>
      </c>
      <c r="ES178" s="139">
        <f t="shared" si="179"/>
        <v>0</v>
      </c>
      <c r="ET178" s="139">
        <f t="shared" si="180"/>
        <v>0</v>
      </c>
      <c r="EU178" s="139">
        <f t="shared" si="181"/>
        <v>0</v>
      </c>
      <c r="EV178" s="139">
        <f t="shared" si="182"/>
        <v>0</v>
      </c>
      <c r="EW178" s="139">
        <f t="shared" si="183"/>
        <v>0</v>
      </c>
      <c r="EX178" s="139">
        <f t="shared" si="184"/>
        <v>0</v>
      </c>
      <c r="EY178" s="139">
        <f t="shared" si="185"/>
        <v>0</v>
      </c>
      <c r="EZ178" s="139">
        <f t="shared" si="186"/>
        <v>0</v>
      </c>
      <c r="FA178" s="139">
        <f t="shared" si="187"/>
        <v>0</v>
      </c>
      <c r="FB178" s="139">
        <f t="shared" si="188"/>
        <v>0</v>
      </c>
      <c r="FC178" s="139">
        <f t="shared" si="189"/>
        <v>0</v>
      </c>
      <c r="FD178" s="139">
        <f t="shared" si="190"/>
        <v>0</v>
      </c>
      <c r="FE178" s="139">
        <f t="shared" si="191"/>
        <v>0</v>
      </c>
      <c r="FF178" s="139">
        <f t="shared" si="192"/>
        <v>0</v>
      </c>
      <c r="FG178" s="139">
        <f t="shared" si="193"/>
        <v>0</v>
      </c>
      <c r="FH178" s="139">
        <f t="shared" si="194"/>
        <v>0</v>
      </c>
      <c r="FI178" s="139">
        <f t="shared" si="195"/>
        <v>0</v>
      </c>
      <c r="FJ178" s="139">
        <f t="shared" si="196"/>
        <v>0</v>
      </c>
      <c r="FK178" s="139">
        <f t="shared" si="197"/>
        <v>0</v>
      </c>
      <c r="FL178" s="139">
        <f t="shared" si="198"/>
        <v>0</v>
      </c>
      <c r="FM178" s="139">
        <f t="shared" si="199"/>
        <v>0</v>
      </c>
      <c r="FN178" s="139">
        <f t="shared" si="200"/>
        <v>0</v>
      </c>
      <c r="FO178" s="139">
        <f t="shared" si="201"/>
        <v>0</v>
      </c>
      <c r="FP178" s="139">
        <f t="shared" si="202"/>
        <v>0</v>
      </c>
      <c r="FQ178" s="139">
        <f t="shared" si="203"/>
        <v>0</v>
      </c>
      <c r="FR178" s="139">
        <f t="shared" si="204"/>
        <v>0</v>
      </c>
      <c r="FS178" s="139">
        <f t="shared" si="205"/>
        <v>0</v>
      </c>
      <c r="FT178" s="139">
        <f t="shared" si="206"/>
        <v>0</v>
      </c>
      <c r="FU178" s="148">
        <f t="shared" si="207"/>
        <v>0</v>
      </c>
      <c r="FV178" s="149"/>
      <c r="FY178" s="211">
        <v>173</v>
      </c>
      <c r="FZ178">
        <v>1.2891813797105551</v>
      </c>
      <c r="GA178">
        <v>1.6929858579985524</v>
      </c>
      <c r="GB178">
        <v>0.97988761064039054</v>
      </c>
      <c r="GC178">
        <v>0.75931660863369577</v>
      </c>
      <c r="GD178">
        <v>0.27967279041029247</v>
      </c>
      <c r="GE178">
        <v>0.16653080081070001</v>
      </c>
      <c r="GF178">
        <v>4.0519097411428125E-2</v>
      </c>
      <c r="GG178">
        <v>0</v>
      </c>
      <c r="GH178">
        <v>2.2985735835423678E-2</v>
      </c>
      <c r="GI178">
        <v>0.59997921537733223</v>
      </c>
      <c r="GJ178"/>
      <c r="GK178">
        <v>1.284751838235294</v>
      </c>
      <c r="GL178">
        <v>1.4258455882352938</v>
      </c>
      <c r="GM178">
        <v>1.6084517045454545</v>
      </c>
      <c r="GN178">
        <v>2.2272860795454541</v>
      </c>
      <c r="GO178">
        <v>1.064053125</v>
      </c>
      <c r="GP178">
        <v>0.31312499999999999</v>
      </c>
      <c r="GQ178">
        <v>4.8843750000000005E-2</v>
      </c>
      <c r="GR178">
        <v>0</v>
      </c>
      <c r="GS178">
        <v>2.4293870192307693E-2</v>
      </c>
      <c r="GT178">
        <v>0.80607885759461118</v>
      </c>
      <c r="GU178"/>
      <c r="GV178"/>
      <c r="GW178"/>
      <c r="GX178"/>
      <c r="GY178"/>
      <c r="GZ178"/>
      <c r="HA178"/>
      <c r="HB178"/>
      <c r="HC178"/>
    </row>
    <row r="179" spans="1:211" s="7" customFormat="1">
      <c r="A179" s="1"/>
      <c r="B179" s="76">
        <f t="shared" ca="1" si="172"/>
        <v>0.11492003524559102</v>
      </c>
      <c r="C179">
        <v>7</v>
      </c>
      <c r="D179">
        <v>39987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 s="2"/>
      <c r="AK179" s="80"/>
      <c r="AL179" s="74">
        <v>3.0028000000000028</v>
      </c>
      <c r="AM179" s="43">
        <v>163</v>
      </c>
      <c r="AN179">
        <v>52.600584988268814</v>
      </c>
      <c r="AO179">
        <v>0.98445086034125173</v>
      </c>
      <c r="AP179">
        <v>10.207679761123204</v>
      </c>
      <c r="AQ179">
        <v>5.9456865824322245</v>
      </c>
      <c r="AR179">
        <v>0.89937239489064869</v>
      </c>
      <c r="AS179">
        <v>4.3659061865156428</v>
      </c>
      <c r="AT179" t="e">
        <v>#DIV/0!</v>
      </c>
      <c r="AU179" t="e">
        <v>#DIV/0!</v>
      </c>
      <c r="AV179"/>
      <c r="AW179"/>
      <c r="AX179" s="146"/>
      <c r="AY179" s="76">
        <f t="shared" ca="1" si="173"/>
        <v>0.16729734870830804</v>
      </c>
      <c r="AZ179">
        <v>2</v>
      </c>
      <c r="BA179" s="129">
        <f t="shared" ref="BA179:BA187" si="249">IF(AZ179="", "",$C$13)</f>
        <v>39987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 s="147"/>
      <c r="CH179" s="176"/>
      <c r="CJ179" s="146"/>
      <c r="CK179" s="76">
        <f t="shared" ca="1" si="208"/>
        <v>0.68784259213165555</v>
      </c>
      <c r="CL179" s="179">
        <f t="shared" si="209"/>
        <v>2</v>
      </c>
      <c r="CM179" s="180">
        <f t="shared" si="210"/>
        <v>39987</v>
      </c>
      <c r="CN179">
        <v>0</v>
      </c>
      <c r="CO179">
        <v>0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0</v>
      </c>
      <c r="CV179" s="160"/>
      <c r="CW179">
        <v>1</v>
      </c>
      <c r="CX179">
        <f>355/64</f>
        <v>5.546875</v>
      </c>
      <c r="CY179" s="160"/>
      <c r="CZ179" s="177">
        <f t="shared" si="211"/>
        <v>9.6000000000000002E-2</v>
      </c>
      <c r="DB179" s="146"/>
      <c r="DC179" s="76">
        <f t="shared" ca="1" si="174"/>
        <v>0.71984760671417991</v>
      </c>
      <c r="DD179">
        <f t="shared" si="212"/>
        <v>2</v>
      </c>
      <c r="DE179" s="129">
        <f t="shared" si="248"/>
        <v>39987</v>
      </c>
      <c r="DF179" s="161">
        <f t="shared" si="213"/>
        <v>0</v>
      </c>
      <c r="DG179" s="161">
        <f t="shared" si="214"/>
        <v>0</v>
      </c>
      <c r="DH179" s="161">
        <f t="shared" si="215"/>
        <v>0</v>
      </c>
      <c r="DI179" s="161">
        <f t="shared" si="216"/>
        <v>0</v>
      </c>
      <c r="DJ179" s="161">
        <f t="shared" si="217"/>
        <v>0</v>
      </c>
      <c r="DK179" s="161">
        <f t="shared" si="218"/>
        <v>0</v>
      </c>
      <c r="DL179" s="161">
        <f t="shared" si="219"/>
        <v>0</v>
      </c>
      <c r="DM179" s="161">
        <f t="shared" si="220"/>
        <v>0</v>
      </c>
      <c r="DN179" s="161">
        <f t="shared" si="221"/>
        <v>0</v>
      </c>
      <c r="DO179" s="161">
        <f t="shared" si="222"/>
        <v>0</v>
      </c>
      <c r="DP179" s="161">
        <f t="shared" si="223"/>
        <v>0</v>
      </c>
      <c r="DQ179" s="161">
        <f t="shared" si="224"/>
        <v>0</v>
      </c>
      <c r="DR179" s="161">
        <f t="shared" si="225"/>
        <v>0</v>
      </c>
      <c r="DS179" s="161">
        <f t="shared" si="226"/>
        <v>0</v>
      </c>
      <c r="DT179" s="161">
        <f t="shared" si="227"/>
        <v>0</v>
      </c>
      <c r="DU179" s="161">
        <f t="shared" si="228"/>
        <v>0</v>
      </c>
      <c r="DV179" s="161">
        <f t="shared" si="229"/>
        <v>0</v>
      </c>
      <c r="DW179" s="161">
        <f t="shared" si="230"/>
        <v>0</v>
      </c>
      <c r="DX179" s="161">
        <f t="shared" si="231"/>
        <v>0</v>
      </c>
      <c r="DY179" s="161">
        <f t="shared" si="232"/>
        <v>0</v>
      </c>
      <c r="DZ179" s="161">
        <f t="shared" si="233"/>
        <v>0</v>
      </c>
      <c r="EA179" s="161">
        <f t="shared" si="234"/>
        <v>0</v>
      </c>
      <c r="EB179" s="161">
        <f t="shared" si="235"/>
        <v>0</v>
      </c>
      <c r="EC179" s="161">
        <f t="shared" si="236"/>
        <v>0</v>
      </c>
      <c r="ED179" s="161">
        <f t="shared" si="237"/>
        <v>0</v>
      </c>
      <c r="EE179" s="161">
        <f t="shared" si="238"/>
        <v>0</v>
      </c>
      <c r="EF179" s="161">
        <f t="shared" si="239"/>
        <v>0</v>
      </c>
      <c r="EG179" s="161">
        <f t="shared" si="240"/>
        <v>0</v>
      </c>
      <c r="EH179" s="161">
        <f t="shared" si="241"/>
        <v>0</v>
      </c>
      <c r="EI179" s="161">
        <f t="shared" si="242"/>
        <v>0</v>
      </c>
      <c r="EJ179" s="161">
        <f t="shared" si="243"/>
        <v>0</v>
      </c>
      <c r="EK179" s="147">
        <f t="shared" si="175"/>
        <v>0</v>
      </c>
      <c r="EL179" s="149"/>
      <c r="EN179" s="146"/>
      <c r="EO179" s="146"/>
      <c r="EP179" s="139">
        <f t="shared" si="176"/>
        <v>0</v>
      </c>
      <c r="EQ179" s="139">
        <f t="shared" si="177"/>
        <v>0</v>
      </c>
      <c r="ER179" s="139">
        <f t="shared" si="178"/>
        <v>0</v>
      </c>
      <c r="ES179" s="139">
        <f t="shared" si="179"/>
        <v>0</v>
      </c>
      <c r="ET179" s="139">
        <f t="shared" si="180"/>
        <v>0</v>
      </c>
      <c r="EU179" s="139">
        <f t="shared" si="181"/>
        <v>0</v>
      </c>
      <c r="EV179" s="139">
        <f t="shared" si="182"/>
        <v>0</v>
      </c>
      <c r="EW179" s="139">
        <f t="shared" si="183"/>
        <v>0</v>
      </c>
      <c r="EX179" s="139">
        <f t="shared" si="184"/>
        <v>0</v>
      </c>
      <c r="EY179" s="139">
        <f t="shared" si="185"/>
        <v>0</v>
      </c>
      <c r="EZ179" s="139">
        <f t="shared" si="186"/>
        <v>0</v>
      </c>
      <c r="FA179" s="139">
        <f t="shared" si="187"/>
        <v>0</v>
      </c>
      <c r="FB179" s="139">
        <f t="shared" si="188"/>
        <v>0</v>
      </c>
      <c r="FC179" s="139">
        <f t="shared" si="189"/>
        <v>0</v>
      </c>
      <c r="FD179" s="139">
        <f t="shared" si="190"/>
        <v>0</v>
      </c>
      <c r="FE179" s="139">
        <f t="shared" si="191"/>
        <v>0</v>
      </c>
      <c r="FF179" s="139">
        <f t="shared" si="192"/>
        <v>0</v>
      </c>
      <c r="FG179" s="139">
        <f t="shared" si="193"/>
        <v>0</v>
      </c>
      <c r="FH179" s="139">
        <f t="shared" si="194"/>
        <v>0</v>
      </c>
      <c r="FI179" s="139">
        <f t="shared" si="195"/>
        <v>0</v>
      </c>
      <c r="FJ179" s="139">
        <f t="shared" si="196"/>
        <v>0</v>
      </c>
      <c r="FK179" s="139">
        <f t="shared" si="197"/>
        <v>0</v>
      </c>
      <c r="FL179" s="139">
        <f t="shared" si="198"/>
        <v>0</v>
      </c>
      <c r="FM179" s="139">
        <f t="shared" si="199"/>
        <v>0</v>
      </c>
      <c r="FN179" s="139">
        <f t="shared" si="200"/>
        <v>0</v>
      </c>
      <c r="FO179" s="139">
        <f t="shared" si="201"/>
        <v>0</v>
      </c>
      <c r="FP179" s="139">
        <f t="shared" si="202"/>
        <v>0</v>
      </c>
      <c r="FQ179" s="139">
        <f t="shared" si="203"/>
        <v>0</v>
      </c>
      <c r="FR179" s="139">
        <f t="shared" si="204"/>
        <v>0</v>
      </c>
      <c r="FS179" s="139">
        <f t="shared" si="205"/>
        <v>0</v>
      </c>
      <c r="FT179" s="139">
        <f t="shared" si="206"/>
        <v>0</v>
      </c>
      <c r="FU179" s="148">
        <f t="shared" si="207"/>
        <v>0</v>
      </c>
      <c r="FV179" s="149"/>
      <c r="FY179" s="211">
        <v>174</v>
      </c>
      <c r="FZ179">
        <v>0.7102712120951109</v>
      </c>
      <c r="GA179">
        <v>1.3632225311484645</v>
      </c>
      <c r="GB179">
        <v>0.66038575175521519</v>
      </c>
      <c r="GC179">
        <v>0.59626829399902936</v>
      </c>
      <c r="GD179">
        <v>0.41815868866197425</v>
      </c>
      <c r="GE179">
        <v>0.15796961026852496</v>
      </c>
      <c r="GF179">
        <v>1.0428119533082629</v>
      </c>
      <c r="GG179">
        <v>0.8686264624209391</v>
      </c>
      <c r="GH179">
        <v>4.5971471670847357E-2</v>
      </c>
      <c r="GI179">
        <v>0.69806396594280284</v>
      </c>
      <c r="GJ179"/>
      <c r="GK179">
        <v>0.70785937499999996</v>
      </c>
      <c r="GL179">
        <v>1.1482148437499999</v>
      </c>
      <c r="GM179">
        <v>1.08367578125</v>
      </c>
      <c r="GN179">
        <v>1.746518080357143</v>
      </c>
      <c r="GO179">
        <v>1.590182142857143</v>
      </c>
      <c r="GP179">
        <v>0.29676562500000003</v>
      </c>
      <c r="GQ179">
        <v>1.2571915760869565</v>
      </c>
      <c r="GR179">
        <v>1.2083478260869565</v>
      </c>
      <c r="GS179">
        <v>4.8587740384615385E-2</v>
      </c>
      <c r="GT179">
        <v>0.93749932311574302</v>
      </c>
      <c r="GU179"/>
      <c r="GV179"/>
      <c r="GW179"/>
      <c r="GX179"/>
      <c r="GY179"/>
      <c r="GZ179"/>
      <c r="HA179"/>
      <c r="HB179"/>
      <c r="HC179"/>
    </row>
    <row r="180" spans="1:211" s="7" customFormat="1">
      <c r="A180" s="1"/>
      <c r="B180" s="76">
        <f t="shared" ca="1" si="172"/>
        <v>0.76185755528775823</v>
      </c>
      <c r="C180">
        <v>1</v>
      </c>
      <c r="D180">
        <v>39987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 s="2"/>
      <c r="AK180" s="80"/>
      <c r="AL180" s="74">
        <v>3.0028000000000028</v>
      </c>
      <c r="AM180" s="43">
        <v>164</v>
      </c>
      <c r="AN180">
        <v>72.410909463423053</v>
      </c>
      <c r="AO180">
        <v>1.680615622379658</v>
      </c>
      <c r="AP180">
        <v>2.336698980627252</v>
      </c>
      <c r="AQ180">
        <v>9.6224467748192062</v>
      </c>
      <c r="AR180">
        <v>1.5495653385269619</v>
      </c>
      <c r="AS180">
        <v>6.4236841280994819</v>
      </c>
      <c r="AT180" t="e">
        <v>#DIV/0!</v>
      </c>
      <c r="AU180" t="e">
        <v>#DIV/0!</v>
      </c>
      <c r="AV180"/>
      <c r="AW180"/>
      <c r="AX180" s="146"/>
      <c r="AY180" s="76">
        <f t="shared" ca="1" si="173"/>
        <v>0.49650700939476833</v>
      </c>
      <c r="AZ180">
        <v>3</v>
      </c>
      <c r="BA180" s="129">
        <f t="shared" si="249"/>
        <v>39987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  <c r="CF180">
        <v>0</v>
      </c>
      <c r="CG180" s="147"/>
      <c r="CH180" s="176"/>
      <c r="CJ180" s="146"/>
      <c r="CK180" s="76">
        <f t="shared" ca="1" si="208"/>
        <v>0.89269364958348962</v>
      </c>
      <c r="CL180" s="179">
        <f t="shared" si="209"/>
        <v>3</v>
      </c>
      <c r="CM180" s="180">
        <f t="shared" si="210"/>
        <v>39987</v>
      </c>
      <c r="CN180">
        <v>0</v>
      </c>
      <c r="CO180">
        <v>0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0</v>
      </c>
      <c r="CV180" s="160"/>
      <c r="CW180">
        <v>1</v>
      </c>
      <c r="CX180">
        <f>350/54</f>
        <v>6.4814814814814818</v>
      </c>
      <c r="CY180" s="160"/>
      <c r="CZ180" s="177">
        <f t="shared" si="211"/>
        <v>9.6000000000000002E-2</v>
      </c>
      <c r="DB180" s="146"/>
      <c r="DC180" s="76">
        <f t="shared" ca="1" si="174"/>
        <v>0.80755865394611814</v>
      </c>
      <c r="DD180">
        <f t="shared" si="212"/>
        <v>3</v>
      </c>
      <c r="DE180" s="129">
        <f t="shared" si="248"/>
        <v>39987</v>
      </c>
      <c r="DF180" s="161">
        <f t="shared" si="213"/>
        <v>0</v>
      </c>
      <c r="DG180" s="161">
        <f t="shared" si="214"/>
        <v>0</v>
      </c>
      <c r="DH180" s="161">
        <f t="shared" si="215"/>
        <v>0</v>
      </c>
      <c r="DI180" s="161">
        <f t="shared" si="216"/>
        <v>0</v>
      </c>
      <c r="DJ180" s="161">
        <f t="shared" si="217"/>
        <v>0</v>
      </c>
      <c r="DK180" s="161">
        <f t="shared" si="218"/>
        <v>0</v>
      </c>
      <c r="DL180" s="161">
        <f t="shared" si="219"/>
        <v>0</v>
      </c>
      <c r="DM180" s="161">
        <f t="shared" si="220"/>
        <v>0</v>
      </c>
      <c r="DN180" s="161">
        <f t="shared" si="221"/>
        <v>0</v>
      </c>
      <c r="DO180" s="161">
        <f t="shared" si="222"/>
        <v>0</v>
      </c>
      <c r="DP180" s="161">
        <f t="shared" si="223"/>
        <v>0</v>
      </c>
      <c r="DQ180" s="161">
        <f t="shared" si="224"/>
        <v>0</v>
      </c>
      <c r="DR180" s="161">
        <f t="shared" si="225"/>
        <v>0</v>
      </c>
      <c r="DS180" s="161">
        <f t="shared" si="226"/>
        <v>0</v>
      </c>
      <c r="DT180" s="161">
        <f t="shared" si="227"/>
        <v>0</v>
      </c>
      <c r="DU180" s="161">
        <f t="shared" si="228"/>
        <v>0</v>
      </c>
      <c r="DV180" s="161">
        <f t="shared" si="229"/>
        <v>0</v>
      </c>
      <c r="DW180" s="161">
        <f t="shared" si="230"/>
        <v>0</v>
      </c>
      <c r="DX180" s="161">
        <f t="shared" si="231"/>
        <v>0</v>
      </c>
      <c r="DY180" s="161">
        <f t="shared" si="232"/>
        <v>0</v>
      </c>
      <c r="DZ180" s="161">
        <f t="shared" si="233"/>
        <v>0</v>
      </c>
      <c r="EA180" s="161">
        <f t="shared" si="234"/>
        <v>0</v>
      </c>
      <c r="EB180" s="161">
        <f t="shared" si="235"/>
        <v>0</v>
      </c>
      <c r="EC180" s="161">
        <f t="shared" si="236"/>
        <v>0</v>
      </c>
      <c r="ED180" s="161">
        <f t="shared" si="237"/>
        <v>0</v>
      </c>
      <c r="EE180" s="161">
        <f t="shared" si="238"/>
        <v>0</v>
      </c>
      <c r="EF180" s="161">
        <f t="shared" si="239"/>
        <v>0</v>
      </c>
      <c r="EG180" s="161">
        <f t="shared" si="240"/>
        <v>0</v>
      </c>
      <c r="EH180" s="161">
        <f t="shared" si="241"/>
        <v>0</v>
      </c>
      <c r="EI180" s="161">
        <f t="shared" si="242"/>
        <v>0</v>
      </c>
      <c r="EJ180" s="161">
        <f t="shared" si="243"/>
        <v>0</v>
      </c>
      <c r="EK180" s="147">
        <f t="shared" si="175"/>
        <v>0</v>
      </c>
      <c r="EL180" s="149"/>
      <c r="EN180" s="146"/>
      <c r="EO180" s="146"/>
      <c r="EP180" s="139">
        <f t="shared" si="176"/>
        <v>0</v>
      </c>
      <c r="EQ180" s="139">
        <f t="shared" si="177"/>
        <v>0</v>
      </c>
      <c r="ER180" s="139">
        <f t="shared" si="178"/>
        <v>0</v>
      </c>
      <c r="ES180" s="139">
        <f t="shared" si="179"/>
        <v>0</v>
      </c>
      <c r="ET180" s="139">
        <f t="shared" si="180"/>
        <v>0</v>
      </c>
      <c r="EU180" s="139">
        <f t="shared" si="181"/>
        <v>0</v>
      </c>
      <c r="EV180" s="139">
        <f t="shared" si="182"/>
        <v>0</v>
      </c>
      <c r="EW180" s="139">
        <f t="shared" si="183"/>
        <v>0</v>
      </c>
      <c r="EX180" s="139">
        <f t="shared" si="184"/>
        <v>0</v>
      </c>
      <c r="EY180" s="139">
        <f t="shared" si="185"/>
        <v>0</v>
      </c>
      <c r="EZ180" s="139">
        <f t="shared" si="186"/>
        <v>0</v>
      </c>
      <c r="FA180" s="139">
        <f t="shared" si="187"/>
        <v>0</v>
      </c>
      <c r="FB180" s="139">
        <f t="shared" si="188"/>
        <v>0</v>
      </c>
      <c r="FC180" s="139">
        <f t="shared" si="189"/>
        <v>0</v>
      </c>
      <c r="FD180" s="139">
        <f t="shared" si="190"/>
        <v>0</v>
      </c>
      <c r="FE180" s="139">
        <f t="shared" si="191"/>
        <v>0</v>
      </c>
      <c r="FF180" s="139">
        <f t="shared" si="192"/>
        <v>0</v>
      </c>
      <c r="FG180" s="139">
        <f t="shared" si="193"/>
        <v>0</v>
      </c>
      <c r="FH180" s="139">
        <f t="shared" si="194"/>
        <v>0</v>
      </c>
      <c r="FI180" s="139">
        <f t="shared" si="195"/>
        <v>0</v>
      </c>
      <c r="FJ180" s="139">
        <f t="shared" si="196"/>
        <v>0</v>
      </c>
      <c r="FK180" s="139">
        <f t="shared" si="197"/>
        <v>0</v>
      </c>
      <c r="FL180" s="139">
        <f t="shared" si="198"/>
        <v>0</v>
      </c>
      <c r="FM180" s="139">
        <f t="shared" si="199"/>
        <v>0</v>
      </c>
      <c r="FN180" s="139">
        <f t="shared" si="200"/>
        <v>0</v>
      </c>
      <c r="FO180" s="139">
        <f t="shared" si="201"/>
        <v>0</v>
      </c>
      <c r="FP180" s="139">
        <f t="shared" si="202"/>
        <v>0</v>
      </c>
      <c r="FQ180" s="139">
        <f t="shared" si="203"/>
        <v>0</v>
      </c>
      <c r="FR180" s="139">
        <f t="shared" si="204"/>
        <v>0</v>
      </c>
      <c r="FS180" s="139">
        <f t="shared" si="205"/>
        <v>0</v>
      </c>
      <c r="FT180" s="139">
        <f t="shared" si="206"/>
        <v>0</v>
      </c>
      <c r="FU180" s="148">
        <f t="shared" si="207"/>
        <v>0</v>
      </c>
      <c r="FV180" s="149"/>
      <c r="FY180" s="211">
        <v>175</v>
      </c>
      <c r="FZ180">
        <v>0.40696471270252682</v>
      </c>
      <c r="GA180">
        <v>0.78360679928735943</v>
      </c>
      <c r="GB180">
        <v>1.4358332928917812</v>
      </c>
      <c r="GC180">
        <v>0.9465025813698823</v>
      </c>
      <c r="GD180">
        <v>0.26387531824233856</v>
      </c>
      <c r="GE180">
        <v>0.11648028087809999</v>
      </c>
      <c r="GF180">
        <v>1.0284381956596096</v>
      </c>
      <c r="GG180">
        <v>0.856333105575251</v>
      </c>
      <c r="GH180">
        <v>0</v>
      </c>
      <c r="GI180">
        <v>0.74544641688965974</v>
      </c>
      <c r="GJ180"/>
      <c r="GK180">
        <v>0.40554374999999993</v>
      </c>
      <c r="GL180">
        <v>0.65972343750000007</v>
      </c>
      <c r="GM180">
        <v>2.3573721590909087</v>
      </c>
      <c r="GN180">
        <v>2.7774505073051947</v>
      </c>
      <c r="GO180">
        <v>1.0037892857142856</v>
      </c>
      <c r="GP180">
        <v>0.21899999999999997</v>
      </c>
      <c r="GQ180">
        <v>1.2406589673913042</v>
      </c>
      <c r="GR180">
        <v>1.1918152173913041</v>
      </c>
      <c r="GS180">
        <v>0</v>
      </c>
      <c r="GT180">
        <v>1.0014728324392996</v>
      </c>
      <c r="GU180"/>
      <c r="GV180"/>
      <c r="GW180"/>
      <c r="GX180"/>
      <c r="GY180"/>
      <c r="GZ180"/>
      <c r="HA180"/>
      <c r="HB180"/>
      <c r="HC180"/>
    </row>
    <row r="181" spans="1:211" s="7" customFormat="1">
      <c r="A181" s="1"/>
      <c r="B181" s="76">
        <f t="shared" ca="1" si="172"/>
        <v>0.77724173840064736</v>
      </c>
      <c r="C181">
        <v>9</v>
      </c>
      <c r="D181">
        <v>39987</v>
      </c>
      <c r="E181">
        <v>70.112179487179489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 s="2"/>
      <c r="AK181" s="80"/>
      <c r="AL181" s="74">
        <v>3.0028000000000028</v>
      </c>
      <c r="AM181" s="43">
        <v>165</v>
      </c>
      <c r="AN181">
        <v>52.511289098972917</v>
      </c>
      <c r="AO181">
        <v>1.3486915695903359</v>
      </c>
      <c r="AP181">
        <v>3.8845068488822405</v>
      </c>
      <c r="AQ181">
        <v>8.0638807336268084</v>
      </c>
      <c r="AR181">
        <v>1.2405718814457602</v>
      </c>
      <c r="AS181">
        <v>4.2394950298825274</v>
      </c>
      <c r="AT181" t="e">
        <v>#DIV/0!</v>
      </c>
      <c r="AU181" t="e">
        <v>#DIV/0!</v>
      </c>
      <c r="AV181"/>
      <c r="AW181"/>
      <c r="AX181" s="146"/>
      <c r="AY181" s="76">
        <f t="shared" ca="1" si="173"/>
        <v>0.22300328093106714</v>
      </c>
      <c r="AZ181">
        <v>4</v>
      </c>
      <c r="BA181" s="129">
        <f t="shared" si="249"/>
        <v>39987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 s="147"/>
      <c r="CH181" s="176"/>
      <c r="CJ181" s="146"/>
      <c r="CK181" s="76">
        <f t="shared" ca="1" si="208"/>
        <v>0.10873900830661132</v>
      </c>
      <c r="CL181" s="179">
        <f t="shared" si="209"/>
        <v>4</v>
      </c>
      <c r="CM181" s="180">
        <f t="shared" si="210"/>
        <v>39987</v>
      </c>
      <c r="CN181">
        <v>0</v>
      </c>
      <c r="CO181">
        <v>0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0</v>
      </c>
      <c r="CV181" s="160"/>
      <c r="CW181">
        <v>1</v>
      </c>
      <c r="CX181">
        <f>350/41</f>
        <v>8.536585365853659</v>
      </c>
      <c r="CY181" s="160"/>
      <c r="CZ181" s="177">
        <f t="shared" si="211"/>
        <v>9.6000000000000002E-2</v>
      </c>
      <c r="DB181" s="146"/>
      <c r="DC181" s="76">
        <f t="shared" ca="1" si="174"/>
        <v>0.22430055872585886</v>
      </c>
      <c r="DD181">
        <f t="shared" si="212"/>
        <v>4</v>
      </c>
      <c r="DE181" s="129">
        <f t="shared" si="248"/>
        <v>39987</v>
      </c>
      <c r="DF181" s="161">
        <f t="shared" si="213"/>
        <v>0</v>
      </c>
      <c r="DG181" s="161">
        <f t="shared" si="214"/>
        <v>0</v>
      </c>
      <c r="DH181" s="161">
        <f t="shared" si="215"/>
        <v>0</v>
      </c>
      <c r="DI181" s="161">
        <f t="shared" si="216"/>
        <v>0</v>
      </c>
      <c r="DJ181" s="161">
        <f t="shared" si="217"/>
        <v>0</v>
      </c>
      <c r="DK181" s="161">
        <f t="shared" si="218"/>
        <v>0</v>
      </c>
      <c r="DL181" s="161">
        <f t="shared" si="219"/>
        <v>0</v>
      </c>
      <c r="DM181" s="161">
        <f t="shared" si="220"/>
        <v>0</v>
      </c>
      <c r="DN181" s="161">
        <f t="shared" si="221"/>
        <v>0</v>
      </c>
      <c r="DO181" s="161">
        <f t="shared" si="222"/>
        <v>0</v>
      </c>
      <c r="DP181" s="161">
        <f t="shared" si="223"/>
        <v>0</v>
      </c>
      <c r="DQ181" s="161">
        <f t="shared" si="224"/>
        <v>0</v>
      </c>
      <c r="DR181" s="161">
        <f t="shared" si="225"/>
        <v>0</v>
      </c>
      <c r="DS181" s="161">
        <f t="shared" si="226"/>
        <v>0</v>
      </c>
      <c r="DT181" s="161">
        <f t="shared" si="227"/>
        <v>0</v>
      </c>
      <c r="DU181" s="161">
        <f t="shared" si="228"/>
        <v>0</v>
      </c>
      <c r="DV181" s="161">
        <f t="shared" si="229"/>
        <v>0</v>
      </c>
      <c r="DW181" s="161">
        <f t="shared" si="230"/>
        <v>0</v>
      </c>
      <c r="DX181" s="161">
        <f t="shared" si="231"/>
        <v>0</v>
      </c>
      <c r="DY181" s="161">
        <f t="shared" si="232"/>
        <v>0</v>
      </c>
      <c r="DZ181" s="161">
        <f t="shared" si="233"/>
        <v>0</v>
      </c>
      <c r="EA181" s="161">
        <f t="shared" si="234"/>
        <v>0</v>
      </c>
      <c r="EB181" s="161">
        <f t="shared" si="235"/>
        <v>0</v>
      </c>
      <c r="EC181" s="161">
        <f t="shared" si="236"/>
        <v>0</v>
      </c>
      <c r="ED181" s="161">
        <f t="shared" si="237"/>
        <v>0</v>
      </c>
      <c r="EE181" s="161">
        <f t="shared" si="238"/>
        <v>0</v>
      </c>
      <c r="EF181" s="161">
        <f t="shared" si="239"/>
        <v>0</v>
      </c>
      <c r="EG181" s="161">
        <f t="shared" si="240"/>
        <v>0</v>
      </c>
      <c r="EH181" s="161">
        <f t="shared" si="241"/>
        <v>0</v>
      </c>
      <c r="EI181" s="161">
        <f t="shared" si="242"/>
        <v>0</v>
      </c>
      <c r="EJ181" s="161">
        <f t="shared" si="243"/>
        <v>0</v>
      </c>
      <c r="EK181" s="147">
        <f t="shared" si="175"/>
        <v>0</v>
      </c>
      <c r="EL181" s="149"/>
      <c r="EN181" s="146"/>
      <c r="EO181" s="146"/>
      <c r="EP181" s="139">
        <f t="shared" si="176"/>
        <v>0</v>
      </c>
      <c r="EQ181" s="139">
        <f t="shared" si="177"/>
        <v>0</v>
      </c>
      <c r="ER181" s="139">
        <f t="shared" si="178"/>
        <v>0</v>
      </c>
      <c r="ES181" s="139">
        <f t="shared" si="179"/>
        <v>0</v>
      </c>
      <c r="ET181" s="139">
        <f t="shared" si="180"/>
        <v>0</v>
      </c>
      <c r="EU181" s="139">
        <f t="shared" si="181"/>
        <v>0</v>
      </c>
      <c r="EV181" s="139">
        <f t="shared" si="182"/>
        <v>0</v>
      </c>
      <c r="EW181" s="139">
        <f t="shared" si="183"/>
        <v>0</v>
      </c>
      <c r="EX181" s="139">
        <f t="shared" si="184"/>
        <v>0</v>
      </c>
      <c r="EY181" s="139">
        <f t="shared" si="185"/>
        <v>0</v>
      </c>
      <c r="EZ181" s="139">
        <f t="shared" si="186"/>
        <v>0</v>
      </c>
      <c r="FA181" s="139">
        <f t="shared" si="187"/>
        <v>0</v>
      </c>
      <c r="FB181" s="139">
        <f t="shared" si="188"/>
        <v>0</v>
      </c>
      <c r="FC181" s="139">
        <f t="shared" si="189"/>
        <v>0</v>
      </c>
      <c r="FD181" s="139">
        <f t="shared" si="190"/>
        <v>0</v>
      </c>
      <c r="FE181" s="139">
        <f t="shared" si="191"/>
        <v>0</v>
      </c>
      <c r="FF181" s="139">
        <f t="shared" si="192"/>
        <v>0</v>
      </c>
      <c r="FG181" s="139">
        <f t="shared" si="193"/>
        <v>0</v>
      </c>
      <c r="FH181" s="139">
        <f t="shared" si="194"/>
        <v>0</v>
      </c>
      <c r="FI181" s="139">
        <f t="shared" si="195"/>
        <v>0</v>
      </c>
      <c r="FJ181" s="139">
        <f t="shared" si="196"/>
        <v>0</v>
      </c>
      <c r="FK181" s="139">
        <f t="shared" si="197"/>
        <v>0</v>
      </c>
      <c r="FL181" s="139">
        <f t="shared" si="198"/>
        <v>0</v>
      </c>
      <c r="FM181" s="139">
        <f t="shared" si="199"/>
        <v>0</v>
      </c>
      <c r="FN181" s="139">
        <f t="shared" si="200"/>
        <v>0</v>
      </c>
      <c r="FO181" s="139">
        <f t="shared" si="201"/>
        <v>0</v>
      </c>
      <c r="FP181" s="139">
        <f t="shared" si="202"/>
        <v>0</v>
      </c>
      <c r="FQ181" s="139">
        <f t="shared" si="203"/>
        <v>0</v>
      </c>
      <c r="FR181" s="139">
        <f t="shared" si="204"/>
        <v>0</v>
      </c>
      <c r="FS181" s="139">
        <f t="shared" si="205"/>
        <v>0</v>
      </c>
      <c r="FT181" s="139">
        <f t="shared" si="206"/>
        <v>0</v>
      </c>
      <c r="FU181" s="148">
        <f t="shared" si="207"/>
        <v>0</v>
      </c>
      <c r="FV181" s="149"/>
      <c r="FY181" s="211">
        <v>176</v>
      </c>
      <c r="FZ181">
        <v>1.0676656068862447</v>
      </c>
      <c r="GA181">
        <v>1.4583135753249612</v>
      </c>
      <c r="GB181">
        <v>1.5596205247626291</v>
      </c>
      <c r="GC181">
        <v>1.0310677900001153</v>
      </c>
      <c r="GD181">
        <v>0.24489019251490171</v>
      </c>
      <c r="GE181">
        <v>0.106898435990775</v>
      </c>
      <c r="GF181">
        <v>0.24090012531466881</v>
      </c>
      <c r="GG181">
        <v>0.23978821552359375</v>
      </c>
      <c r="GH181">
        <v>0.1330459067538125</v>
      </c>
      <c r="GI181">
        <v>0.74243402092371635</v>
      </c>
      <c r="GJ181"/>
      <c r="GK181">
        <v>1.0640455882352939</v>
      </c>
      <c r="GL181">
        <v>1.2281901194852942</v>
      </c>
      <c r="GM181">
        <v>2.5606573153409089</v>
      </c>
      <c r="GN181">
        <v>3.0257761769480513</v>
      </c>
      <c r="GO181">
        <v>0.93165401785714275</v>
      </c>
      <c r="GP181">
        <v>0.20085937500000001</v>
      </c>
      <c r="GQ181">
        <v>0.29081250000000003</v>
      </c>
      <c r="GR181">
        <v>0.33385416666666667</v>
      </c>
      <c r="GS181">
        <v>0.14072916666666666</v>
      </c>
      <c r="GT181">
        <v>0.99757971762000253</v>
      </c>
      <c r="GU181"/>
      <c r="GV181"/>
      <c r="GW181"/>
      <c r="GX181"/>
      <c r="GY181"/>
      <c r="GZ181"/>
      <c r="HA181"/>
      <c r="HB181"/>
      <c r="HC181"/>
    </row>
    <row r="182" spans="1:211" s="7" customFormat="1">
      <c r="A182" s="1"/>
      <c r="B182" s="76">
        <f t="shared" ca="1" si="172"/>
        <v>0.4511840842042627</v>
      </c>
      <c r="C182">
        <v>8</v>
      </c>
      <c r="D182">
        <v>39987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 s="2"/>
      <c r="AK182" s="80"/>
      <c r="AL182" s="74"/>
      <c r="AM182" s="43">
        <v>166</v>
      </c>
      <c r="AN182">
        <v>33.567288558864647</v>
      </c>
      <c r="AO182">
        <v>0.78999135034440182</v>
      </c>
      <c r="AP182">
        <v>0.99904107127258157</v>
      </c>
      <c r="AQ182">
        <v>5.5789579383156882</v>
      </c>
      <c r="AR182">
        <v>0.75298192033057509</v>
      </c>
      <c r="AS182">
        <v>2.9892639831810537</v>
      </c>
      <c r="AT182">
        <v>0.55184299745748577</v>
      </c>
      <c r="AU182">
        <v>0.31826237268786217</v>
      </c>
      <c r="AV182"/>
      <c r="AW182"/>
      <c r="AX182" s="146"/>
      <c r="AY182" s="76">
        <f t="shared" ca="1" si="173"/>
        <v>0.45388813956265217</v>
      </c>
      <c r="AZ182">
        <v>5</v>
      </c>
      <c r="BA182" s="129">
        <f t="shared" si="249"/>
        <v>39987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  <c r="CF182">
        <v>0</v>
      </c>
      <c r="CG182" s="147"/>
      <c r="CH182" s="176"/>
      <c r="CJ182" s="146"/>
      <c r="CK182" s="76">
        <f t="shared" ca="1" si="208"/>
        <v>0.74829613030705922</v>
      </c>
      <c r="CL182" s="179">
        <f t="shared" si="209"/>
        <v>5</v>
      </c>
      <c r="CM182" s="180">
        <f t="shared" si="210"/>
        <v>39987</v>
      </c>
      <c r="CN182">
        <v>0</v>
      </c>
      <c r="CO182">
        <v>0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0</v>
      </c>
      <c r="CV182" s="160"/>
      <c r="CW182">
        <v>1</v>
      </c>
      <c r="CX182">
        <f>350/60</f>
        <v>5.833333333333333</v>
      </c>
      <c r="CY182" s="160"/>
      <c r="CZ182" s="177">
        <f t="shared" si="211"/>
        <v>9.6000000000000002E-2</v>
      </c>
      <c r="DB182" s="146"/>
      <c r="DC182" s="76">
        <f t="shared" ca="1" si="174"/>
        <v>0.83375510745046766</v>
      </c>
      <c r="DD182">
        <f t="shared" si="212"/>
        <v>5</v>
      </c>
      <c r="DE182" s="129">
        <f t="shared" si="248"/>
        <v>39987</v>
      </c>
      <c r="DF182" s="161">
        <f t="shared" si="213"/>
        <v>0</v>
      </c>
      <c r="DG182" s="161">
        <f t="shared" si="214"/>
        <v>0</v>
      </c>
      <c r="DH182" s="161">
        <f t="shared" si="215"/>
        <v>0</v>
      </c>
      <c r="DI182" s="161">
        <f t="shared" si="216"/>
        <v>0</v>
      </c>
      <c r="DJ182" s="161">
        <f t="shared" si="217"/>
        <v>0</v>
      </c>
      <c r="DK182" s="161">
        <f t="shared" si="218"/>
        <v>0</v>
      </c>
      <c r="DL182" s="161">
        <f t="shared" si="219"/>
        <v>0</v>
      </c>
      <c r="DM182" s="161">
        <f t="shared" si="220"/>
        <v>0</v>
      </c>
      <c r="DN182" s="161">
        <f t="shared" si="221"/>
        <v>0</v>
      </c>
      <c r="DO182" s="161">
        <f t="shared" si="222"/>
        <v>0</v>
      </c>
      <c r="DP182" s="161">
        <f t="shared" si="223"/>
        <v>0</v>
      </c>
      <c r="DQ182" s="161">
        <f t="shared" si="224"/>
        <v>0</v>
      </c>
      <c r="DR182" s="161">
        <f t="shared" si="225"/>
        <v>0</v>
      </c>
      <c r="DS182" s="161">
        <f t="shared" si="226"/>
        <v>0</v>
      </c>
      <c r="DT182" s="161">
        <f t="shared" si="227"/>
        <v>0</v>
      </c>
      <c r="DU182" s="161">
        <f t="shared" si="228"/>
        <v>0</v>
      </c>
      <c r="DV182" s="161">
        <f t="shared" si="229"/>
        <v>0</v>
      </c>
      <c r="DW182" s="161">
        <f t="shared" si="230"/>
        <v>0</v>
      </c>
      <c r="DX182" s="161">
        <f t="shared" si="231"/>
        <v>0</v>
      </c>
      <c r="DY182" s="161">
        <f t="shared" si="232"/>
        <v>0</v>
      </c>
      <c r="DZ182" s="161">
        <f t="shared" si="233"/>
        <v>0</v>
      </c>
      <c r="EA182" s="161">
        <f t="shared" si="234"/>
        <v>0</v>
      </c>
      <c r="EB182" s="161">
        <f t="shared" si="235"/>
        <v>0</v>
      </c>
      <c r="EC182" s="161">
        <f t="shared" si="236"/>
        <v>0</v>
      </c>
      <c r="ED182" s="161">
        <f t="shared" si="237"/>
        <v>0</v>
      </c>
      <c r="EE182" s="161">
        <f t="shared" si="238"/>
        <v>0</v>
      </c>
      <c r="EF182" s="161">
        <f t="shared" si="239"/>
        <v>0</v>
      </c>
      <c r="EG182" s="161">
        <f t="shared" si="240"/>
        <v>0</v>
      </c>
      <c r="EH182" s="161">
        <f t="shared" si="241"/>
        <v>0</v>
      </c>
      <c r="EI182" s="161">
        <f t="shared" si="242"/>
        <v>0</v>
      </c>
      <c r="EJ182" s="161">
        <f t="shared" si="243"/>
        <v>0</v>
      </c>
      <c r="EK182" s="147">
        <f t="shared" si="175"/>
        <v>0</v>
      </c>
      <c r="EL182" s="149"/>
      <c r="EN182" s="146"/>
      <c r="EO182" s="146"/>
      <c r="EP182" s="139">
        <f t="shared" si="176"/>
        <v>0</v>
      </c>
      <c r="EQ182" s="139">
        <f t="shared" si="177"/>
        <v>0</v>
      </c>
      <c r="ER182" s="139">
        <f t="shared" si="178"/>
        <v>0</v>
      </c>
      <c r="ES182" s="139">
        <f t="shared" si="179"/>
        <v>0</v>
      </c>
      <c r="ET182" s="139">
        <f t="shared" si="180"/>
        <v>0</v>
      </c>
      <c r="EU182" s="139">
        <f t="shared" si="181"/>
        <v>0</v>
      </c>
      <c r="EV182" s="139">
        <f t="shared" si="182"/>
        <v>0</v>
      </c>
      <c r="EW182" s="139">
        <f t="shared" si="183"/>
        <v>0</v>
      </c>
      <c r="EX182" s="139">
        <f t="shared" si="184"/>
        <v>0</v>
      </c>
      <c r="EY182" s="139">
        <f t="shared" si="185"/>
        <v>0</v>
      </c>
      <c r="EZ182" s="139">
        <f t="shared" si="186"/>
        <v>0</v>
      </c>
      <c r="FA182" s="139">
        <f t="shared" si="187"/>
        <v>0</v>
      </c>
      <c r="FB182" s="139">
        <f t="shared" si="188"/>
        <v>0</v>
      </c>
      <c r="FC182" s="139">
        <f t="shared" si="189"/>
        <v>0</v>
      </c>
      <c r="FD182" s="139">
        <f t="shared" si="190"/>
        <v>0</v>
      </c>
      <c r="FE182" s="139">
        <f t="shared" si="191"/>
        <v>0</v>
      </c>
      <c r="FF182" s="139">
        <f t="shared" si="192"/>
        <v>0</v>
      </c>
      <c r="FG182" s="139">
        <f t="shared" si="193"/>
        <v>0</v>
      </c>
      <c r="FH182" s="139">
        <f t="shared" si="194"/>
        <v>0</v>
      </c>
      <c r="FI182" s="139">
        <f t="shared" si="195"/>
        <v>0</v>
      </c>
      <c r="FJ182" s="139">
        <f t="shared" si="196"/>
        <v>0</v>
      </c>
      <c r="FK182" s="139">
        <f t="shared" si="197"/>
        <v>0</v>
      </c>
      <c r="FL182" s="139">
        <f t="shared" si="198"/>
        <v>0</v>
      </c>
      <c r="FM182" s="139">
        <f t="shared" si="199"/>
        <v>0</v>
      </c>
      <c r="FN182" s="139">
        <f t="shared" si="200"/>
        <v>0</v>
      </c>
      <c r="FO182" s="139">
        <f t="shared" si="201"/>
        <v>0</v>
      </c>
      <c r="FP182" s="139">
        <f t="shared" si="202"/>
        <v>0</v>
      </c>
      <c r="FQ182" s="139">
        <f t="shared" si="203"/>
        <v>0</v>
      </c>
      <c r="FR182" s="139">
        <f t="shared" si="204"/>
        <v>0</v>
      </c>
      <c r="FS182" s="139">
        <f t="shared" si="205"/>
        <v>0</v>
      </c>
      <c r="FT182" s="139">
        <f t="shared" si="206"/>
        <v>0</v>
      </c>
      <c r="FU182" s="148">
        <f t="shared" si="207"/>
        <v>0</v>
      </c>
      <c r="FV182" s="149"/>
      <c r="FY182" s="211">
        <v>177</v>
      </c>
      <c r="FZ182">
        <v>0.53408439524469375</v>
      </c>
      <c r="GA182">
        <v>0.64107266418959874</v>
      </c>
      <c r="GB182">
        <v>0.99280914439645895</v>
      </c>
      <c r="GC182">
        <v>0.74733473181692933</v>
      </c>
      <c r="GD182">
        <v>0.24539227239287242</v>
      </c>
      <c r="GE182">
        <v>9.7262662377824993E-2</v>
      </c>
      <c r="GF182">
        <v>0.41513581345513451</v>
      </c>
      <c r="GG182">
        <v>0.39070597101659427</v>
      </c>
      <c r="GH182">
        <v>0.17901737842465987</v>
      </c>
      <c r="GI182">
        <v>0.56356138559156843</v>
      </c>
      <c r="GJ182"/>
      <c r="GK182">
        <v>0.53231249999999997</v>
      </c>
      <c r="GL182">
        <v>0.53987109374999998</v>
      </c>
      <c r="GM182">
        <v>1.6292382812499997</v>
      </c>
      <c r="GN182">
        <v>2.1914734375</v>
      </c>
      <c r="GO182">
        <v>0.93377812499999979</v>
      </c>
      <c r="GP182">
        <v>0.18276562499999999</v>
      </c>
      <c r="GQ182">
        <v>0.50047010869565223</v>
      </c>
      <c r="GR182">
        <v>0.54351177536231876</v>
      </c>
      <c r="GS182">
        <v>0.18931690705128204</v>
      </c>
      <c r="GT182">
        <v>0.75702318439938676</v>
      </c>
      <c r="GU182"/>
      <c r="GV182"/>
      <c r="GW182"/>
      <c r="GX182"/>
      <c r="GY182"/>
      <c r="GZ182"/>
      <c r="HA182"/>
      <c r="HB182"/>
      <c r="HC182"/>
    </row>
    <row r="183" spans="1:211" s="7" customFormat="1">
      <c r="A183" s="1"/>
      <c r="B183" s="76">
        <f t="shared" ca="1" si="172"/>
        <v>0.34736171967869045</v>
      </c>
      <c r="C183">
        <v>10</v>
      </c>
      <c r="D183">
        <v>39987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 s="2"/>
      <c r="AK183" s="80"/>
      <c r="AL183" s="74"/>
      <c r="AM183" s="43">
        <v>167</v>
      </c>
      <c r="AN183">
        <v>38.778528765417342</v>
      </c>
      <c r="AO183">
        <v>0.74445876580914561</v>
      </c>
      <c r="AP183">
        <v>0.35196643233329794</v>
      </c>
      <c r="AQ183">
        <v>5.2880914049499967</v>
      </c>
      <c r="AR183">
        <v>0.70293071804327911</v>
      </c>
      <c r="AS183">
        <v>3.2011808513067521</v>
      </c>
      <c r="AT183">
        <v>0.63454558467992428</v>
      </c>
      <c r="AU183">
        <v>0.11239248800817089</v>
      </c>
      <c r="AV183"/>
      <c r="AW183"/>
      <c r="AX183" s="146"/>
      <c r="AY183" s="76">
        <f t="shared" ca="1" si="173"/>
        <v>0.16769274646452015</v>
      </c>
      <c r="AZ183">
        <v>6</v>
      </c>
      <c r="BA183" s="129">
        <f t="shared" si="249"/>
        <v>39987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  <c r="CF183">
        <v>0</v>
      </c>
      <c r="CG183" s="147"/>
      <c r="CH183" s="176"/>
      <c r="CJ183" s="146"/>
      <c r="CK183" s="76">
        <f t="shared" ca="1" si="208"/>
        <v>0.95696726693605805</v>
      </c>
      <c r="CL183" s="179">
        <f t="shared" si="209"/>
        <v>6</v>
      </c>
      <c r="CM183" s="180">
        <f t="shared" si="210"/>
        <v>39987</v>
      </c>
      <c r="CN183">
        <v>0</v>
      </c>
      <c r="CO183">
        <v>0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 s="160"/>
      <c r="CW183">
        <v>1</v>
      </c>
      <c r="CX183">
        <f>350/50</f>
        <v>7</v>
      </c>
      <c r="CY183" s="160"/>
      <c r="CZ183" s="177">
        <f t="shared" si="211"/>
        <v>9.6000000000000002E-2</v>
      </c>
      <c r="DB183" s="146"/>
      <c r="DC183" s="76">
        <f t="shared" ca="1" si="174"/>
        <v>0.58247007593612654</v>
      </c>
      <c r="DD183">
        <f t="shared" si="212"/>
        <v>6</v>
      </c>
      <c r="DE183" s="129">
        <f t="shared" si="248"/>
        <v>39987</v>
      </c>
      <c r="DF183" s="161">
        <f t="shared" si="213"/>
        <v>0</v>
      </c>
      <c r="DG183" s="161">
        <f t="shared" si="214"/>
        <v>0</v>
      </c>
      <c r="DH183" s="161">
        <f t="shared" si="215"/>
        <v>0</v>
      </c>
      <c r="DI183" s="161">
        <f t="shared" si="216"/>
        <v>0</v>
      </c>
      <c r="DJ183" s="161">
        <f t="shared" si="217"/>
        <v>0</v>
      </c>
      <c r="DK183" s="161">
        <f t="shared" si="218"/>
        <v>0</v>
      </c>
      <c r="DL183" s="161">
        <f t="shared" si="219"/>
        <v>0</v>
      </c>
      <c r="DM183" s="161">
        <f t="shared" si="220"/>
        <v>0</v>
      </c>
      <c r="DN183" s="161">
        <f t="shared" si="221"/>
        <v>0</v>
      </c>
      <c r="DO183" s="161">
        <f t="shared" si="222"/>
        <v>0</v>
      </c>
      <c r="DP183" s="161">
        <f t="shared" si="223"/>
        <v>0</v>
      </c>
      <c r="DQ183" s="161">
        <f t="shared" si="224"/>
        <v>0</v>
      </c>
      <c r="DR183" s="161">
        <f t="shared" si="225"/>
        <v>0</v>
      </c>
      <c r="DS183" s="161">
        <f t="shared" si="226"/>
        <v>0</v>
      </c>
      <c r="DT183" s="161">
        <f t="shared" si="227"/>
        <v>0</v>
      </c>
      <c r="DU183" s="161">
        <f t="shared" si="228"/>
        <v>0</v>
      </c>
      <c r="DV183" s="161">
        <f t="shared" si="229"/>
        <v>0</v>
      </c>
      <c r="DW183" s="161">
        <f t="shared" si="230"/>
        <v>0</v>
      </c>
      <c r="DX183" s="161">
        <f t="shared" si="231"/>
        <v>0</v>
      </c>
      <c r="DY183" s="161">
        <f t="shared" si="232"/>
        <v>0</v>
      </c>
      <c r="DZ183" s="161">
        <f t="shared" si="233"/>
        <v>0</v>
      </c>
      <c r="EA183" s="161">
        <f t="shared" si="234"/>
        <v>0</v>
      </c>
      <c r="EB183" s="161">
        <f t="shared" si="235"/>
        <v>0</v>
      </c>
      <c r="EC183" s="161">
        <f t="shared" si="236"/>
        <v>0</v>
      </c>
      <c r="ED183" s="161">
        <f t="shared" si="237"/>
        <v>0</v>
      </c>
      <c r="EE183" s="161">
        <f t="shared" si="238"/>
        <v>0</v>
      </c>
      <c r="EF183" s="161">
        <f t="shared" si="239"/>
        <v>0</v>
      </c>
      <c r="EG183" s="161">
        <f t="shared" si="240"/>
        <v>0</v>
      </c>
      <c r="EH183" s="161">
        <f t="shared" si="241"/>
        <v>0</v>
      </c>
      <c r="EI183" s="161">
        <f t="shared" si="242"/>
        <v>0</v>
      </c>
      <c r="EJ183" s="161">
        <f t="shared" si="243"/>
        <v>0</v>
      </c>
      <c r="EK183" s="147">
        <f t="shared" si="175"/>
        <v>0</v>
      </c>
      <c r="EL183" s="149"/>
      <c r="EN183" s="146"/>
      <c r="EO183" s="146"/>
      <c r="EP183" s="139">
        <f t="shared" si="176"/>
        <v>0</v>
      </c>
      <c r="EQ183" s="139">
        <f t="shared" si="177"/>
        <v>0</v>
      </c>
      <c r="ER183" s="139">
        <f t="shared" si="178"/>
        <v>0</v>
      </c>
      <c r="ES183" s="139">
        <f t="shared" si="179"/>
        <v>0</v>
      </c>
      <c r="ET183" s="139">
        <f t="shared" si="180"/>
        <v>0</v>
      </c>
      <c r="EU183" s="139">
        <f t="shared" si="181"/>
        <v>0</v>
      </c>
      <c r="EV183" s="139">
        <f t="shared" si="182"/>
        <v>0</v>
      </c>
      <c r="EW183" s="139">
        <f t="shared" si="183"/>
        <v>0</v>
      </c>
      <c r="EX183" s="139">
        <f t="shared" si="184"/>
        <v>0</v>
      </c>
      <c r="EY183" s="139">
        <f t="shared" si="185"/>
        <v>0</v>
      </c>
      <c r="EZ183" s="139">
        <f t="shared" si="186"/>
        <v>0</v>
      </c>
      <c r="FA183" s="139">
        <f t="shared" si="187"/>
        <v>0</v>
      </c>
      <c r="FB183" s="139">
        <f t="shared" si="188"/>
        <v>0</v>
      </c>
      <c r="FC183" s="139">
        <f t="shared" si="189"/>
        <v>0</v>
      </c>
      <c r="FD183" s="139">
        <f t="shared" si="190"/>
        <v>0</v>
      </c>
      <c r="FE183" s="139">
        <f t="shared" si="191"/>
        <v>0</v>
      </c>
      <c r="FF183" s="139">
        <f t="shared" si="192"/>
        <v>0</v>
      </c>
      <c r="FG183" s="139">
        <f t="shared" si="193"/>
        <v>0</v>
      </c>
      <c r="FH183" s="139">
        <f t="shared" si="194"/>
        <v>0</v>
      </c>
      <c r="FI183" s="139">
        <f t="shared" si="195"/>
        <v>0</v>
      </c>
      <c r="FJ183" s="139">
        <f t="shared" si="196"/>
        <v>0</v>
      </c>
      <c r="FK183" s="139">
        <f t="shared" si="197"/>
        <v>0</v>
      </c>
      <c r="FL183" s="139">
        <f t="shared" si="198"/>
        <v>0</v>
      </c>
      <c r="FM183" s="139">
        <f t="shared" si="199"/>
        <v>0</v>
      </c>
      <c r="FN183" s="139">
        <f t="shared" si="200"/>
        <v>0</v>
      </c>
      <c r="FO183" s="139">
        <f t="shared" si="201"/>
        <v>0</v>
      </c>
      <c r="FP183" s="139">
        <f t="shared" si="202"/>
        <v>0</v>
      </c>
      <c r="FQ183" s="139">
        <f t="shared" si="203"/>
        <v>0</v>
      </c>
      <c r="FR183" s="139">
        <f t="shared" si="204"/>
        <v>0</v>
      </c>
      <c r="FS183" s="139">
        <f t="shared" si="205"/>
        <v>0</v>
      </c>
      <c r="FT183" s="139">
        <f t="shared" si="206"/>
        <v>0</v>
      </c>
      <c r="FU183" s="148">
        <f t="shared" si="207"/>
        <v>0</v>
      </c>
      <c r="FV183" s="149"/>
      <c r="FY183" s="211">
        <v>178</v>
      </c>
      <c r="FZ183">
        <v>0.36699669871229246</v>
      </c>
      <c r="GA183">
        <v>0.78788712086448132</v>
      </c>
      <c r="GB183">
        <v>1.1941106009434241</v>
      </c>
      <c r="GC183">
        <v>1.1329613934799119</v>
      </c>
      <c r="GD183">
        <v>0.54190532405033676</v>
      </c>
      <c r="GE183">
        <v>0.12900836070404997</v>
      </c>
      <c r="GF183">
        <v>0.6538214796159032</v>
      </c>
      <c r="GG183">
        <v>0.56679095143493796</v>
      </c>
      <c r="GH183">
        <v>4.5971471670847357E-2</v>
      </c>
      <c r="GI183">
        <v>0.77783535060145148</v>
      </c>
      <c r="GJ183"/>
      <c r="GK183">
        <v>0.36569999999999997</v>
      </c>
      <c r="GL183">
        <v>0.66337968749999998</v>
      </c>
      <c r="GM183">
        <v>1.9599595170454545</v>
      </c>
      <c r="GN183">
        <v>3.3209463474025975</v>
      </c>
      <c r="GO183">
        <v>2.0605727678571428</v>
      </c>
      <c r="GP183">
        <v>0.24253124999999998</v>
      </c>
      <c r="GQ183">
        <v>0.78903260869565206</v>
      </c>
      <c r="GR183">
        <v>0.78903260869565206</v>
      </c>
      <c r="GS183">
        <v>4.8587740384615385E-2</v>
      </c>
      <c r="GT183">
        <v>1.0447705267965728</v>
      </c>
      <c r="GU183"/>
      <c r="GV183"/>
      <c r="GW183"/>
      <c r="GX183"/>
      <c r="GY183"/>
      <c r="GZ183"/>
      <c r="HA183"/>
      <c r="HB183"/>
      <c r="HC183"/>
    </row>
    <row r="184" spans="1:211" s="7" customFormat="1">
      <c r="A184" s="1"/>
      <c r="B184" s="76">
        <f t="shared" ref="B184:B207" ca="1" si="250">IF(C184="", "", RAND())</f>
        <v>0.22847329088355295</v>
      </c>
      <c r="C184">
        <v>6</v>
      </c>
      <c r="D184">
        <v>39987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 s="2"/>
      <c r="AK184" s="80"/>
      <c r="AL184" s="74"/>
      <c r="AM184" s="43">
        <v>168</v>
      </c>
      <c r="AN184">
        <v>43.090116633331142</v>
      </c>
      <c r="AO184">
        <v>1.0234793078214144</v>
      </c>
      <c r="AP184">
        <v>4.7363012263522819</v>
      </c>
      <c r="AQ184">
        <v>8.195575423611249</v>
      </c>
      <c r="AR184">
        <v>0.93626642712785924</v>
      </c>
      <c r="AS184">
        <v>3.2913384992679955</v>
      </c>
      <c r="AT184" t="e">
        <v>#DIV/0!</v>
      </c>
      <c r="AU184" t="e">
        <v>#DIV/0!</v>
      </c>
      <c r="AV184"/>
      <c r="AW184"/>
      <c r="AX184" s="146"/>
      <c r="AY184" s="76">
        <f t="shared" ca="1" si="173"/>
        <v>0.7843862505753334</v>
      </c>
      <c r="AZ184">
        <v>7</v>
      </c>
      <c r="BA184" s="129">
        <f t="shared" si="249"/>
        <v>39987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  <c r="CF184">
        <v>0</v>
      </c>
      <c r="CG184" s="147"/>
      <c r="CH184" s="176"/>
      <c r="CJ184" s="146"/>
      <c r="CK184" s="76">
        <f t="shared" ca="1" si="208"/>
        <v>0.32171701317103985</v>
      </c>
      <c r="CL184" s="179">
        <f t="shared" si="209"/>
        <v>7</v>
      </c>
      <c r="CM184" s="180">
        <f t="shared" si="210"/>
        <v>39987</v>
      </c>
      <c r="CN184">
        <v>0</v>
      </c>
      <c r="CO184">
        <v>0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0</v>
      </c>
      <c r="CV184" s="160"/>
      <c r="CW184">
        <v>1</v>
      </c>
      <c r="CX184">
        <f>350/51</f>
        <v>6.8627450980392153</v>
      </c>
      <c r="CY184" s="165"/>
      <c r="CZ184" s="177">
        <f t="shared" si="211"/>
        <v>9.6000000000000002E-2</v>
      </c>
      <c r="DB184" s="146"/>
      <c r="DC184" s="76">
        <f t="shared" ca="1" si="174"/>
        <v>0.74759377856621256</v>
      </c>
      <c r="DD184">
        <f t="shared" si="212"/>
        <v>7</v>
      </c>
      <c r="DE184" s="129">
        <f t="shared" si="248"/>
        <v>39987</v>
      </c>
      <c r="DF184" s="161">
        <f t="shared" si="213"/>
        <v>0</v>
      </c>
      <c r="DG184" s="161">
        <f t="shared" si="214"/>
        <v>0</v>
      </c>
      <c r="DH184" s="161">
        <f t="shared" si="215"/>
        <v>0</v>
      </c>
      <c r="DI184" s="161">
        <f t="shared" si="216"/>
        <v>0</v>
      </c>
      <c r="DJ184" s="161">
        <f t="shared" si="217"/>
        <v>0</v>
      </c>
      <c r="DK184" s="161">
        <f t="shared" si="218"/>
        <v>0</v>
      </c>
      <c r="DL184" s="161">
        <f t="shared" si="219"/>
        <v>0</v>
      </c>
      <c r="DM184" s="161">
        <f t="shared" si="220"/>
        <v>0</v>
      </c>
      <c r="DN184" s="161">
        <f t="shared" si="221"/>
        <v>0</v>
      </c>
      <c r="DO184" s="161">
        <f t="shared" si="222"/>
        <v>0</v>
      </c>
      <c r="DP184" s="161">
        <f t="shared" si="223"/>
        <v>0</v>
      </c>
      <c r="DQ184" s="161">
        <f t="shared" si="224"/>
        <v>0</v>
      </c>
      <c r="DR184" s="161">
        <f t="shared" si="225"/>
        <v>0</v>
      </c>
      <c r="DS184" s="161">
        <f t="shared" si="226"/>
        <v>0</v>
      </c>
      <c r="DT184" s="161">
        <f t="shared" si="227"/>
        <v>0</v>
      </c>
      <c r="DU184" s="161">
        <f t="shared" si="228"/>
        <v>0</v>
      </c>
      <c r="DV184" s="161">
        <f t="shared" si="229"/>
        <v>0</v>
      </c>
      <c r="DW184" s="161">
        <f t="shared" si="230"/>
        <v>0</v>
      </c>
      <c r="DX184" s="161">
        <f t="shared" si="231"/>
        <v>0</v>
      </c>
      <c r="DY184" s="161">
        <f t="shared" si="232"/>
        <v>0</v>
      </c>
      <c r="DZ184" s="161">
        <f t="shared" si="233"/>
        <v>0</v>
      </c>
      <c r="EA184" s="161">
        <f t="shared" si="234"/>
        <v>0</v>
      </c>
      <c r="EB184" s="161">
        <f t="shared" si="235"/>
        <v>0</v>
      </c>
      <c r="EC184" s="161">
        <f t="shared" si="236"/>
        <v>0</v>
      </c>
      <c r="ED184" s="161">
        <f t="shared" si="237"/>
        <v>0</v>
      </c>
      <c r="EE184" s="161">
        <f t="shared" si="238"/>
        <v>0</v>
      </c>
      <c r="EF184" s="161">
        <f t="shared" si="239"/>
        <v>0</v>
      </c>
      <c r="EG184" s="161">
        <f t="shared" si="240"/>
        <v>0</v>
      </c>
      <c r="EH184" s="161">
        <f t="shared" si="241"/>
        <v>0</v>
      </c>
      <c r="EI184" s="161">
        <f t="shared" si="242"/>
        <v>0</v>
      </c>
      <c r="EJ184" s="161">
        <f t="shared" si="243"/>
        <v>0</v>
      </c>
      <c r="EK184" s="147">
        <f t="shared" ref="EK184:EK207" si="251">IF(DF184="", "", SUM(DF184:EJ184))</f>
        <v>0</v>
      </c>
      <c r="EL184" s="149"/>
      <c r="EN184" s="146"/>
      <c r="EO184" s="146"/>
      <c r="EP184" s="139">
        <f t="shared" ref="EP184:EP207" si="252">IF(DF184="", "", DF184*G$36)</f>
        <v>0</v>
      </c>
      <c r="EQ184" s="139">
        <f t="shared" ref="EQ184:EQ207" si="253">IF(DG184="", "", DG184*H$36)</f>
        <v>0</v>
      </c>
      <c r="ER184" s="139">
        <f t="shared" ref="ER184:ER207" si="254">IF(DH184="", "", DH184*I$36)</f>
        <v>0</v>
      </c>
      <c r="ES184" s="139">
        <f t="shared" ref="ES184:ES207" si="255">IF(DI184="", "", DI184*J$36)</f>
        <v>0</v>
      </c>
      <c r="ET184" s="139">
        <f t="shared" ref="ET184:ET207" si="256">IF(DJ184="", "", DJ184*K$36)</f>
        <v>0</v>
      </c>
      <c r="EU184" s="139">
        <f t="shared" ref="EU184:EU207" si="257">IF(DK184="", "", DK184*L$36)</f>
        <v>0</v>
      </c>
      <c r="EV184" s="139">
        <f t="shared" ref="EV184:EV207" si="258">IF(DL184="", "", DL184*M$36)</f>
        <v>0</v>
      </c>
      <c r="EW184" s="139">
        <f t="shared" ref="EW184:EW207" si="259">IF(DM184="", "", DM184*N$36)</f>
        <v>0</v>
      </c>
      <c r="EX184" s="139">
        <f t="shared" ref="EX184:EX207" si="260">IF(DN184="", "", DN184*O$36)</f>
        <v>0</v>
      </c>
      <c r="EY184" s="139">
        <f t="shared" ref="EY184:EY207" si="261">IF(DO184="", "", DO184*P$36)</f>
        <v>0</v>
      </c>
      <c r="EZ184" s="139">
        <f t="shared" ref="EZ184:EZ207" si="262">IF(DP184="", "", DP184*Q$36)</f>
        <v>0</v>
      </c>
      <c r="FA184" s="139">
        <f t="shared" ref="FA184:FA207" si="263">IF(DQ184="", "", DQ184*R$36)</f>
        <v>0</v>
      </c>
      <c r="FB184" s="139">
        <f t="shared" ref="FB184:FB207" si="264">IF(DR184="", "", DR184*S$36)</f>
        <v>0</v>
      </c>
      <c r="FC184" s="139">
        <f t="shared" ref="FC184:FC207" si="265">IF(DS184="", "", DS184*T$36)</f>
        <v>0</v>
      </c>
      <c r="FD184" s="139">
        <f t="shared" ref="FD184:FD207" si="266">IF(DT184="", "", DT184*U$36)</f>
        <v>0</v>
      </c>
      <c r="FE184" s="139">
        <f t="shared" ref="FE184:FE207" si="267">IF(DU184="", "", DU184*V$36)</f>
        <v>0</v>
      </c>
      <c r="FF184" s="139">
        <f t="shared" ref="FF184:FF207" si="268">IF(DV184="", "", DV184*W$36)</f>
        <v>0</v>
      </c>
      <c r="FG184" s="139">
        <f t="shared" ref="FG184:FG207" si="269">IF(DW184="", "", DW184*X$36)</f>
        <v>0</v>
      </c>
      <c r="FH184" s="139">
        <f t="shared" ref="FH184:FH207" si="270">IF(DX184="", "", DX184*Y$36)</f>
        <v>0</v>
      </c>
      <c r="FI184" s="139">
        <f t="shared" ref="FI184:FI207" si="271">IF(DY184="", "", DY184*Z$36)</f>
        <v>0</v>
      </c>
      <c r="FJ184" s="139">
        <f t="shared" ref="FJ184:FJ207" si="272">IF(DZ184="", "", DZ184*AA$36)</f>
        <v>0</v>
      </c>
      <c r="FK184" s="139">
        <f t="shared" ref="FK184:FK207" si="273">IF(EA184="", "", EA184*AB$36)</f>
        <v>0</v>
      </c>
      <c r="FL184" s="139">
        <f t="shared" ref="FL184:FL207" si="274">IF(EB184="", "", EB184*AC$36)</f>
        <v>0</v>
      </c>
      <c r="FM184" s="139">
        <f t="shared" ref="FM184:FM207" si="275">IF(EC184="", "", EC184*AD$36)</f>
        <v>0</v>
      </c>
      <c r="FN184" s="139">
        <f t="shared" ref="FN184:FN207" si="276">IF(ED184="", "", ED184*AE$36)</f>
        <v>0</v>
      </c>
      <c r="FO184" s="139">
        <f t="shared" ref="FO184:FO207" si="277">IF(EE184="", "", EE184*AF$36)</f>
        <v>0</v>
      </c>
      <c r="FP184" s="139">
        <f t="shared" ref="FP184:FP207" si="278">IF(EF184="", "", EF184*AG$36)</f>
        <v>0</v>
      </c>
      <c r="FQ184" s="139">
        <f t="shared" ref="FQ184:FQ207" si="279">IF(EG184="", "", EG184*AH$36)</f>
        <v>0</v>
      </c>
      <c r="FR184" s="139">
        <f t="shared" ref="FR184:FR207" si="280">IF(EH184="", "", EH184*AI$36)</f>
        <v>0</v>
      </c>
      <c r="FS184" s="139">
        <f t="shared" ref="FS184:FS207" si="281">IF(EI184="", "", EI184*AJ$36)</f>
        <v>0</v>
      </c>
      <c r="FT184" s="139">
        <f t="shared" ref="FT184:FT207" si="282">IF(EJ184="", "", EJ184*AK$36)</f>
        <v>0</v>
      </c>
      <c r="FU184" s="148">
        <f t="shared" ref="FU184:FU207" si="283">IF(EP184="","",SUM(EP184:FT184))</f>
        <v>0</v>
      </c>
      <c r="FV184" s="149"/>
      <c r="FY184" s="211">
        <v>179</v>
      </c>
      <c r="FZ184">
        <v>1.2510680643081256</v>
      </c>
      <c r="GA184">
        <v>1.4726784312636894</v>
      </c>
      <c r="GB184">
        <v>0.78404717997513262</v>
      </c>
      <c r="GC184">
        <v>0.69562445624919012</v>
      </c>
      <c r="GD184">
        <v>0.29146304100165105</v>
      </c>
      <c r="GE184">
        <v>0.15502337532990002</v>
      </c>
      <c r="GF184">
        <v>0.70871433467598444</v>
      </c>
      <c r="GG184">
        <v>0.62966621671876666</v>
      </c>
      <c r="GH184">
        <v>0.11249442504775362</v>
      </c>
      <c r="GI184">
        <v>0.68726244782650725</v>
      </c>
      <c r="GJ184"/>
      <c r="GK184">
        <v>1.2468299632352939</v>
      </c>
      <c r="GL184">
        <v>1.240384650735294</v>
      </c>
      <c r="GM184">
        <v>1.2871235795454543</v>
      </c>
      <c r="GN184">
        <v>2.0402488027597401</v>
      </c>
      <c r="GO184">
        <v>1.1087424107142856</v>
      </c>
      <c r="GP184">
        <v>0.291375</v>
      </c>
      <c r="GQ184">
        <v>0.85440896739130423</v>
      </c>
      <c r="GR184">
        <v>0.87592980072463755</v>
      </c>
      <c r="GS184">
        <v>0.11895232371794871</v>
      </c>
      <c r="GT184">
        <v>0.92321144892085738</v>
      </c>
      <c r="GU184"/>
      <c r="GV184"/>
      <c r="GW184"/>
      <c r="GX184"/>
      <c r="GY184"/>
      <c r="GZ184"/>
      <c r="HA184"/>
      <c r="HB184"/>
      <c r="HC184"/>
    </row>
    <row r="185" spans="1:211" s="7" customFormat="1">
      <c r="A185" s="1"/>
      <c r="B185" s="76">
        <f t="shared" ca="1" si="250"/>
        <v>0.66207273000277844</v>
      </c>
      <c r="C185">
        <v>3</v>
      </c>
      <c r="D185">
        <v>39987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 s="2"/>
      <c r="AK185" s="80"/>
      <c r="AL185" s="74"/>
      <c r="AM185" s="43">
        <v>169</v>
      </c>
      <c r="AN185">
        <v>31.142371230822313</v>
      </c>
      <c r="AO185">
        <v>0.65644803635630677</v>
      </c>
      <c r="AP185">
        <v>8.5311092259546211</v>
      </c>
      <c r="AQ185">
        <v>5.02483017608166</v>
      </c>
      <c r="AR185">
        <v>0.61346811215957953</v>
      </c>
      <c r="AS185">
        <v>2.7692075136418883</v>
      </c>
      <c r="AT185" t="e">
        <v>#DIV/0!</v>
      </c>
      <c r="AU185" t="e">
        <v>#DIV/0!</v>
      </c>
      <c r="AV185"/>
      <c r="AW185"/>
      <c r="AX185" s="146"/>
      <c r="AY185" s="76">
        <f t="shared" ca="1" si="173"/>
        <v>0.64355694483066839</v>
      </c>
      <c r="AZ185">
        <v>8</v>
      </c>
      <c r="BA185" s="129">
        <f t="shared" si="249"/>
        <v>39987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 s="147"/>
      <c r="CH185" s="176"/>
      <c r="CJ185" s="146"/>
      <c r="CK185" s="76">
        <f t="shared" ca="1" si="208"/>
        <v>0.30730208984238794</v>
      </c>
      <c r="CL185" s="179">
        <f t="shared" si="209"/>
        <v>8</v>
      </c>
      <c r="CM185" s="180">
        <f t="shared" si="210"/>
        <v>39987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 s="160"/>
      <c r="CW185">
        <v>1</v>
      </c>
      <c r="CX185">
        <f>350/65</f>
        <v>5.384615384615385</v>
      </c>
      <c r="CY185" s="165"/>
      <c r="CZ185" s="177">
        <f t="shared" si="211"/>
        <v>9.6000000000000002E-2</v>
      </c>
      <c r="DB185" s="146"/>
      <c r="DC185" s="76">
        <f t="shared" ca="1" si="174"/>
        <v>0.17430438647144264</v>
      </c>
      <c r="DD185">
        <f t="shared" si="212"/>
        <v>8</v>
      </c>
      <c r="DE185" s="129">
        <f t="shared" si="248"/>
        <v>39987</v>
      </c>
      <c r="DF185" s="161">
        <f t="shared" si="213"/>
        <v>0</v>
      </c>
      <c r="DG185" s="161">
        <f t="shared" si="214"/>
        <v>0</v>
      </c>
      <c r="DH185" s="161">
        <f t="shared" si="215"/>
        <v>0</v>
      </c>
      <c r="DI185" s="161">
        <f t="shared" si="216"/>
        <v>0</v>
      </c>
      <c r="DJ185" s="161">
        <f t="shared" si="217"/>
        <v>0</v>
      </c>
      <c r="DK185" s="161">
        <f t="shared" si="218"/>
        <v>0</v>
      </c>
      <c r="DL185" s="161">
        <f t="shared" si="219"/>
        <v>0</v>
      </c>
      <c r="DM185" s="161">
        <f t="shared" si="220"/>
        <v>0</v>
      </c>
      <c r="DN185" s="161">
        <f t="shared" si="221"/>
        <v>0</v>
      </c>
      <c r="DO185" s="161">
        <f t="shared" si="222"/>
        <v>0</v>
      </c>
      <c r="DP185" s="161">
        <f t="shared" si="223"/>
        <v>0</v>
      </c>
      <c r="DQ185" s="161">
        <f t="shared" si="224"/>
        <v>0</v>
      </c>
      <c r="DR185" s="161">
        <f t="shared" si="225"/>
        <v>0</v>
      </c>
      <c r="DS185" s="161">
        <f t="shared" si="226"/>
        <v>0</v>
      </c>
      <c r="DT185" s="161">
        <f t="shared" si="227"/>
        <v>0</v>
      </c>
      <c r="DU185" s="161">
        <f t="shared" si="228"/>
        <v>0</v>
      </c>
      <c r="DV185" s="161">
        <f t="shared" si="229"/>
        <v>0</v>
      </c>
      <c r="DW185" s="161">
        <f t="shared" si="230"/>
        <v>0</v>
      </c>
      <c r="DX185" s="161">
        <f t="shared" si="231"/>
        <v>0</v>
      </c>
      <c r="DY185" s="161">
        <f t="shared" si="232"/>
        <v>0</v>
      </c>
      <c r="DZ185" s="161">
        <f t="shared" si="233"/>
        <v>0</v>
      </c>
      <c r="EA185" s="161">
        <f t="shared" si="234"/>
        <v>0</v>
      </c>
      <c r="EB185" s="161">
        <f t="shared" si="235"/>
        <v>0</v>
      </c>
      <c r="EC185" s="161">
        <f t="shared" si="236"/>
        <v>0</v>
      </c>
      <c r="ED185" s="161">
        <f t="shared" si="237"/>
        <v>0</v>
      </c>
      <c r="EE185" s="161">
        <f t="shared" si="238"/>
        <v>0</v>
      </c>
      <c r="EF185" s="161">
        <f t="shared" si="239"/>
        <v>0</v>
      </c>
      <c r="EG185" s="161">
        <f t="shared" si="240"/>
        <v>0</v>
      </c>
      <c r="EH185" s="161">
        <f t="shared" si="241"/>
        <v>0</v>
      </c>
      <c r="EI185" s="161">
        <f t="shared" si="242"/>
        <v>0</v>
      </c>
      <c r="EJ185" s="161">
        <f t="shared" si="243"/>
        <v>0</v>
      </c>
      <c r="EK185" s="147">
        <f t="shared" si="251"/>
        <v>0</v>
      </c>
      <c r="EL185" s="149"/>
      <c r="EN185" s="146"/>
      <c r="EO185" s="146"/>
      <c r="EP185" s="139">
        <f t="shared" si="252"/>
        <v>0</v>
      </c>
      <c r="EQ185" s="139">
        <f t="shared" si="253"/>
        <v>0</v>
      </c>
      <c r="ER185" s="139">
        <f t="shared" si="254"/>
        <v>0</v>
      </c>
      <c r="ES185" s="139">
        <f t="shared" si="255"/>
        <v>0</v>
      </c>
      <c r="ET185" s="139">
        <f t="shared" si="256"/>
        <v>0</v>
      </c>
      <c r="EU185" s="139">
        <f t="shared" si="257"/>
        <v>0</v>
      </c>
      <c r="EV185" s="139">
        <f t="shared" si="258"/>
        <v>0</v>
      </c>
      <c r="EW185" s="139">
        <f t="shared" si="259"/>
        <v>0</v>
      </c>
      <c r="EX185" s="139">
        <f t="shared" si="260"/>
        <v>0</v>
      </c>
      <c r="EY185" s="139">
        <f t="shared" si="261"/>
        <v>0</v>
      </c>
      <c r="EZ185" s="139">
        <f t="shared" si="262"/>
        <v>0</v>
      </c>
      <c r="FA185" s="139">
        <f t="shared" si="263"/>
        <v>0</v>
      </c>
      <c r="FB185" s="139">
        <f t="shared" si="264"/>
        <v>0</v>
      </c>
      <c r="FC185" s="139">
        <f t="shared" si="265"/>
        <v>0</v>
      </c>
      <c r="FD185" s="139">
        <f t="shared" si="266"/>
        <v>0</v>
      </c>
      <c r="FE185" s="139">
        <f t="shared" si="267"/>
        <v>0</v>
      </c>
      <c r="FF185" s="139">
        <f t="shared" si="268"/>
        <v>0</v>
      </c>
      <c r="FG185" s="139">
        <f t="shared" si="269"/>
        <v>0</v>
      </c>
      <c r="FH185" s="139">
        <f t="shared" si="270"/>
        <v>0</v>
      </c>
      <c r="FI185" s="139">
        <f t="shared" si="271"/>
        <v>0</v>
      </c>
      <c r="FJ185" s="139">
        <f t="shared" si="272"/>
        <v>0</v>
      </c>
      <c r="FK185" s="139">
        <f t="shared" si="273"/>
        <v>0</v>
      </c>
      <c r="FL185" s="139">
        <f t="shared" si="274"/>
        <v>0</v>
      </c>
      <c r="FM185" s="139">
        <f t="shared" si="275"/>
        <v>0</v>
      </c>
      <c r="FN185" s="139">
        <f t="shared" si="276"/>
        <v>0</v>
      </c>
      <c r="FO185" s="139">
        <f t="shared" si="277"/>
        <v>0</v>
      </c>
      <c r="FP185" s="139">
        <f t="shared" si="278"/>
        <v>0</v>
      </c>
      <c r="FQ185" s="139">
        <f t="shared" si="279"/>
        <v>0</v>
      </c>
      <c r="FR185" s="139">
        <f t="shared" si="280"/>
        <v>0</v>
      </c>
      <c r="FS185" s="139">
        <f t="shared" si="281"/>
        <v>0</v>
      </c>
      <c r="FT185" s="139">
        <f t="shared" si="282"/>
        <v>0</v>
      </c>
      <c r="FU185" s="148">
        <f t="shared" si="283"/>
        <v>0</v>
      </c>
      <c r="FV185" s="149"/>
      <c r="FY185" s="211">
        <v>180</v>
      </c>
      <c r="FZ185">
        <v>0.99193078977330351</v>
      </c>
      <c r="GA185">
        <v>0.82658959837173684</v>
      </c>
      <c r="GB185">
        <v>0.51404544017585851</v>
      </c>
      <c r="GC185">
        <v>0.54463647559989992</v>
      </c>
      <c r="GD185">
        <v>0.29045642743110534</v>
      </c>
      <c r="GE185">
        <v>0.11460862901025</v>
      </c>
      <c r="GF185">
        <v>0.37461671604370633</v>
      </c>
      <c r="GG185">
        <v>0.34012406257845362</v>
      </c>
      <c r="GH185">
        <v>6.6522953376906252E-2</v>
      </c>
      <c r="GI185">
        <v>0.51500032383034056</v>
      </c>
      <c r="GJ185"/>
      <c r="GK185">
        <v>0.9884624999999998</v>
      </c>
      <c r="GL185">
        <v>0.69579843749999992</v>
      </c>
      <c r="GM185">
        <v>0.8431953124999999</v>
      </c>
      <c r="GN185">
        <v>1.5960714285714284</v>
      </c>
      <c r="GO185">
        <v>1.1048370535714285</v>
      </c>
      <c r="GP185">
        <v>0.21534374999999997</v>
      </c>
      <c r="GQ185">
        <v>0.45162635869565215</v>
      </c>
      <c r="GR185">
        <v>0.47314719202898542</v>
      </c>
      <c r="GS185">
        <v>7.0364583333333328E-2</v>
      </c>
      <c r="GT185">
        <v>0.69169716162008277</v>
      </c>
      <c r="GU185"/>
      <c r="GV185"/>
      <c r="GW185"/>
      <c r="GX185"/>
      <c r="GY185"/>
      <c r="GZ185"/>
      <c r="HA185"/>
      <c r="HB185"/>
      <c r="HC185"/>
    </row>
    <row r="186" spans="1:211" s="7" customFormat="1">
      <c r="A186" s="1"/>
      <c r="B186" s="76">
        <f t="shared" ca="1" si="250"/>
        <v>0.41763422589095978</v>
      </c>
      <c r="C186">
        <v>2</v>
      </c>
      <c r="D186">
        <v>39987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 s="2"/>
      <c r="AK186" s="80"/>
      <c r="AL186" s="74"/>
      <c r="AM186" s="43">
        <v>170</v>
      </c>
      <c r="AN186">
        <v>28.291431341906883</v>
      </c>
      <c r="AO186">
        <v>0.53516475856276879</v>
      </c>
      <c r="AP186">
        <v>0.7464398055465955</v>
      </c>
      <c r="AQ186">
        <v>3.4742193490374085</v>
      </c>
      <c r="AR186">
        <v>0.50904127963748214</v>
      </c>
      <c r="AS186">
        <v>2.4512059438251739</v>
      </c>
      <c r="AT186" t="e">
        <v>#DIV/0!</v>
      </c>
      <c r="AU186" t="e">
        <v>#DIV/0!</v>
      </c>
      <c r="AV186"/>
      <c r="AW186"/>
      <c r="AX186" s="146"/>
      <c r="AY186" s="76">
        <f t="shared" ca="1" si="173"/>
        <v>0.91818794482372201</v>
      </c>
      <c r="AZ186">
        <v>9</v>
      </c>
      <c r="BA186" s="129">
        <f t="shared" si="249"/>
        <v>39987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  <c r="CF186">
        <v>0</v>
      </c>
      <c r="CG186" s="147"/>
      <c r="CH186" s="176"/>
      <c r="CJ186" s="146"/>
      <c r="CK186" s="76">
        <f t="shared" ca="1" si="208"/>
        <v>0.94611993131368166</v>
      </c>
      <c r="CL186" s="179">
        <f t="shared" si="209"/>
        <v>9</v>
      </c>
      <c r="CM186" s="180">
        <f t="shared" si="210"/>
        <v>39987</v>
      </c>
      <c r="CN186">
        <v>1</v>
      </c>
      <c r="CO186">
        <v>0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0</v>
      </c>
      <c r="CV186" s="160"/>
      <c r="CW186">
        <v>1</v>
      </c>
      <c r="CX186">
        <f>350/52</f>
        <v>6.7307692307692308</v>
      </c>
      <c r="CY186" s="165"/>
      <c r="CZ186" s="177">
        <f t="shared" si="211"/>
        <v>9.6000000000000002E-2</v>
      </c>
      <c r="DB186" s="146"/>
      <c r="DC186" s="76">
        <f t="shared" ca="1" si="174"/>
        <v>0.57200054399423195</v>
      </c>
      <c r="DD186">
        <f t="shared" si="212"/>
        <v>9</v>
      </c>
      <c r="DE186" s="129">
        <f t="shared" si="248"/>
        <v>39987</v>
      </c>
      <c r="DF186" s="161">
        <f t="shared" si="213"/>
        <v>70.112179487179489</v>
      </c>
      <c r="DG186" s="161">
        <f t="shared" si="214"/>
        <v>0</v>
      </c>
      <c r="DH186" s="161">
        <f t="shared" si="215"/>
        <v>0</v>
      </c>
      <c r="DI186" s="161">
        <f t="shared" si="216"/>
        <v>0</v>
      </c>
      <c r="DJ186" s="161">
        <f t="shared" si="217"/>
        <v>0</v>
      </c>
      <c r="DK186" s="161">
        <f t="shared" si="218"/>
        <v>0</v>
      </c>
      <c r="DL186" s="161">
        <f t="shared" si="219"/>
        <v>0</v>
      </c>
      <c r="DM186" s="161">
        <f t="shared" si="220"/>
        <v>0</v>
      </c>
      <c r="DN186" s="161">
        <f t="shared" si="221"/>
        <v>0</v>
      </c>
      <c r="DO186" s="161">
        <f t="shared" si="222"/>
        <v>0</v>
      </c>
      <c r="DP186" s="161">
        <f t="shared" si="223"/>
        <v>0</v>
      </c>
      <c r="DQ186" s="161">
        <f t="shared" si="224"/>
        <v>0</v>
      </c>
      <c r="DR186" s="161">
        <f t="shared" si="225"/>
        <v>0</v>
      </c>
      <c r="DS186" s="161">
        <f t="shared" si="226"/>
        <v>0</v>
      </c>
      <c r="DT186" s="161">
        <f t="shared" si="227"/>
        <v>0</v>
      </c>
      <c r="DU186" s="161">
        <f t="shared" si="228"/>
        <v>0</v>
      </c>
      <c r="DV186" s="161">
        <f t="shared" si="229"/>
        <v>0</v>
      </c>
      <c r="DW186" s="161">
        <f t="shared" si="230"/>
        <v>0</v>
      </c>
      <c r="DX186" s="161">
        <f t="shared" si="231"/>
        <v>0</v>
      </c>
      <c r="DY186" s="161">
        <f t="shared" si="232"/>
        <v>0</v>
      </c>
      <c r="DZ186" s="161">
        <f t="shared" si="233"/>
        <v>0</v>
      </c>
      <c r="EA186" s="161">
        <f t="shared" si="234"/>
        <v>0</v>
      </c>
      <c r="EB186" s="161">
        <f t="shared" si="235"/>
        <v>0</v>
      </c>
      <c r="EC186" s="161">
        <f t="shared" si="236"/>
        <v>0</v>
      </c>
      <c r="ED186" s="161">
        <f t="shared" si="237"/>
        <v>0</v>
      </c>
      <c r="EE186" s="161">
        <f t="shared" si="238"/>
        <v>0</v>
      </c>
      <c r="EF186" s="161">
        <f t="shared" si="239"/>
        <v>0</v>
      </c>
      <c r="EG186" s="161">
        <f t="shared" si="240"/>
        <v>0</v>
      </c>
      <c r="EH186" s="161">
        <f t="shared" si="241"/>
        <v>0</v>
      </c>
      <c r="EI186" s="161">
        <f t="shared" si="242"/>
        <v>0</v>
      </c>
      <c r="EJ186" s="161">
        <f t="shared" si="243"/>
        <v>0</v>
      </c>
      <c r="EK186" s="147">
        <f t="shared" si="251"/>
        <v>70.112179487179489</v>
      </c>
      <c r="EL186" s="149"/>
      <c r="EN186" s="146"/>
      <c r="EO186" s="146"/>
      <c r="EP186" s="139">
        <f t="shared" si="252"/>
        <v>0.4858774038461538</v>
      </c>
      <c r="EQ186" s="139">
        <f t="shared" si="253"/>
        <v>0</v>
      </c>
      <c r="ER186" s="139">
        <f t="shared" si="254"/>
        <v>0</v>
      </c>
      <c r="ES186" s="139">
        <f t="shared" si="255"/>
        <v>0</v>
      </c>
      <c r="ET186" s="139">
        <f t="shared" si="256"/>
        <v>0</v>
      </c>
      <c r="EU186" s="139">
        <f t="shared" si="257"/>
        <v>0</v>
      </c>
      <c r="EV186" s="139">
        <f t="shared" si="258"/>
        <v>0</v>
      </c>
      <c r="EW186" s="139">
        <f t="shared" si="259"/>
        <v>0</v>
      </c>
      <c r="EX186" s="139">
        <f t="shared" si="260"/>
        <v>0</v>
      </c>
      <c r="EY186" s="139">
        <f t="shared" si="261"/>
        <v>0</v>
      </c>
      <c r="EZ186" s="139">
        <f t="shared" si="262"/>
        <v>0</v>
      </c>
      <c r="FA186" s="139">
        <f t="shared" si="263"/>
        <v>0</v>
      </c>
      <c r="FB186" s="139">
        <f t="shared" si="264"/>
        <v>0</v>
      </c>
      <c r="FC186" s="139">
        <f t="shared" si="265"/>
        <v>0</v>
      </c>
      <c r="FD186" s="139">
        <f t="shared" si="266"/>
        <v>0</v>
      </c>
      <c r="FE186" s="139">
        <f t="shared" si="267"/>
        <v>0</v>
      </c>
      <c r="FF186" s="139">
        <f t="shared" si="268"/>
        <v>0</v>
      </c>
      <c r="FG186" s="139">
        <f t="shared" si="269"/>
        <v>0</v>
      </c>
      <c r="FH186" s="139">
        <f t="shared" si="270"/>
        <v>0</v>
      </c>
      <c r="FI186" s="139">
        <f t="shared" si="271"/>
        <v>0</v>
      </c>
      <c r="FJ186" s="139">
        <f t="shared" si="272"/>
        <v>0</v>
      </c>
      <c r="FK186" s="139">
        <f t="shared" si="273"/>
        <v>0</v>
      </c>
      <c r="FL186" s="139">
        <f t="shared" si="274"/>
        <v>0</v>
      </c>
      <c r="FM186" s="139">
        <f t="shared" si="275"/>
        <v>0</v>
      </c>
      <c r="FN186" s="139">
        <f t="shared" si="276"/>
        <v>0</v>
      </c>
      <c r="FO186" s="139">
        <f t="shared" si="277"/>
        <v>0</v>
      </c>
      <c r="FP186" s="139">
        <f t="shared" si="278"/>
        <v>0</v>
      </c>
      <c r="FQ186" s="139">
        <f t="shared" si="279"/>
        <v>0</v>
      </c>
      <c r="FR186" s="139">
        <f t="shared" si="280"/>
        <v>0</v>
      </c>
      <c r="FS186" s="139">
        <f t="shared" si="281"/>
        <v>0</v>
      </c>
      <c r="FT186" s="139">
        <f t="shared" si="282"/>
        <v>0</v>
      </c>
      <c r="FU186" s="148">
        <f t="shared" si="283"/>
        <v>0.4858774038461538</v>
      </c>
      <c r="FV186" s="149"/>
      <c r="FY186" s="211">
        <v>181</v>
      </c>
      <c r="FZ186">
        <v>1.3491334006959066</v>
      </c>
      <c r="GA186">
        <v>1.8229880894476125</v>
      </c>
      <c r="GB186">
        <v>0.72555837086650077</v>
      </c>
      <c r="GC186">
        <v>0.95911824074276808</v>
      </c>
      <c r="GD186">
        <v>0.54424227600796182</v>
      </c>
      <c r="GE186">
        <v>0.17332819693627502</v>
      </c>
      <c r="GF186">
        <v>1.2837120786229317</v>
      </c>
      <c r="GG186">
        <v>1.0072508610682518</v>
      </c>
      <c r="GH186">
        <v>0</v>
      </c>
      <c r="GI186">
        <v>0.91625777447819812</v>
      </c>
      <c r="GJ186"/>
      <c r="GK186">
        <v>1.3445174632352939</v>
      </c>
      <c r="GL186">
        <v>1.5354627757352939</v>
      </c>
      <c r="GM186">
        <v>1.1911938920454543</v>
      </c>
      <c r="GN186">
        <v>2.8110244724025968</v>
      </c>
      <c r="GO186">
        <v>2.0696665178571427</v>
      </c>
      <c r="GP186">
        <v>0.32573437500000002</v>
      </c>
      <c r="GQ186">
        <v>1.5480040760869564</v>
      </c>
      <c r="GR186">
        <v>1.4014728260869567</v>
      </c>
      <c r="GS186">
        <v>0</v>
      </c>
      <c r="GT186">
        <v>1.2306763898449695</v>
      </c>
      <c r="GU186"/>
      <c r="GV186"/>
      <c r="GW186"/>
      <c r="GX186"/>
      <c r="GY186"/>
      <c r="GZ186"/>
      <c r="HA186"/>
      <c r="HB186"/>
      <c r="HC186"/>
    </row>
    <row r="187" spans="1:211" s="7" customFormat="1">
      <c r="A187" s="1"/>
      <c r="B187" s="76">
        <f t="shared" ca="1" si="250"/>
        <v>0.6106348341948431</v>
      </c>
      <c r="C187">
        <v>5</v>
      </c>
      <c r="D187">
        <v>39987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 s="2"/>
      <c r="AK187" s="80"/>
      <c r="AL187" s="74"/>
      <c r="AM187" s="43">
        <v>171</v>
      </c>
      <c r="AN187">
        <v>39.550942946623096</v>
      </c>
      <c r="AO187">
        <v>0.86734895986519622</v>
      </c>
      <c r="AP187">
        <v>1.5500916113179246</v>
      </c>
      <c r="AQ187">
        <v>7.0100740909678407</v>
      </c>
      <c r="AR187">
        <v>0.80660984987745099</v>
      </c>
      <c r="AS187">
        <v>3.1297967882484037</v>
      </c>
      <c r="AT187" t="e">
        <v>#DIV/0!</v>
      </c>
      <c r="AU187" t="e">
        <v>#DIV/0!</v>
      </c>
      <c r="AV187"/>
      <c r="AW187"/>
      <c r="AX187" s="146"/>
      <c r="AY187" s="76">
        <f t="shared" ca="1" si="173"/>
        <v>0.62851459119426933</v>
      </c>
      <c r="AZ187">
        <v>10</v>
      </c>
      <c r="BA187" s="129">
        <f t="shared" si="249"/>
        <v>39987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  <c r="CF187">
        <v>0</v>
      </c>
      <c r="CG187" s="147"/>
      <c r="CH187" s="176"/>
      <c r="CJ187" s="146"/>
      <c r="CK187" s="76">
        <f t="shared" ca="1" si="208"/>
        <v>0.45830117963589512</v>
      </c>
      <c r="CL187" s="179">
        <f t="shared" si="209"/>
        <v>10</v>
      </c>
      <c r="CM187" s="180">
        <f t="shared" si="210"/>
        <v>39987</v>
      </c>
      <c r="CN187">
        <v>0</v>
      </c>
      <c r="CO187">
        <v>0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0</v>
      </c>
      <c r="CV187" s="160"/>
      <c r="CW187">
        <v>1</v>
      </c>
      <c r="CX187">
        <f>350/73</f>
        <v>4.7945205479452051</v>
      </c>
      <c r="CY187" s="165"/>
      <c r="CZ187" s="177">
        <f t="shared" si="211"/>
        <v>9.6000000000000002E-2</v>
      </c>
      <c r="DB187" s="146"/>
      <c r="DC187" s="76">
        <f t="shared" ca="1" si="174"/>
        <v>0.26758829449153687</v>
      </c>
      <c r="DD187">
        <f t="shared" si="212"/>
        <v>10</v>
      </c>
      <c r="DE187" s="129">
        <f t="shared" si="248"/>
        <v>39987</v>
      </c>
      <c r="DF187" s="161">
        <f t="shared" si="213"/>
        <v>0</v>
      </c>
      <c r="DG187" s="161">
        <f t="shared" si="214"/>
        <v>0</v>
      </c>
      <c r="DH187" s="161">
        <f t="shared" si="215"/>
        <v>0</v>
      </c>
      <c r="DI187" s="161">
        <f t="shared" si="216"/>
        <v>0</v>
      </c>
      <c r="DJ187" s="161">
        <f t="shared" si="217"/>
        <v>0</v>
      </c>
      <c r="DK187" s="161">
        <f t="shared" si="218"/>
        <v>0</v>
      </c>
      <c r="DL187" s="161">
        <f t="shared" si="219"/>
        <v>0</v>
      </c>
      <c r="DM187" s="161">
        <f t="shared" si="220"/>
        <v>0</v>
      </c>
      <c r="DN187" s="161">
        <f t="shared" si="221"/>
        <v>0</v>
      </c>
      <c r="DO187" s="161">
        <f t="shared" si="222"/>
        <v>0</v>
      </c>
      <c r="DP187" s="161">
        <f t="shared" si="223"/>
        <v>0</v>
      </c>
      <c r="DQ187" s="161">
        <f t="shared" si="224"/>
        <v>0</v>
      </c>
      <c r="DR187" s="161">
        <f t="shared" si="225"/>
        <v>0</v>
      </c>
      <c r="DS187" s="161">
        <f t="shared" si="226"/>
        <v>0</v>
      </c>
      <c r="DT187" s="161">
        <f t="shared" si="227"/>
        <v>0</v>
      </c>
      <c r="DU187" s="161">
        <f t="shared" si="228"/>
        <v>0</v>
      </c>
      <c r="DV187" s="161">
        <f t="shared" si="229"/>
        <v>0</v>
      </c>
      <c r="DW187" s="161">
        <f t="shared" si="230"/>
        <v>0</v>
      </c>
      <c r="DX187" s="161">
        <f t="shared" si="231"/>
        <v>0</v>
      </c>
      <c r="DY187" s="161">
        <f t="shared" si="232"/>
        <v>0</v>
      </c>
      <c r="DZ187" s="161">
        <f t="shared" si="233"/>
        <v>0</v>
      </c>
      <c r="EA187" s="161">
        <f t="shared" si="234"/>
        <v>0</v>
      </c>
      <c r="EB187" s="161">
        <f t="shared" si="235"/>
        <v>0</v>
      </c>
      <c r="EC187" s="161">
        <f t="shared" si="236"/>
        <v>0</v>
      </c>
      <c r="ED187" s="161">
        <f t="shared" si="237"/>
        <v>0</v>
      </c>
      <c r="EE187" s="161">
        <f t="shared" si="238"/>
        <v>0</v>
      </c>
      <c r="EF187" s="161">
        <f t="shared" si="239"/>
        <v>0</v>
      </c>
      <c r="EG187" s="161">
        <f t="shared" si="240"/>
        <v>0</v>
      </c>
      <c r="EH187" s="161">
        <f t="shared" si="241"/>
        <v>0</v>
      </c>
      <c r="EI187" s="161">
        <f t="shared" si="242"/>
        <v>0</v>
      </c>
      <c r="EJ187" s="161">
        <f t="shared" si="243"/>
        <v>0</v>
      </c>
      <c r="EK187" s="147">
        <f t="shared" si="251"/>
        <v>0</v>
      </c>
      <c r="EL187" s="149"/>
      <c r="EN187" s="146"/>
      <c r="EO187" s="146"/>
      <c r="EP187" s="139">
        <f t="shared" si="252"/>
        <v>0</v>
      </c>
      <c r="EQ187" s="139">
        <f t="shared" si="253"/>
        <v>0</v>
      </c>
      <c r="ER187" s="139">
        <f t="shared" si="254"/>
        <v>0</v>
      </c>
      <c r="ES187" s="139">
        <f t="shared" si="255"/>
        <v>0</v>
      </c>
      <c r="ET187" s="139">
        <f t="shared" si="256"/>
        <v>0</v>
      </c>
      <c r="EU187" s="139">
        <f t="shared" si="257"/>
        <v>0</v>
      </c>
      <c r="EV187" s="139">
        <f t="shared" si="258"/>
        <v>0</v>
      </c>
      <c r="EW187" s="139">
        <f t="shared" si="259"/>
        <v>0</v>
      </c>
      <c r="EX187" s="139">
        <f t="shared" si="260"/>
        <v>0</v>
      </c>
      <c r="EY187" s="139">
        <f t="shared" si="261"/>
        <v>0</v>
      </c>
      <c r="EZ187" s="139">
        <f t="shared" si="262"/>
        <v>0</v>
      </c>
      <c r="FA187" s="139">
        <f t="shared" si="263"/>
        <v>0</v>
      </c>
      <c r="FB187" s="139">
        <f t="shared" si="264"/>
        <v>0</v>
      </c>
      <c r="FC187" s="139">
        <f t="shared" si="265"/>
        <v>0</v>
      </c>
      <c r="FD187" s="139">
        <f t="shared" si="266"/>
        <v>0</v>
      </c>
      <c r="FE187" s="139">
        <f t="shared" si="267"/>
        <v>0</v>
      </c>
      <c r="FF187" s="139">
        <f t="shared" si="268"/>
        <v>0</v>
      </c>
      <c r="FG187" s="139">
        <f t="shared" si="269"/>
        <v>0</v>
      </c>
      <c r="FH187" s="139">
        <f t="shared" si="270"/>
        <v>0</v>
      </c>
      <c r="FI187" s="139">
        <f t="shared" si="271"/>
        <v>0</v>
      </c>
      <c r="FJ187" s="139">
        <f t="shared" si="272"/>
        <v>0</v>
      </c>
      <c r="FK187" s="139">
        <f t="shared" si="273"/>
        <v>0</v>
      </c>
      <c r="FL187" s="139">
        <f t="shared" si="274"/>
        <v>0</v>
      </c>
      <c r="FM187" s="139">
        <f t="shared" si="275"/>
        <v>0</v>
      </c>
      <c r="FN187" s="139">
        <f t="shared" si="276"/>
        <v>0</v>
      </c>
      <c r="FO187" s="139">
        <f t="shared" si="277"/>
        <v>0</v>
      </c>
      <c r="FP187" s="139">
        <f t="shared" si="278"/>
        <v>0</v>
      </c>
      <c r="FQ187" s="139">
        <f t="shared" si="279"/>
        <v>0</v>
      </c>
      <c r="FR187" s="139">
        <f t="shared" si="280"/>
        <v>0</v>
      </c>
      <c r="FS187" s="139">
        <f t="shared" si="281"/>
        <v>0</v>
      </c>
      <c r="FT187" s="139">
        <f t="shared" si="282"/>
        <v>0</v>
      </c>
      <c r="FU187" s="148">
        <f t="shared" si="283"/>
        <v>0</v>
      </c>
      <c r="FV187" s="149"/>
      <c r="FY187" s="211">
        <v>182</v>
      </c>
      <c r="FZ187">
        <v>1.7361141064033163</v>
      </c>
      <c r="GA187">
        <v>2.0116804312298511</v>
      </c>
      <c r="GB187">
        <v>1.33182090853682</v>
      </c>
      <c r="GC187">
        <v>1.093166462239177</v>
      </c>
      <c r="GD187">
        <v>0.3782786354333324</v>
      </c>
      <c r="GE187">
        <v>9.341150119087499E-2</v>
      </c>
      <c r="GF187">
        <v>0.82805716775636906</v>
      </c>
      <c r="GG187">
        <v>0.81887252380421982</v>
      </c>
      <c r="GH187">
        <v>0.1330459067538125</v>
      </c>
      <c r="GI187">
        <v>0.96690195013921099</v>
      </c>
      <c r="GJ187"/>
      <c r="GK187">
        <v>1.7301393382352939</v>
      </c>
      <c r="GL187">
        <v>1.694197931985294</v>
      </c>
      <c r="GM187">
        <v>2.1867823153409089</v>
      </c>
      <c r="GN187">
        <v>3.2066862215909087</v>
      </c>
      <c r="GO187">
        <v>1.4384156249999998</v>
      </c>
      <c r="GP187">
        <v>0.17554687499999999</v>
      </c>
      <c r="GQ187">
        <v>0.99869021739130437</v>
      </c>
      <c r="GR187">
        <v>1.1394193840579709</v>
      </c>
      <c r="GS187">
        <v>0.14072916666666666</v>
      </c>
      <c r="GT187">
        <v>1.2989513325268347</v>
      </c>
      <c r="GU187"/>
      <c r="GV187"/>
      <c r="GW187"/>
      <c r="GX187"/>
      <c r="GY187"/>
      <c r="GZ187"/>
      <c r="HA187"/>
      <c r="HB187"/>
      <c r="HC187"/>
    </row>
    <row r="188" spans="1:211" s="7" customFormat="1">
      <c r="A188" s="128"/>
      <c r="B188" s="76" t="str">
        <f t="shared" ca="1" si="250"/>
        <v/>
      </c>
      <c r="C188" t="s">
        <v>104</v>
      </c>
      <c r="D188" t="s">
        <v>104</v>
      </c>
      <c r="E188" t="s">
        <v>104</v>
      </c>
      <c r="F188" t="s">
        <v>104</v>
      </c>
      <c r="G188" t="s">
        <v>104</v>
      </c>
      <c r="H188" t="s">
        <v>104</v>
      </c>
      <c r="I188" t="s">
        <v>104</v>
      </c>
      <c r="J188" t="s">
        <v>104</v>
      </c>
      <c r="K188" t="s">
        <v>104</v>
      </c>
      <c r="L188" t="s">
        <v>104</v>
      </c>
      <c r="M188" t="s">
        <v>104</v>
      </c>
      <c r="N188" t="s">
        <v>104</v>
      </c>
      <c r="O188" t="s">
        <v>104</v>
      </c>
      <c r="P188" t="s">
        <v>104</v>
      </c>
      <c r="Q188" t="s">
        <v>104</v>
      </c>
      <c r="R188" t="s">
        <v>104</v>
      </c>
      <c r="S188" t="s">
        <v>104</v>
      </c>
      <c r="T188" t="s">
        <v>104</v>
      </c>
      <c r="U188" t="s">
        <v>104</v>
      </c>
      <c r="V188" t="s">
        <v>104</v>
      </c>
      <c r="W188" t="s">
        <v>104</v>
      </c>
      <c r="X188" t="s">
        <v>104</v>
      </c>
      <c r="Y188" t="s">
        <v>104</v>
      </c>
      <c r="Z188" t="s">
        <v>104</v>
      </c>
      <c r="AA188" t="s">
        <v>104</v>
      </c>
      <c r="AB188" t="s">
        <v>104</v>
      </c>
      <c r="AC188" t="s">
        <v>104</v>
      </c>
      <c r="AD188" t="s">
        <v>104</v>
      </c>
      <c r="AE188" t="s">
        <v>104</v>
      </c>
      <c r="AF188" t="s">
        <v>104</v>
      </c>
      <c r="AG188" t="s">
        <v>104</v>
      </c>
      <c r="AH188" t="s">
        <v>104</v>
      </c>
      <c r="AI188" t="s">
        <v>104</v>
      </c>
      <c r="AJ188" s="2"/>
      <c r="AK188" s="80"/>
      <c r="AL188" s="74">
        <v>3.0028000000000028</v>
      </c>
      <c r="AM188" s="43">
        <v>172</v>
      </c>
      <c r="AN188">
        <v>45.232309398118218</v>
      </c>
      <c r="AO188">
        <v>1.2092182402634131</v>
      </c>
      <c r="AP188">
        <v>9.2493995777382434</v>
      </c>
      <c r="AQ188">
        <v>7.4224678498640966</v>
      </c>
      <c r="AR188">
        <v>1.1014978429842217</v>
      </c>
      <c r="AS188">
        <v>3.6387390266487873</v>
      </c>
      <c r="AT188" t="e">
        <v>#DIV/0!</v>
      </c>
      <c r="AU188" t="e">
        <v>#DIV/0!</v>
      </c>
      <c r="AV188"/>
      <c r="AW188"/>
      <c r="AX188" s="128"/>
      <c r="AY188" s="76" t="str">
        <f t="shared" ca="1" si="173"/>
        <v/>
      </c>
      <c r="AZ188"/>
      <c r="BA188" s="129" t="s">
        <v>104</v>
      </c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 s="147"/>
      <c r="CH188" s="176"/>
      <c r="CJ188" s="128"/>
      <c r="CK188" s="76" t="str">
        <f t="shared" ca="1" si="208"/>
        <v/>
      </c>
      <c r="CL188" s="179" t="str">
        <f t="shared" si="209"/>
        <v/>
      </c>
      <c r="CM188" s="180" t="str">
        <f t="shared" si="210"/>
        <v/>
      </c>
      <c r="CN188"/>
      <c r="CO188"/>
      <c r="CP188"/>
      <c r="CQ188"/>
      <c r="CR188"/>
      <c r="CS188"/>
      <c r="CT188"/>
      <c r="CU188"/>
      <c r="CV188" s="160"/>
      <c r="CW188"/>
      <c r="CX188"/>
      <c r="CY188" s="160"/>
      <c r="CZ188" s="177" t="str">
        <f t="shared" si="211"/>
        <v/>
      </c>
      <c r="DB188" s="128"/>
      <c r="DC188" s="76" t="str">
        <f t="shared" ca="1" si="174"/>
        <v/>
      </c>
      <c r="DD188" t="str">
        <f t="shared" si="212"/>
        <v/>
      </c>
      <c r="DE188" s="129" t="str">
        <f t="shared" ref="DE188:DE197" si="284">IF((DD188)="", "", $C$14)</f>
        <v/>
      </c>
      <c r="DF188" s="161" t="str">
        <f t="shared" ref="DF188:DF207" si="285">IF($AZ188="", "", ((BB188*$CW188)+(CN188*$CX188))/$CZ188)</f>
        <v/>
      </c>
      <c r="DG188" s="161" t="str">
        <f t="shared" ref="DG188:DG207" si="286">IF($AZ188="", "", ((BC188*$CW188)+(CO188*$CX188))/$CZ188)</f>
        <v/>
      </c>
      <c r="DH188" s="161" t="str">
        <f t="shared" ref="DH188:DH207" si="287">IF($AZ188="", "", ((BD188*$CW188)+(CP188*$CX188))/$CZ188)</f>
        <v/>
      </c>
      <c r="DI188" s="161" t="str">
        <f t="shared" ref="DI188:DI207" si="288">IF($AZ188="", "", ((BE188*$CW188)+(CQ188*$CX188))/$CZ188)</f>
        <v/>
      </c>
      <c r="DJ188" s="161" t="str">
        <f t="shared" ref="DJ188:DJ207" si="289">IF($AZ188="", "", ((BF188*$CW188)+(CR188*$CX188))/$CZ188)</f>
        <v/>
      </c>
      <c r="DK188" s="161" t="str">
        <f t="shared" ref="DK188:DK207" si="290">IF($AZ188="", "", ((BG188*$CW188)+(CS188*$CX188))/$CZ188)</f>
        <v/>
      </c>
      <c r="DL188" s="161" t="str">
        <f t="shared" ref="DL188:DL207" si="291">IF($AZ188="", "", ((BH188*$CW188)+(CT188*$CX188))/$CZ188)</f>
        <v/>
      </c>
      <c r="DM188" s="161" t="str">
        <f t="shared" ref="DM188:DM207" si="292">IF($AZ188="", "", ((BI188*$CW188)+(CU188*$CX188))/$CZ188)</f>
        <v/>
      </c>
      <c r="DN188" s="161" t="str">
        <f>IF($AZ188="", "", (BJ188*$CW188)/$CZ188)</f>
        <v/>
      </c>
      <c r="DO188" s="161" t="str">
        <f t="shared" ref="DO188:DO193" si="293">IF($AZ188="", "", (BK187*$CW188)/$CZ188)</f>
        <v/>
      </c>
      <c r="DP188" s="161" t="str">
        <f t="shared" ref="DP188:DP193" si="294">IF($AZ188="", "", (BL187*$CW188)/$CZ188)</f>
        <v/>
      </c>
      <c r="DQ188" s="161" t="str">
        <f t="shared" ref="DQ188:DQ193" si="295">IF($AZ188="", "", (BM187*$CW188)/$CZ188)</f>
        <v/>
      </c>
      <c r="DR188" s="161" t="str">
        <f t="shared" ref="DR188:DR193" si="296">IF($AZ188="", "", (BN187*$CW188)/$CZ188)</f>
        <v/>
      </c>
      <c r="DS188" s="161" t="str">
        <f t="shared" ref="DS188:DS193" si="297">IF($AZ188="", "", (BO187*$CW188)/$CZ188)</f>
        <v/>
      </c>
      <c r="DT188" s="161" t="str">
        <f t="shared" ref="DT188:DT193" si="298">IF($AZ188="", "", (BP187*$CW188)/$CZ188)</f>
        <v/>
      </c>
      <c r="DU188" s="161" t="str">
        <f t="shared" ref="DU188:DU193" si="299">IF($AZ188="", "", (BQ187*$CW188)/$CZ188)</f>
        <v/>
      </c>
      <c r="DV188" s="161" t="str">
        <f t="shared" ref="DV188:DV193" si="300">IF($AZ188="", "", (BR187*$CW188)/$CZ188)</f>
        <v/>
      </c>
      <c r="DW188" s="161" t="str">
        <f t="shared" ref="DW188:DW193" si="301">IF($AZ188="", "", (BS187*$CW188)/$CZ188)</f>
        <v/>
      </c>
      <c r="DX188" s="161" t="str">
        <f t="shared" ref="DX188:DX193" si="302">IF($AZ188="", "", (BT187*$CW188)/$CZ188)</f>
        <v/>
      </c>
      <c r="DY188" s="161" t="str">
        <f t="shared" ref="DY188:DY193" si="303">IF($AZ188="", "", (BU187*$CW188)/$CZ188)</f>
        <v/>
      </c>
      <c r="DZ188" s="161" t="str">
        <f t="shared" ref="DZ188:DZ193" si="304">IF($AZ188="", "", (BV187*$CW188)/$CZ188)</f>
        <v/>
      </c>
      <c r="EA188" s="161" t="str">
        <f t="shared" ref="EA188:EA193" si="305">IF($AZ188="", "", (BW187*$CW188)/$CZ188)</f>
        <v/>
      </c>
      <c r="EB188" s="161" t="str">
        <f t="shared" ref="EB188:EB193" si="306">IF($AZ188="", "", (BX187*$CW188)/$CZ188)</f>
        <v/>
      </c>
      <c r="EC188" s="161" t="str">
        <f t="shared" ref="EC188:EC193" si="307">IF($AZ188="", "", (BY187*$CW188)/$CZ188)</f>
        <v/>
      </c>
      <c r="ED188" s="161" t="str">
        <f t="shared" ref="ED188:ED193" si="308">IF($AZ188="", "", (BZ187*$CW188)/$CZ188)</f>
        <v/>
      </c>
      <c r="EE188" s="161" t="str">
        <f t="shared" ref="EE188:EE193" si="309">IF($AZ188="", "", (CA187*$CW188)/$CZ188)</f>
        <v/>
      </c>
      <c r="EF188" s="161" t="str">
        <f t="shared" ref="EF188:EF193" si="310">IF($AZ188="", "", (CB187*$CW188)/$CZ188)</f>
        <v/>
      </c>
      <c r="EG188" s="161" t="str">
        <f t="shared" ref="EG188:EG193" si="311">IF($AZ188="", "", (CC187*$CW188)/$CZ188)</f>
        <v/>
      </c>
      <c r="EH188" s="161" t="str">
        <f t="shared" ref="EH188:EH193" si="312">IF($AZ188="", "", (CD187*$CW188)/$CZ188)</f>
        <v/>
      </c>
      <c r="EI188" s="161" t="str">
        <f t="shared" ref="EI188:EI193" si="313">IF($AZ188="", "", (CE187*$CW188)/$CZ188)</f>
        <v/>
      </c>
      <c r="EJ188" s="161" t="str">
        <f t="shared" ref="EJ188:EJ193" si="314">IF($AZ188="", "", (CF187*$CW188)/$CZ188)</f>
        <v/>
      </c>
      <c r="EK188" s="147" t="str">
        <f t="shared" si="251"/>
        <v/>
      </c>
      <c r="EL188" s="149"/>
      <c r="EN188" s="146"/>
      <c r="EO188" s="146"/>
      <c r="EP188" s="139" t="str">
        <f t="shared" si="252"/>
        <v/>
      </c>
      <c r="EQ188" s="139" t="str">
        <f t="shared" si="253"/>
        <v/>
      </c>
      <c r="ER188" s="139" t="str">
        <f t="shared" si="254"/>
        <v/>
      </c>
      <c r="ES188" s="139" t="str">
        <f t="shared" si="255"/>
        <v/>
      </c>
      <c r="ET188" s="139" t="str">
        <f t="shared" si="256"/>
        <v/>
      </c>
      <c r="EU188" s="139" t="str">
        <f t="shared" si="257"/>
        <v/>
      </c>
      <c r="EV188" s="139" t="str">
        <f t="shared" si="258"/>
        <v/>
      </c>
      <c r="EW188" s="139" t="str">
        <f t="shared" si="259"/>
        <v/>
      </c>
      <c r="EX188" s="139" t="str">
        <f t="shared" si="260"/>
        <v/>
      </c>
      <c r="EY188" s="139" t="str">
        <f t="shared" si="261"/>
        <v/>
      </c>
      <c r="EZ188" s="139" t="str">
        <f t="shared" si="262"/>
        <v/>
      </c>
      <c r="FA188" s="139" t="str">
        <f t="shared" si="263"/>
        <v/>
      </c>
      <c r="FB188" s="139" t="str">
        <f t="shared" si="264"/>
        <v/>
      </c>
      <c r="FC188" s="139" t="str">
        <f t="shared" si="265"/>
        <v/>
      </c>
      <c r="FD188" s="139" t="str">
        <f t="shared" si="266"/>
        <v/>
      </c>
      <c r="FE188" s="139" t="str">
        <f t="shared" si="267"/>
        <v/>
      </c>
      <c r="FF188" s="139" t="str">
        <f t="shared" si="268"/>
        <v/>
      </c>
      <c r="FG188" s="139" t="str">
        <f t="shared" si="269"/>
        <v/>
      </c>
      <c r="FH188" s="139" t="str">
        <f t="shared" si="270"/>
        <v/>
      </c>
      <c r="FI188" s="139" t="str">
        <f t="shared" si="271"/>
        <v/>
      </c>
      <c r="FJ188" s="139" t="str">
        <f t="shared" si="272"/>
        <v/>
      </c>
      <c r="FK188" s="139" t="str">
        <f t="shared" si="273"/>
        <v/>
      </c>
      <c r="FL188" s="139" t="str">
        <f t="shared" si="274"/>
        <v/>
      </c>
      <c r="FM188" s="139" t="str">
        <f t="shared" si="275"/>
        <v/>
      </c>
      <c r="FN188" s="139" t="str">
        <f t="shared" si="276"/>
        <v/>
      </c>
      <c r="FO188" s="139" t="str">
        <f t="shared" si="277"/>
        <v/>
      </c>
      <c r="FP188" s="139" t="str">
        <f t="shared" si="278"/>
        <v/>
      </c>
      <c r="FQ188" s="139" t="str">
        <f t="shared" si="279"/>
        <v/>
      </c>
      <c r="FR188" s="139" t="str">
        <f t="shared" si="280"/>
        <v/>
      </c>
      <c r="FS188" s="139" t="str">
        <f t="shared" si="281"/>
        <v/>
      </c>
      <c r="FT188" s="139" t="str">
        <f t="shared" si="282"/>
        <v/>
      </c>
      <c r="FU188" s="148" t="str">
        <f t="shared" si="283"/>
        <v/>
      </c>
      <c r="FV188" s="149"/>
      <c r="FY188" s="211">
        <v>183</v>
      </c>
      <c r="FZ188">
        <v>1.6066479115814265</v>
      </c>
      <c r="GA188">
        <v>2.3377290654762661</v>
      </c>
      <c r="GB188">
        <v>0.85508969979015337</v>
      </c>
      <c r="GC188">
        <v>0.58821265738214945</v>
      </c>
      <c r="GD188">
        <v>0.21076279407508494</v>
      </c>
      <c r="GE188">
        <v>9.05731237035E-2</v>
      </c>
      <c r="GF188">
        <v>0.74923343208741267</v>
      </c>
      <c r="GG188">
        <v>0.57908430828062596</v>
      </c>
      <c r="GH188">
        <v>2.2985735835423678E-2</v>
      </c>
      <c r="GI188">
        <v>0.70479226265117678</v>
      </c>
      <c r="GJ188"/>
      <c r="GK188">
        <v>1.6011880514705881</v>
      </c>
      <c r="GL188">
        <v>1.969168520220588</v>
      </c>
      <c r="GM188">
        <v>1.4037759232954545</v>
      </c>
      <c r="GN188">
        <v>1.7251204545454542</v>
      </c>
      <c r="GO188">
        <v>0.80154374999999989</v>
      </c>
      <c r="GP188">
        <v>0.17006250000000001</v>
      </c>
      <c r="GQ188">
        <v>0.90325271739130431</v>
      </c>
      <c r="GR188">
        <v>0.80556521739130427</v>
      </c>
      <c r="GS188">
        <v>2.4293870192307693E-2</v>
      </c>
      <c r="GT188">
        <v>0.94681086246993085</v>
      </c>
      <c r="GU188"/>
      <c r="GV188"/>
      <c r="GW188"/>
      <c r="GX188"/>
      <c r="GY188"/>
      <c r="GZ188"/>
      <c r="HA188"/>
      <c r="HB188"/>
      <c r="HC188"/>
    </row>
    <row r="189" spans="1:211" s="7" customFormat="1">
      <c r="A189" s="1"/>
      <c r="B189" s="76" t="str">
        <f t="shared" ca="1" si="250"/>
        <v/>
      </c>
      <c r="C189" t="s">
        <v>104</v>
      </c>
      <c r="D189" t="s">
        <v>104</v>
      </c>
      <c r="E189" t="s">
        <v>104</v>
      </c>
      <c r="F189" t="s">
        <v>104</v>
      </c>
      <c r="G189" t="s">
        <v>104</v>
      </c>
      <c r="H189" t="s">
        <v>104</v>
      </c>
      <c r="I189" t="s">
        <v>104</v>
      </c>
      <c r="J189" t="s">
        <v>104</v>
      </c>
      <c r="K189" t="s">
        <v>104</v>
      </c>
      <c r="L189" t="s">
        <v>104</v>
      </c>
      <c r="M189" t="s">
        <v>104</v>
      </c>
      <c r="N189" t="s">
        <v>104</v>
      </c>
      <c r="O189" t="s">
        <v>104</v>
      </c>
      <c r="P189" t="s">
        <v>104</v>
      </c>
      <c r="Q189" t="s">
        <v>104</v>
      </c>
      <c r="R189" t="s">
        <v>104</v>
      </c>
      <c r="S189" t="s">
        <v>104</v>
      </c>
      <c r="T189" t="s">
        <v>104</v>
      </c>
      <c r="U189" t="s">
        <v>104</v>
      </c>
      <c r="V189" t="s">
        <v>104</v>
      </c>
      <c r="W189" t="s">
        <v>104</v>
      </c>
      <c r="X189" t="s">
        <v>104</v>
      </c>
      <c r="Y189" t="s">
        <v>104</v>
      </c>
      <c r="Z189" t="s">
        <v>104</v>
      </c>
      <c r="AA189" t="s">
        <v>104</v>
      </c>
      <c r="AB189" t="s">
        <v>104</v>
      </c>
      <c r="AC189" t="s">
        <v>104</v>
      </c>
      <c r="AD189" t="s">
        <v>104</v>
      </c>
      <c r="AE189" t="s">
        <v>104</v>
      </c>
      <c r="AF189" t="s">
        <v>104</v>
      </c>
      <c r="AG189" t="s">
        <v>104</v>
      </c>
      <c r="AH189" t="s">
        <v>104</v>
      </c>
      <c r="AI189" t="s">
        <v>104</v>
      </c>
      <c r="AJ189" s="2"/>
      <c r="AK189" s="80"/>
      <c r="AL189" s="74">
        <v>3.0028000000000028</v>
      </c>
      <c r="AM189" s="43">
        <v>173</v>
      </c>
      <c r="AN189">
        <v>37.486972096530913</v>
      </c>
      <c r="AO189">
        <v>0.88027298133484155</v>
      </c>
      <c r="AP189">
        <v>1.4753798794043118</v>
      </c>
      <c r="AQ189">
        <v>5.8310590968283709</v>
      </c>
      <c r="AR189">
        <v>0.80607885759461118</v>
      </c>
      <c r="AS189">
        <v>2.8215835330325501</v>
      </c>
      <c r="AT189" t="e">
        <v>#DIV/0!</v>
      </c>
      <c r="AU189" t="e">
        <v>#DIV/0!</v>
      </c>
      <c r="AV189"/>
      <c r="AW189"/>
      <c r="AX189" s="146"/>
      <c r="AY189" s="76" t="str">
        <f t="shared" ca="1" si="173"/>
        <v/>
      </c>
      <c r="AZ189"/>
      <c r="BA189" s="129" t="s">
        <v>104</v>
      </c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 s="147"/>
      <c r="CH189" s="176"/>
      <c r="CJ189" s="146"/>
      <c r="CK189" s="76" t="str">
        <f t="shared" ca="1" si="208"/>
        <v/>
      </c>
      <c r="CL189" s="179" t="str">
        <f t="shared" si="209"/>
        <v/>
      </c>
      <c r="CM189" s="180" t="str">
        <f t="shared" si="210"/>
        <v/>
      </c>
      <c r="CN189"/>
      <c r="CO189"/>
      <c r="CP189"/>
      <c r="CQ189"/>
      <c r="CR189"/>
      <c r="CS189"/>
      <c r="CT189"/>
      <c r="CU189"/>
      <c r="CV189" s="160"/>
      <c r="CW189"/>
      <c r="CX189"/>
      <c r="CY189" s="160"/>
      <c r="CZ189" s="177" t="str">
        <f t="shared" si="211"/>
        <v/>
      </c>
      <c r="DB189" s="146"/>
      <c r="DC189" s="76" t="str">
        <f t="shared" ca="1" si="174"/>
        <v/>
      </c>
      <c r="DD189" t="str">
        <f t="shared" si="212"/>
        <v/>
      </c>
      <c r="DE189" s="129" t="str">
        <f t="shared" si="284"/>
        <v/>
      </c>
      <c r="DF189" s="161" t="str">
        <f t="shared" si="285"/>
        <v/>
      </c>
      <c r="DG189" s="161" t="str">
        <f t="shared" si="286"/>
        <v/>
      </c>
      <c r="DH189" s="161" t="str">
        <f t="shared" si="287"/>
        <v/>
      </c>
      <c r="DI189" s="161" t="str">
        <f t="shared" si="288"/>
        <v/>
      </c>
      <c r="DJ189" s="161" t="str">
        <f t="shared" si="289"/>
        <v/>
      </c>
      <c r="DK189" s="161" t="str">
        <f t="shared" si="290"/>
        <v/>
      </c>
      <c r="DL189" s="161" t="str">
        <f t="shared" si="291"/>
        <v/>
      </c>
      <c r="DM189" s="161" t="str">
        <f t="shared" si="292"/>
        <v/>
      </c>
      <c r="DN189" s="161" t="str">
        <f>IF($AZ189="", "", (BJ189*$CW189)/$CZ189)</f>
        <v/>
      </c>
      <c r="DO189" s="161" t="str">
        <f t="shared" si="293"/>
        <v/>
      </c>
      <c r="DP189" s="161" t="str">
        <f t="shared" si="294"/>
        <v/>
      </c>
      <c r="DQ189" s="161" t="str">
        <f t="shared" si="295"/>
        <v/>
      </c>
      <c r="DR189" s="161" t="str">
        <f t="shared" si="296"/>
        <v/>
      </c>
      <c r="DS189" s="161" t="str">
        <f t="shared" si="297"/>
        <v/>
      </c>
      <c r="DT189" s="161" t="str">
        <f t="shared" si="298"/>
        <v/>
      </c>
      <c r="DU189" s="161" t="str">
        <f t="shared" si="299"/>
        <v/>
      </c>
      <c r="DV189" s="161" t="str">
        <f t="shared" si="300"/>
        <v/>
      </c>
      <c r="DW189" s="161" t="str">
        <f t="shared" si="301"/>
        <v/>
      </c>
      <c r="DX189" s="161" t="str">
        <f t="shared" si="302"/>
        <v/>
      </c>
      <c r="DY189" s="161" t="str">
        <f t="shared" si="303"/>
        <v/>
      </c>
      <c r="DZ189" s="161" t="str">
        <f t="shared" si="304"/>
        <v/>
      </c>
      <c r="EA189" s="161" t="str">
        <f t="shared" si="305"/>
        <v/>
      </c>
      <c r="EB189" s="161" t="str">
        <f t="shared" si="306"/>
        <v/>
      </c>
      <c r="EC189" s="161" t="str">
        <f t="shared" si="307"/>
        <v/>
      </c>
      <c r="ED189" s="161" t="str">
        <f t="shared" si="308"/>
        <v/>
      </c>
      <c r="EE189" s="161" t="str">
        <f t="shared" si="309"/>
        <v/>
      </c>
      <c r="EF189" s="161" t="str">
        <f t="shared" si="310"/>
        <v/>
      </c>
      <c r="EG189" s="161" t="str">
        <f t="shared" si="311"/>
        <v/>
      </c>
      <c r="EH189" s="161" t="str">
        <f t="shared" si="312"/>
        <v/>
      </c>
      <c r="EI189" s="161" t="str">
        <f t="shared" si="313"/>
        <v/>
      </c>
      <c r="EJ189" s="161" t="str">
        <f t="shared" si="314"/>
        <v/>
      </c>
      <c r="EK189" s="147" t="str">
        <f t="shared" si="251"/>
        <v/>
      </c>
      <c r="EL189" s="149"/>
      <c r="EN189" s="146"/>
      <c r="EO189" s="146"/>
      <c r="EP189" s="139" t="str">
        <f t="shared" si="252"/>
        <v/>
      </c>
      <c r="EQ189" s="139" t="str">
        <f t="shared" si="253"/>
        <v/>
      </c>
      <c r="ER189" s="139" t="str">
        <f t="shared" si="254"/>
        <v/>
      </c>
      <c r="ES189" s="139" t="str">
        <f t="shared" si="255"/>
        <v/>
      </c>
      <c r="ET189" s="139" t="str">
        <f t="shared" si="256"/>
        <v/>
      </c>
      <c r="EU189" s="139" t="str">
        <f t="shared" si="257"/>
        <v/>
      </c>
      <c r="EV189" s="139" t="str">
        <f t="shared" si="258"/>
        <v/>
      </c>
      <c r="EW189" s="139" t="str">
        <f t="shared" si="259"/>
        <v/>
      </c>
      <c r="EX189" s="139" t="str">
        <f t="shared" si="260"/>
        <v/>
      </c>
      <c r="EY189" s="139" t="str">
        <f t="shared" si="261"/>
        <v/>
      </c>
      <c r="EZ189" s="139" t="str">
        <f t="shared" si="262"/>
        <v/>
      </c>
      <c r="FA189" s="139" t="str">
        <f t="shared" si="263"/>
        <v/>
      </c>
      <c r="FB189" s="139" t="str">
        <f t="shared" si="264"/>
        <v/>
      </c>
      <c r="FC189" s="139" t="str">
        <f t="shared" si="265"/>
        <v/>
      </c>
      <c r="FD189" s="139" t="str">
        <f t="shared" si="266"/>
        <v/>
      </c>
      <c r="FE189" s="139" t="str">
        <f t="shared" si="267"/>
        <v/>
      </c>
      <c r="FF189" s="139" t="str">
        <f t="shared" si="268"/>
        <v/>
      </c>
      <c r="FG189" s="139" t="str">
        <f t="shared" si="269"/>
        <v/>
      </c>
      <c r="FH189" s="139" t="str">
        <f t="shared" si="270"/>
        <v/>
      </c>
      <c r="FI189" s="139" t="str">
        <f t="shared" si="271"/>
        <v/>
      </c>
      <c r="FJ189" s="139" t="str">
        <f t="shared" si="272"/>
        <v/>
      </c>
      <c r="FK189" s="139" t="str">
        <f t="shared" si="273"/>
        <v/>
      </c>
      <c r="FL189" s="139" t="str">
        <f t="shared" si="274"/>
        <v/>
      </c>
      <c r="FM189" s="139" t="str">
        <f t="shared" si="275"/>
        <v/>
      </c>
      <c r="FN189" s="139" t="str">
        <f t="shared" si="276"/>
        <v/>
      </c>
      <c r="FO189" s="139" t="str">
        <f t="shared" si="277"/>
        <v/>
      </c>
      <c r="FP189" s="139" t="str">
        <f t="shared" si="278"/>
        <v/>
      </c>
      <c r="FQ189" s="139" t="str">
        <f t="shared" si="279"/>
        <v/>
      </c>
      <c r="FR189" s="139" t="str">
        <f t="shared" si="280"/>
        <v/>
      </c>
      <c r="FS189" s="139" t="str">
        <f t="shared" si="281"/>
        <v/>
      </c>
      <c r="FT189" s="139" t="str">
        <f t="shared" si="282"/>
        <v/>
      </c>
      <c r="FU189" s="148" t="str">
        <f t="shared" si="283"/>
        <v/>
      </c>
      <c r="FV189" s="149"/>
      <c r="FY189" s="211">
        <v>184</v>
      </c>
      <c r="FZ189">
        <v>1.292919558044912</v>
      </c>
      <c r="GA189">
        <v>1.633488528908019</v>
      </c>
      <c r="GB189">
        <v>0.12609321061276757</v>
      </c>
      <c r="GC189">
        <v>0.10658565010649999</v>
      </c>
      <c r="GD189">
        <v>0.12675084216026783</v>
      </c>
      <c r="GE189">
        <v>0.14249529550395001</v>
      </c>
      <c r="GF189">
        <v>8.1038194822856249E-2</v>
      </c>
      <c r="GG189">
        <v>5.0581908438140623E-2</v>
      </c>
      <c r="GH189">
        <v>0.13548016088317727</v>
      </c>
      <c r="GI189">
        <v>0.33031639092251736</v>
      </c>
      <c r="GJ189"/>
      <c r="GK189">
        <v>1.288370588235294</v>
      </c>
      <c r="GL189">
        <v>1.375616681985294</v>
      </c>
      <c r="GM189">
        <v>0.20677734375000001</v>
      </c>
      <c r="GN189">
        <v>0.31232142857142853</v>
      </c>
      <c r="GO189">
        <v>0.48247767857142854</v>
      </c>
      <c r="GP189">
        <v>0.26784374999999999</v>
      </c>
      <c r="GQ189">
        <v>9.768750000000001E-2</v>
      </c>
      <c r="GR189">
        <v>7.0364583333333328E-2</v>
      </c>
      <c r="GS189">
        <v>0.14324619391025639</v>
      </c>
      <c r="GT189">
        <v>0.44371186089339582</v>
      </c>
      <c r="GU189"/>
      <c r="GV189"/>
      <c r="GW189"/>
      <c r="GX189"/>
      <c r="GY189"/>
      <c r="GZ189"/>
      <c r="HA189"/>
      <c r="HB189"/>
      <c r="HC189"/>
    </row>
    <row r="190" spans="1:211" s="7" customFormat="1">
      <c r="A190" s="1"/>
      <c r="B190" s="76" t="str">
        <f t="shared" ca="1" si="250"/>
        <v/>
      </c>
      <c r="C190" t="s">
        <v>104</v>
      </c>
      <c r="D190" t="s">
        <v>104</v>
      </c>
      <c r="E190" t="s">
        <v>104</v>
      </c>
      <c r="F190" t="s">
        <v>104</v>
      </c>
      <c r="G190" t="s">
        <v>104</v>
      </c>
      <c r="H190" t="s">
        <v>104</v>
      </c>
      <c r="I190" t="s">
        <v>104</v>
      </c>
      <c r="J190" t="s">
        <v>104</v>
      </c>
      <c r="K190" t="s">
        <v>104</v>
      </c>
      <c r="L190" t="s">
        <v>104</v>
      </c>
      <c r="M190" t="s">
        <v>104</v>
      </c>
      <c r="N190" t="s">
        <v>104</v>
      </c>
      <c r="O190" t="s">
        <v>104</v>
      </c>
      <c r="P190" t="s">
        <v>104</v>
      </c>
      <c r="Q190" t="s">
        <v>104</v>
      </c>
      <c r="R190" t="s">
        <v>104</v>
      </c>
      <c r="S190" t="s">
        <v>104</v>
      </c>
      <c r="T190" t="s">
        <v>104</v>
      </c>
      <c r="U190" t="s">
        <v>104</v>
      </c>
      <c r="V190" t="s">
        <v>104</v>
      </c>
      <c r="W190" t="s">
        <v>104</v>
      </c>
      <c r="X190" t="s">
        <v>104</v>
      </c>
      <c r="Y190" t="s">
        <v>104</v>
      </c>
      <c r="Z190" t="s">
        <v>104</v>
      </c>
      <c r="AA190" t="s">
        <v>104</v>
      </c>
      <c r="AB190" t="s">
        <v>104</v>
      </c>
      <c r="AC190" t="s">
        <v>104</v>
      </c>
      <c r="AD190" t="s">
        <v>104</v>
      </c>
      <c r="AE190" t="s">
        <v>104</v>
      </c>
      <c r="AF190" t="s">
        <v>104</v>
      </c>
      <c r="AG190" t="s">
        <v>104</v>
      </c>
      <c r="AH190" t="s">
        <v>104</v>
      </c>
      <c r="AI190" t="s">
        <v>104</v>
      </c>
      <c r="AJ190" s="2"/>
      <c r="AK190" s="80"/>
      <c r="AL190" s="74">
        <v>3.0028000000000028</v>
      </c>
      <c r="AM190" s="43">
        <v>174</v>
      </c>
      <c r="AN190">
        <v>51.635996559298199</v>
      </c>
      <c r="AO190">
        <v>1.0024842313888558</v>
      </c>
      <c r="AP190">
        <v>1.0216766122167675</v>
      </c>
      <c r="AQ190">
        <v>6.5617499412711702</v>
      </c>
      <c r="AR190">
        <v>0.93749932311574291</v>
      </c>
      <c r="AS190">
        <v>4.5130091554734557</v>
      </c>
      <c r="AT190" t="e">
        <v>#DIV/0!</v>
      </c>
      <c r="AU190" t="e">
        <v>#DIV/0!</v>
      </c>
      <c r="AV190"/>
      <c r="AW190"/>
      <c r="AX190" s="146"/>
      <c r="AY190" s="76" t="str">
        <f t="shared" ca="1" si="173"/>
        <v/>
      </c>
      <c r="AZ190"/>
      <c r="BA190" s="129" t="s">
        <v>104</v>
      </c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 s="147"/>
      <c r="CH190" s="176"/>
      <c r="CJ190" s="146"/>
      <c r="CK190" s="76" t="str">
        <f t="shared" ca="1" si="208"/>
        <v/>
      </c>
      <c r="CL190" s="179" t="str">
        <f t="shared" si="209"/>
        <v/>
      </c>
      <c r="CM190" s="180" t="str">
        <f t="shared" si="210"/>
        <v/>
      </c>
      <c r="CN190"/>
      <c r="CO190"/>
      <c r="CP190"/>
      <c r="CQ190"/>
      <c r="CR190"/>
      <c r="CS190"/>
      <c r="CT190"/>
      <c r="CU190"/>
      <c r="CV190" s="160"/>
      <c r="CW190"/>
      <c r="CX190"/>
      <c r="CY190" s="160"/>
      <c r="CZ190" s="177" t="str">
        <f t="shared" si="211"/>
        <v/>
      </c>
      <c r="DB190" s="146"/>
      <c r="DC190" s="76" t="str">
        <f t="shared" ca="1" si="174"/>
        <v/>
      </c>
      <c r="DD190" t="str">
        <f t="shared" si="212"/>
        <v/>
      </c>
      <c r="DE190" s="129" t="str">
        <f t="shared" si="284"/>
        <v/>
      </c>
      <c r="DF190" s="161" t="str">
        <f t="shared" si="285"/>
        <v/>
      </c>
      <c r="DG190" s="161" t="str">
        <f t="shared" si="286"/>
        <v/>
      </c>
      <c r="DH190" s="161" t="str">
        <f t="shared" si="287"/>
        <v/>
      </c>
      <c r="DI190" s="161" t="str">
        <f t="shared" si="288"/>
        <v/>
      </c>
      <c r="DJ190" s="161" t="str">
        <f t="shared" si="289"/>
        <v/>
      </c>
      <c r="DK190" s="161" t="str">
        <f t="shared" si="290"/>
        <v/>
      </c>
      <c r="DL190" s="161" t="str">
        <f t="shared" si="291"/>
        <v/>
      </c>
      <c r="DM190" s="161" t="str">
        <f t="shared" si="292"/>
        <v/>
      </c>
      <c r="DN190" s="161" t="str">
        <f>IF($AZ190="", "", (BJ190*$CW190)/$CZ190)</f>
        <v/>
      </c>
      <c r="DO190" s="161" t="str">
        <f t="shared" si="293"/>
        <v/>
      </c>
      <c r="DP190" s="161" t="str">
        <f t="shared" si="294"/>
        <v/>
      </c>
      <c r="DQ190" s="161" t="str">
        <f t="shared" si="295"/>
        <v/>
      </c>
      <c r="DR190" s="161" t="str">
        <f t="shared" si="296"/>
        <v/>
      </c>
      <c r="DS190" s="161" t="str">
        <f t="shared" si="297"/>
        <v/>
      </c>
      <c r="DT190" s="161" t="str">
        <f t="shared" si="298"/>
        <v/>
      </c>
      <c r="DU190" s="161" t="str">
        <f t="shared" si="299"/>
        <v/>
      </c>
      <c r="DV190" s="161" t="str">
        <f t="shared" si="300"/>
        <v/>
      </c>
      <c r="DW190" s="161" t="str">
        <f t="shared" si="301"/>
        <v/>
      </c>
      <c r="DX190" s="161" t="str">
        <f t="shared" si="302"/>
        <v/>
      </c>
      <c r="DY190" s="161" t="str">
        <f t="shared" si="303"/>
        <v/>
      </c>
      <c r="DZ190" s="161" t="str">
        <f t="shared" si="304"/>
        <v/>
      </c>
      <c r="EA190" s="161" t="str">
        <f t="shared" si="305"/>
        <v/>
      </c>
      <c r="EB190" s="161" t="str">
        <f t="shared" si="306"/>
        <v/>
      </c>
      <c r="EC190" s="161" t="str">
        <f t="shared" si="307"/>
        <v/>
      </c>
      <c r="ED190" s="161" t="str">
        <f t="shared" si="308"/>
        <v/>
      </c>
      <c r="EE190" s="161" t="str">
        <f t="shared" si="309"/>
        <v/>
      </c>
      <c r="EF190" s="161" t="str">
        <f t="shared" si="310"/>
        <v/>
      </c>
      <c r="EG190" s="161" t="str">
        <f t="shared" si="311"/>
        <v/>
      </c>
      <c r="EH190" s="161" t="str">
        <f t="shared" si="312"/>
        <v/>
      </c>
      <c r="EI190" s="161" t="str">
        <f t="shared" si="313"/>
        <v/>
      </c>
      <c r="EJ190" s="161" t="str">
        <f t="shared" si="314"/>
        <v/>
      </c>
      <c r="EK190" s="147" t="str">
        <f t="shared" si="251"/>
        <v/>
      </c>
      <c r="EL190" s="149"/>
      <c r="EN190" s="146"/>
      <c r="EO190" s="146"/>
      <c r="EP190" s="139" t="str">
        <f t="shared" si="252"/>
        <v/>
      </c>
      <c r="EQ190" s="139" t="str">
        <f t="shared" si="253"/>
        <v/>
      </c>
      <c r="ER190" s="139" t="str">
        <f t="shared" si="254"/>
        <v/>
      </c>
      <c r="ES190" s="139" t="str">
        <f t="shared" si="255"/>
        <v/>
      </c>
      <c r="ET190" s="139" t="str">
        <f t="shared" si="256"/>
        <v/>
      </c>
      <c r="EU190" s="139" t="str">
        <f t="shared" si="257"/>
        <v/>
      </c>
      <c r="EV190" s="139" t="str">
        <f t="shared" si="258"/>
        <v/>
      </c>
      <c r="EW190" s="139" t="str">
        <f t="shared" si="259"/>
        <v/>
      </c>
      <c r="EX190" s="139" t="str">
        <f t="shared" si="260"/>
        <v/>
      </c>
      <c r="EY190" s="139" t="str">
        <f t="shared" si="261"/>
        <v/>
      </c>
      <c r="EZ190" s="139" t="str">
        <f t="shared" si="262"/>
        <v/>
      </c>
      <c r="FA190" s="139" t="str">
        <f t="shared" si="263"/>
        <v/>
      </c>
      <c r="FB190" s="139" t="str">
        <f t="shared" si="264"/>
        <v/>
      </c>
      <c r="FC190" s="139" t="str">
        <f t="shared" si="265"/>
        <v/>
      </c>
      <c r="FD190" s="139" t="str">
        <f t="shared" si="266"/>
        <v/>
      </c>
      <c r="FE190" s="139" t="str">
        <f t="shared" si="267"/>
        <v/>
      </c>
      <c r="FF190" s="139" t="str">
        <f t="shared" si="268"/>
        <v/>
      </c>
      <c r="FG190" s="139" t="str">
        <f t="shared" si="269"/>
        <v/>
      </c>
      <c r="FH190" s="139" t="str">
        <f t="shared" si="270"/>
        <v/>
      </c>
      <c r="FI190" s="139" t="str">
        <f t="shared" si="271"/>
        <v/>
      </c>
      <c r="FJ190" s="139" t="str">
        <f t="shared" si="272"/>
        <v/>
      </c>
      <c r="FK190" s="139" t="str">
        <f t="shared" si="273"/>
        <v/>
      </c>
      <c r="FL190" s="139" t="str">
        <f t="shared" si="274"/>
        <v/>
      </c>
      <c r="FM190" s="139" t="str">
        <f t="shared" si="275"/>
        <v/>
      </c>
      <c r="FN190" s="139" t="str">
        <f t="shared" si="276"/>
        <v/>
      </c>
      <c r="FO190" s="139" t="str">
        <f t="shared" si="277"/>
        <v/>
      </c>
      <c r="FP190" s="139" t="str">
        <f t="shared" si="278"/>
        <v/>
      </c>
      <c r="FQ190" s="139" t="str">
        <f t="shared" si="279"/>
        <v/>
      </c>
      <c r="FR190" s="139" t="str">
        <f t="shared" si="280"/>
        <v/>
      </c>
      <c r="FS190" s="139" t="str">
        <f t="shared" si="281"/>
        <v/>
      </c>
      <c r="FT190" s="139" t="str">
        <f t="shared" si="282"/>
        <v/>
      </c>
      <c r="FU190" s="148" t="str">
        <f t="shared" si="283"/>
        <v/>
      </c>
      <c r="FV190" s="149"/>
      <c r="FY190" s="211">
        <v>185</v>
      </c>
      <c r="FZ190">
        <v>0.80297560649923316</v>
      </c>
      <c r="GA190">
        <v>0.98554869140574697</v>
      </c>
      <c r="GB190">
        <v>1.4905513197387981</v>
      </c>
      <c r="GC190">
        <v>0.97780769410737467</v>
      </c>
      <c r="GD190">
        <v>0.2472580441581268</v>
      </c>
      <c r="GE190">
        <v>7.4193882690599997E-2</v>
      </c>
      <c r="GF190">
        <v>0.36024295839505316</v>
      </c>
      <c r="GG190">
        <v>0.37841261417090627</v>
      </c>
      <c r="GH190">
        <v>0.15603164258923619</v>
      </c>
      <c r="GI190">
        <v>0.71274623654740887</v>
      </c>
      <c r="GJ190"/>
      <c r="GK190">
        <v>0.80023124999999995</v>
      </c>
      <c r="GL190">
        <v>0.82997343750000008</v>
      </c>
      <c r="GM190">
        <v>2.4473877840909086</v>
      </c>
      <c r="GN190">
        <v>2.8694871144480518</v>
      </c>
      <c r="GO190">
        <v>0.94074776785714287</v>
      </c>
      <c r="GP190">
        <v>0.13931250000000001</v>
      </c>
      <c r="GQ190">
        <v>0.43509375</v>
      </c>
      <c r="GR190">
        <v>0.52697916666666667</v>
      </c>
      <c r="GS190">
        <v>0.16502303685897435</v>
      </c>
      <c r="GT190">
        <v>0.95769671776140519</v>
      </c>
      <c r="GU190"/>
      <c r="GV190"/>
      <c r="GW190"/>
      <c r="GX190"/>
      <c r="GY190"/>
      <c r="GZ190"/>
      <c r="HA190"/>
      <c r="HB190"/>
      <c r="HC190"/>
    </row>
    <row r="191" spans="1:211" s="7" customFormat="1">
      <c r="A191" s="1"/>
      <c r="B191" s="76" t="str">
        <f t="shared" ca="1" si="250"/>
        <v/>
      </c>
      <c r="C191" t="s">
        <v>104</v>
      </c>
      <c r="D191" t="s">
        <v>104</v>
      </c>
      <c r="E191" t="s">
        <v>104</v>
      </c>
      <c r="F191" t="s">
        <v>104</v>
      </c>
      <c r="G191" t="s">
        <v>104</v>
      </c>
      <c r="H191" t="s">
        <v>104</v>
      </c>
      <c r="I191" t="s">
        <v>104</v>
      </c>
      <c r="J191" t="s">
        <v>104</v>
      </c>
      <c r="K191" t="s">
        <v>104</v>
      </c>
      <c r="L191" t="s">
        <v>104</v>
      </c>
      <c r="M191" t="s">
        <v>104</v>
      </c>
      <c r="N191" t="s">
        <v>104</v>
      </c>
      <c r="O191" t="s">
        <v>104</v>
      </c>
      <c r="P191" t="s">
        <v>104</v>
      </c>
      <c r="Q191" t="s">
        <v>104</v>
      </c>
      <c r="R191" t="s">
        <v>104</v>
      </c>
      <c r="S191" t="s">
        <v>104</v>
      </c>
      <c r="T191" t="s">
        <v>104</v>
      </c>
      <c r="U191" t="s">
        <v>104</v>
      </c>
      <c r="V191" t="s">
        <v>104</v>
      </c>
      <c r="W191" t="s">
        <v>104</v>
      </c>
      <c r="X191" t="s">
        <v>104</v>
      </c>
      <c r="Y191" t="s">
        <v>104</v>
      </c>
      <c r="Z191" t="s">
        <v>104</v>
      </c>
      <c r="AA191" t="s">
        <v>104</v>
      </c>
      <c r="AB191" t="s">
        <v>104</v>
      </c>
      <c r="AC191" t="s">
        <v>104</v>
      </c>
      <c r="AD191" t="s">
        <v>104</v>
      </c>
      <c r="AE191" t="s">
        <v>104</v>
      </c>
      <c r="AF191" t="s">
        <v>104</v>
      </c>
      <c r="AG191" t="s">
        <v>104</v>
      </c>
      <c r="AH191" t="s">
        <v>104</v>
      </c>
      <c r="AI191" t="s">
        <v>104</v>
      </c>
      <c r="AJ191" s="2"/>
      <c r="AK191" s="80"/>
      <c r="AL191" s="74">
        <v>3.0028000000000028</v>
      </c>
      <c r="AM191" s="43">
        <v>175</v>
      </c>
      <c r="AN191">
        <v>44.969962042788133</v>
      </c>
      <c r="AO191">
        <v>1.0856826156832295</v>
      </c>
      <c r="AP191">
        <v>1.9118739106956508</v>
      </c>
      <c r="AQ191">
        <v>6.5834807034965088</v>
      </c>
      <c r="AR191">
        <v>1.0014728324392996</v>
      </c>
      <c r="AS191">
        <v>3.8824352020601292</v>
      </c>
      <c r="AT191" t="e">
        <v>#DIV/0!</v>
      </c>
      <c r="AU191" t="e">
        <v>#DIV/0!</v>
      </c>
      <c r="AV191"/>
      <c r="AW191"/>
      <c r="AX191" s="146"/>
      <c r="AY191" s="76" t="str">
        <f t="shared" ca="1" si="173"/>
        <v/>
      </c>
      <c r="AZ191"/>
      <c r="BA191" s="129" t="s">
        <v>104</v>
      </c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 s="147"/>
      <c r="CH191" s="176"/>
      <c r="CJ191" s="146"/>
      <c r="CK191" s="76" t="str">
        <f t="shared" ca="1" si="208"/>
        <v/>
      </c>
      <c r="CL191" s="179" t="str">
        <f t="shared" si="209"/>
        <v/>
      </c>
      <c r="CM191" s="180" t="str">
        <f t="shared" si="210"/>
        <v/>
      </c>
      <c r="CN191"/>
      <c r="CO191"/>
      <c r="CP191"/>
      <c r="CQ191"/>
      <c r="CR191"/>
      <c r="CS191"/>
      <c r="CT191"/>
      <c r="CU191"/>
      <c r="CV191" s="160"/>
      <c r="CW191"/>
      <c r="CX191"/>
      <c r="CY191" s="160"/>
      <c r="CZ191" s="177" t="str">
        <f t="shared" si="211"/>
        <v/>
      </c>
      <c r="DB191" s="146"/>
      <c r="DC191" s="76" t="str">
        <f t="shared" ca="1" si="174"/>
        <v/>
      </c>
      <c r="DD191" t="str">
        <f t="shared" si="212"/>
        <v/>
      </c>
      <c r="DE191" s="129" t="str">
        <f t="shared" si="284"/>
        <v/>
      </c>
      <c r="DF191" s="161" t="str">
        <f t="shared" si="285"/>
        <v/>
      </c>
      <c r="DG191" s="161" t="str">
        <f t="shared" si="286"/>
        <v/>
      </c>
      <c r="DH191" s="161" t="str">
        <f t="shared" si="287"/>
        <v/>
      </c>
      <c r="DI191" s="161" t="str">
        <f t="shared" si="288"/>
        <v/>
      </c>
      <c r="DJ191" s="161" t="str">
        <f t="shared" si="289"/>
        <v/>
      </c>
      <c r="DK191" s="161" t="str">
        <f t="shared" si="290"/>
        <v/>
      </c>
      <c r="DL191" s="161" t="str">
        <f t="shared" si="291"/>
        <v/>
      </c>
      <c r="DM191" s="161" t="str">
        <f t="shared" si="292"/>
        <v/>
      </c>
      <c r="DN191" s="161" t="str">
        <f>IF($AZ191="", "", (BJ191*$CW191)/$CZ191)</f>
        <v/>
      </c>
      <c r="DO191" s="161" t="str">
        <f t="shared" si="293"/>
        <v/>
      </c>
      <c r="DP191" s="161" t="str">
        <f t="shared" si="294"/>
        <v/>
      </c>
      <c r="DQ191" s="161" t="str">
        <f t="shared" si="295"/>
        <v/>
      </c>
      <c r="DR191" s="161" t="str">
        <f t="shared" si="296"/>
        <v/>
      </c>
      <c r="DS191" s="161" t="str">
        <f t="shared" si="297"/>
        <v/>
      </c>
      <c r="DT191" s="161" t="str">
        <f t="shared" si="298"/>
        <v/>
      </c>
      <c r="DU191" s="161" t="str">
        <f t="shared" si="299"/>
        <v/>
      </c>
      <c r="DV191" s="161" t="str">
        <f t="shared" si="300"/>
        <v/>
      </c>
      <c r="DW191" s="161" t="str">
        <f t="shared" si="301"/>
        <v/>
      </c>
      <c r="DX191" s="161" t="str">
        <f t="shared" si="302"/>
        <v/>
      </c>
      <c r="DY191" s="161" t="str">
        <f t="shared" si="303"/>
        <v/>
      </c>
      <c r="DZ191" s="161" t="str">
        <f t="shared" si="304"/>
        <v/>
      </c>
      <c r="EA191" s="161" t="str">
        <f t="shared" si="305"/>
        <v/>
      </c>
      <c r="EB191" s="161" t="str">
        <f t="shared" si="306"/>
        <v/>
      </c>
      <c r="EC191" s="161" t="str">
        <f t="shared" si="307"/>
        <v/>
      </c>
      <c r="ED191" s="161" t="str">
        <f t="shared" si="308"/>
        <v/>
      </c>
      <c r="EE191" s="161" t="str">
        <f t="shared" si="309"/>
        <v/>
      </c>
      <c r="EF191" s="161" t="str">
        <f t="shared" si="310"/>
        <v/>
      </c>
      <c r="EG191" s="161" t="str">
        <f t="shared" si="311"/>
        <v/>
      </c>
      <c r="EH191" s="161" t="str">
        <f t="shared" si="312"/>
        <v/>
      </c>
      <c r="EI191" s="161" t="str">
        <f t="shared" si="313"/>
        <v/>
      </c>
      <c r="EJ191" s="161" t="str">
        <f t="shared" si="314"/>
        <v/>
      </c>
      <c r="EK191" s="147" t="str">
        <f t="shared" si="251"/>
        <v/>
      </c>
      <c r="EL191" s="149"/>
      <c r="EN191" s="146"/>
      <c r="EO191" s="146"/>
      <c r="EP191" s="139" t="str">
        <f t="shared" si="252"/>
        <v/>
      </c>
      <c r="EQ191" s="139" t="str">
        <f t="shared" si="253"/>
        <v/>
      </c>
      <c r="ER191" s="139" t="str">
        <f t="shared" si="254"/>
        <v/>
      </c>
      <c r="ES191" s="139" t="str">
        <f t="shared" si="255"/>
        <v/>
      </c>
      <c r="ET191" s="139" t="str">
        <f t="shared" si="256"/>
        <v/>
      </c>
      <c r="EU191" s="139" t="str">
        <f t="shared" si="257"/>
        <v/>
      </c>
      <c r="EV191" s="139" t="str">
        <f t="shared" si="258"/>
        <v/>
      </c>
      <c r="EW191" s="139" t="str">
        <f t="shared" si="259"/>
        <v/>
      </c>
      <c r="EX191" s="139" t="str">
        <f t="shared" si="260"/>
        <v/>
      </c>
      <c r="EY191" s="139" t="str">
        <f t="shared" si="261"/>
        <v/>
      </c>
      <c r="EZ191" s="139" t="str">
        <f t="shared" si="262"/>
        <v/>
      </c>
      <c r="FA191" s="139" t="str">
        <f t="shared" si="263"/>
        <v/>
      </c>
      <c r="FB191" s="139" t="str">
        <f t="shared" si="264"/>
        <v/>
      </c>
      <c r="FC191" s="139" t="str">
        <f t="shared" si="265"/>
        <v/>
      </c>
      <c r="FD191" s="139" t="str">
        <f t="shared" si="266"/>
        <v/>
      </c>
      <c r="FE191" s="139" t="str">
        <f t="shared" si="267"/>
        <v/>
      </c>
      <c r="FF191" s="139" t="str">
        <f t="shared" si="268"/>
        <v/>
      </c>
      <c r="FG191" s="139" t="str">
        <f t="shared" si="269"/>
        <v/>
      </c>
      <c r="FH191" s="139" t="str">
        <f t="shared" si="270"/>
        <v/>
      </c>
      <c r="FI191" s="139" t="str">
        <f t="shared" si="271"/>
        <v/>
      </c>
      <c r="FJ191" s="139" t="str">
        <f t="shared" si="272"/>
        <v/>
      </c>
      <c r="FK191" s="139" t="str">
        <f t="shared" si="273"/>
        <v/>
      </c>
      <c r="FL191" s="139" t="str">
        <f t="shared" si="274"/>
        <v/>
      </c>
      <c r="FM191" s="139" t="str">
        <f t="shared" si="275"/>
        <v/>
      </c>
      <c r="FN191" s="139" t="str">
        <f t="shared" si="276"/>
        <v/>
      </c>
      <c r="FO191" s="139" t="str">
        <f t="shared" si="277"/>
        <v/>
      </c>
      <c r="FP191" s="139" t="str">
        <f t="shared" si="278"/>
        <v/>
      </c>
      <c r="FQ191" s="139" t="str">
        <f t="shared" si="279"/>
        <v/>
      </c>
      <c r="FR191" s="139" t="str">
        <f t="shared" si="280"/>
        <v/>
      </c>
      <c r="FS191" s="139" t="str">
        <f t="shared" si="281"/>
        <v/>
      </c>
      <c r="FT191" s="139" t="str">
        <f t="shared" si="282"/>
        <v/>
      </c>
      <c r="FU191" s="148" t="str">
        <f t="shared" si="283"/>
        <v/>
      </c>
      <c r="FV191" s="149"/>
      <c r="FY191" s="211">
        <v>186</v>
      </c>
      <c r="FZ191">
        <v>1.1567007551847295</v>
      </c>
      <c r="GA191">
        <v>1.7748182255066389</v>
      </c>
      <c r="GB191">
        <v>0.39757633323008912</v>
      </c>
      <c r="GC191">
        <v>0.1569723177690325</v>
      </c>
      <c r="GD191">
        <v>8.1197603272260013E-2</v>
      </c>
      <c r="GE191">
        <v>5.2030029251700007E-2</v>
      </c>
      <c r="GF191">
        <v>0.74923343208741267</v>
      </c>
      <c r="GG191">
        <v>0.73083003359504783</v>
      </c>
      <c r="GH191">
        <v>0.19956886013071873</v>
      </c>
      <c r="GI191">
        <v>0.48076560278616071</v>
      </c>
      <c r="GJ191"/>
      <c r="GK191">
        <v>1.1526674632352942</v>
      </c>
      <c r="GL191">
        <v>1.4948080882352941</v>
      </c>
      <c r="GM191">
        <v>0.65229687500000011</v>
      </c>
      <c r="GN191">
        <v>0.46041875000000004</v>
      </c>
      <c r="GO191">
        <v>0.30963750000000001</v>
      </c>
      <c r="GP191">
        <v>9.768750000000001E-2</v>
      </c>
      <c r="GQ191">
        <v>0.90325271739130431</v>
      </c>
      <c r="GR191">
        <v>1.0166589673913042</v>
      </c>
      <c r="GS191">
        <v>0.21109375</v>
      </c>
      <c r="GT191">
        <v>0.64578966112531966</v>
      </c>
      <c r="GU191"/>
      <c r="GV191"/>
      <c r="GW191"/>
      <c r="GX191"/>
      <c r="GY191"/>
      <c r="GZ191"/>
      <c r="HA191"/>
      <c r="HB191"/>
      <c r="HC191"/>
    </row>
    <row r="192" spans="1:211" s="7" customFormat="1">
      <c r="A192" s="1"/>
      <c r="B192" s="76" t="str">
        <f t="shared" ca="1" si="250"/>
        <v/>
      </c>
      <c r="C192" t="s">
        <v>104</v>
      </c>
      <c r="D192" t="s">
        <v>104</v>
      </c>
      <c r="E192" t="s">
        <v>104</v>
      </c>
      <c r="F192" t="s">
        <v>104</v>
      </c>
      <c r="G192" t="s">
        <v>104</v>
      </c>
      <c r="H192" t="s">
        <v>104</v>
      </c>
      <c r="I192" t="s">
        <v>104</v>
      </c>
      <c r="J192" t="s">
        <v>104</v>
      </c>
      <c r="K192" t="s">
        <v>104</v>
      </c>
      <c r="L192" t="s">
        <v>104</v>
      </c>
      <c r="M192" t="s">
        <v>104</v>
      </c>
      <c r="N192" t="s">
        <v>104</v>
      </c>
      <c r="O192" t="s">
        <v>104</v>
      </c>
      <c r="P192" t="s">
        <v>104</v>
      </c>
      <c r="Q192" t="s">
        <v>104</v>
      </c>
      <c r="R192" t="s">
        <v>104</v>
      </c>
      <c r="S192" t="s">
        <v>104</v>
      </c>
      <c r="T192" t="s">
        <v>104</v>
      </c>
      <c r="U192" t="s">
        <v>104</v>
      </c>
      <c r="V192" t="s">
        <v>104</v>
      </c>
      <c r="W192" t="s">
        <v>104</v>
      </c>
      <c r="X192" t="s">
        <v>104</v>
      </c>
      <c r="Y192" t="s">
        <v>104</v>
      </c>
      <c r="Z192" t="s">
        <v>104</v>
      </c>
      <c r="AA192" t="s">
        <v>104</v>
      </c>
      <c r="AB192" t="s">
        <v>104</v>
      </c>
      <c r="AC192" t="s">
        <v>104</v>
      </c>
      <c r="AD192" t="s">
        <v>104</v>
      </c>
      <c r="AE192" t="s">
        <v>104</v>
      </c>
      <c r="AF192" t="s">
        <v>104</v>
      </c>
      <c r="AG192" t="s">
        <v>104</v>
      </c>
      <c r="AH192" t="s">
        <v>104</v>
      </c>
      <c r="AI192" t="s">
        <v>104</v>
      </c>
      <c r="AJ192" s="2"/>
      <c r="AK192" s="80"/>
      <c r="AL192" s="74"/>
      <c r="AM192" s="43">
        <v>176</v>
      </c>
      <c r="AN192">
        <v>41.565397895269214</v>
      </c>
      <c r="AO192">
        <v>1.0774158143820027</v>
      </c>
      <c r="AP192">
        <v>1.5637446800611332</v>
      </c>
      <c r="AQ192">
        <v>6.8246243939954176</v>
      </c>
      <c r="AR192">
        <v>0.9975797176200023</v>
      </c>
      <c r="AS192">
        <v>3.3288915999118522</v>
      </c>
      <c r="AT192" t="e">
        <v>#DIV/0!</v>
      </c>
      <c r="AU192" t="e">
        <v>#DIV/0!</v>
      </c>
      <c r="AV192"/>
      <c r="AW192"/>
      <c r="AX192" s="146"/>
      <c r="AY192" s="76" t="str">
        <f t="shared" ca="1" si="173"/>
        <v/>
      </c>
      <c r="AZ192"/>
      <c r="BA192" s="129" t="s">
        <v>104</v>
      </c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 s="147"/>
      <c r="CH192" s="176"/>
      <c r="CJ192" s="146"/>
      <c r="CK192" s="76" t="str">
        <f t="shared" ca="1" si="208"/>
        <v/>
      </c>
      <c r="CL192" s="179" t="str">
        <f t="shared" si="209"/>
        <v/>
      </c>
      <c r="CM192" s="180" t="str">
        <f t="shared" si="210"/>
        <v/>
      </c>
      <c r="CN192"/>
      <c r="CO192"/>
      <c r="CP192"/>
      <c r="CQ192"/>
      <c r="CR192"/>
      <c r="CS192"/>
      <c r="CT192"/>
      <c r="CU192"/>
      <c r="CV192" s="160"/>
      <c r="CW192"/>
      <c r="CX192"/>
      <c r="CY192" s="160"/>
      <c r="CZ192" s="177" t="str">
        <f t="shared" si="211"/>
        <v/>
      </c>
      <c r="DB192" s="146"/>
      <c r="DC192" s="76" t="str">
        <f t="shared" ca="1" si="174"/>
        <v/>
      </c>
      <c r="DD192" t="str">
        <f t="shared" si="212"/>
        <v/>
      </c>
      <c r="DE192" s="129" t="str">
        <f t="shared" si="284"/>
        <v/>
      </c>
      <c r="DF192" s="161" t="str">
        <f t="shared" si="285"/>
        <v/>
      </c>
      <c r="DG192" s="161" t="str">
        <f t="shared" si="286"/>
        <v/>
      </c>
      <c r="DH192" s="161" t="str">
        <f t="shared" si="287"/>
        <v/>
      </c>
      <c r="DI192" s="161" t="str">
        <f t="shared" si="288"/>
        <v/>
      </c>
      <c r="DJ192" s="161" t="str">
        <f t="shared" si="289"/>
        <v/>
      </c>
      <c r="DK192" s="161" t="str">
        <f t="shared" si="290"/>
        <v/>
      </c>
      <c r="DL192" s="161" t="str">
        <f t="shared" si="291"/>
        <v/>
      </c>
      <c r="DM192" s="161" t="str">
        <f t="shared" si="292"/>
        <v/>
      </c>
      <c r="DN192" s="161" t="str">
        <f>IF($AZ192="", "", (BJ192*$CW192)/$CZ192)</f>
        <v/>
      </c>
      <c r="DO192" s="161" t="str">
        <f t="shared" si="293"/>
        <v/>
      </c>
      <c r="DP192" s="161" t="str">
        <f t="shared" si="294"/>
        <v/>
      </c>
      <c r="DQ192" s="161" t="str">
        <f t="shared" si="295"/>
        <v/>
      </c>
      <c r="DR192" s="161" t="str">
        <f t="shared" si="296"/>
        <v/>
      </c>
      <c r="DS192" s="161" t="str">
        <f t="shared" si="297"/>
        <v/>
      </c>
      <c r="DT192" s="161" t="str">
        <f t="shared" si="298"/>
        <v/>
      </c>
      <c r="DU192" s="161" t="str">
        <f t="shared" si="299"/>
        <v/>
      </c>
      <c r="DV192" s="161" t="str">
        <f t="shared" si="300"/>
        <v/>
      </c>
      <c r="DW192" s="161" t="str">
        <f t="shared" si="301"/>
        <v/>
      </c>
      <c r="DX192" s="161" t="str">
        <f t="shared" si="302"/>
        <v/>
      </c>
      <c r="DY192" s="161" t="str">
        <f t="shared" si="303"/>
        <v/>
      </c>
      <c r="DZ192" s="161" t="str">
        <f t="shared" si="304"/>
        <v/>
      </c>
      <c r="EA192" s="161" t="str">
        <f t="shared" si="305"/>
        <v/>
      </c>
      <c r="EB192" s="161" t="str">
        <f t="shared" si="306"/>
        <v/>
      </c>
      <c r="EC192" s="161" t="str">
        <f t="shared" si="307"/>
        <v/>
      </c>
      <c r="ED192" s="161" t="str">
        <f t="shared" si="308"/>
        <v/>
      </c>
      <c r="EE192" s="161" t="str">
        <f t="shared" si="309"/>
        <v/>
      </c>
      <c r="EF192" s="161" t="str">
        <f t="shared" si="310"/>
        <v/>
      </c>
      <c r="EG192" s="161" t="str">
        <f t="shared" si="311"/>
        <v/>
      </c>
      <c r="EH192" s="161" t="str">
        <f t="shared" si="312"/>
        <v/>
      </c>
      <c r="EI192" s="161" t="str">
        <f t="shared" si="313"/>
        <v/>
      </c>
      <c r="EJ192" s="161" t="str">
        <f t="shared" si="314"/>
        <v/>
      </c>
      <c r="EK192" s="147" t="str">
        <f t="shared" si="251"/>
        <v/>
      </c>
      <c r="EL192" s="149"/>
      <c r="EN192" s="146"/>
      <c r="EO192" s="146"/>
      <c r="EP192" s="139" t="str">
        <f t="shared" si="252"/>
        <v/>
      </c>
      <c r="EQ192" s="139" t="str">
        <f t="shared" si="253"/>
        <v/>
      </c>
      <c r="ER192" s="139" t="str">
        <f t="shared" si="254"/>
        <v/>
      </c>
      <c r="ES192" s="139" t="str">
        <f t="shared" si="255"/>
        <v/>
      </c>
      <c r="ET192" s="139" t="str">
        <f t="shared" si="256"/>
        <v/>
      </c>
      <c r="EU192" s="139" t="str">
        <f t="shared" si="257"/>
        <v/>
      </c>
      <c r="EV192" s="139" t="str">
        <f t="shared" si="258"/>
        <v/>
      </c>
      <c r="EW192" s="139" t="str">
        <f t="shared" si="259"/>
        <v/>
      </c>
      <c r="EX192" s="139" t="str">
        <f t="shared" si="260"/>
        <v/>
      </c>
      <c r="EY192" s="139" t="str">
        <f t="shared" si="261"/>
        <v/>
      </c>
      <c r="EZ192" s="139" t="str">
        <f t="shared" si="262"/>
        <v/>
      </c>
      <c r="FA192" s="139" t="str">
        <f t="shared" si="263"/>
        <v/>
      </c>
      <c r="FB192" s="139" t="str">
        <f t="shared" si="264"/>
        <v/>
      </c>
      <c r="FC192" s="139" t="str">
        <f t="shared" si="265"/>
        <v/>
      </c>
      <c r="FD192" s="139" t="str">
        <f t="shared" si="266"/>
        <v/>
      </c>
      <c r="FE192" s="139" t="str">
        <f t="shared" si="267"/>
        <v/>
      </c>
      <c r="FF192" s="139" t="str">
        <f t="shared" si="268"/>
        <v/>
      </c>
      <c r="FG192" s="139" t="str">
        <f t="shared" si="269"/>
        <v/>
      </c>
      <c r="FH192" s="139" t="str">
        <f t="shared" si="270"/>
        <v/>
      </c>
      <c r="FI192" s="139" t="str">
        <f t="shared" si="271"/>
        <v/>
      </c>
      <c r="FJ192" s="139" t="str">
        <f t="shared" si="272"/>
        <v/>
      </c>
      <c r="FK192" s="139" t="str">
        <f t="shared" si="273"/>
        <v/>
      </c>
      <c r="FL192" s="139" t="str">
        <f t="shared" si="274"/>
        <v/>
      </c>
      <c r="FM192" s="139" t="str">
        <f t="shared" si="275"/>
        <v/>
      </c>
      <c r="FN192" s="139" t="str">
        <f t="shared" si="276"/>
        <v/>
      </c>
      <c r="FO192" s="139" t="str">
        <f t="shared" si="277"/>
        <v/>
      </c>
      <c r="FP192" s="139" t="str">
        <f t="shared" si="278"/>
        <v/>
      </c>
      <c r="FQ192" s="139" t="str">
        <f t="shared" si="279"/>
        <v/>
      </c>
      <c r="FR192" s="139" t="str">
        <f t="shared" si="280"/>
        <v/>
      </c>
      <c r="FS192" s="139" t="str">
        <f t="shared" si="281"/>
        <v/>
      </c>
      <c r="FT192" s="139" t="str">
        <f t="shared" si="282"/>
        <v/>
      </c>
      <c r="FU192" s="148" t="str">
        <f t="shared" si="283"/>
        <v/>
      </c>
      <c r="FV192" s="149"/>
      <c r="FY192" s="211">
        <v>187</v>
      </c>
      <c r="FZ192">
        <v>1.4165216272800001</v>
      </c>
      <c r="GA192">
        <v>1.9447070288843267</v>
      </c>
      <c r="GB192">
        <v>0.32949378560185316</v>
      </c>
      <c r="GC192">
        <v>7.9417934401006252E-2</v>
      </c>
      <c r="GD192">
        <v>6.6036854426849992E-2</v>
      </c>
      <c r="GE192">
        <v>7.6065534558449999E-2</v>
      </c>
      <c r="GF192">
        <v>0.36024295839505316</v>
      </c>
      <c r="GG192">
        <v>0.32783070573276563</v>
      </c>
      <c r="GH192">
        <v>6.6522953376906252E-2</v>
      </c>
      <c r="GI192">
        <v>0.40330784261341263</v>
      </c>
      <c r="GJ192"/>
      <c r="GK192">
        <v>1.4114268382352939</v>
      </c>
      <c r="GL192">
        <v>1.637692463235294</v>
      </c>
      <c r="GM192">
        <v>0.54071875000000014</v>
      </c>
      <c r="GN192">
        <v>0.23289062499999996</v>
      </c>
      <c r="GO192">
        <v>0.25162499999999999</v>
      </c>
      <c r="GP192">
        <v>0.14296875000000001</v>
      </c>
      <c r="GQ192">
        <v>0.43509375</v>
      </c>
      <c r="GR192">
        <v>0.45661458333333332</v>
      </c>
      <c r="GS192">
        <v>7.0364583333333328E-2</v>
      </c>
      <c r="GT192">
        <v>0.54184578431372543</v>
      </c>
      <c r="GU192"/>
      <c r="GV192"/>
      <c r="GW192"/>
      <c r="GX192"/>
      <c r="GY192"/>
      <c r="GZ192"/>
      <c r="HA192"/>
      <c r="HB192"/>
      <c r="HC192"/>
    </row>
    <row r="193" spans="1:211" s="7" customFormat="1">
      <c r="A193" s="1"/>
      <c r="B193" s="76" t="str">
        <f t="shared" ca="1" si="250"/>
        <v/>
      </c>
      <c r="C193" t="s">
        <v>104</v>
      </c>
      <c r="D193" t="s">
        <v>104</v>
      </c>
      <c r="E193" t="s">
        <v>104</v>
      </c>
      <c r="F193" t="s">
        <v>104</v>
      </c>
      <c r="G193" t="s">
        <v>104</v>
      </c>
      <c r="H193" t="s">
        <v>104</v>
      </c>
      <c r="I193" t="s">
        <v>104</v>
      </c>
      <c r="J193" t="s">
        <v>104</v>
      </c>
      <c r="K193" t="s">
        <v>104</v>
      </c>
      <c r="L193" t="s">
        <v>104</v>
      </c>
      <c r="M193" t="s">
        <v>104</v>
      </c>
      <c r="N193" t="s">
        <v>104</v>
      </c>
      <c r="O193" t="s">
        <v>104</v>
      </c>
      <c r="P193" t="s">
        <v>104</v>
      </c>
      <c r="Q193" t="s">
        <v>104</v>
      </c>
      <c r="R193" t="s">
        <v>104</v>
      </c>
      <c r="S193" t="s">
        <v>104</v>
      </c>
      <c r="T193" t="s">
        <v>104</v>
      </c>
      <c r="U193" t="s">
        <v>104</v>
      </c>
      <c r="V193" t="s">
        <v>104</v>
      </c>
      <c r="W193" t="s">
        <v>104</v>
      </c>
      <c r="X193" t="s">
        <v>104</v>
      </c>
      <c r="Y193" t="s">
        <v>104</v>
      </c>
      <c r="Z193" t="s">
        <v>104</v>
      </c>
      <c r="AA193" t="s">
        <v>104</v>
      </c>
      <c r="AB193" t="s">
        <v>104</v>
      </c>
      <c r="AC193" t="s">
        <v>104</v>
      </c>
      <c r="AD193" t="s">
        <v>104</v>
      </c>
      <c r="AE193" t="s">
        <v>104</v>
      </c>
      <c r="AF193" t="s">
        <v>104</v>
      </c>
      <c r="AG193" t="s">
        <v>104</v>
      </c>
      <c r="AH193" t="s">
        <v>104</v>
      </c>
      <c r="AI193" t="s">
        <v>104</v>
      </c>
      <c r="AJ193" s="2"/>
      <c r="AK193" s="80"/>
      <c r="AL193" s="74"/>
      <c r="AM193" s="43">
        <v>177</v>
      </c>
      <c r="AN193">
        <v>36.934751447726988</v>
      </c>
      <c r="AO193">
        <v>0.79997610380086392</v>
      </c>
      <c r="AP193">
        <v>0.50611091304323763</v>
      </c>
      <c r="AQ193">
        <v>4.8063764189063347</v>
      </c>
      <c r="AR193">
        <v>0.75702318439938687</v>
      </c>
      <c r="AS193">
        <v>3.1428827158057921</v>
      </c>
      <c r="AT193">
        <v>0.60724083491519432</v>
      </c>
      <c r="AU193">
        <v>0.15665876310395396</v>
      </c>
      <c r="AV193"/>
      <c r="AW193"/>
      <c r="AX193" s="146"/>
      <c r="AY193" s="76" t="str">
        <f t="shared" ca="1" si="173"/>
        <v/>
      </c>
      <c r="AZ193"/>
      <c r="BA193" s="129" t="s">
        <v>104</v>
      </c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 s="147"/>
      <c r="CH193" s="176"/>
      <c r="CJ193" s="146"/>
      <c r="CK193" s="76" t="str">
        <f t="shared" ca="1" si="208"/>
        <v/>
      </c>
      <c r="CL193" s="179" t="str">
        <f t="shared" si="209"/>
        <v/>
      </c>
      <c r="CM193" s="180" t="str">
        <f t="shared" si="210"/>
        <v/>
      </c>
      <c r="CN193"/>
      <c r="CO193"/>
      <c r="CP193"/>
      <c r="CQ193"/>
      <c r="CR193"/>
      <c r="CS193"/>
      <c r="CT193"/>
      <c r="CU193"/>
      <c r="CV193" s="160"/>
      <c r="CW193"/>
      <c r="CX193"/>
      <c r="CY193" s="160"/>
      <c r="CZ193" s="177" t="str">
        <f t="shared" si="211"/>
        <v/>
      </c>
      <c r="DB193" s="146"/>
      <c r="DC193" s="76" t="str">
        <f t="shared" ca="1" si="174"/>
        <v/>
      </c>
      <c r="DD193" t="str">
        <f t="shared" si="212"/>
        <v/>
      </c>
      <c r="DE193" s="129" t="str">
        <f t="shared" si="284"/>
        <v/>
      </c>
      <c r="DF193" s="161" t="str">
        <f t="shared" si="285"/>
        <v/>
      </c>
      <c r="DG193" s="161" t="str">
        <f t="shared" si="286"/>
        <v/>
      </c>
      <c r="DH193" s="161" t="str">
        <f t="shared" si="287"/>
        <v/>
      </c>
      <c r="DI193" s="161" t="str">
        <f t="shared" si="288"/>
        <v/>
      </c>
      <c r="DJ193" s="161" t="str">
        <f t="shared" si="289"/>
        <v/>
      </c>
      <c r="DK193" s="161" t="str">
        <f t="shared" si="290"/>
        <v/>
      </c>
      <c r="DL193" s="161" t="str">
        <f t="shared" si="291"/>
        <v/>
      </c>
      <c r="DM193" s="161" t="str">
        <f t="shared" si="292"/>
        <v/>
      </c>
      <c r="DN193" s="161" t="str">
        <f t="shared" ref="DN193:DN207" si="315">IF($AZ193="", "", (BJ193*$CW193)/$CZ193)</f>
        <v/>
      </c>
      <c r="DO193" s="161" t="str">
        <f t="shared" si="293"/>
        <v/>
      </c>
      <c r="DP193" s="161" t="str">
        <f t="shared" si="294"/>
        <v/>
      </c>
      <c r="DQ193" s="161" t="str">
        <f t="shared" si="295"/>
        <v/>
      </c>
      <c r="DR193" s="161" t="str">
        <f t="shared" si="296"/>
        <v/>
      </c>
      <c r="DS193" s="161" t="str">
        <f t="shared" si="297"/>
        <v/>
      </c>
      <c r="DT193" s="161" t="str">
        <f t="shared" si="298"/>
        <v/>
      </c>
      <c r="DU193" s="161" t="str">
        <f t="shared" si="299"/>
        <v/>
      </c>
      <c r="DV193" s="161" t="str">
        <f t="shared" si="300"/>
        <v/>
      </c>
      <c r="DW193" s="161" t="str">
        <f t="shared" si="301"/>
        <v/>
      </c>
      <c r="DX193" s="161" t="str">
        <f t="shared" si="302"/>
        <v/>
      </c>
      <c r="DY193" s="161" t="str">
        <f t="shared" si="303"/>
        <v/>
      </c>
      <c r="DZ193" s="161" t="str">
        <f t="shared" si="304"/>
        <v/>
      </c>
      <c r="EA193" s="161" t="str">
        <f t="shared" si="305"/>
        <v/>
      </c>
      <c r="EB193" s="161" t="str">
        <f t="shared" si="306"/>
        <v/>
      </c>
      <c r="EC193" s="161" t="str">
        <f t="shared" si="307"/>
        <v/>
      </c>
      <c r="ED193" s="161" t="str">
        <f t="shared" si="308"/>
        <v/>
      </c>
      <c r="EE193" s="161" t="str">
        <f t="shared" si="309"/>
        <v/>
      </c>
      <c r="EF193" s="161" t="str">
        <f t="shared" si="310"/>
        <v/>
      </c>
      <c r="EG193" s="161" t="str">
        <f t="shared" si="311"/>
        <v/>
      </c>
      <c r="EH193" s="161" t="str">
        <f t="shared" si="312"/>
        <v/>
      </c>
      <c r="EI193" s="161" t="str">
        <f t="shared" si="313"/>
        <v/>
      </c>
      <c r="EJ193" s="161" t="str">
        <f t="shared" si="314"/>
        <v/>
      </c>
      <c r="EK193" s="147" t="str">
        <f t="shared" si="251"/>
        <v/>
      </c>
      <c r="EL193" s="149"/>
      <c r="EN193" s="146"/>
      <c r="EO193" s="146"/>
      <c r="EP193" s="139" t="str">
        <f t="shared" si="252"/>
        <v/>
      </c>
      <c r="EQ193" s="139" t="str">
        <f t="shared" si="253"/>
        <v/>
      </c>
      <c r="ER193" s="139" t="str">
        <f t="shared" si="254"/>
        <v/>
      </c>
      <c r="ES193" s="139" t="str">
        <f t="shared" si="255"/>
        <v/>
      </c>
      <c r="ET193" s="139" t="str">
        <f t="shared" si="256"/>
        <v/>
      </c>
      <c r="EU193" s="139" t="str">
        <f t="shared" si="257"/>
        <v/>
      </c>
      <c r="EV193" s="139" t="str">
        <f t="shared" si="258"/>
        <v/>
      </c>
      <c r="EW193" s="139" t="str">
        <f t="shared" si="259"/>
        <v/>
      </c>
      <c r="EX193" s="139" t="str">
        <f t="shared" si="260"/>
        <v/>
      </c>
      <c r="EY193" s="139" t="str">
        <f t="shared" si="261"/>
        <v/>
      </c>
      <c r="EZ193" s="139" t="str">
        <f t="shared" si="262"/>
        <v/>
      </c>
      <c r="FA193" s="139" t="str">
        <f t="shared" si="263"/>
        <v/>
      </c>
      <c r="FB193" s="139" t="str">
        <f t="shared" si="264"/>
        <v/>
      </c>
      <c r="FC193" s="139" t="str">
        <f t="shared" si="265"/>
        <v/>
      </c>
      <c r="FD193" s="139" t="str">
        <f t="shared" si="266"/>
        <v/>
      </c>
      <c r="FE193" s="139" t="str">
        <f t="shared" si="267"/>
        <v/>
      </c>
      <c r="FF193" s="139" t="str">
        <f t="shared" si="268"/>
        <v/>
      </c>
      <c r="FG193" s="139" t="str">
        <f t="shared" si="269"/>
        <v/>
      </c>
      <c r="FH193" s="139" t="str">
        <f t="shared" si="270"/>
        <v/>
      </c>
      <c r="FI193" s="139" t="str">
        <f t="shared" si="271"/>
        <v/>
      </c>
      <c r="FJ193" s="139" t="str">
        <f t="shared" si="272"/>
        <v/>
      </c>
      <c r="FK193" s="139" t="str">
        <f t="shared" si="273"/>
        <v/>
      </c>
      <c r="FL193" s="139" t="str">
        <f t="shared" si="274"/>
        <v/>
      </c>
      <c r="FM193" s="139" t="str">
        <f t="shared" si="275"/>
        <v/>
      </c>
      <c r="FN193" s="139" t="str">
        <f t="shared" si="276"/>
        <v/>
      </c>
      <c r="FO193" s="139" t="str">
        <f t="shared" si="277"/>
        <v/>
      </c>
      <c r="FP193" s="139" t="str">
        <f t="shared" si="278"/>
        <v/>
      </c>
      <c r="FQ193" s="139" t="str">
        <f t="shared" si="279"/>
        <v/>
      </c>
      <c r="FR193" s="139" t="str">
        <f t="shared" si="280"/>
        <v/>
      </c>
      <c r="FS193" s="139" t="str">
        <f t="shared" si="281"/>
        <v/>
      </c>
      <c r="FT193" s="139" t="str">
        <f t="shared" si="282"/>
        <v/>
      </c>
      <c r="FU193" s="148" t="str">
        <f t="shared" si="283"/>
        <v/>
      </c>
      <c r="FV193" s="149"/>
      <c r="FY193" s="211">
        <v>188</v>
      </c>
      <c r="FZ193">
        <v>0.93684789707969263</v>
      </c>
      <c r="GA193">
        <v>1.1734136184703514</v>
      </c>
      <c r="GB193">
        <v>0.53133256895566283</v>
      </c>
      <c r="GC193">
        <v>0.51826515750787749</v>
      </c>
      <c r="GD193">
        <v>0.22638550994745754</v>
      </c>
      <c r="GE193">
        <v>5.2030029251700007E-2</v>
      </c>
      <c r="GF193">
        <v>8.1038194822856249E-2</v>
      </c>
      <c r="GG193">
        <v>0</v>
      </c>
      <c r="GH193">
        <v>2.2985735835423678E-2</v>
      </c>
      <c r="GI193">
        <v>0.4152011899617335</v>
      </c>
      <c r="GJ193"/>
      <c r="GK193">
        <v>0.93375183823529395</v>
      </c>
      <c r="GL193">
        <v>0.98846668198529386</v>
      </c>
      <c r="GM193">
        <v>0.87182421875000005</v>
      </c>
      <c r="GN193">
        <v>1.5191187500000001</v>
      </c>
      <c r="GO193">
        <v>0.86138437500000009</v>
      </c>
      <c r="GP193">
        <v>9.768750000000001E-2</v>
      </c>
      <c r="GQ193">
        <v>9.768750000000001E-2</v>
      </c>
      <c r="GR193">
        <v>0</v>
      </c>
      <c r="GS193">
        <v>2.4293870192307693E-2</v>
      </c>
      <c r="GT193">
        <v>0.55778836043552027</v>
      </c>
      <c r="GU193"/>
      <c r="GV193"/>
      <c r="GW193"/>
      <c r="GX193"/>
      <c r="GY193"/>
      <c r="GZ193"/>
      <c r="HA193"/>
      <c r="HB193"/>
      <c r="HC193"/>
    </row>
    <row r="194" spans="1:211" s="7" customFormat="1">
      <c r="A194" s="1"/>
      <c r="B194" s="76" t="str">
        <f t="shared" ca="1" si="250"/>
        <v/>
      </c>
      <c r="C194" t="s">
        <v>104</v>
      </c>
      <c r="D194" t="s">
        <v>104</v>
      </c>
      <c r="E194" t="s">
        <v>104</v>
      </c>
      <c r="F194" t="s">
        <v>104</v>
      </c>
      <c r="G194" t="s">
        <v>104</v>
      </c>
      <c r="H194" t="s">
        <v>104</v>
      </c>
      <c r="I194" t="s">
        <v>104</v>
      </c>
      <c r="J194" t="s">
        <v>104</v>
      </c>
      <c r="K194" t="s">
        <v>104</v>
      </c>
      <c r="L194" t="s">
        <v>104</v>
      </c>
      <c r="M194" t="s">
        <v>104</v>
      </c>
      <c r="N194" t="s">
        <v>104</v>
      </c>
      <c r="O194" t="s">
        <v>104</v>
      </c>
      <c r="P194" t="s">
        <v>104</v>
      </c>
      <c r="Q194" t="s">
        <v>104</v>
      </c>
      <c r="R194" t="s">
        <v>104</v>
      </c>
      <c r="S194" t="s">
        <v>104</v>
      </c>
      <c r="T194" t="s">
        <v>104</v>
      </c>
      <c r="U194" t="s">
        <v>104</v>
      </c>
      <c r="V194" t="s">
        <v>104</v>
      </c>
      <c r="W194" t="s">
        <v>104</v>
      </c>
      <c r="X194" t="s">
        <v>104</v>
      </c>
      <c r="Y194" t="s">
        <v>104</v>
      </c>
      <c r="Z194" t="s">
        <v>104</v>
      </c>
      <c r="AA194" t="s">
        <v>104</v>
      </c>
      <c r="AB194" t="s">
        <v>104</v>
      </c>
      <c r="AC194" t="s">
        <v>104</v>
      </c>
      <c r="AD194" t="s">
        <v>104</v>
      </c>
      <c r="AE194" t="s">
        <v>104</v>
      </c>
      <c r="AF194" t="s">
        <v>104</v>
      </c>
      <c r="AG194" t="s">
        <v>104</v>
      </c>
      <c r="AH194" t="s">
        <v>104</v>
      </c>
      <c r="AI194" t="s">
        <v>104</v>
      </c>
      <c r="AJ194" s="2"/>
      <c r="AK194" s="80"/>
      <c r="AL194" s="74"/>
      <c r="AM194" s="43">
        <v>178</v>
      </c>
      <c r="AN194">
        <v>53.33361884190689</v>
      </c>
      <c r="AO194">
        <v>1.1284513054377689</v>
      </c>
      <c r="AP194">
        <v>9.4264414467346036</v>
      </c>
      <c r="AQ194">
        <v>6.1972887520776361</v>
      </c>
      <c r="AR194">
        <v>1.0447705267965728</v>
      </c>
      <c r="AS194">
        <v>4.6578245808001375</v>
      </c>
      <c r="AT194" t="e">
        <v>#DIV/0!</v>
      </c>
      <c r="AU194" t="e">
        <v>#DIV/0!</v>
      </c>
      <c r="AV194"/>
      <c r="AW194"/>
      <c r="AX194" s="146"/>
      <c r="AY194" s="76" t="str">
        <f t="shared" ca="1" si="173"/>
        <v/>
      </c>
      <c r="AZ194"/>
      <c r="BA194" s="129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 s="147"/>
      <c r="CH194" s="176"/>
      <c r="CJ194" s="146"/>
      <c r="CK194" s="76" t="str">
        <f t="shared" ca="1" si="208"/>
        <v/>
      </c>
      <c r="CL194" s="179" t="str">
        <f t="shared" si="209"/>
        <v/>
      </c>
      <c r="CM194" s="180" t="str">
        <f t="shared" si="210"/>
        <v/>
      </c>
      <c r="CN194"/>
      <c r="CO194"/>
      <c r="CP194"/>
      <c r="CQ194"/>
      <c r="CR194"/>
      <c r="CS194"/>
      <c r="CT194"/>
      <c r="CU194"/>
      <c r="CV194" s="160"/>
      <c r="CW194"/>
      <c r="CX194"/>
      <c r="CY194" s="165"/>
      <c r="CZ194" s="177" t="str">
        <f t="shared" si="211"/>
        <v/>
      </c>
      <c r="DB194" s="146"/>
      <c r="DC194" s="76" t="str">
        <f t="shared" ca="1" si="174"/>
        <v/>
      </c>
      <c r="DD194" t="str">
        <f t="shared" si="212"/>
        <v/>
      </c>
      <c r="DE194" s="129" t="str">
        <f t="shared" si="284"/>
        <v/>
      </c>
      <c r="DF194" s="161" t="str">
        <f t="shared" si="285"/>
        <v/>
      </c>
      <c r="DG194" s="161" t="str">
        <f t="shared" si="286"/>
        <v/>
      </c>
      <c r="DH194" s="161" t="str">
        <f t="shared" si="287"/>
        <v/>
      </c>
      <c r="DI194" s="161" t="str">
        <f t="shared" si="288"/>
        <v/>
      </c>
      <c r="DJ194" s="161" t="str">
        <f t="shared" si="289"/>
        <v/>
      </c>
      <c r="DK194" s="161" t="str">
        <f t="shared" si="290"/>
        <v/>
      </c>
      <c r="DL194" s="161" t="str">
        <f t="shared" si="291"/>
        <v/>
      </c>
      <c r="DM194" s="161" t="str">
        <f t="shared" si="292"/>
        <v/>
      </c>
      <c r="DN194" s="161" t="str">
        <f t="shared" si="315"/>
        <v/>
      </c>
      <c r="DO194" s="161" t="str">
        <f t="shared" ref="DO194:DO206" si="316">IF($AZ194="", "", (BK193*$CW194)/$CZ194)</f>
        <v/>
      </c>
      <c r="DP194" s="161" t="str">
        <f t="shared" ref="DP194:DP206" si="317">IF($AZ194="", "", (BL193*$CW194)/$CZ194)</f>
        <v/>
      </c>
      <c r="DQ194" s="161" t="str">
        <f t="shared" ref="DQ194:DQ206" si="318">IF($AZ194="", "", (BM193*$CW194)/$CZ194)</f>
        <v/>
      </c>
      <c r="DR194" s="161" t="str">
        <f t="shared" ref="DR194:DR206" si="319">IF($AZ194="", "", (BN193*$CW194)/$CZ194)</f>
        <v/>
      </c>
      <c r="DS194" s="161" t="str">
        <f t="shared" ref="DS194:DS206" si="320">IF($AZ194="", "", (BO193*$CW194)/$CZ194)</f>
        <v/>
      </c>
      <c r="DT194" s="161" t="str">
        <f t="shared" ref="DT194:DT206" si="321">IF($AZ194="", "", (BP193*$CW194)/$CZ194)</f>
        <v/>
      </c>
      <c r="DU194" s="161" t="str">
        <f t="shared" ref="DU194:DU206" si="322">IF($AZ194="", "", (BQ193*$CW194)/$CZ194)</f>
        <v/>
      </c>
      <c r="DV194" s="161" t="str">
        <f t="shared" ref="DV194:DV206" si="323">IF($AZ194="", "", (BR193*$CW194)/$CZ194)</f>
        <v/>
      </c>
      <c r="DW194" s="161" t="str">
        <f t="shared" ref="DW194:DW206" si="324">IF($AZ194="", "", (BS193*$CW194)/$CZ194)</f>
        <v/>
      </c>
      <c r="DX194" s="161" t="str">
        <f t="shared" ref="DX194:DX206" si="325">IF($AZ194="", "", (BT193*$CW194)/$CZ194)</f>
        <v/>
      </c>
      <c r="DY194" s="161" t="str">
        <f t="shared" ref="DY194:DY206" si="326">IF($AZ194="", "", (BU193*$CW194)/$CZ194)</f>
        <v/>
      </c>
      <c r="DZ194" s="161" t="str">
        <f t="shared" ref="DZ194:DZ206" si="327">IF($AZ194="", "", (BV193*$CW194)/$CZ194)</f>
        <v/>
      </c>
      <c r="EA194" s="161" t="str">
        <f t="shared" ref="EA194:EA206" si="328">IF($AZ194="", "", (BW193*$CW194)/$CZ194)</f>
        <v/>
      </c>
      <c r="EB194" s="161" t="str">
        <f t="shared" ref="EB194:EB206" si="329">IF($AZ194="", "", (BX193*$CW194)/$CZ194)</f>
        <v/>
      </c>
      <c r="EC194" s="161" t="str">
        <f t="shared" ref="EC194:EC206" si="330">IF($AZ194="", "", (BY193*$CW194)/$CZ194)</f>
        <v/>
      </c>
      <c r="ED194" s="161" t="str">
        <f t="shared" ref="ED194:ED206" si="331">IF($AZ194="", "", (BZ193*$CW194)/$CZ194)</f>
        <v/>
      </c>
      <c r="EE194" s="161" t="str">
        <f t="shared" ref="EE194:EE206" si="332">IF($AZ194="", "", (CA193*$CW194)/$CZ194)</f>
        <v/>
      </c>
      <c r="EF194" s="161" t="str">
        <f t="shared" ref="EF194:EF206" si="333">IF($AZ194="", "", (CB193*$CW194)/$CZ194)</f>
        <v/>
      </c>
      <c r="EG194" s="161" t="str">
        <f t="shared" ref="EG194:EG206" si="334">IF($AZ194="", "", (CC193*$CW194)/$CZ194)</f>
        <v/>
      </c>
      <c r="EH194" s="161" t="str">
        <f t="shared" ref="EH194:EH206" si="335">IF($AZ194="", "", (CD193*$CW194)/$CZ194)</f>
        <v/>
      </c>
      <c r="EI194" s="161" t="str">
        <f t="shared" ref="EI194:EI206" si="336">IF($AZ194="", "", (CE193*$CW194)/$CZ194)</f>
        <v/>
      </c>
      <c r="EJ194" s="161" t="str">
        <f t="shared" ref="EJ194:EJ206" si="337">IF($AZ194="", "", (CF193*$CW194)/$CZ194)</f>
        <v/>
      </c>
      <c r="EK194" s="147" t="str">
        <f t="shared" si="251"/>
        <v/>
      </c>
      <c r="EL194" s="149"/>
      <c r="EN194" s="146"/>
      <c r="EO194" s="146"/>
      <c r="EP194" s="139" t="str">
        <f t="shared" si="252"/>
        <v/>
      </c>
      <c r="EQ194" s="139" t="str">
        <f t="shared" si="253"/>
        <v/>
      </c>
      <c r="ER194" s="139" t="str">
        <f t="shared" si="254"/>
        <v/>
      </c>
      <c r="ES194" s="139" t="str">
        <f t="shared" si="255"/>
        <v/>
      </c>
      <c r="ET194" s="139" t="str">
        <f t="shared" si="256"/>
        <v/>
      </c>
      <c r="EU194" s="139" t="str">
        <f t="shared" si="257"/>
        <v/>
      </c>
      <c r="EV194" s="139" t="str">
        <f t="shared" si="258"/>
        <v/>
      </c>
      <c r="EW194" s="139" t="str">
        <f t="shared" si="259"/>
        <v/>
      </c>
      <c r="EX194" s="139" t="str">
        <f t="shared" si="260"/>
        <v/>
      </c>
      <c r="EY194" s="139" t="str">
        <f t="shared" si="261"/>
        <v/>
      </c>
      <c r="EZ194" s="139" t="str">
        <f t="shared" si="262"/>
        <v/>
      </c>
      <c r="FA194" s="139" t="str">
        <f t="shared" si="263"/>
        <v/>
      </c>
      <c r="FB194" s="139" t="str">
        <f t="shared" si="264"/>
        <v/>
      </c>
      <c r="FC194" s="139" t="str">
        <f t="shared" si="265"/>
        <v/>
      </c>
      <c r="FD194" s="139" t="str">
        <f t="shared" si="266"/>
        <v/>
      </c>
      <c r="FE194" s="139" t="str">
        <f t="shared" si="267"/>
        <v/>
      </c>
      <c r="FF194" s="139" t="str">
        <f t="shared" si="268"/>
        <v/>
      </c>
      <c r="FG194" s="139" t="str">
        <f t="shared" si="269"/>
        <v/>
      </c>
      <c r="FH194" s="139" t="str">
        <f t="shared" si="270"/>
        <v/>
      </c>
      <c r="FI194" s="139" t="str">
        <f t="shared" si="271"/>
        <v/>
      </c>
      <c r="FJ194" s="139" t="str">
        <f t="shared" si="272"/>
        <v/>
      </c>
      <c r="FK194" s="139" t="str">
        <f t="shared" si="273"/>
        <v/>
      </c>
      <c r="FL194" s="139" t="str">
        <f t="shared" si="274"/>
        <v/>
      </c>
      <c r="FM194" s="139" t="str">
        <f t="shared" si="275"/>
        <v/>
      </c>
      <c r="FN194" s="139" t="str">
        <f t="shared" si="276"/>
        <v/>
      </c>
      <c r="FO194" s="139" t="str">
        <f t="shared" si="277"/>
        <v/>
      </c>
      <c r="FP194" s="139" t="str">
        <f t="shared" si="278"/>
        <v/>
      </c>
      <c r="FQ194" s="139" t="str">
        <f t="shared" si="279"/>
        <v/>
      </c>
      <c r="FR194" s="139" t="str">
        <f t="shared" si="280"/>
        <v/>
      </c>
      <c r="FS194" s="139" t="str">
        <f t="shared" si="281"/>
        <v/>
      </c>
      <c r="FT194" s="139" t="str">
        <f t="shared" si="282"/>
        <v/>
      </c>
      <c r="FU194" s="148" t="str">
        <f t="shared" si="283"/>
        <v/>
      </c>
      <c r="FV194" s="149"/>
      <c r="FY194" s="211">
        <v>189</v>
      </c>
      <c r="FZ194">
        <v>0.61771845048954743</v>
      </c>
      <c r="GA194">
        <v>1.1221600626391706</v>
      </c>
      <c r="GB194">
        <v>0.46524735770241088</v>
      </c>
      <c r="GC194">
        <v>0.29004928181163131</v>
      </c>
      <c r="GD194">
        <v>0.2639427320130911</v>
      </c>
      <c r="GE194">
        <v>0.14833383665557504</v>
      </c>
      <c r="GF194">
        <v>1.5367715024323536</v>
      </c>
      <c r="GG194">
        <v>1.3473749236467052</v>
      </c>
      <c r="GH194">
        <v>6.6522953376906252E-2</v>
      </c>
      <c r="GI194">
        <v>0.64128803711638738</v>
      </c>
      <c r="GJ194"/>
      <c r="GK194">
        <v>0.61552499999999999</v>
      </c>
      <c r="GL194">
        <v>0.94486874999999992</v>
      </c>
      <c r="GM194">
        <v>0.76332812500000002</v>
      </c>
      <c r="GN194">
        <v>0.84922991071428577</v>
      </c>
      <c r="GO194">
        <v>1.0036674107142858</v>
      </c>
      <c r="GP194">
        <v>0.27867187500000001</v>
      </c>
      <c r="GQ194">
        <v>1.8530991847826086</v>
      </c>
      <c r="GR194">
        <v>1.8746200181159418</v>
      </c>
      <c r="GS194">
        <v>7.0364583333333328E-2</v>
      </c>
      <c r="GT194">
        <v>0.8611968607660454</v>
      </c>
      <c r="GU194"/>
      <c r="GV194"/>
      <c r="GW194"/>
      <c r="GX194"/>
      <c r="GY194"/>
      <c r="GZ194"/>
      <c r="HA194"/>
      <c r="HB194"/>
      <c r="HC194"/>
    </row>
    <row r="195" spans="1:211" s="7" customFormat="1">
      <c r="A195" s="1"/>
      <c r="B195" s="76" t="str">
        <f t="shared" ca="1" si="250"/>
        <v/>
      </c>
      <c r="C195" t="s">
        <v>104</v>
      </c>
      <c r="D195" t="s">
        <v>104</v>
      </c>
      <c r="E195" t="s">
        <v>104</v>
      </c>
      <c r="F195" t="s">
        <v>104</v>
      </c>
      <c r="G195" t="s">
        <v>104</v>
      </c>
      <c r="H195" t="s">
        <v>104</v>
      </c>
      <c r="I195" t="s">
        <v>104</v>
      </c>
      <c r="J195" t="s">
        <v>104</v>
      </c>
      <c r="K195" t="s">
        <v>104</v>
      </c>
      <c r="L195" t="s">
        <v>104</v>
      </c>
      <c r="M195" t="s">
        <v>104</v>
      </c>
      <c r="N195" t="s">
        <v>104</v>
      </c>
      <c r="O195" t="s">
        <v>104</v>
      </c>
      <c r="P195" t="s">
        <v>104</v>
      </c>
      <c r="Q195" t="s">
        <v>104</v>
      </c>
      <c r="R195" t="s">
        <v>104</v>
      </c>
      <c r="S195" t="s">
        <v>104</v>
      </c>
      <c r="T195" t="s">
        <v>104</v>
      </c>
      <c r="U195" t="s">
        <v>104</v>
      </c>
      <c r="V195" t="s">
        <v>104</v>
      </c>
      <c r="W195" t="s">
        <v>104</v>
      </c>
      <c r="X195" t="s">
        <v>104</v>
      </c>
      <c r="Y195" t="s">
        <v>104</v>
      </c>
      <c r="Z195" t="s">
        <v>104</v>
      </c>
      <c r="AA195" t="s">
        <v>104</v>
      </c>
      <c r="AB195" t="s">
        <v>104</v>
      </c>
      <c r="AC195" t="s">
        <v>104</v>
      </c>
      <c r="AD195" t="s">
        <v>104</v>
      </c>
      <c r="AE195" t="s">
        <v>104</v>
      </c>
      <c r="AF195" t="s">
        <v>104</v>
      </c>
      <c r="AG195" t="s">
        <v>104</v>
      </c>
      <c r="AH195" t="s">
        <v>104</v>
      </c>
      <c r="AI195" t="s">
        <v>104</v>
      </c>
      <c r="AJ195" s="2"/>
      <c r="AK195" s="80"/>
      <c r="AL195" s="74"/>
      <c r="AM195" s="43">
        <v>179</v>
      </c>
      <c r="AN195">
        <v>45.67019980883471</v>
      </c>
      <c r="AO195">
        <v>0.99872069477448167</v>
      </c>
      <c r="AP195">
        <v>1.1081254173623347</v>
      </c>
      <c r="AQ195">
        <v>6.7880419723967007</v>
      </c>
      <c r="AR195">
        <v>0.92321144892085738</v>
      </c>
      <c r="AS195">
        <v>3.6648784706479383</v>
      </c>
      <c r="AT195">
        <v>0.73890394635127921</v>
      </c>
      <c r="AU195">
        <v>-1.9658535179027131E-2</v>
      </c>
      <c r="AV195"/>
      <c r="AW195"/>
      <c r="AX195" s="146"/>
      <c r="AY195" s="76" t="str">
        <f t="shared" ca="1" si="173"/>
        <v/>
      </c>
      <c r="AZ195"/>
      <c r="BA195" s="129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 s="147"/>
      <c r="CH195" s="176"/>
      <c r="CJ195" s="146"/>
      <c r="CK195" s="76" t="str">
        <f t="shared" ca="1" si="208"/>
        <v/>
      </c>
      <c r="CL195" s="179" t="str">
        <f t="shared" si="209"/>
        <v/>
      </c>
      <c r="CM195" s="180" t="str">
        <f t="shared" si="210"/>
        <v/>
      </c>
      <c r="CN195"/>
      <c r="CO195"/>
      <c r="CP195"/>
      <c r="CQ195"/>
      <c r="CR195"/>
      <c r="CS195"/>
      <c r="CT195"/>
      <c r="CU195"/>
      <c r="CV195" s="160"/>
      <c r="CW195"/>
      <c r="CX195"/>
      <c r="CY195" s="165"/>
      <c r="CZ195" s="177" t="str">
        <f t="shared" si="211"/>
        <v/>
      </c>
      <c r="DB195" s="146"/>
      <c r="DC195" s="76" t="str">
        <f t="shared" ca="1" si="174"/>
        <v/>
      </c>
      <c r="DD195" t="str">
        <f t="shared" si="212"/>
        <v/>
      </c>
      <c r="DE195" s="129" t="str">
        <f t="shared" si="284"/>
        <v/>
      </c>
      <c r="DF195" s="161" t="str">
        <f t="shared" si="285"/>
        <v/>
      </c>
      <c r="DG195" s="161" t="str">
        <f t="shared" si="286"/>
        <v/>
      </c>
      <c r="DH195" s="161" t="str">
        <f t="shared" si="287"/>
        <v/>
      </c>
      <c r="DI195" s="161" t="str">
        <f t="shared" si="288"/>
        <v/>
      </c>
      <c r="DJ195" s="161" t="str">
        <f t="shared" si="289"/>
        <v/>
      </c>
      <c r="DK195" s="161" t="str">
        <f t="shared" si="290"/>
        <v/>
      </c>
      <c r="DL195" s="161" t="str">
        <f t="shared" si="291"/>
        <v/>
      </c>
      <c r="DM195" s="161" t="str">
        <f t="shared" si="292"/>
        <v/>
      </c>
      <c r="DN195" s="161" t="str">
        <f t="shared" si="315"/>
        <v/>
      </c>
      <c r="DO195" s="161" t="str">
        <f t="shared" si="316"/>
        <v/>
      </c>
      <c r="DP195" s="161" t="str">
        <f t="shared" si="317"/>
        <v/>
      </c>
      <c r="DQ195" s="161" t="str">
        <f t="shared" si="318"/>
        <v/>
      </c>
      <c r="DR195" s="161" t="str">
        <f t="shared" si="319"/>
        <v/>
      </c>
      <c r="DS195" s="161" t="str">
        <f t="shared" si="320"/>
        <v/>
      </c>
      <c r="DT195" s="161" t="str">
        <f t="shared" si="321"/>
        <v/>
      </c>
      <c r="DU195" s="161" t="str">
        <f t="shared" si="322"/>
        <v/>
      </c>
      <c r="DV195" s="161" t="str">
        <f t="shared" si="323"/>
        <v/>
      </c>
      <c r="DW195" s="161" t="str">
        <f t="shared" si="324"/>
        <v/>
      </c>
      <c r="DX195" s="161" t="str">
        <f t="shared" si="325"/>
        <v/>
      </c>
      <c r="DY195" s="161" t="str">
        <f t="shared" si="326"/>
        <v/>
      </c>
      <c r="DZ195" s="161" t="str">
        <f t="shared" si="327"/>
        <v/>
      </c>
      <c r="EA195" s="161" t="str">
        <f t="shared" si="328"/>
        <v/>
      </c>
      <c r="EB195" s="161" t="str">
        <f t="shared" si="329"/>
        <v/>
      </c>
      <c r="EC195" s="161" t="str">
        <f t="shared" si="330"/>
        <v/>
      </c>
      <c r="ED195" s="161" t="str">
        <f t="shared" si="331"/>
        <v/>
      </c>
      <c r="EE195" s="161" t="str">
        <f t="shared" si="332"/>
        <v/>
      </c>
      <c r="EF195" s="161" t="str">
        <f t="shared" si="333"/>
        <v/>
      </c>
      <c r="EG195" s="161" t="str">
        <f t="shared" si="334"/>
        <v/>
      </c>
      <c r="EH195" s="161" t="str">
        <f t="shared" si="335"/>
        <v/>
      </c>
      <c r="EI195" s="161" t="str">
        <f t="shared" si="336"/>
        <v/>
      </c>
      <c r="EJ195" s="161" t="str">
        <f t="shared" si="337"/>
        <v/>
      </c>
      <c r="EK195" s="147" t="str">
        <f t="shared" si="251"/>
        <v/>
      </c>
      <c r="EL195" s="149"/>
      <c r="EN195" s="146"/>
      <c r="EO195" s="146"/>
      <c r="EP195" s="139" t="str">
        <f t="shared" si="252"/>
        <v/>
      </c>
      <c r="EQ195" s="139" t="str">
        <f t="shared" si="253"/>
        <v/>
      </c>
      <c r="ER195" s="139" t="str">
        <f t="shared" si="254"/>
        <v/>
      </c>
      <c r="ES195" s="139" t="str">
        <f t="shared" si="255"/>
        <v/>
      </c>
      <c r="ET195" s="139" t="str">
        <f t="shared" si="256"/>
        <v/>
      </c>
      <c r="EU195" s="139" t="str">
        <f t="shared" si="257"/>
        <v/>
      </c>
      <c r="EV195" s="139" t="str">
        <f t="shared" si="258"/>
        <v/>
      </c>
      <c r="EW195" s="139" t="str">
        <f t="shared" si="259"/>
        <v/>
      </c>
      <c r="EX195" s="139" t="str">
        <f t="shared" si="260"/>
        <v/>
      </c>
      <c r="EY195" s="139" t="str">
        <f t="shared" si="261"/>
        <v/>
      </c>
      <c r="EZ195" s="139" t="str">
        <f t="shared" si="262"/>
        <v/>
      </c>
      <c r="FA195" s="139" t="str">
        <f t="shared" si="263"/>
        <v/>
      </c>
      <c r="FB195" s="139" t="str">
        <f t="shared" si="264"/>
        <v/>
      </c>
      <c r="FC195" s="139" t="str">
        <f t="shared" si="265"/>
        <v/>
      </c>
      <c r="FD195" s="139" t="str">
        <f t="shared" si="266"/>
        <v/>
      </c>
      <c r="FE195" s="139" t="str">
        <f t="shared" si="267"/>
        <v/>
      </c>
      <c r="FF195" s="139" t="str">
        <f t="shared" si="268"/>
        <v/>
      </c>
      <c r="FG195" s="139" t="str">
        <f t="shared" si="269"/>
        <v/>
      </c>
      <c r="FH195" s="139" t="str">
        <f t="shared" si="270"/>
        <v/>
      </c>
      <c r="FI195" s="139" t="str">
        <f t="shared" si="271"/>
        <v/>
      </c>
      <c r="FJ195" s="139" t="str">
        <f t="shared" si="272"/>
        <v/>
      </c>
      <c r="FK195" s="139" t="str">
        <f t="shared" si="273"/>
        <v/>
      </c>
      <c r="FL195" s="139" t="str">
        <f t="shared" si="274"/>
        <v/>
      </c>
      <c r="FM195" s="139" t="str">
        <f t="shared" si="275"/>
        <v/>
      </c>
      <c r="FN195" s="139" t="str">
        <f t="shared" si="276"/>
        <v/>
      </c>
      <c r="FO195" s="139" t="str">
        <f t="shared" si="277"/>
        <v/>
      </c>
      <c r="FP195" s="139" t="str">
        <f t="shared" si="278"/>
        <v/>
      </c>
      <c r="FQ195" s="139" t="str">
        <f t="shared" si="279"/>
        <v/>
      </c>
      <c r="FR195" s="139" t="str">
        <f t="shared" si="280"/>
        <v/>
      </c>
      <c r="FS195" s="139" t="str">
        <f t="shared" si="281"/>
        <v/>
      </c>
      <c r="FT195" s="139" t="str">
        <f t="shared" si="282"/>
        <v/>
      </c>
      <c r="FU195" s="148" t="str">
        <f t="shared" si="283"/>
        <v/>
      </c>
      <c r="FV195" s="149"/>
      <c r="FY195" s="211">
        <v>190</v>
      </c>
      <c r="FZ195">
        <v>0.88652696117424745</v>
      </c>
      <c r="GA195">
        <v>1.6713257774112886</v>
      </c>
      <c r="GB195">
        <v>0.59273874886668754</v>
      </c>
      <c r="GC195">
        <v>0.2176014740369506</v>
      </c>
      <c r="GD195">
        <v>0.14070365660753353</v>
      </c>
      <c r="GE195">
        <v>0.12044717016187499</v>
      </c>
      <c r="GF195">
        <v>0.82805716775636906</v>
      </c>
      <c r="GG195">
        <v>0.71770870692793864</v>
      </c>
      <c r="GH195">
        <v>0</v>
      </c>
      <c r="GI195">
        <v>0.50472774312785362</v>
      </c>
      <c r="GJ195"/>
      <c r="GK195">
        <v>0.88327499999999992</v>
      </c>
      <c r="GL195">
        <v>1.4072203125</v>
      </c>
      <c r="GM195">
        <v>0.97234375000000006</v>
      </c>
      <c r="GN195">
        <v>0.63779084821428567</v>
      </c>
      <c r="GO195">
        <v>0.5350955357142857</v>
      </c>
      <c r="GP195">
        <v>0.22617187499999997</v>
      </c>
      <c r="GQ195">
        <v>0.99869021739130437</v>
      </c>
      <c r="GR195">
        <v>0.99869021739130437</v>
      </c>
      <c r="GS195">
        <v>0</v>
      </c>
      <c r="GT195">
        <v>0.67788090062111805</v>
      </c>
      <c r="GU195"/>
      <c r="GV195"/>
      <c r="GW195"/>
      <c r="GX195"/>
      <c r="GY195"/>
      <c r="GZ195"/>
      <c r="HA195"/>
      <c r="HB195"/>
      <c r="HC195"/>
    </row>
    <row r="196" spans="1:211" s="7" customFormat="1">
      <c r="A196" s="1"/>
      <c r="B196" s="76" t="str">
        <f t="shared" ca="1" si="250"/>
        <v/>
      </c>
      <c r="C196" t="s">
        <v>104</v>
      </c>
      <c r="D196" t="s">
        <v>104</v>
      </c>
      <c r="E196" t="s">
        <v>104</v>
      </c>
      <c r="F196" t="s">
        <v>104</v>
      </c>
      <c r="G196" t="s">
        <v>104</v>
      </c>
      <c r="H196" t="s">
        <v>104</v>
      </c>
      <c r="I196" t="s">
        <v>104</v>
      </c>
      <c r="J196" t="s">
        <v>104</v>
      </c>
      <c r="K196" t="s">
        <v>104</v>
      </c>
      <c r="L196" t="s">
        <v>104</v>
      </c>
      <c r="M196" t="s">
        <v>104</v>
      </c>
      <c r="N196" t="s">
        <v>104</v>
      </c>
      <c r="O196" t="s">
        <v>104</v>
      </c>
      <c r="P196" t="s">
        <v>104</v>
      </c>
      <c r="Q196" t="s">
        <v>104</v>
      </c>
      <c r="R196" t="s">
        <v>104</v>
      </c>
      <c r="S196" t="s">
        <v>104</v>
      </c>
      <c r="T196" t="s">
        <v>104</v>
      </c>
      <c r="U196" t="s">
        <v>104</v>
      </c>
      <c r="V196" t="s">
        <v>104</v>
      </c>
      <c r="W196" t="s">
        <v>104</v>
      </c>
      <c r="X196" t="s">
        <v>104</v>
      </c>
      <c r="Y196" t="s">
        <v>104</v>
      </c>
      <c r="Z196" t="s">
        <v>104</v>
      </c>
      <c r="AA196" t="s">
        <v>104</v>
      </c>
      <c r="AB196" t="s">
        <v>104</v>
      </c>
      <c r="AC196" t="s">
        <v>104</v>
      </c>
      <c r="AD196" t="s">
        <v>104</v>
      </c>
      <c r="AE196" t="s">
        <v>104</v>
      </c>
      <c r="AF196" t="s">
        <v>104</v>
      </c>
      <c r="AG196" t="s">
        <v>104</v>
      </c>
      <c r="AH196" t="s">
        <v>104</v>
      </c>
      <c r="AI196" t="s">
        <v>104</v>
      </c>
      <c r="AJ196" s="2"/>
      <c r="AK196" s="80"/>
      <c r="AL196" s="74"/>
      <c r="AM196" s="43">
        <v>180</v>
      </c>
      <c r="AN196">
        <v>35.597762106050148</v>
      </c>
      <c r="AO196">
        <v>0.71305437778209091</v>
      </c>
      <c r="AP196">
        <v>0.45785802541438492</v>
      </c>
      <c r="AQ196">
        <v>4.5785314161915611</v>
      </c>
      <c r="AR196">
        <v>0.69169716162008277</v>
      </c>
      <c r="AS196">
        <v>3.1953795901464392</v>
      </c>
      <c r="AT196" t="e">
        <v>#DIV/0!</v>
      </c>
      <c r="AU196" t="e">
        <v>#DIV/0!</v>
      </c>
      <c r="AV196"/>
      <c r="AW196"/>
      <c r="AX196" s="146"/>
      <c r="AY196" s="76" t="str">
        <f t="shared" ca="1" si="173"/>
        <v/>
      </c>
      <c r="AZ196"/>
      <c r="BA196" s="129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 s="147"/>
      <c r="CH196" s="176"/>
      <c r="CJ196" s="146"/>
      <c r="CK196" s="76" t="str">
        <f t="shared" ca="1" si="208"/>
        <v/>
      </c>
      <c r="CL196" s="179" t="str">
        <f t="shared" si="209"/>
        <v/>
      </c>
      <c r="CM196" s="180" t="str">
        <f t="shared" si="210"/>
        <v/>
      </c>
      <c r="CN196"/>
      <c r="CO196"/>
      <c r="CP196"/>
      <c r="CQ196"/>
      <c r="CR196"/>
      <c r="CS196"/>
      <c r="CT196"/>
      <c r="CU196"/>
      <c r="CV196" s="160"/>
      <c r="CW196"/>
      <c r="CX196"/>
      <c r="CY196" s="165"/>
      <c r="CZ196" s="177" t="str">
        <f t="shared" si="211"/>
        <v/>
      </c>
      <c r="DB196" s="146"/>
      <c r="DC196" s="76" t="str">
        <f t="shared" ca="1" si="174"/>
        <v/>
      </c>
      <c r="DD196" t="str">
        <f t="shared" si="212"/>
        <v/>
      </c>
      <c r="DE196" s="129" t="str">
        <f t="shared" si="284"/>
        <v/>
      </c>
      <c r="DF196" s="161" t="str">
        <f t="shared" si="285"/>
        <v/>
      </c>
      <c r="DG196" s="161" t="str">
        <f t="shared" si="286"/>
        <v/>
      </c>
      <c r="DH196" s="161" t="str">
        <f t="shared" si="287"/>
        <v/>
      </c>
      <c r="DI196" s="161" t="str">
        <f t="shared" si="288"/>
        <v/>
      </c>
      <c r="DJ196" s="161" t="str">
        <f t="shared" si="289"/>
        <v/>
      </c>
      <c r="DK196" s="161" t="str">
        <f t="shared" si="290"/>
        <v/>
      </c>
      <c r="DL196" s="161" t="str">
        <f t="shared" si="291"/>
        <v/>
      </c>
      <c r="DM196" s="161" t="str">
        <f t="shared" si="292"/>
        <v/>
      </c>
      <c r="DN196" s="161" t="str">
        <f t="shared" si="315"/>
        <v/>
      </c>
      <c r="DO196" s="161" t="str">
        <f t="shared" si="316"/>
        <v/>
      </c>
      <c r="DP196" s="161" t="str">
        <f t="shared" si="317"/>
        <v/>
      </c>
      <c r="DQ196" s="161" t="str">
        <f t="shared" si="318"/>
        <v/>
      </c>
      <c r="DR196" s="161" t="str">
        <f t="shared" si="319"/>
        <v/>
      </c>
      <c r="DS196" s="161" t="str">
        <f t="shared" si="320"/>
        <v/>
      </c>
      <c r="DT196" s="161" t="str">
        <f t="shared" si="321"/>
        <v/>
      </c>
      <c r="DU196" s="161" t="str">
        <f t="shared" si="322"/>
        <v/>
      </c>
      <c r="DV196" s="161" t="str">
        <f t="shared" si="323"/>
        <v/>
      </c>
      <c r="DW196" s="161" t="str">
        <f t="shared" si="324"/>
        <v/>
      </c>
      <c r="DX196" s="161" t="str">
        <f t="shared" si="325"/>
        <v/>
      </c>
      <c r="DY196" s="161" t="str">
        <f t="shared" si="326"/>
        <v/>
      </c>
      <c r="DZ196" s="161" t="str">
        <f t="shared" si="327"/>
        <v/>
      </c>
      <c r="EA196" s="161" t="str">
        <f t="shared" si="328"/>
        <v/>
      </c>
      <c r="EB196" s="161" t="str">
        <f t="shared" si="329"/>
        <v/>
      </c>
      <c r="EC196" s="161" t="str">
        <f t="shared" si="330"/>
        <v/>
      </c>
      <c r="ED196" s="161" t="str">
        <f t="shared" si="331"/>
        <v/>
      </c>
      <c r="EE196" s="161" t="str">
        <f t="shared" si="332"/>
        <v/>
      </c>
      <c r="EF196" s="161" t="str">
        <f t="shared" si="333"/>
        <v/>
      </c>
      <c r="EG196" s="161" t="str">
        <f t="shared" si="334"/>
        <v/>
      </c>
      <c r="EH196" s="161" t="str">
        <f t="shared" si="335"/>
        <v/>
      </c>
      <c r="EI196" s="161" t="str">
        <f t="shared" si="336"/>
        <v/>
      </c>
      <c r="EJ196" s="161" t="str">
        <f t="shared" si="337"/>
        <v/>
      </c>
      <c r="EK196" s="147" t="str">
        <f t="shared" si="251"/>
        <v/>
      </c>
      <c r="EL196" s="149"/>
      <c r="EN196" s="146"/>
      <c r="EO196" s="146"/>
      <c r="EP196" s="139" t="str">
        <f t="shared" si="252"/>
        <v/>
      </c>
      <c r="EQ196" s="139" t="str">
        <f t="shared" si="253"/>
        <v/>
      </c>
      <c r="ER196" s="139" t="str">
        <f t="shared" si="254"/>
        <v/>
      </c>
      <c r="ES196" s="139" t="str">
        <f t="shared" si="255"/>
        <v/>
      </c>
      <c r="ET196" s="139" t="str">
        <f t="shared" si="256"/>
        <v/>
      </c>
      <c r="EU196" s="139" t="str">
        <f t="shared" si="257"/>
        <v/>
      </c>
      <c r="EV196" s="139" t="str">
        <f t="shared" si="258"/>
        <v/>
      </c>
      <c r="EW196" s="139" t="str">
        <f t="shared" si="259"/>
        <v/>
      </c>
      <c r="EX196" s="139" t="str">
        <f t="shared" si="260"/>
        <v/>
      </c>
      <c r="EY196" s="139" t="str">
        <f t="shared" si="261"/>
        <v/>
      </c>
      <c r="EZ196" s="139" t="str">
        <f t="shared" si="262"/>
        <v/>
      </c>
      <c r="FA196" s="139" t="str">
        <f t="shared" si="263"/>
        <v/>
      </c>
      <c r="FB196" s="139" t="str">
        <f t="shared" si="264"/>
        <v/>
      </c>
      <c r="FC196" s="139" t="str">
        <f t="shared" si="265"/>
        <v/>
      </c>
      <c r="FD196" s="139" t="str">
        <f t="shared" si="266"/>
        <v/>
      </c>
      <c r="FE196" s="139" t="str">
        <f t="shared" si="267"/>
        <v/>
      </c>
      <c r="FF196" s="139" t="str">
        <f t="shared" si="268"/>
        <v/>
      </c>
      <c r="FG196" s="139" t="str">
        <f t="shared" si="269"/>
        <v/>
      </c>
      <c r="FH196" s="139" t="str">
        <f t="shared" si="270"/>
        <v/>
      </c>
      <c r="FI196" s="139" t="str">
        <f t="shared" si="271"/>
        <v/>
      </c>
      <c r="FJ196" s="139" t="str">
        <f t="shared" si="272"/>
        <v/>
      </c>
      <c r="FK196" s="139" t="str">
        <f t="shared" si="273"/>
        <v/>
      </c>
      <c r="FL196" s="139" t="str">
        <f t="shared" si="274"/>
        <v/>
      </c>
      <c r="FM196" s="139" t="str">
        <f t="shared" si="275"/>
        <v/>
      </c>
      <c r="FN196" s="139" t="str">
        <f t="shared" si="276"/>
        <v/>
      </c>
      <c r="FO196" s="139" t="str">
        <f t="shared" si="277"/>
        <v/>
      </c>
      <c r="FP196" s="139" t="str">
        <f t="shared" si="278"/>
        <v/>
      </c>
      <c r="FQ196" s="139" t="str">
        <f t="shared" si="279"/>
        <v/>
      </c>
      <c r="FR196" s="139" t="str">
        <f t="shared" si="280"/>
        <v/>
      </c>
      <c r="FS196" s="139" t="str">
        <f t="shared" si="281"/>
        <v/>
      </c>
      <c r="FT196" s="139" t="str">
        <f t="shared" si="282"/>
        <v/>
      </c>
      <c r="FU196" s="148" t="str">
        <f t="shared" si="283"/>
        <v/>
      </c>
      <c r="FV196" s="149"/>
      <c r="FY196" s="211">
        <v>191</v>
      </c>
      <c r="FZ196">
        <v>1.0058990383830602</v>
      </c>
      <c r="GA196">
        <v>1.5711447582044742</v>
      </c>
      <c r="GB196">
        <v>0.80472982568142992</v>
      </c>
      <c r="GC196">
        <v>0.61912563307734936</v>
      </c>
      <c r="GD196">
        <v>0.27341956888861174</v>
      </c>
      <c r="GE196">
        <v>7.7086188903599986E-2</v>
      </c>
      <c r="GF196">
        <v>0.82805716775636906</v>
      </c>
      <c r="GG196">
        <v>0.76829061536607923</v>
      </c>
      <c r="GH196">
        <v>8.9508689212329934E-2</v>
      </c>
      <c r="GI196">
        <v>0.6635929321486489</v>
      </c>
      <c r="GJ196"/>
      <c r="GK196">
        <v>1.002451838235294</v>
      </c>
      <c r="GL196">
        <v>1.3232760569852942</v>
      </c>
      <c r="GM196">
        <v>1.3210727982954544</v>
      </c>
      <c r="GN196">
        <v>1.8161025974025971</v>
      </c>
      <c r="GO196">
        <v>1.0402915178571428</v>
      </c>
      <c r="GP196">
        <v>0.14474999999999999</v>
      </c>
      <c r="GQ196">
        <v>0.99869021739130437</v>
      </c>
      <c r="GR196">
        <v>1.0690548007246377</v>
      </c>
      <c r="GS196">
        <v>9.465845352564102E-2</v>
      </c>
      <c r="GT196">
        <v>0.89143296506096725</v>
      </c>
      <c r="GU196"/>
      <c r="GV196"/>
      <c r="GW196"/>
      <c r="GX196"/>
      <c r="GY196"/>
      <c r="GZ196"/>
      <c r="HA196"/>
      <c r="HB196"/>
      <c r="HC196"/>
    </row>
    <row r="197" spans="1:211" s="7" customFormat="1">
      <c r="A197" s="1"/>
      <c r="B197" s="76" t="str">
        <f t="shared" ca="1" si="250"/>
        <v/>
      </c>
      <c r="C197" t="s">
        <v>104</v>
      </c>
      <c r="D197" t="s">
        <v>104</v>
      </c>
      <c r="E197" t="s">
        <v>104</v>
      </c>
      <c r="F197" t="s">
        <v>104</v>
      </c>
      <c r="G197" t="s">
        <v>104</v>
      </c>
      <c r="H197" t="s">
        <v>104</v>
      </c>
      <c r="I197" t="s">
        <v>104</v>
      </c>
      <c r="J197" t="s">
        <v>104</v>
      </c>
      <c r="K197" t="s">
        <v>104</v>
      </c>
      <c r="L197" t="s">
        <v>104</v>
      </c>
      <c r="M197" t="s">
        <v>104</v>
      </c>
      <c r="N197" t="s">
        <v>104</v>
      </c>
      <c r="O197" t="s">
        <v>104</v>
      </c>
      <c r="P197" t="s">
        <v>104</v>
      </c>
      <c r="Q197" t="s">
        <v>104</v>
      </c>
      <c r="R197" t="s">
        <v>104</v>
      </c>
      <c r="S197" t="s">
        <v>104</v>
      </c>
      <c r="T197" t="s">
        <v>104</v>
      </c>
      <c r="U197" t="s">
        <v>104</v>
      </c>
      <c r="V197" t="s">
        <v>104</v>
      </c>
      <c r="W197" t="s">
        <v>104</v>
      </c>
      <c r="X197" t="s">
        <v>104</v>
      </c>
      <c r="Y197" t="s">
        <v>104</v>
      </c>
      <c r="Z197" t="s">
        <v>104</v>
      </c>
      <c r="AA197" t="s">
        <v>104</v>
      </c>
      <c r="AB197" t="s">
        <v>104</v>
      </c>
      <c r="AC197" t="s">
        <v>104</v>
      </c>
      <c r="AD197" t="s">
        <v>104</v>
      </c>
      <c r="AE197" t="s">
        <v>104</v>
      </c>
      <c r="AF197" t="s">
        <v>104</v>
      </c>
      <c r="AG197" t="s">
        <v>104</v>
      </c>
      <c r="AH197" t="s">
        <v>104</v>
      </c>
      <c r="AI197" t="s">
        <v>104</v>
      </c>
      <c r="AJ197" s="2"/>
      <c r="AK197" s="80"/>
      <c r="AL197" s="74"/>
      <c r="AM197" s="43">
        <v>181</v>
      </c>
      <c r="AN197">
        <v>65.444109147282091</v>
      </c>
      <c r="AO197">
        <v>1.3457752788294663</v>
      </c>
      <c r="AP197">
        <v>1.3417967951731522</v>
      </c>
      <c r="AQ197">
        <v>8.7815892888664067</v>
      </c>
      <c r="AR197">
        <v>1.2306763898449695</v>
      </c>
      <c r="AS197">
        <v>5.4582239134594595</v>
      </c>
      <c r="AT197" t="e">
        <v>#DIV/0!</v>
      </c>
      <c r="AU197" t="e">
        <v>#DIV/0!</v>
      </c>
      <c r="AV197"/>
      <c r="AW197"/>
      <c r="AX197" s="146"/>
      <c r="AY197" s="76" t="str">
        <f t="shared" ca="1" si="173"/>
        <v/>
      </c>
      <c r="AZ197"/>
      <c r="BA197" s="129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 s="147"/>
      <c r="CH197" s="176"/>
      <c r="CJ197" s="146"/>
      <c r="CK197" s="76" t="str">
        <f t="shared" ca="1" si="208"/>
        <v/>
      </c>
      <c r="CL197" s="179" t="str">
        <f t="shared" si="209"/>
        <v/>
      </c>
      <c r="CM197" s="180" t="str">
        <f t="shared" si="210"/>
        <v/>
      </c>
      <c r="CN197"/>
      <c r="CO197"/>
      <c r="CP197"/>
      <c r="CQ197"/>
      <c r="CR197"/>
      <c r="CS197"/>
      <c r="CT197"/>
      <c r="CU197"/>
      <c r="CV197" s="160"/>
      <c r="CW197"/>
      <c r="CX197"/>
      <c r="CY197" s="165"/>
      <c r="CZ197" s="177" t="str">
        <f t="shared" si="211"/>
        <v/>
      </c>
      <c r="DB197" s="146"/>
      <c r="DC197" s="76" t="str">
        <f t="shared" ca="1" si="174"/>
        <v/>
      </c>
      <c r="DD197" t="str">
        <f t="shared" si="212"/>
        <v/>
      </c>
      <c r="DE197" s="129" t="str">
        <f t="shared" si="284"/>
        <v/>
      </c>
      <c r="DF197" s="161" t="str">
        <f t="shared" si="285"/>
        <v/>
      </c>
      <c r="DG197" s="161" t="str">
        <f t="shared" si="286"/>
        <v/>
      </c>
      <c r="DH197" s="161" t="str">
        <f t="shared" si="287"/>
        <v/>
      </c>
      <c r="DI197" s="161" t="str">
        <f t="shared" si="288"/>
        <v/>
      </c>
      <c r="DJ197" s="161" t="str">
        <f t="shared" si="289"/>
        <v/>
      </c>
      <c r="DK197" s="161" t="str">
        <f t="shared" si="290"/>
        <v/>
      </c>
      <c r="DL197" s="161" t="str">
        <f t="shared" si="291"/>
        <v/>
      </c>
      <c r="DM197" s="161" t="str">
        <f t="shared" si="292"/>
        <v/>
      </c>
      <c r="DN197" s="161" t="str">
        <f t="shared" si="315"/>
        <v/>
      </c>
      <c r="DO197" s="161" t="str">
        <f t="shared" si="316"/>
        <v/>
      </c>
      <c r="DP197" s="161" t="str">
        <f t="shared" si="317"/>
        <v/>
      </c>
      <c r="DQ197" s="161" t="str">
        <f t="shared" si="318"/>
        <v/>
      </c>
      <c r="DR197" s="161" t="str">
        <f t="shared" si="319"/>
        <v/>
      </c>
      <c r="DS197" s="161" t="str">
        <f t="shared" si="320"/>
        <v/>
      </c>
      <c r="DT197" s="161" t="str">
        <f t="shared" si="321"/>
        <v/>
      </c>
      <c r="DU197" s="161" t="str">
        <f t="shared" si="322"/>
        <v/>
      </c>
      <c r="DV197" s="161" t="str">
        <f t="shared" si="323"/>
        <v/>
      </c>
      <c r="DW197" s="161" t="str">
        <f t="shared" si="324"/>
        <v/>
      </c>
      <c r="DX197" s="161" t="str">
        <f t="shared" si="325"/>
        <v/>
      </c>
      <c r="DY197" s="161" t="str">
        <f t="shared" si="326"/>
        <v/>
      </c>
      <c r="DZ197" s="161" t="str">
        <f t="shared" si="327"/>
        <v/>
      </c>
      <c r="EA197" s="161" t="str">
        <f t="shared" si="328"/>
        <v/>
      </c>
      <c r="EB197" s="161" t="str">
        <f t="shared" si="329"/>
        <v/>
      </c>
      <c r="EC197" s="161" t="str">
        <f t="shared" si="330"/>
        <v/>
      </c>
      <c r="ED197" s="161" t="str">
        <f t="shared" si="331"/>
        <v/>
      </c>
      <c r="EE197" s="161" t="str">
        <f t="shared" si="332"/>
        <v/>
      </c>
      <c r="EF197" s="161" t="str">
        <f t="shared" si="333"/>
        <v/>
      </c>
      <c r="EG197" s="161" t="str">
        <f t="shared" si="334"/>
        <v/>
      </c>
      <c r="EH197" s="161" t="str">
        <f t="shared" si="335"/>
        <v/>
      </c>
      <c r="EI197" s="161" t="str">
        <f t="shared" si="336"/>
        <v/>
      </c>
      <c r="EJ197" s="161" t="str">
        <f t="shared" si="337"/>
        <v/>
      </c>
      <c r="EK197" s="147" t="str">
        <f t="shared" si="251"/>
        <v/>
      </c>
      <c r="EL197" s="149"/>
      <c r="EN197" s="146"/>
      <c r="EO197" s="146"/>
      <c r="EP197" s="139" t="str">
        <f t="shared" si="252"/>
        <v/>
      </c>
      <c r="EQ197" s="139" t="str">
        <f t="shared" si="253"/>
        <v/>
      </c>
      <c r="ER197" s="139" t="str">
        <f t="shared" si="254"/>
        <v/>
      </c>
      <c r="ES197" s="139" t="str">
        <f t="shared" si="255"/>
        <v/>
      </c>
      <c r="ET197" s="139" t="str">
        <f t="shared" si="256"/>
        <v/>
      </c>
      <c r="EU197" s="139" t="str">
        <f t="shared" si="257"/>
        <v/>
      </c>
      <c r="EV197" s="139" t="str">
        <f t="shared" si="258"/>
        <v/>
      </c>
      <c r="EW197" s="139" t="str">
        <f t="shared" si="259"/>
        <v/>
      </c>
      <c r="EX197" s="139" t="str">
        <f t="shared" si="260"/>
        <v/>
      </c>
      <c r="EY197" s="139" t="str">
        <f t="shared" si="261"/>
        <v/>
      </c>
      <c r="EZ197" s="139" t="str">
        <f t="shared" si="262"/>
        <v/>
      </c>
      <c r="FA197" s="139" t="str">
        <f t="shared" si="263"/>
        <v/>
      </c>
      <c r="FB197" s="139" t="str">
        <f t="shared" si="264"/>
        <v/>
      </c>
      <c r="FC197" s="139" t="str">
        <f t="shared" si="265"/>
        <v/>
      </c>
      <c r="FD197" s="139" t="str">
        <f t="shared" si="266"/>
        <v/>
      </c>
      <c r="FE197" s="139" t="str">
        <f t="shared" si="267"/>
        <v/>
      </c>
      <c r="FF197" s="139" t="str">
        <f t="shared" si="268"/>
        <v/>
      </c>
      <c r="FG197" s="139" t="str">
        <f t="shared" si="269"/>
        <v/>
      </c>
      <c r="FH197" s="139" t="str">
        <f t="shared" si="270"/>
        <v/>
      </c>
      <c r="FI197" s="139" t="str">
        <f t="shared" si="271"/>
        <v/>
      </c>
      <c r="FJ197" s="139" t="str">
        <f t="shared" si="272"/>
        <v/>
      </c>
      <c r="FK197" s="139" t="str">
        <f t="shared" si="273"/>
        <v/>
      </c>
      <c r="FL197" s="139" t="str">
        <f t="shared" si="274"/>
        <v/>
      </c>
      <c r="FM197" s="139" t="str">
        <f t="shared" si="275"/>
        <v/>
      </c>
      <c r="FN197" s="139" t="str">
        <f t="shared" si="276"/>
        <v/>
      </c>
      <c r="FO197" s="139" t="str">
        <f t="shared" si="277"/>
        <v/>
      </c>
      <c r="FP197" s="139" t="str">
        <f t="shared" si="278"/>
        <v/>
      </c>
      <c r="FQ197" s="139" t="str">
        <f t="shared" si="279"/>
        <v/>
      </c>
      <c r="FR197" s="139" t="str">
        <f t="shared" si="280"/>
        <v/>
      </c>
      <c r="FS197" s="139" t="str">
        <f t="shared" si="281"/>
        <v/>
      </c>
      <c r="FT197" s="139" t="str">
        <f t="shared" si="282"/>
        <v/>
      </c>
      <c r="FU197" s="148" t="str">
        <f t="shared" si="283"/>
        <v/>
      </c>
      <c r="FV197" s="149"/>
      <c r="FY197" s="211">
        <v>192</v>
      </c>
      <c r="FZ197">
        <v>0.95864645159264272</v>
      </c>
      <c r="GA197">
        <v>1.891312582035386</v>
      </c>
      <c r="GB197">
        <v>2.2081443666891576</v>
      </c>
      <c r="GC197">
        <v>1.7362226115044102</v>
      </c>
      <c r="GD197">
        <v>0.62956368616443747</v>
      </c>
      <c r="GE197">
        <v>7.4193882690599997E-2</v>
      </c>
      <c r="GF197">
        <v>0.20038102790324064</v>
      </c>
      <c r="GG197">
        <v>0.23978821552359375</v>
      </c>
      <c r="GH197">
        <v>0.15603164258923619</v>
      </c>
      <c r="GI197">
        <v>1.098909181717119</v>
      </c>
      <c r="GJ197"/>
      <c r="GK197">
        <v>0.955501838235294</v>
      </c>
      <c r="GL197">
        <v>1.5932479319852941</v>
      </c>
      <c r="GM197">
        <v>3.6259527698863634</v>
      </c>
      <c r="GN197">
        <v>5.0921910511363624</v>
      </c>
      <c r="GO197">
        <v>2.3936718749999999</v>
      </c>
      <c r="GP197">
        <v>0.13931250000000001</v>
      </c>
      <c r="GQ197">
        <v>0.24196875000000001</v>
      </c>
      <c r="GR197">
        <v>0.33385416666666667</v>
      </c>
      <c r="GS197">
        <v>0.16502303685897435</v>
      </c>
      <c r="GT197">
        <v>1.4764236539961264</v>
      </c>
      <c r="GU197"/>
      <c r="GV197"/>
      <c r="GW197"/>
      <c r="GX197"/>
      <c r="GY197"/>
      <c r="GZ197"/>
      <c r="HA197"/>
      <c r="HB197"/>
      <c r="HC197"/>
    </row>
    <row r="198" spans="1:211" s="7" customFormat="1">
      <c r="A198" s="128"/>
      <c r="B198" s="76" t="str">
        <f t="shared" ca="1" si="250"/>
        <v/>
      </c>
      <c r="C198" t="s">
        <v>104</v>
      </c>
      <c r="D198" t="s">
        <v>104</v>
      </c>
      <c r="E198" t="s">
        <v>104</v>
      </c>
      <c r="F198" t="s">
        <v>104</v>
      </c>
      <c r="G198" t="s">
        <v>104</v>
      </c>
      <c r="H198" t="s">
        <v>104</v>
      </c>
      <c r="I198" t="s">
        <v>104</v>
      </c>
      <c r="J198" t="s">
        <v>104</v>
      </c>
      <c r="K198" t="s">
        <v>104</v>
      </c>
      <c r="L198" t="s">
        <v>104</v>
      </c>
      <c r="M198" t="s">
        <v>104</v>
      </c>
      <c r="N198" t="s">
        <v>104</v>
      </c>
      <c r="O198" t="s">
        <v>104</v>
      </c>
      <c r="P198" t="s">
        <v>104</v>
      </c>
      <c r="Q198" t="s">
        <v>104</v>
      </c>
      <c r="R198" t="s">
        <v>104</v>
      </c>
      <c r="S198" t="s">
        <v>104</v>
      </c>
      <c r="T198" t="s">
        <v>104</v>
      </c>
      <c r="U198" t="s">
        <v>104</v>
      </c>
      <c r="V198" t="s">
        <v>104</v>
      </c>
      <c r="W198" t="s">
        <v>104</v>
      </c>
      <c r="X198" t="s">
        <v>104</v>
      </c>
      <c r="Y198" t="s">
        <v>104</v>
      </c>
      <c r="Z198" t="s">
        <v>104</v>
      </c>
      <c r="AA198" t="s">
        <v>104</v>
      </c>
      <c r="AB198" t="s">
        <v>104</v>
      </c>
      <c r="AC198" t="s">
        <v>104</v>
      </c>
      <c r="AD198" t="s">
        <v>104</v>
      </c>
      <c r="AE198" t="s">
        <v>104</v>
      </c>
      <c r="AF198" t="s">
        <v>104</v>
      </c>
      <c r="AG198" t="s">
        <v>104</v>
      </c>
      <c r="AH198" t="s">
        <v>104</v>
      </c>
      <c r="AI198" t="s">
        <v>104</v>
      </c>
      <c r="AJ198" s="2"/>
      <c r="AK198" s="80"/>
      <c r="AL198" s="74">
        <v>3.0028000000000028</v>
      </c>
      <c r="AM198" s="43">
        <v>182</v>
      </c>
      <c r="AN198">
        <v>61.16532025551767</v>
      </c>
      <c r="AO198">
        <v>1.4009558407795182</v>
      </c>
      <c r="AP198">
        <v>11.370370296314661</v>
      </c>
      <c r="AQ198">
        <v>9.3913495934869839</v>
      </c>
      <c r="AR198">
        <v>1.2989513325268349</v>
      </c>
      <c r="AS198">
        <v>4.986884798559104</v>
      </c>
      <c r="AT198" t="e">
        <v>#DIV/0!</v>
      </c>
      <c r="AU198" t="e">
        <v>#DIV/0!</v>
      </c>
      <c r="AV198"/>
      <c r="AW198"/>
      <c r="AX198" s="128"/>
      <c r="AY198" s="76" t="str">
        <f t="shared" ca="1" si="173"/>
        <v/>
      </c>
      <c r="AZ198"/>
      <c r="BA198" s="129" t="s">
        <v>104</v>
      </c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 s="147"/>
      <c r="CH198" s="176"/>
      <c r="CJ198" s="128"/>
      <c r="CK198" s="76" t="str">
        <f t="shared" ca="1" si="208"/>
        <v/>
      </c>
      <c r="CL198" s="179" t="str">
        <f t="shared" si="209"/>
        <v/>
      </c>
      <c r="CM198" s="180" t="str">
        <f t="shared" si="210"/>
        <v/>
      </c>
      <c r="CN198"/>
      <c r="CO198"/>
      <c r="CP198"/>
      <c r="CQ198"/>
      <c r="CR198"/>
      <c r="CS198"/>
      <c r="CT198"/>
      <c r="CU198"/>
      <c r="CV198" s="160"/>
      <c r="CW198"/>
      <c r="CX198"/>
      <c r="CY198" s="160"/>
      <c r="CZ198" s="177" t="str">
        <f t="shared" si="211"/>
        <v/>
      </c>
      <c r="DB198" s="128"/>
      <c r="DC198" s="76" t="str">
        <f t="shared" ca="1" si="174"/>
        <v/>
      </c>
      <c r="DD198" t="str">
        <f t="shared" si="212"/>
        <v/>
      </c>
      <c r="DE198" s="129" t="str">
        <f t="shared" ref="DE198:DE207" si="338">IF((DD198)="", "", $C$15)</f>
        <v/>
      </c>
      <c r="DF198" s="161" t="str">
        <f t="shared" si="285"/>
        <v/>
      </c>
      <c r="DG198" s="161" t="str">
        <f t="shared" si="286"/>
        <v/>
      </c>
      <c r="DH198" s="161" t="str">
        <f t="shared" si="287"/>
        <v/>
      </c>
      <c r="DI198" s="161" t="str">
        <f t="shared" si="288"/>
        <v/>
      </c>
      <c r="DJ198" s="161" t="str">
        <f t="shared" si="289"/>
        <v/>
      </c>
      <c r="DK198" s="161" t="str">
        <f t="shared" si="290"/>
        <v/>
      </c>
      <c r="DL198" s="161" t="str">
        <f t="shared" si="291"/>
        <v/>
      </c>
      <c r="DM198" s="161" t="str">
        <f t="shared" si="292"/>
        <v/>
      </c>
      <c r="DN198" s="161" t="str">
        <f t="shared" si="315"/>
        <v/>
      </c>
      <c r="DO198" s="161" t="str">
        <f t="shared" si="316"/>
        <v/>
      </c>
      <c r="DP198" s="161" t="str">
        <f t="shared" si="317"/>
        <v/>
      </c>
      <c r="DQ198" s="161" t="str">
        <f t="shared" si="318"/>
        <v/>
      </c>
      <c r="DR198" s="161" t="str">
        <f t="shared" si="319"/>
        <v/>
      </c>
      <c r="DS198" s="161" t="str">
        <f t="shared" si="320"/>
        <v/>
      </c>
      <c r="DT198" s="161" t="str">
        <f t="shared" si="321"/>
        <v/>
      </c>
      <c r="DU198" s="161" t="str">
        <f t="shared" si="322"/>
        <v/>
      </c>
      <c r="DV198" s="161" t="str">
        <f t="shared" si="323"/>
        <v/>
      </c>
      <c r="DW198" s="161" t="str">
        <f t="shared" si="324"/>
        <v/>
      </c>
      <c r="DX198" s="161" t="str">
        <f t="shared" si="325"/>
        <v/>
      </c>
      <c r="DY198" s="161" t="str">
        <f t="shared" si="326"/>
        <v/>
      </c>
      <c r="DZ198" s="161" t="str">
        <f t="shared" si="327"/>
        <v/>
      </c>
      <c r="EA198" s="161" t="str">
        <f t="shared" si="328"/>
        <v/>
      </c>
      <c r="EB198" s="161" t="str">
        <f t="shared" si="329"/>
        <v/>
      </c>
      <c r="EC198" s="161" t="str">
        <f t="shared" si="330"/>
        <v/>
      </c>
      <c r="ED198" s="161" t="str">
        <f t="shared" si="331"/>
        <v/>
      </c>
      <c r="EE198" s="161" t="str">
        <f t="shared" si="332"/>
        <v/>
      </c>
      <c r="EF198" s="161" t="str">
        <f t="shared" si="333"/>
        <v/>
      </c>
      <c r="EG198" s="161" t="str">
        <f t="shared" si="334"/>
        <v/>
      </c>
      <c r="EH198" s="161" t="str">
        <f t="shared" si="335"/>
        <v/>
      </c>
      <c r="EI198" s="161" t="str">
        <f t="shared" si="336"/>
        <v/>
      </c>
      <c r="EJ198" s="161" t="str">
        <f t="shared" si="337"/>
        <v/>
      </c>
      <c r="EK198" s="147" t="str">
        <f t="shared" si="251"/>
        <v/>
      </c>
      <c r="EL198" s="149"/>
      <c r="EN198" s="146"/>
      <c r="EO198" s="146"/>
      <c r="EP198" s="139" t="str">
        <f t="shared" si="252"/>
        <v/>
      </c>
      <c r="EQ198" s="139" t="str">
        <f t="shared" si="253"/>
        <v/>
      </c>
      <c r="ER198" s="139" t="str">
        <f t="shared" si="254"/>
        <v/>
      </c>
      <c r="ES198" s="139" t="str">
        <f t="shared" si="255"/>
        <v/>
      </c>
      <c r="ET198" s="139" t="str">
        <f t="shared" si="256"/>
        <v/>
      </c>
      <c r="EU198" s="139" t="str">
        <f t="shared" si="257"/>
        <v/>
      </c>
      <c r="EV198" s="139" t="str">
        <f t="shared" si="258"/>
        <v/>
      </c>
      <c r="EW198" s="139" t="str">
        <f t="shared" si="259"/>
        <v/>
      </c>
      <c r="EX198" s="139" t="str">
        <f t="shared" si="260"/>
        <v/>
      </c>
      <c r="EY198" s="139" t="str">
        <f t="shared" si="261"/>
        <v/>
      </c>
      <c r="EZ198" s="139" t="str">
        <f t="shared" si="262"/>
        <v/>
      </c>
      <c r="FA198" s="139" t="str">
        <f t="shared" si="263"/>
        <v/>
      </c>
      <c r="FB198" s="139" t="str">
        <f t="shared" si="264"/>
        <v/>
      </c>
      <c r="FC198" s="139" t="str">
        <f t="shared" si="265"/>
        <v/>
      </c>
      <c r="FD198" s="139" t="str">
        <f t="shared" si="266"/>
        <v/>
      </c>
      <c r="FE198" s="139" t="str">
        <f t="shared" si="267"/>
        <v/>
      </c>
      <c r="FF198" s="139" t="str">
        <f t="shared" si="268"/>
        <v/>
      </c>
      <c r="FG198" s="139" t="str">
        <f t="shared" si="269"/>
        <v/>
      </c>
      <c r="FH198" s="139" t="str">
        <f t="shared" si="270"/>
        <v/>
      </c>
      <c r="FI198" s="139" t="str">
        <f t="shared" si="271"/>
        <v/>
      </c>
      <c r="FJ198" s="139" t="str">
        <f t="shared" si="272"/>
        <v/>
      </c>
      <c r="FK198" s="139" t="str">
        <f t="shared" si="273"/>
        <v/>
      </c>
      <c r="FL198" s="139" t="str">
        <f t="shared" si="274"/>
        <v/>
      </c>
      <c r="FM198" s="139" t="str">
        <f t="shared" si="275"/>
        <v/>
      </c>
      <c r="FN198" s="139" t="str">
        <f t="shared" si="276"/>
        <v/>
      </c>
      <c r="FO198" s="139" t="str">
        <f t="shared" si="277"/>
        <v/>
      </c>
      <c r="FP198" s="139" t="str">
        <f t="shared" si="278"/>
        <v/>
      </c>
      <c r="FQ198" s="139" t="str">
        <f t="shared" si="279"/>
        <v/>
      </c>
      <c r="FR198" s="139" t="str">
        <f t="shared" si="280"/>
        <v/>
      </c>
      <c r="FS198" s="139" t="str">
        <f t="shared" si="281"/>
        <v/>
      </c>
      <c r="FT198" s="139" t="str">
        <f t="shared" si="282"/>
        <v/>
      </c>
      <c r="FU198" s="148" t="str">
        <f t="shared" si="283"/>
        <v/>
      </c>
      <c r="FV198" s="149"/>
      <c r="FY198" s="211">
        <v>193</v>
      </c>
      <c r="FZ198">
        <v>0.7721067128270146</v>
      </c>
      <c r="GA198">
        <v>1.3440104071391303</v>
      </c>
      <c r="GB198">
        <v>1.1899949184940817</v>
      </c>
      <c r="GC198">
        <v>0.89298763526301084</v>
      </c>
      <c r="GD198">
        <v>0.38009863014581247</v>
      </c>
      <c r="GE198">
        <v>0.12129816768457499</v>
      </c>
      <c r="GF198">
        <v>0.36024295839505316</v>
      </c>
      <c r="GG198">
        <v>0.42899452260904691</v>
      </c>
      <c r="GH198">
        <v>0.22255459596614241</v>
      </c>
      <c r="GI198">
        <v>0.72044199225548999</v>
      </c>
      <c r="GJ198"/>
      <c r="GK198">
        <v>0.76932187499999993</v>
      </c>
      <c r="GL198">
        <v>1.1318179687500001</v>
      </c>
      <c r="GM198">
        <v>1.9536821732954546</v>
      </c>
      <c r="GN198">
        <v>2.6186860795454545</v>
      </c>
      <c r="GO198">
        <v>1.4457656250000002</v>
      </c>
      <c r="GP198">
        <v>0.22804687499999998</v>
      </c>
      <c r="GQ198">
        <v>0.43509375</v>
      </c>
      <c r="GR198">
        <v>0.59734375000000006</v>
      </c>
      <c r="GS198">
        <v>0.23538762019230769</v>
      </c>
      <c r="GT198">
        <v>0.96785020869755245</v>
      </c>
      <c r="GU198"/>
      <c r="GV198"/>
      <c r="GW198"/>
      <c r="GX198"/>
      <c r="GY198"/>
      <c r="GZ198"/>
      <c r="HA198"/>
      <c r="HB198"/>
      <c r="HC198"/>
    </row>
    <row r="199" spans="1:211" s="7" customFormat="1">
      <c r="A199" s="1"/>
      <c r="B199" s="76" t="str">
        <f t="shared" ca="1" si="250"/>
        <v/>
      </c>
      <c r="C199" t="s">
        <v>104</v>
      </c>
      <c r="D199" t="s">
        <v>104</v>
      </c>
      <c r="E199" t="s">
        <v>104</v>
      </c>
      <c r="F199" t="s">
        <v>104</v>
      </c>
      <c r="G199" t="s">
        <v>104</v>
      </c>
      <c r="H199" t="s">
        <v>104</v>
      </c>
      <c r="I199" t="s">
        <v>104</v>
      </c>
      <c r="J199" t="s">
        <v>104</v>
      </c>
      <c r="K199" t="s">
        <v>104</v>
      </c>
      <c r="L199" t="s">
        <v>104</v>
      </c>
      <c r="M199" t="s">
        <v>104</v>
      </c>
      <c r="N199" t="s">
        <v>104</v>
      </c>
      <c r="O199" t="s">
        <v>104</v>
      </c>
      <c r="P199" t="s">
        <v>104</v>
      </c>
      <c r="Q199" t="s">
        <v>104</v>
      </c>
      <c r="R199" t="s">
        <v>104</v>
      </c>
      <c r="S199" t="s">
        <v>104</v>
      </c>
      <c r="T199" t="s">
        <v>104</v>
      </c>
      <c r="U199" t="s">
        <v>104</v>
      </c>
      <c r="V199" t="s">
        <v>104</v>
      </c>
      <c r="W199" t="s">
        <v>104</v>
      </c>
      <c r="X199" t="s">
        <v>104</v>
      </c>
      <c r="Y199" t="s">
        <v>104</v>
      </c>
      <c r="Z199" t="s">
        <v>104</v>
      </c>
      <c r="AA199" t="s">
        <v>104</v>
      </c>
      <c r="AB199" t="s">
        <v>104</v>
      </c>
      <c r="AC199" t="s">
        <v>104</v>
      </c>
      <c r="AD199" t="s">
        <v>104</v>
      </c>
      <c r="AE199" t="s">
        <v>104</v>
      </c>
      <c r="AF199" t="s">
        <v>104</v>
      </c>
      <c r="AG199" t="s">
        <v>104</v>
      </c>
      <c r="AH199" t="s">
        <v>104</v>
      </c>
      <c r="AI199" t="s">
        <v>104</v>
      </c>
      <c r="AJ199" s="2"/>
      <c r="AK199" s="80"/>
      <c r="AL199" s="74">
        <v>3.0028000000000028</v>
      </c>
      <c r="AM199" s="43">
        <v>183</v>
      </c>
      <c r="AN199">
        <v>45.90495438908561</v>
      </c>
      <c r="AO199">
        <v>1.0350781866976932</v>
      </c>
      <c r="AP199">
        <v>0.70976111455272117</v>
      </c>
      <c r="AQ199">
        <v>7.7451109908632185</v>
      </c>
      <c r="AR199">
        <v>0.94681086246993074</v>
      </c>
      <c r="AS199">
        <v>3.6642821057403476</v>
      </c>
      <c r="AT199" t="e">
        <v>#DIV/0!</v>
      </c>
      <c r="AU199" t="e">
        <v>#DIV/0!</v>
      </c>
      <c r="AV199"/>
      <c r="AW199"/>
      <c r="AX199" s="146"/>
      <c r="AY199" s="76" t="str">
        <f t="shared" ca="1" si="173"/>
        <v/>
      </c>
      <c r="AZ199"/>
      <c r="BA199" s="129" t="s">
        <v>104</v>
      </c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 s="147"/>
      <c r="CH199" s="176"/>
      <c r="CJ199" s="146"/>
      <c r="CK199" s="76" t="str">
        <f t="shared" ca="1" si="208"/>
        <v/>
      </c>
      <c r="CL199" s="179" t="str">
        <f t="shared" si="209"/>
        <v/>
      </c>
      <c r="CM199" s="180" t="str">
        <f t="shared" si="210"/>
        <v/>
      </c>
      <c r="CN199"/>
      <c r="CO199"/>
      <c r="CP199"/>
      <c r="CQ199"/>
      <c r="CR199"/>
      <c r="CS199"/>
      <c r="CT199"/>
      <c r="CU199"/>
      <c r="CV199" s="160"/>
      <c r="CW199"/>
      <c r="CX199"/>
      <c r="CY199" s="160"/>
      <c r="CZ199" s="177" t="str">
        <f t="shared" si="211"/>
        <v/>
      </c>
      <c r="DB199" s="146"/>
      <c r="DC199" s="76" t="str">
        <f t="shared" ca="1" si="174"/>
        <v/>
      </c>
      <c r="DD199" t="str">
        <f t="shared" si="212"/>
        <v/>
      </c>
      <c r="DE199" s="129" t="str">
        <f t="shared" si="338"/>
        <v/>
      </c>
      <c r="DF199" s="161" t="str">
        <f t="shared" si="285"/>
        <v/>
      </c>
      <c r="DG199" s="161" t="str">
        <f t="shared" si="286"/>
        <v/>
      </c>
      <c r="DH199" s="161" t="str">
        <f t="shared" si="287"/>
        <v/>
      </c>
      <c r="DI199" s="161" t="str">
        <f t="shared" si="288"/>
        <v/>
      </c>
      <c r="DJ199" s="161" t="str">
        <f t="shared" si="289"/>
        <v/>
      </c>
      <c r="DK199" s="161" t="str">
        <f t="shared" si="290"/>
        <v/>
      </c>
      <c r="DL199" s="161" t="str">
        <f t="shared" si="291"/>
        <v/>
      </c>
      <c r="DM199" s="161" t="str">
        <f t="shared" si="292"/>
        <v/>
      </c>
      <c r="DN199" s="161" t="str">
        <f t="shared" si="315"/>
        <v/>
      </c>
      <c r="DO199" s="161" t="str">
        <f t="shared" si="316"/>
        <v/>
      </c>
      <c r="DP199" s="161" t="str">
        <f t="shared" si="317"/>
        <v/>
      </c>
      <c r="DQ199" s="161" t="str">
        <f t="shared" si="318"/>
        <v/>
      </c>
      <c r="DR199" s="161" t="str">
        <f t="shared" si="319"/>
        <v/>
      </c>
      <c r="DS199" s="161" t="str">
        <f t="shared" si="320"/>
        <v/>
      </c>
      <c r="DT199" s="161" t="str">
        <f t="shared" si="321"/>
        <v/>
      </c>
      <c r="DU199" s="161" t="str">
        <f t="shared" si="322"/>
        <v/>
      </c>
      <c r="DV199" s="161" t="str">
        <f t="shared" si="323"/>
        <v/>
      </c>
      <c r="DW199" s="161" t="str">
        <f t="shared" si="324"/>
        <v/>
      </c>
      <c r="DX199" s="161" t="str">
        <f t="shared" si="325"/>
        <v/>
      </c>
      <c r="DY199" s="161" t="str">
        <f t="shared" si="326"/>
        <v/>
      </c>
      <c r="DZ199" s="161" t="str">
        <f t="shared" si="327"/>
        <v/>
      </c>
      <c r="EA199" s="161" t="str">
        <f t="shared" si="328"/>
        <v/>
      </c>
      <c r="EB199" s="161" t="str">
        <f t="shared" si="329"/>
        <v/>
      </c>
      <c r="EC199" s="161" t="str">
        <f t="shared" si="330"/>
        <v/>
      </c>
      <c r="ED199" s="161" t="str">
        <f t="shared" si="331"/>
        <v/>
      </c>
      <c r="EE199" s="161" t="str">
        <f t="shared" si="332"/>
        <v/>
      </c>
      <c r="EF199" s="161" t="str">
        <f t="shared" si="333"/>
        <v/>
      </c>
      <c r="EG199" s="161" t="str">
        <f t="shared" si="334"/>
        <v/>
      </c>
      <c r="EH199" s="161" t="str">
        <f t="shared" si="335"/>
        <v/>
      </c>
      <c r="EI199" s="161" t="str">
        <f t="shared" si="336"/>
        <v/>
      </c>
      <c r="EJ199" s="161" t="str">
        <f t="shared" si="337"/>
        <v/>
      </c>
      <c r="EK199" s="147" t="str">
        <f t="shared" si="251"/>
        <v/>
      </c>
      <c r="EL199" s="149"/>
      <c r="EN199" s="146"/>
      <c r="EO199" s="146"/>
      <c r="EP199" s="139" t="str">
        <f t="shared" si="252"/>
        <v/>
      </c>
      <c r="EQ199" s="139" t="str">
        <f t="shared" si="253"/>
        <v/>
      </c>
      <c r="ER199" s="139" t="str">
        <f t="shared" si="254"/>
        <v/>
      </c>
      <c r="ES199" s="139" t="str">
        <f t="shared" si="255"/>
        <v/>
      </c>
      <c r="ET199" s="139" t="str">
        <f t="shared" si="256"/>
        <v/>
      </c>
      <c r="EU199" s="139" t="str">
        <f t="shared" si="257"/>
        <v/>
      </c>
      <c r="EV199" s="139" t="str">
        <f t="shared" si="258"/>
        <v/>
      </c>
      <c r="EW199" s="139" t="str">
        <f t="shared" si="259"/>
        <v/>
      </c>
      <c r="EX199" s="139" t="str">
        <f t="shared" si="260"/>
        <v/>
      </c>
      <c r="EY199" s="139" t="str">
        <f t="shared" si="261"/>
        <v/>
      </c>
      <c r="EZ199" s="139" t="str">
        <f t="shared" si="262"/>
        <v/>
      </c>
      <c r="FA199" s="139" t="str">
        <f t="shared" si="263"/>
        <v/>
      </c>
      <c r="FB199" s="139" t="str">
        <f t="shared" si="264"/>
        <v/>
      </c>
      <c r="FC199" s="139" t="str">
        <f t="shared" si="265"/>
        <v/>
      </c>
      <c r="FD199" s="139" t="str">
        <f t="shared" si="266"/>
        <v/>
      </c>
      <c r="FE199" s="139" t="str">
        <f t="shared" si="267"/>
        <v/>
      </c>
      <c r="FF199" s="139" t="str">
        <f t="shared" si="268"/>
        <v/>
      </c>
      <c r="FG199" s="139" t="str">
        <f t="shared" si="269"/>
        <v/>
      </c>
      <c r="FH199" s="139" t="str">
        <f t="shared" si="270"/>
        <v/>
      </c>
      <c r="FI199" s="139" t="str">
        <f t="shared" si="271"/>
        <v/>
      </c>
      <c r="FJ199" s="139" t="str">
        <f t="shared" si="272"/>
        <v/>
      </c>
      <c r="FK199" s="139" t="str">
        <f t="shared" si="273"/>
        <v/>
      </c>
      <c r="FL199" s="139" t="str">
        <f t="shared" si="274"/>
        <v/>
      </c>
      <c r="FM199" s="139" t="str">
        <f t="shared" si="275"/>
        <v/>
      </c>
      <c r="FN199" s="139" t="str">
        <f t="shared" si="276"/>
        <v/>
      </c>
      <c r="FO199" s="139" t="str">
        <f t="shared" si="277"/>
        <v/>
      </c>
      <c r="FP199" s="139" t="str">
        <f t="shared" si="278"/>
        <v/>
      </c>
      <c r="FQ199" s="139" t="str">
        <f t="shared" si="279"/>
        <v/>
      </c>
      <c r="FR199" s="139" t="str">
        <f t="shared" si="280"/>
        <v/>
      </c>
      <c r="FS199" s="139" t="str">
        <f t="shared" si="281"/>
        <v/>
      </c>
      <c r="FT199" s="139" t="str">
        <f t="shared" si="282"/>
        <v/>
      </c>
      <c r="FU199" s="148" t="str">
        <f t="shared" si="283"/>
        <v/>
      </c>
      <c r="FV199" s="149"/>
      <c r="FY199" s="211">
        <v>194</v>
      </c>
      <c r="FZ199">
        <v>0.94957611243337436</v>
      </c>
      <c r="GA199">
        <v>1.4142163489846948</v>
      </c>
      <c r="GB199">
        <v>0.42248388573830742</v>
      </c>
      <c r="GC199">
        <v>0.42519213403698686</v>
      </c>
      <c r="GD199">
        <v>0.28482750567939852</v>
      </c>
      <c r="GE199">
        <v>8.8593614384399985E-2</v>
      </c>
      <c r="GF199">
        <v>0.15986193049181252</v>
      </c>
      <c r="GG199">
        <v>0.13862439864731252</v>
      </c>
      <c r="GH199">
        <v>2.2985735835423678E-2</v>
      </c>
      <c r="GI199">
        <v>0.43777391260414289</v>
      </c>
      <c r="GJ199"/>
      <c r="GK199">
        <v>0.94634246323529414</v>
      </c>
      <c r="GL199">
        <v>1.1911354319852943</v>
      </c>
      <c r="GM199">
        <v>0.69319140624999998</v>
      </c>
      <c r="GN199">
        <v>1.2457314732142857</v>
      </c>
      <c r="GO199">
        <v>1.0833642857142856</v>
      </c>
      <c r="GP199">
        <v>0.16649999999999998</v>
      </c>
      <c r="GQ199">
        <v>0.19312499999999999</v>
      </c>
      <c r="GR199">
        <v>0.19312499999999999</v>
      </c>
      <c r="GS199">
        <v>2.4293870192307693E-2</v>
      </c>
      <c r="GT199">
        <v>0.58806340507837751</v>
      </c>
      <c r="GU199"/>
      <c r="GV199"/>
      <c r="GW199"/>
      <c r="GX199"/>
      <c r="GY199"/>
      <c r="GZ199"/>
      <c r="HA199"/>
      <c r="HB199"/>
      <c r="HC199"/>
    </row>
    <row r="200" spans="1:211" s="7" customFormat="1">
      <c r="A200" s="1"/>
      <c r="B200" s="76" t="str">
        <f t="shared" ca="1" si="250"/>
        <v/>
      </c>
      <c r="C200" t="s">
        <v>104</v>
      </c>
      <c r="D200" t="s">
        <v>104</v>
      </c>
      <c r="E200" t="s">
        <v>104</v>
      </c>
      <c r="F200" t="s">
        <v>104</v>
      </c>
      <c r="G200" t="s">
        <v>104</v>
      </c>
      <c r="H200" t="s">
        <v>104</v>
      </c>
      <c r="I200" t="s">
        <v>104</v>
      </c>
      <c r="J200" t="s">
        <v>104</v>
      </c>
      <c r="K200" t="s">
        <v>104</v>
      </c>
      <c r="L200" t="s">
        <v>104</v>
      </c>
      <c r="M200" t="s">
        <v>104</v>
      </c>
      <c r="N200" t="s">
        <v>104</v>
      </c>
      <c r="O200" t="s">
        <v>104</v>
      </c>
      <c r="P200" t="s">
        <v>104</v>
      </c>
      <c r="Q200" t="s">
        <v>104</v>
      </c>
      <c r="R200" t="s">
        <v>104</v>
      </c>
      <c r="S200" t="s">
        <v>104</v>
      </c>
      <c r="T200" t="s">
        <v>104</v>
      </c>
      <c r="U200" t="s">
        <v>104</v>
      </c>
      <c r="V200" t="s">
        <v>104</v>
      </c>
      <c r="W200" t="s">
        <v>104</v>
      </c>
      <c r="X200" t="s">
        <v>104</v>
      </c>
      <c r="Y200" t="s">
        <v>104</v>
      </c>
      <c r="Z200" t="s">
        <v>104</v>
      </c>
      <c r="AA200" t="s">
        <v>104</v>
      </c>
      <c r="AB200" t="s">
        <v>104</v>
      </c>
      <c r="AC200" t="s">
        <v>104</v>
      </c>
      <c r="AD200" t="s">
        <v>104</v>
      </c>
      <c r="AE200" t="s">
        <v>104</v>
      </c>
      <c r="AF200" t="s">
        <v>104</v>
      </c>
      <c r="AG200" t="s">
        <v>104</v>
      </c>
      <c r="AH200" t="s">
        <v>104</v>
      </c>
      <c r="AI200" t="s">
        <v>104</v>
      </c>
      <c r="AJ200" s="2"/>
      <c r="AK200" s="80"/>
      <c r="AL200" s="74">
        <v>3.0028000000000028</v>
      </c>
      <c r="AM200" s="43">
        <v>184</v>
      </c>
      <c r="AN200">
        <v>22.39737413662046</v>
      </c>
      <c r="AO200">
        <v>0.46884176092504298</v>
      </c>
      <c r="AP200">
        <v>3.8528980652265981</v>
      </c>
      <c r="AQ200">
        <v>4.025749740403108</v>
      </c>
      <c r="AR200">
        <v>0.44371186089339576</v>
      </c>
      <c r="AS200">
        <v>1.8449307283970349</v>
      </c>
      <c r="AT200" t="e">
        <v>#DIV/0!</v>
      </c>
      <c r="AU200" t="e">
        <v>#DIV/0!</v>
      </c>
      <c r="AV200"/>
      <c r="AW200"/>
      <c r="AX200" s="146"/>
      <c r="AY200" s="76" t="str">
        <f t="shared" ca="1" si="173"/>
        <v/>
      </c>
      <c r="AZ200"/>
      <c r="BA200" s="129" t="s">
        <v>104</v>
      </c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 s="147"/>
      <c r="CH200" s="176"/>
      <c r="CJ200" s="146"/>
      <c r="CK200" s="76" t="str">
        <f t="shared" ca="1" si="208"/>
        <v/>
      </c>
      <c r="CL200" s="179" t="str">
        <f t="shared" si="209"/>
        <v/>
      </c>
      <c r="CM200" s="180" t="str">
        <f t="shared" si="210"/>
        <v/>
      </c>
      <c r="CN200"/>
      <c r="CO200"/>
      <c r="CP200"/>
      <c r="CQ200"/>
      <c r="CR200"/>
      <c r="CS200"/>
      <c r="CT200"/>
      <c r="CU200"/>
      <c r="CV200" s="160"/>
      <c r="CW200"/>
      <c r="CX200"/>
      <c r="CY200" s="160"/>
      <c r="CZ200" s="177" t="str">
        <f t="shared" si="211"/>
        <v/>
      </c>
      <c r="DB200" s="146"/>
      <c r="DC200" s="76" t="str">
        <f t="shared" ca="1" si="174"/>
        <v/>
      </c>
      <c r="DD200" t="str">
        <f t="shared" si="212"/>
        <v/>
      </c>
      <c r="DE200" s="129" t="str">
        <f t="shared" si="338"/>
        <v/>
      </c>
      <c r="DF200" s="161" t="str">
        <f t="shared" si="285"/>
        <v/>
      </c>
      <c r="DG200" s="161" t="str">
        <f t="shared" si="286"/>
        <v/>
      </c>
      <c r="DH200" s="161" t="str">
        <f t="shared" si="287"/>
        <v/>
      </c>
      <c r="DI200" s="161" t="str">
        <f t="shared" si="288"/>
        <v/>
      </c>
      <c r="DJ200" s="161" t="str">
        <f t="shared" si="289"/>
        <v/>
      </c>
      <c r="DK200" s="161" t="str">
        <f t="shared" si="290"/>
        <v/>
      </c>
      <c r="DL200" s="161" t="str">
        <f t="shared" si="291"/>
        <v/>
      </c>
      <c r="DM200" s="161" t="str">
        <f t="shared" si="292"/>
        <v/>
      </c>
      <c r="DN200" s="161" t="str">
        <f t="shared" si="315"/>
        <v/>
      </c>
      <c r="DO200" s="161" t="str">
        <f t="shared" si="316"/>
        <v/>
      </c>
      <c r="DP200" s="161" t="str">
        <f t="shared" si="317"/>
        <v/>
      </c>
      <c r="DQ200" s="161" t="str">
        <f t="shared" si="318"/>
        <v/>
      </c>
      <c r="DR200" s="161" t="str">
        <f t="shared" si="319"/>
        <v/>
      </c>
      <c r="DS200" s="161" t="str">
        <f t="shared" si="320"/>
        <v/>
      </c>
      <c r="DT200" s="161" t="str">
        <f t="shared" si="321"/>
        <v/>
      </c>
      <c r="DU200" s="161" t="str">
        <f t="shared" si="322"/>
        <v/>
      </c>
      <c r="DV200" s="161" t="str">
        <f t="shared" si="323"/>
        <v/>
      </c>
      <c r="DW200" s="161" t="str">
        <f t="shared" si="324"/>
        <v/>
      </c>
      <c r="DX200" s="161" t="str">
        <f t="shared" si="325"/>
        <v/>
      </c>
      <c r="DY200" s="161" t="str">
        <f t="shared" si="326"/>
        <v/>
      </c>
      <c r="DZ200" s="161" t="str">
        <f t="shared" si="327"/>
        <v/>
      </c>
      <c r="EA200" s="161" t="str">
        <f t="shared" si="328"/>
        <v/>
      </c>
      <c r="EB200" s="161" t="str">
        <f t="shared" si="329"/>
        <v/>
      </c>
      <c r="EC200" s="161" t="str">
        <f t="shared" si="330"/>
        <v/>
      </c>
      <c r="ED200" s="161" t="str">
        <f t="shared" si="331"/>
        <v/>
      </c>
      <c r="EE200" s="161" t="str">
        <f t="shared" si="332"/>
        <v/>
      </c>
      <c r="EF200" s="161" t="str">
        <f t="shared" si="333"/>
        <v/>
      </c>
      <c r="EG200" s="161" t="str">
        <f t="shared" si="334"/>
        <v/>
      </c>
      <c r="EH200" s="161" t="str">
        <f t="shared" si="335"/>
        <v/>
      </c>
      <c r="EI200" s="161" t="str">
        <f t="shared" si="336"/>
        <v/>
      </c>
      <c r="EJ200" s="161" t="str">
        <f t="shared" si="337"/>
        <v/>
      </c>
      <c r="EK200" s="147" t="str">
        <f t="shared" si="251"/>
        <v/>
      </c>
      <c r="EL200" s="149"/>
      <c r="EN200" s="146"/>
      <c r="EO200" s="146"/>
      <c r="EP200" s="139" t="str">
        <f t="shared" si="252"/>
        <v/>
      </c>
      <c r="EQ200" s="139" t="str">
        <f t="shared" si="253"/>
        <v/>
      </c>
      <c r="ER200" s="139" t="str">
        <f t="shared" si="254"/>
        <v/>
      </c>
      <c r="ES200" s="139" t="str">
        <f t="shared" si="255"/>
        <v/>
      </c>
      <c r="ET200" s="139" t="str">
        <f t="shared" si="256"/>
        <v/>
      </c>
      <c r="EU200" s="139" t="str">
        <f t="shared" si="257"/>
        <v/>
      </c>
      <c r="EV200" s="139" t="str">
        <f t="shared" si="258"/>
        <v/>
      </c>
      <c r="EW200" s="139" t="str">
        <f t="shared" si="259"/>
        <v/>
      </c>
      <c r="EX200" s="139" t="str">
        <f t="shared" si="260"/>
        <v/>
      </c>
      <c r="EY200" s="139" t="str">
        <f t="shared" si="261"/>
        <v/>
      </c>
      <c r="EZ200" s="139" t="str">
        <f t="shared" si="262"/>
        <v/>
      </c>
      <c r="FA200" s="139" t="str">
        <f t="shared" si="263"/>
        <v/>
      </c>
      <c r="FB200" s="139" t="str">
        <f t="shared" si="264"/>
        <v/>
      </c>
      <c r="FC200" s="139" t="str">
        <f t="shared" si="265"/>
        <v/>
      </c>
      <c r="FD200" s="139" t="str">
        <f t="shared" si="266"/>
        <v/>
      </c>
      <c r="FE200" s="139" t="str">
        <f t="shared" si="267"/>
        <v/>
      </c>
      <c r="FF200" s="139" t="str">
        <f t="shared" si="268"/>
        <v/>
      </c>
      <c r="FG200" s="139" t="str">
        <f t="shared" si="269"/>
        <v/>
      </c>
      <c r="FH200" s="139" t="str">
        <f t="shared" si="270"/>
        <v/>
      </c>
      <c r="FI200" s="139" t="str">
        <f t="shared" si="271"/>
        <v/>
      </c>
      <c r="FJ200" s="139" t="str">
        <f t="shared" si="272"/>
        <v/>
      </c>
      <c r="FK200" s="139" t="str">
        <f t="shared" si="273"/>
        <v/>
      </c>
      <c r="FL200" s="139" t="str">
        <f t="shared" si="274"/>
        <v/>
      </c>
      <c r="FM200" s="139" t="str">
        <f t="shared" si="275"/>
        <v/>
      </c>
      <c r="FN200" s="139" t="str">
        <f t="shared" si="276"/>
        <v/>
      </c>
      <c r="FO200" s="139" t="str">
        <f t="shared" si="277"/>
        <v/>
      </c>
      <c r="FP200" s="139" t="str">
        <f t="shared" si="278"/>
        <v/>
      </c>
      <c r="FQ200" s="139" t="str">
        <f t="shared" si="279"/>
        <v/>
      </c>
      <c r="FR200" s="139" t="str">
        <f t="shared" si="280"/>
        <v/>
      </c>
      <c r="FS200" s="139" t="str">
        <f t="shared" si="281"/>
        <v/>
      </c>
      <c r="FT200" s="139" t="str">
        <f t="shared" si="282"/>
        <v/>
      </c>
      <c r="FU200" s="148" t="str">
        <f t="shared" si="283"/>
        <v/>
      </c>
      <c r="FV200" s="149"/>
      <c r="FY200" s="211">
        <v>195</v>
      </c>
      <c r="FZ200">
        <v>0.45603184701077715</v>
      </c>
      <c r="GA200">
        <v>0.6621751634447548</v>
      </c>
      <c r="GB200">
        <v>0.95923533008148731</v>
      </c>
      <c r="GC200">
        <v>0.97319830434554699</v>
      </c>
      <c r="GD200">
        <v>0.45522588620834353</v>
      </c>
      <c r="GE200">
        <v>0.12231882202972501</v>
      </c>
      <c r="GF200">
        <v>0.66819523726455643</v>
      </c>
      <c r="GG200">
        <v>0.62966621671876666</v>
      </c>
      <c r="GH200">
        <v>0.11249442504775362</v>
      </c>
      <c r="GI200">
        <v>0.69758816926991252</v>
      </c>
      <c r="GJ200"/>
      <c r="GK200">
        <v>0.45432187499999999</v>
      </c>
      <c r="GL200">
        <v>0.55740000000000001</v>
      </c>
      <c r="GM200">
        <v>1.5747329545454543</v>
      </c>
      <c r="GN200">
        <v>2.8533409902597402</v>
      </c>
      <c r="GO200">
        <v>1.7310455357142855</v>
      </c>
      <c r="GP200">
        <v>0.22982812499999999</v>
      </c>
      <c r="GQ200">
        <v>0.80556521739130427</v>
      </c>
      <c r="GR200">
        <v>0.87592980072463755</v>
      </c>
      <c r="GS200">
        <v>0.11895232371794871</v>
      </c>
      <c r="GT200">
        <v>0.9369235812737986</v>
      </c>
      <c r="GU200"/>
      <c r="GV200"/>
      <c r="GW200"/>
      <c r="GX200"/>
      <c r="GY200"/>
      <c r="GZ200"/>
      <c r="HA200"/>
      <c r="HB200"/>
      <c r="HC200"/>
    </row>
    <row r="201" spans="1:211" s="7" customFormat="1">
      <c r="A201" s="1"/>
      <c r="B201" s="76" t="str">
        <f t="shared" ca="1" si="250"/>
        <v/>
      </c>
      <c r="C201" t="s">
        <v>104</v>
      </c>
      <c r="D201" t="s">
        <v>104</v>
      </c>
      <c r="E201" t="s">
        <v>104</v>
      </c>
      <c r="F201" t="s">
        <v>104</v>
      </c>
      <c r="G201" t="s">
        <v>104</v>
      </c>
      <c r="H201" t="s">
        <v>104</v>
      </c>
      <c r="I201" t="s">
        <v>104</v>
      </c>
      <c r="J201" t="s">
        <v>104</v>
      </c>
      <c r="K201" t="s">
        <v>104</v>
      </c>
      <c r="L201" t="s">
        <v>104</v>
      </c>
      <c r="M201" t="s">
        <v>104</v>
      </c>
      <c r="N201" t="s">
        <v>104</v>
      </c>
      <c r="O201" t="s">
        <v>104</v>
      </c>
      <c r="P201" t="s">
        <v>104</v>
      </c>
      <c r="Q201" t="s">
        <v>104</v>
      </c>
      <c r="R201" t="s">
        <v>104</v>
      </c>
      <c r="S201" t="s">
        <v>104</v>
      </c>
      <c r="T201" t="s">
        <v>104</v>
      </c>
      <c r="U201" t="s">
        <v>104</v>
      </c>
      <c r="V201" t="s">
        <v>104</v>
      </c>
      <c r="W201" t="s">
        <v>104</v>
      </c>
      <c r="X201" t="s">
        <v>104</v>
      </c>
      <c r="Y201" t="s">
        <v>104</v>
      </c>
      <c r="Z201" t="s">
        <v>104</v>
      </c>
      <c r="AA201" t="s">
        <v>104</v>
      </c>
      <c r="AB201" t="s">
        <v>104</v>
      </c>
      <c r="AC201" t="s">
        <v>104</v>
      </c>
      <c r="AD201" t="s">
        <v>104</v>
      </c>
      <c r="AE201" t="s">
        <v>104</v>
      </c>
      <c r="AF201" t="s">
        <v>104</v>
      </c>
      <c r="AG201" t="s">
        <v>104</v>
      </c>
      <c r="AH201" t="s">
        <v>104</v>
      </c>
      <c r="AI201" t="s">
        <v>104</v>
      </c>
      <c r="AJ201" s="2"/>
      <c r="AK201" s="80"/>
      <c r="AL201" s="74">
        <v>3.0028000000000028</v>
      </c>
      <c r="AM201" s="43">
        <v>185</v>
      </c>
      <c r="AN201">
        <v>38.586612230362235</v>
      </c>
      <c r="AO201">
        <v>1.0111932525183149</v>
      </c>
      <c r="AP201">
        <v>1.1094885764880409</v>
      </c>
      <c r="AQ201">
        <v>6.1857686903024849</v>
      </c>
      <c r="AR201">
        <v>0.95769671776140519</v>
      </c>
      <c r="AS201">
        <v>3.207948609018942</v>
      </c>
      <c r="AT201">
        <v>0.63317899828483792</v>
      </c>
      <c r="AU201">
        <v>0.35839480799871831</v>
      </c>
      <c r="AV201"/>
      <c r="AW201"/>
      <c r="AX201" s="146"/>
      <c r="AY201" s="76" t="str">
        <f t="shared" ca="1" si="173"/>
        <v/>
      </c>
      <c r="AZ201"/>
      <c r="BA201" s="129" t="s">
        <v>104</v>
      </c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 s="147"/>
      <c r="CH201" s="176"/>
      <c r="CJ201" s="146"/>
      <c r="CK201" s="76" t="str">
        <f t="shared" ca="1" si="208"/>
        <v/>
      </c>
      <c r="CL201" s="179" t="str">
        <f t="shared" si="209"/>
        <v/>
      </c>
      <c r="CM201" s="180" t="str">
        <f t="shared" si="210"/>
        <v/>
      </c>
      <c r="CN201"/>
      <c r="CO201"/>
      <c r="CP201"/>
      <c r="CQ201"/>
      <c r="CR201"/>
      <c r="CS201"/>
      <c r="CT201"/>
      <c r="CU201"/>
      <c r="CV201" s="160"/>
      <c r="CW201"/>
      <c r="CX201"/>
      <c r="CY201" s="160"/>
      <c r="CZ201" s="177" t="str">
        <f t="shared" si="211"/>
        <v/>
      </c>
      <c r="DB201" s="146"/>
      <c r="DC201" s="76" t="str">
        <f t="shared" ca="1" si="174"/>
        <v/>
      </c>
      <c r="DD201" t="str">
        <f t="shared" si="212"/>
        <v/>
      </c>
      <c r="DE201" s="129" t="str">
        <f t="shared" si="338"/>
        <v/>
      </c>
      <c r="DF201" s="161" t="str">
        <f t="shared" si="285"/>
        <v/>
      </c>
      <c r="DG201" s="161" t="str">
        <f t="shared" si="286"/>
        <v/>
      </c>
      <c r="DH201" s="161" t="str">
        <f t="shared" si="287"/>
        <v/>
      </c>
      <c r="DI201" s="161" t="str">
        <f t="shared" si="288"/>
        <v/>
      </c>
      <c r="DJ201" s="161" t="str">
        <f t="shared" si="289"/>
        <v/>
      </c>
      <c r="DK201" s="161" t="str">
        <f t="shared" si="290"/>
        <v/>
      </c>
      <c r="DL201" s="161" t="str">
        <f t="shared" si="291"/>
        <v/>
      </c>
      <c r="DM201" s="161" t="str">
        <f t="shared" si="292"/>
        <v/>
      </c>
      <c r="DN201" s="161" t="str">
        <f t="shared" si="315"/>
        <v/>
      </c>
      <c r="DO201" s="161" t="str">
        <f t="shared" si="316"/>
        <v/>
      </c>
      <c r="DP201" s="161" t="str">
        <f t="shared" si="317"/>
        <v/>
      </c>
      <c r="DQ201" s="161" t="str">
        <f t="shared" si="318"/>
        <v/>
      </c>
      <c r="DR201" s="161" t="str">
        <f t="shared" si="319"/>
        <v/>
      </c>
      <c r="DS201" s="161" t="str">
        <f t="shared" si="320"/>
        <v/>
      </c>
      <c r="DT201" s="161" t="str">
        <f t="shared" si="321"/>
        <v/>
      </c>
      <c r="DU201" s="161" t="str">
        <f t="shared" si="322"/>
        <v/>
      </c>
      <c r="DV201" s="161" t="str">
        <f t="shared" si="323"/>
        <v/>
      </c>
      <c r="DW201" s="161" t="str">
        <f t="shared" si="324"/>
        <v/>
      </c>
      <c r="DX201" s="161" t="str">
        <f t="shared" si="325"/>
        <v/>
      </c>
      <c r="DY201" s="161" t="str">
        <f t="shared" si="326"/>
        <v/>
      </c>
      <c r="DZ201" s="161" t="str">
        <f t="shared" si="327"/>
        <v/>
      </c>
      <c r="EA201" s="161" t="str">
        <f t="shared" si="328"/>
        <v/>
      </c>
      <c r="EB201" s="161" t="str">
        <f t="shared" si="329"/>
        <v/>
      </c>
      <c r="EC201" s="161" t="str">
        <f t="shared" si="330"/>
        <v/>
      </c>
      <c r="ED201" s="161" t="str">
        <f t="shared" si="331"/>
        <v/>
      </c>
      <c r="EE201" s="161" t="str">
        <f t="shared" si="332"/>
        <v/>
      </c>
      <c r="EF201" s="161" t="str">
        <f t="shared" si="333"/>
        <v/>
      </c>
      <c r="EG201" s="161" t="str">
        <f t="shared" si="334"/>
        <v/>
      </c>
      <c r="EH201" s="161" t="str">
        <f t="shared" si="335"/>
        <v/>
      </c>
      <c r="EI201" s="161" t="str">
        <f t="shared" si="336"/>
        <v/>
      </c>
      <c r="EJ201" s="161" t="str">
        <f t="shared" si="337"/>
        <v/>
      </c>
      <c r="EK201" s="147" t="str">
        <f t="shared" si="251"/>
        <v/>
      </c>
      <c r="EL201" s="149"/>
      <c r="EN201" s="146"/>
      <c r="EO201" s="146"/>
      <c r="EP201" s="139" t="str">
        <f t="shared" si="252"/>
        <v/>
      </c>
      <c r="EQ201" s="139" t="str">
        <f t="shared" si="253"/>
        <v/>
      </c>
      <c r="ER201" s="139" t="str">
        <f t="shared" si="254"/>
        <v/>
      </c>
      <c r="ES201" s="139" t="str">
        <f t="shared" si="255"/>
        <v/>
      </c>
      <c r="ET201" s="139" t="str">
        <f t="shared" si="256"/>
        <v/>
      </c>
      <c r="EU201" s="139" t="str">
        <f t="shared" si="257"/>
        <v/>
      </c>
      <c r="EV201" s="139" t="str">
        <f t="shared" si="258"/>
        <v/>
      </c>
      <c r="EW201" s="139" t="str">
        <f t="shared" si="259"/>
        <v/>
      </c>
      <c r="EX201" s="139" t="str">
        <f t="shared" si="260"/>
        <v/>
      </c>
      <c r="EY201" s="139" t="str">
        <f t="shared" si="261"/>
        <v/>
      </c>
      <c r="EZ201" s="139" t="str">
        <f t="shared" si="262"/>
        <v/>
      </c>
      <c r="FA201" s="139" t="str">
        <f t="shared" si="263"/>
        <v/>
      </c>
      <c r="FB201" s="139" t="str">
        <f t="shared" si="264"/>
        <v/>
      </c>
      <c r="FC201" s="139" t="str">
        <f t="shared" si="265"/>
        <v/>
      </c>
      <c r="FD201" s="139" t="str">
        <f t="shared" si="266"/>
        <v/>
      </c>
      <c r="FE201" s="139" t="str">
        <f t="shared" si="267"/>
        <v/>
      </c>
      <c r="FF201" s="139" t="str">
        <f t="shared" si="268"/>
        <v/>
      </c>
      <c r="FG201" s="139" t="str">
        <f t="shared" si="269"/>
        <v/>
      </c>
      <c r="FH201" s="139" t="str">
        <f t="shared" si="270"/>
        <v/>
      </c>
      <c r="FI201" s="139" t="str">
        <f t="shared" si="271"/>
        <v/>
      </c>
      <c r="FJ201" s="139" t="str">
        <f t="shared" si="272"/>
        <v/>
      </c>
      <c r="FK201" s="139" t="str">
        <f t="shared" si="273"/>
        <v/>
      </c>
      <c r="FL201" s="139" t="str">
        <f t="shared" si="274"/>
        <v/>
      </c>
      <c r="FM201" s="139" t="str">
        <f t="shared" si="275"/>
        <v/>
      </c>
      <c r="FN201" s="139" t="str">
        <f t="shared" si="276"/>
        <v/>
      </c>
      <c r="FO201" s="139" t="str">
        <f t="shared" si="277"/>
        <v/>
      </c>
      <c r="FP201" s="139" t="str">
        <f t="shared" si="278"/>
        <v/>
      </c>
      <c r="FQ201" s="139" t="str">
        <f t="shared" si="279"/>
        <v/>
      </c>
      <c r="FR201" s="139" t="str">
        <f t="shared" si="280"/>
        <v/>
      </c>
      <c r="FS201" s="139" t="str">
        <f t="shared" si="281"/>
        <v/>
      </c>
      <c r="FT201" s="139" t="str">
        <f t="shared" si="282"/>
        <v/>
      </c>
      <c r="FU201" s="148" t="str">
        <f t="shared" si="283"/>
        <v/>
      </c>
      <c r="FV201" s="149"/>
      <c r="FY201" s="211">
        <v>196</v>
      </c>
      <c r="FZ201">
        <v>0.88294041563844927</v>
      </c>
      <c r="GA201">
        <v>0.95933918608503443</v>
      </c>
      <c r="GB201">
        <v>1.1553012008471424</v>
      </c>
      <c r="GC201">
        <v>1.0011751263635902</v>
      </c>
      <c r="GD201">
        <v>0.35399360877862501</v>
      </c>
      <c r="GE201">
        <v>0.13104179874877497</v>
      </c>
      <c r="GF201">
        <v>1.1094763904824658</v>
      </c>
      <c r="GG201">
        <v>0.90691501401339158</v>
      </c>
      <c r="GH201">
        <v>0.11249442504775362</v>
      </c>
      <c r="GI201">
        <v>0.8308272746070684</v>
      </c>
      <c r="GJ201"/>
      <c r="GK201">
        <v>0.87969374999999994</v>
      </c>
      <c r="GL201">
        <v>0.80756484375000015</v>
      </c>
      <c r="GM201">
        <v>1.8971182528409087</v>
      </c>
      <c r="GN201">
        <v>2.9369815340909087</v>
      </c>
      <c r="GO201">
        <v>1.3461562500000002</v>
      </c>
      <c r="GP201">
        <v>0.24604687499999997</v>
      </c>
      <c r="GQ201">
        <v>1.3383464673913041</v>
      </c>
      <c r="GR201">
        <v>1.2621798007246374</v>
      </c>
      <c r="GS201">
        <v>0.11895232371794871</v>
      </c>
      <c r="GT201">
        <v>1.1160534087900325</v>
      </c>
      <c r="GU201"/>
      <c r="GV201"/>
      <c r="GW201"/>
      <c r="GX201"/>
      <c r="GY201"/>
      <c r="GZ201"/>
      <c r="HA201"/>
      <c r="HB201"/>
      <c r="HC201"/>
    </row>
    <row r="202" spans="1:211" s="7" customFormat="1">
      <c r="A202" s="1"/>
      <c r="B202" s="76" t="str">
        <f t="shared" ca="1" si="250"/>
        <v/>
      </c>
      <c r="C202" t="s">
        <v>104</v>
      </c>
      <c r="D202" t="s">
        <v>104</v>
      </c>
      <c r="E202" t="s">
        <v>104</v>
      </c>
      <c r="F202" t="s">
        <v>104</v>
      </c>
      <c r="G202" t="s">
        <v>104</v>
      </c>
      <c r="H202" t="s">
        <v>104</v>
      </c>
      <c r="I202" t="s">
        <v>104</v>
      </c>
      <c r="J202" t="s">
        <v>104</v>
      </c>
      <c r="K202" t="s">
        <v>104</v>
      </c>
      <c r="L202" t="s">
        <v>104</v>
      </c>
      <c r="M202" t="s">
        <v>104</v>
      </c>
      <c r="N202" t="s">
        <v>104</v>
      </c>
      <c r="O202" t="s">
        <v>104</v>
      </c>
      <c r="P202" t="s">
        <v>104</v>
      </c>
      <c r="Q202" t="s">
        <v>104</v>
      </c>
      <c r="R202" t="s">
        <v>104</v>
      </c>
      <c r="S202" t="s">
        <v>104</v>
      </c>
      <c r="T202" t="s">
        <v>104</v>
      </c>
      <c r="U202" t="s">
        <v>104</v>
      </c>
      <c r="V202" t="s">
        <v>104</v>
      </c>
      <c r="W202" t="s">
        <v>104</v>
      </c>
      <c r="X202" t="s">
        <v>104</v>
      </c>
      <c r="Y202" t="s">
        <v>104</v>
      </c>
      <c r="Z202" t="s">
        <v>104</v>
      </c>
      <c r="AA202" t="s">
        <v>104</v>
      </c>
      <c r="AB202" t="s">
        <v>104</v>
      </c>
      <c r="AC202" t="s">
        <v>104</v>
      </c>
      <c r="AD202" t="s">
        <v>104</v>
      </c>
      <c r="AE202" t="s">
        <v>104</v>
      </c>
      <c r="AF202" t="s">
        <v>104</v>
      </c>
      <c r="AG202" t="s">
        <v>104</v>
      </c>
      <c r="AH202" t="s">
        <v>104</v>
      </c>
      <c r="AI202" t="s">
        <v>104</v>
      </c>
      <c r="AJ202" s="2"/>
      <c r="AK202" s="80"/>
      <c r="AL202" s="74"/>
      <c r="AM202" s="43">
        <v>186</v>
      </c>
      <c r="AN202">
        <v>32.203225348110252</v>
      </c>
      <c r="AO202">
        <v>0.69443112723785183</v>
      </c>
      <c r="AP202">
        <v>1.5457002378796496</v>
      </c>
      <c r="AQ202">
        <v>5.7796931928137898</v>
      </c>
      <c r="AR202">
        <v>0.64578966112531977</v>
      </c>
      <c r="AS202">
        <v>2.8106727880755598</v>
      </c>
      <c r="AT202" t="e">
        <v>#DIV/0!</v>
      </c>
      <c r="AU202" t="e">
        <v>#DIV/0!</v>
      </c>
      <c r="AV202"/>
      <c r="AW202"/>
      <c r="AX202" s="146"/>
      <c r="AY202" s="76" t="str">
        <f t="shared" ca="1" si="173"/>
        <v/>
      </c>
      <c r="AZ202"/>
      <c r="BA202" s="129" t="s">
        <v>104</v>
      </c>
      <c r="BB202"/>
      <c r="BC202"/>
      <c r="BD202"/>
      <c r="BE202" s="187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 s="147"/>
      <c r="CH202" s="176"/>
      <c r="CJ202" s="146"/>
      <c r="CK202" s="76" t="str">
        <f t="shared" ca="1" si="208"/>
        <v/>
      </c>
      <c r="CL202" s="179" t="str">
        <f t="shared" si="209"/>
        <v/>
      </c>
      <c r="CM202" s="180" t="str">
        <f t="shared" si="210"/>
        <v/>
      </c>
      <c r="CN202"/>
      <c r="CO202"/>
      <c r="CP202"/>
      <c r="CQ202"/>
      <c r="CR202"/>
      <c r="CS202"/>
      <c r="CT202"/>
      <c r="CU202"/>
      <c r="CV202" s="160"/>
      <c r="CW202"/>
      <c r="CX202"/>
      <c r="CY202" s="160"/>
      <c r="CZ202" s="177" t="str">
        <f t="shared" si="211"/>
        <v/>
      </c>
      <c r="DB202" s="146"/>
      <c r="DC202" s="76" t="str">
        <f t="shared" ca="1" si="174"/>
        <v/>
      </c>
      <c r="DD202" t="str">
        <f t="shared" si="212"/>
        <v/>
      </c>
      <c r="DE202" s="129" t="str">
        <f t="shared" si="338"/>
        <v/>
      </c>
      <c r="DF202" s="161" t="str">
        <f t="shared" si="285"/>
        <v/>
      </c>
      <c r="DG202" s="161" t="str">
        <f t="shared" si="286"/>
        <v/>
      </c>
      <c r="DH202" s="161" t="str">
        <f t="shared" si="287"/>
        <v/>
      </c>
      <c r="DI202" s="161" t="str">
        <f t="shared" si="288"/>
        <v/>
      </c>
      <c r="DJ202" s="161" t="str">
        <f t="shared" si="289"/>
        <v/>
      </c>
      <c r="DK202" s="161" t="str">
        <f t="shared" si="290"/>
        <v/>
      </c>
      <c r="DL202" s="161" t="str">
        <f t="shared" si="291"/>
        <v/>
      </c>
      <c r="DM202" s="161" t="str">
        <f t="shared" si="292"/>
        <v/>
      </c>
      <c r="DN202" s="161" t="str">
        <f t="shared" si="315"/>
        <v/>
      </c>
      <c r="DO202" s="161" t="str">
        <f t="shared" si="316"/>
        <v/>
      </c>
      <c r="DP202" s="161" t="str">
        <f t="shared" si="317"/>
        <v/>
      </c>
      <c r="DQ202" s="161" t="str">
        <f t="shared" si="318"/>
        <v/>
      </c>
      <c r="DR202" s="161" t="str">
        <f t="shared" si="319"/>
        <v/>
      </c>
      <c r="DS202" s="161" t="str">
        <f t="shared" si="320"/>
        <v/>
      </c>
      <c r="DT202" s="161" t="str">
        <f t="shared" si="321"/>
        <v/>
      </c>
      <c r="DU202" s="161" t="str">
        <f t="shared" si="322"/>
        <v/>
      </c>
      <c r="DV202" s="161" t="str">
        <f t="shared" si="323"/>
        <v/>
      </c>
      <c r="DW202" s="161" t="str">
        <f t="shared" si="324"/>
        <v/>
      </c>
      <c r="DX202" s="161" t="str">
        <f t="shared" si="325"/>
        <v/>
      </c>
      <c r="DY202" s="161" t="str">
        <f t="shared" si="326"/>
        <v/>
      </c>
      <c r="DZ202" s="161" t="str">
        <f t="shared" si="327"/>
        <v/>
      </c>
      <c r="EA202" s="161" t="str">
        <f t="shared" si="328"/>
        <v/>
      </c>
      <c r="EB202" s="161" t="str">
        <f t="shared" si="329"/>
        <v/>
      </c>
      <c r="EC202" s="161" t="str">
        <f t="shared" si="330"/>
        <v/>
      </c>
      <c r="ED202" s="161" t="str">
        <f t="shared" si="331"/>
        <v/>
      </c>
      <c r="EE202" s="161" t="str">
        <f t="shared" si="332"/>
        <v/>
      </c>
      <c r="EF202" s="161" t="str">
        <f t="shared" si="333"/>
        <v/>
      </c>
      <c r="EG202" s="161" t="str">
        <f t="shared" si="334"/>
        <v/>
      </c>
      <c r="EH202" s="161" t="str">
        <f t="shared" si="335"/>
        <v/>
      </c>
      <c r="EI202" s="161" t="str">
        <f t="shared" si="336"/>
        <v/>
      </c>
      <c r="EJ202" s="161" t="str">
        <f t="shared" si="337"/>
        <v/>
      </c>
      <c r="EK202" s="147" t="str">
        <f t="shared" si="251"/>
        <v/>
      </c>
      <c r="EL202" s="149"/>
      <c r="EN202" s="146"/>
      <c r="EO202" s="146"/>
      <c r="EP202" s="139" t="str">
        <f t="shared" si="252"/>
        <v/>
      </c>
      <c r="EQ202" s="139" t="str">
        <f t="shared" si="253"/>
        <v/>
      </c>
      <c r="ER202" s="139" t="str">
        <f t="shared" si="254"/>
        <v/>
      </c>
      <c r="ES202" s="139" t="str">
        <f t="shared" si="255"/>
        <v/>
      </c>
      <c r="ET202" s="139" t="str">
        <f t="shared" si="256"/>
        <v/>
      </c>
      <c r="EU202" s="139" t="str">
        <f t="shared" si="257"/>
        <v/>
      </c>
      <c r="EV202" s="139" t="str">
        <f t="shared" si="258"/>
        <v/>
      </c>
      <c r="EW202" s="139" t="str">
        <f t="shared" si="259"/>
        <v/>
      </c>
      <c r="EX202" s="139" t="str">
        <f t="shared" si="260"/>
        <v/>
      </c>
      <c r="EY202" s="139" t="str">
        <f t="shared" si="261"/>
        <v/>
      </c>
      <c r="EZ202" s="139" t="str">
        <f t="shared" si="262"/>
        <v/>
      </c>
      <c r="FA202" s="139" t="str">
        <f t="shared" si="263"/>
        <v/>
      </c>
      <c r="FB202" s="139" t="str">
        <f t="shared" si="264"/>
        <v/>
      </c>
      <c r="FC202" s="139" t="str">
        <f t="shared" si="265"/>
        <v/>
      </c>
      <c r="FD202" s="139" t="str">
        <f t="shared" si="266"/>
        <v/>
      </c>
      <c r="FE202" s="139" t="str">
        <f t="shared" si="267"/>
        <v/>
      </c>
      <c r="FF202" s="139" t="str">
        <f t="shared" si="268"/>
        <v/>
      </c>
      <c r="FG202" s="139" t="str">
        <f t="shared" si="269"/>
        <v/>
      </c>
      <c r="FH202" s="139" t="str">
        <f t="shared" si="270"/>
        <v/>
      </c>
      <c r="FI202" s="139" t="str">
        <f t="shared" si="271"/>
        <v/>
      </c>
      <c r="FJ202" s="139" t="str">
        <f t="shared" si="272"/>
        <v/>
      </c>
      <c r="FK202" s="139" t="str">
        <f t="shared" si="273"/>
        <v/>
      </c>
      <c r="FL202" s="139" t="str">
        <f t="shared" si="274"/>
        <v/>
      </c>
      <c r="FM202" s="139" t="str">
        <f t="shared" si="275"/>
        <v/>
      </c>
      <c r="FN202" s="139" t="str">
        <f t="shared" si="276"/>
        <v/>
      </c>
      <c r="FO202" s="139" t="str">
        <f t="shared" si="277"/>
        <v/>
      </c>
      <c r="FP202" s="139" t="str">
        <f t="shared" si="278"/>
        <v/>
      </c>
      <c r="FQ202" s="139" t="str">
        <f t="shared" si="279"/>
        <v/>
      </c>
      <c r="FR202" s="139" t="str">
        <f t="shared" si="280"/>
        <v/>
      </c>
      <c r="FS202" s="139" t="str">
        <f t="shared" si="281"/>
        <v/>
      </c>
      <c r="FT202" s="139" t="str">
        <f t="shared" si="282"/>
        <v/>
      </c>
      <c r="FU202" s="148" t="str">
        <f t="shared" si="283"/>
        <v/>
      </c>
      <c r="FV202" s="149"/>
      <c r="FY202" s="211">
        <v>197</v>
      </c>
      <c r="FZ202">
        <v>1.4219227203336313</v>
      </c>
      <c r="GA202">
        <v>2.5685489297911075</v>
      </c>
      <c r="GB202">
        <v>1.1342236112832831</v>
      </c>
      <c r="GC202">
        <v>0.83586066401515069</v>
      </c>
      <c r="GD202">
        <v>0.46848056634055935</v>
      </c>
      <c r="GE202">
        <v>0.22627102308187499</v>
      </c>
      <c r="GF202">
        <v>0.73485967443875966</v>
      </c>
      <c r="GG202">
        <v>0.66795476831121925</v>
      </c>
      <c r="GH202">
        <v>0.1330459067538125</v>
      </c>
      <c r="GI202">
        <v>0.90645402769376926</v>
      </c>
      <c r="GJ202"/>
      <c r="GK202">
        <v>1.4168362132352939</v>
      </c>
      <c r="GL202">
        <v>2.1631448069852937</v>
      </c>
      <c r="GM202">
        <v>1.8617915482954543</v>
      </c>
      <c r="GN202">
        <v>2.450505722402597</v>
      </c>
      <c r="GO202">
        <v>1.782163392857143</v>
      </c>
      <c r="GP202">
        <v>0.42529687499999996</v>
      </c>
      <c r="GQ202">
        <v>0.88672010869565221</v>
      </c>
      <c r="GR202">
        <v>0.92976177536231885</v>
      </c>
      <c r="GS202">
        <v>0.14072916666666666</v>
      </c>
      <c r="GT202">
        <v>1.2176480859500418</v>
      </c>
      <c r="GU202"/>
      <c r="GV202"/>
      <c r="GW202"/>
      <c r="GX202"/>
      <c r="GY202"/>
      <c r="GZ202"/>
      <c r="HA202"/>
      <c r="HB202"/>
      <c r="HC202"/>
    </row>
    <row r="203" spans="1:211" s="7" customFormat="1">
      <c r="A203" s="1"/>
      <c r="B203" s="76" t="str">
        <f t="shared" ca="1" si="250"/>
        <v/>
      </c>
      <c r="C203" t="s">
        <v>104</v>
      </c>
      <c r="D203" t="s">
        <v>104</v>
      </c>
      <c r="E203" t="s">
        <v>104</v>
      </c>
      <c r="F203" t="s">
        <v>104</v>
      </c>
      <c r="G203" t="s">
        <v>104</v>
      </c>
      <c r="H203" t="s">
        <v>104</v>
      </c>
      <c r="I203" t="s">
        <v>104</v>
      </c>
      <c r="J203" t="s">
        <v>104</v>
      </c>
      <c r="K203" t="s">
        <v>104</v>
      </c>
      <c r="L203" t="s">
        <v>104</v>
      </c>
      <c r="M203" t="s">
        <v>104</v>
      </c>
      <c r="N203" t="s">
        <v>104</v>
      </c>
      <c r="O203" t="s">
        <v>104</v>
      </c>
      <c r="P203" t="s">
        <v>104</v>
      </c>
      <c r="Q203" t="s">
        <v>104</v>
      </c>
      <c r="R203" t="s">
        <v>104</v>
      </c>
      <c r="S203" t="s">
        <v>104</v>
      </c>
      <c r="T203" t="s">
        <v>104</v>
      </c>
      <c r="U203" t="s">
        <v>104</v>
      </c>
      <c r="V203" t="s">
        <v>104</v>
      </c>
      <c r="W203" t="s">
        <v>104</v>
      </c>
      <c r="X203" t="s">
        <v>104</v>
      </c>
      <c r="Y203" t="s">
        <v>104</v>
      </c>
      <c r="Z203" t="s">
        <v>104</v>
      </c>
      <c r="AA203" t="s">
        <v>104</v>
      </c>
      <c r="AB203" t="s">
        <v>104</v>
      </c>
      <c r="AC203" t="s">
        <v>104</v>
      </c>
      <c r="AD203" t="s">
        <v>104</v>
      </c>
      <c r="AE203" t="s">
        <v>104</v>
      </c>
      <c r="AF203" t="s">
        <v>104</v>
      </c>
      <c r="AG203" t="s">
        <v>104</v>
      </c>
      <c r="AH203" t="s">
        <v>104</v>
      </c>
      <c r="AI203" t="s">
        <v>104</v>
      </c>
      <c r="AJ203" s="2"/>
      <c r="AK203" s="80"/>
      <c r="AL203" s="74"/>
      <c r="AM203" s="43">
        <v>187</v>
      </c>
      <c r="AN203">
        <v>24.195697167755988</v>
      </c>
      <c r="AO203">
        <v>0.572124112745098</v>
      </c>
      <c r="AP203">
        <v>0.81950701992083541</v>
      </c>
      <c r="AQ203">
        <v>5.0701472252706239</v>
      </c>
      <c r="AR203">
        <v>0.54184578431372532</v>
      </c>
      <c r="AS203">
        <v>1.945580575986912</v>
      </c>
      <c r="AT203" t="e">
        <v>#DIV/0!</v>
      </c>
      <c r="AU203" t="e">
        <v>#DIV/0!</v>
      </c>
      <c r="AV203"/>
      <c r="AW203"/>
      <c r="AX203" s="146"/>
      <c r="AY203" s="76" t="str">
        <f t="shared" ca="1" si="173"/>
        <v/>
      </c>
      <c r="AZ203"/>
      <c r="BA203" s="129" t="s">
        <v>104</v>
      </c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 s="147"/>
      <c r="CH203" s="176"/>
      <c r="CJ203" s="146"/>
      <c r="CK203" s="76" t="str">
        <f t="shared" ca="1" si="208"/>
        <v/>
      </c>
      <c r="CL203" s="179" t="str">
        <f t="shared" si="209"/>
        <v/>
      </c>
      <c r="CM203" s="180" t="str">
        <f t="shared" si="210"/>
        <v/>
      </c>
      <c r="CN203"/>
      <c r="CO203"/>
      <c r="CP203"/>
      <c r="CQ203"/>
      <c r="CR203"/>
      <c r="CS203"/>
      <c r="CT203"/>
      <c r="CU203"/>
      <c r="CV203" s="160"/>
      <c r="CW203"/>
      <c r="CX203"/>
      <c r="CY203" s="160"/>
      <c r="CZ203" s="177" t="str">
        <f t="shared" si="211"/>
        <v/>
      </c>
      <c r="DB203" s="146"/>
      <c r="DC203" s="76" t="str">
        <f t="shared" ca="1" si="174"/>
        <v/>
      </c>
      <c r="DD203" t="str">
        <f t="shared" si="212"/>
        <v/>
      </c>
      <c r="DE203" s="129" t="str">
        <f t="shared" si="338"/>
        <v/>
      </c>
      <c r="DF203" s="161" t="str">
        <f t="shared" si="285"/>
        <v/>
      </c>
      <c r="DG203" s="161" t="str">
        <f t="shared" si="286"/>
        <v/>
      </c>
      <c r="DH203" s="161" t="str">
        <f t="shared" si="287"/>
        <v/>
      </c>
      <c r="DI203" s="161" t="str">
        <f t="shared" si="288"/>
        <v/>
      </c>
      <c r="DJ203" s="161" t="str">
        <f t="shared" si="289"/>
        <v/>
      </c>
      <c r="DK203" s="161" t="str">
        <f t="shared" si="290"/>
        <v/>
      </c>
      <c r="DL203" s="161" t="str">
        <f t="shared" si="291"/>
        <v/>
      </c>
      <c r="DM203" s="161" t="str">
        <f t="shared" si="292"/>
        <v/>
      </c>
      <c r="DN203" s="161" t="str">
        <f t="shared" si="315"/>
        <v/>
      </c>
      <c r="DO203" s="161" t="str">
        <f t="shared" si="316"/>
        <v/>
      </c>
      <c r="DP203" s="161" t="str">
        <f t="shared" si="317"/>
        <v/>
      </c>
      <c r="DQ203" s="161" t="str">
        <f t="shared" si="318"/>
        <v/>
      </c>
      <c r="DR203" s="161" t="str">
        <f t="shared" si="319"/>
        <v/>
      </c>
      <c r="DS203" s="161" t="str">
        <f t="shared" si="320"/>
        <v/>
      </c>
      <c r="DT203" s="161" t="str">
        <f t="shared" si="321"/>
        <v/>
      </c>
      <c r="DU203" s="161" t="str">
        <f t="shared" si="322"/>
        <v/>
      </c>
      <c r="DV203" s="161" t="str">
        <f t="shared" si="323"/>
        <v/>
      </c>
      <c r="DW203" s="161" t="str">
        <f t="shared" si="324"/>
        <v/>
      </c>
      <c r="DX203" s="161" t="str">
        <f t="shared" si="325"/>
        <v/>
      </c>
      <c r="DY203" s="161" t="str">
        <f t="shared" si="326"/>
        <v/>
      </c>
      <c r="DZ203" s="161" t="str">
        <f t="shared" si="327"/>
        <v/>
      </c>
      <c r="EA203" s="161" t="str">
        <f t="shared" si="328"/>
        <v/>
      </c>
      <c r="EB203" s="161" t="str">
        <f t="shared" si="329"/>
        <v/>
      </c>
      <c r="EC203" s="161" t="str">
        <f t="shared" si="330"/>
        <v/>
      </c>
      <c r="ED203" s="161" t="str">
        <f t="shared" si="331"/>
        <v/>
      </c>
      <c r="EE203" s="161" t="str">
        <f t="shared" si="332"/>
        <v/>
      </c>
      <c r="EF203" s="161" t="str">
        <f t="shared" si="333"/>
        <v/>
      </c>
      <c r="EG203" s="161" t="str">
        <f t="shared" si="334"/>
        <v/>
      </c>
      <c r="EH203" s="161" t="str">
        <f t="shared" si="335"/>
        <v/>
      </c>
      <c r="EI203" s="161" t="str">
        <f t="shared" si="336"/>
        <v/>
      </c>
      <c r="EJ203" s="161" t="str">
        <f t="shared" si="337"/>
        <v/>
      </c>
      <c r="EK203" s="147" t="str">
        <f t="shared" si="251"/>
        <v/>
      </c>
      <c r="EL203" s="149"/>
      <c r="EN203" s="146"/>
      <c r="EO203" s="146"/>
      <c r="EP203" s="139" t="str">
        <f t="shared" si="252"/>
        <v/>
      </c>
      <c r="EQ203" s="139" t="str">
        <f t="shared" si="253"/>
        <v/>
      </c>
      <c r="ER203" s="139" t="str">
        <f t="shared" si="254"/>
        <v/>
      </c>
      <c r="ES203" s="139" t="str">
        <f t="shared" si="255"/>
        <v/>
      </c>
      <c r="ET203" s="139" t="str">
        <f t="shared" si="256"/>
        <v/>
      </c>
      <c r="EU203" s="139" t="str">
        <f t="shared" si="257"/>
        <v/>
      </c>
      <c r="EV203" s="139" t="str">
        <f t="shared" si="258"/>
        <v/>
      </c>
      <c r="EW203" s="139" t="str">
        <f t="shared" si="259"/>
        <v/>
      </c>
      <c r="EX203" s="139" t="str">
        <f t="shared" si="260"/>
        <v/>
      </c>
      <c r="EY203" s="139" t="str">
        <f t="shared" si="261"/>
        <v/>
      </c>
      <c r="EZ203" s="139" t="str">
        <f t="shared" si="262"/>
        <v/>
      </c>
      <c r="FA203" s="139" t="str">
        <f t="shared" si="263"/>
        <v/>
      </c>
      <c r="FB203" s="139" t="str">
        <f t="shared" si="264"/>
        <v/>
      </c>
      <c r="FC203" s="139" t="str">
        <f t="shared" si="265"/>
        <v/>
      </c>
      <c r="FD203" s="139" t="str">
        <f t="shared" si="266"/>
        <v/>
      </c>
      <c r="FE203" s="139" t="str">
        <f t="shared" si="267"/>
        <v/>
      </c>
      <c r="FF203" s="139" t="str">
        <f t="shared" si="268"/>
        <v/>
      </c>
      <c r="FG203" s="139" t="str">
        <f t="shared" si="269"/>
        <v/>
      </c>
      <c r="FH203" s="139" t="str">
        <f t="shared" si="270"/>
        <v/>
      </c>
      <c r="FI203" s="139" t="str">
        <f t="shared" si="271"/>
        <v/>
      </c>
      <c r="FJ203" s="139" t="str">
        <f t="shared" si="272"/>
        <v/>
      </c>
      <c r="FK203" s="139" t="str">
        <f t="shared" si="273"/>
        <v/>
      </c>
      <c r="FL203" s="139" t="str">
        <f t="shared" si="274"/>
        <v/>
      </c>
      <c r="FM203" s="139" t="str">
        <f t="shared" si="275"/>
        <v/>
      </c>
      <c r="FN203" s="139" t="str">
        <f t="shared" si="276"/>
        <v/>
      </c>
      <c r="FO203" s="139" t="str">
        <f t="shared" si="277"/>
        <v/>
      </c>
      <c r="FP203" s="139" t="str">
        <f t="shared" si="278"/>
        <v/>
      </c>
      <c r="FQ203" s="139" t="str">
        <f t="shared" si="279"/>
        <v/>
      </c>
      <c r="FR203" s="139" t="str">
        <f t="shared" si="280"/>
        <v/>
      </c>
      <c r="FS203" s="139" t="str">
        <f t="shared" si="281"/>
        <v/>
      </c>
      <c r="FT203" s="139" t="str">
        <f t="shared" si="282"/>
        <v/>
      </c>
      <c r="FU203" s="148" t="str">
        <f t="shared" si="283"/>
        <v/>
      </c>
      <c r="FV203" s="149"/>
      <c r="FY203" s="211">
        <v>198</v>
      </c>
      <c r="FZ203">
        <v>1.7556350808652628</v>
      </c>
      <c r="GA203">
        <v>2.9906866280300424</v>
      </c>
      <c r="GB203">
        <v>0.98599953074287505</v>
      </c>
      <c r="GC203">
        <v>0.55176111692026253</v>
      </c>
      <c r="GD203">
        <v>0.250605004170391</v>
      </c>
      <c r="GE203">
        <v>0.10310120352945001</v>
      </c>
      <c r="GF203">
        <v>4.0519097411428125E-2</v>
      </c>
      <c r="GG203">
        <v>0</v>
      </c>
      <c r="GH203">
        <v>0</v>
      </c>
      <c r="GI203">
        <v>0.65048832761997688</v>
      </c>
      <c r="GJ203"/>
      <c r="GK203">
        <v>1.749575551470588</v>
      </c>
      <c r="GL203">
        <v>2.5190286764705885</v>
      </c>
      <c r="GM203">
        <v>1.6178125000000003</v>
      </c>
      <c r="GN203">
        <v>1.6168080357142856</v>
      </c>
      <c r="GO203">
        <v>0.95304241071428564</v>
      </c>
      <c r="GP203">
        <v>0.19359375000000001</v>
      </c>
      <c r="GQ203">
        <v>4.8843750000000005E-2</v>
      </c>
      <c r="GR203">
        <v>0</v>
      </c>
      <c r="GS203">
        <v>0</v>
      </c>
      <c r="GT203">
        <v>0.87385484243697475</v>
      </c>
      <c r="GU203"/>
      <c r="GV203"/>
      <c r="GW203"/>
      <c r="GX203"/>
      <c r="GY203"/>
      <c r="GZ203"/>
      <c r="HA203"/>
      <c r="HB203"/>
      <c r="HC203"/>
    </row>
    <row r="204" spans="1:211" s="7" customFormat="1">
      <c r="A204" s="1"/>
      <c r="B204" s="76" t="str">
        <f t="shared" ca="1" si="250"/>
        <v/>
      </c>
      <c r="C204" t="s">
        <v>104</v>
      </c>
      <c r="D204" t="s">
        <v>104</v>
      </c>
      <c r="E204" t="s">
        <v>104</v>
      </c>
      <c r="F204" t="s">
        <v>104</v>
      </c>
      <c r="G204" t="s">
        <v>104</v>
      </c>
      <c r="H204" t="s">
        <v>104</v>
      </c>
      <c r="I204" t="s">
        <v>104</v>
      </c>
      <c r="J204" t="s">
        <v>104</v>
      </c>
      <c r="K204" t="s">
        <v>104</v>
      </c>
      <c r="L204" t="s">
        <v>104</v>
      </c>
      <c r="M204" t="s">
        <v>104</v>
      </c>
      <c r="N204" t="s">
        <v>104</v>
      </c>
      <c r="O204" t="s">
        <v>104</v>
      </c>
      <c r="P204" t="s">
        <v>104</v>
      </c>
      <c r="Q204" t="s">
        <v>104</v>
      </c>
      <c r="R204" t="s">
        <v>104</v>
      </c>
      <c r="S204" t="s">
        <v>104</v>
      </c>
      <c r="T204" t="s">
        <v>104</v>
      </c>
      <c r="U204" t="s">
        <v>104</v>
      </c>
      <c r="V204" t="s">
        <v>104</v>
      </c>
      <c r="W204" t="s">
        <v>104</v>
      </c>
      <c r="X204" t="s">
        <v>104</v>
      </c>
      <c r="Y204" t="s">
        <v>104</v>
      </c>
      <c r="Z204" t="s">
        <v>104</v>
      </c>
      <c r="AA204" t="s">
        <v>104</v>
      </c>
      <c r="AB204" t="s">
        <v>104</v>
      </c>
      <c r="AC204" t="s">
        <v>104</v>
      </c>
      <c r="AD204" t="s">
        <v>104</v>
      </c>
      <c r="AE204" t="s">
        <v>104</v>
      </c>
      <c r="AF204" t="s">
        <v>104</v>
      </c>
      <c r="AG204" t="s">
        <v>104</v>
      </c>
      <c r="AH204" t="s">
        <v>104</v>
      </c>
      <c r="AI204" t="s">
        <v>104</v>
      </c>
      <c r="AJ204" s="2"/>
      <c r="AK204" s="80"/>
      <c r="AL204" s="74"/>
      <c r="AM204" s="43">
        <v>188</v>
      </c>
      <c r="AN204">
        <v>26.398951263197585</v>
      </c>
      <c r="AO204">
        <v>0.59520030945984159</v>
      </c>
      <c r="AP204">
        <v>1.1738357082232742</v>
      </c>
      <c r="AQ204">
        <v>3.9574999018327555</v>
      </c>
      <c r="AR204">
        <v>0.55778836043552027</v>
      </c>
      <c r="AS204">
        <v>2.1946341403057379</v>
      </c>
      <c r="AT204" t="e">
        <v>#DIV/0!</v>
      </c>
      <c r="AU204" t="e">
        <v>#DIV/0!</v>
      </c>
      <c r="AV204"/>
      <c r="AW204"/>
      <c r="AX204" s="146"/>
      <c r="AY204" s="76" t="str">
        <f t="shared" ca="1" si="173"/>
        <v/>
      </c>
      <c r="AZ204"/>
      <c r="BA204" s="129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 s="147"/>
      <c r="CH204" s="176"/>
      <c r="CJ204" s="146"/>
      <c r="CK204" s="76" t="str">
        <f t="shared" ca="1" si="208"/>
        <v/>
      </c>
      <c r="CL204" s="179" t="str">
        <f t="shared" si="209"/>
        <v/>
      </c>
      <c r="CM204" s="180" t="str">
        <f t="shared" si="210"/>
        <v/>
      </c>
      <c r="CN204"/>
      <c r="CO204"/>
      <c r="CP204"/>
      <c r="CQ204"/>
      <c r="CR204"/>
      <c r="CS204"/>
      <c r="CT204"/>
      <c r="CU204"/>
      <c r="CV204" s="160"/>
      <c r="CW204"/>
      <c r="CX204"/>
      <c r="CY204" s="166"/>
      <c r="CZ204" s="177" t="str">
        <f t="shared" si="211"/>
        <v/>
      </c>
      <c r="DB204" s="146"/>
      <c r="DC204" s="76" t="str">
        <f t="shared" ca="1" si="174"/>
        <v/>
      </c>
      <c r="DD204" t="str">
        <f t="shared" si="212"/>
        <v/>
      </c>
      <c r="DE204" s="129" t="str">
        <f t="shared" si="338"/>
        <v/>
      </c>
      <c r="DF204" s="161" t="str">
        <f t="shared" si="285"/>
        <v/>
      </c>
      <c r="DG204" s="161" t="str">
        <f t="shared" si="286"/>
        <v/>
      </c>
      <c r="DH204" s="161" t="str">
        <f t="shared" si="287"/>
        <v/>
      </c>
      <c r="DI204" s="161" t="str">
        <f t="shared" si="288"/>
        <v/>
      </c>
      <c r="DJ204" s="161" t="str">
        <f t="shared" si="289"/>
        <v/>
      </c>
      <c r="DK204" s="161" t="str">
        <f t="shared" si="290"/>
        <v/>
      </c>
      <c r="DL204" s="161" t="str">
        <f t="shared" si="291"/>
        <v/>
      </c>
      <c r="DM204" s="161" t="str">
        <f t="shared" si="292"/>
        <v/>
      </c>
      <c r="DN204" s="161" t="str">
        <f t="shared" si="315"/>
        <v/>
      </c>
      <c r="DO204" s="161" t="str">
        <f t="shared" si="316"/>
        <v/>
      </c>
      <c r="DP204" s="161" t="str">
        <f t="shared" si="317"/>
        <v/>
      </c>
      <c r="DQ204" s="161" t="str">
        <f t="shared" si="318"/>
        <v/>
      </c>
      <c r="DR204" s="161" t="str">
        <f t="shared" si="319"/>
        <v/>
      </c>
      <c r="DS204" s="161" t="str">
        <f t="shared" si="320"/>
        <v/>
      </c>
      <c r="DT204" s="161" t="str">
        <f t="shared" si="321"/>
        <v/>
      </c>
      <c r="DU204" s="161" t="str">
        <f t="shared" si="322"/>
        <v/>
      </c>
      <c r="DV204" s="161" t="str">
        <f t="shared" si="323"/>
        <v/>
      </c>
      <c r="DW204" s="161" t="str">
        <f t="shared" si="324"/>
        <v/>
      </c>
      <c r="DX204" s="161" t="str">
        <f t="shared" si="325"/>
        <v/>
      </c>
      <c r="DY204" s="161" t="str">
        <f t="shared" si="326"/>
        <v/>
      </c>
      <c r="DZ204" s="161" t="str">
        <f t="shared" si="327"/>
        <v/>
      </c>
      <c r="EA204" s="161" t="str">
        <f t="shared" si="328"/>
        <v/>
      </c>
      <c r="EB204" s="161" t="str">
        <f t="shared" si="329"/>
        <v/>
      </c>
      <c r="EC204" s="161" t="str">
        <f t="shared" si="330"/>
        <v/>
      </c>
      <c r="ED204" s="161" t="str">
        <f t="shared" si="331"/>
        <v/>
      </c>
      <c r="EE204" s="161" t="str">
        <f t="shared" si="332"/>
        <v/>
      </c>
      <c r="EF204" s="161" t="str">
        <f t="shared" si="333"/>
        <v/>
      </c>
      <c r="EG204" s="161" t="str">
        <f t="shared" si="334"/>
        <v/>
      </c>
      <c r="EH204" s="161" t="str">
        <f t="shared" si="335"/>
        <v/>
      </c>
      <c r="EI204" s="161" t="str">
        <f t="shared" si="336"/>
        <v/>
      </c>
      <c r="EJ204" s="161" t="str">
        <f t="shared" si="337"/>
        <v/>
      </c>
      <c r="EK204" s="147" t="str">
        <f t="shared" si="251"/>
        <v/>
      </c>
      <c r="EL204" s="149"/>
      <c r="EN204" s="146"/>
      <c r="EO204" s="146"/>
      <c r="EP204" s="139" t="str">
        <f t="shared" si="252"/>
        <v/>
      </c>
      <c r="EQ204" s="139" t="str">
        <f t="shared" si="253"/>
        <v/>
      </c>
      <c r="ER204" s="139" t="str">
        <f t="shared" si="254"/>
        <v/>
      </c>
      <c r="ES204" s="139" t="str">
        <f t="shared" si="255"/>
        <v/>
      </c>
      <c r="ET204" s="139" t="str">
        <f t="shared" si="256"/>
        <v/>
      </c>
      <c r="EU204" s="139" t="str">
        <f t="shared" si="257"/>
        <v/>
      </c>
      <c r="EV204" s="139" t="str">
        <f t="shared" si="258"/>
        <v/>
      </c>
      <c r="EW204" s="139" t="str">
        <f t="shared" si="259"/>
        <v/>
      </c>
      <c r="EX204" s="139" t="str">
        <f t="shared" si="260"/>
        <v/>
      </c>
      <c r="EY204" s="139" t="str">
        <f t="shared" si="261"/>
        <v/>
      </c>
      <c r="EZ204" s="139" t="str">
        <f t="shared" si="262"/>
        <v/>
      </c>
      <c r="FA204" s="139" t="str">
        <f t="shared" si="263"/>
        <v/>
      </c>
      <c r="FB204" s="139" t="str">
        <f t="shared" si="264"/>
        <v/>
      </c>
      <c r="FC204" s="139" t="str">
        <f t="shared" si="265"/>
        <v/>
      </c>
      <c r="FD204" s="139" t="str">
        <f t="shared" si="266"/>
        <v/>
      </c>
      <c r="FE204" s="139" t="str">
        <f t="shared" si="267"/>
        <v/>
      </c>
      <c r="FF204" s="139" t="str">
        <f t="shared" si="268"/>
        <v/>
      </c>
      <c r="FG204" s="139" t="str">
        <f t="shared" si="269"/>
        <v/>
      </c>
      <c r="FH204" s="139" t="str">
        <f t="shared" si="270"/>
        <v/>
      </c>
      <c r="FI204" s="139" t="str">
        <f t="shared" si="271"/>
        <v/>
      </c>
      <c r="FJ204" s="139" t="str">
        <f t="shared" si="272"/>
        <v/>
      </c>
      <c r="FK204" s="139" t="str">
        <f t="shared" si="273"/>
        <v/>
      </c>
      <c r="FL204" s="139" t="str">
        <f t="shared" si="274"/>
        <v/>
      </c>
      <c r="FM204" s="139" t="str">
        <f t="shared" si="275"/>
        <v/>
      </c>
      <c r="FN204" s="139" t="str">
        <f t="shared" si="276"/>
        <v/>
      </c>
      <c r="FO204" s="139" t="str">
        <f t="shared" si="277"/>
        <v/>
      </c>
      <c r="FP204" s="139" t="str">
        <f t="shared" si="278"/>
        <v/>
      </c>
      <c r="FQ204" s="139" t="str">
        <f t="shared" si="279"/>
        <v/>
      </c>
      <c r="FR204" s="139" t="str">
        <f t="shared" si="280"/>
        <v/>
      </c>
      <c r="FS204" s="139" t="str">
        <f t="shared" si="281"/>
        <v/>
      </c>
      <c r="FT204" s="139" t="str">
        <f t="shared" si="282"/>
        <v/>
      </c>
      <c r="FU204" s="148" t="str">
        <f t="shared" si="283"/>
        <v/>
      </c>
      <c r="FV204" s="149"/>
      <c r="FY204" s="211">
        <v>199</v>
      </c>
      <c r="FZ204">
        <v>2.9116947879894104</v>
      </c>
      <c r="GA204">
        <v>4.2036675138382904</v>
      </c>
      <c r="GB204">
        <v>0.46231775066302039</v>
      </c>
      <c r="GC204">
        <v>0.27114255124507125</v>
      </c>
      <c r="GD204">
        <v>0.22783036820624672</v>
      </c>
      <c r="GE204">
        <v>6.4558109077649986E-2</v>
      </c>
      <c r="GF204">
        <v>0.70871433467598444</v>
      </c>
      <c r="GG204">
        <v>0.68024812515690725</v>
      </c>
      <c r="GH204">
        <v>0.17901737842465987</v>
      </c>
      <c r="GI204">
        <v>0.82935267514403987</v>
      </c>
      <c r="GJ204"/>
      <c r="GK204">
        <v>2.901926102941176</v>
      </c>
      <c r="GL204">
        <v>3.540879227941176</v>
      </c>
      <c r="GM204">
        <v>0.7584843750000001</v>
      </c>
      <c r="GN204">
        <v>0.79408526785714284</v>
      </c>
      <c r="GO204">
        <v>0.8664602678571427</v>
      </c>
      <c r="GP204">
        <v>0.12121874999999999</v>
      </c>
      <c r="GQ204">
        <v>0.85440896739130423</v>
      </c>
      <c r="GR204">
        <v>0.94629438405797084</v>
      </c>
      <c r="GS204">
        <v>0.18931690705128204</v>
      </c>
      <c r="GT204">
        <v>1.114119324048181</v>
      </c>
      <c r="GU204"/>
      <c r="GV204"/>
      <c r="GW204"/>
      <c r="GX204"/>
      <c r="GY204"/>
      <c r="GZ204"/>
      <c r="HA204"/>
      <c r="HB204"/>
      <c r="HC204"/>
    </row>
    <row r="205" spans="1:211" s="7" customFormat="1">
      <c r="A205" s="1"/>
      <c r="B205" s="76" t="str">
        <f t="shared" ca="1" si="250"/>
        <v/>
      </c>
      <c r="C205" t="s">
        <v>104</v>
      </c>
      <c r="D205" t="s">
        <v>104</v>
      </c>
      <c r="E205" t="s">
        <v>104</v>
      </c>
      <c r="F205" t="s">
        <v>104</v>
      </c>
      <c r="G205" t="s">
        <v>104</v>
      </c>
      <c r="H205" t="s">
        <v>104</v>
      </c>
      <c r="I205" t="s">
        <v>104</v>
      </c>
      <c r="J205" t="s">
        <v>104</v>
      </c>
      <c r="K205" t="s">
        <v>104</v>
      </c>
      <c r="L205" t="s">
        <v>104</v>
      </c>
      <c r="M205" t="s">
        <v>104</v>
      </c>
      <c r="N205" t="s">
        <v>104</v>
      </c>
      <c r="O205" t="s">
        <v>104</v>
      </c>
      <c r="P205" t="s">
        <v>104</v>
      </c>
      <c r="Q205" t="s">
        <v>104</v>
      </c>
      <c r="R205" t="s">
        <v>104</v>
      </c>
      <c r="S205" t="s">
        <v>104</v>
      </c>
      <c r="T205" t="s">
        <v>104</v>
      </c>
      <c r="U205" t="s">
        <v>104</v>
      </c>
      <c r="V205" t="s">
        <v>104</v>
      </c>
      <c r="W205" t="s">
        <v>104</v>
      </c>
      <c r="X205" t="s">
        <v>104</v>
      </c>
      <c r="Y205" t="s">
        <v>104</v>
      </c>
      <c r="Z205" t="s">
        <v>104</v>
      </c>
      <c r="AA205" t="s">
        <v>104</v>
      </c>
      <c r="AB205" t="s">
        <v>104</v>
      </c>
      <c r="AC205" t="s">
        <v>104</v>
      </c>
      <c r="AD205" t="s">
        <v>104</v>
      </c>
      <c r="AE205" t="s">
        <v>104</v>
      </c>
      <c r="AF205" t="s">
        <v>104</v>
      </c>
      <c r="AG205" t="s">
        <v>104</v>
      </c>
      <c r="AH205" t="s">
        <v>104</v>
      </c>
      <c r="AI205" t="s">
        <v>104</v>
      </c>
      <c r="AJ205" s="2"/>
      <c r="AK205" s="80"/>
      <c r="AL205" s="74"/>
      <c r="AM205" s="43">
        <v>189</v>
      </c>
      <c r="AN205">
        <v>47.654342074994254</v>
      </c>
      <c r="AO205">
        <v>0.91145717184264985</v>
      </c>
      <c r="AP205">
        <v>0.7719118683235402</v>
      </c>
      <c r="AQ205">
        <v>6.4994091378837791</v>
      </c>
      <c r="AR205">
        <v>0.8611968607660454</v>
      </c>
      <c r="AS205">
        <v>4.2607879181040742</v>
      </c>
      <c r="AT205" t="e">
        <v>#DIV/0!</v>
      </c>
      <c r="AU205" t="e">
        <v>#DIV/0!</v>
      </c>
      <c r="AV205"/>
      <c r="AW205"/>
      <c r="AX205" s="146"/>
      <c r="AY205" s="76" t="str">
        <f t="shared" ca="1" si="173"/>
        <v/>
      </c>
      <c r="AZ205"/>
      <c r="BA205" s="129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 s="147"/>
      <c r="CH205" s="176"/>
      <c r="CJ205" s="146"/>
      <c r="CK205" s="76" t="str">
        <f t="shared" ca="1" si="208"/>
        <v/>
      </c>
      <c r="CL205" s="179" t="str">
        <f t="shared" si="209"/>
        <v/>
      </c>
      <c r="CM205" s="180" t="str">
        <f t="shared" si="210"/>
        <v/>
      </c>
      <c r="CN205"/>
      <c r="CO205"/>
      <c r="CP205"/>
      <c r="CQ205"/>
      <c r="CR205"/>
      <c r="CS205"/>
      <c r="CT205"/>
      <c r="CU205"/>
      <c r="CV205" s="160"/>
      <c r="CW205"/>
      <c r="CX205"/>
      <c r="CY205" s="166"/>
      <c r="CZ205" s="177" t="str">
        <f t="shared" si="211"/>
        <v/>
      </c>
      <c r="DB205" s="146"/>
      <c r="DC205" s="76" t="str">
        <f t="shared" ca="1" si="174"/>
        <v/>
      </c>
      <c r="DD205" t="str">
        <f t="shared" si="212"/>
        <v/>
      </c>
      <c r="DE205" s="129" t="str">
        <f t="shared" si="338"/>
        <v/>
      </c>
      <c r="DF205" s="161" t="str">
        <f t="shared" si="285"/>
        <v/>
      </c>
      <c r="DG205" s="161" t="str">
        <f t="shared" si="286"/>
        <v/>
      </c>
      <c r="DH205" s="161" t="str">
        <f t="shared" si="287"/>
        <v/>
      </c>
      <c r="DI205" s="161" t="str">
        <f t="shared" si="288"/>
        <v/>
      </c>
      <c r="DJ205" s="161" t="str">
        <f t="shared" si="289"/>
        <v/>
      </c>
      <c r="DK205" s="161" t="str">
        <f t="shared" si="290"/>
        <v/>
      </c>
      <c r="DL205" s="161" t="str">
        <f t="shared" si="291"/>
        <v/>
      </c>
      <c r="DM205" s="161" t="str">
        <f t="shared" si="292"/>
        <v/>
      </c>
      <c r="DN205" s="161" t="str">
        <f t="shared" si="315"/>
        <v/>
      </c>
      <c r="DO205" s="161" t="str">
        <f t="shared" si="316"/>
        <v/>
      </c>
      <c r="DP205" s="161" t="str">
        <f t="shared" si="317"/>
        <v/>
      </c>
      <c r="DQ205" s="161" t="str">
        <f t="shared" si="318"/>
        <v/>
      </c>
      <c r="DR205" s="161" t="str">
        <f t="shared" si="319"/>
        <v/>
      </c>
      <c r="DS205" s="161" t="str">
        <f t="shared" si="320"/>
        <v/>
      </c>
      <c r="DT205" s="161" t="str">
        <f t="shared" si="321"/>
        <v/>
      </c>
      <c r="DU205" s="161" t="str">
        <f t="shared" si="322"/>
        <v/>
      </c>
      <c r="DV205" s="161" t="str">
        <f t="shared" si="323"/>
        <v/>
      </c>
      <c r="DW205" s="161" t="str">
        <f t="shared" si="324"/>
        <v/>
      </c>
      <c r="DX205" s="161" t="str">
        <f t="shared" si="325"/>
        <v/>
      </c>
      <c r="DY205" s="161" t="str">
        <f t="shared" si="326"/>
        <v/>
      </c>
      <c r="DZ205" s="161" t="str">
        <f t="shared" si="327"/>
        <v/>
      </c>
      <c r="EA205" s="161" t="str">
        <f t="shared" si="328"/>
        <v/>
      </c>
      <c r="EB205" s="161" t="str">
        <f t="shared" si="329"/>
        <v/>
      </c>
      <c r="EC205" s="161" t="str">
        <f t="shared" si="330"/>
        <v/>
      </c>
      <c r="ED205" s="161" t="str">
        <f t="shared" si="331"/>
        <v/>
      </c>
      <c r="EE205" s="161" t="str">
        <f t="shared" si="332"/>
        <v/>
      </c>
      <c r="EF205" s="161" t="str">
        <f t="shared" si="333"/>
        <v/>
      </c>
      <c r="EG205" s="161" t="str">
        <f t="shared" si="334"/>
        <v/>
      </c>
      <c r="EH205" s="161" t="str">
        <f t="shared" si="335"/>
        <v/>
      </c>
      <c r="EI205" s="161" t="str">
        <f t="shared" si="336"/>
        <v/>
      </c>
      <c r="EJ205" s="161" t="str">
        <f t="shared" si="337"/>
        <v/>
      </c>
      <c r="EK205" s="147" t="str">
        <f t="shared" si="251"/>
        <v/>
      </c>
      <c r="EL205" s="149"/>
      <c r="EN205" s="146"/>
      <c r="EO205" s="146"/>
      <c r="EP205" s="139" t="str">
        <f t="shared" si="252"/>
        <v/>
      </c>
      <c r="EQ205" s="139" t="str">
        <f t="shared" si="253"/>
        <v/>
      </c>
      <c r="ER205" s="139" t="str">
        <f t="shared" si="254"/>
        <v/>
      </c>
      <c r="ES205" s="139" t="str">
        <f t="shared" si="255"/>
        <v/>
      </c>
      <c r="ET205" s="139" t="str">
        <f t="shared" si="256"/>
        <v/>
      </c>
      <c r="EU205" s="139" t="str">
        <f t="shared" si="257"/>
        <v/>
      </c>
      <c r="EV205" s="139" t="str">
        <f t="shared" si="258"/>
        <v/>
      </c>
      <c r="EW205" s="139" t="str">
        <f t="shared" si="259"/>
        <v/>
      </c>
      <c r="EX205" s="139" t="str">
        <f t="shared" si="260"/>
        <v/>
      </c>
      <c r="EY205" s="139" t="str">
        <f t="shared" si="261"/>
        <v/>
      </c>
      <c r="EZ205" s="139" t="str">
        <f t="shared" si="262"/>
        <v/>
      </c>
      <c r="FA205" s="139" t="str">
        <f t="shared" si="263"/>
        <v/>
      </c>
      <c r="FB205" s="139" t="str">
        <f t="shared" si="264"/>
        <v/>
      </c>
      <c r="FC205" s="139" t="str">
        <f t="shared" si="265"/>
        <v/>
      </c>
      <c r="FD205" s="139" t="str">
        <f t="shared" si="266"/>
        <v/>
      </c>
      <c r="FE205" s="139" t="str">
        <f t="shared" si="267"/>
        <v/>
      </c>
      <c r="FF205" s="139" t="str">
        <f t="shared" si="268"/>
        <v/>
      </c>
      <c r="FG205" s="139" t="str">
        <f t="shared" si="269"/>
        <v/>
      </c>
      <c r="FH205" s="139" t="str">
        <f t="shared" si="270"/>
        <v/>
      </c>
      <c r="FI205" s="139" t="str">
        <f t="shared" si="271"/>
        <v/>
      </c>
      <c r="FJ205" s="139" t="str">
        <f t="shared" si="272"/>
        <v/>
      </c>
      <c r="FK205" s="139" t="str">
        <f t="shared" si="273"/>
        <v/>
      </c>
      <c r="FL205" s="139" t="str">
        <f t="shared" si="274"/>
        <v/>
      </c>
      <c r="FM205" s="139" t="str">
        <f t="shared" si="275"/>
        <v/>
      </c>
      <c r="FN205" s="139" t="str">
        <f t="shared" si="276"/>
        <v/>
      </c>
      <c r="FO205" s="139" t="str">
        <f t="shared" si="277"/>
        <v/>
      </c>
      <c r="FP205" s="139" t="str">
        <f t="shared" si="278"/>
        <v/>
      </c>
      <c r="FQ205" s="139" t="str">
        <f t="shared" si="279"/>
        <v/>
      </c>
      <c r="FR205" s="139" t="str">
        <f t="shared" si="280"/>
        <v/>
      </c>
      <c r="FS205" s="139" t="str">
        <f t="shared" si="281"/>
        <v/>
      </c>
      <c r="FT205" s="139" t="str">
        <f t="shared" si="282"/>
        <v/>
      </c>
      <c r="FU205" s="148" t="str">
        <f t="shared" si="283"/>
        <v/>
      </c>
      <c r="FV205" s="149"/>
      <c r="FY205" s="211">
        <v>200</v>
      </c>
      <c r="FZ205">
        <v>1.8682833311945304</v>
      </c>
      <c r="GA205">
        <v>2.6227384993052061</v>
      </c>
      <c r="GB205">
        <v>0.3087685385111637</v>
      </c>
      <c r="GC205">
        <v>9.1207271143106242E-2</v>
      </c>
      <c r="GD205">
        <v>0.11305867391236604</v>
      </c>
      <c r="GE205">
        <v>0.13875199176824998</v>
      </c>
      <c r="GF205">
        <v>8.1038194822856249E-2</v>
      </c>
      <c r="GG205">
        <v>0.20232763375256249</v>
      </c>
      <c r="GH205">
        <v>0.28907754934304869</v>
      </c>
      <c r="GI205">
        <v>0.47669269231045508</v>
      </c>
      <c r="GJ205"/>
      <c r="GK205">
        <v>1.8617755514705883</v>
      </c>
      <c r="GL205">
        <v>2.2086857077205879</v>
      </c>
      <c r="GM205">
        <v>0.50628515625000003</v>
      </c>
      <c r="GN205">
        <v>0.26735491071428569</v>
      </c>
      <c r="GO205">
        <v>0.4301986607142857</v>
      </c>
      <c r="GP205">
        <v>0.26053124999999999</v>
      </c>
      <c r="GQ205">
        <v>9.768750000000001E-2</v>
      </c>
      <c r="GR205">
        <v>0.28145833333333331</v>
      </c>
      <c r="GS205">
        <v>0.30575220352564103</v>
      </c>
      <c r="GT205">
        <v>0.64033981439210297</v>
      </c>
      <c r="GU205"/>
      <c r="GV205"/>
      <c r="GW205"/>
      <c r="GX205"/>
      <c r="GY205"/>
      <c r="GZ205"/>
      <c r="HA205"/>
      <c r="HB205"/>
      <c r="HC205"/>
    </row>
    <row r="206" spans="1:211" s="7" customFormat="1">
      <c r="A206" s="1"/>
      <c r="B206" s="76" t="str">
        <f t="shared" ca="1" si="250"/>
        <v/>
      </c>
      <c r="C206" t="s">
        <v>104</v>
      </c>
      <c r="D206" t="s">
        <v>104</v>
      </c>
      <c r="E206" t="s">
        <v>104</v>
      </c>
      <c r="F206" t="s">
        <v>104</v>
      </c>
      <c r="G206" t="s">
        <v>104</v>
      </c>
      <c r="H206" t="s">
        <v>104</v>
      </c>
      <c r="I206" t="s">
        <v>104</v>
      </c>
      <c r="J206" t="s">
        <v>104</v>
      </c>
      <c r="K206" t="s">
        <v>104</v>
      </c>
      <c r="L206" t="s">
        <v>104</v>
      </c>
      <c r="M206" t="s">
        <v>104</v>
      </c>
      <c r="N206" t="s">
        <v>104</v>
      </c>
      <c r="O206" t="s">
        <v>104</v>
      </c>
      <c r="P206" t="s">
        <v>104</v>
      </c>
      <c r="Q206" t="s">
        <v>104</v>
      </c>
      <c r="R206" t="s">
        <v>104</v>
      </c>
      <c r="S206" t="s">
        <v>104</v>
      </c>
      <c r="T206" t="s">
        <v>104</v>
      </c>
      <c r="U206" t="s">
        <v>104</v>
      </c>
      <c r="V206" t="s">
        <v>104</v>
      </c>
      <c r="W206" t="s">
        <v>104</v>
      </c>
      <c r="X206" t="s">
        <v>104</v>
      </c>
      <c r="Y206" t="s">
        <v>104</v>
      </c>
      <c r="Z206" t="s">
        <v>104</v>
      </c>
      <c r="AA206" t="s">
        <v>104</v>
      </c>
      <c r="AB206" t="s">
        <v>104</v>
      </c>
      <c r="AC206" t="s">
        <v>104</v>
      </c>
      <c r="AD206" t="s">
        <v>104</v>
      </c>
      <c r="AE206" t="s">
        <v>104</v>
      </c>
      <c r="AF206" t="s">
        <v>104</v>
      </c>
      <c r="AG206" t="s">
        <v>104</v>
      </c>
      <c r="AH206" t="s">
        <v>104</v>
      </c>
      <c r="AI206" t="s">
        <v>104</v>
      </c>
      <c r="AJ206" s="2"/>
      <c r="AK206" s="80"/>
      <c r="AL206" s="74"/>
      <c r="AM206" s="43">
        <v>190</v>
      </c>
      <c r="AN206">
        <v>36.222739820565906</v>
      </c>
      <c r="AO206">
        <v>0.73371586568323</v>
      </c>
      <c r="AP206">
        <v>10.048829016591455</v>
      </c>
      <c r="AQ206">
        <v>5.6798374060707442</v>
      </c>
      <c r="AR206">
        <v>0.67788090062111794</v>
      </c>
      <c r="AS206">
        <v>3.1115499178588086</v>
      </c>
      <c r="AT206" t="e">
        <v>#DIV/0!</v>
      </c>
      <c r="AU206" t="e">
        <v>#DIV/0!</v>
      </c>
      <c r="AV206"/>
      <c r="AW206"/>
      <c r="AX206" s="146"/>
      <c r="AY206" s="76" t="str">
        <f t="shared" ca="1" si="173"/>
        <v/>
      </c>
      <c r="AZ206"/>
      <c r="BA206" s="129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 s="147"/>
      <c r="CH206" s="176"/>
      <c r="CJ206" s="146"/>
      <c r="CK206" s="76" t="str">
        <f t="shared" ca="1" si="208"/>
        <v/>
      </c>
      <c r="CL206" s="179" t="str">
        <f t="shared" si="209"/>
        <v/>
      </c>
      <c r="CM206" s="180" t="str">
        <f t="shared" si="210"/>
        <v/>
      </c>
      <c r="CN206"/>
      <c r="CO206"/>
      <c r="CP206"/>
      <c r="CQ206"/>
      <c r="CR206"/>
      <c r="CS206"/>
      <c r="CT206"/>
      <c r="CU206"/>
      <c r="CV206" s="160"/>
      <c r="CW206"/>
      <c r="CX206"/>
      <c r="CY206" s="166"/>
      <c r="CZ206" s="177" t="str">
        <f t="shared" si="211"/>
        <v/>
      </c>
      <c r="DB206" s="146"/>
      <c r="DC206" s="76" t="str">
        <f t="shared" ca="1" si="174"/>
        <v/>
      </c>
      <c r="DD206" t="str">
        <f t="shared" si="212"/>
        <v/>
      </c>
      <c r="DE206" s="129" t="str">
        <f t="shared" si="338"/>
        <v/>
      </c>
      <c r="DF206" s="161" t="str">
        <f t="shared" si="285"/>
        <v/>
      </c>
      <c r="DG206" s="161" t="str">
        <f t="shared" si="286"/>
        <v/>
      </c>
      <c r="DH206" s="161" t="str">
        <f t="shared" si="287"/>
        <v/>
      </c>
      <c r="DI206" s="161" t="str">
        <f t="shared" si="288"/>
        <v/>
      </c>
      <c r="DJ206" s="161" t="str">
        <f t="shared" si="289"/>
        <v/>
      </c>
      <c r="DK206" s="161" t="str">
        <f t="shared" si="290"/>
        <v/>
      </c>
      <c r="DL206" s="161" t="str">
        <f t="shared" si="291"/>
        <v/>
      </c>
      <c r="DM206" s="161" t="str">
        <f t="shared" si="292"/>
        <v/>
      </c>
      <c r="DN206" s="161" t="str">
        <f t="shared" si="315"/>
        <v/>
      </c>
      <c r="DO206" s="161" t="str">
        <f t="shared" si="316"/>
        <v/>
      </c>
      <c r="DP206" s="161" t="str">
        <f t="shared" si="317"/>
        <v/>
      </c>
      <c r="DQ206" s="161" t="str">
        <f t="shared" si="318"/>
        <v/>
      </c>
      <c r="DR206" s="161" t="str">
        <f t="shared" si="319"/>
        <v/>
      </c>
      <c r="DS206" s="161" t="str">
        <f t="shared" si="320"/>
        <v/>
      </c>
      <c r="DT206" s="161" t="str">
        <f t="shared" si="321"/>
        <v/>
      </c>
      <c r="DU206" s="161" t="str">
        <f t="shared" si="322"/>
        <v/>
      </c>
      <c r="DV206" s="161" t="str">
        <f t="shared" si="323"/>
        <v/>
      </c>
      <c r="DW206" s="161" t="str">
        <f t="shared" si="324"/>
        <v/>
      </c>
      <c r="DX206" s="161" t="str">
        <f t="shared" si="325"/>
        <v/>
      </c>
      <c r="DY206" s="161" t="str">
        <f t="shared" si="326"/>
        <v/>
      </c>
      <c r="DZ206" s="161" t="str">
        <f t="shared" si="327"/>
        <v/>
      </c>
      <c r="EA206" s="161" t="str">
        <f t="shared" si="328"/>
        <v/>
      </c>
      <c r="EB206" s="161" t="str">
        <f t="shared" si="329"/>
        <v/>
      </c>
      <c r="EC206" s="161" t="str">
        <f t="shared" si="330"/>
        <v/>
      </c>
      <c r="ED206" s="161" t="str">
        <f t="shared" si="331"/>
        <v/>
      </c>
      <c r="EE206" s="161" t="str">
        <f t="shared" si="332"/>
        <v/>
      </c>
      <c r="EF206" s="161" t="str">
        <f t="shared" si="333"/>
        <v/>
      </c>
      <c r="EG206" s="161" t="str">
        <f t="shared" si="334"/>
        <v/>
      </c>
      <c r="EH206" s="161" t="str">
        <f t="shared" si="335"/>
        <v/>
      </c>
      <c r="EI206" s="161" t="str">
        <f t="shared" si="336"/>
        <v/>
      </c>
      <c r="EJ206" s="161" t="str">
        <f t="shared" si="337"/>
        <v/>
      </c>
      <c r="EK206" s="147" t="str">
        <f t="shared" si="251"/>
        <v/>
      </c>
      <c r="EL206" s="149"/>
      <c r="EN206" s="146"/>
      <c r="EO206" s="146"/>
      <c r="EP206" s="139" t="str">
        <f t="shared" si="252"/>
        <v/>
      </c>
      <c r="EQ206" s="139" t="str">
        <f t="shared" si="253"/>
        <v/>
      </c>
      <c r="ER206" s="139" t="str">
        <f t="shared" si="254"/>
        <v/>
      </c>
      <c r="ES206" s="139" t="str">
        <f t="shared" si="255"/>
        <v/>
      </c>
      <c r="ET206" s="139" t="str">
        <f t="shared" si="256"/>
        <v/>
      </c>
      <c r="EU206" s="139" t="str">
        <f t="shared" si="257"/>
        <v/>
      </c>
      <c r="EV206" s="139" t="str">
        <f t="shared" si="258"/>
        <v/>
      </c>
      <c r="EW206" s="139" t="str">
        <f t="shared" si="259"/>
        <v/>
      </c>
      <c r="EX206" s="139" t="str">
        <f t="shared" si="260"/>
        <v/>
      </c>
      <c r="EY206" s="139" t="str">
        <f t="shared" si="261"/>
        <v/>
      </c>
      <c r="EZ206" s="139" t="str">
        <f t="shared" si="262"/>
        <v/>
      </c>
      <c r="FA206" s="139" t="str">
        <f t="shared" si="263"/>
        <v/>
      </c>
      <c r="FB206" s="139" t="str">
        <f t="shared" si="264"/>
        <v/>
      </c>
      <c r="FC206" s="139" t="str">
        <f t="shared" si="265"/>
        <v/>
      </c>
      <c r="FD206" s="139" t="str">
        <f t="shared" si="266"/>
        <v/>
      </c>
      <c r="FE206" s="139" t="str">
        <f t="shared" si="267"/>
        <v/>
      </c>
      <c r="FF206" s="139" t="str">
        <f t="shared" si="268"/>
        <v/>
      </c>
      <c r="FG206" s="139" t="str">
        <f t="shared" si="269"/>
        <v/>
      </c>
      <c r="FH206" s="139" t="str">
        <f t="shared" si="270"/>
        <v/>
      </c>
      <c r="FI206" s="139" t="str">
        <f t="shared" si="271"/>
        <v/>
      </c>
      <c r="FJ206" s="139" t="str">
        <f t="shared" si="272"/>
        <v/>
      </c>
      <c r="FK206" s="139" t="str">
        <f t="shared" si="273"/>
        <v/>
      </c>
      <c r="FL206" s="139" t="str">
        <f t="shared" si="274"/>
        <v/>
      </c>
      <c r="FM206" s="139" t="str">
        <f t="shared" si="275"/>
        <v/>
      </c>
      <c r="FN206" s="139" t="str">
        <f t="shared" si="276"/>
        <v/>
      </c>
      <c r="FO206" s="139" t="str">
        <f t="shared" si="277"/>
        <v/>
      </c>
      <c r="FP206" s="139" t="str">
        <f t="shared" si="278"/>
        <v/>
      </c>
      <c r="FQ206" s="139" t="str">
        <f t="shared" si="279"/>
        <v/>
      </c>
      <c r="FR206" s="139" t="str">
        <f t="shared" si="280"/>
        <v/>
      </c>
      <c r="FS206" s="139" t="str">
        <f t="shared" si="281"/>
        <v/>
      </c>
      <c r="FT206" s="139" t="str">
        <f t="shared" si="282"/>
        <v/>
      </c>
      <c r="FU206" s="148" t="str">
        <f t="shared" si="283"/>
        <v/>
      </c>
      <c r="FV206" s="149"/>
      <c r="FY206" s="211">
        <v>201</v>
      </c>
      <c r="FZ206">
        <v>0.57408119039367556</v>
      </c>
      <c r="GA206">
        <v>1.0265202724069729</v>
      </c>
      <c r="GB206">
        <v>0.89587985696306716</v>
      </c>
      <c r="GC206">
        <v>0.87074011463002765</v>
      </c>
      <c r="GD206">
        <v>0.38956189851751177</v>
      </c>
      <c r="GE206">
        <v>4.0468675045275002E-2</v>
      </c>
      <c r="GF206">
        <v>0.5344786465355188</v>
      </c>
      <c r="GG206">
        <v>0.52933036966390667</v>
      </c>
      <c r="GH206">
        <v>0.17901737842465987</v>
      </c>
      <c r="GI206">
        <v>0.64894542160074487</v>
      </c>
      <c r="GJ206"/>
      <c r="GK206">
        <v>0.57193124999999989</v>
      </c>
      <c r="GL206">
        <v>0.86412656249999997</v>
      </c>
      <c r="GM206">
        <v>1.4705298295454543</v>
      </c>
      <c r="GN206">
        <v>2.5531729099025977</v>
      </c>
      <c r="GO206">
        <v>1.4816665178571429</v>
      </c>
      <c r="GP206">
        <v>7.5984375000000007E-2</v>
      </c>
      <c r="GQ206">
        <v>0.64475135869565214</v>
      </c>
      <c r="GR206">
        <v>0.73663677536231864</v>
      </c>
      <c r="GS206">
        <v>0.18931690705128204</v>
      </c>
      <c r="GT206">
        <v>0.8716391726299062</v>
      </c>
      <c r="GU206"/>
      <c r="GV206"/>
      <c r="GW206"/>
      <c r="GX206"/>
      <c r="GY206"/>
      <c r="GZ206"/>
      <c r="HA206"/>
      <c r="HB206"/>
      <c r="HC206"/>
    </row>
    <row r="207" spans="1:211" s="7" customFormat="1">
      <c r="A207" s="1"/>
      <c r="B207" s="76" t="str">
        <f t="shared" ca="1" si="250"/>
        <v/>
      </c>
      <c r="C207" t="s">
        <v>104</v>
      </c>
      <c r="D207" t="s">
        <v>104</v>
      </c>
      <c r="E207" t="s">
        <v>104</v>
      </c>
      <c r="F207" t="s">
        <v>104</v>
      </c>
      <c r="G207" t="s">
        <v>104</v>
      </c>
      <c r="H207" t="s">
        <v>104</v>
      </c>
      <c r="I207" t="s">
        <v>104</v>
      </c>
      <c r="J207" t="s">
        <v>104</v>
      </c>
      <c r="K207" t="s">
        <v>104</v>
      </c>
      <c r="L207" t="s">
        <v>104</v>
      </c>
      <c r="M207" t="s">
        <v>104</v>
      </c>
      <c r="N207" t="s">
        <v>104</v>
      </c>
      <c r="O207" t="s">
        <v>104</v>
      </c>
      <c r="P207" t="s">
        <v>104</v>
      </c>
      <c r="Q207" t="s">
        <v>104</v>
      </c>
      <c r="R207" t="s">
        <v>104</v>
      </c>
      <c r="S207" t="s">
        <v>104</v>
      </c>
      <c r="T207" t="s">
        <v>104</v>
      </c>
      <c r="U207" t="s">
        <v>104</v>
      </c>
      <c r="V207" t="s">
        <v>104</v>
      </c>
      <c r="W207" t="s">
        <v>104</v>
      </c>
      <c r="X207" t="s">
        <v>104</v>
      </c>
      <c r="Y207" t="s">
        <v>104</v>
      </c>
      <c r="Z207" t="s">
        <v>104</v>
      </c>
      <c r="AA207" t="s">
        <v>104</v>
      </c>
      <c r="AB207" t="s">
        <v>104</v>
      </c>
      <c r="AC207" t="s">
        <v>104</v>
      </c>
      <c r="AD207" t="s">
        <v>104</v>
      </c>
      <c r="AE207" t="s">
        <v>104</v>
      </c>
      <c r="AF207" t="s">
        <v>104</v>
      </c>
      <c r="AG207" t="s">
        <v>104</v>
      </c>
      <c r="AH207" t="s">
        <v>104</v>
      </c>
      <c r="AI207" t="s">
        <v>104</v>
      </c>
      <c r="AJ207" s="2"/>
      <c r="AK207" s="80"/>
      <c r="AL207" s="74"/>
      <c r="AM207" s="43">
        <v>191</v>
      </c>
      <c r="AN207">
        <v>42.97172415254655</v>
      </c>
      <c r="AO207">
        <v>0.97017812454783336</v>
      </c>
      <c r="AP207">
        <v>10.325266350126704</v>
      </c>
      <c r="AQ207">
        <v>6.7008544176219527</v>
      </c>
      <c r="AR207">
        <v>0.89143296506096736</v>
      </c>
      <c r="AS207">
        <v>3.6620953654605728</v>
      </c>
      <c r="AT207" t="e">
        <v>#DIV/0!</v>
      </c>
      <c r="AU207" t="e">
        <v>#DIV/0!</v>
      </c>
      <c r="AV207"/>
      <c r="AW207"/>
      <c r="AX207" s="146"/>
      <c r="AY207" s="76" t="str">
        <f t="shared" ca="1" si="173"/>
        <v/>
      </c>
      <c r="AZ207"/>
      <c r="BA207" s="129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 s="147"/>
      <c r="CH207" s="176"/>
      <c r="CJ207" s="146"/>
      <c r="CK207" s="76" t="str">
        <f t="shared" ca="1" si="208"/>
        <v/>
      </c>
      <c r="CL207" s="179" t="str">
        <f t="shared" si="209"/>
        <v/>
      </c>
      <c r="CM207" s="180" t="str">
        <f t="shared" si="210"/>
        <v/>
      </c>
      <c r="CN207"/>
      <c r="CO207"/>
      <c r="CP207"/>
      <c r="CQ207"/>
      <c r="CR207"/>
      <c r="CS207"/>
      <c r="CT207"/>
      <c r="CU207"/>
      <c r="CV207" s="160"/>
      <c r="CW207"/>
      <c r="CX207"/>
      <c r="CY207" s="167"/>
      <c r="CZ207" s="177" t="str">
        <f t="shared" si="211"/>
        <v/>
      </c>
      <c r="DB207" s="146"/>
      <c r="DC207" s="76" t="str">
        <f t="shared" ca="1" si="174"/>
        <v/>
      </c>
      <c r="DD207" t="str">
        <f t="shared" si="212"/>
        <v/>
      </c>
      <c r="DE207" s="129" t="str">
        <f t="shared" si="338"/>
        <v/>
      </c>
      <c r="DF207" s="161" t="str">
        <f t="shared" si="285"/>
        <v/>
      </c>
      <c r="DG207" s="161" t="str">
        <f t="shared" si="286"/>
        <v/>
      </c>
      <c r="DH207" s="161" t="str">
        <f t="shared" si="287"/>
        <v/>
      </c>
      <c r="DI207" s="161" t="str">
        <f t="shared" si="288"/>
        <v/>
      </c>
      <c r="DJ207" s="161" t="str">
        <f t="shared" si="289"/>
        <v/>
      </c>
      <c r="DK207" s="161" t="str">
        <f t="shared" si="290"/>
        <v/>
      </c>
      <c r="DL207" s="161" t="str">
        <f t="shared" si="291"/>
        <v/>
      </c>
      <c r="DM207" s="161" t="str">
        <f t="shared" si="292"/>
        <v/>
      </c>
      <c r="DN207" s="161" t="str">
        <f t="shared" si="315"/>
        <v/>
      </c>
      <c r="DO207" s="161" t="str">
        <f t="shared" ref="DO207:EJ207" si="339">IF($AZ207="", "", (BK207*$CW207)/$CZ207)</f>
        <v/>
      </c>
      <c r="DP207" s="161" t="str">
        <f t="shared" si="339"/>
        <v/>
      </c>
      <c r="DQ207" s="161" t="str">
        <f t="shared" si="339"/>
        <v/>
      </c>
      <c r="DR207" s="161" t="str">
        <f t="shared" si="339"/>
        <v/>
      </c>
      <c r="DS207" s="161" t="str">
        <f t="shared" si="339"/>
        <v/>
      </c>
      <c r="DT207" s="161" t="str">
        <f t="shared" si="339"/>
        <v/>
      </c>
      <c r="DU207" s="161" t="str">
        <f t="shared" si="339"/>
        <v/>
      </c>
      <c r="DV207" s="161" t="str">
        <f t="shared" si="339"/>
        <v/>
      </c>
      <c r="DW207" s="161" t="str">
        <f t="shared" si="339"/>
        <v/>
      </c>
      <c r="DX207" s="161" t="str">
        <f t="shared" si="339"/>
        <v/>
      </c>
      <c r="DY207" s="161" t="str">
        <f t="shared" si="339"/>
        <v/>
      </c>
      <c r="DZ207" s="161" t="str">
        <f t="shared" si="339"/>
        <v/>
      </c>
      <c r="EA207" s="161" t="str">
        <f t="shared" si="339"/>
        <v/>
      </c>
      <c r="EB207" s="161" t="str">
        <f t="shared" si="339"/>
        <v/>
      </c>
      <c r="EC207" s="161" t="str">
        <f t="shared" si="339"/>
        <v/>
      </c>
      <c r="ED207" s="161" t="str">
        <f t="shared" si="339"/>
        <v/>
      </c>
      <c r="EE207" s="161" t="str">
        <f t="shared" si="339"/>
        <v/>
      </c>
      <c r="EF207" s="161" t="str">
        <f t="shared" si="339"/>
        <v/>
      </c>
      <c r="EG207" s="161" t="str">
        <f t="shared" si="339"/>
        <v/>
      </c>
      <c r="EH207" s="161" t="str">
        <f t="shared" si="339"/>
        <v/>
      </c>
      <c r="EI207" s="161" t="str">
        <f t="shared" si="339"/>
        <v/>
      </c>
      <c r="EJ207" s="161" t="str">
        <f t="shared" si="339"/>
        <v/>
      </c>
      <c r="EK207" s="147" t="str">
        <f t="shared" si="251"/>
        <v/>
      </c>
      <c r="EL207" s="149"/>
      <c r="EN207" s="146"/>
      <c r="EO207" s="146"/>
      <c r="EP207" s="139" t="str">
        <f t="shared" si="252"/>
        <v/>
      </c>
      <c r="EQ207" s="139" t="str">
        <f t="shared" si="253"/>
        <v/>
      </c>
      <c r="ER207" s="139" t="str">
        <f t="shared" si="254"/>
        <v/>
      </c>
      <c r="ES207" s="139" t="str">
        <f t="shared" si="255"/>
        <v/>
      </c>
      <c r="ET207" s="139" t="str">
        <f t="shared" si="256"/>
        <v/>
      </c>
      <c r="EU207" s="139" t="str">
        <f t="shared" si="257"/>
        <v/>
      </c>
      <c r="EV207" s="139" t="str">
        <f t="shared" si="258"/>
        <v/>
      </c>
      <c r="EW207" s="139" t="str">
        <f t="shared" si="259"/>
        <v/>
      </c>
      <c r="EX207" s="139" t="str">
        <f t="shared" si="260"/>
        <v/>
      </c>
      <c r="EY207" s="139" t="str">
        <f t="shared" si="261"/>
        <v/>
      </c>
      <c r="EZ207" s="139" t="str">
        <f t="shared" si="262"/>
        <v/>
      </c>
      <c r="FA207" s="139" t="str">
        <f t="shared" si="263"/>
        <v/>
      </c>
      <c r="FB207" s="139" t="str">
        <f t="shared" si="264"/>
        <v/>
      </c>
      <c r="FC207" s="139" t="str">
        <f t="shared" si="265"/>
        <v/>
      </c>
      <c r="FD207" s="139" t="str">
        <f t="shared" si="266"/>
        <v/>
      </c>
      <c r="FE207" s="139" t="str">
        <f t="shared" si="267"/>
        <v/>
      </c>
      <c r="FF207" s="139" t="str">
        <f t="shared" si="268"/>
        <v/>
      </c>
      <c r="FG207" s="139" t="str">
        <f t="shared" si="269"/>
        <v/>
      </c>
      <c r="FH207" s="139" t="str">
        <f t="shared" si="270"/>
        <v/>
      </c>
      <c r="FI207" s="139" t="str">
        <f t="shared" si="271"/>
        <v/>
      </c>
      <c r="FJ207" s="139" t="str">
        <f t="shared" si="272"/>
        <v/>
      </c>
      <c r="FK207" s="139" t="str">
        <f t="shared" si="273"/>
        <v/>
      </c>
      <c r="FL207" s="139" t="str">
        <f t="shared" si="274"/>
        <v/>
      </c>
      <c r="FM207" s="139" t="str">
        <f t="shared" si="275"/>
        <v/>
      </c>
      <c r="FN207" s="139" t="str">
        <f t="shared" si="276"/>
        <v/>
      </c>
      <c r="FO207" s="139" t="str">
        <f t="shared" si="277"/>
        <v/>
      </c>
      <c r="FP207" s="139" t="str">
        <f t="shared" si="278"/>
        <v/>
      </c>
      <c r="FQ207" s="139" t="str">
        <f t="shared" si="279"/>
        <v/>
      </c>
      <c r="FR207" s="139" t="str">
        <f t="shared" si="280"/>
        <v/>
      </c>
      <c r="FS207" s="139" t="str">
        <f t="shared" si="281"/>
        <v/>
      </c>
      <c r="FT207" s="139" t="str">
        <f t="shared" si="282"/>
        <v/>
      </c>
      <c r="FU207" s="148" t="str">
        <f t="shared" si="283"/>
        <v/>
      </c>
      <c r="FV207" s="149"/>
      <c r="FY207" s="211">
        <v>202</v>
      </c>
      <c r="FZ207">
        <v>0.36518215119445963</v>
      </c>
      <c r="GA207">
        <v>0.9716421833328619</v>
      </c>
      <c r="GB207">
        <v>1.0647791409243306</v>
      </c>
      <c r="GC207">
        <v>0.87368531407432126</v>
      </c>
      <c r="GD207">
        <v>0.38958901534032425</v>
      </c>
      <c r="GE207">
        <v>0.1020805491843</v>
      </c>
      <c r="GF207">
        <v>0.24090012531466881</v>
      </c>
      <c r="GG207">
        <v>0.23978821552359375</v>
      </c>
      <c r="GH207">
        <v>0.1330459067538125</v>
      </c>
      <c r="GI207">
        <v>0.59925960299704562</v>
      </c>
      <c r="GJ207"/>
      <c r="GK207">
        <v>0.36387187499999996</v>
      </c>
      <c r="GL207">
        <v>0.81823124999999997</v>
      </c>
      <c r="GM207">
        <v>1.7479282670454546</v>
      </c>
      <c r="GN207">
        <v>2.5615322849025972</v>
      </c>
      <c r="GO207">
        <v>1.4816196428571426</v>
      </c>
      <c r="GP207">
        <v>0.1918125</v>
      </c>
      <c r="GQ207">
        <v>0.29081250000000003</v>
      </c>
      <c r="GR207">
        <v>0.33385416666666667</v>
      </c>
      <c r="GS207">
        <v>0.14072916666666666</v>
      </c>
      <c r="GT207">
        <v>0.80499229031385267</v>
      </c>
      <c r="GU207"/>
      <c r="GV207"/>
      <c r="GW207"/>
      <c r="GX207"/>
      <c r="GY207"/>
      <c r="GZ207"/>
      <c r="HA207"/>
      <c r="HB207"/>
      <c r="HC207"/>
    </row>
    <row r="208" spans="1:211" s="7" customFormat="1">
      <c r="A208" s="1"/>
      <c r="B208" s="1"/>
      <c r="C208" s="78"/>
      <c r="D208" s="79"/>
      <c r="E208" s="1"/>
      <c r="F208" s="2"/>
      <c r="G208" s="2"/>
      <c r="H208" s="3"/>
      <c r="I208" s="1"/>
      <c r="J208" s="1"/>
      <c r="K208" s="1"/>
      <c r="L208" s="1"/>
      <c r="M208" s="1"/>
      <c r="N208" s="1"/>
      <c r="O208" s="80"/>
      <c r="P208" s="80"/>
      <c r="Q208" s="80"/>
      <c r="R208" s="80"/>
      <c r="S208" s="80"/>
      <c r="T208" s="80"/>
      <c r="U208" s="80"/>
      <c r="V208" s="80"/>
      <c r="W208" s="80"/>
      <c r="X208" s="80"/>
      <c r="Y208" s="80"/>
      <c r="Z208" s="80"/>
      <c r="AA208" s="80"/>
      <c r="AB208" s="80"/>
      <c r="AC208" s="80"/>
      <c r="AD208" s="80"/>
      <c r="AE208" s="80"/>
      <c r="AF208" s="80"/>
      <c r="AG208" s="80"/>
      <c r="AH208" s="80"/>
      <c r="AI208" s="80"/>
      <c r="AJ208" s="80"/>
      <c r="AK208" s="80"/>
      <c r="AL208" s="74">
        <v>3.0028000000000028</v>
      </c>
      <c r="AM208" s="43">
        <v>192</v>
      </c>
      <c r="AN208">
        <v>65.435872559493887</v>
      </c>
      <c r="AO208">
        <v>1.601714757376508</v>
      </c>
      <c r="AP208">
        <v>1.214973657099478</v>
      </c>
      <c r="AQ208">
        <v>9.1931936484098227</v>
      </c>
      <c r="AR208">
        <v>1.4764236539961262</v>
      </c>
      <c r="AS208">
        <v>5.4351596613130546</v>
      </c>
      <c r="AT208">
        <v>1.0498572013611551</v>
      </c>
      <c r="AU208">
        <v>0.13396314836581805</v>
      </c>
      <c r="AV208"/>
      <c r="AW208"/>
      <c r="AX208" s="146"/>
      <c r="AY208" s="146"/>
      <c r="AZ208" s="152"/>
      <c r="BA208" s="153"/>
      <c r="BB208" s="146"/>
      <c r="BC208" s="147"/>
      <c r="BD208" s="147"/>
      <c r="BE208" s="148"/>
      <c r="BF208" s="146"/>
      <c r="BG208" s="146"/>
      <c r="BH208" s="146"/>
      <c r="BI208" s="146"/>
      <c r="BJ208" s="146"/>
      <c r="BK208" s="146"/>
      <c r="BL208" s="149"/>
      <c r="BM208" s="149"/>
      <c r="BN208" s="149"/>
      <c r="BO208" s="149"/>
      <c r="BP208" s="149"/>
      <c r="BQ208" s="149"/>
      <c r="BR208" s="149"/>
      <c r="BS208" s="149"/>
      <c r="BT208" s="149"/>
      <c r="BU208" s="149"/>
      <c r="BV208" s="149"/>
      <c r="BW208" s="149"/>
      <c r="BX208" s="149"/>
      <c r="BY208" s="149"/>
      <c r="BZ208" s="149"/>
      <c r="CA208" s="149"/>
      <c r="CB208" s="149"/>
      <c r="CC208" s="149"/>
      <c r="CD208" s="149"/>
      <c r="CE208" s="149"/>
      <c r="CF208" s="149"/>
      <c r="CG208" s="149"/>
      <c r="CH208" s="149"/>
      <c r="CJ208" s="146"/>
      <c r="CK208" s="146"/>
      <c r="CL208" s="152"/>
      <c r="CM208" s="153"/>
      <c r="CN208" s="146"/>
      <c r="CO208" s="147"/>
      <c r="CP208" s="147"/>
      <c r="CQ208" s="148"/>
      <c r="CR208" s="146"/>
      <c r="CS208" s="146"/>
      <c r="CT208" s="146"/>
      <c r="CU208" s="146"/>
      <c r="CW208" s="150"/>
      <c r="CX208" s="150"/>
      <c r="CZ208" s="150"/>
      <c r="DB208" s="146"/>
      <c r="DC208" s="146"/>
      <c r="DD208" s="152"/>
      <c r="DE208" s="153"/>
      <c r="DF208" s="146"/>
      <c r="DG208" s="147"/>
      <c r="DH208" s="147"/>
      <c r="DI208" s="148"/>
      <c r="DJ208" s="146"/>
      <c r="DK208" s="146"/>
      <c r="DL208" s="146"/>
      <c r="DM208" s="146"/>
      <c r="DN208" s="146"/>
      <c r="DO208" s="146"/>
      <c r="DP208" s="149"/>
      <c r="DQ208" s="149"/>
      <c r="DR208" s="149"/>
      <c r="DS208" s="149"/>
      <c r="DT208" s="149"/>
      <c r="DU208" s="149"/>
      <c r="DV208" s="149"/>
      <c r="DW208" s="149"/>
      <c r="DX208" s="149"/>
      <c r="DY208" s="149"/>
      <c r="DZ208" s="149"/>
      <c r="EA208" s="149"/>
      <c r="EB208" s="149"/>
      <c r="EC208" s="149"/>
      <c r="ED208" s="149"/>
      <c r="EE208" s="149"/>
      <c r="EF208" s="149"/>
      <c r="EG208" s="149"/>
      <c r="EH208" s="149"/>
      <c r="EI208" s="149"/>
      <c r="EJ208" s="149"/>
      <c r="EK208" s="149"/>
      <c r="EL208" s="149"/>
      <c r="EN208" s="146"/>
      <c r="EO208" s="146"/>
      <c r="EP208" s="146"/>
      <c r="EQ208" s="147"/>
      <c r="ER208" s="147"/>
      <c r="ES208" s="148"/>
      <c r="ET208" s="146"/>
      <c r="EU208" s="146"/>
      <c r="EV208" s="146"/>
      <c r="EW208" s="146"/>
      <c r="EX208" s="146"/>
      <c r="EY208" s="146"/>
      <c r="EZ208" s="149"/>
      <c r="FA208" s="149"/>
      <c r="FB208" s="149"/>
      <c r="FC208" s="149"/>
      <c r="FD208" s="149"/>
      <c r="FE208" s="149"/>
      <c r="FF208" s="149"/>
      <c r="FG208" s="149"/>
      <c r="FH208" s="149"/>
      <c r="FI208" s="149"/>
      <c r="FJ208" s="149"/>
      <c r="FK208" s="149"/>
      <c r="FL208" s="149"/>
      <c r="FM208" s="149"/>
      <c r="FN208" s="149"/>
      <c r="FO208" s="149"/>
      <c r="FP208" s="149"/>
      <c r="FQ208" s="149"/>
      <c r="FR208" s="149"/>
      <c r="FS208" s="149"/>
      <c r="FT208" s="149"/>
      <c r="FU208" s="149"/>
      <c r="FV208" s="149"/>
      <c r="FY208" s="211">
        <v>203</v>
      </c>
      <c r="FZ208">
        <v>1.3891703469148604</v>
      </c>
      <c r="GA208">
        <v>1.9837981870919421</v>
      </c>
      <c r="GB208">
        <v>0.32905189729854489</v>
      </c>
      <c r="GC208">
        <v>0.38593480876544428</v>
      </c>
      <c r="GD208">
        <v>0.27204609136029423</v>
      </c>
      <c r="GE208">
        <v>0.13580575682962504</v>
      </c>
      <c r="GF208">
        <v>0.41513581345513451</v>
      </c>
      <c r="GG208">
        <v>0.28954215414031298</v>
      </c>
      <c r="GH208">
        <v>0</v>
      </c>
      <c r="GI208">
        <v>0.51511619226622196</v>
      </c>
      <c r="GJ208"/>
      <c r="GK208">
        <v>1.3842299632352941</v>
      </c>
      <c r="GL208">
        <v>1.6706948069852938</v>
      </c>
      <c r="GM208">
        <v>0.53994140625000009</v>
      </c>
      <c r="GN208">
        <v>1.1307930803571427</v>
      </c>
      <c r="GO208">
        <v>1.0347696428571427</v>
      </c>
      <c r="GP208">
        <v>0.25514062500000001</v>
      </c>
      <c r="GQ208">
        <v>0.50047010869565223</v>
      </c>
      <c r="GR208">
        <v>0.40278260869565213</v>
      </c>
      <c r="GS208">
        <v>0</v>
      </c>
      <c r="GT208">
        <v>0.69188222420761769</v>
      </c>
      <c r="GU208"/>
      <c r="GV208"/>
      <c r="GW208"/>
      <c r="GX208"/>
      <c r="GY208"/>
      <c r="GZ208"/>
      <c r="HA208"/>
      <c r="HB208"/>
      <c r="HC208"/>
    </row>
    <row r="209" spans="1:211" s="7" customFormat="1">
      <c r="A209" s="4"/>
      <c r="B209" s="4"/>
      <c r="C209" s="81"/>
      <c r="D209" s="82"/>
      <c r="E209" s="81"/>
      <c r="F209" s="81"/>
      <c r="G209" s="81"/>
      <c r="H209" s="81"/>
      <c r="I209" s="81"/>
      <c r="J209" s="81"/>
      <c r="K209" s="81"/>
      <c r="L209" s="81"/>
      <c r="M209" s="81"/>
      <c r="N209" s="74"/>
      <c r="O209" s="74"/>
      <c r="P209" s="74"/>
      <c r="Q209" s="74"/>
      <c r="R209" s="74"/>
      <c r="S209" s="74"/>
      <c r="T209" s="74"/>
      <c r="U209" s="74"/>
      <c r="V209" s="74"/>
      <c r="W209" s="74"/>
      <c r="X209" s="74"/>
      <c r="Y209" s="74"/>
      <c r="Z209" s="74"/>
      <c r="AA209" s="74"/>
      <c r="AB209" s="74"/>
      <c r="AC209" s="74"/>
      <c r="AD209" s="74"/>
      <c r="AE209" s="74"/>
      <c r="AF209" s="74"/>
      <c r="AG209" s="74"/>
      <c r="AH209" s="74"/>
      <c r="AI209" s="74"/>
      <c r="AJ209" s="74"/>
      <c r="AK209" s="74"/>
      <c r="AL209" s="74">
        <v>3.0028000000000028</v>
      </c>
      <c r="AM209" s="43">
        <v>193</v>
      </c>
      <c r="AN209">
        <v>44.835430021367529</v>
      </c>
      <c r="AO209">
        <v>1.0382995925480769</v>
      </c>
      <c r="AP209">
        <v>1.3966395768783677</v>
      </c>
      <c r="AQ209">
        <v>6.4327305407793585</v>
      </c>
      <c r="AR209">
        <v>0.96785020869755245</v>
      </c>
      <c r="AS209">
        <v>3.8435180913961342</v>
      </c>
      <c r="AT209">
        <v>0.72524468213128823</v>
      </c>
      <c r="AU209">
        <v>0.18405178415333137</v>
      </c>
      <c r="AV209"/>
      <c r="AW209"/>
      <c r="FY209" s="211">
        <v>204</v>
      </c>
      <c r="FZ209">
        <v>1.2148382286522481</v>
      </c>
      <c r="GA209">
        <v>1.6480511163709499</v>
      </c>
      <c r="GB209">
        <v>1.0747481447790561</v>
      </c>
      <c r="GC209">
        <v>0.73335724209001696</v>
      </c>
      <c r="GD209">
        <v>0.23403950991720002</v>
      </c>
      <c r="GE209">
        <v>0.1406236436361</v>
      </c>
      <c r="GF209">
        <v>1.0689572930710376</v>
      </c>
      <c r="GG209">
        <v>0.90691501401339158</v>
      </c>
      <c r="GH209">
        <v>0.11249442504775362</v>
      </c>
      <c r="GI209">
        <v>0.78512851045065557</v>
      </c>
      <c r="GJ209"/>
      <c r="GK209">
        <v>1.210604963235294</v>
      </c>
      <c r="GL209">
        <v>1.387886213235294</v>
      </c>
      <c r="GM209">
        <v>1.7641704545454544</v>
      </c>
      <c r="GN209">
        <v>2.1512642045454546</v>
      </c>
      <c r="GO209">
        <v>0.89024999999999999</v>
      </c>
      <c r="GP209">
        <v>0.26418750000000002</v>
      </c>
      <c r="GQ209">
        <v>1.2895027173913043</v>
      </c>
      <c r="GR209">
        <v>1.2621798007246374</v>
      </c>
      <c r="GS209">
        <v>0.11895232371794871</v>
      </c>
      <c r="GT209">
        <v>1.0546960917780002</v>
      </c>
      <c r="GU209"/>
      <c r="GV209"/>
      <c r="GW209"/>
      <c r="GX209"/>
      <c r="GY209"/>
      <c r="GZ209"/>
      <c r="HA209"/>
      <c r="HB209"/>
      <c r="HC209"/>
    </row>
    <row r="210" spans="1:211" s="7" customFormat="1">
      <c r="A210" s="4"/>
      <c r="B210" s="4"/>
      <c r="C210" s="81"/>
      <c r="D210" s="82"/>
      <c r="E210" s="81"/>
      <c r="F210" s="81"/>
      <c r="G210" s="81"/>
      <c r="H210" s="81"/>
      <c r="I210" s="81"/>
      <c r="J210" s="81"/>
      <c r="K210" s="81"/>
      <c r="L210" s="81"/>
      <c r="M210" s="81"/>
      <c r="N210" s="74"/>
      <c r="O210" s="74"/>
      <c r="P210" s="74"/>
      <c r="Q210" s="74"/>
      <c r="R210" s="74"/>
      <c r="S210" s="74"/>
      <c r="T210" s="74"/>
      <c r="U210" s="74"/>
      <c r="V210" s="74"/>
      <c r="W210" s="74"/>
      <c r="X210" s="74"/>
      <c r="Y210" s="74"/>
      <c r="Z210" s="74"/>
      <c r="AA210" s="74"/>
      <c r="AB210" s="74"/>
      <c r="AC210" s="74"/>
      <c r="AD210" s="74"/>
      <c r="AE210" s="74"/>
      <c r="AF210" s="74"/>
      <c r="AG210" s="74"/>
      <c r="AH210" s="74"/>
      <c r="AI210" s="74"/>
      <c r="AJ210" s="74"/>
      <c r="AK210" s="74"/>
      <c r="AL210" s="74">
        <v>3.0028000000000028</v>
      </c>
      <c r="AM210" s="43">
        <v>194</v>
      </c>
      <c r="AN210">
        <v>29.120528644149964</v>
      </c>
      <c r="AO210">
        <v>0.63248723356698444</v>
      </c>
      <c r="AP210">
        <v>2.3256999177211553</v>
      </c>
      <c r="AQ210">
        <v>4.3441355788358536</v>
      </c>
      <c r="AR210">
        <v>0.58806340507837751</v>
      </c>
      <c r="AS210">
        <v>2.2979261852845649</v>
      </c>
      <c r="AT210" t="e">
        <v>#DIV/0!</v>
      </c>
      <c r="AU210" t="e">
        <v>#DIV/0!</v>
      </c>
      <c r="AV210"/>
      <c r="AW210"/>
      <c r="FY210" s="211">
        <v>205</v>
      </c>
      <c r="FZ210">
        <v>1.3891415657561133</v>
      </c>
      <c r="GA210">
        <v>1.9594899837067057</v>
      </c>
      <c r="GB210">
        <v>1.5078550278169547</v>
      </c>
      <c r="GC210">
        <v>0.94175581668188935</v>
      </c>
      <c r="GD210">
        <v>0.25831607997905676</v>
      </c>
      <c r="GE210">
        <v>0.12231882202972501</v>
      </c>
      <c r="GF210">
        <v>0.82805716775636906</v>
      </c>
      <c r="GG210">
        <v>0.76829061536607923</v>
      </c>
      <c r="GH210">
        <v>6.6522953376906252E-2</v>
      </c>
      <c r="GI210">
        <v>0.87996877357721615</v>
      </c>
      <c r="GJ210"/>
      <c r="GK210">
        <v>1.384454963235294</v>
      </c>
      <c r="GL210">
        <v>1.6505643382352941</v>
      </c>
      <c r="GM210">
        <v>2.4751860795454546</v>
      </c>
      <c r="GN210">
        <v>2.7622525974025969</v>
      </c>
      <c r="GO210">
        <v>0.98222276785714269</v>
      </c>
      <c r="GP210">
        <v>0.22982812499999999</v>
      </c>
      <c r="GQ210">
        <v>0.99869021739130437</v>
      </c>
      <c r="GR210">
        <v>1.0690548007246377</v>
      </c>
      <c r="GS210">
        <v>7.0364583333333328E-2</v>
      </c>
      <c r="GT210">
        <v>1.182183722272506</v>
      </c>
      <c r="GU210"/>
      <c r="GV210"/>
      <c r="GW210"/>
      <c r="GX210"/>
      <c r="GY210"/>
      <c r="GZ210"/>
      <c r="HA210"/>
      <c r="HB210"/>
      <c r="HC210"/>
    </row>
    <row r="211" spans="1:211" s="7" customFormat="1">
      <c r="A211" s="4"/>
      <c r="B211" s="4"/>
      <c r="C211" s="81"/>
      <c r="D211" s="82"/>
      <c r="E211" s="81"/>
      <c r="F211" s="81"/>
      <c r="G211" s="81"/>
      <c r="H211" s="81"/>
      <c r="I211" s="81"/>
      <c r="J211" s="81"/>
      <c r="K211" s="81"/>
      <c r="L211" s="81"/>
      <c r="M211" s="81"/>
      <c r="N211" s="74"/>
      <c r="O211" s="74"/>
      <c r="P211" s="74"/>
      <c r="Q211" s="74"/>
      <c r="R211" s="74"/>
      <c r="S211" s="74"/>
      <c r="T211" s="74"/>
      <c r="U211" s="74"/>
      <c r="V211" s="74"/>
      <c r="W211" s="74"/>
      <c r="X211" s="74"/>
      <c r="Y211" s="74"/>
      <c r="Z211" s="74"/>
      <c r="AA211" s="74"/>
      <c r="AB211" s="74"/>
      <c r="AC211" s="74"/>
      <c r="AD211" s="74"/>
      <c r="AE211" s="74"/>
      <c r="AF211" s="74"/>
      <c r="AG211" s="74"/>
      <c r="AH211" s="74"/>
      <c r="AI211" s="74"/>
      <c r="AJ211" s="74"/>
      <c r="AK211" s="74"/>
      <c r="AL211" s="74">
        <v>3.0028000000000028</v>
      </c>
      <c r="AM211" s="43">
        <v>195</v>
      </c>
      <c r="AN211">
        <v>49.408761900337979</v>
      </c>
      <c r="AO211">
        <v>1.0138040403627169</v>
      </c>
      <c r="AP211">
        <v>8.8848443355075197</v>
      </c>
      <c r="AQ211">
        <v>5.736129401421624</v>
      </c>
      <c r="AR211">
        <v>0.9369235812737986</v>
      </c>
      <c r="AS211">
        <v>4.3242420070824101</v>
      </c>
      <c r="AT211" t="e">
        <v>#DIV/0!</v>
      </c>
      <c r="AU211" t="e">
        <v>#DIV/0!</v>
      </c>
      <c r="AV211"/>
      <c r="AW211"/>
      <c r="BA211" s="191"/>
      <c r="BB211" s="191"/>
      <c r="BC211" s="192"/>
      <c r="BD211" s="192"/>
      <c r="BE211" s="192"/>
      <c r="BF211" s="192"/>
      <c r="BG211" s="192"/>
      <c r="BH211" s="192"/>
      <c r="BI211" s="192"/>
      <c r="BJ211" s="192"/>
      <c r="BK211" s="192"/>
      <c r="BL211" s="192"/>
      <c r="BM211" s="192"/>
      <c r="BN211" s="192"/>
      <c r="BO211" s="192"/>
      <c r="BP211" s="192"/>
      <c r="BQ211" s="192"/>
      <c r="BR211" s="192"/>
      <c r="BS211" s="192"/>
      <c r="BT211" s="192"/>
      <c r="BU211" s="192"/>
      <c r="BV211" s="192"/>
      <c r="BW211" s="192"/>
      <c r="BX211" s="192"/>
      <c r="BY211" s="192"/>
      <c r="BZ211" s="192"/>
      <c r="CA211" s="192"/>
      <c r="CB211" s="192"/>
      <c r="CC211" s="192"/>
      <c r="CD211" s="192"/>
      <c r="CE211" s="192"/>
      <c r="CF211" s="192"/>
      <c r="CG211" s="193"/>
      <c r="CH211" s="193"/>
      <c r="CI211" s="193"/>
      <c r="CJ211" s="193"/>
      <c r="CK211" s="193"/>
      <c r="CL211" s="193"/>
      <c r="CM211" s="193"/>
      <c r="CN211" s="193"/>
      <c r="CO211" s="193"/>
      <c r="CP211" s="193"/>
      <c r="CQ211" s="193"/>
      <c r="CR211" s="193"/>
      <c r="CS211" s="193"/>
      <c r="CT211" s="193"/>
      <c r="CU211" s="193"/>
      <c r="DE211" s="183" t="s">
        <v>139</v>
      </c>
      <c r="DF211" s="182" t="s">
        <v>83</v>
      </c>
      <c r="DG211" s="181">
        <v>1</v>
      </c>
      <c r="DH211" s="181">
        <v>2</v>
      </c>
      <c r="DI211" s="181">
        <v>3</v>
      </c>
      <c r="DJ211" s="181">
        <v>4</v>
      </c>
      <c r="DK211" s="181">
        <v>5</v>
      </c>
      <c r="DL211" s="181">
        <v>6</v>
      </c>
      <c r="DM211" s="181">
        <v>7</v>
      </c>
      <c r="DN211" s="181">
        <v>8</v>
      </c>
      <c r="DO211" s="181">
        <v>9</v>
      </c>
      <c r="DP211" s="181">
        <v>10</v>
      </c>
      <c r="DQ211" s="181">
        <v>11</v>
      </c>
      <c r="DR211" s="181">
        <v>12</v>
      </c>
      <c r="DS211" s="181">
        <v>13</v>
      </c>
      <c r="DT211" s="181">
        <v>14</v>
      </c>
      <c r="DU211" s="181">
        <v>15</v>
      </c>
      <c r="DV211" s="181">
        <v>16</v>
      </c>
      <c r="DW211" s="181">
        <v>17</v>
      </c>
      <c r="DX211" s="181">
        <v>18</v>
      </c>
      <c r="DY211" s="181">
        <v>19</v>
      </c>
      <c r="DZ211" s="181">
        <v>20</v>
      </c>
      <c r="EA211" s="181">
        <v>21</v>
      </c>
      <c r="EB211" s="181">
        <v>22</v>
      </c>
      <c r="EC211" s="181">
        <v>23</v>
      </c>
      <c r="ED211" s="181">
        <v>24</v>
      </c>
      <c r="EE211" s="181">
        <v>25</v>
      </c>
      <c r="EF211" s="181">
        <v>26</v>
      </c>
      <c r="EG211" s="181">
        <v>27</v>
      </c>
      <c r="EH211" s="181">
        <v>28</v>
      </c>
      <c r="EI211" s="181">
        <v>29</v>
      </c>
      <c r="EJ211" s="181">
        <v>30</v>
      </c>
      <c r="FY211" s="211">
        <v>206</v>
      </c>
      <c r="FZ211">
        <v>1.5852722385316755</v>
      </c>
      <c r="GA211">
        <v>2.3813411085807297</v>
      </c>
      <c r="GB211">
        <v>0.89305313071265502</v>
      </c>
      <c r="GC211">
        <v>0.56913472620506078</v>
      </c>
      <c r="GD211">
        <v>0.22304439823389105</v>
      </c>
      <c r="GE211">
        <v>7.9011769497075002E-2</v>
      </c>
      <c r="GF211">
        <v>0.20038102790324064</v>
      </c>
      <c r="GG211">
        <v>0.18920630708545313</v>
      </c>
      <c r="GH211">
        <v>6.6522953376906252E-2</v>
      </c>
      <c r="GI211">
        <v>0.62614232030098127</v>
      </c>
      <c r="GJ211"/>
      <c r="GK211">
        <v>1.5798299632352939</v>
      </c>
      <c r="GL211">
        <v>2.0055604319852938</v>
      </c>
      <c r="GM211">
        <v>1.4658227982954544</v>
      </c>
      <c r="GN211">
        <v>1.6690878652597401</v>
      </c>
      <c r="GO211">
        <v>0.84804241071428565</v>
      </c>
      <c r="GP211">
        <v>0.14835937500000002</v>
      </c>
      <c r="GQ211">
        <v>0.24196875000000001</v>
      </c>
      <c r="GR211">
        <v>0.26348958333333333</v>
      </c>
      <c r="GS211">
        <v>7.0364583333333328E-2</v>
      </c>
      <c r="GT211">
        <v>0.8412057011156735</v>
      </c>
      <c r="GU211"/>
      <c r="GV211"/>
      <c r="GW211"/>
      <c r="GX211"/>
      <c r="GY211"/>
      <c r="GZ211"/>
      <c r="HA211"/>
      <c r="HB211"/>
      <c r="HC211"/>
    </row>
    <row r="212" spans="1:211" s="7" customFormat="1">
      <c r="A212" s="4"/>
      <c r="B212" s="4"/>
      <c r="C212" s="4"/>
      <c r="D212" s="4"/>
      <c r="E212" s="4"/>
      <c r="F212" s="28"/>
      <c r="G212" s="28"/>
      <c r="H212" s="83"/>
      <c r="I212" s="4"/>
      <c r="J212" s="4"/>
      <c r="K212" s="4"/>
      <c r="L212" s="4"/>
      <c r="M212" s="4"/>
      <c r="N212" s="74"/>
      <c r="O212" s="74"/>
      <c r="P212" s="74"/>
      <c r="Q212" s="74"/>
      <c r="R212" s="74"/>
      <c r="S212" s="74"/>
      <c r="T212" s="74"/>
      <c r="U212" s="74"/>
      <c r="V212" s="74"/>
      <c r="W212" s="74"/>
      <c r="X212" s="74"/>
      <c r="Y212" s="74"/>
      <c r="Z212" s="74"/>
      <c r="AA212" s="74"/>
      <c r="AB212" s="74"/>
      <c r="AC212" s="74"/>
      <c r="AD212" s="74"/>
      <c r="AE212" s="74"/>
      <c r="AF212" s="74"/>
      <c r="AG212" s="74"/>
      <c r="AH212" s="74"/>
      <c r="AI212" s="74"/>
      <c r="AJ212" s="74"/>
      <c r="AK212" s="74"/>
      <c r="AL212" s="74">
        <v>3.0028000000000028</v>
      </c>
      <c r="AM212" s="43">
        <v>196</v>
      </c>
      <c r="AN212">
        <v>54.102288686052283</v>
      </c>
      <c r="AO212">
        <v>1.1949093506305739</v>
      </c>
      <c r="AP212">
        <v>1.576372150157374</v>
      </c>
      <c r="AQ212">
        <v>7.4435044406122959</v>
      </c>
      <c r="AR212">
        <v>1.1160534087900325</v>
      </c>
      <c r="AS212">
        <v>4.4749713492142451</v>
      </c>
      <c r="AT212">
        <v>0.87896168640756123</v>
      </c>
      <c r="AU212">
        <v>0.15320517246021342</v>
      </c>
      <c r="AV212"/>
      <c r="AW212"/>
      <c r="BA212" s="194"/>
      <c r="BB212" s="192"/>
      <c r="BC212" s="192"/>
      <c r="BD212" s="192"/>
      <c r="BE212" s="192"/>
      <c r="BF212" s="192"/>
      <c r="BG212" s="192"/>
      <c r="BH212" s="192"/>
      <c r="BI212" s="192"/>
      <c r="BJ212" s="192"/>
      <c r="BK212" s="192"/>
      <c r="BL212" s="192"/>
      <c r="BM212" s="192"/>
      <c r="BN212" s="192"/>
      <c r="BO212" s="192"/>
      <c r="BP212" s="192"/>
      <c r="BQ212" s="192"/>
      <c r="BR212" s="192"/>
      <c r="BS212" s="192"/>
      <c r="BT212" s="192"/>
      <c r="BU212" s="192"/>
      <c r="BV212" s="192"/>
      <c r="BW212" s="192"/>
      <c r="BX212" s="192"/>
      <c r="BY212" s="192"/>
      <c r="BZ212" s="192"/>
      <c r="CA212" s="192"/>
      <c r="CB212" s="192"/>
      <c r="CC212" s="192"/>
      <c r="CD212" s="192"/>
      <c r="CE212" s="192"/>
      <c r="CF212" s="192"/>
      <c r="CG212" s="193"/>
      <c r="CH212" s="193"/>
      <c r="CI212" s="193"/>
      <c r="CJ212" s="193"/>
      <c r="CK212" s="193"/>
      <c r="CL212" s="193"/>
      <c r="CM212" s="191"/>
      <c r="CN212" s="191"/>
      <c r="CO212" s="192"/>
      <c r="CP212" s="192"/>
      <c r="CQ212" s="192"/>
      <c r="CR212" s="192"/>
      <c r="CS212" s="192"/>
      <c r="CT212" s="192"/>
      <c r="CU212" s="192"/>
      <c r="DE212" s="186">
        <f>DE88</f>
        <v>39646</v>
      </c>
      <c r="DF212" s="181">
        <f t="shared" ref="DF212:EJ212" si="340">AVERAGE(DF88:DF97)</f>
        <v>0</v>
      </c>
      <c r="DG212" s="181">
        <f t="shared" si="340"/>
        <v>0</v>
      </c>
      <c r="DH212" s="181">
        <f t="shared" si="340"/>
        <v>8.3333333333333321</v>
      </c>
      <c r="DI212" s="181">
        <f t="shared" si="340"/>
        <v>0</v>
      </c>
      <c r="DJ212" s="181">
        <f t="shared" si="340"/>
        <v>0</v>
      </c>
      <c r="DK212" s="181">
        <f t="shared" ref="DK212:DQ212" si="341">AVERAGE(DK88:DK97)</f>
        <v>0</v>
      </c>
      <c r="DL212" s="181">
        <f t="shared" si="341"/>
        <v>0</v>
      </c>
      <c r="DM212" s="181">
        <f t="shared" si="341"/>
        <v>0</v>
      </c>
      <c r="DN212" s="181">
        <f t="shared" si="341"/>
        <v>0</v>
      </c>
      <c r="DO212" s="181">
        <f t="shared" si="341"/>
        <v>0</v>
      </c>
      <c r="DP212" s="181">
        <f t="shared" si="341"/>
        <v>0</v>
      </c>
      <c r="DQ212" s="181">
        <f t="shared" si="341"/>
        <v>0</v>
      </c>
      <c r="DR212" s="181">
        <f t="shared" si="340"/>
        <v>0</v>
      </c>
      <c r="DS212" s="181">
        <f t="shared" si="340"/>
        <v>0</v>
      </c>
      <c r="DT212" s="181">
        <f t="shared" si="340"/>
        <v>0</v>
      </c>
      <c r="DU212" s="181">
        <f t="shared" si="340"/>
        <v>0</v>
      </c>
      <c r="DV212" s="181">
        <f t="shared" si="340"/>
        <v>0</v>
      </c>
      <c r="DW212" s="181">
        <f t="shared" si="340"/>
        <v>0</v>
      </c>
      <c r="DX212" s="181">
        <f t="shared" si="340"/>
        <v>0</v>
      </c>
      <c r="DY212" s="181">
        <f t="shared" si="340"/>
        <v>0</v>
      </c>
      <c r="DZ212" s="181">
        <f t="shared" si="340"/>
        <v>0</v>
      </c>
      <c r="EA212" s="181">
        <f t="shared" si="340"/>
        <v>0</v>
      </c>
      <c r="EB212" s="181">
        <f t="shared" si="340"/>
        <v>0</v>
      </c>
      <c r="EC212" s="181">
        <f t="shared" si="340"/>
        <v>0</v>
      </c>
      <c r="ED212" s="181">
        <f t="shared" si="340"/>
        <v>0</v>
      </c>
      <c r="EE212" s="181">
        <f t="shared" si="340"/>
        <v>0</v>
      </c>
      <c r="EF212" s="181">
        <f t="shared" si="340"/>
        <v>0</v>
      </c>
      <c r="EG212" s="181">
        <f t="shared" si="340"/>
        <v>0</v>
      </c>
      <c r="EH212" s="181">
        <f t="shared" si="340"/>
        <v>0</v>
      </c>
      <c r="EI212" s="181">
        <f t="shared" si="340"/>
        <v>0</v>
      </c>
      <c r="EJ212" s="181">
        <f t="shared" si="340"/>
        <v>0</v>
      </c>
      <c r="FY212" s="211">
        <v>207</v>
      </c>
      <c r="FZ212">
        <v>1.4909450804782511</v>
      </c>
      <c r="GA212">
        <v>1.9715341213062725</v>
      </c>
      <c r="GB212">
        <v>1.1216699005768946</v>
      </c>
      <c r="GC212">
        <v>0.57394009437162197</v>
      </c>
      <c r="GD212">
        <v>8.8936736573227496E-2</v>
      </c>
      <c r="GE212">
        <v>6.9375995884124991E-2</v>
      </c>
      <c r="GF212">
        <v>1.2026738838000754</v>
      </c>
      <c r="GG212">
        <v>1.0072508610682518</v>
      </c>
      <c r="GH212">
        <v>2.2985735835423678E-2</v>
      </c>
      <c r="GI212">
        <v>0.76521691255277946</v>
      </c>
      <c r="GJ212"/>
      <c r="GK212">
        <v>1.485761213235294</v>
      </c>
      <c r="GL212">
        <v>1.660253400735294</v>
      </c>
      <c r="GM212">
        <v>1.8410688920454545</v>
      </c>
      <c r="GN212">
        <v>1.6845017045454544</v>
      </c>
      <c r="GO212">
        <v>0.33840937499999996</v>
      </c>
      <c r="GP212">
        <v>0.130265625</v>
      </c>
      <c r="GQ212">
        <v>1.4503165760869565</v>
      </c>
      <c r="GR212">
        <v>1.4014728260869567</v>
      </c>
      <c r="GS212">
        <v>2.4293870192307693E-2</v>
      </c>
      <c r="GT212">
        <v>1.0279699853120026</v>
      </c>
      <c r="GU212"/>
      <c r="GV212"/>
      <c r="GW212"/>
      <c r="GX212"/>
      <c r="GY212"/>
      <c r="GZ212"/>
      <c r="HA212"/>
      <c r="HB212"/>
      <c r="HC212"/>
    </row>
    <row r="213" spans="1:211" s="7" customFormat="1">
      <c r="A213" s="4"/>
      <c r="B213" s="4"/>
      <c r="C213" s="4"/>
      <c r="D213" s="4"/>
      <c r="E213" s="4"/>
      <c r="F213" s="28"/>
      <c r="G213" s="28"/>
      <c r="H213" s="83"/>
      <c r="I213" s="4"/>
      <c r="J213" s="4"/>
      <c r="K213" s="4"/>
      <c r="L213" s="4"/>
      <c r="M213" s="4"/>
      <c r="N213" s="74"/>
      <c r="O213" s="74"/>
      <c r="P213" s="74"/>
      <c r="Q213" s="74"/>
      <c r="R213" s="74"/>
      <c r="S213" s="74"/>
      <c r="T213" s="74"/>
      <c r="U213" s="74"/>
      <c r="V213" s="74"/>
      <c r="W213" s="74"/>
      <c r="X213" s="74"/>
      <c r="Y213" s="74"/>
      <c r="Z213" s="74"/>
      <c r="AA213" s="74"/>
      <c r="AB213" s="74"/>
      <c r="AC213" s="74"/>
      <c r="AD213" s="74"/>
      <c r="AE213" s="74"/>
      <c r="AF213" s="74"/>
      <c r="AG213" s="74"/>
      <c r="AH213" s="74"/>
      <c r="AI213" s="74"/>
      <c r="AJ213" s="74"/>
      <c r="AK213" s="74"/>
      <c r="AL213" s="74">
        <v>3.0028000000000028</v>
      </c>
      <c r="AM213" s="43">
        <v>197</v>
      </c>
      <c r="AN213">
        <v>59.808861059520424</v>
      </c>
      <c r="AO213">
        <v>1.3274597695450463</v>
      </c>
      <c r="AP213">
        <v>1.3763394161069664</v>
      </c>
      <c r="AQ213">
        <v>9.0976218920431666</v>
      </c>
      <c r="AR213">
        <v>1.217648085950042</v>
      </c>
      <c r="AS213">
        <v>5.3379928255316349</v>
      </c>
      <c r="AT213" t="e">
        <v>#DIV/0!</v>
      </c>
      <c r="AU213" t="e">
        <v>#DIV/0!</v>
      </c>
      <c r="AV213"/>
      <c r="AW213"/>
      <c r="BA213" s="194"/>
      <c r="BB213" s="195"/>
      <c r="BC213" s="195"/>
      <c r="BD213" s="195"/>
      <c r="BE213" s="195"/>
      <c r="BF213" s="195"/>
      <c r="BG213" s="195"/>
      <c r="BH213" s="195"/>
      <c r="BI213" s="195"/>
      <c r="BJ213" s="195"/>
      <c r="BK213" s="195"/>
      <c r="BL213" s="195"/>
      <c r="BM213" s="195"/>
      <c r="BN213" s="195"/>
      <c r="BO213" s="195"/>
      <c r="BP213" s="195"/>
      <c r="BQ213" s="195"/>
      <c r="BR213" s="195"/>
      <c r="BS213" s="195"/>
      <c r="BT213" s="195"/>
      <c r="BU213" s="195"/>
      <c r="BV213" s="195"/>
      <c r="BW213" s="195"/>
      <c r="BX213" s="195"/>
      <c r="BY213" s="195"/>
      <c r="BZ213" s="195"/>
      <c r="CA213" s="195"/>
      <c r="CB213" s="195"/>
      <c r="CC213" s="195"/>
      <c r="CD213" s="195"/>
      <c r="CE213" s="195"/>
      <c r="CF213" s="195"/>
      <c r="CG213" s="193"/>
      <c r="CH213" s="193"/>
      <c r="CI213" s="193"/>
      <c r="CJ213" s="193"/>
      <c r="CK213" s="193"/>
      <c r="CL213" s="193"/>
      <c r="CM213" s="196"/>
      <c r="CN213" s="192"/>
      <c r="CO213" s="192"/>
      <c r="CP213" s="192"/>
      <c r="CQ213" s="192"/>
      <c r="CR213" s="192"/>
      <c r="CS213" s="192"/>
      <c r="CT213" s="192"/>
      <c r="CU213" s="192"/>
      <c r="DE213" s="186">
        <f>DE98</f>
        <v>39673</v>
      </c>
      <c r="DF213" s="184">
        <f t="shared" ref="DF213:EJ213" si="342">AVERAGE(DF98:DF107)</f>
        <v>20.54738562091503</v>
      </c>
      <c r="DG213" s="184">
        <f t="shared" si="342"/>
        <v>30.273692810457515</v>
      </c>
      <c r="DH213" s="184">
        <f t="shared" si="342"/>
        <v>37.96977124183006</v>
      </c>
      <c r="DI213" s="184">
        <f t="shared" si="342"/>
        <v>0</v>
      </c>
      <c r="DJ213" s="184">
        <f t="shared" si="342"/>
        <v>0</v>
      </c>
      <c r="DK213" s="184">
        <f t="shared" ref="DK213:DQ213" si="343">AVERAGE(DK98:DK107)</f>
        <v>0</v>
      </c>
      <c r="DL213" s="184">
        <f t="shared" si="343"/>
        <v>0</v>
      </c>
      <c r="DM213" s="184">
        <f t="shared" si="343"/>
        <v>0</v>
      </c>
      <c r="DN213" s="184">
        <f t="shared" si="343"/>
        <v>0</v>
      </c>
      <c r="DO213" s="184">
        <f t="shared" si="343"/>
        <v>0</v>
      </c>
      <c r="DP213" s="184">
        <f t="shared" si="343"/>
        <v>0</v>
      </c>
      <c r="DQ213" s="184">
        <f t="shared" si="343"/>
        <v>0</v>
      </c>
      <c r="DR213" s="184">
        <f t="shared" si="342"/>
        <v>0</v>
      </c>
      <c r="DS213" s="184">
        <f t="shared" si="342"/>
        <v>0</v>
      </c>
      <c r="DT213" s="184">
        <f t="shared" si="342"/>
        <v>0</v>
      </c>
      <c r="DU213" s="184">
        <f t="shared" si="342"/>
        <v>0</v>
      </c>
      <c r="DV213" s="184">
        <f t="shared" si="342"/>
        <v>0</v>
      </c>
      <c r="DW213" s="184">
        <f t="shared" si="342"/>
        <v>0</v>
      </c>
      <c r="DX213" s="184">
        <f t="shared" si="342"/>
        <v>0</v>
      </c>
      <c r="DY213" s="184">
        <f t="shared" si="342"/>
        <v>0</v>
      </c>
      <c r="DZ213" s="184">
        <f t="shared" si="342"/>
        <v>0</v>
      </c>
      <c r="EA213" s="184">
        <f t="shared" si="342"/>
        <v>0</v>
      </c>
      <c r="EB213" s="184">
        <f t="shared" si="342"/>
        <v>0</v>
      </c>
      <c r="EC213" s="184">
        <f t="shared" si="342"/>
        <v>0</v>
      </c>
      <c r="ED213" s="184">
        <f t="shared" si="342"/>
        <v>0</v>
      </c>
      <c r="EE213" s="184">
        <f t="shared" si="342"/>
        <v>0</v>
      </c>
      <c r="EF213" s="184">
        <f t="shared" si="342"/>
        <v>0</v>
      </c>
      <c r="EG213" s="184">
        <f t="shared" si="342"/>
        <v>0</v>
      </c>
      <c r="EH213" s="184">
        <f t="shared" si="342"/>
        <v>0</v>
      </c>
      <c r="EI213" s="184">
        <f t="shared" si="342"/>
        <v>0</v>
      </c>
      <c r="EJ213" s="184">
        <f t="shared" si="342"/>
        <v>0</v>
      </c>
      <c r="FY213" s="211">
        <v>208</v>
      </c>
      <c r="FZ213">
        <v>0.29797433856767247</v>
      </c>
      <c r="GA213">
        <v>0.91635638700065702</v>
      </c>
      <c r="GB213">
        <v>2.1038895120452441</v>
      </c>
      <c r="GC213">
        <v>1.2327624864579478</v>
      </c>
      <c r="GD213">
        <v>0.17840209737161244</v>
      </c>
      <c r="GE213">
        <v>0</v>
      </c>
      <c r="GF213">
        <v>0.49395954912409079</v>
      </c>
      <c r="GG213">
        <v>0.4281665527876255</v>
      </c>
      <c r="GH213">
        <v>4.5971471670847357E-2</v>
      </c>
      <c r="GI213">
        <v>0.75529067625919388</v>
      </c>
      <c r="GJ213"/>
      <c r="GK213">
        <v>0.29677500000000001</v>
      </c>
      <c r="GL213">
        <v>0.77148984375000007</v>
      </c>
      <c r="GM213">
        <v>3.4543277698863628</v>
      </c>
      <c r="GN213">
        <v>3.6182848011363626</v>
      </c>
      <c r="GO213">
        <v>0.67851562499999996</v>
      </c>
      <c r="GP213">
        <v>0</v>
      </c>
      <c r="GQ213">
        <v>0.59590760869565207</v>
      </c>
      <c r="GR213">
        <v>0.59590760869565207</v>
      </c>
      <c r="GS213">
        <v>4.8587740384615385E-2</v>
      </c>
      <c r="GT213">
        <v>1.0148227487933261</v>
      </c>
      <c r="GU213"/>
      <c r="GV213"/>
      <c r="GW213"/>
      <c r="GX213"/>
      <c r="GY213"/>
      <c r="GZ213"/>
      <c r="HA213"/>
      <c r="HB213"/>
      <c r="HC213"/>
    </row>
    <row r="214" spans="1:211" s="7" customFormat="1">
      <c r="A214" s="4"/>
      <c r="B214" s="4"/>
      <c r="C214" s="4"/>
      <c r="D214" s="4"/>
      <c r="E214" s="4"/>
      <c r="F214" s="28"/>
      <c r="G214" s="28"/>
      <c r="H214" s="83"/>
      <c r="I214" s="4"/>
      <c r="J214" s="4"/>
      <c r="K214" s="4"/>
      <c r="L214" s="4"/>
      <c r="M214" s="4"/>
      <c r="N214" s="74"/>
      <c r="O214" s="74"/>
      <c r="P214" s="74"/>
      <c r="Q214" s="74"/>
      <c r="R214" s="74"/>
      <c r="S214" s="74"/>
      <c r="T214" s="74"/>
      <c r="U214" s="74"/>
      <c r="V214" s="74"/>
      <c r="W214" s="74"/>
      <c r="X214" s="74"/>
      <c r="Y214" s="74"/>
      <c r="Z214" s="74"/>
      <c r="AA214" s="74"/>
      <c r="AB214" s="74"/>
      <c r="AC214" s="74"/>
      <c r="AD214" s="74"/>
      <c r="AE214" s="74"/>
      <c r="AF214" s="74"/>
      <c r="AG214" s="74"/>
      <c r="AH214" s="74"/>
      <c r="AI214" s="74"/>
      <c r="AJ214" s="74"/>
      <c r="AK214" s="74"/>
      <c r="AL214" s="74">
        <v>3.0028000000000028</v>
      </c>
      <c r="AM214" s="43">
        <v>198</v>
      </c>
      <c r="AN214">
        <v>42.401050420168062</v>
      </c>
      <c r="AO214">
        <v>0.95725595168067235</v>
      </c>
      <c r="AP214">
        <v>0.25936587647630666</v>
      </c>
      <c r="AQ214">
        <v>7.3287959892896888</v>
      </c>
      <c r="AR214">
        <v>0.87385484243697475</v>
      </c>
      <c r="AS214">
        <v>3.5635357275127046</v>
      </c>
      <c r="AT214" t="e">
        <v>#DIV/0!</v>
      </c>
      <c r="AU214" t="e">
        <v>#DIV/0!</v>
      </c>
      <c r="AV214"/>
      <c r="AW214"/>
      <c r="BA214" s="194"/>
      <c r="BB214" s="192"/>
      <c r="BC214" s="192"/>
      <c r="BD214" s="192"/>
      <c r="BE214" s="192"/>
      <c r="BF214" s="192"/>
      <c r="BG214" s="192"/>
      <c r="BH214" s="192"/>
      <c r="BI214" s="192"/>
      <c r="BJ214" s="192"/>
      <c r="BK214" s="192"/>
      <c r="BL214" s="192"/>
      <c r="BM214" s="192"/>
      <c r="BN214" s="192"/>
      <c r="BO214" s="192"/>
      <c r="BP214" s="192"/>
      <c r="BQ214" s="192"/>
      <c r="BR214" s="192"/>
      <c r="BS214" s="192"/>
      <c r="BT214" s="192"/>
      <c r="BU214" s="192"/>
      <c r="BV214" s="192"/>
      <c r="BW214" s="192"/>
      <c r="BX214" s="192"/>
      <c r="BY214" s="192"/>
      <c r="BZ214" s="192"/>
      <c r="CA214" s="192"/>
      <c r="CB214" s="192"/>
      <c r="CC214" s="192"/>
      <c r="CD214" s="192"/>
      <c r="CE214" s="192"/>
      <c r="CF214" s="192"/>
      <c r="CG214" s="193"/>
      <c r="CH214" s="193"/>
      <c r="CI214" s="193"/>
      <c r="CJ214" s="193"/>
      <c r="CK214" s="193"/>
      <c r="CL214" s="193"/>
      <c r="CM214" s="196"/>
      <c r="CN214" s="192"/>
      <c r="CO214" s="192"/>
      <c r="CP214" s="192"/>
      <c r="CQ214" s="192"/>
      <c r="CR214" s="192"/>
      <c r="CS214" s="192"/>
      <c r="CT214" s="192"/>
      <c r="CU214" s="192"/>
      <c r="DE214" s="186">
        <f>DE108</f>
        <v>39714</v>
      </c>
      <c r="DF214" s="181">
        <f t="shared" ref="DF214:EJ214" si="344">AVERAGE(DF108:DF117)</f>
        <v>0</v>
      </c>
      <c r="DG214" s="181">
        <f t="shared" si="344"/>
        <v>23.177083333333332</v>
      </c>
      <c r="DH214" s="181">
        <f t="shared" si="344"/>
        <v>10.416666666666668</v>
      </c>
      <c r="DI214" s="181">
        <f t="shared" si="344"/>
        <v>0</v>
      </c>
      <c r="DJ214" s="181">
        <f t="shared" si="344"/>
        <v>0</v>
      </c>
      <c r="DK214" s="181">
        <f t="shared" si="344"/>
        <v>0</v>
      </c>
      <c r="DL214" s="181">
        <f t="shared" si="344"/>
        <v>0</v>
      </c>
      <c r="DM214" s="181">
        <f t="shared" si="344"/>
        <v>0</v>
      </c>
      <c r="DN214" s="181">
        <f t="shared" si="344"/>
        <v>0</v>
      </c>
      <c r="DO214" s="181">
        <f t="shared" si="344"/>
        <v>0</v>
      </c>
      <c r="DP214" s="181">
        <f t="shared" si="344"/>
        <v>0</v>
      </c>
      <c r="DQ214" s="181">
        <f t="shared" si="344"/>
        <v>0</v>
      </c>
      <c r="DR214" s="181">
        <f t="shared" si="344"/>
        <v>0</v>
      </c>
      <c r="DS214" s="181">
        <f t="shared" si="344"/>
        <v>0</v>
      </c>
      <c r="DT214" s="181">
        <f t="shared" si="344"/>
        <v>0</v>
      </c>
      <c r="DU214" s="181">
        <f t="shared" si="344"/>
        <v>0</v>
      </c>
      <c r="DV214" s="181">
        <f t="shared" si="344"/>
        <v>0</v>
      </c>
      <c r="DW214" s="181">
        <f t="shared" si="344"/>
        <v>0</v>
      </c>
      <c r="DX214" s="181">
        <f t="shared" si="344"/>
        <v>0</v>
      </c>
      <c r="DY214" s="181">
        <f t="shared" si="344"/>
        <v>0</v>
      </c>
      <c r="DZ214" s="181">
        <f t="shared" si="344"/>
        <v>0</v>
      </c>
      <c r="EA214" s="181">
        <f t="shared" si="344"/>
        <v>0</v>
      </c>
      <c r="EB214" s="181">
        <f t="shared" si="344"/>
        <v>0</v>
      </c>
      <c r="EC214" s="181">
        <f t="shared" si="344"/>
        <v>0</v>
      </c>
      <c r="ED214" s="181">
        <f t="shared" si="344"/>
        <v>0</v>
      </c>
      <c r="EE214" s="181">
        <f t="shared" si="344"/>
        <v>0</v>
      </c>
      <c r="EF214" s="181">
        <f t="shared" si="344"/>
        <v>0</v>
      </c>
      <c r="EG214" s="181">
        <f t="shared" si="344"/>
        <v>0</v>
      </c>
      <c r="EH214" s="181">
        <f t="shared" si="344"/>
        <v>0</v>
      </c>
      <c r="EI214" s="181">
        <f t="shared" si="344"/>
        <v>0</v>
      </c>
      <c r="EJ214" s="181">
        <f t="shared" si="344"/>
        <v>0</v>
      </c>
      <c r="FY214" s="211">
        <v>209</v>
      </c>
      <c r="FZ214">
        <v>0.96046099911047556</v>
      </c>
      <c r="GA214">
        <v>1.0783009649227904</v>
      </c>
      <c r="GB214">
        <v>0.80915460138790996</v>
      </c>
      <c r="GC214">
        <v>0.63911795348537126</v>
      </c>
      <c r="GD214">
        <v>0.26777444072154749</v>
      </c>
      <c r="GE214">
        <v>0.20705340458159999</v>
      </c>
      <c r="GF214">
        <v>0.45565491086656262</v>
      </c>
      <c r="GG214">
        <v>0.34012406257845362</v>
      </c>
      <c r="GH214">
        <v>6.6522953376906252E-2</v>
      </c>
      <c r="GI214">
        <v>0.58420524644720406</v>
      </c>
      <c r="GJ214"/>
      <c r="GK214">
        <v>0.95732996323529396</v>
      </c>
      <c r="GL214">
        <v>0.90834558823529399</v>
      </c>
      <c r="GM214">
        <v>1.3285688920454544</v>
      </c>
      <c r="GN214">
        <v>1.8749251420454542</v>
      </c>
      <c r="GO214">
        <v>1.018809375</v>
      </c>
      <c r="GP214">
        <v>0.38906249999999998</v>
      </c>
      <c r="GQ214">
        <v>0.54931385869565208</v>
      </c>
      <c r="GR214">
        <v>0.47314719202898542</v>
      </c>
      <c r="GS214">
        <v>7.0364583333333328E-2</v>
      </c>
      <c r="GT214">
        <v>0.78487733446194685</v>
      </c>
      <c r="GU214"/>
      <c r="GV214"/>
      <c r="GW214"/>
      <c r="GX214"/>
      <c r="GY214"/>
      <c r="GZ214"/>
      <c r="HA214"/>
      <c r="HB214"/>
      <c r="HC214"/>
    </row>
    <row r="215" spans="1:211" s="7" customFormat="1">
      <c r="A215" s="4"/>
      <c r="B215" s="4"/>
      <c r="C215" s="4"/>
      <c r="D215" s="4"/>
      <c r="E215" s="4"/>
      <c r="F215" s="28"/>
      <c r="G215" s="28"/>
      <c r="H215" s="83"/>
      <c r="I215" s="4"/>
      <c r="J215" s="4"/>
      <c r="K215" s="4"/>
      <c r="L215" s="4"/>
      <c r="M215" s="4"/>
      <c r="N215" s="74"/>
      <c r="O215" s="74"/>
      <c r="P215" s="74"/>
      <c r="Q215" s="74"/>
      <c r="R215" s="74"/>
      <c r="S215" s="74"/>
      <c r="T215" s="74"/>
      <c r="U215" s="74"/>
      <c r="V215" s="74"/>
      <c r="W215" s="74"/>
      <c r="X215" s="74"/>
      <c r="Y215" s="74"/>
      <c r="Z215" s="74"/>
      <c r="AA215" s="74"/>
      <c r="AB215" s="74"/>
      <c r="AC215" s="74"/>
      <c r="AD215" s="74"/>
      <c r="AE215" s="74"/>
      <c r="AF215" s="74"/>
      <c r="AG215" s="74"/>
      <c r="AH215" s="74"/>
      <c r="AI215" s="74"/>
      <c r="AJ215" s="74"/>
      <c r="AK215" s="74"/>
      <c r="AL215" s="74">
        <v>3.0028000000000028</v>
      </c>
      <c r="AM215" s="43">
        <v>199</v>
      </c>
      <c r="AN215">
        <v>55.405935491996864</v>
      </c>
      <c r="AO215">
        <v>1.2087193574145376</v>
      </c>
      <c r="AP215">
        <v>7.858924643709388</v>
      </c>
      <c r="AQ215">
        <v>10.538543594421283</v>
      </c>
      <c r="AR215">
        <v>1.1141193240481813</v>
      </c>
      <c r="AS215">
        <v>4.4396017578464928</v>
      </c>
      <c r="AT215" t="e">
        <v>#DIV/0!</v>
      </c>
      <c r="AU215" t="e">
        <v>#DIV/0!</v>
      </c>
      <c r="AV215"/>
      <c r="AW215"/>
      <c r="BA215" s="194"/>
      <c r="BB215" s="192"/>
      <c r="BC215" s="192"/>
      <c r="BD215" s="192"/>
      <c r="BE215" s="192"/>
      <c r="BF215" s="192"/>
      <c r="BG215" s="192"/>
      <c r="BH215" s="192"/>
      <c r="BI215" s="192"/>
      <c r="BJ215" s="192"/>
      <c r="BK215" s="192"/>
      <c r="BL215" s="192"/>
      <c r="BM215" s="192"/>
      <c r="BN215" s="192"/>
      <c r="BO215" s="192"/>
      <c r="BP215" s="192"/>
      <c r="BQ215" s="192"/>
      <c r="BR215" s="192"/>
      <c r="BS215" s="192"/>
      <c r="BT215" s="192"/>
      <c r="BU215" s="192"/>
      <c r="BV215" s="192"/>
      <c r="BW215" s="192"/>
      <c r="BX215" s="192"/>
      <c r="BY215" s="192"/>
      <c r="BZ215" s="192"/>
      <c r="CA215" s="192"/>
      <c r="CB215" s="192"/>
      <c r="CC215" s="192"/>
      <c r="CD215" s="192"/>
      <c r="CE215" s="192"/>
      <c r="CF215" s="192"/>
      <c r="CG215" s="193"/>
      <c r="CH215" s="193"/>
      <c r="CI215" s="193"/>
      <c r="CJ215" s="193"/>
      <c r="CK215" s="193"/>
      <c r="CL215" s="193"/>
      <c r="CM215" s="196"/>
      <c r="CN215" s="192"/>
      <c r="CO215" s="192"/>
      <c r="CP215" s="192"/>
      <c r="CQ215" s="192"/>
      <c r="CR215" s="192"/>
      <c r="CS215" s="192"/>
      <c r="CT215" s="192"/>
      <c r="CU215" s="192"/>
      <c r="DE215" s="186">
        <f>DE118</f>
        <v>39747</v>
      </c>
      <c r="DF215" s="181">
        <f t="shared" ref="DF215:EJ215" si="345">AVERAGE(DF118:DF127)</f>
        <v>0</v>
      </c>
      <c r="DG215" s="181">
        <f t="shared" ref="DG215:DH215" si="346">AVERAGE(DG118:DG127)</f>
        <v>17.795138888888889</v>
      </c>
      <c r="DH215" s="181">
        <f t="shared" si="346"/>
        <v>53.306502525252519</v>
      </c>
      <c r="DI215" s="181">
        <f t="shared" si="345"/>
        <v>0</v>
      </c>
      <c r="DJ215" s="181">
        <f t="shared" si="345"/>
        <v>0</v>
      </c>
      <c r="DK215" s="181">
        <f t="shared" si="345"/>
        <v>0</v>
      </c>
      <c r="DL215" s="181">
        <f t="shared" si="345"/>
        <v>0</v>
      </c>
      <c r="DM215" s="181">
        <f t="shared" si="345"/>
        <v>0</v>
      </c>
      <c r="DN215" s="181">
        <f t="shared" si="345"/>
        <v>0</v>
      </c>
      <c r="DO215" s="181">
        <f t="shared" si="345"/>
        <v>0</v>
      </c>
      <c r="DP215" s="181">
        <f t="shared" si="345"/>
        <v>0</v>
      </c>
      <c r="DQ215" s="181">
        <f t="shared" si="345"/>
        <v>0</v>
      </c>
      <c r="DR215" s="181">
        <f t="shared" si="345"/>
        <v>0</v>
      </c>
      <c r="DS215" s="181">
        <f t="shared" si="345"/>
        <v>0</v>
      </c>
      <c r="DT215" s="181">
        <f t="shared" si="345"/>
        <v>0</v>
      </c>
      <c r="DU215" s="181">
        <f t="shared" si="345"/>
        <v>0</v>
      </c>
      <c r="DV215" s="181">
        <f t="shared" si="345"/>
        <v>0</v>
      </c>
      <c r="DW215" s="181">
        <f t="shared" si="345"/>
        <v>0</v>
      </c>
      <c r="DX215" s="181">
        <f t="shared" si="345"/>
        <v>0</v>
      </c>
      <c r="DY215" s="181">
        <f t="shared" si="345"/>
        <v>0</v>
      </c>
      <c r="DZ215" s="181">
        <f t="shared" si="345"/>
        <v>0</v>
      </c>
      <c r="EA215" s="181">
        <f t="shared" si="345"/>
        <v>0</v>
      </c>
      <c r="EB215" s="181">
        <f t="shared" si="345"/>
        <v>0</v>
      </c>
      <c r="EC215" s="181">
        <f t="shared" si="345"/>
        <v>0</v>
      </c>
      <c r="ED215" s="181">
        <f t="shared" si="345"/>
        <v>0</v>
      </c>
      <c r="EE215" s="181">
        <f t="shared" si="345"/>
        <v>0</v>
      </c>
      <c r="EF215" s="181">
        <f t="shared" si="345"/>
        <v>0</v>
      </c>
      <c r="EG215" s="181">
        <f t="shared" si="345"/>
        <v>0</v>
      </c>
      <c r="EH215" s="181">
        <f t="shared" si="345"/>
        <v>0</v>
      </c>
      <c r="EI215" s="181">
        <f t="shared" si="345"/>
        <v>0</v>
      </c>
      <c r="EJ215" s="181">
        <f t="shared" si="345"/>
        <v>0</v>
      </c>
      <c r="FY215" s="211">
        <v>210</v>
      </c>
      <c r="FZ215">
        <v>1.1729867349154615</v>
      </c>
      <c r="GA215">
        <v>2.1879191714610484</v>
      </c>
      <c r="GB215">
        <v>1.6071840377683346</v>
      </c>
      <c r="GC215">
        <v>0.70732901468251785</v>
      </c>
      <c r="GD215">
        <v>0.14541691680123425</v>
      </c>
      <c r="GE215">
        <v>0.12900836070404997</v>
      </c>
      <c r="GF215">
        <v>0.49395954912409079</v>
      </c>
      <c r="GG215">
        <v>0.4281665527876255</v>
      </c>
      <c r="GH215">
        <v>0</v>
      </c>
      <c r="GI215">
        <v>0.73783902159419212</v>
      </c>
      <c r="GJ215"/>
      <c r="GK215">
        <v>1.1690643382352941</v>
      </c>
      <c r="GL215">
        <v>1.8429979319852943</v>
      </c>
      <c r="GM215">
        <v>2.6388838778409087</v>
      </c>
      <c r="GN215">
        <v>2.0767699269480517</v>
      </c>
      <c r="GO215">
        <v>0.55356964285714283</v>
      </c>
      <c r="GP215">
        <v>0.24253124999999998</v>
      </c>
      <c r="GQ215">
        <v>0.59590760869565207</v>
      </c>
      <c r="GR215">
        <v>0.59590760869565207</v>
      </c>
      <c r="GS215">
        <v>0</v>
      </c>
      <c r="GT215">
        <v>0.99148509352579961</v>
      </c>
      <c r="GU215"/>
      <c r="GV215"/>
      <c r="GW215"/>
      <c r="GX215"/>
      <c r="GY215"/>
      <c r="GZ215"/>
      <c r="HA215"/>
      <c r="HB215"/>
      <c r="HC215"/>
    </row>
    <row r="216" spans="1:211" s="7" customFormat="1">
      <c r="A216" s="4"/>
      <c r="B216" s="4"/>
      <c r="C216" s="4"/>
      <c r="D216" s="4"/>
      <c r="E216" s="4"/>
      <c r="F216" s="28"/>
      <c r="G216" s="28"/>
      <c r="H216" s="83"/>
      <c r="I216" s="4"/>
      <c r="J216" s="4"/>
      <c r="K216" s="4"/>
      <c r="L216" s="4"/>
      <c r="M216" s="4"/>
      <c r="N216" s="74"/>
      <c r="O216" s="74"/>
      <c r="P216" s="74"/>
      <c r="Q216" s="74"/>
      <c r="R216" s="74"/>
      <c r="S216" s="74"/>
      <c r="T216" s="74"/>
      <c r="U216" s="74"/>
      <c r="V216" s="74"/>
      <c r="W216" s="74"/>
      <c r="X216" s="74"/>
      <c r="Y216" s="74"/>
      <c r="Z216" s="74"/>
      <c r="AA216" s="74"/>
      <c r="AB216" s="74"/>
      <c r="AC216" s="74"/>
      <c r="AD216" s="74"/>
      <c r="AE216" s="74"/>
      <c r="AF216" s="74"/>
      <c r="AG216" s="74"/>
      <c r="AH216" s="74"/>
      <c r="AI216" s="74"/>
      <c r="AJ216" s="74"/>
      <c r="AK216" s="74"/>
      <c r="AL216" s="74">
        <v>3.0028000000000028</v>
      </c>
      <c r="AM216" s="43">
        <v>200</v>
      </c>
      <c r="AN216">
        <v>32.165531367461519</v>
      </c>
      <c r="AO216">
        <v>0.68600690881208237</v>
      </c>
      <c r="AP216">
        <v>5.4118401112211956</v>
      </c>
      <c r="AQ216">
        <v>6.1919443760635451</v>
      </c>
      <c r="AR216">
        <v>0.64033981439210286</v>
      </c>
      <c r="AS216">
        <v>2.5921135954764485</v>
      </c>
      <c r="AT216" t="e">
        <v>#DIV/0!</v>
      </c>
      <c r="AU216" t="e">
        <v>#DIV/0!</v>
      </c>
      <c r="AV216"/>
      <c r="AW216"/>
      <c r="BA216" s="194"/>
      <c r="BB216" s="192"/>
      <c r="BC216" s="192"/>
      <c r="BD216" s="192"/>
      <c r="BE216" s="192"/>
      <c r="BF216" s="192"/>
      <c r="BG216" s="192"/>
      <c r="BH216" s="192"/>
      <c r="BI216" s="192"/>
      <c r="BJ216" s="192"/>
      <c r="BK216" s="192"/>
      <c r="BL216" s="192"/>
      <c r="BM216" s="192"/>
      <c r="BN216" s="192"/>
      <c r="BO216" s="192"/>
      <c r="BP216" s="192"/>
      <c r="BQ216" s="192"/>
      <c r="BR216" s="192"/>
      <c r="BS216" s="192"/>
      <c r="BT216" s="192"/>
      <c r="BU216" s="192"/>
      <c r="BV216" s="192"/>
      <c r="BW216" s="192"/>
      <c r="BX216" s="192"/>
      <c r="BY216" s="192"/>
      <c r="BZ216" s="192"/>
      <c r="CA216" s="192"/>
      <c r="CB216" s="192"/>
      <c r="CC216" s="192"/>
      <c r="CD216" s="192"/>
      <c r="CE216" s="192"/>
      <c r="CF216" s="192"/>
      <c r="CG216" s="193"/>
      <c r="CH216" s="193"/>
      <c r="CI216" s="193"/>
      <c r="CJ216" s="193"/>
      <c r="CK216" s="193"/>
      <c r="CL216" s="193"/>
      <c r="CM216" s="196"/>
      <c r="CN216" s="192"/>
      <c r="CO216" s="192"/>
      <c r="CP216" s="192"/>
      <c r="CQ216" s="192"/>
      <c r="CR216" s="192"/>
      <c r="CS216" s="192"/>
      <c r="CT216" s="192"/>
      <c r="CU216" s="192"/>
      <c r="DE216" s="186">
        <f>DE128</f>
        <v>39775</v>
      </c>
      <c r="DF216" s="181">
        <f t="shared" ref="DF216:EJ216" si="347">AVERAGE(DF128:DF137)</f>
        <v>7.291666666666667</v>
      </c>
      <c r="DG216" s="181">
        <f t="shared" ref="DG216:DH216" si="348">AVERAGE(DG128:DG137)</f>
        <v>77.886904761904759</v>
      </c>
      <c r="DH216" s="181">
        <f t="shared" si="348"/>
        <v>5.208333333333333</v>
      </c>
      <c r="DI216" s="181">
        <f t="shared" si="347"/>
        <v>0</v>
      </c>
      <c r="DJ216" s="181">
        <f t="shared" si="347"/>
        <v>0</v>
      </c>
      <c r="DK216" s="181">
        <f t="shared" si="347"/>
        <v>0</v>
      </c>
      <c r="DL216" s="181">
        <f t="shared" si="347"/>
        <v>0</v>
      </c>
      <c r="DM216" s="181">
        <f t="shared" si="347"/>
        <v>0</v>
      </c>
      <c r="DN216" s="181">
        <f t="shared" si="347"/>
        <v>0</v>
      </c>
      <c r="DO216" s="181">
        <f t="shared" si="347"/>
        <v>0</v>
      </c>
      <c r="DP216" s="181">
        <f t="shared" si="347"/>
        <v>0</v>
      </c>
      <c r="DQ216" s="181">
        <f t="shared" si="347"/>
        <v>0</v>
      </c>
      <c r="DR216" s="181">
        <f t="shared" si="347"/>
        <v>0</v>
      </c>
      <c r="DS216" s="181">
        <f t="shared" si="347"/>
        <v>0</v>
      </c>
      <c r="DT216" s="181">
        <f t="shared" si="347"/>
        <v>0</v>
      </c>
      <c r="DU216" s="181">
        <f t="shared" si="347"/>
        <v>0</v>
      </c>
      <c r="DV216" s="181">
        <f t="shared" si="347"/>
        <v>0</v>
      </c>
      <c r="DW216" s="181">
        <f t="shared" si="347"/>
        <v>0</v>
      </c>
      <c r="DX216" s="181">
        <f t="shared" si="347"/>
        <v>0</v>
      </c>
      <c r="DY216" s="181">
        <f t="shared" si="347"/>
        <v>0</v>
      </c>
      <c r="DZ216" s="181">
        <f t="shared" si="347"/>
        <v>0</v>
      </c>
      <c r="EA216" s="181">
        <f t="shared" si="347"/>
        <v>0</v>
      </c>
      <c r="EB216" s="181">
        <f t="shared" si="347"/>
        <v>0</v>
      </c>
      <c r="EC216" s="181">
        <f t="shared" si="347"/>
        <v>0</v>
      </c>
      <c r="ED216" s="181">
        <f t="shared" si="347"/>
        <v>0</v>
      </c>
      <c r="EE216" s="181">
        <f t="shared" si="347"/>
        <v>0</v>
      </c>
      <c r="EF216" s="181">
        <f t="shared" si="347"/>
        <v>0</v>
      </c>
      <c r="EG216" s="181">
        <f t="shared" si="347"/>
        <v>0</v>
      </c>
      <c r="EH216" s="181">
        <f t="shared" si="347"/>
        <v>0</v>
      </c>
      <c r="EI216" s="181">
        <f t="shared" si="347"/>
        <v>0</v>
      </c>
      <c r="EJ216" s="181">
        <f t="shared" si="347"/>
        <v>0</v>
      </c>
      <c r="FY216" s="211">
        <v>211</v>
      </c>
      <c r="FZ216">
        <v>0.84965607745778837</v>
      </c>
      <c r="GA216">
        <v>1.5448158234572194</v>
      </c>
      <c r="GB216">
        <v>0.48522162323265472</v>
      </c>
      <c r="GC216">
        <v>0.58413269815876256</v>
      </c>
      <c r="GD216">
        <v>0.39191675413254101</v>
      </c>
      <c r="GE216">
        <v>4.3360981258274998E-2</v>
      </c>
      <c r="GF216">
        <v>0.31972386098362504</v>
      </c>
      <c r="GG216">
        <v>0.27724879729462504</v>
      </c>
      <c r="GH216">
        <v>2.2985735835423678E-2</v>
      </c>
      <c r="GI216">
        <v>0.52764500100992073</v>
      </c>
      <c r="GJ216"/>
      <c r="GK216">
        <v>0.84673308823529403</v>
      </c>
      <c r="GL216">
        <v>1.3010924632352943</v>
      </c>
      <c r="GM216">
        <v>0.79576562500000003</v>
      </c>
      <c r="GN216">
        <v>1.7105580357142858</v>
      </c>
      <c r="GO216">
        <v>1.4904174107142858</v>
      </c>
      <c r="GP216">
        <v>8.1421875000000005E-2</v>
      </c>
      <c r="GQ216">
        <v>0.38624999999999998</v>
      </c>
      <c r="GR216">
        <v>0.38624999999999998</v>
      </c>
      <c r="GS216">
        <v>2.4293870192307693E-2</v>
      </c>
      <c r="GT216">
        <v>0.70869199882837752</v>
      </c>
      <c r="GU216"/>
      <c r="GV216"/>
      <c r="GW216"/>
      <c r="GX216"/>
      <c r="GY216"/>
      <c r="GZ216"/>
      <c r="HA216"/>
      <c r="HB216"/>
      <c r="HC216"/>
    </row>
    <row r="217" spans="1:211" s="7" customFormat="1">
      <c r="A217" s="4"/>
      <c r="B217" s="4"/>
      <c r="C217" s="84"/>
      <c r="D217" s="85"/>
      <c r="E217" s="85"/>
      <c r="F217" s="74"/>
      <c r="G217" s="74"/>
      <c r="H217" s="74"/>
      <c r="I217" s="74"/>
      <c r="J217" s="74"/>
      <c r="K217" s="74"/>
      <c r="L217" s="74"/>
      <c r="M217" s="74"/>
      <c r="N217" s="74"/>
      <c r="O217" s="74"/>
      <c r="P217" s="74"/>
      <c r="Q217" s="74"/>
      <c r="R217" s="74"/>
      <c r="S217" s="74"/>
      <c r="T217" s="74"/>
      <c r="U217" s="74"/>
      <c r="V217" s="74"/>
      <c r="W217" s="74"/>
      <c r="X217" s="74"/>
      <c r="Y217" s="74"/>
      <c r="Z217" s="74"/>
      <c r="AA217" s="74"/>
      <c r="AB217" s="74"/>
      <c r="AC217" s="74"/>
      <c r="AD217" s="74"/>
      <c r="AE217" s="74"/>
      <c r="AF217" s="74"/>
      <c r="AG217" s="74"/>
      <c r="AH217" s="74"/>
      <c r="AI217" s="74"/>
      <c r="AJ217" s="74"/>
      <c r="AK217" s="74"/>
      <c r="AL217" s="74">
        <v>3.0028000000000028</v>
      </c>
      <c r="AM217" s="43">
        <v>201</v>
      </c>
      <c r="AN217">
        <v>45.32123458264762</v>
      </c>
      <c r="AO217">
        <v>0.94597556585443543</v>
      </c>
      <c r="AP217">
        <v>1.0553592248007373</v>
      </c>
      <c r="AQ217">
        <v>5.6890238241813602</v>
      </c>
      <c r="AR217">
        <v>0.8716391726299062</v>
      </c>
      <c r="AS217">
        <v>3.8272889848216622</v>
      </c>
      <c r="AT217">
        <v>0.73161352513904088</v>
      </c>
      <c r="AU217">
        <v>-6.4291971845087073E-2</v>
      </c>
      <c r="AV217"/>
      <c r="AW217"/>
      <c r="BA217" s="194"/>
      <c r="BB217" s="192"/>
      <c r="BC217" s="192"/>
      <c r="BD217" s="192"/>
      <c r="BE217" s="192"/>
      <c r="BF217" s="192"/>
      <c r="BG217" s="192"/>
      <c r="BH217" s="192"/>
      <c r="BI217" s="192"/>
      <c r="BJ217" s="192"/>
      <c r="BK217" s="192"/>
      <c r="BL217" s="192"/>
      <c r="BM217" s="192"/>
      <c r="BN217" s="192"/>
      <c r="BO217" s="192"/>
      <c r="BP217" s="192"/>
      <c r="BQ217" s="192"/>
      <c r="BR217" s="192"/>
      <c r="BS217" s="192"/>
      <c r="BT217" s="192"/>
      <c r="BU217" s="192"/>
      <c r="BV217" s="192"/>
      <c r="BW217" s="192"/>
      <c r="BX217" s="192"/>
      <c r="BY217" s="192"/>
      <c r="BZ217" s="192"/>
      <c r="CA217" s="192"/>
      <c r="CB217" s="192"/>
      <c r="CC217" s="192"/>
      <c r="CD217" s="192"/>
      <c r="CE217" s="192"/>
      <c r="CF217" s="192"/>
      <c r="CG217" s="193"/>
      <c r="CH217" s="193"/>
      <c r="CI217" s="193"/>
      <c r="CJ217" s="193"/>
      <c r="CK217" s="193"/>
      <c r="CL217" s="193"/>
      <c r="CM217" s="196"/>
      <c r="CN217" s="192"/>
      <c r="CO217" s="192"/>
      <c r="CP217" s="192"/>
      <c r="CQ217" s="192"/>
      <c r="CR217" s="192"/>
      <c r="CS217" s="192"/>
      <c r="CT217" s="192"/>
      <c r="CU217" s="192"/>
      <c r="DE217" s="186">
        <f>DE138</f>
        <v>39799</v>
      </c>
      <c r="DF217" s="181">
        <f t="shared" ref="DF217:EJ217" si="349">AVERAGE(DF138:DF147)</f>
        <v>0</v>
      </c>
      <c r="DG217" s="181">
        <f t="shared" ref="DG217:DH217" si="350">AVERAGE(DG138:DG147)</f>
        <v>14.583333333333332</v>
      </c>
      <c r="DH217" s="181">
        <f t="shared" si="350"/>
        <v>2.083333333333333</v>
      </c>
      <c r="DI217" s="181">
        <f t="shared" si="349"/>
        <v>0</v>
      </c>
      <c r="DJ217" s="181">
        <f t="shared" si="349"/>
        <v>0</v>
      </c>
      <c r="DK217" s="181">
        <f t="shared" si="349"/>
        <v>0</v>
      </c>
      <c r="DL217" s="181">
        <f t="shared" si="349"/>
        <v>0</v>
      </c>
      <c r="DM217" s="181">
        <f t="shared" si="349"/>
        <v>0</v>
      </c>
      <c r="DN217" s="181">
        <f t="shared" si="349"/>
        <v>0</v>
      </c>
      <c r="DO217" s="181">
        <f t="shared" si="349"/>
        <v>0</v>
      </c>
      <c r="DP217" s="181">
        <f t="shared" si="349"/>
        <v>0</v>
      </c>
      <c r="DQ217" s="181">
        <f t="shared" si="349"/>
        <v>0</v>
      </c>
      <c r="DR217" s="181">
        <f t="shared" si="349"/>
        <v>0</v>
      </c>
      <c r="DS217" s="181">
        <f t="shared" si="349"/>
        <v>0</v>
      </c>
      <c r="DT217" s="181">
        <f t="shared" si="349"/>
        <v>0</v>
      </c>
      <c r="DU217" s="181">
        <f t="shared" si="349"/>
        <v>0</v>
      </c>
      <c r="DV217" s="181">
        <f t="shared" si="349"/>
        <v>0</v>
      </c>
      <c r="DW217" s="181">
        <f t="shared" si="349"/>
        <v>0</v>
      </c>
      <c r="DX217" s="181">
        <f t="shared" si="349"/>
        <v>0</v>
      </c>
      <c r="DY217" s="181">
        <f t="shared" si="349"/>
        <v>0</v>
      </c>
      <c r="DZ217" s="181">
        <f t="shared" si="349"/>
        <v>0</v>
      </c>
      <c r="EA217" s="181">
        <f t="shared" si="349"/>
        <v>0</v>
      </c>
      <c r="EB217" s="181">
        <f t="shared" si="349"/>
        <v>0</v>
      </c>
      <c r="EC217" s="181">
        <f t="shared" si="349"/>
        <v>0</v>
      </c>
      <c r="ED217" s="181">
        <f t="shared" si="349"/>
        <v>0</v>
      </c>
      <c r="EE217" s="181">
        <f t="shared" si="349"/>
        <v>0</v>
      </c>
      <c r="EF217" s="181">
        <f t="shared" si="349"/>
        <v>0</v>
      </c>
      <c r="EG217" s="181">
        <f t="shared" si="349"/>
        <v>0</v>
      </c>
      <c r="EH217" s="181">
        <f t="shared" si="349"/>
        <v>0</v>
      </c>
      <c r="EI217" s="181">
        <f t="shared" si="349"/>
        <v>0</v>
      </c>
      <c r="EJ217" s="181">
        <f t="shared" si="349"/>
        <v>0</v>
      </c>
      <c r="FY217" s="211">
        <v>212</v>
      </c>
      <c r="FZ217">
        <v>1.0839803677757243</v>
      </c>
      <c r="GA217">
        <v>1.5910237924027559</v>
      </c>
      <c r="GB217">
        <v>1.0521588072497554</v>
      </c>
      <c r="GC217">
        <v>0.52331263140222573</v>
      </c>
      <c r="GD217">
        <v>3.0919048831845E-2</v>
      </c>
      <c r="GE217">
        <v>3.0832901432324998E-2</v>
      </c>
      <c r="GF217">
        <v>1.0284381956596096</v>
      </c>
      <c r="GG217">
        <v>0.90691501401339158</v>
      </c>
      <c r="GH217">
        <v>8.9508689212329934E-2</v>
      </c>
      <c r="GI217">
        <v>0.63421755431507343</v>
      </c>
      <c r="GJ217"/>
      <c r="GK217">
        <v>1.0802174632352941</v>
      </c>
      <c r="GL217">
        <v>1.3398815257352941</v>
      </c>
      <c r="GM217">
        <v>1.7270220170454544</v>
      </c>
      <c r="GN217">
        <v>1.5360860795454545</v>
      </c>
      <c r="GO217">
        <v>0.11761874999999999</v>
      </c>
      <c r="GP217">
        <v>5.7890625000000001E-2</v>
      </c>
      <c r="GQ217">
        <v>1.2406589673913042</v>
      </c>
      <c r="GR217">
        <v>1.2621798007246374</v>
      </c>
      <c r="GS217">
        <v>9.465845352564102E-2</v>
      </c>
      <c r="GT217">
        <v>0.85203513023953881</v>
      </c>
      <c r="GU217"/>
      <c r="GV217"/>
      <c r="GW217"/>
      <c r="GX217"/>
      <c r="GY217"/>
      <c r="GZ217"/>
      <c r="HA217"/>
      <c r="HB217"/>
      <c r="HC217"/>
    </row>
    <row r="218" spans="1:211" s="7" customFormat="1">
      <c r="A218" s="4"/>
      <c r="B218" s="4"/>
      <c r="C218" s="84"/>
      <c r="D218" s="85"/>
      <c r="E218" s="85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  <c r="W218" s="74"/>
      <c r="X218" s="74"/>
      <c r="Y218" s="74"/>
      <c r="Z218" s="74"/>
      <c r="AA218" s="74"/>
      <c r="AB218" s="74"/>
      <c r="AC218" s="74"/>
      <c r="AD218" s="74"/>
      <c r="AE218" s="74"/>
      <c r="AF218" s="74"/>
      <c r="AG218" s="74"/>
      <c r="AH218" s="74"/>
      <c r="AI218" s="74"/>
      <c r="AJ218" s="74"/>
      <c r="AK218" s="74"/>
      <c r="AL218" s="74">
        <v>3.0028000000000028</v>
      </c>
      <c r="AM218" s="43">
        <v>202</v>
      </c>
      <c r="AN218">
        <v>39.117675264550272</v>
      </c>
      <c r="AO218">
        <v>0.87353839434523817</v>
      </c>
      <c r="AP218">
        <v>1.1810646158086293</v>
      </c>
      <c r="AQ218">
        <v>4.9799522046397176</v>
      </c>
      <c r="AR218">
        <v>0.80499229031385289</v>
      </c>
      <c r="AS218">
        <v>3.4115654875076276</v>
      </c>
      <c r="AT218" t="e">
        <v>#DIV/0!</v>
      </c>
      <c r="AU218" t="e">
        <v>#DIV/0!</v>
      </c>
      <c r="AV218"/>
      <c r="AW218"/>
      <c r="BA218" s="194"/>
      <c r="BB218" s="192"/>
      <c r="BC218" s="192"/>
      <c r="BD218" s="192"/>
      <c r="BE218" s="192"/>
      <c r="BF218" s="192"/>
      <c r="BG218" s="192"/>
      <c r="BH218" s="192"/>
      <c r="BI218" s="192"/>
      <c r="BJ218" s="192"/>
      <c r="BK218" s="192"/>
      <c r="BL218" s="192"/>
      <c r="BM218" s="192"/>
      <c r="BN218" s="192"/>
      <c r="BO218" s="192"/>
      <c r="BP218" s="192"/>
      <c r="BQ218" s="192"/>
      <c r="BR218" s="192"/>
      <c r="BS218" s="192"/>
      <c r="BT218" s="192"/>
      <c r="BU218" s="192"/>
      <c r="BV218" s="192"/>
      <c r="BW218" s="192"/>
      <c r="BX218" s="192"/>
      <c r="BY218" s="192"/>
      <c r="BZ218" s="192"/>
      <c r="CA218" s="192"/>
      <c r="CB218" s="192"/>
      <c r="CC218" s="192"/>
      <c r="CD218" s="192"/>
      <c r="CE218" s="192"/>
      <c r="CF218" s="192"/>
      <c r="CG218" s="193"/>
      <c r="CH218" s="193"/>
      <c r="CI218" s="193"/>
      <c r="CJ218" s="193"/>
      <c r="CK218" s="193"/>
      <c r="CL218" s="193"/>
      <c r="CM218" s="196"/>
      <c r="CN218" s="192"/>
      <c r="CO218" s="192"/>
      <c r="CP218" s="192"/>
      <c r="CQ218" s="192"/>
      <c r="CR218" s="192"/>
      <c r="CS218" s="192"/>
      <c r="CT218" s="192"/>
      <c r="CU218" s="192"/>
      <c r="DE218" s="186">
        <f>DE149</f>
        <v>39847</v>
      </c>
      <c r="DF218" s="181">
        <f t="shared" ref="DF218:EJ218" si="351">AVERAGE(DF148:DF157)</f>
        <v>1.0416666666666665</v>
      </c>
      <c r="DG218" s="181">
        <f t="shared" ref="DG218:DH218" si="352">AVERAGE(DG148:DG157)</f>
        <v>5.2083333333333339</v>
      </c>
      <c r="DH218" s="181">
        <f t="shared" si="352"/>
        <v>0</v>
      </c>
      <c r="DI218" s="181">
        <f t="shared" si="351"/>
        <v>0</v>
      </c>
      <c r="DJ218" s="181">
        <f t="shared" si="351"/>
        <v>0</v>
      </c>
      <c r="DK218" s="181">
        <f t="shared" si="351"/>
        <v>0</v>
      </c>
      <c r="DL218" s="181">
        <f t="shared" si="351"/>
        <v>0</v>
      </c>
      <c r="DM218" s="181">
        <f t="shared" si="351"/>
        <v>0</v>
      </c>
      <c r="DN218" s="181">
        <f t="shared" si="351"/>
        <v>0</v>
      </c>
      <c r="DO218" s="181">
        <f t="shared" si="351"/>
        <v>0</v>
      </c>
      <c r="DP218" s="181">
        <f t="shared" si="351"/>
        <v>0</v>
      </c>
      <c r="DQ218" s="181">
        <f t="shared" si="351"/>
        <v>0</v>
      </c>
      <c r="DR218" s="181">
        <f t="shared" si="351"/>
        <v>0</v>
      </c>
      <c r="DS218" s="181">
        <f t="shared" si="351"/>
        <v>0</v>
      </c>
      <c r="DT218" s="181">
        <f t="shared" si="351"/>
        <v>0</v>
      </c>
      <c r="DU218" s="181">
        <f t="shared" si="351"/>
        <v>0</v>
      </c>
      <c r="DV218" s="181">
        <f t="shared" si="351"/>
        <v>0</v>
      </c>
      <c r="DW218" s="181">
        <f t="shared" si="351"/>
        <v>0</v>
      </c>
      <c r="DX218" s="181">
        <f t="shared" si="351"/>
        <v>0</v>
      </c>
      <c r="DY218" s="181">
        <f t="shared" si="351"/>
        <v>0</v>
      </c>
      <c r="DZ218" s="181">
        <f t="shared" si="351"/>
        <v>0</v>
      </c>
      <c r="EA218" s="181">
        <f t="shared" si="351"/>
        <v>0</v>
      </c>
      <c r="EB218" s="181">
        <f t="shared" si="351"/>
        <v>0</v>
      </c>
      <c r="EC218" s="181">
        <f t="shared" si="351"/>
        <v>0</v>
      </c>
      <c r="ED218" s="181">
        <f t="shared" si="351"/>
        <v>0</v>
      </c>
      <c r="EE218" s="181">
        <f t="shared" si="351"/>
        <v>0</v>
      </c>
      <c r="EF218" s="181">
        <f t="shared" si="351"/>
        <v>0</v>
      </c>
      <c r="EG218" s="181">
        <f t="shared" si="351"/>
        <v>0</v>
      </c>
      <c r="EH218" s="181">
        <f t="shared" si="351"/>
        <v>0</v>
      </c>
      <c r="EI218" s="181">
        <f t="shared" si="351"/>
        <v>0</v>
      </c>
      <c r="EJ218" s="181">
        <f t="shared" si="351"/>
        <v>0</v>
      </c>
      <c r="FY218" s="211">
        <v>213</v>
      </c>
      <c r="FZ218">
        <v>1.2420378762188289</v>
      </c>
      <c r="GA218">
        <v>1.9220018971508028</v>
      </c>
      <c r="GB218">
        <v>0.3510661005881649</v>
      </c>
      <c r="GC218">
        <v>0.47548286294388109</v>
      </c>
      <c r="GD218">
        <v>0.40673624269787673</v>
      </c>
      <c r="GE218">
        <v>0.12231882202972501</v>
      </c>
      <c r="GF218">
        <v>0.98791909824818158</v>
      </c>
      <c r="GG218">
        <v>0.90691501401339158</v>
      </c>
      <c r="GH218">
        <v>8.9508689212329934E-2</v>
      </c>
      <c r="GI218">
        <v>0.6919758238550151</v>
      </c>
      <c r="GJ218"/>
      <c r="GK218">
        <v>1.2377643382352941</v>
      </c>
      <c r="GL218">
        <v>1.618787775735294</v>
      </c>
      <c r="GM218">
        <v>0.57594531250000003</v>
      </c>
      <c r="GN218">
        <v>1.3923102678571426</v>
      </c>
      <c r="GO218">
        <v>1.5467477678571426</v>
      </c>
      <c r="GP218">
        <v>0.22982812499999999</v>
      </c>
      <c r="GQ218">
        <v>1.1918152173913041</v>
      </c>
      <c r="GR218">
        <v>1.2621798007246374</v>
      </c>
      <c r="GS218">
        <v>9.465845352564102E-2</v>
      </c>
      <c r="GT218">
        <v>0.92938621790187637</v>
      </c>
      <c r="GU218"/>
      <c r="GV218"/>
      <c r="GW218"/>
      <c r="GX218"/>
      <c r="GY218"/>
      <c r="GZ218"/>
      <c r="HA218"/>
      <c r="HB218"/>
      <c r="HC218"/>
    </row>
    <row r="219" spans="1:211" s="7" customFormat="1">
      <c r="A219" s="4"/>
      <c r="B219" s="4"/>
      <c r="C219" s="84"/>
      <c r="D219" s="85"/>
      <c r="E219" s="85"/>
      <c r="F219" s="74"/>
      <c r="G219" s="74"/>
      <c r="H219" s="74"/>
      <c r="I219" s="74"/>
      <c r="J219" s="74"/>
      <c r="K219" s="74"/>
      <c r="L219" s="74"/>
      <c r="M219" s="74"/>
      <c r="N219" s="74"/>
      <c r="O219" s="74"/>
      <c r="P219" s="74"/>
      <c r="Q219" s="74"/>
      <c r="R219" s="74"/>
      <c r="S219" s="74"/>
      <c r="T219" s="74"/>
      <c r="U219" s="74"/>
      <c r="V219" s="74"/>
      <c r="W219" s="74"/>
      <c r="X219" s="74"/>
      <c r="Y219" s="74"/>
      <c r="Z219" s="74"/>
      <c r="AA219" s="74"/>
      <c r="AB219" s="74"/>
      <c r="AC219" s="74"/>
      <c r="AD219" s="74"/>
      <c r="AE219" s="74"/>
      <c r="AF219" s="74"/>
      <c r="AG219" s="74"/>
      <c r="AH219" s="74"/>
      <c r="AI219" s="74"/>
      <c r="AJ219" s="74"/>
      <c r="AK219" s="74"/>
      <c r="AL219" s="74">
        <v>3.0028000000000028</v>
      </c>
      <c r="AM219" s="43">
        <v>203</v>
      </c>
      <c r="AN219">
        <v>37.226106429890791</v>
      </c>
      <c r="AO219">
        <v>0.76107044662837953</v>
      </c>
      <c r="AP219">
        <v>14.228393444088439</v>
      </c>
      <c r="AQ219">
        <v>5.7156012481223808</v>
      </c>
      <c r="AR219">
        <v>0.6918822242076178</v>
      </c>
      <c r="AS219">
        <v>2.8789622001263764</v>
      </c>
      <c r="AT219" t="e">
        <v>#DIV/0!</v>
      </c>
      <c r="AU219" t="e">
        <v>#DIV/0!</v>
      </c>
      <c r="AV219"/>
      <c r="AW219"/>
      <c r="BA219" s="194"/>
      <c r="BB219" s="192"/>
      <c r="BC219" s="192"/>
      <c r="BD219" s="192"/>
      <c r="BE219" s="192"/>
      <c r="BF219" s="192"/>
      <c r="BG219" s="192"/>
      <c r="BH219" s="192"/>
      <c r="BI219" s="192"/>
      <c r="BJ219" s="192"/>
      <c r="BK219" s="192"/>
      <c r="BL219" s="192"/>
      <c r="BM219" s="192"/>
      <c r="BN219" s="192"/>
      <c r="BO219" s="192"/>
      <c r="BP219" s="192"/>
      <c r="BQ219" s="192"/>
      <c r="BR219" s="192"/>
      <c r="BS219" s="192"/>
      <c r="BT219" s="192"/>
      <c r="BU219" s="192"/>
      <c r="BV219" s="192"/>
      <c r="BW219" s="192"/>
      <c r="BX219" s="192"/>
      <c r="BY219" s="192"/>
      <c r="BZ219" s="192"/>
      <c r="CA219" s="192"/>
      <c r="CB219" s="192"/>
      <c r="CC219" s="192"/>
      <c r="CD219" s="192"/>
      <c r="CE219" s="192"/>
      <c r="CF219" s="192"/>
      <c r="CG219" s="193"/>
      <c r="CH219" s="193"/>
      <c r="CI219" s="193"/>
      <c r="CJ219" s="193"/>
      <c r="CK219" s="193"/>
      <c r="CL219" s="193"/>
      <c r="CM219" s="196"/>
      <c r="CN219" s="192"/>
      <c r="CO219" s="192"/>
      <c r="CP219" s="192"/>
      <c r="CQ219" s="192"/>
      <c r="CR219" s="192"/>
      <c r="CS219" s="192"/>
      <c r="CT219" s="192"/>
      <c r="CU219" s="192"/>
      <c r="DE219" s="186">
        <f>DE158</f>
        <v>39910</v>
      </c>
      <c r="DF219" s="181">
        <f t="shared" ref="DF219:EJ219" si="353">AVERAGE(DF158:DF167)</f>
        <v>0</v>
      </c>
      <c r="DG219" s="181">
        <f t="shared" si="353"/>
        <v>53.321256038647334</v>
      </c>
      <c r="DH219" s="181">
        <f t="shared" si="353"/>
        <v>6.9444444444444446</v>
      </c>
      <c r="DI219" s="181">
        <f t="shared" ref="DI219" si="354">AVERAGE(DI158:DI167)</f>
        <v>0</v>
      </c>
      <c r="DJ219" s="181">
        <f t="shared" si="353"/>
        <v>0</v>
      </c>
      <c r="DK219" s="181">
        <f t="shared" si="353"/>
        <v>0</v>
      </c>
      <c r="DL219" s="181">
        <f t="shared" si="353"/>
        <v>0</v>
      </c>
      <c r="DM219" s="181">
        <f t="shared" si="353"/>
        <v>0</v>
      </c>
      <c r="DN219" s="181">
        <f t="shared" si="353"/>
        <v>0</v>
      </c>
      <c r="DO219" s="181">
        <f t="shared" si="353"/>
        <v>0</v>
      </c>
      <c r="DP219" s="181">
        <f t="shared" si="353"/>
        <v>0</v>
      </c>
      <c r="DQ219" s="181">
        <f t="shared" si="353"/>
        <v>0</v>
      </c>
      <c r="DR219" s="181">
        <f t="shared" si="353"/>
        <v>0</v>
      </c>
      <c r="DS219" s="181">
        <f t="shared" si="353"/>
        <v>0</v>
      </c>
      <c r="DT219" s="181">
        <f t="shared" si="353"/>
        <v>0</v>
      </c>
      <c r="DU219" s="181">
        <f t="shared" si="353"/>
        <v>0</v>
      </c>
      <c r="DV219" s="181">
        <f t="shared" si="353"/>
        <v>0</v>
      </c>
      <c r="DW219" s="181">
        <f t="shared" si="353"/>
        <v>0</v>
      </c>
      <c r="DX219" s="181">
        <f t="shared" si="353"/>
        <v>0</v>
      </c>
      <c r="DY219" s="181">
        <f t="shared" si="353"/>
        <v>0</v>
      </c>
      <c r="DZ219" s="181">
        <f t="shared" si="353"/>
        <v>0</v>
      </c>
      <c r="EA219" s="181">
        <f t="shared" si="353"/>
        <v>0</v>
      </c>
      <c r="EB219" s="181">
        <f t="shared" si="353"/>
        <v>0</v>
      </c>
      <c r="EC219" s="181">
        <f t="shared" si="353"/>
        <v>0</v>
      </c>
      <c r="ED219" s="181">
        <f t="shared" si="353"/>
        <v>0</v>
      </c>
      <c r="EE219" s="181">
        <f t="shared" si="353"/>
        <v>0</v>
      </c>
      <c r="EF219" s="181">
        <f t="shared" si="353"/>
        <v>0</v>
      </c>
      <c r="EG219" s="181">
        <f t="shared" si="353"/>
        <v>0</v>
      </c>
      <c r="EH219" s="181">
        <f t="shared" si="353"/>
        <v>0</v>
      </c>
      <c r="EI219" s="181">
        <f t="shared" si="353"/>
        <v>0</v>
      </c>
      <c r="EJ219" s="181">
        <f t="shared" si="353"/>
        <v>0</v>
      </c>
      <c r="FY219" s="211">
        <v>214</v>
      </c>
      <c r="FZ219">
        <v>1.2820058902090632</v>
      </c>
      <c r="GA219">
        <v>2.0413530869181176</v>
      </c>
      <c r="GB219">
        <v>0.52080655977165224</v>
      </c>
      <c r="GC219">
        <v>0.34945876900755934</v>
      </c>
      <c r="GD219">
        <v>0.2472580441581268</v>
      </c>
      <c r="GE219">
        <v>0.14249529550395001</v>
      </c>
      <c r="GF219">
        <v>0.74923343208741267</v>
      </c>
      <c r="GG219">
        <v>0.62966621671876666</v>
      </c>
      <c r="GH219">
        <v>6.6522953376906252E-2</v>
      </c>
      <c r="GI219">
        <v>0.60251066594228975</v>
      </c>
      <c r="GJ219"/>
      <c r="GK219">
        <v>1.277608088235294</v>
      </c>
      <c r="GL219">
        <v>1.7191705882352939</v>
      </c>
      <c r="GM219">
        <v>0.85441406249999996</v>
      </c>
      <c r="GN219">
        <v>1.0240680803571429</v>
      </c>
      <c r="GO219">
        <v>0.94074776785714298</v>
      </c>
      <c r="GP219">
        <v>0.26784374999999999</v>
      </c>
      <c r="GQ219">
        <v>0.90325271739130431</v>
      </c>
      <c r="GR219">
        <v>0.87592980072463755</v>
      </c>
      <c r="GS219">
        <v>7.0364583333333328E-2</v>
      </c>
      <c r="GT219">
        <v>0.80927744386341494</v>
      </c>
      <c r="GU219"/>
      <c r="GV219"/>
      <c r="GW219"/>
      <c r="GX219"/>
      <c r="GY219"/>
      <c r="GZ219"/>
      <c r="HA219"/>
      <c r="HB219"/>
      <c r="HC219"/>
    </row>
    <row r="220" spans="1:211" s="7" customFormat="1">
      <c r="A220" s="4"/>
      <c r="B220" s="4"/>
      <c r="C220" s="84"/>
      <c r="D220" s="85"/>
      <c r="E220" s="85"/>
      <c r="F220" s="74"/>
      <c r="G220" s="74"/>
      <c r="H220" s="74"/>
      <c r="I220" s="74"/>
      <c r="J220" s="74"/>
      <c r="K220" s="74"/>
      <c r="L220" s="74"/>
      <c r="M220" s="86"/>
      <c r="N220" s="74"/>
      <c r="O220" s="74"/>
      <c r="P220" s="74"/>
      <c r="Q220" s="74"/>
      <c r="R220" s="87"/>
      <c r="S220" s="87"/>
      <c r="T220" s="87"/>
      <c r="U220" s="87"/>
      <c r="V220" s="87"/>
      <c r="W220" s="87"/>
      <c r="X220" s="87"/>
      <c r="Y220" s="87"/>
      <c r="Z220" s="87"/>
      <c r="AA220" s="87"/>
      <c r="AB220" s="87"/>
      <c r="AC220" s="87"/>
      <c r="AD220" s="87"/>
      <c r="AE220" s="87"/>
      <c r="AF220" s="87"/>
      <c r="AG220" s="87"/>
      <c r="AH220" s="87"/>
      <c r="AI220" s="87"/>
      <c r="AJ220" s="87"/>
      <c r="AK220" s="87"/>
      <c r="AL220" s="87">
        <v>3.0028000000000028</v>
      </c>
      <c r="AM220" s="43">
        <v>204</v>
      </c>
      <c r="AN220">
        <v>50.91980298343789</v>
      </c>
      <c r="AO220">
        <v>1.1393694269173389</v>
      </c>
      <c r="AP220">
        <v>1.1236278616932887</v>
      </c>
      <c r="AQ220">
        <v>7.9191531280284098</v>
      </c>
      <c r="AR220">
        <v>1.0546960917780002</v>
      </c>
      <c r="AS220">
        <v>4.2438893703352987</v>
      </c>
      <c r="AT220">
        <v>0.82372716599461338</v>
      </c>
      <c r="AU220">
        <v>2.4453079872265249E-2</v>
      </c>
      <c r="AV220"/>
      <c r="AW220"/>
      <c r="BA220" s="194"/>
      <c r="BB220" s="192"/>
      <c r="BC220" s="192"/>
      <c r="BD220" s="192"/>
      <c r="BE220" s="192"/>
      <c r="BF220" s="192"/>
      <c r="BG220" s="192"/>
      <c r="BH220" s="192"/>
      <c r="BI220" s="192"/>
      <c r="BJ220" s="192"/>
      <c r="BK220" s="192"/>
      <c r="BL220" s="192"/>
      <c r="BM220" s="192"/>
      <c r="BN220" s="192"/>
      <c r="BO220" s="192"/>
      <c r="BP220" s="192"/>
      <c r="BQ220" s="192"/>
      <c r="BR220" s="192"/>
      <c r="BS220" s="192"/>
      <c r="BT220" s="192"/>
      <c r="BU220" s="192"/>
      <c r="BV220" s="192"/>
      <c r="BW220" s="192"/>
      <c r="BX220" s="192"/>
      <c r="BY220" s="192"/>
      <c r="BZ220" s="192"/>
      <c r="CA220" s="192"/>
      <c r="CB220" s="192"/>
      <c r="CC220" s="192"/>
      <c r="CD220" s="192"/>
      <c r="CE220" s="192"/>
      <c r="CF220" s="192"/>
      <c r="CG220" s="193"/>
      <c r="CH220" s="193"/>
      <c r="CI220" s="193"/>
      <c r="CJ220" s="193"/>
      <c r="CK220" s="193"/>
      <c r="CL220" s="193"/>
      <c r="CM220" s="196"/>
      <c r="CN220" s="192"/>
      <c r="CO220" s="192"/>
      <c r="CP220" s="192"/>
      <c r="CQ220" s="192"/>
      <c r="CR220" s="192"/>
      <c r="CS220" s="192"/>
      <c r="CT220" s="192"/>
      <c r="CU220" s="192"/>
      <c r="DE220" s="186">
        <f>DE168</f>
        <v>39949</v>
      </c>
      <c r="DF220" s="181">
        <f t="shared" ref="DF220:EJ220" si="355">AVERAGE(DF168:DF177)</f>
        <v>0</v>
      </c>
      <c r="DG220" s="181">
        <f t="shared" si="355"/>
        <v>8.1018518518518512</v>
      </c>
      <c r="DH220" s="181">
        <f t="shared" si="355"/>
        <v>0</v>
      </c>
      <c r="DI220" s="181">
        <f t="shared" ref="DI220" si="356">AVERAGE(DI168:DI177)</f>
        <v>0</v>
      </c>
      <c r="DJ220" s="181">
        <f t="shared" si="355"/>
        <v>0</v>
      </c>
      <c r="DK220" s="181">
        <f t="shared" si="355"/>
        <v>0</v>
      </c>
      <c r="DL220" s="181">
        <f t="shared" si="355"/>
        <v>0</v>
      </c>
      <c r="DM220" s="181">
        <f t="shared" si="355"/>
        <v>0</v>
      </c>
      <c r="DN220" s="181">
        <f t="shared" si="355"/>
        <v>0</v>
      </c>
      <c r="DO220" s="181">
        <f t="shared" si="355"/>
        <v>0</v>
      </c>
      <c r="DP220" s="181">
        <f t="shared" si="355"/>
        <v>0</v>
      </c>
      <c r="DQ220" s="181">
        <f t="shared" si="355"/>
        <v>0</v>
      </c>
      <c r="DR220" s="181">
        <f t="shared" si="355"/>
        <v>0</v>
      </c>
      <c r="DS220" s="181">
        <f t="shared" si="355"/>
        <v>0</v>
      </c>
      <c r="DT220" s="181">
        <f t="shared" si="355"/>
        <v>0</v>
      </c>
      <c r="DU220" s="181">
        <f t="shared" si="355"/>
        <v>0</v>
      </c>
      <c r="DV220" s="181">
        <f t="shared" si="355"/>
        <v>0</v>
      </c>
      <c r="DW220" s="181">
        <f t="shared" si="355"/>
        <v>0</v>
      </c>
      <c r="DX220" s="181">
        <f t="shared" si="355"/>
        <v>0</v>
      </c>
      <c r="DY220" s="181">
        <f t="shared" si="355"/>
        <v>0</v>
      </c>
      <c r="DZ220" s="181">
        <f t="shared" si="355"/>
        <v>0</v>
      </c>
      <c r="EA220" s="181">
        <f t="shared" si="355"/>
        <v>0</v>
      </c>
      <c r="EB220" s="181">
        <f t="shared" si="355"/>
        <v>0</v>
      </c>
      <c r="EC220" s="181">
        <f t="shared" si="355"/>
        <v>0</v>
      </c>
      <c r="ED220" s="181">
        <f t="shared" si="355"/>
        <v>0</v>
      </c>
      <c r="EE220" s="181">
        <f t="shared" si="355"/>
        <v>0</v>
      </c>
      <c r="EF220" s="181">
        <f t="shared" si="355"/>
        <v>0</v>
      </c>
      <c r="EG220" s="181">
        <f t="shared" si="355"/>
        <v>0</v>
      </c>
      <c r="EH220" s="181">
        <f t="shared" si="355"/>
        <v>0</v>
      </c>
      <c r="EI220" s="181">
        <f t="shared" si="355"/>
        <v>0</v>
      </c>
      <c r="EJ220" s="181">
        <f t="shared" si="355"/>
        <v>0</v>
      </c>
      <c r="FY220" s="211">
        <v>215</v>
      </c>
      <c r="FZ220">
        <v>1.2184673236879138</v>
      </c>
      <c r="GA220">
        <v>1.5190443219245815</v>
      </c>
      <c r="GB220">
        <v>1.1875434575787915</v>
      </c>
      <c r="GC220">
        <v>0.83468762695189014</v>
      </c>
      <c r="GD220">
        <v>0.2510906935360725</v>
      </c>
      <c r="GE220">
        <v>5.9686293545549995E-2</v>
      </c>
      <c r="GF220">
        <v>0.15986193049181252</v>
      </c>
      <c r="GG220">
        <v>0.23978821552359375</v>
      </c>
      <c r="GH220">
        <v>0.15603164258923619</v>
      </c>
      <c r="GI220">
        <v>0.66649464342669873</v>
      </c>
      <c r="GJ220"/>
      <c r="GK220">
        <v>1.2142612132352941</v>
      </c>
      <c r="GL220">
        <v>1.2793237132352941</v>
      </c>
      <c r="GM220">
        <v>1.9495688920454548</v>
      </c>
      <c r="GN220">
        <v>2.4489095170454545</v>
      </c>
      <c r="GO220">
        <v>0.95552812499999995</v>
      </c>
      <c r="GP220">
        <v>0.11221875000000001</v>
      </c>
      <c r="GQ220">
        <v>0.19312499999999999</v>
      </c>
      <c r="GR220">
        <v>0.33385416666666667</v>
      </c>
      <c r="GS220">
        <v>0.16502303685897435</v>
      </c>
      <c r="GT220">
        <v>0.89550125342794484</v>
      </c>
      <c r="GU220"/>
      <c r="GV220"/>
      <c r="GW220"/>
      <c r="GX220"/>
      <c r="GY220"/>
      <c r="GZ220"/>
      <c r="HA220"/>
      <c r="HB220"/>
      <c r="HC220"/>
    </row>
    <row r="221" spans="1:211" s="7" customFormat="1">
      <c r="A221" s="4"/>
      <c r="B221" s="87"/>
      <c r="C221" s="87"/>
      <c r="D221" s="87"/>
      <c r="E221" s="88"/>
      <c r="F221" s="88"/>
      <c r="G221" s="87"/>
      <c r="H221" s="87"/>
      <c r="I221" s="87"/>
      <c r="J221" s="87"/>
      <c r="K221" s="87"/>
      <c r="L221" s="87"/>
      <c r="M221" s="87"/>
      <c r="N221" s="87"/>
      <c r="O221" s="87"/>
      <c r="P221" s="87"/>
      <c r="Q221" s="87"/>
      <c r="R221" s="87"/>
      <c r="S221" s="87"/>
      <c r="T221" s="87"/>
      <c r="U221" s="87"/>
      <c r="V221" s="87"/>
      <c r="W221" s="87"/>
      <c r="X221" s="87"/>
      <c r="Y221" s="87"/>
      <c r="Z221" s="87"/>
      <c r="AA221" s="87"/>
      <c r="AB221" s="87"/>
      <c r="AC221" s="87"/>
      <c r="AD221" s="87"/>
      <c r="AE221" s="87"/>
      <c r="AF221" s="87"/>
      <c r="AG221" s="87"/>
      <c r="AH221" s="87"/>
      <c r="AI221" s="87"/>
      <c r="AJ221" s="87"/>
      <c r="AK221" s="87"/>
      <c r="AL221" s="87">
        <v>3.0028000000000028</v>
      </c>
      <c r="AM221" s="43">
        <v>205</v>
      </c>
      <c r="AN221">
        <v>54.760599686734587</v>
      </c>
      <c r="AO221">
        <v>1.2804802194997564</v>
      </c>
      <c r="AP221">
        <v>10.318779918272236</v>
      </c>
      <c r="AQ221">
        <v>8.7217168060470165</v>
      </c>
      <c r="AR221">
        <v>1.1821837222725058</v>
      </c>
      <c r="AS221">
        <v>4.7931694069799438</v>
      </c>
      <c r="AT221" t="e">
        <v>#DIV/0!</v>
      </c>
      <c r="AU221" t="e">
        <v>#DIV/0!</v>
      </c>
      <c r="AV221"/>
      <c r="AW221"/>
      <c r="BA221" s="194"/>
      <c r="BB221" s="192"/>
      <c r="BC221" s="192"/>
      <c r="BD221" s="192"/>
      <c r="BE221" s="192"/>
      <c r="BF221" s="192"/>
      <c r="BG221" s="192"/>
      <c r="BH221" s="192"/>
      <c r="BI221" s="192"/>
      <c r="BJ221" s="192"/>
      <c r="BK221" s="192"/>
      <c r="BL221" s="192"/>
      <c r="BM221" s="192"/>
      <c r="BN221" s="192"/>
      <c r="BO221" s="192"/>
      <c r="BP221" s="192"/>
      <c r="BQ221" s="192"/>
      <c r="BR221" s="192"/>
      <c r="BS221" s="192"/>
      <c r="BT221" s="192"/>
      <c r="BU221" s="192"/>
      <c r="BV221" s="192"/>
      <c r="BW221" s="192"/>
      <c r="BX221" s="192"/>
      <c r="BY221" s="192"/>
      <c r="BZ221" s="192"/>
      <c r="CA221" s="192"/>
      <c r="CB221" s="192"/>
      <c r="CC221" s="192"/>
      <c r="CD221" s="192"/>
      <c r="CE221" s="192"/>
      <c r="CF221" s="192"/>
      <c r="CG221" s="193"/>
      <c r="CH221" s="193"/>
      <c r="CI221" s="193"/>
      <c r="CJ221" s="193"/>
      <c r="CK221" s="193"/>
      <c r="CL221" s="193"/>
      <c r="CM221" s="196"/>
      <c r="CN221" s="192"/>
      <c r="CO221" s="192"/>
      <c r="CP221" s="192"/>
      <c r="CQ221" s="192"/>
      <c r="CR221" s="192"/>
      <c r="CS221" s="192"/>
      <c r="CT221" s="192"/>
      <c r="CU221" s="192"/>
      <c r="DE221" s="186">
        <f>DE178</f>
        <v>39987</v>
      </c>
      <c r="DF221" s="181">
        <f t="shared" ref="DF221:EJ221" si="357">AVERAGE(DF178:DF187)</f>
        <v>7.0112179487179489</v>
      </c>
      <c r="DG221" s="181">
        <f t="shared" si="357"/>
        <v>0</v>
      </c>
      <c r="DH221" s="181">
        <f t="shared" si="357"/>
        <v>0</v>
      </c>
      <c r="DI221" s="181">
        <f t="shared" si="357"/>
        <v>0</v>
      </c>
      <c r="DJ221" s="181">
        <f t="shared" si="357"/>
        <v>0</v>
      </c>
      <c r="DK221" s="181">
        <f t="shared" si="357"/>
        <v>0</v>
      </c>
      <c r="DL221" s="181">
        <f t="shared" si="357"/>
        <v>0</v>
      </c>
      <c r="DM221" s="181">
        <f t="shared" si="357"/>
        <v>0</v>
      </c>
      <c r="DN221" s="181">
        <f t="shared" si="357"/>
        <v>0</v>
      </c>
      <c r="DO221" s="181">
        <f t="shared" si="357"/>
        <v>0</v>
      </c>
      <c r="DP221" s="181">
        <f t="shared" si="357"/>
        <v>0</v>
      </c>
      <c r="DQ221" s="181">
        <f t="shared" si="357"/>
        <v>0</v>
      </c>
      <c r="DR221" s="181">
        <f t="shared" si="357"/>
        <v>0</v>
      </c>
      <c r="DS221" s="181">
        <f t="shared" si="357"/>
        <v>0</v>
      </c>
      <c r="DT221" s="181">
        <f t="shared" si="357"/>
        <v>0</v>
      </c>
      <c r="DU221" s="181">
        <f t="shared" si="357"/>
        <v>0</v>
      </c>
      <c r="DV221" s="181">
        <f t="shared" si="357"/>
        <v>0</v>
      </c>
      <c r="DW221" s="181">
        <f t="shared" si="357"/>
        <v>0</v>
      </c>
      <c r="DX221" s="181">
        <f t="shared" si="357"/>
        <v>0</v>
      </c>
      <c r="DY221" s="181">
        <f t="shared" si="357"/>
        <v>0</v>
      </c>
      <c r="DZ221" s="181">
        <f t="shared" si="357"/>
        <v>0</v>
      </c>
      <c r="EA221" s="181">
        <f t="shared" si="357"/>
        <v>0</v>
      </c>
      <c r="EB221" s="181">
        <f t="shared" si="357"/>
        <v>0</v>
      </c>
      <c r="EC221" s="181">
        <f t="shared" si="357"/>
        <v>0</v>
      </c>
      <c r="ED221" s="181">
        <f t="shared" si="357"/>
        <v>0</v>
      </c>
      <c r="EE221" s="181">
        <f t="shared" si="357"/>
        <v>0</v>
      </c>
      <c r="EF221" s="181">
        <f t="shared" si="357"/>
        <v>0</v>
      </c>
      <c r="EG221" s="181">
        <f t="shared" si="357"/>
        <v>0</v>
      </c>
      <c r="EH221" s="181">
        <f t="shared" si="357"/>
        <v>0</v>
      </c>
      <c r="EI221" s="181">
        <f t="shared" si="357"/>
        <v>0</v>
      </c>
      <c r="EJ221" s="181">
        <f t="shared" si="357"/>
        <v>0</v>
      </c>
      <c r="FY221" s="211">
        <v>216</v>
      </c>
      <c r="FZ221">
        <v>1.9935195339901446</v>
      </c>
      <c r="GA221">
        <v>2.5504319154240744</v>
      </c>
      <c r="GB221">
        <v>0.44456471199611369</v>
      </c>
      <c r="GC221">
        <v>0.38274152733439432</v>
      </c>
      <c r="GD221">
        <v>0.25306323535052999</v>
      </c>
      <c r="GE221">
        <v>9.0465266252250001E-2</v>
      </c>
      <c r="GF221">
        <v>0.15986193049181252</v>
      </c>
      <c r="GG221">
        <v>0.13862439864731252</v>
      </c>
      <c r="GH221">
        <v>2.2985735835423678E-2</v>
      </c>
      <c r="GI221">
        <v>0.58002221261202647</v>
      </c>
      <c r="GJ221"/>
      <c r="GK221">
        <v>1.9868474264705878</v>
      </c>
      <c r="GL221">
        <v>2.1482966452205878</v>
      </c>
      <c r="GM221">
        <v>0.72937890625000001</v>
      </c>
      <c r="GN221">
        <v>1.1213734375</v>
      </c>
      <c r="GO221">
        <v>0.96266249999999998</v>
      </c>
      <c r="GP221">
        <v>0.17015625000000001</v>
      </c>
      <c r="GQ221">
        <v>0.19312499999999999</v>
      </c>
      <c r="GR221">
        <v>0.19312499999999999</v>
      </c>
      <c r="GS221">
        <v>2.4293870192307693E-2</v>
      </c>
      <c r="GT221">
        <v>0.77926154058257913</v>
      </c>
      <c r="GU221"/>
      <c r="GV221"/>
      <c r="GW221"/>
      <c r="GX221"/>
      <c r="GY221"/>
      <c r="GZ221"/>
      <c r="HA221"/>
      <c r="HB221"/>
      <c r="HC221"/>
    </row>
    <row r="222" spans="1:211" s="7" customFormat="1">
      <c r="A222" s="4"/>
      <c r="B222" s="110"/>
      <c r="C222" s="110"/>
      <c r="D222" s="110"/>
      <c r="E222" s="110"/>
      <c r="F222" s="110"/>
      <c r="G222" s="110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10"/>
      <c r="AJ222" s="87"/>
      <c r="AK222" s="87"/>
      <c r="AL222" s="87">
        <v>3.0028000000000028</v>
      </c>
      <c r="AM222" s="43">
        <v>206</v>
      </c>
      <c r="AN222">
        <v>39.711545382041706</v>
      </c>
      <c r="AO222">
        <v>0.91337314622724075</v>
      </c>
      <c r="AP222">
        <v>0.85712465406411842</v>
      </c>
      <c r="AQ222">
        <v>6.8131099804276687</v>
      </c>
      <c r="AR222">
        <v>0.8412057011156735</v>
      </c>
      <c r="AS222">
        <v>3.0934221937977839</v>
      </c>
      <c r="AT222" t="e">
        <v>#DIV/0!</v>
      </c>
      <c r="AU222" t="e">
        <v>#DIV/0!</v>
      </c>
      <c r="AV222"/>
      <c r="AW222"/>
      <c r="BA222" s="194"/>
      <c r="BB222" s="192"/>
      <c r="BC222" s="197"/>
      <c r="BD222" s="197"/>
      <c r="BE222" s="197"/>
      <c r="BF222" s="197"/>
      <c r="BG222" s="197"/>
      <c r="BH222" s="197"/>
      <c r="BI222" s="197"/>
      <c r="BJ222" s="197"/>
      <c r="BK222" s="197"/>
      <c r="BL222" s="197"/>
      <c r="BM222" s="197"/>
      <c r="BN222" s="197"/>
      <c r="BO222" s="197"/>
      <c r="BP222" s="197"/>
      <c r="BQ222" s="197"/>
      <c r="BR222" s="197"/>
      <c r="BS222" s="197"/>
      <c r="BT222" s="197"/>
      <c r="BU222" s="197"/>
      <c r="BV222" s="197"/>
      <c r="BW222" s="192"/>
      <c r="BX222" s="197"/>
      <c r="BY222" s="192"/>
      <c r="BZ222" s="192"/>
      <c r="CA222" s="192"/>
      <c r="CB222" s="192"/>
      <c r="CC222" s="192"/>
      <c r="CD222" s="192"/>
      <c r="CE222" s="192"/>
      <c r="CF222" s="192"/>
      <c r="CG222" s="193"/>
      <c r="CH222" s="193"/>
      <c r="CI222" s="193"/>
      <c r="CJ222" s="193"/>
      <c r="CK222" s="193"/>
      <c r="CL222" s="193"/>
      <c r="CM222" s="196"/>
      <c r="CN222" s="192"/>
      <c r="CO222" s="192"/>
      <c r="CP222" s="192"/>
      <c r="CQ222" s="192"/>
      <c r="CR222" s="192"/>
      <c r="CS222" s="192"/>
      <c r="CT222" s="192"/>
      <c r="CU222" s="192"/>
      <c r="DE222" s="186"/>
      <c r="DF222" s="181"/>
      <c r="DG222" s="185"/>
      <c r="DH222" s="185"/>
      <c r="DI222" s="185"/>
      <c r="DJ222" s="185"/>
      <c r="DK222" s="185"/>
      <c r="DL222" s="185"/>
      <c r="DM222" s="185"/>
      <c r="DN222" s="185"/>
      <c r="DO222" s="185"/>
      <c r="DP222" s="185"/>
      <c r="DQ222" s="185"/>
      <c r="DR222" s="185"/>
      <c r="DS222" s="185"/>
      <c r="DT222" s="185"/>
      <c r="DU222" s="185"/>
      <c r="DV222" s="185"/>
      <c r="DW222" s="185"/>
      <c r="DX222" s="185"/>
      <c r="DY222" s="185"/>
      <c r="DZ222" s="185"/>
      <c r="EA222" s="181"/>
      <c r="EB222" s="185"/>
      <c r="EC222" s="181"/>
      <c r="ED222" s="181"/>
      <c r="EE222" s="181"/>
      <c r="EF222" s="181"/>
      <c r="EG222" s="181"/>
      <c r="EH222" s="181"/>
      <c r="EI222" s="181"/>
      <c r="EJ222" s="181"/>
      <c r="FY222" s="211">
        <v>217</v>
      </c>
      <c r="FZ222">
        <v>0.70305557152364717</v>
      </c>
      <c r="GA222">
        <v>0.96787992433485448</v>
      </c>
      <c r="GB222">
        <v>0.28576767782594881</v>
      </c>
      <c r="GC222">
        <v>0.43110801459018122</v>
      </c>
      <c r="GD222">
        <v>0.33119204008859998</v>
      </c>
      <c r="GE222">
        <v>3.8543094451799993E-2</v>
      </c>
      <c r="GF222">
        <v>0.49395954912409079</v>
      </c>
      <c r="GG222">
        <v>0.47874846122576609</v>
      </c>
      <c r="GH222">
        <v>0.11249442504775362</v>
      </c>
      <c r="GI222">
        <v>0.46812718684635979</v>
      </c>
      <c r="GJ222"/>
      <c r="GK222">
        <v>0.70062187499999995</v>
      </c>
      <c r="GL222">
        <v>0.81491484375000001</v>
      </c>
      <c r="GM222">
        <v>0.46858984374999996</v>
      </c>
      <c r="GN222">
        <v>1.2622656249999999</v>
      </c>
      <c r="GO222">
        <v>1.25925</v>
      </c>
      <c r="GP222">
        <v>7.2374999999999995E-2</v>
      </c>
      <c r="GQ222">
        <v>0.59590760869565207</v>
      </c>
      <c r="GR222">
        <v>0.66627219202898535</v>
      </c>
      <c r="GS222">
        <v>0.11895232371794871</v>
      </c>
      <c r="GT222">
        <v>0.62866433023272017</v>
      </c>
      <c r="GU222"/>
      <c r="GV222"/>
      <c r="GW222"/>
      <c r="GX222"/>
      <c r="GY222"/>
      <c r="GZ222"/>
      <c r="HA222"/>
      <c r="HB222"/>
      <c r="HC222"/>
    </row>
    <row r="223" spans="1:211" s="7" customFormat="1">
      <c r="A223" s="4"/>
      <c r="B223" s="110"/>
      <c r="C223" s="110"/>
      <c r="D223" s="110"/>
      <c r="E223" s="110"/>
      <c r="F223" s="110"/>
      <c r="G223" s="110"/>
      <c r="H223" s="110"/>
      <c r="I223" s="110"/>
      <c r="J223" s="110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10"/>
      <c r="AJ223" s="87"/>
      <c r="AK223" s="87"/>
      <c r="AL223" s="87">
        <v>3.0028000000000028</v>
      </c>
      <c r="AM223" s="43">
        <v>207</v>
      </c>
      <c r="AN223">
        <v>48.65347270039566</v>
      </c>
      <c r="AO223">
        <v>1.1044313468239721</v>
      </c>
      <c r="AP223">
        <v>1.2514177528934176</v>
      </c>
      <c r="AQ223">
        <v>8.3145293224469246</v>
      </c>
      <c r="AR223">
        <v>1.0279699853120023</v>
      </c>
      <c r="AS223">
        <v>4.0753326668595342</v>
      </c>
      <c r="AT223" t="e">
        <v>#DIV/0!</v>
      </c>
      <c r="AU223" t="e">
        <v>#DIV/0!</v>
      </c>
      <c r="AV223"/>
      <c r="AW223"/>
      <c r="BA223" s="194"/>
      <c r="BB223" s="192"/>
      <c r="BC223" s="197"/>
      <c r="BD223" s="197"/>
      <c r="BE223" s="197"/>
      <c r="BF223" s="197"/>
      <c r="BG223" s="197"/>
      <c r="BH223" s="197"/>
      <c r="BI223" s="197"/>
      <c r="BJ223" s="197"/>
      <c r="BK223" s="197"/>
      <c r="BL223" s="197"/>
      <c r="BM223" s="197"/>
      <c r="BN223" s="197"/>
      <c r="BO223" s="197"/>
      <c r="BP223" s="197"/>
      <c r="BQ223" s="197"/>
      <c r="BR223" s="197"/>
      <c r="BS223" s="197"/>
      <c r="BT223" s="197"/>
      <c r="BU223" s="197"/>
      <c r="BV223" s="197"/>
      <c r="BW223" s="192"/>
      <c r="BX223" s="197"/>
      <c r="BY223" s="192"/>
      <c r="BZ223" s="192"/>
      <c r="CA223" s="192"/>
      <c r="CB223" s="192"/>
      <c r="CC223" s="192"/>
      <c r="CD223" s="192"/>
      <c r="CE223" s="192"/>
      <c r="CF223" s="192"/>
      <c r="CG223" s="193"/>
      <c r="CH223" s="193"/>
      <c r="CI223" s="193"/>
      <c r="CJ223" s="193"/>
      <c r="CK223" s="193"/>
      <c r="CL223" s="193"/>
      <c r="CM223" s="192"/>
      <c r="CN223" s="192"/>
      <c r="CO223" s="192"/>
      <c r="CP223" s="192"/>
      <c r="CQ223" s="192"/>
      <c r="CR223" s="192"/>
      <c r="CS223" s="192"/>
      <c r="CT223" s="192"/>
      <c r="CU223" s="192"/>
      <c r="DE223" s="186"/>
      <c r="DF223" s="181"/>
      <c r="DG223" s="185"/>
      <c r="DH223" s="185"/>
      <c r="DI223" s="185"/>
      <c r="DJ223" s="185"/>
      <c r="DK223" s="185"/>
      <c r="DL223" s="185"/>
      <c r="DM223" s="185"/>
      <c r="DN223" s="185"/>
      <c r="DO223" s="185"/>
      <c r="DP223" s="185"/>
      <c r="DQ223" s="185"/>
      <c r="DR223" s="185"/>
      <c r="DS223" s="185"/>
      <c r="DT223" s="185"/>
      <c r="DU223" s="185"/>
      <c r="DV223" s="185"/>
      <c r="DW223" s="185"/>
      <c r="DX223" s="185"/>
      <c r="DY223" s="185"/>
      <c r="DZ223" s="185"/>
      <c r="EA223" s="181"/>
      <c r="EB223" s="185"/>
      <c r="EC223" s="181"/>
      <c r="ED223" s="181"/>
      <c r="EE223" s="181"/>
      <c r="EF223" s="181"/>
      <c r="EG223" s="181"/>
      <c r="EH223" s="181"/>
      <c r="EI223" s="181"/>
      <c r="EJ223" s="181"/>
      <c r="FY223" s="211">
        <v>218</v>
      </c>
      <c r="FZ223">
        <v>0.40511001411472219</v>
      </c>
      <c r="GA223">
        <v>0.95065911350424792</v>
      </c>
      <c r="GB223">
        <v>1.8047312913520368</v>
      </c>
      <c r="GC223">
        <v>0.96460953201225841</v>
      </c>
      <c r="GD223">
        <v>0.14067332939755928</v>
      </c>
      <c r="GE223">
        <v>0.14833383665557504</v>
      </c>
      <c r="GF223">
        <v>0.5344786465355188</v>
      </c>
      <c r="GG223">
        <v>0.47874846122576609</v>
      </c>
      <c r="GH223">
        <v>8.9508689212329934E-2</v>
      </c>
      <c r="GI223">
        <v>0.69087832718491859</v>
      </c>
      <c r="GJ223"/>
      <c r="GK223">
        <v>0.40362187500000002</v>
      </c>
      <c r="GL223">
        <v>0.8004773437499999</v>
      </c>
      <c r="GM223">
        <v>2.9628604403409087</v>
      </c>
      <c r="GN223">
        <v>2.831808989448052</v>
      </c>
      <c r="GO223">
        <v>0.53547589285714292</v>
      </c>
      <c r="GP223">
        <v>0.27867187500000001</v>
      </c>
      <c r="GQ223">
        <v>0.64475135869565214</v>
      </c>
      <c r="GR223">
        <v>0.66627219202898535</v>
      </c>
      <c r="GS223">
        <v>9.465845352564102E-2</v>
      </c>
      <c r="GT223">
        <v>0.92827360408386905</v>
      </c>
      <c r="GU223"/>
      <c r="GV223"/>
      <c r="GW223"/>
      <c r="GX223"/>
      <c r="GY223"/>
      <c r="GZ223"/>
      <c r="HA223"/>
      <c r="HB223"/>
      <c r="HC223"/>
    </row>
    <row r="224" spans="1:211" s="7" customFormat="1">
      <c r="A224" s="87"/>
      <c r="B224" s="110"/>
      <c r="C224" s="110"/>
      <c r="D224" s="110"/>
      <c r="E224" s="110"/>
      <c r="F224" s="110"/>
      <c r="G224" s="110"/>
      <c r="H224" s="110"/>
      <c r="I224" s="110"/>
      <c r="J224" s="110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10"/>
      <c r="AJ224" s="87"/>
      <c r="AK224" s="87"/>
      <c r="AL224" s="87">
        <v>3.0028000000000028</v>
      </c>
      <c r="AM224" s="43">
        <v>208</v>
      </c>
      <c r="AN224">
        <v>42.668316262541808</v>
      </c>
      <c r="AO224">
        <v>1.1074618746341971</v>
      </c>
      <c r="AP224">
        <v>7.8791420238542846</v>
      </c>
      <c r="AQ224">
        <v>6.4527730712848905</v>
      </c>
      <c r="AR224">
        <v>1.0148227487933261</v>
      </c>
      <c r="AS224">
        <v>3.6272237290292662</v>
      </c>
      <c r="AT224" t="e">
        <v>#DIV/0!</v>
      </c>
      <c r="AU224" t="e">
        <v>#DIV/0!</v>
      </c>
      <c r="AV224"/>
      <c r="AW224"/>
      <c r="BA224" s="198"/>
      <c r="BB224" s="193"/>
      <c r="BC224" s="199"/>
      <c r="BD224" s="199"/>
      <c r="BE224" s="199"/>
      <c r="BF224" s="199"/>
      <c r="BG224" s="199"/>
      <c r="BH224" s="199"/>
      <c r="BI224" s="199"/>
      <c r="BJ224" s="199"/>
      <c r="BK224" s="199"/>
      <c r="BL224" s="199"/>
      <c r="BM224" s="199"/>
      <c r="BN224" s="199"/>
      <c r="BO224" s="199"/>
      <c r="BP224" s="199"/>
      <c r="BQ224" s="199"/>
      <c r="BR224" s="199"/>
      <c r="BS224" s="199"/>
      <c r="BT224" s="199"/>
      <c r="BU224" s="199"/>
      <c r="BV224" s="199"/>
      <c r="BW224" s="193"/>
      <c r="BX224" s="199"/>
      <c r="BY224" s="193"/>
      <c r="BZ224" s="193"/>
      <c r="CA224" s="193"/>
      <c r="CB224" s="193"/>
      <c r="CC224" s="193"/>
      <c r="CD224" s="193"/>
      <c r="CE224" s="193"/>
      <c r="CF224" s="193"/>
      <c r="CG224" s="193"/>
      <c r="CH224" s="193"/>
      <c r="CI224" s="193"/>
      <c r="CJ224" s="193"/>
      <c r="CK224" s="193"/>
      <c r="CL224" s="193"/>
      <c r="CM224" s="192"/>
      <c r="CN224" s="192"/>
      <c r="CO224" s="192"/>
      <c r="CP224" s="192"/>
      <c r="CQ224" s="192"/>
      <c r="CR224" s="192"/>
      <c r="CS224" s="192"/>
      <c r="CT224" s="192"/>
      <c r="CU224" s="192"/>
      <c r="DE224" s="183" t="s">
        <v>139</v>
      </c>
      <c r="DH224" s="203" t="s">
        <v>142</v>
      </c>
      <c r="FY224" s="211">
        <v>219</v>
      </c>
      <c r="FZ224">
        <v>2.4180815903380939</v>
      </c>
      <c r="GA224">
        <v>3.4266914637063586</v>
      </c>
      <c r="GB224">
        <v>1.1050671303893493</v>
      </c>
      <c r="GC224">
        <v>0.64718429975977387</v>
      </c>
      <c r="GD224">
        <v>0.31774508838209248</v>
      </c>
      <c r="GE224">
        <v>0.29564701896599999</v>
      </c>
      <c r="GF224">
        <v>0.94961445999065341</v>
      </c>
      <c r="GG224">
        <v>0.76829061536607923</v>
      </c>
      <c r="GH224">
        <v>8.9508689212329934E-2</v>
      </c>
      <c r="GI224">
        <v>0.99336913265641469</v>
      </c>
      <c r="GJ224"/>
      <c r="GK224">
        <v>2.410036764705882</v>
      </c>
      <c r="GL224">
        <v>2.886579733455882</v>
      </c>
      <c r="GM224">
        <v>1.8142524857954543</v>
      </c>
      <c r="GN224">
        <v>1.8984188920454543</v>
      </c>
      <c r="GO224">
        <v>1.208803125</v>
      </c>
      <c r="GP224">
        <v>0.55556249999999996</v>
      </c>
      <c r="GQ224">
        <v>1.1452214673913044</v>
      </c>
      <c r="GR224">
        <v>1.0690548007246377</v>
      </c>
      <c r="GS224">
        <v>9.465845352564102E-2</v>
      </c>
      <c r="GT224">
        <v>1.3345944592836565</v>
      </c>
      <c r="GU224"/>
      <c r="GV224"/>
      <c r="GW224"/>
      <c r="GX224"/>
      <c r="GY224"/>
      <c r="GZ224"/>
      <c r="HA224"/>
      <c r="HB224"/>
      <c r="HC224"/>
    </row>
    <row r="225" spans="1:211" s="7" customFormat="1">
      <c r="A225" s="87"/>
      <c r="B225" s="110"/>
      <c r="C225" s="110"/>
      <c r="D225" s="110"/>
      <c r="E225" s="110"/>
      <c r="F225" s="110"/>
      <c r="G225" s="110"/>
      <c r="H225" s="110"/>
      <c r="I225" s="110"/>
      <c r="J225" s="110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10"/>
      <c r="AJ225" s="87"/>
      <c r="AK225" s="87"/>
      <c r="AL225" s="87">
        <v>3.0028000000000028</v>
      </c>
      <c r="AM225" s="43">
        <v>209</v>
      </c>
      <c r="AN225">
        <v>35.303049220896085</v>
      </c>
      <c r="AO225">
        <v>0.83547444290814143</v>
      </c>
      <c r="AP225">
        <v>0.61981137844237788</v>
      </c>
      <c r="AQ225">
        <v>5.408369537478821</v>
      </c>
      <c r="AR225">
        <v>0.78487733446194674</v>
      </c>
      <c r="AS225">
        <v>3.013466364238603</v>
      </c>
      <c r="AT225" t="e">
        <v>#DIV/0!</v>
      </c>
      <c r="AU225" t="e">
        <v>#DIV/0!</v>
      </c>
      <c r="AV225"/>
      <c r="AW225"/>
      <c r="BA225" s="171"/>
      <c r="BC225" s="172"/>
      <c r="BD225" s="172"/>
      <c r="BE225" s="172"/>
      <c r="BF225" s="172"/>
      <c r="BG225" s="172"/>
      <c r="BH225" s="172"/>
      <c r="BI225" s="172"/>
      <c r="BJ225" s="172"/>
      <c r="BK225" s="172"/>
      <c r="BL225" s="172"/>
      <c r="BM225" s="172"/>
      <c r="BN225" s="172"/>
      <c r="BO225" s="172"/>
      <c r="BP225" s="172"/>
      <c r="BQ225" s="172"/>
      <c r="BR225" s="172"/>
      <c r="BS225" s="172"/>
      <c r="BT225" s="172"/>
      <c r="BU225" s="172"/>
      <c r="BV225" s="172"/>
      <c r="BX225" s="172"/>
      <c r="DE225" s="186">
        <v>39646</v>
      </c>
      <c r="DF225" s="204"/>
      <c r="DG225" s="204">
        <f>((DG212*$H$372)+(DH212*$I$372)+(DI212*$J$372)+(DJ212*$K$372)+(DK212*$L$372)+(DL212*$M$372)+(DM212*$N$372)+(DN212*$O$372)+(DO212*$P$372)+(DP212*$Q$372)+(DQ212*$R$372)+(DR212*$S$372)+(DS212*$T$372)+(DT212*$U$372))/SUM(DG212:DT212)</f>
        <v>3.8249999999999999E-2</v>
      </c>
      <c r="DH225" s="204"/>
      <c r="DI225" s="204"/>
      <c r="DJ225" s="204"/>
      <c r="DK225" s="204"/>
      <c r="DL225" s="204"/>
      <c r="DM225" s="204"/>
      <c r="DN225" s="204"/>
      <c r="DO225" s="204"/>
      <c r="DP225" s="204"/>
      <c r="DQ225" s="204"/>
      <c r="DR225" s="204"/>
      <c r="DS225" s="204"/>
      <c r="DT225" s="204"/>
      <c r="DU225" s="204"/>
      <c r="DV225" s="204"/>
      <c r="DW225" s="204"/>
      <c r="DX225" s="204"/>
      <c r="DY225" s="204"/>
      <c r="DZ225" s="204"/>
      <c r="EA225" s="204"/>
      <c r="EB225" s="204"/>
      <c r="EC225" s="204"/>
      <c r="ED225" s="204"/>
      <c r="EE225" s="204"/>
      <c r="EF225" s="204"/>
      <c r="EG225" s="204"/>
      <c r="EH225" s="204"/>
      <c r="EI225" s="204"/>
      <c r="EJ225" s="204"/>
      <c r="FY225" s="211">
        <v>220</v>
      </c>
      <c r="FZ225">
        <v>1.4273238133872619</v>
      </c>
      <c r="GA225">
        <v>2.1299262678467983</v>
      </c>
      <c r="GB225">
        <v>1.9706540238281638</v>
      </c>
      <c r="GC225">
        <v>1.0826200733597604</v>
      </c>
      <c r="GD225">
        <v>0.12397337579672676</v>
      </c>
      <c r="GE225">
        <v>0.10979074220377499</v>
      </c>
      <c r="GF225">
        <v>1.5367715024323536</v>
      </c>
      <c r="GG225">
        <v>1.3473749236467052</v>
      </c>
      <c r="GH225">
        <v>8.9508689212329934E-2</v>
      </c>
      <c r="GI225">
        <v>1.0536558042144524</v>
      </c>
      <c r="GJ225"/>
      <c r="GK225">
        <v>1.422245588235294</v>
      </c>
      <c r="GL225">
        <v>1.7938823069852938</v>
      </c>
      <c r="GM225">
        <v>3.2360152698863636</v>
      </c>
      <c r="GN225">
        <v>3.1791106939935063</v>
      </c>
      <c r="GO225">
        <v>0.47218526785714282</v>
      </c>
      <c r="GP225">
        <v>0.20629687499999999</v>
      </c>
      <c r="GQ225">
        <v>1.8530991847826086</v>
      </c>
      <c r="GR225">
        <v>1.8746200181159418</v>
      </c>
      <c r="GS225">
        <v>9.465845352564102E-2</v>
      </c>
      <c r="GT225">
        <v>1.41564075285741</v>
      </c>
      <c r="GU225"/>
      <c r="GV225"/>
      <c r="GW225"/>
      <c r="GX225"/>
      <c r="GY225"/>
      <c r="GZ225"/>
      <c r="HA225"/>
      <c r="HB225"/>
      <c r="HC225"/>
    </row>
    <row r="226" spans="1:211" s="7" customFormat="1">
      <c r="A226" s="87"/>
      <c r="B226" s="110"/>
      <c r="C226" s="110"/>
      <c r="D226" s="110"/>
      <c r="E226" s="110"/>
      <c r="F226" s="110"/>
      <c r="G226" s="110"/>
      <c r="H226" s="110"/>
      <c r="I226" s="110"/>
      <c r="J226" s="110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10"/>
      <c r="AJ226" s="87"/>
      <c r="AK226" s="87"/>
      <c r="AL226" s="87">
        <v>3.0028000000000028</v>
      </c>
      <c r="AM226" s="43">
        <v>210</v>
      </c>
      <c r="AN226">
        <v>39.044509207668568</v>
      </c>
      <c r="AO226">
        <v>1.0707117278783795</v>
      </c>
      <c r="AP226">
        <v>6.7900983967664024</v>
      </c>
      <c r="AQ226">
        <v>7.6098093598385548</v>
      </c>
      <c r="AR226">
        <v>0.99148509352579939</v>
      </c>
      <c r="AS226">
        <v>3.4564360718168428</v>
      </c>
      <c r="AT226" t="e">
        <v>#DIV/0!</v>
      </c>
      <c r="AU226" t="e">
        <v>#DIV/0!</v>
      </c>
      <c r="AV226"/>
      <c r="AW226"/>
      <c r="DE226" s="186">
        <f>DE101</f>
        <v>39673</v>
      </c>
      <c r="DF226" s="204"/>
      <c r="DG226" s="204">
        <f t="shared" ref="DG226:DG234" si="358">((DG213*$H$372)+(DH213*$I$372)+(DI213*$J$372)+(DJ213*$K$372)+(DK213*$L$372)+(DL213*$M$372)+(DM213*$N$372)+(DN213*$O$372)+(DO213*$P$372)+(DP213*$Q$372)+(DQ213*$R$372)+(DR213*$S$372)+(DS213*$T$372)+(DT213*$U$372))/SUM(DG213:DT213)</f>
        <v>2.8987359032682868E-2</v>
      </c>
      <c r="DH226" s="204">
        <f>(LN(DG226/DG225))/(DE213-DE212)</f>
        <v>-1.026976743484543E-2</v>
      </c>
      <c r="DI226" s="204"/>
      <c r="DJ226" s="204"/>
      <c r="DK226" s="204"/>
      <c r="DL226" s="204"/>
      <c r="DM226" s="204"/>
      <c r="DN226" s="204"/>
      <c r="DO226" s="204"/>
      <c r="DP226" s="204"/>
      <c r="DQ226" s="204"/>
      <c r="DR226" s="204"/>
      <c r="DS226" s="204"/>
      <c r="DT226" s="204"/>
      <c r="DU226" s="204"/>
      <c r="DV226" s="204"/>
      <c r="DW226" s="204"/>
      <c r="DX226" s="204"/>
      <c r="DY226" s="204"/>
      <c r="DZ226" s="204"/>
      <c r="EA226" s="204"/>
      <c r="EB226" s="204"/>
      <c r="EC226" s="204"/>
      <c r="ED226" s="204"/>
      <c r="EE226" s="204"/>
      <c r="EF226" s="204"/>
      <c r="EG226" s="204"/>
      <c r="EH226" s="204"/>
      <c r="EI226" s="204"/>
      <c r="EJ226" s="204"/>
      <c r="FY226" s="211">
        <v>221</v>
      </c>
      <c r="FZ226">
        <v>1.9263518724333295</v>
      </c>
      <c r="GA226">
        <v>2.6096491624418889</v>
      </c>
      <c r="GB226">
        <v>0.90017138673317454</v>
      </c>
      <c r="GC226">
        <v>0.57410331819869831</v>
      </c>
      <c r="GD226">
        <v>0.26440375837056423</v>
      </c>
      <c r="GE226">
        <v>0.15502337532990002</v>
      </c>
      <c r="GF226">
        <v>1.0428119533082629</v>
      </c>
      <c r="GG226">
        <v>0.91920837085907969</v>
      </c>
      <c r="GH226">
        <v>8.9508689212329934E-2</v>
      </c>
      <c r="GI226">
        <v>0.8568437414730905</v>
      </c>
      <c r="GJ226"/>
      <c r="GK226">
        <v>1.9198443014705882</v>
      </c>
      <c r="GL226">
        <v>2.1980357077205883</v>
      </c>
      <c r="GM226">
        <v>1.4776587357954545</v>
      </c>
      <c r="GN226">
        <v>1.6838869724025973</v>
      </c>
      <c r="GO226">
        <v>1.0058571428571428</v>
      </c>
      <c r="GP226">
        <v>0.291375</v>
      </c>
      <c r="GQ226">
        <v>1.2571915760869565</v>
      </c>
      <c r="GR226">
        <v>1.2787124094202897</v>
      </c>
      <c r="GS226">
        <v>9.465845352564102E-2</v>
      </c>
      <c r="GT226">
        <v>1.1510420419471568</v>
      </c>
      <c r="GU226"/>
      <c r="GV226"/>
      <c r="GW226"/>
      <c r="GX226"/>
      <c r="GY226"/>
      <c r="GZ226"/>
      <c r="HA226"/>
      <c r="HB226"/>
      <c r="HC226"/>
    </row>
    <row r="227" spans="1:211" s="7" customFormat="1">
      <c r="A227" s="89"/>
      <c r="B227" s="111"/>
      <c r="C227" s="111"/>
      <c r="D227" s="111"/>
      <c r="E227" s="111"/>
      <c r="F227" s="111"/>
      <c r="G227" s="111"/>
      <c r="H227" s="111"/>
      <c r="I227" s="111"/>
      <c r="J227" s="111"/>
      <c r="K227" s="111"/>
      <c r="L227" s="111"/>
      <c r="M227" s="111"/>
      <c r="N227" s="111"/>
      <c r="O227" s="111"/>
      <c r="P227" s="111"/>
      <c r="Q227" s="111"/>
      <c r="R227" s="111"/>
      <c r="S227" s="111"/>
      <c r="T227" s="111"/>
      <c r="U227" s="111"/>
      <c r="V227" s="111"/>
      <c r="W227" s="111"/>
      <c r="X227" s="111"/>
      <c r="Y227" s="111"/>
      <c r="Z227" s="111"/>
      <c r="AA227" s="111"/>
      <c r="AB227" s="111"/>
      <c r="AC227" s="111"/>
      <c r="AD227" s="111"/>
      <c r="AE227" s="111"/>
      <c r="AF227" s="111"/>
      <c r="AG227" s="111"/>
      <c r="AH227" s="111"/>
      <c r="AI227" s="111"/>
      <c r="AJ227" s="2"/>
      <c r="AK227" s="81"/>
      <c r="AL227" s="81">
        <v>3.0028000000000028</v>
      </c>
      <c r="AM227" s="43">
        <v>211</v>
      </c>
      <c r="AN227">
        <v>37.943618921927751</v>
      </c>
      <c r="AO227">
        <v>0.77314743669198449</v>
      </c>
      <c r="AP227">
        <v>4.1740142304439054</v>
      </c>
      <c r="AQ227">
        <v>5.0467073528208362</v>
      </c>
      <c r="AR227">
        <v>0.70869199882837752</v>
      </c>
      <c r="AS227">
        <v>3.1670156053644511</v>
      </c>
      <c r="AT227" t="e">
        <v>#DIV/0!</v>
      </c>
      <c r="AU227" t="e">
        <v>#DIV/0!</v>
      </c>
      <c r="AV227"/>
      <c r="AW227"/>
      <c r="DE227" s="186">
        <f>DE111</f>
        <v>39714</v>
      </c>
      <c r="DF227" s="204"/>
      <c r="DG227" s="204">
        <f t="shared" si="358"/>
        <v>2.3844418604651165E-2</v>
      </c>
      <c r="DH227" s="204">
        <f t="shared" ref="DH227:DH234" si="359">(LN(DG227/DG226))/(DE214-DE213)</f>
        <v>-4.7636504964352257E-3</v>
      </c>
      <c r="DI227" s="204"/>
      <c r="DJ227" s="204"/>
      <c r="DK227" s="204"/>
      <c r="DL227" s="204"/>
      <c r="DM227" s="204"/>
      <c r="DN227" s="204"/>
      <c r="DO227" s="204"/>
      <c r="DP227" s="204"/>
      <c r="DQ227" s="204"/>
      <c r="DR227" s="204"/>
      <c r="DS227" s="204"/>
      <c r="DT227" s="204"/>
      <c r="DU227" s="204"/>
      <c r="DV227" s="204"/>
      <c r="DW227" s="204"/>
      <c r="DX227" s="204"/>
      <c r="DY227" s="204"/>
      <c r="DZ227" s="204"/>
      <c r="EA227" s="204"/>
      <c r="EB227" s="204"/>
      <c r="EC227" s="204"/>
      <c r="ED227" s="204"/>
      <c r="EE227" s="204"/>
      <c r="EF227" s="204"/>
      <c r="EG227" s="204"/>
      <c r="EH227" s="204"/>
      <c r="EI227" s="204"/>
      <c r="EJ227" s="204"/>
      <c r="FY227" s="211">
        <v>222</v>
      </c>
      <c r="FZ227">
        <v>0.56316752255782676</v>
      </c>
      <c r="GA227">
        <v>0.85116661385744619</v>
      </c>
      <c r="GB227">
        <v>0.90694474256596636</v>
      </c>
      <c r="GC227">
        <v>0.48803017250120267</v>
      </c>
      <c r="GD227">
        <v>0.19531957821540102</v>
      </c>
      <c r="GE227">
        <v>0.25801672140809995</v>
      </c>
      <c r="GF227">
        <v>0.33409761863227821</v>
      </c>
      <c r="GG227">
        <v>0.39070597101659427</v>
      </c>
      <c r="GH227">
        <v>0.20200311426008355</v>
      </c>
      <c r="GI227">
        <v>0.50765113641412374</v>
      </c>
      <c r="GJ227"/>
      <c r="GK227">
        <v>0.56116874999999999</v>
      </c>
      <c r="GL227">
        <v>0.71688750000000001</v>
      </c>
      <c r="GM227">
        <v>1.4891313920454545</v>
      </c>
      <c r="GN227">
        <v>1.4322800527597401</v>
      </c>
      <c r="GO227">
        <v>0.74330491071428573</v>
      </c>
      <c r="GP227">
        <v>0.48506249999999995</v>
      </c>
      <c r="GQ227">
        <v>0.40278260869565213</v>
      </c>
      <c r="GR227">
        <v>0.54351177536231876</v>
      </c>
      <c r="GS227">
        <v>0.21361077724358973</v>
      </c>
      <c r="GT227">
        <v>0.68199968773979625</v>
      </c>
      <c r="GU227"/>
      <c r="GV227"/>
      <c r="GW227"/>
      <c r="GX227"/>
      <c r="GY227"/>
      <c r="GZ227"/>
      <c r="HA227"/>
      <c r="HB227"/>
      <c r="HC227"/>
    </row>
    <row r="228" spans="1:211" s="7" customFormat="1">
      <c r="A228" s="9" t="s">
        <v>60</v>
      </c>
      <c r="B228">
        <v>0.39325002703745104</v>
      </c>
      <c r="C228">
        <v>9</v>
      </c>
      <c r="D228">
        <v>39646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 s="2"/>
      <c r="AK228" s="81"/>
      <c r="AL228" s="81">
        <v>3.0028000000000028</v>
      </c>
      <c r="AM228" s="43">
        <v>212</v>
      </c>
      <c r="AN228">
        <v>39.662671573181477</v>
      </c>
      <c r="AO228">
        <v>0.93082488124426188</v>
      </c>
      <c r="AP228">
        <v>1.1457651731611651</v>
      </c>
      <c r="AQ228">
        <v>6.9713070022950374</v>
      </c>
      <c r="AR228">
        <v>0.85203513023953859</v>
      </c>
      <c r="AS228">
        <v>3.120611409239741</v>
      </c>
      <c r="AT228">
        <v>0.63514997061378542</v>
      </c>
      <c r="AU228">
        <v>-3.1685624647504067E-2</v>
      </c>
      <c r="AV228"/>
      <c r="AW228"/>
      <c r="BB228" s="168"/>
      <c r="BC228" s="86"/>
      <c r="BD228" s="86"/>
      <c r="BE228" s="86"/>
      <c r="BF228" s="86"/>
      <c r="BG228" s="86"/>
      <c r="BH228" s="86"/>
      <c r="BI228" s="86"/>
      <c r="BJ228" s="169"/>
      <c r="BK228" s="169"/>
      <c r="BL228" s="170"/>
      <c r="BM228" s="169"/>
      <c r="BN228" s="170"/>
      <c r="BO228" s="169"/>
      <c r="BP228" s="170"/>
      <c r="BQ228" s="169"/>
      <c r="BR228" s="170"/>
      <c r="BS228" s="169"/>
      <c r="BT228" s="170"/>
      <c r="BU228" s="169"/>
      <c r="BV228" s="170"/>
      <c r="DE228" s="186">
        <f>DE121</f>
        <v>39747</v>
      </c>
      <c r="DF228" s="204"/>
      <c r="DG228" s="204">
        <f t="shared" si="358"/>
        <v>3.3024206437291891E-2</v>
      </c>
      <c r="DH228" s="204">
        <f t="shared" si="359"/>
        <v>9.8694136906339828E-3</v>
      </c>
      <c r="DI228" s="204"/>
      <c r="DJ228" s="204"/>
      <c r="DK228" s="204"/>
      <c r="DL228" s="204"/>
      <c r="DM228" s="204"/>
      <c r="DN228" s="204"/>
      <c r="DO228" s="204"/>
      <c r="DP228" s="204"/>
      <c r="DQ228" s="204"/>
      <c r="DR228" s="204"/>
      <c r="DS228" s="204"/>
      <c r="DT228" s="204"/>
      <c r="DU228" s="204"/>
      <c r="DV228" s="204"/>
      <c r="DW228" s="204"/>
      <c r="DX228" s="204"/>
      <c r="DY228" s="204"/>
      <c r="DZ228" s="204"/>
      <c r="EA228" s="204"/>
      <c r="EB228" s="204"/>
      <c r="EC228" s="204"/>
      <c r="ED228" s="204"/>
      <c r="EE228" s="204"/>
      <c r="EF228" s="204"/>
      <c r="EG228" s="204"/>
      <c r="EH228" s="204"/>
      <c r="EI228" s="204"/>
      <c r="EJ228" s="204"/>
      <c r="FY228" s="211">
        <v>223</v>
      </c>
      <c r="FZ228">
        <v>1.0676656068862447</v>
      </c>
      <c r="GA228">
        <v>1.1369413129949089</v>
      </c>
      <c r="GB228">
        <v>1.3946678703837454</v>
      </c>
      <c r="GC228">
        <v>0.78214663198890899</v>
      </c>
      <c r="GD228">
        <v>7.5543261939787498E-2</v>
      </c>
      <c r="GE228">
        <v>0.1001010398652</v>
      </c>
      <c r="GF228">
        <v>1.0022928558968347</v>
      </c>
      <c r="GG228">
        <v>0.8686264624209391</v>
      </c>
      <c r="GH228">
        <v>0</v>
      </c>
      <c r="GI228">
        <v>0.72198031425944076</v>
      </c>
      <c r="GJ228"/>
      <c r="GK228">
        <v>1.0640455882352939</v>
      </c>
      <c r="GL228">
        <v>0.95755730698529407</v>
      </c>
      <c r="GM228">
        <v>2.2900245028409087</v>
      </c>
      <c r="GN228">
        <v>2.2969034090909086</v>
      </c>
      <c r="GO228">
        <v>0.28785937500000003</v>
      </c>
      <c r="GP228">
        <v>0.18824999999999997</v>
      </c>
      <c r="GQ228">
        <v>1.2083478260869565</v>
      </c>
      <c r="GR228">
        <v>1.2083478260869565</v>
      </c>
      <c r="GS228">
        <v>0</v>
      </c>
      <c r="GT228">
        <v>0.97005545843263197</v>
      </c>
      <c r="GU228"/>
      <c r="GV228"/>
      <c r="GW228"/>
      <c r="GX228"/>
      <c r="GY228"/>
      <c r="GZ228"/>
      <c r="HA228"/>
      <c r="HB228"/>
      <c r="HC228"/>
    </row>
    <row r="229" spans="1:211" s="7" customFormat="1">
      <c r="A229" s="90"/>
      <c r="B229">
        <v>0.95223910383020072</v>
      </c>
      <c r="C229">
        <v>5</v>
      </c>
      <c r="D229">
        <v>39646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 s="2"/>
      <c r="AK229" s="81"/>
      <c r="AL229" s="81"/>
      <c r="AM229" s="43">
        <v>213</v>
      </c>
      <c r="AN229">
        <v>50.196203319213218</v>
      </c>
      <c r="AO229">
        <v>1.0079423276728334</v>
      </c>
      <c r="AP229">
        <v>12.034777439620106</v>
      </c>
      <c r="AQ229">
        <v>7.1959624269581983</v>
      </c>
      <c r="AR229">
        <v>0.92938621790187659</v>
      </c>
      <c r="AS229">
        <v>4.2087781621735703</v>
      </c>
      <c r="AT229" t="e">
        <v>#DIV/0!</v>
      </c>
      <c r="AU229" t="e">
        <v>#DIV/0!</v>
      </c>
      <c r="AV229"/>
      <c r="AW229"/>
      <c r="BA229" s="171"/>
      <c r="BC229" s="162"/>
      <c r="BD229" s="162"/>
      <c r="BE229" s="162"/>
      <c r="BF229" s="162"/>
      <c r="BG229" s="162"/>
      <c r="BH229" s="162"/>
      <c r="BI229" s="162"/>
      <c r="BJ229" s="162"/>
      <c r="BK229" s="162"/>
      <c r="BL229" s="162"/>
      <c r="BM229" s="162"/>
      <c r="BN229" s="162"/>
      <c r="BO229" s="162"/>
      <c r="BP229" s="162"/>
      <c r="BQ229" s="162"/>
      <c r="BR229" s="162"/>
      <c r="BS229" s="162"/>
      <c r="BT229" s="162"/>
      <c r="BU229" s="162"/>
      <c r="BV229" s="162"/>
      <c r="DE229" s="186">
        <f>DE131</f>
        <v>39775</v>
      </c>
      <c r="DF229" s="204"/>
      <c r="DG229" s="204">
        <f t="shared" si="358"/>
        <v>1.8678739255014329E-2</v>
      </c>
      <c r="DH229" s="204">
        <f t="shared" si="359"/>
        <v>-2.0351960076691232E-2</v>
      </c>
      <c r="DI229" s="204"/>
      <c r="DJ229" s="204"/>
      <c r="DK229" s="204"/>
      <c r="DL229" s="204"/>
      <c r="DM229" s="204"/>
      <c r="DN229" s="204"/>
      <c r="DO229" s="204"/>
      <c r="DP229" s="204"/>
      <c r="DQ229" s="204"/>
      <c r="DR229" s="204"/>
      <c r="DS229" s="204"/>
      <c r="DT229" s="204"/>
      <c r="DU229" s="204"/>
      <c r="DV229" s="204"/>
      <c r="DW229" s="204"/>
      <c r="DX229" s="204"/>
      <c r="DY229" s="204"/>
      <c r="DZ229" s="204"/>
      <c r="EA229" s="204"/>
      <c r="EB229" s="204"/>
      <c r="EC229" s="204"/>
      <c r="ED229" s="204"/>
      <c r="EE229" s="204"/>
      <c r="EF229" s="204"/>
      <c r="EG229" s="204"/>
      <c r="EH229" s="204"/>
      <c r="EI229" s="204"/>
      <c r="EJ229" s="204"/>
      <c r="FY229" s="211">
        <v>224</v>
      </c>
      <c r="FZ229">
        <v>1.873655643089414</v>
      </c>
      <c r="GA229">
        <v>2.8514771873155595</v>
      </c>
      <c r="GB229">
        <v>0.62590848231118712</v>
      </c>
      <c r="GC229">
        <v>0.3291688649207043</v>
      </c>
      <c r="GD229">
        <v>0.24974735912079746</v>
      </c>
      <c r="GE229">
        <v>0.15315172346204997</v>
      </c>
      <c r="GF229">
        <v>0.6799668193786782</v>
      </c>
      <c r="GG229">
        <v>0.55449759458925008</v>
      </c>
      <c r="GH229">
        <v>2.2985735835423678E-2</v>
      </c>
      <c r="GI229">
        <v>0.69815894367902742</v>
      </c>
      <c r="GJ229"/>
      <c r="GK229">
        <v>1.8674099264705883</v>
      </c>
      <c r="GL229">
        <v>2.4017028952205886</v>
      </c>
      <c r="GM229">
        <v>1.0268320312500001</v>
      </c>
      <c r="GN229">
        <v>0.96459843749999985</v>
      </c>
      <c r="GO229">
        <v>0.94999687499999985</v>
      </c>
      <c r="GP229">
        <v>0.28771875000000002</v>
      </c>
      <c r="GQ229">
        <v>0.82134375000000004</v>
      </c>
      <c r="GR229">
        <v>0.77249999999999996</v>
      </c>
      <c r="GS229">
        <v>2.4293870192307693E-2</v>
      </c>
      <c r="GT229">
        <v>0.93797529058257911</v>
      </c>
      <c r="GU229"/>
      <c r="GV229"/>
      <c r="GW229"/>
      <c r="GX229"/>
      <c r="GY229"/>
      <c r="GZ229"/>
      <c r="HA229"/>
      <c r="HB229"/>
      <c r="HC229"/>
    </row>
    <row r="230" spans="1:211" s="7" customFormat="1">
      <c r="A230" s="77"/>
      <c r="B230">
        <v>0.77214178302943992</v>
      </c>
      <c r="C230">
        <v>10</v>
      </c>
      <c r="D230">
        <v>39646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 s="2"/>
      <c r="AK230" s="81"/>
      <c r="AL230" s="81"/>
      <c r="AM230" s="43">
        <v>214</v>
      </c>
      <c r="AN230">
        <v>42.108863575623488</v>
      </c>
      <c r="AO230">
        <v>0.87426768824975643</v>
      </c>
      <c r="AP230">
        <v>0.5253371329108476</v>
      </c>
      <c r="AQ230">
        <v>6.6313109136938433</v>
      </c>
      <c r="AR230">
        <v>0.80927744386341482</v>
      </c>
      <c r="AS230">
        <v>3.5515735505789197</v>
      </c>
      <c r="AT230" t="e">
        <v>#DIV/0!</v>
      </c>
      <c r="AU230" t="e">
        <v>#DIV/0!</v>
      </c>
      <c r="AV230"/>
      <c r="AW230"/>
      <c r="BA230" s="171"/>
      <c r="BC230" s="162"/>
      <c r="BD230" s="162"/>
      <c r="BE230" s="162"/>
      <c r="BF230" s="162"/>
      <c r="BG230" s="162"/>
      <c r="BH230" s="162"/>
      <c r="BI230" s="162"/>
      <c r="BJ230" s="162"/>
      <c r="BK230" s="162"/>
      <c r="BL230" s="162"/>
      <c r="BM230" s="162"/>
      <c r="BN230" s="162"/>
      <c r="BO230" s="162"/>
      <c r="BP230" s="162"/>
      <c r="BQ230" s="162"/>
      <c r="BR230" s="162"/>
      <c r="BS230" s="162"/>
      <c r="BT230" s="162"/>
      <c r="BU230" s="162"/>
      <c r="BV230" s="162"/>
      <c r="DE230" s="186">
        <f>DE141</f>
        <v>39799</v>
      </c>
      <c r="DF230" s="204"/>
      <c r="DG230" s="204">
        <f t="shared" si="358"/>
        <v>1.9980000000000001E-2</v>
      </c>
      <c r="DH230" s="204">
        <f t="shared" si="359"/>
        <v>2.8060764332902832E-3</v>
      </c>
      <c r="DI230" s="204"/>
      <c r="DJ230" s="204"/>
      <c r="DK230" s="204"/>
      <c r="DL230" s="204"/>
      <c r="DM230" s="204"/>
      <c r="DN230" s="204"/>
      <c r="DO230" s="204"/>
      <c r="DP230" s="204"/>
      <c r="DQ230" s="204"/>
      <c r="DR230" s="204"/>
      <c r="DS230" s="204"/>
      <c r="DT230" s="204"/>
      <c r="DU230" s="204"/>
      <c r="DV230" s="204"/>
      <c r="DW230" s="204"/>
      <c r="DX230" s="204"/>
      <c r="DY230" s="204"/>
      <c r="DZ230" s="204"/>
      <c r="EA230" s="204"/>
      <c r="EB230" s="204"/>
      <c r="EC230" s="204"/>
      <c r="ED230" s="204"/>
      <c r="EE230" s="204"/>
      <c r="EF230" s="204"/>
      <c r="EG230" s="204"/>
      <c r="EH230" s="204"/>
      <c r="EI230" s="204"/>
      <c r="EJ230" s="204"/>
      <c r="FY230" s="211">
        <v>225</v>
      </c>
      <c r="FZ230">
        <v>1.3910250455026651</v>
      </c>
      <c r="GA230">
        <v>1.956453471264227</v>
      </c>
      <c r="GB230">
        <v>0.86315201182187562</v>
      </c>
      <c r="GC230">
        <v>0.43417967695368703</v>
      </c>
      <c r="GD230">
        <v>0.11778908119091357</v>
      </c>
      <c r="GE230">
        <v>0.11648028087809999</v>
      </c>
      <c r="GF230">
        <v>0.36024295839505316</v>
      </c>
      <c r="GG230">
        <v>0.27724879729462504</v>
      </c>
      <c r="GH230">
        <v>2.2985735835423678E-2</v>
      </c>
      <c r="GI230">
        <v>0.55234585446915219</v>
      </c>
      <c r="GJ230"/>
      <c r="GK230">
        <v>1.386151838235294</v>
      </c>
      <c r="GL230">
        <v>1.6476440257352938</v>
      </c>
      <c r="GM230">
        <v>1.4168188920454543</v>
      </c>
      <c r="GN230">
        <v>1.2741159902597401</v>
      </c>
      <c r="GO230">
        <v>0.44832053571428576</v>
      </c>
      <c r="GP230">
        <v>0.21899999999999997</v>
      </c>
      <c r="GQ230">
        <v>0.43509375</v>
      </c>
      <c r="GR230">
        <v>0.38624999999999998</v>
      </c>
      <c r="GS230">
        <v>2.4293870192307693E-2</v>
      </c>
      <c r="GT230">
        <v>0.74213577723746837</v>
      </c>
      <c r="GU230"/>
      <c r="GV230"/>
      <c r="GW230"/>
      <c r="GX230"/>
      <c r="GY230"/>
      <c r="GZ230"/>
      <c r="HA230"/>
      <c r="HB230"/>
      <c r="HC230"/>
    </row>
    <row r="231" spans="1:211" s="7" customFormat="1">
      <c r="A231" s="77"/>
      <c r="B231">
        <v>1.278050505855699E-2</v>
      </c>
      <c r="C231">
        <v>2</v>
      </c>
      <c r="D231">
        <v>39646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 s="2"/>
      <c r="AK231" s="81"/>
      <c r="AL231" s="81"/>
      <c r="AM231" s="43">
        <v>215</v>
      </c>
      <c r="AN231">
        <v>38.128754503938332</v>
      </c>
      <c r="AO231">
        <v>0.95473136675150827</v>
      </c>
      <c r="AP231">
        <v>2.6804387241978516</v>
      </c>
      <c r="AQ231">
        <v>6.2926961492561411</v>
      </c>
      <c r="AR231">
        <v>0.89550125342794451</v>
      </c>
      <c r="AS231">
        <v>3.206759721663238</v>
      </c>
      <c r="AT231" t="e">
        <v>#DIV/0!</v>
      </c>
      <c r="AU231" t="e">
        <v>#DIV/0!</v>
      </c>
      <c r="AV231"/>
      <c r="AW231"/>
      <c r="BA231" s="171"/>
      <c r="BC231" s="162"/>
      <c r="BD231" s="162"/>
      <c r="BE231" s="162"/>
      <c r="BF231" s="162"/>
      <c r="BG231" s="162"/>
      <c r="BH231" s="162"/>
      <c r="BI231" s="162"/>
      <c r="BJ231" s="162"/>
      <c r="BK231" s="162"/>
      <c r="BL231" s="162"/>
      <c r="BM231" s="162"/>
      <c r="BN231" s="162"/>
      <c r="BO231" s="162"/>
      <c r="BP231" s="162"/>
      <c r="BQ231" s="162"/>
      <c r="BR231" s="162"/>
      <c r="BS231" s="162"/>
      <c r="BT231" s="162"/>
      <c r="BU231" s="162"/>
      <c r="BV231" s="162"/>
      <c r="DE231" s="186">
        <f>DE151</f>
        <v>39847</v>
      </c>
      <c r="DF231" s="204"/>
      <c r="DG231" s="204">
        <f t="shared" si="358"/>
        <v>1.737E-2</v>
      </c>
      <c r="DH231" s="204">
        <f t="shared" si="359"/>
        <v>-2.9163998534873729E-3</v>
      </c>
      <c r="DI231" s="204"/>
      <c r="DJ231" s="204"/>
      <c r="DK231" s="204"/>
      <c r="DL231" s="204"/>
      <c r="DM231" s="204"/>
      <c r="DN231" s="204"/>
      <c r="DO231" s="204"/>
      <c r="DP231" s="204"/>
      <c r="DQ231" s="204"/>
      <c r="DR231" s="204"/>
      <c r="DS231" s="204"/>
      <c r="DT231" s="204"/>
      <c r="DU231" s="204"/>
      <c r="DV231" s="204"/>
      <c r="DW231" s="204"/>
      <c r="DX231" s="204"/>
      <c r="DY231" s="204"/>
      <c r="DZ231" s="204"/>
      <c r="EA231" s="204"/>
      <c r="EB231" s="204"/>
      <c r="EC231" s="204"/>
      <c r="ED231" s="204"/>
      <c r="EE231" s="204"/>
      <c r="EF231" s="204"/>
      <c r="EG231" s="204"/>
      <c r="EH231" s="204"/>
      <c r="EI231" s="204"/>
      <c r="EJ231" s="204"/>
      <c r="FY231" s="211">
        <v>226</v>
      </c>
      <c r="FZ231">
        <v>0.15987205596093745</v>
      </c>
      <c r="GA231">
        <v>0.47989335157598778</v>
      </c>
      <c r="GB231">
        <v>0.82865072079405333</v>
      </c>
      <c r="GC231">
        <v>0.80691401399911822</v>
      </c>
      <c r="GD231">
        <v>0.42054893359573509</v>
      </c>
      <c r="GE231">
        <v>0.14833383665557504</v>
      </c>
      <c r="GF231">
        <v>0.37461671604370633</v>
      </c>
      <c r="GG231">
        <v>0.34012406257845362</v>
      </c>
      <c r="GH231">
        <v>8.9508689212329934E-2</v>
      </c>
      <c r="GI231">
        <v>0.54579015621181792</v>
      </c>
      <c r="GJ231"/>
      <c r="GK231">
        <v>0.15937499999999996</v>
      </c>
      <c r="GL231">
        <v>0.40416796875</v>
      </c>
      <c r="GM231">
        <v>1.3602759232954544</v>
      </c>
      <c r="GN231">
        <v>2.3656673295454542</v>
      </c>
      <c r="GO231">
        <v>1.59954375</v>
      </c>
      <c r="GP231">
        <v>0.27867187500000001</v>
      </c>
      <c r="GQ231">
        <v>0.45162635869565215</v>
      </c>
      <c r="GR231">
        <v>0.47314719202898542</v>
      </c>
      <c r="GS231">
        <v>9.465845352564102E-2</v>
      </c>
      <c r="GT231">
        <v>0.73309589710334944</v>
      </c>
      <c r="GU231"/>
      <c r="GV231"/>
      <c r="GW231"/>
      <c r="GX231"/>
      <c r="GY231"/>
      <c r="GZ231"/>
      <c r="HA231"/>
      <c r="HB231"/>
      <c r="HC231"/>
    </row>
    <row r="232" spans="1:211" s="7" customFormat="1">
      <c r="A232" s="77"/>
      <c r="B232">
        <v>0.13106249115444513</v>
      </c>
      <c r="C232">
        <v>1</v>
      </c>
      <c r="D232">
        <v>39646</v>
      </c>
      <c r="E232">
        <v>0</v>
      </c>
      <c r="F232">
        <v>0</v>
      </c>
      <c r="G232">
        <v>20.833333333333332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 s="2"/>
      <c r="AK232" s="81"/>
      <c r="AL232" s="81"/>
      <c r="AM232" s="43">
        <v>216</v>
      </c>
      <c r="AN232">
        <v>36.358653060583208</v>
      </c>
      <c r="AO232">
        <v>0.8308520576216063</v>
      </c>
      <c r="AP232">
        <v>2.4934016510839609</v>
      </c>
      <c r="AQ232">
        <v>6.6162804679340823</v>
      </c>
      <c r="AR232">
        <v>0.77926154058257902</v>
      </c>
      <c r="AS232">
        <v>2.7999246401680762</v>
      </c>
      <c r="AT232" t="e">
        <v>#DIV/0!</v>
      </c>
      <c r="AU232" t="e">
        <v>#DIV/0!</v>
      </c>
      <c r="AV232"/>
      <c r="AW232"/>
      <c r="BA232" s="171"/>
      <c r="BC232" s="162"/>
      <c r="BD232" s="162"/>
      <c r="BE232" s="162"/>
      <c r="BF232" s="162"/>
      <c r="BG232" s="162"/>
      <c r="BH232" s="162"/>
      <c r="BI232" s="162"/>
      <c r="BJ232" s="162"/>
      <c r="BK232" s="162"/>
      <c r="BL232" s="162"/>
      <c r="BM232" s="162"/>
      <c r="BN232" s="162"/>
      <c r="BO232" s="162"/>
      <c r="BP232" s="162"/>
      <c r="BQ232" s="162"/>
      <c r="BR232" s="162"/>
      <c r="BS232" s="162"/>
      <c r="BT232" s="162"/>
      <c r="BU232" s="162"/>
      <c r="BV232" s="162"/>
      <c r="DE232" s="186">
        <f>DE162</f>
        <v>39910</v>
      </c>
      <c r="DF232" s="204"/>
      <c r="DG232" s="204">
        <f t="shared" si="358"/>
        <v>1.9776012024048096E-2</v>
      </c>
      <c r="DH232" s="204">
        <f t="shared" si="359"/>
        <v>2.0591287148289321E-3</v>
      </c>
      <c r="DI232" s="204"/>
      <c r="DJ232" s="204"/>
      <c r="DK232" s="204"/>
      <c r="DL232" s="204"/>
      <c r="DM232" s="204"/>
      <c r="DN232" s="204"/>
      <c r="DO232" s="204"/>
      <c r="DP232" s="204"/>
      <c r="DQ232" s="204"/>
      <c r="DR232" s="204"/>
      <c r="DS232" s="204"/>
      <c r="DT232" s="204"/>
      <c r="DU232" s="204"/>
      <c r="DV232" s="204"/>
      <c r="DW232" s="204"/>
      <c r="DX232" s="204"/>
      <c r="DY232" s="204"/>
      <c r="DZ232" s="204"/>
      <c r="EA232" s="204"/>
      <c r="EB232" s="204"/>
      <c r="EC232" s="204"/>
      <c r="ED232" s="204"/>
      <c r="EE232" s="204"/>
      <c r="EF232" s="204"/>
      <c r="EG232" s="204"/>
      <c r="EH232" s="204"/>
      <c r="EI232" s="204"/>
      <c r="EJ232" s="204"/>
      <c r="FY232" s="211">
        <v>227</v>
      </c>
      <c r="FZ232">
        <v>1.5053763616211788</v>
      </c>
      <c r="GA232">
        <v>2.047605255942889</v>
      </c>
      <c r="GB232">
        <v>1.1251080188877798</v>
      </c>
      <c r="GC232">
        <v>0.77635616441932442</v>
      </c>
      <c r="GD232">
        <v>0.20832998247571172</v>
      </c>
      <c r="GE232">
        <v>3.5650788238799996E-2</v>
      </c>
      <c r="GF232">
        <v>0.70871433467598444</v>
      </c>
      <c r="GG232">
        <v>0.68024812515690725</v>
      </c>
      <c r="GH232">
        <v>0.1330459067538125</v>
      </c>
      <c r="GI232">
        <v>0.76441154366322195</v>
      </c>
      <c r="GJ232"/>
      <c r="GK232">
        <v>1.5002362132352942</v>
      </c>
      <c r="GL232">
        <v>1.7246737132352941</v>
      </c>
      <c r="GM232">
        <v>1.8468735795454545</v>
      </c>
      <c r="GN232">
        <v>2.2770400974025971</v>
      </c>
      <c r="GO232">
        <v>0.79222901785714273</v>
      </c>
      <c r="GP232">
        <v>6.6937499999999997E-2</v>
      </c>
      <c r="GQ232">
        <v>0.85440896739130423</v>
      </c>
      <c r="GR232">
        <v>0.94629438405797084</v>
      </c>
      <c r="GS232">
        <v>0.14072916666666666</v>
      </c>
      <c r="GT232">
        <v>1.0268953889391725</v>
      </c>
      <c r="GU232"/>
      <c r="GV232"/>
      <c r="GW232"/>
      <c r="GX232"/>
      <c r="GY232"/>
      <c r="GZ232"/>
      <c r="HA232"/>
      <c r="HB232"/>
      <c r="HC232"/>
    </row>
    <row r="233" spans="1:211" s="7" customFormat="1">
      <c r="A233" s="77"/>
      <c r="B233">
        <v>0.81053135170982138</v>
      </c>
      <c r="C233">
        <v>4</v>
      </c>
      <c r="D233">
        <v>39646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 s="2"/>
      <c r="AK233" s="81"/>
      <c r="AL233" s="81"/>
      <c r="AM233" s="43">
        <v>217</v>
      </c>
      <c r="AN233">
        <v>35.222367188467729</v>
      </c>
      <c r="AO233">
        <v>0.65878136421753053</v>
      </c>
      <c r="AP233">
        <v>5.9401790790843982</v>
      </c>
      <c r="AQ233">
        <v>4.310875945059002</v>
      </c>
      <c r="AR233">
        <v>0.62866433023272017</v>
      </c>
      <c r="AS233">
        <v>3.1700975175574304</v>
      </c>
      <c r="AT233" t="e">
        <v>#DIV/0!</v>
      </c>
      <c r="AU233" t="e">
        <v>#DIV/0!</v>
      </c>
      <c r="AV233"/>
      <c r="AW233"/>
      <c r="BA233" s="171"/>
      <c r="BC233" s="162"/>
      <c r="BD233" s="162"/>
      <c r="BE233" s="162"/>
      <c r="BF233" s="162"/>
      <c r="BG233" s="162"/>
      <c r="BH233" s="162"/>
      <c r="BI233" s="162"/>
      <c r="BJ233" s="162"/>
      <c r="BK233" s="162"/>
      <c r="BL233" s="162"/>
      <c r="BM233" s="162"/>
      <c r="BN233" s="162"/>
      <c r="BO233" s="162"/>
      <c r="BP233" s="162"/>
      <c r="BQ233" s="162"/>
      <c r="BR233" s="162"/>
      <c r="BS233" s="162"/>
      <c r="BT233" s="162"/>
      <c r="BU233" s="162"/>
      <c r="BV233" s="162"/>
      <c r="DE233" s="186">
        <f>DE171</f>
        <v>39949</v>
      </c>
      <c r="DF233" s="204"/>
      <c r="DG233" s="204">
        <f t="shared" si="358"/>
        <v>1.737E-2</v>
      </c>
      <c r="DH233" s="204">
        <f t="shared" si="359"/>
        <v>-3.326284847031351E-3</v>
      </c>
      <c r="DI233" s="204"/>
      <c r="DJ233" s="204"/>
      <c r="DK233" s="204"/>
      <c r="DL233" s="204"/>
      <c r="DM233" s="204"/>
      <c r="DN233" s="204"/>
      <c r="DO233" s="204"/>
      <c r="DP233" s="204"/>
      <c r="DQ233" s="204"/>
      <c r="DR233" s="204"/>
      <c r="DS233" s="204"/>
      <c r="DT233" s="204"/>
      <c r="DU233" s="204"/>
      <c r="DV233" s="204"/>
      <c r="DW233" s="204"/>
      <c r="DX233" s="204"/>
      <c r="DY233" s="204"/>
      <c r="DZ233" s="204"/>
      <c r="EA233" s="204"/>
      <c r="EB233" s="204"/>
      <c r="EC233" s="204"/>
      <c r="ED233" s="204"/>
      <c r="EE233" s="204"/>
      <c r="EF233" s="204"/>
      <c r="EG233" s="204"/>
      <c r="EH233" s="204"/>
      <c r="EI233" s="204"/>
      <c r="EJ233" s="204"/>
      <c r="FY233" s="211">
        <v>228</v>
      </c>
      <c r="FZ233">
        <v>1.4745901685187996</v>
      </c>
      <c r="GA233">
        <v>1.4975137713335624</v>
      </c>
      <c r="GB233">
        <v>9.1591919584945308E-2</v>
      </c>
      <c r="GC233">
        <v>0.45219069254255612</v>
      </c>
      <c r="GD233">
        <v>0.38959052848543929</v>
      </c>
      <c r="GE233">
        <v>0.13580575682962504</v>
      </c>
      <c r="GF233">
        <v>0.40076205580648128</v>
      </c>
      <c r="GG233">
        <v>0.27724879729462504</v>
      </c>
      <c r="GH233">
        <v>2.2985735835423678E-2</v>
      </c>
      <c r="GI233">
        <v>0.53745566573721593</v>
      </c>
      <c r="GJ233"/>
      <c r="GK233">
        <v>1.469495588235294</v>
      </c>
      <c r="GL233">
        <v>1.2611362132352939</v>
      </c>
      <c r="GM233">
        <v>0.150234375</v>
      </c>
      <c r="GN233">
        <v>1.3241852678571429</v>
      </c>
      <c r="GO233">
        <v>1.4816383928571428</v>
      </c>
      <c r="GP233">
        <v>0.25514062500000001</v>
      </c>
      <c r="GQ233">
        <v>0.48393750000000002</v>
      </c>
      <c r="GR233">
        <v>0.38624999999999998</v>
      </c>
      <c r="GS233">
        <v>2.4293870192307693E-2</v>
      </c>
      <c r="GT233">
        <v>0.72191994525694891</v>
      </c>
      <c r="GU233"/>
      <c r="GV233"/>
      <c r="GW233"/>
      <c r="GX233"/>
      <c r="GY233"/>
      <c r="GZ233"/>
      <c r="HA233"/>
      <c r="HB233"/>
      <c r="HC233"/>
    </row>
    <row r="234" spans="1:211" s="7" customFormat="1">
      <c r="A234" s="77"/>
      <c r="B234">
        <v>0.55180711314366637</v>
      </c>
      <c r="C234">
        <v>3</v>
      </c>
      <c r="D234">
        <v>39646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 s="2"/>
      <c r="AK234" s="81"/>
      <c r="AL234" s="81"/>
      <c r="AM234" s="43">
        <v>218</v>
      </c>
      <c r="AN234">
        <v>39.130017524243058</v>
      </c>
      <c r="AO234">
        <v>1.0146872024730249</v>
      </c>
      <c r="AP234">
        <v>1.330494947387475</v>
      </c>
      <c r="AQ234">
        <v>6.2077312411949341</v>
      </c>
      <c r="AR234">
        <v>0.92827360408386883</v>
      </c>
      <c r="AS234">
        <v>3.3190328874082611</v>
      </c>
      <c r="AT234">
        <v>0.62691085529871515</v>
      </c>
      <c r="AU234">
        <v>-3.0622966843054829E-2</v>
      </c>
      <c r="AV234"/>
      <c r="AW234"/>
      <c r="BA234" s="171"/>
      <c r="BC234" s="162"/>
      <c r="BD234" s="162"/>
      <c r="BE234" s="162"/>
      <c r="BF234" s="162"/>
      <c r="BG234" s="162"/>
      <c r="BH234" s="162"/>
      <c r="BI234" s="162"/>
      <c r="BJ234" s="162"/>
      <c r="BK234" s="162"/>
      <c r="BL234" s="162"/>
      <c r="BM234" s="162"/>
      <c r="BN234" s="162"/>
      <c r="BO234" s="162"/>
      <c r="BP234" s="162"/>
      <c r="BQ234" s="162"/>
      <c r="BR234" s="162"/>
      <c r="BS234" s="162"/>
      <c r="BT234" s="162"/>
      <c r="BU234" s="162"/>
      <c r="BV234" s="162"/>
      <c r="DE234" s="186">
        <f>DE181</f>
        <v>39987</v>
      </c>
      <c r="DF234" s="204"/>
      <c r="DG234" s="204" t="e">
        <f t="shared" si="358"/>
        <v>#DIV/0!</v>
      </c>
      <c r="DH234" s="204" t="e">
        <f t="shared" si="359"/>
        <v>#DIV/0!</v>
      </c>
      <c r="DI234" s="204"/>
      <c r="DJ234" s="204"/>
      <c r="DK234" s="204"/>
      <c r="DL234" s="204"/>
      <c r="DM234" s="204"/>
      <c r="DN234" s="204"/>
      <c r="DO234" s="204"/>
      <c r="DP234" s="204"/>
      <c r="DQ234" s="204"/>
      <c r="DR234" s="204"/>
      <c r="DS234" s="204"/>
      <c r="DT234" s="204"/>
      <c r="DU234" s="204"/>
      <c r="DV234" s="204"/>
      <c r="DW234" s="204"/>
      <c r="DX234" s="204"/>
      <c r="DY234" s="204"/>
      <c r="DZ234" s="204"/>
      <c r="EA234" s="204"/>
      <c r="EB234" s="204"/>
      <c r="EC234" s="204"/>
      <c r="ED234" s="204"/>
      <c r="EE234" s="204"/>
      <c r="EF234" s="204"/>
      <c r="EG234" s="204"/>
      <c r="EH234" s="204"/>
      <c r="EI234" s="204"/>
      <c r="EJ234" s="204"/>
      <c r="FY234" s="211">
        <v>229</v>
      </c>
      <c r="FZ234">
        <v>2.2763789938544403</v>
      </c>
      <c r="GA234">
        <v>3.3756760364990637</v>
      </c>
      <c r="GB234">
        <v>1.0271846317733506</v>
      </c>
      <c r="GC234">
        <v>0.42911559699375451</v>
      </c>
      <c r="GD234">
        <v>0.11877948834610177</v>
      </c>
      <c r="GE234">
        <v>0.14051578618485</v>
      </c>
      <c r="GF234">
        <v>0.66819523726455643</v>
      </c>
      <c r="GG234">
        <v>0.57908430828062596</v>
      </c>
      <c r="GH234">
        <v>2.2985735835423678E-2</v>
      </c>
      <c r="GI234">
        <v>0.77953831576234855</v>
      </c>
      <c r="GJ234"/>
      <c r="GK234">
        <v>2.268755514705882</v>
      </c>
      <c r="GL234">
        <v>2.8435133272058817</v>
      </c>
      <c r="GM234">
        <v>1.6859438920454544</v>
      </c>
      <c r="GN234">
        <v>1.2592775974025971</v>
      </c>
      <c r="GO234">
        <v>0.45221651785714279</v>
      </c>
      <c r="GP234">
        <v>0.26428125000000002</v>
      </c>
      <c r="GQ234">
        <v>0.80556521739130427</v>
      </c>
      <c r="GR234">
        <v>0.80556521739130427</v>
      </c>
      <c r="GS234">
        <v>2.4293870192307693E-2</v>
      </c>
      <c r="GT234">
        <v>1.0473550024384182</v>
      </c>
      <c r="GU234"/>
      <c r="GV234"/>
      <c r="GW234"/>
      <c r="GX234"/>
      <c r="GY234"/>
      <c r="GZ234"/>
      <c r="HA234"/>
      <c r="HB234"/>
      <c r="HC234"/>
    </row>
    <row r="235" spans="1:211" s="7" customFormat="1">
      <c r="A235" s="77"/>
      <c r="B235">
        <v>0.65717069057370825</v>
      </c>
      <c r="C235">
        <v>6</v>
      </c>
      <c r="D235">
        <v>39646</v>
      </c>
      <c r="E235">
        <v>0</v>
      </c>
      <c r="F235">
        <v>0</v>
      </c>
      <c r="G235">
        <v>62.5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 s="2"/>
      <c r="AK235" s="81"/>
      <c r="AL235" s="81"/>
      <c r="AM235" s="43">
        <v>219</v>
      </c>
      <c r="AN235">
        <v>61.332248779063832</v>
      </c>
      <c r="AO235">
        <v>1.4417182681927911</v>
      </c>
      <c r="AP235">
        <v>1.0282491697500129</v>
      </c>
      <c r="AQ235">
        <v>11.011199488767145</v>
      </c>
      <c r="AR235">
        <v>1.3345944592836563</v>
      </c>
      <c r="AS235">
        <v>4.818536767746469</v>
      </c>
      <c r="AT235">
        <v>0.98649272055391191</v>
      </c>
      <c r="AU235">
        <v>0.18405791717689191</v>
      </c>
      <c r="AV235"/>
      <c r="AW235"/>
      <c r="BA235" s="171"/>
      <c r="BC235" s="162"/>
      <c r="BD235" s="162"/>
      <c r="BE235" s="162"/>
      <c r="BF235" s="162"/>
      <c r="BG235" s="162"/>
      <c r="BH235" s="162"/>
      <c r="BI235" s="162"/>
      <c r="BJ235" s="162"/>
      <c r="BK235" s="162"/>
      <c r="BL235" s="162"/>
      <c r="BM235" s="162"/>
      <c r="BN235" s="162"/>
      <c r="BO235" s="162"/>
      <c r="BP235" s="162"/>
      <c r="BQ235" s="162"/>
      <c r="BR235" s="162"/>
      <c r="BS235" s="162"/>
      <c r="BT235" s="162"/>
      <c r="BU235" s="162"/>
      <c r="BV235" s="162"/>
      <c r="DF235" s="204"/>
      <c r="DG235" s="204"/>
      <c r="DH235" s="204"/>
      <c r="DI235" s="204"/>
      <c r="DJ235" s="204"/>
      <c r="DK235" s="204"/>
      <c r="DL235" s="204"/>
      <c r="DM235" s="204"/>
      <c r="DN235" s="204"/>
      <c r="DO235" s="204"/>
      <c r="DP235" s="204"/>
      <c r="DQ235" s="204"/>
      <c r="DR235" s="204"/>
      <c r="DS235" s="204"/>
      <c r="DT235" s="204"/>
      <c r="DU235" s="204"/>
      <c r="DV235" s="204"/>
      <c r="DW235" s="204"/>
      <c r="DX235" s="204"/>
      <c r="DY235" s="204"/>
      <c r="DZ235" s="204"/>
      <c r="EA235" s="204"/>
      <c r="EB235" s="204"/>
      <c r="EC235" s="204"/>
      <c r="ED235" s="204"/>
      <c r="EE235" s="204"/>
      <c r="EF235" s="204"/>
      <c r="EG235" s="204"/>
      <c r="EH235" s="204"/>
      <c r="EI235" s="204"/>
      <c r="EJ235" s="204"/>
      <c r="FY235" s="211">
        <v>230</v>
      </c>
      <c r="FZ235">
        <v>0.76489107225555086</v>
      </c>
      <c r="GA235">
        <v>1.2575972919034339</v>
      </c>
      <c r="GB235">
        <v>0.98169142167441548</v>
      </c>
      <c r="GC235">
        <v>0.62153749973704442</v>
      </c>
      <c r="GD235">
        <v>0.21738363612709496</v>
      </c>
      <c r="GE235">
        <v>0</v>
      </c>
      <c r="GF235">
        <v>0.82805716775636906</v>
      </c>
      <c r="GG235">
        <v>0.71770870692793864</v>
      </c>
      <c r="GH235">
        <v>0</v>
      </c>
      <c r="GI235">
        <v>0.62520811762721096</v>
      </c>
      <c r="GJ235"/>
      <c r="GK235">
        <v>0.76208437499999993</v>
      </c>
      <c r="GL235">
        <v>1.0588968750000001</v>
      </c>
      <c r="GM235">
        <v>1.6115142045454545</v>
      </c>
      <c r="GN235">
        <v>1.8228829545454541</v>
      </c>
      <c r="GO235">
        <v>0.8269312499999999</v>
      </c>
      <c r="GP235">
        <v>0</v>
      </c>
      <c r="GQ235">
        <v>0.99869021739130437</v>
      </c>
      <c r="GR235">
        <v>0.99869021739130437</v>
      </c>
      <c r="GS235">
        <v>0</v>
      </c>
      <c r="GT235">
        <v>0.8398440093873516</v>
      </c>
      <c r="GU235"/>
      <c r="GV235"/>
      <c r="GW235"/>
      <c r="GX235"/>
      <c r="GY235"/>
      <c r="GZ235"/>
      <c r="HA235"/>
      <c r="HB235"/>
      <c r="HC235"/>
    </row>
    <row r="236" spans="1:211" s="7" customFormat="1">
      <c r="A236" s="77"/>
      <c r="B236">
        <v>0.28073296072205078</v>
      </c>
      <c r="C236">
        <v>3</v>
      </c>
      <c r="D236">
        <v>39646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 s="2"/>
      <c r="AK236" s="81"/>
      <c r="AL236" s="81"/>
      <c r="AM236" s="43">
        <v>220</v>
      </c>
      <c r="AN236">
        <v>62.589553258826754</v>
      </c>
      <c r="AO236">
        <v>1.5547754411239203</v>
      </c>
      <c r="AP236">
        <v>15.648284273895278</v>
      </c>
      <c r="AQ236">
        <v>10.871599215928329</v>
      </c>
      <c r="AR236">
        <v>1.41564075285741</v>
      </c>
      <c r="AS236">
        <v>5.1592367950418012</v>
      </c>
      <c r="AT236" t="e">
        <v>#DIV/0!</v>
      </c>
      <c r="AU236" t="e">
        <v>#DIV/0!</v>
      </c>
      <c r="AV236"/>
      <c r="AW236"/>
      <c r="BA236" s="171"/>
      <c r="BC236" s="162"/>
      <c r="BD236" s="162"/>
      <c r="BE236" s="162"/>
      <c r="BF236" s="162"/>
      <c r="BG236" s="162"/>
      <c r="BH236" s="162"/>
      <c r="BI236" s="162"/>
      <c r="BJ236" s="162"/>
      <c r="BK236" s="162"/>
      <c r="BL236" s="162"/>
      <c r="BM236" s="162"/>
      <c r="BN236" s="162"/>
      <c r="BO236" s="162"/>
      <c r="BP236" s="162"/>
      <c r="BQ236" s="162"/>
      <c r="BR236" s="162"/>
      <c r="BS236" s="162"/>
      <c r="BT236" s="162"/>
      <c r="BU236" s="162"/>
      <c r="BV236" s="162"/>
      <c r="DF236" s="204"/>
      <c r="DG236" s="204"/>
      <c r="DH236" s="204"/>
      <c r="DI236" s="204"/>
      <c r="DJ236" s="204"/>
      <c r="DK236" s="204"/>
      <c r="DL236" s="204"/>
      <c r="DM236" s="204"/>
      <c r="DN236" s="204"/>
      <c r="DO236" s="204"/>
      <c r="DP236" s="204"/>
      <c r="DQ236" s="204"/>
      <c r="DR236" s="204"/>
      <c r="DS236" s="204"/>
      <c r="DT236" s="204"/>
      <c r="DU236" s="204"/>
      <c r="DV236" s="204"/>
      <c r="DW236" s="204"/>
      <c r="DX236" s="204"/>
      <c r="DY236" s="204"/>
      <c r="DZ236" s="204"/>
      <c r="EA236" s="204"/>
      <c r="EB236" s="204"/>
      <c r="EC236" s="204"/>
      <c r="ED236" s="204"/>
      <c r="EE236" s="204"/>
      <c r="EF236" s="204"/>
      <c r="EG236" s="204"/>
      <c r="EH236" s="204"/>
      <c r="EI236" s="204"/>
      <c r="EJ236" s="204"/>
      <c r="FY236" s="211">
        <v>231</v>
      </c>
      <c r="FZ236">
        <v>1.0839803677757243</v>
      </c>
      <c r="GA236">
        <v>1.8220614412637144</v>
      </c>
      <c r="GB236">
        <v>0.97025761429999446</v>
      </c>
      <c r="GC236">
        <v>0.66442985350409889</v>
      </c>
      <c r="GD236">
        <v>0.26969368955986928</v>
      </c>
      <c r="GE236">
        <v>0.14544153044257502</v>
      </c>
      <c r="GF236">
        <v>0.74923343208741267</v>
      </c>
      <c r="GG236">
        <v>0.57908430828062596</v>
      </c>
      <c r="GH236">
        <v>0</v>
      </c>
      <c r="GI236">
        <v>0.68516968858931671</v>
      </c>
      <c r="GJ236"/>
      <c r="GK236">
        <v>1.0802174632352941</v>
      </c>
      <c r="GL236">
        <v>1.534576838235294</v>
      </c>
      <c r="GM236">
        <v>1.5928501420454544</v>
      </c>
      <c r="GN236">
        <v>1.9487760349025971</v>
      </c>
      <c r="GO236">
        <v>1.0256758928571428</v>
      </c>
      <c r="GP236">
        <v>0.27323437500000003</v>
      </c>
      <c r="GQ236">
        <v>0.90325271739130431</v>
      </c>
      <c r="GR236">
        <v>0.80556521739130427</v>
      </c>
      <c r="GS236">
        <v>0</v>
      </c>
      <c r="GT236">
        <v>0.92039924310583898</v>
      </c>
      <c r="GU236"/>
      <c r="GV236"/>
      <c r="GW236"/>
      <c r="GX236"/>
      <c r="GY236"/>
      <c r="GZ236"/>
      <c r="HA236"/>
      <c r="HB236"/>
      <c r="HC236"/>
    </row>
    <row r="237" spans="1:211" s="7" customFormat="1">
      <c r="A237" s="77"/>
      <c r="B237">
        <v>0.70546249483623935</v>
      </c>
      <c r="C237">
        <v>8</v>
      </c>
      <c r="D237">
        <v>39646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 s="2"/>
      <c r="AK237" s="81"/>
      <c r="AL237" s="81"/>
      <c r="AM237" s="43">
        <v>221</v>
      </c>
      <c r="AN237">
        <v>55.803014114183384</v>
      </c>
      <c r="AO237">
        <v>1.2358262341226418</v>
      </c>
      <c r="AP237">
        <v>0.86580128033557591</v>
      </c>
      <c r="AQ237">
        <v>9.3380756283603201</v>
      </c>
      <c r="AR237">
        <v>1.1510420419471568</v>
      </c>
      <c r="AS237">
        <v>4.3645799319549008</v>
      </c>
      <c r="AT237">
        <v>0.90042297936631188</v>
      </c>
      <c r="AU237">
        <v>0.22822035302501964</v>
      </c>
      <c r="AV237"/>
      <c r="AW237"/>
      <c r="BA237" s="171"/>
      <c r="BC237" s="162"/>
      <c r="BD237" s="162"/>
      <c r="BE237" s="162"/>
      <c r="BF237" s="162"/>
      <c r="BG237" s="162"/>
      <c r="BH237" s="162"/>
      <c r="BI237" s="162"/>
      <c r="BJ237" s="162"/>
      <c r="BK237" s="162"/>
      <c r="BL237" s="162"/>
      <c r="BM237" s="162"/>
      <c r="BN237" s="162"/>
      <c r="BO237" s="162"/>
      <c r="BP237" s="162"/>
      <c r="BQ237" s="162"/>
      <c r="BR237" s="162"/>
      <c r="BS237" s="162"/>
      <c r="BT237" s="162"/>
      <c r="BU237" s="162"/>
      <c r="BV237" s="162"/>
      <c r="DF237" s="204"/>
      <c r="DG237" s="204"/>
      <c r="DH237" s="204"/>
      <c r="DI237" s="204"/>
      <c r="DJ237" s="204"/>
      <c r="DK237" s="204"/>
      <c r="DL237" s="204"/>
      <c r="DM237" s="204"/>
      <c r="DN237" s="204"/>
      <c r="DO237" s="204"/>
      <c r="DP237" s="204"/>
      <c r="DQ237" s="204"/>
      <c r="DR237" s="204"/>
      <c r="DS237" s="204"/>
      <c r="DT237" s="204"/>
      <c r="DU237" s="204"/>
      <c r="DV237" s="204"/>
      <c r="DW237" s="204"/>
      <c r="DX237" s="204"/>
      <c r="DY237" s="204"/>
      <c r="DZ237" s="204"/>
      <c r="EA237" s="204"/>
      <c r="EB237" s="204"/>
      <c r="EC237" s="204"/>
      <c r="ED237" s="204"/>
      <c r="EE237" s="204"/>
      <c r="EF237" s="204"/>
      <c r="EG237" s="204"/>
      <c r="EH237" s="204"/>
      <c r="EI237" s="204"/>
      <c r="EJ237" s="204"/>
      <c r="FY237" s="211">
        <v>232</v>
      </c>
      <c r="FZ237">
        <v>0.61223465686607703</v>
      </c>
      <c r="GA237">
        <v>1.0329407547726555</v>
      </c>
      <c r="GB237">
        <v>1.3663221995646422</v>
      </c>
      <c r="GC237">
        <v>0.94100431952358721</v>
      </c>
      <c r="GD237">
        <v>0.25540094388071249</v>
      </c>
      <c r="GE237">
        <v>8.1904075710074992E-2</v>
      </c>
      <c r="GF237">
        <v>0.15986193049181252</v>
      </c>
      <c r="GG237">
        <v>0.29037012396173439</v>
      </c>
      <c r="GH237">
        <v>0.24554033180156609</v>
      </c>
      <c r="GI237">
        <v>0.63680193432213961</v>
      </c>
      <c r="GJ237"/>
      <c r="GK237">
        <v>0.60994687499999989</v>
      </c>
      <c r="GL237">
        <v>0.86961093750000007</v>
      </c>
      <c r="GM237">
        <v>2.243325284090909</v>
      </c>
      <c r="GN237">
        <v>2.761786221590909</v>
      </c>
      <c r="GO237">
        <v>0.97176562499999997</v>
      </c>
      <c r="GP237">
        <v>0.153796875</v>
      </c>
      <c r="GQ237">
        <v>0.19312499999999999</v>
      </c>
      <c r="GR237">
        <v>0.40421875000000002</v>
      </c>
      <c r="GS237">
        <v>0.25968149038461541</v>
      </c>
      <c r="GT237">
        <v>0.85556885489510481</v>
      </c>
      <c r="GU237"/>
      <c r="GV237"/>
      <c r="GW237"/>
      <c r="GX237"/>
      <c r="GY237"/>
      <c r="GZ237"/>
      <c r="HA237"/>
      <c r="HB237"/>
      <c r="HC237"/>
    </row>
    <row r="238" spans="1:211" s="7" customFormat="1">
      <c r="A238" s="77"/>
      <c r="B238">
        <v>0.44014504527212139</v>
      </c>
      <c r="C238">
        <v>5</v>
      </c>
      <c r="D238">
        <v>39673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 s="2"/>
      <c r="AK238" s="81"/>
      <c r="AL238" s="81"/>
      <c r="AM238" s="43">
        <v>222</v>
      </c>
      <c r="AN238">
        <v>30.966758850046894</v>
      </c>
      <c r="AO238">
        <v>0.72697399545608365</v>
      </c>
      <c r="AP238">
        <v>4.3932756063472622</v>
      </c>
      <c r="AQ238">
        <v>4.6971031914290222</v>
      </c>
      <c r="AR238">
        <v>0.68199968773979647</v>
      </c>
      <c r="AS238">
        <v>2.6494530236561222</v>
      </c>
      <c r="AT238" t="e">
        <v>#DIV/0!</v>
      </c>
      <c r="AU238" t="e">
        <v>#DIV/0!</v>
      </c>
      <c r="AV238"/>
      <c r="AW238"/>
      <c r="BA238" s="171"/>
      <c r="BC238" s="162"/>
      <c r="BD238" s="162"/>
      <c r="BE238" s="162"/>
      <c r="BF238" s="162"/>
      <c r="BG238" s="162"/>
      <c r="BH238" s="162"/>
      <c r="BI238" s="162"/>
      <c r="BJ238" s="162"/>
      <c r="BK238" s="162"/>
      <c r="BL238" s="162"/>
      <c r="BM238" s="162"/>
      <c r="BN238" s="162"/>
      <c r="BO238" s="162"/>
      <c r="BP238" s="162"/>
      <c r="BQ238" s="162"/>
      <c r="BR238" s="162"/>
      <c r="BS238" s="162"/>
      <c r="BT238" s="162"/>
      <c r="BU238" s="162"/>
      <c r="BV238" s="162"/>
      <c r="DF238" s="204"/>
      <c r="DG238" s="204"/>
      <c r="DH238" s="204"/>
      <c r="DI238" s="204"/>
      <c r="DJ238" s="204"/>
      <c r="DK238" s="204"/>
      <c r="DL238" s="204"/>
      <c r="DM238" s="204"/>
      <c r="DN238" s="204"/>
      <c r="DO238" s="204"/>
      <c r="DP238" s="204"/>
      <c r="DQ238" s="204"/>
      <c r="DR238" s="204"/>
      <c r="DS238" s="204"/>
      <c r="DT238" s="204"/>
      <c r="DU238" s="204"/>
      <c r="DV238" s="204"/>
      <c r="DW238" s="204"/>
      <c r="DX238" s="204"/>
      <c r="DY238" s="204"/>
      <c r="DZ238" s="204"/>
      <c r="EA238" s="204"/>
      <c r="EB238" s="204"/>
      <c r="EC238" s="204"/>
      <c r="ED238" s="204"/>
      <c r="EE238" s="204"/>
      <c r="EF238" s="204"/>
      <c r="EG238" s="204"/>
      <c r="EH238" s="204"/>
      <c r="EI238" s="204"/>
      <c r="EJ238" s="204"/>
      <c r="FY238" s="211">
        <v>233</v>
      </c>
      <c r="FZ238">
        <v>2.1310898518349894</v>
      </c>
      <c r="GA238">
        <v>2.708284390014422</v>
      </c>
      <c r="GB238">
        <v>0.29639067512553979</v>
      </c>
      <c r="GC238">
        <v>0.57724380594416558</v>
      </c>
      <c r="GD238">
        <v>0.37720479218896608</v>
      </c>
      <c r="GE238">
        <v>6.4558109077649986E-2</v>
      </c>
      <c r="GF238">
        <v>0.20038102790324064</v>
      </c>
      <c r="GG238">
        <v>0.13862439864731252</v>
      </c>
      <c r="GH238">
        <v>9.1942943341694713E-2</v>
      </c>
      <c r="GI238">
        <v>0.65266130936452527</v>
      </c>
      <c r="GJ238"/>
      <c r="GK238">
        <v>2.1238930147058821</v>
      </c>
      <c r="GL238">
        <v>2.2814398897058821</v>
      </c>
      <c r="GM238">
        <v>0.48641406249999997</v>
      </c>
      <c r="GN238">
        <v>1.6907533482142858</v>
      </c>
      <c r="GO238">
        <v>1.4342611607142859</v>
      </c>
      <c r="GP238">
        <v>0.12121874999999999</v>
      </c>
      <c r="GQ238">
        <v>0.24196875000000001</v>
      </c>
      <c r="GR238">
        <v>0.19312499999999999</v>
      </c>
      <c r="GS238">
        <v>9.7175480769230771E-2</v>
      </c>
      <c r="GT238">
        <v>0.87674249373787982</v>
      </c>
      <c r="GU238"/>
      <c r="GV238"/>
      <c r="GW238"/>
      <c r="GX238"/>
      <c r="GY238"/>
      <c r="GZ238"/>
      <c r="HA238"/>
      <c r="HB238"/>
      <c r="HC238"/>
    </row>
    <row r="239" spans="1:211" s="7" customFormat="1">
      <c r="A239" s="77" t="s">
        <v>61</v>
      </c>
      <c r="B239">
        <v>0.80517225133910464</v>
      </c>
      <c r="C239">
        <v>8</v>
      </c>
      <c r="D239">
        <v>39673</v>
      </c>
      <c r="E239">
        <v>0</v>
      </c>
      <c r="F239">
        <v>20.833333333333332</v>
      </c>
      <c r="G239">
        <v>20.833333333333332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 s="2"/>
      <c r="AK239" s="81"/>
      <c r="AL239" s="81"/>
      <c r="AM239" s="43">
        <v>223</v>
      </c>
      <c r="AN239">
        <v>40.947209345694802</v>
      </c>
      <c r="AO239">
        <v>1.0471391292758951</v>
      </c>
      <c r="AP239">
        <v>13.604809883782064</v>
      </c>
      <c r="AQ239">
        <v>7.1499653566360104</v>
      </c>
      <c r="AR239">
        <v>0.97005545843263175</v>
      </c>
      <c r="AS239">
        <v>3.4437714978581009</v>
      </c>
      <c r="AT239" t="e">
        <v>#DIV/0!</v>
      </c>
      <c r="AU239" t="e">
        <v>#DIV/0!</v>
      </c>
      <c r="AV239"/>
      <c r="AW239"/>
      <c r="BA239" s="171"/>
      <c r="BC239" s="162"/>
      <c r="BD239" s="162"/>
      <c r="BE239" s="162"/>
      <c r="BF239" s="162"/>
      <c r="BG239" s="162"/>
      <c r="BH239" s="162"/>
      <c r="BI239" s="162"/>
      <c r="BJ239" s="162"/>
      <c r="BK239" s="162"/>
      <c r="BL239" s="162"/>
      <c r="BM239" s="162"/>
      <c r="BN239" s="162"/>
      <c r="BO239" s="162"/>
      <c r="BP239" s="162"/>
      <c r="BQ239" s="162"/>
      <c r="BR239" s="162"/>
      <c r="BS239" s="162"/>
      <c r="BT239" s="162"/>
      <c r="BU239" s="162"/>
      <c r="BV239" s="162"/>
      <c r="DE239" s="183" t="s">
        <v>139</v>
      </c>
      <c r="DF239" s="182" t="s">
        <v>83</v>
      </c>
      <c r="DG239" s="181">
        <v>1</v>
      </c>
      <c r="DH239" s="181">
        <v>2</v>
      </c>
      <c r="DI239" s="181">
        <v>3</v>
      </c>
      <c r="DJ239" s="181">
        <v>4</v>
      </c>
      <c r="DK239" s="181">
        <v>5</v>
      </c>
      <c r="DL239" s="181">
        <v>6</v>
      </c>
      <c r="DM239" s="181">
        <v>7</v>
      </c>
      <c r="DN239" s="181">
        <v>8</v>
      </c>
      <c r="DO239" s="181">
        <v>9</v>
      </c>
      <c r="DP239" s="181">
        <v>10</v>
      </c>
      <c r="DQ239" s="181">
        <v>11</v>
      </c>
      <c r="DR239" s="181">
        <v>12</v>
      </c>
      <c r="DS239" s="181">
        <v>13</v>
      </c>
      <c r="DT239" s="181">
        <v>14</v>
      </c>
      <c r="DU239" s="181">
        <v>15</v>
      </c>
      <c r="DV239" s="181">
        <v>16</v>
      </c>
      <c r="DW239" s="181">
        <v>17</v>
      </c>
      <c r="DX239" s="181">
        <v>18</v>
      </c>
      <c r="DY239" s="181">
        <v>19</v>
      </c>
      <c r="DZ239" s="181">
        <v>20</v>
      </c>
      <c r="EA239" s="181">
        <v>21</v>
      </c>
      <c r="EB239" s="181">
        <v>22</v>
      </c>
      <c r="EC239" s="181">
        <v>23</v>
      </c>
      <c r="ED239" s="181">
        <v>24</v>
      </c>
      <c r="EE239" s="181">
        <v>25</v>
      </c>
      <c r="EF239" s="181">
        <v>26</v>
      </c>
      <c r="EG239" s="181">
        <v>27</v>
      </c>
      <c r="EH239" s="181">
        <v>28</v>
      </c>
      <c r="EI239" s="181">
        <v>29</v>
      </c>
      <c r="EJ239" s="181">
        <v>30</v>
      </c>
      <c r="FY239" s="211">
        <v>234</v>
      </c>
      <c r="FZ239">
        <v>0.67585592395706617</v>
      </c>
      <c r="GA239">
        <v>0.9599061325785182</v>
      </c>
      <c r="GB239">
        <v>0.45514510791131246</v>
      </c>
      <c r="GC239">
        <v>0.58364535164838183</v>
      </c>
      <c r="GD239">
        <v>0.42760877690854598</v>
      </c>
      <c r="GE239">
        <v>9.0465266252250001E-2</v>
      </c>
      <c r="GF239">
        <v>0</v>
      </c>
      <c r="GG239">
        <v>0.10116381687628125</v>
      </c>
      <c r="GH239">
        <v>0.17901737842465987</v>
      </c>
      <c r="GI239">
        <v>0.48185032347143708</v>
      </c>
      <c r="GJ239"/>
      <c r="GK239">
        <v>0.67346249999999985</v>
      </c>
      <c r="GL239">
        <v>0.80811093750000007</v>
      </c>
      <c r="GM239">
        <v>0.74671874999999999</v>
      </c>
      <c r="GN239">
        <v>1.7094314732142857</v>
      </c>
      <c r="GO239">
        <v>1.6261111607142857</v>
      </c>
      <c r="GP239">
        <v>0.17015625000000001</v>
      </c>
      <c r="GQ239">
        <v>0</v>
      </c>
      <c r="GR239">
        <v>0.14072916666666666</v>
      </c>
      <c r="GS239">
        <v>0.18931690705128204</v>
      </c>
      <c r="GT239">
        <v>0.64712186355311352</v>
      </c>
      <c r="GU239"/>
      <c r="GV239"/>
      <c r="GW239"/>
      <c r="GX239"/>
      <c r="GY239"/>
      <c r="GZ239"/>
      <c r="HA239"/>
      <c r="HB239"/>
      <c r="HC239"/>
    </row>
    <row r="240" spans="1:211" s="7" customFormat="1">
      <c r="A240" s="77" t="s">
        <v>62</v>
      </c>
      <c r="B240">
        <v>0.111793916482263</v>
      </c>
      <c r="C240">
        <v>7</v>
      </c>
      <c r="D240">
        <v>39673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 s="2"/>
      <c r="AK240" s="81"/>
      <c r="AL240" s="81"/>
      <c r="AM240" s="43">
        <v>224</v>
      </c>
      <c r="AN240">
        <v>43.035041949472095</v>
      </c>
      <c r="AO240">
        <v>1.0054371826216066</v>
      </c>
      <c r="AP240">
        <v>0.97084721377035876</v>
      </c>
      <c r="AQ240">
        <v>8.038718353702091</v>
      </c>
      <c r="AR240">
        <v>0.93797529058257889</v>
      </c>
      <c r="AS240">
        <v>3.4795281797493733</v>
      </c>
      <c r="AT240" t="e">
        <v>#DIV/0!</v>
      </c>
      <c r="AU240" t="e">
        <v>#DIV/0!</v>
      </c>
      <c r="AV240"/>
      <c r="AW240"/>
      <c r="BA240" s="171"/>
      <c r="BC240" s="162"/>
      <c r="BD240" s="162"/>
      <c r="BE240" s="162"/>
      <c r="BF240" s="162"/>
      <c r="BG240" s="162"/>
      <c r="BH240" s="162"/>
      <c r="BI240" s="162"/>
      <c r="BJ240" s="162"/>
      <c r="BK240" s="162"/>
      <c r="BL240" s="162"/>
      <c r="BM240" s="162"/>
      <c r="BN240" s="162"/>
      <c r="BO240" s="162"/>
      <c r="BP240" s="162"/>
      <c r="BQ240" s="162"/>
      <c r="BR240" s="162"/>
      <c r="BS240" s="162"/>
      <c r="BT240" s="162"/>
      <c r="BU240" s="162"/>
      <c r="BV240" s="162"/>
      <c r="DE240" s="186">
        <v>39646</v>
      </c>
      <c r="DF240" s="181">
        <v>0</v>
      </c>
      <c r="DG240" s="181">
        <v>2.083333333333333</v>
      </c>
      <c r="DH240" s="181">
        <v>21.875</v>
      </c>
      <c r="DI240" s="181">
        <v>45.833333333333329</v>
      </c>
      <c r="DJ240" s="181">
        <v>31.25</v>
      </c>
      <c r="DK240" s="181">
        <v>6.2499999999999991</v>
      </c>
      <c r="DL240" s="181">
        <v>16.666666666666668</v>
      </c>
      <c r="DM240" s="181">
        <v>4.1666666666666661</v>
      </c>
      <c r="DN240" s="181">
        <v>4.1666666666666661</v>
      </c>
      <c r="DO240" s="181">
        <v>0</v>
      </c>
      <c r="DP240" s="181">
        <v>0</v>
      </c>
      <c r="DQ240" s="181">
        <v>0</v>
      </c>
      <c r="DR240" s="181">
        <v>0</v>
      </c>
      <c r="DS240" s="181">
        <v>0</v>
      </c>
      <c r="DT240" s="181">
        <v>0</v>
      </c>
      <c r="DU240" s="181">
        <v>0</v>
      </c>
      <c r="DV240" s="181">
        <v>0</v>
      </c>
      <c r="DW240" s="181">
        <v>0</v>
      </c>
      <c r="DX240" s="181">
        <v>0</v>
      </c>
      <c r="DY240" s="181">
        <v>0</v>
      </c>
      <c r="DZ240" s="181">
        <v>0</v>
      </c>
      <c r="EA240" s="181">
        <v>0</v>
      </c>
      <c r="EB240" s="181">
        <v>0</v>
      </c>
      <c r="EC240" s="181">
        <v>0</v>
      </c>
      <c r="ED240" s="181">
        <v>0</v>
      </c>
      <c r="EE240" s="181">
        <v>0</v>
      </c>
      <c r="EF240" s="181">
        <v>0</v>
      </c>
      <c r="EG240" s="181">
        <v>0</v>
      </c>
      <c r="EH240" s="181">
        <v>0</v>
      </c>
      <c r="EI240" s="181">
        <v>0</v>
      </c>
      <c r="EJ240" s="181">
        <v>0</v>
      </c>
      <c r="FY240" s="211">
        <v>235</v>
      </c>
      <c r="FZ240">
        <v>1.5871269371194798</v>
      </c>
      <c r="GA240">
        <v>1.9508999223691712</v>
      </c>
      <c r="GB240">
        <v>1.0986690398916796</v>
      </c>
      <c r="GC240">
        <v>0.93338005206809194</v>
      </c>
      <c r="GD240">
        <v>0.34920745470933756</v>
      </c>
      <c r="GE240">
        <v>7.6065534558449999E-2</v>
      </c>
      <c r="GF240">
        <v>0.37461671604370633</v>
      </c>
      <c r="GG240">
        <v>0.28954215414031298</v>
      </c>
      <c r="GH240">
        <v>2.2985735835423678E-2</v>
      </c>
      <c r="GI240">
        <v>0.77254142483912869</v>
      </c>
      <c r="GJ240"/>
      <c r="GK240">
        <v>1.5817518382352938</v>
      </c>
      <c r="GL240">
        <v>1.6431580882352939</v>
      </c>
      <c r="GM240">
        <v>1.8033735795454544</v>
      </c>
      <c r="GN240">
        <v>2.7368892045454545</v>
      </c>
      <c r="GO240">
        <v>1.3281093750000001</v>
      </c>
      <c r="GP240">
        <v>0.14296875000000001</v>
      </c>
      <c r="GQ240">
        <v>0.45162635869565215</v>
      </c>
      <c r="GR240">
        <v>0.40278260869565213</v>
      </c>
      <c r="GS240">
        <v>2.4293870192307693E-2</v>
      </c>
      <c r="GT240">
        <v>1.0378310043337415</v>
      </c>
      <c r="GU240"/>
      <c r="GV240"/>
      <c r="GW240"/>
      <c r="GX240"/>
      <c r="GY240"/>
      <c r="GZ240"/>
      <c r="HA240"/>
      <c r="HB240"/>
      <c r="HC240"/>
    </row>
    <row r="241" spans="1:211" s="7" customFormat="1">
      <c r="A241" s="77"/>
      <c r="B241">
        <v>0.97039749474338421</v>
      </c>
      <c r="C241">
        <v>5</v>
      </c>
      <c r="D241">
        <v>39673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 s="2"/>
      <c r="AK241" s="81"/>
      <c r="AL241" s="81"/>
      <c r="AM241" s="43">
        <v>225</v>
      </c>
      <c r="AN241">
        <v>31.977299477483303</v>
      </c>
      <c r="AO241">
        <v>0.79798246794198457</v>
      </c>
      <c r="AP241">
        <v>1.0498673364078182</v>
      </c>
      <c r="AQ241">
        <v>6.0919029136057228</v>
      </c>
      <c r="AR241">
        <v>0.74213577723746815</v>
      </c>
      <c r="AS241">
        <v>2.5635344137736045</v>
      </c>
      <c r="AT241" t="e">
        <v>#DIV/0!</v>
      </c>
      <c r="AU241" t="e">
        <v>#DIV/0!</v>
      </c>
      <c r="AV241"/>
      <c r="AW241"/>
      <c r="DE241" s="186">
        <v>39673</v>
      </c>
      <c r="DF241" s="184">
        <v>0</v>
      </c>
      <c r="DG241" s="184">
        <v>1.0416666666666665</v>
      </c>
      <c r="DH241" s="184">
        <v>31.354166666666668</v>
      </c>
      <c r="DI241" s="184">
        <v>17.916666666666668</v>
      </c>
      <c r="DJ241" s="184">
        <v>29.464285714285715</v>
      </c>
      <c r="DK241" s="184">
        <v>41.041666666666671</v>
      </c>
      <c r="DL241" s="184">
        <v>21.666666666666664</v>
      </c>
      <c r="DM241" s="184">
        <v>20.625</v>
      </c>
      <c r="DN241" s="184">
        <v>7.2916666666666661</v>
      </c>
      <c r="DO241" s="184">
        <v>7.2916666666666661</v>
      </c>
      <c r="DP241" s="184">
        <v>0</v>
      </c>
      <c r="DQ241" s="184">
        <v>0</v>
      </c>
      <c r="DR241" s="184">
        <v>0</v>
      </c>
      <c r="DS241" s="184">
        <v>0</v>
      </c>
      <c r="DT241" s="184">
        <v>0</v>
      </c>
      <c r="DU241" s="184">
        <v>0</v>
      </c>
      <c r="DV241" s="184">
        <v>0</v>
      </c>
      <c r="DW241" s="184">
        <v>0</v>
      </c>
      <c r="DX241" s="184">
        <v>0</v>
      </c>
      <c r="DY241" s="184">
        <v>0</v>
      </c>
      <c r="DZ241" s="184">
        <v>0</v>
      </c>
      <c r="EA241" s="184">
        <v>0</v>
      </c>
      <c r="EB241" s="184">
        <v>0</v>
      </c>
      <c r="EC241" s="184">
        <v>0</v>
      </c>
      <c r="ED241" s="184">
        <v>0</v>
      </c>
      <c r="EE241" s="184">
        <v>0</v>
      </c>
      <c r="EF241" s="184">
        <v>0</v>
      </c>
      <c r="EG241" s="184">
        <v>0</v>
      </c>
      <c r="EH241" s="184">
        <v>0</v>
      </c>
      <c r="EI241" s="184">
        <v>0</v>
      </c>
      <c r="EJ241" s="184">
        <v>0</v>
      </c>
      <c r="FY241" s="211">
        <v>236</v>
      </c>
      <c r="FZ241">
        <v>1.1802713077156444</v>
      </c>
      <c r="GA241">
        <v>1.5308007167566933</v>
      </c>
      <c r="GB241">
        <v>1.0982105722900193</v>
      </c>
      <c r="GC241">
        <v>0.88227709620077777</v>
      </c>
      <c r="GD241">
        <v>0.30235402054729282</v>
      </c>
      <c r="GE241">
        <v>0.15984126213637501</v>
      </c>
      <c r="GF241">
        <v>0.5344786465355188</v>
      </c>
      <c r="GG241">
        <v>0.4281665527876255</v>
      </c>
      <c r="GH241">
        <v>4.5971471670847357E-2</v>
      </c>
      <c r="GI241">
        <v>0.71797203009343635</v>
      </c>
      <c r="GJ241"/>
      <c r="GK241">
        <v>1.1761705882352937</v>
      </c>
      <c r="GL241">
        <v>1.2892565257352939</v>
      </c>
      <c r="GM241">
        <v>1.8034268465909087</v>
      </c>
      <c r="GN241">
        <v>2.5888342126623374</v>
      </c>
      <c r="GO241">
        <v>1.1500714285714284</v>
      </c>
      <c r="GP241">
        <v>0.300421875</v>
      </c>
      <c r="GQ241">
        <v>0.64475135869565214</v>
      </c>
      <c r="GR241">
        <v>0.59590760869565207</v>
      </c>
      <c r="GS241">
        <v>4.8587740384615385E-2</v>
      </c>
      <c r="GT241">
        <v>0.96460159249557975</v>
      </c>
      <c r="GU241"/>
      <c r="GV241"/>
      <c r="GW241"/>
      <c r="GX241"/>
      <c r="GY241"/>
      <c r="GZ241"/>
      <c r="HA241"/>
      <c r="HB241"/>
      <c r="HC241"/>
    </row>
    <row r="242" spans="1:211" s="7" customFormat="1">
      <c r="A242" s="1"/>
      <c r="B242">
        <v>0.2875642796508151</v>
      </c>
      <c r="C242">
        <v>5</v>
      </c>
      <c r="D242">
        <v>39673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 s="2"/>
      <c r="AK242" s="81"/>
      <c r="AL242" s="81"/>
      <c r="AM242" s="43">
        <v>226</v>
      </c>
      <c r="AN242">
        <v>37.558638555989099</v>
      </c>
      <c r="AO242">
        <v>0.7920229747944536</v>
      </c>
      <c r="AP242">
        <v>0.55804984533374213</v>
      </c>
      <c r="AQ242">
        <v>4.1942525366277152</v>
      </c>
      <c r="AR242">
        <v>0.73309589710334944</v>
      </c>
      <c r="AS242">
        <v>3.3105164466611909</v>
      </c>
      <c r="AT242">
        <v>0.60490784289080624</v>
      </c>
      <c r="AU242">
        <v>5.3600877351980311E-2</v>
      </c>
      <c r="AV242"/>
      <c r="AW242"/>
      <c r="BI242" s="162"/>
      <c r="DE242" s="186">
        <v>39714</v>
      </c>
      <c r="DF242" s="181">
        <v>9.765625</v>
      </c>
      <c r="DG242" s="181">
        <v>71.52157738095238</v>
      </c>
      <c r="DH242" s="181">
        <v>83.705357142857139</v>
      </c>
      <c r="DI242" s="181">
        <v>68.804603494623649</v>
      </c>
      <c r="DJ242" s="181">
        <v>24.348958333333332</v>
      </c>
      <c r="DK242" s="181">
        <v>0</v>
      </c>
      <c r="DL242" s="181">
        <v>3.125</v>
      </c>
      <c r="DM242" s="181">
        <v>8.3333333333333321</v>
      </c>
      <c r="DN242" s="181">
        <v>10.416666666666666</v>
      </c>
      <c r="DO242" s="181">
        <v>5.208333333333333</v>
      </c>
      <c r="DP242" s="181">
        <v>1.0416666666666665</v>
      </c>
      <c r="DQ242" s="181">
        <v>0</v>
      </c>
      <c r="DR242" s="181">
        <v>0</v>
      </c>
      <c r="DS242" s="181">
        <v>0</v>
      </c>
      <c r="DT242" s="181">
        <v>0</v>
      </c>
      <c r="DU242" s="181">
        <v>0</v>
      </c>
      <c r="DV242" s="181">
        <v>0</v>
      </c>
      <c r="DW242" s="181">
        <v>0</v>
      </c>
      <c r="DX242" s="181">
        <v>0</v>
      </c>
      <c r="DY242" s="181">
        <v>0</v>
      </c>
      <c r="DZ242" s="181">
        <v>0</v>
      </c>
      <c r="EA242" s="181">
        <v>0</v>
      </c>
      <c r="EB242" s="181">
        <v>0</v>
      </c>
      <c r="EC242" s="181">
        <v>0</v>
      </c>
      <c r="ED242" s="181">
        <v>0</v>
      </c>
      <c r="EE242" s="181">
        <v>0</v>
      </c>
      <c r="EF242" s="181">
        <v>0</v>
      </c>
      <c r="EG242" s="181">
        <v>0</v>
      </c>
      <c r="EH242" s="181">
        <v>0</v>
      </c>
      <c r="EI242" s="181">
        <v>0</v>
      </c>
      <c r="EJ242" s="181">
        <v>0</v>
      </c>
      <c r="FY242" s="211">
        <v>237</v>
      </c>
      <c r="FZ242">
        <v>2.2800482399600783</v>
      </c>
      <c r="GA242">
        <v>2.7109620791131759</v>
      </c>
      <c r="GB242">
        <v>0.66713618472605507</v>
      </c>
      <c r="GC242">
        <v>0.57495315893439447</v>
      </c>
      <c r="GD242">
        <v>0.2625402563229825</v>
      </c>
      <c r="GE242">
        <v>0.10979074220377499</v>
      </c>
      <c r="GF242">
        <v>0.20038102790324064</v>
      </c>
      <c r="GG242">
        <v>0.18920630708545313</v>
      </c>
      <c r="GH242">
        <v>0.11249442504775362</v>
      </c>
      <c r="GI242">
        <v>0.70370609574120446</v>
      </c>
      <c r="GJ242"/>
      <c r="GK242">
        <v>2.2725055147058821</v>
      </c>
      <c r="GL242">
        <v>2.2837203584558825</v>
      </c>
      <c r="GM242">
        <v>1.0954477982954542</v>
      </c>
      <c r="GN242">
        <v>1.6866329545454541</v>
      </c>
      <c r="GO242">
        <v>0.99891562499999997</v>
      </c>
      <c r="GP242">
        <v>0.20629687499999999</v>
      </c>
      <c r="GQ242">
        <v>0.24196875000000001</v>
      </c>
      <c r="GR242">
        <v>0.26348958333333333</v>
      </c>
      <c r="GS242">
        <v>0.11895232371794871</v>
      </c>
      <c r="GT242">
        <v>0.94555800234385712</v>
      </c>
      <c r="GU242"/>
      <c r="GV242"/>
      <c r="GW242"/>
      <c r="GX242"/>
      <c r="GY242"/>
      <c r="GZ242"/>
      <c r="HA242"/>
      <c r="HB242"/>
      <c r="HC242"/>
    </row>
    <row r="243" spans="1:211" s="7" customFormat="1">
      <c r="A243" s="1"/>
      <c r="B243">
        <v>0.59148436491608525</v>
      </c>
      <c r="C243">
        <v>7</v>
      </c>
      <c r="D243">
        <v>39673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 s="2"/>
      <c r="AK243" s="81"/>
      <c r="AL243" s="81"/>
      <c r="AM243" s="43">
        <v>227</v>
      </c>
      <c r="AN243">
        <v>49.70319227932719</v>
      </c>
      <c r="AO243">
        <v>1.1176318028330896</v>
      </c>
      <c r="AP243">
        <v>0.55616980542195926</v>
      </c>
      <c r="AQ243">
        <v>7.9848464818356089</v>
      </c>
      <c r="AR243">
        <v>1.0268953889391725</v>
      </c>
      <c r="AS243">
        <v>4.0340363379247215</v>
      </c>
      <c r="AT243" t="e">
        <v>#DIV/0!</v>
      </c>
      <c r="AU243" t="e">
        <v>#DIV/0!</v>
      </c>
      <c r="AV243"/>
      <c r="AW243"/>
      <c r="DE243" s="186">
        <v>39747</v>
      </c>
      <c r="DF243" s="181">
        <v>0</v>
      </c>
      <c r="DG243" s="181">
        <v>97.276840137831527</v>
      </c>
      <c r="DH243" s="181">
        <v>154.3893277460088</v>
      </c>
      <c r="DI243" s="181">
        <v>34.151785714285708</v>
      </c>
      <c r="DJ243" s="181">
        <v>45.770202020202014</v>
      </c>
      <c r="DK243" s="181">
        <v>37.168560606060609</v>
      </c>
      <c r="DL243" s="181">
        <v>7.7651515151515156</v>
      </c>
      <c r="DM243" s="181">
        <v>2.8409090909090908</v>
      </c>
      <c r="DN243" s="181">
        <v>0</v>
      </c>
      <c r="DO243" s="181">
        <v>0</v>
      </c>
      <c r="DP243" s="181">
        <v>0</v>
      </c>
      <c r="DQ243" s="181">
        <v>0</v>
      </c>
      <c r="DR243" s="181">
        <v>0</v>
      </c>
      <c r="DS243" s="181">
        <v>0</v>
      </c>
      <c r="DT243" s="181">
        <v>0</v>
      </c>
      <c r="DU243" s="181">
        <v>0</v>
      </c>
      <c r="DV243" s="181">
        <v>0</v>
      </c>
      <c r="DW243" s="181">
        <v>0</v>
      </c>
      <c r="DX243" s="181">
        <v>0</v>
      </c>
      <c r="DY243" s="181">
        <v>0</v>
      </c>
      <c r="DZ243" s="181">
        <v>0</v>
      </c>
      <c r="EA243" s="181">
        <v>0</v>
      </c>
      <c r="EB243" s="181">
        <v>0</v>
      </c>
      <c r="EC243" s="181">
        <v>0</v>
      </c>
      <c r="ED243" s="181">
        <v>0</v>
      </c>
      <c r="EE243" s="181">
        <v>0</v>
      </c>
      <c r="EF243" s="181">
        <v>0</v>
      </c>
      <c r="EG243" s="181">
        <v>0</v>
      </c>
      <c r="EH243" s="181">
        <v>0</v>
      </c>
      <c r="EI243" s="181">
        <v>0</v>
      </c>
      <c r="EJ243" s="181">
        <v>0</v>
      </c>
      <c r="FY243" s="211">
        <v>238</v>
      </c>
      <c r="FZ243">
        <v>2.4998723169063672</v>
      </c>
      <c r="GA243">
        <v>2.6158494255656142</v>
      </c>
      <c r="GB243">
        <v>0.80663651750443366</v>
      </c>
      <c r="GC243">
        <v>0.48808723937137882</v>
      </c>
      <c r="GD243">
        <v>9.4103691297971775E-2</v>
      </c>
      <c r="GE243">
        <v>5.2996754871225009E-2</v>
      </c>
      <c r="GF243">
        <v>0.66819523726455643</v>
      </c>
      <c r="GG243">
        <v>0.57908430828062596</v>
      </c>
      <c r="GH243">
        <v>4.5971471670847357E-2</v>
      </c>
      <c r="GI243">
        <v>0.74843727014892303</v>
      </c>
      <c r="GJ243"/>
      <c r="GK243">
        <v>2.4916461397058818</v>
      </c>
      <c r="GL243">
        <v>2.2035992647058822</v>
      </c>
      <c r="GM243">
        <v>1.3242720170454545</v>
      </c>
      <c r="GN243">
        <v>1.4325760349025971</v>
      </c>
      <c r="GO243">
        <v>0.3580540178571428</v>
      </c>
      <c r="GP243">
        <v>9.951562500000001E-2</v>
      </c>
      <c r="GQ243">
        <v>0.80556521739130427</v>
      </c>
      <c r="GR243">
        <v>0.80556521739130427</v>
      </c>
      <c r="GS243">
        <v>4.8587740384615385E-2</v>
      </c>
      <c r="GT243">
        <v>1.0056250264768796</v>
      </c>
      <c r="GU243"/>
      <c r="GV243"/>
      <c r="GW243"/>
      <c r="GX243"/>
      <c r="GY243"/>
      <c r="GZ243"/>
      <c r="HA243"/>
      <c r="HB243"/>
      <c r="HC243"/>
    </row>
    <row r="244" spans="1:211" s="7" customFormat="1">
      <c r="A244" s="1"/>
      <c r="B244">
        <v>0.50953285562549144</v>
      </c>
      <c r="C244">
        <v>4</v>
      </c>
      <c r="D244">
        <v>39673</v>
      </c>
      <c r="E244">
        <v>0</v>
      </c>
      <c r="F244">
        <v>147.91666666666666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 s="2"/>
      <c r="AK244" s="81"/>
      <c r="AL244" s="81"/>
      <c r="AM244" s="43">
        <v>228</v>
      </c>
      <c r="AN244">
        <v>36.914948287007107</v>
      </c>
      <c r="AO244">
        <v>0.75582317776341301</v>
      </c>
      <c r="AP244">
        <v>13.642596135000032</v>
      </c>
      <c r="AQ244">
        <v>5.2797350919686741</v>
      </c>
      <c r="AR244">
        <v>0.72191994525694891</v>
      </c>
      <c r="AS244">
        <v>2.9387019343109655</v>
      </c>
      <c r="AT244" t="e">
        <v>#DIV/0!</v>
      </c>
      <c r="AU244" t="e">
        <v>#DIV/0!</v>
      </c>
      <c r="AV244"/>
      <c r="AW244"/>
      <c r="DE244" s="186">
        <v>39775</v>
      </c>
      <c r="DF244" s="181">
        <v>0</v>
      </c>
      <c r="DG244" s="181">
        <v>31.99404761904762</v>
      </c>
      <c r="DH244" s="181">
        <v>161.89814814814815</v>
      </c>
      <c r="DI244" s="181">
        <v>3.125</v>
      </c>
      <c r="DJ244" s="181">
        <v>34.880050505050505</v>
      </c>
      <c r="DK244" s="181">
        <v>77.639374514374509</v>
      </c>
      <c r="DL244" s="181">
        <v>62.912781662781661</v>
      </c>
      <c r="DM244" s="181">
        <v>10.858585858585858</v>
      </c>
      <c r="DN244" s="181">
        <v>1.0416666666666665</v>
      </c>
      <c r="DO244" s="181">
        <v>0</v>
      </c>
      <c r="DP244" s="181">
        <v>0</v>
      </c>
      <c r="DQ244" s="181">
        <v>0</v>
      </c>
      <c r="DR244" s="181">
        <v>0</v>
      </c>
      <c r="DS244" s="181">
        <v>0</v>
      </c>
      <c r="DT244" s="181">
        <v>0</v>
      </c>
      <c r="DU244" s="181">
        <v>0</v>
      </c>
      <c r="DV244" s="181">
        <v>0</v>
      </c>
      <c r="DW244" s="181">
        <v>0</v>
      </c>
      <c r="DX244" s="181">
        <v>0</v>
      </c>
      <c r="DY244" s="181">
        <v>0</v>
      </c>
      <c r="DZ244" s="181">
        <v>0</v>
      </c>
      <c r="EA244" s="181">
        <v>0</v>
      </c>
      <c r="EB244" s="181">
        <v>0</v>
      </c>
      <c r="EC244" s="181">
        <v>0</v>
      </c>
      <c r="ED244" s="181">
        <v>0</v>
      </c>
      <c r="EE244" s="181">
        <v>0</v>
      </c>
      <c r="EF244" s="181">
        <v>0</v>
      </c>
      <c r="EG244" s="181">
        <v>0</v>
      </c>
      <c r="EH244" s="181">
        <v>0</v>
      </c>
      <c r="EI244" s="181">
        <v>0</v>
      </c>
      <c r="EJ244" s="181">
        <v>0</v>
      </c>
      <c r="FY244" s="211">
        <v>239</v>
      </c>
      <c r="FZ244">
        <v>1.0349533845374459</v>
      </c>
      <c r="GA244">
        <v>1.6936215933108296</v>
      </c>
      <c r="GB244">
        <v>1.2612064911760652</v>
      </c>
      <c r="GC244">
        <v>0.78324505663392141</v>
      </c>
      <c r="GD244">
        <v>0.2539756865213742</v>
      </c>
      <c r="GE244">
        <v>7.7086188903599986E-2</v>
      </c>
      <c r="GF244">
        <v>0.82805716775636906</v>
      </c>
      <c r="GG244">
        <v>0.71770870692793864</v>
      </c>
      <c r="GH244">
        <v>0</v>
      </c>
      <c r="GI244">
        <v>0.75423240311301776</v>
      </c>
      <c r="GJ244"/>
      <c r="GK244">
        <v>1.031533088235294</v>
      </c>
      <c r="GL244">
        <v>1.426560431985294</v>
      </c>
      <c r="GM244">
        <v>2.0698462357954543</v>
      </c>
      <c r="GN244">
        <v>2.2968447849025972</v>
      </c>
      <c r="GO244">
        <v>0.96599464285714265</v>
      </c>
      <c r="GP244">
        <v>0.14474999999999999</v>
      </c>
      <c r="GQ244">
        <v>0.99869021739130437</v>
      </c>
      <c r="GR244">
        <v>0.99869021739130437</v>
      </c>
      <c r="GS244">
        <v>0</v>
      </c>
      <c r="GT244">
        <v>1.0132128368558391</v>
      </c>
      <c r="GU244"/>
      <c r="GV244"/>
      <c r="GW244"/>
      <c r="GX244"/>
      <c r="GY244"/>
      <c r="GZ244"/>
      <c r="HA244"/>
      <c r="HB244"/>
      <c r="HC244"/>
    </row>
    <row r="245" spans="1:211" s="7" customFormat="1">
      <c r="A245" s="1"/>
      <c r="B245">
        <v>0.78674638702812949</v>
      </c>
      <c r="C245">
        <v>8</v>
      </c>
      <c r="D245">
        <v>39673</v>
      </c>
      <c r="E245">
        <v>0</v>
      </c>
      <c r="F245">
        <v>20.833333333333332</v>
      </c>
      <c r="G245">
        <v>20.833333333333332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 s="2"/>
      <c r="AK245" s="81"/>
      <c r="AL245" s="81"/>
      <c r="AM245" s="43">
        <v>229</v>
      </c>
      <c r="AN245">
        <v>47.714680988058532</v>
      </c>
      <c r="AO245">
        <v>1.1456767406630293</v>
      </c>
      <c r="AP245">
        <v>8.526771547286085</v>
      </c>
      <c r="AQ245">
        <v>9.4174541307945141</v>
      </c>
      <c r="AR245">
        <v>1.0473550024384184</v>
      </c>
      <c r="AS245">
        <v>3.6594010462363049</v>
      </c>
      <c r="AT245" t="e">
        <v>#DIV/0!</v>
      </c>
      <c r="AU245" t="e">
        <v>#DIV/0!</v>
      </c>
      <c r="AV245"/>
      <c r="AW245"/>
      <c r="DE245" s="186">
        <v>39799</v>
      </c>
      <c r="DF245" s="181">
        <v>15.064102564102564</v>
      </c>
      <c r="DG245" s="181">
        <v>209.39123172579056</v>
      </c>
      <c r="DH245" s="181">
        <v>200.49856664083748</v>
      </c>
      <c r="DI245" s="181">
        <v>14.631782945736433</v>
      </c>
      <c r="DJ245" s="181">
        <v>14.08672480620155</v>
      </c>
      <c r="DK245" s="181">
        <v>56.189582476347177</v>
      </c>
      <c r="DL245" s="181">
        <v>55.863927738927735</v>
      </c>
      <c r="DM245" s="181">
        <v>12.762237762237762</v>
      </c>
      <c r="DN245" s="181">
        <v>0</v>
      </c>
      <c r="DO245" s="181">
        <v>0</v>
      </c>
      <c r="DP245" s="181">
        <v>0</v>
      </c>
      <c r="DQ245" s="181">
        <v>0</v>
      </c>
      <c r="DR245" s="181">
        <v>0</v>
      </c>
      <c r="DS245" s="181">
        <v>0</v>
      </c>
      <c r="DT245" s="181">
        <v>0</v>
      </c>
      <c r="DU245" s="181">
        <v>0</v>
      </c>
      <c r="DV245" s="181">
        <v>0</v>
      </c>
      <c r="DW245" s="181">
        <v>0</v>
      </c>
      <c r="DX245" s="181">
        <v>0</v>
      </c>
      <c r="DY245" s="181">
        <v>0</v>
      </c>
      <c r="DZ245" s="181">
        <v>0</v>
      </c>
      <c r="EA245" s="181">
        <v>0</v>
      </c>
      <c r="EB245" s="181">
        <v>0</v>
      </c>
      <c r="EC245" s="181">
        <v>0</v>
      </c>
      <c r="ED245" s="181">
        <v>0</v>
      </c>
      <c r="EE245" s="181">
        <v>0</v>
      </c>
      <c r="EF245" s="181">
        <v>0</v>
      </c>
      <c r="EG245" s="181">
        <v>0</v>
      </c>
      <c r="EH245" s="181">
        <v>0</v>
      </c>
      <c r="EI245" s="181">
        <v>0</v>
      </c>
      <c r="EJ245" s="181">
        <v>0</v>
      </c>
      <c r="FY245" s="211">
        <v>240</v>
      </c>
      <c r="FZ245">
        <v>0.77879038863658812</v>
      </c>
      <c r="GA245">
        <v>1.3497029993092984</v>
      </c>
      <c r="GB245">
        <v>0.70744075348942626</v>
      </c>
      <c r="GC245">
        <v>0.49328087081325939</v>
      </c>
      <c r="GD245">
        <v>0.18267205076831244</v>
      </c>
      <c r="GE245">
        <v>3.0832901432324998E-2</v>
      </c>
      <c r="GF245">
        <v>0.37461671604370633</v>
      </c>
      <c r="GG245">
        <v>0.34012406257845362</v>
      </c>
      <c r="GH245">
        <v>6.6522953376906252E-2</v>
      </c>
      <c r="GI245">
        <v>0.46957726122210031</v>
      </c>
      <c r="GJ245"/>
      <c r="GK245">
        <v>0.77620496323529398</v>
      </c>
      <c r="GL245">
        <v>1.1368729319852942</v>
      </c>
      <c r="GM245">
        <v>1.1609414062500001</v>
      </c>
      <c r="GN245">
        <v>1.4462109375000001</v>
      </c>
      <c r="GO245">
        <v>0.69482812499999991</v>
      </c>
      <c r="GP245">
        <v>5.7890625000000001E-2</v>
      </c>
      <c r="GQ245">
        <v>0.45162635869565215</v>
      </c>
      <c r="GR245">
        <v>0.47314719202898542</v>
      </c>
      <c r="GS245">
        <v>7.0364583333333328E-2</v>
      </c>
      <c r="GT245">
        <v>0.63079308730285599</v>
      </c>
      <c r="GU245"/>
      <c r="GV245"/>
      <c r="GW245"/>
      <c r="GX245"/>
      <c r="GY245"/>
      <c r="GZ245"/>
      <c r="HA245"/>
      <c r="HB245"/>
      <c r="HC245"/>
    </row>
    <row r="246" spans="1:211" s="7" customFormat="1">
      <c r="A246" s="1"/>
      <c r="B246">
        <v>0.22207157613873019</v>
      </c>
      <c r="C246">
        <v>3</v>
      </c>
      <c r="D246">
        <v>39673</v>
      </c>
      <c r="E246">
        <v>142.97385620915031</v>
      </c>
      <c r="F246">
        <v>71.486928104575156</v>
      </c>
      <c r="G246">
        <v>285.94771241830063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 s="2"/>
      <c r="AK246" s="81"/>
      <c r="AL246" s="81"/>
      <c r="AM246" s="43">
        <v>230</v>
      </c>
      <c r="AN246">
        <v>40.011926328502412</v>
      </c>
      <c r="AO246">
        <v>0.89195341032608688</v>
      </c>
      <c r="AP246">
        <v>10.533499035395851</v>
      </c>
      <c r="AQ246">
        <v>6.0140749140090577</v>
      </c>
      <c r="AR246">
        <v>0.83984400938735171</v>
      </c>
      <c r="AS246">
        <v>3.6951366479038041</v>
      </c>
      <c r="AT246" t="e">
        <v>#DIV/0!</v>
      </c>
      <c r="AU246" t="e">
        <v>#DIV/0!</v>
      </c>
      <c r="AV246"/>
      <c r="AW246"/>
      <c r="DE246" s="186">
        <v>39847</v>
      </c>
      <c r="DF246" s="181">
        <v>0</v>
      </c>
      <c r="DG246" s="181">
        <v>48.415798611111114</v>
      </c>
      <c r="DH246" s="181">
        <v>46.6796875</v>
      </c>
      <c r="DI246" s="181">
        <v>1.0416666666666665</v>
      </c>
      <c r="DJ246" s="181">
        <v>4.6875</v>
      </c>
      <c r="DK246" s="181">
        <v>19.010416666666664</v>
      </c>
      <c r="DL246" s="181">
        <v>29.861111111111107</v>
      </c>
      <c r="DM246" s="181">
        <v>40.885416666666671</v>
      </c>
      <c r="DN246" s="181">
        <v>11.458333333333334</v>
      </c>
      <c r="DO246" s="181">
        <v>5.2083333333333339</v>
      </c>
      <c r="DP246" s="181">
        <v>0</v>
      </c>
      <c r="DQ246" s="181">
        <v>0</v>
      </c>
      <c r="DR246" s="181">
        <v>0</v>
      </c>
      <c r="DS246" s="181">
        <v>0</v>
      </c>
      <c r="DT246" s="181">
        <v>0</v>
      </c>
      <c r="DU246" s="181">
        <v>0</v>
      </c>
      <c r="DV246" s="181">
        <v>0</v>
      </c>
      <c r="DW246" s="181">
        <v>0</v>
      </c>
      <c r="DX246" s="181">
        <v>0</v>
      </c>
      <c r="DY246" s="181">
        <v>0</v>
      </c>
      <c r="DZ246" s="181">
        <v>0</v>
      </c>
      <c r="EA246" s="181">
        <v>0</v>
      </c>
      <c r="EB246" s="181">
        <v>0</v>
      </c>
      <c r="EC246" s="181">
        <v>0</v>
      </c>
      <c r="ED246" s="181">
        <v>0</v>
      </c>
      <c r="EE246" s="181">
        <v>0</v>
      </c>
      <c r="EF246" s="181">
        <v>0</v>
      </c>
      <c r="EG246" s="181">
        <v>0</v>
      </c>
      <c r="EH246" s="181">
        <v>0</v>
      </c>
      <c r="EI246" s="181">
        <v>0</v>
      </c>
      <c r="EJ246" s="181">
        <v>0</v>
      </c>
      <c r="FY246" s="211">
        <v>241</v>
      </c>
      <c r="FZ246">
        <v>1.9844893459008479</v>
      </c>
      <c r="GA246">
        <v>2.2813089369837485</v>
      </c>
      <c r="GB246">
        <v>1.4738393251986748</v>
      </c>
      <c r="GC246">
        <v>1.3871433100240551</v>
      </c>
      <c r="GD246">
        <v>0.53575793190837007</v>
      </c>
      <c r="GE246">
        <v>0.1406236436361</v>
      </c>
      <c r="GF246">
        <v>0.57499774394694703</v>
      </c>
      <c r="GG246">
        <v>0.52933036966390667</v>
      </c>
      <c r="GH246">
        <v>0.15603164258923619</v>
      </c>
      <c r="GI246">
        <v>1.0858182337769455</v>
      </c>
      <c r="GJ246"/>
      <c r="GK246">
        <v>1.9777818014705877</v>
      </c>
      <c r="GL246">
        <v>1.9214849264705878</v>
      </c>
      <c r="GM246">
        <v>2.4199034090909088</v>
      </c>
      <c r="GN246">
        <v>4.0681315340909086</v>
      </c>
      <c r="GO246">
        <v>2.0373375</v>
      </c>
      <c r="GP246">
        <v>0.26418750000000002</v>
      </c>
      <c r="GQ246">
        <v>0.69359510869565222</v>
      </c>
      <c r="GR246">
        <v>0.73663677536231864</v>
      </c>
      <c r="GS246">
        <v>0.16502303685897435</v>
      </c>
      <c r="GT246">
        <v>1.4587281712232247</v>
      </c>
      <c r="GU246"/>
      <c r="GV246"/>
      <c r="GW246"/>
      <c r="GX246"/>
      <c r="GY246"/>
      <c r="GZ246"/>
      <c r="HA246"/>
      <c r="HB246"/>
      <c r="HC246"/>
    </row>
    <row r="247" spans="1:211" s="7" customFormat="1">
      <c r="A247" s="77" t="s">
        <v>61</v>
      </c>
      <c r="B247">
        <v>0.79018105703636632</v>
      </c>
      <c r="C247">
        <v>2</v>
      </c>
      <c r="D247">
        <v>39673</v>
      </c>
      <c r="E247">
        <v>62.5</v>
      </c>
      <c r="F247">
        <v>62.5</v>
      </c>
      <c r="G247">
        <v>62.5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 s="2"/>
      <c r="AK247" s="81"/>
      <c r="AL247" s="81"/>
      <c r="AM247" s="43">
        <v>231</v>
      </c>
      <c r="AN247">
        <v>45.543354316364216</v>
      </c>
      <c r="AO247">
        <v>1.0084547924164231</v>
      </c>
      <c r="AP247">
        <v>0.87185074986891453</v>
      </c>
      <c r="AQ247">
        <v>6.9693519258033305</v>
      </c>
      <c r="AR247">
        <v>0.92039924310583898</v>
      </c>
      <c r="AS247">
        <v>3.805540499870796</v>
      </c>
      <c r="AT247" t="e">
        <v>#DIV/0!</v>
      </c>
      <c r="AU247" t="e">
        <v>#DIV/0!</v>
      </c>
      <c r="AV247"/>
      <c r="AW247"/>
      <c r="DE247" s="186">
        <v>39910</v>
      </c>
      <c r="DF247" s="181">
        <v>0</v>
      </c>
      <c r="DG247" s="181">
        <v>28.935185185185183</v>
      </c>
      <c r="DH247" s="181">
        <v>49.768518518518519</v>
      </c>
      <c r="DI247" s="181">
        <v>0</v>
      </c>
      <c r="DJ247" s="181">
        <v>0</v>
      </c>
      <c r="DK247" s="181">
        <v>10.416666666666668</v>
      </c>
      <c r="DL247" s="181">
        <v>16.666666666666668</v>
      </c>
      <c r="DM247" s="181">
        <v>27.604166666666664</v>
      </c>
      <c r="DN247" s="181">
        <v>8.9583333333333321</v>
      </c>
      <c r="DO247" s="181">
        <v>0</v>
      </c>
      <c r="DP247" s="181">
        <v>0</v>
      </c>
      <c r="DQ247" s="181">
        <v>0</v>
      </c>
      <c r="DR247" s="181">
        <v>0</v>
      </c>
      <c r="DS247" s="181">
        <v>0</v>
      </c>
      <c r="DT247" s="181">
        <v>0</v>
      </c>
      <c r="DU247" s="181">
        <v>0</v>
      </c>
      <c r="DV247" s="181">
        <v>0</v>
      </c>
      <c r="DW247" s="181">
        <v>0</v>
      </c>
      <c r="DX247" s="181">
        <v>0</v>
      </c>
      <c r="DY247" s="181">
        <v>0</v>
      </c>
      <c r="DZ247" s="181">
        <v>0</v>
      </c>
      <c r="EA247" s="181">
        <v>0</v>
      </c>
      <c r="EB247" s="181">
        <v>0</v>
      </c>
      <c r="EC247" s="181">
        <v>0</v>
      </c>
      <c r="ED247" s="181">
        <v>0</v>
      </c>
      <c r="EE247" s="181">
        <v>0</v>
      </c>
      <c r="EF247" s="181">
        <v>0</v>
      </c>
      <c r="EG247" s="181">
        <v>0</v>
      </c>
      <c r="EH247" s="181">
        <v>0</v>
      </c>
      <c r="EI247" s="181">
        <v>0</v>
      </c>
      <c r="EJ247" s="181">
        <v>0</v>
      </c>
      <c r="FY247" s="211">
        <v>242</v>
      </c>
      <c r="FZ247">
        <v>1.4994433038056569</v>
      </c>
      <c r="GA247">
        <v>2.337719113024054</v>
      </c>
      <c r="GB247">
        <v>1.7002407608729753</v>
      </c>
      <c r="GC247">
        <v>1.0021283874799853</v>
      </c>
      <c r="GD247">
        <v>0.21454366362200999</v>
      </c>
      <c r="GE247">
        <v>6.4558109077649986E-2</v>
      </c>
      <c r="GF247">
        <v>4.0519097411428125E-2</v>
      </c>
      <c r="GG247">
        <v>0.10116381687628125</v>
      </c>
      <c r="GH247">
        <v>0.1330459067538125</v>
      </c>
      <c r="GI247">
        <v>0.78760328094468035</v>
      </c>
      <c r="GJ247"/>
      <c r="GK247">
        <v>1.4944724264705878</v>
      </c>
      <c r="GL247">
        <v>1.9691872702205877</v>
      </c>
      <c r="GM247">
        <v>2.7915401278409089</v>
      </c>
      <c r="GN247">
        <v>2.9409940340909086</v>
      </c>
      <c r="GO247">
        <v>0.81607499999999988</v>
      </c>
      <c r="GP247">
        <v>0.12121874999999999</v>
      </c>
      <c r="GQ247">
        <v>4.8843750000000005E-2</v>
      </c>
      <c r="GR247">
        <v>0.14072916666666666</v>
      </c>
      <c r="GS247">
        <v>0.14072916666666666</v>
      </c>
      <c r="GT247">
        <v>1.0583320941956327</v>
      </c>
      <c r="GU247"/>
      <c r="GV247"/>
      <c r="GW247"/>
      <c r="GX247"/>
      <c r="GY247"/>
      <c r="GZ247"/>
      <c r="HA247"/>
      <c r="HB247"/>
      <c r="HC247"/>
    </row>
    <row r="248" spans="1:211" s="7" customFormat="1">
      <c r="A248" s="77" t="s">
        <v>62</v>
      </c>
      <c r="B248">
        <v>0.26597171065706515</v>
      </c>
      <c r="C248">
        <v>8</v>
      </c>
      <c r="D248">
        <v>39714</v>
      </c>
      <c r="E248">
        <v>0</v>
      </c>
      <c r="F248">
        <v>104.16666666666667</v>
      </c>
      <c r="G248">
        <v>31.25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 s="2"/>
      <c r="AK248" s="81"/>
      <c r="AL248" s="81"/>
      <c r="AM248" s="43">
        <v>232</v>
      </c>
      <c r="AN248">
        <v>37.737873931623938</v>
      </c>
      <c r="AO248">
        <v>0.93228259134615388</v>
      </c>
      <c r="AP248">
        <v>3.3812165817490758</v>
      </c>
      <c r="AQ248">
        <v>5.6223812708950023</v>
      </c>
      <c r="AR248">
        <v>0.85556885489510504</v>
      </c>
      <c r="AS248">
        <v>3.1517063875682299</v>
      </c>
      <c r="AT248" t="e">
        <v>#DIV/0!</v>
      </c>
      <c r="AU248" t="e">
        <v>#DIV/0!</v>
      </c>
      <c r="AV248"/>
      <c r="AW248"/>
      <c r="DE248" s="186">
        <v>39949</v>
      </c>
      <c r="DF248" s="181">
        <v>0</v>
      </c>
      <c r="DG248" s="181">
        <v>0</v>
      </c>
      <c r="DH248" s="181">
        <v>0</v>
      </c>
      <c r="DI248" s="181">
        <v>1.0416666666666665</v>
      </c>
      <c r="DJ248" s="181">
        <v>1.0416666666666665</v>
      </c>
      <c r="DK248" s="181">
        <v>4.1666666666666661</v>
      </c>
      <c r="DL248" s="181">
        <v>9.3750000000000018</v>
      </c>
      <c r="DM248" s="181">
        <v>11.458333333333332</v>
      </c>
      <c r="DN248" s="181">
        <v>14.583333333333334</v>
      </c>
      <c r="DO248" s="181">
        <v>8.3333333333333321</v>
      </c>
      <c r="DP248" s="181">
        <v>5.208333333333333</v>
      </c>
      <c r="DQ248" s="181">
        <v>0</v>
      </c>
      <c r="DR248" s="181">
        <v>0</v>
      </c>
      <c r="DS248" s="181">
        <v>0</v>
      </c>
      <c r="DT248" s="181">
        <v>0</v>
      </c>
      <c r="DU248" s="181">
        <v>0</v>
      </c>
      <c r="DV248" s="181">
        <v>0</v>
      </c>
      <c r="DW248" s="181">
        <v>0</v>
      </c>
      <c r="DX248" s="181">
        <v>0</v>
      </c>
      <c r="DY248" s="181">
        <v>0</v>
      </c>
      <c r="DZ248" s="181">
        <v>0</v>
      </c>
      <c r="EA248" s="181">
        <v>0</v>
      </c>
      <c r="EB248" s="181">
        <v>0</v>
      </c>
      <c r="EC248" s="181">
        <v>0</v>
      </c>
      <c r="ED248" s="181">
        <v>0</v>
      </c>
      <c r="EE248" s="181">
        <v>0</v>
      </c>
      <c r="EF248" s="181">
        <v>0</v>
      </c>
      <c r="EG248" s="181">
        <v>0</v>
      </c>
      <c r="EH248" s="181">
        <v>0</v>
      </c>
      <c r="EI248" s="181">
        <v>0</v>
      </c>
      <c r="EJ248" s="181">
        <v>0</v>
      </c>
      <c r="FY248" s="211">
        <v>243</v>
      </c>
      <c r="FZ248">
        <v>1.1947852894284114</v>
      </c>
      <c r="GA248">
        <v>1.4909738595413367</v>
      </c>
      <c r="GB248">
        <v>0.65650574514102178</v>
      </c>
      <c r="GC248">
        <v>0.38688416763568112</v>
      </c>
      <c r="GD248">
        <v>0.21046317997596425</v>
      </c>
      <c r="GE248">
        <v>0.26481411753367495</v>
      </c>
      <c r="GF248">
        <v>8.1038194822856249E-2</v>
      </c>
      <c r="GG248">
        <v>5.0581908438140623E-2</v>
      </c>
      <c r="GH248">
        <v>0.11249442504775362</v>
      </c>
      <c r="GI248">
        <v>0.48919270573952489</v>
      </c>
      <c r="GJ248"/>
      <c r="GK248">
        <v>1.190814338235294</v>
      </c>
      <c r="GL248">
        <v>1.2558768382352938</v>
      </c>
      <c r="GM248">
        <v>1.07709375</v>
      </c>
      <c r="GN248">
        <v>1.1348102678571426</v>
      </c>
      <c r="GO248">
        <v>0.80166964285714282</v>
      </c>
      <c r="GP248">
        <v>0.49767187499999993</v>
      </c>
      <c r="GQ248">
        <v>9.768750000000001E-2</v>
      </c>
      <c r="GR248">
        <v>7.0364583333333328E-2</v>
      </c>
      <c r="GS248">
        <v>0.11895232371794871</v>
      </c>
      <c r="GT248">
        <v>0.65724351096207712</v>
      </c>
      <c r="GU248"/>
      <c r="GV248"/>
      <c r="GW248"/>
      <c r="GX248"/>
      <c r="GY248"/>
      <c r="GZ248"/>
      <c r="HA248"/>
      <c r="HB248"/>
      <c r="HC248"/>
    </row>
    <row r="249" spans="1:211" s="7" customFormat="1">
      <c r="A249" s="1"/>
      <c r="B249">
        <v>0.52629589961131185</v>
      </c>
      <c r="C249">
        <v>10</v>
      </c>
      <c r="D249">
        <v>39714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 s="2"/>
      <c r="AK249" s="81"/>
      <c r="AL249" s="81"/>
      <c r="AM249" s="43">
        <v>233</v>
      </c>
      <c r="AN249">
        <v>44.723305636357111</v>
      </c>
      <c r="AO249">
        <v>0.95469919503474476</v>
      </c>
      <c r="AP249">
        <v>23.212116644956303</v>
      </c>
      <c r="AQ249">
        <v>7.2383813034425062</v>
      </c>
      <c r="AR249">
        <v>0.8767424937378796</v>
      </c>
      <c r="AS249">
        <v>3.2602273826479506</v>
      </c>
      <c r="AT249" t="e">
        <v>#DIV/0!</v>
      </c>
      <c r="AU249" t="e">
        <v>#DIV/0!</v>
      </c>
      <c r="AV249"/>
      <c r="AW249"/>
      <c r="DE249" s="186">
        <v>39987</v>
      </c>
      <c r="DF249" s="181">
        <v>0</v>
      </c>
      <c r="DG249" s="181">
        <v>0</v>
      </c>
      <c r="DH249" s="181">
        <v>7.7570921985815602</v>
      </c>
      <c r="DI249" s="181">
        <v>42.102730973646274</v>
      </c>
      <c r="DJ249" s="181">
        <v>0</v>
      </c>
      <c r="DK249" s="181">
        <v>7.7570921985815602</v>
      </c>
      <c r="DL249" s="181">
        <v>1.0416666666666665</v>
      </c>
      <c r="DM249" s="181">
        <v>1.0416666666666665</v>
      </c>
      <c r="DN249" s="181">
        <v>3.125</v>
      </c>
      <c r="DO249" s="181">
        <v>1.0416666666666665</v>
      </c>
      <c r="DP249" s="181">
        <v>0</v>
      </c>
      <c r="DQ249" s="181">
        <v>0</v>
      </c>
      <c r="DR249" s="181">
        <v>0</v>
      </c>
      <c r="DS249" s="181">
        <v>0</v>
      </c>
      <c r="DT249" s="181">
        <v>0</v>
      </c>
      <c r="DU249" s="181">
        <v>0</v>
      </c>
      <c r="DV249" s="181">
        <v>0</v>
      </c>
      <c r="DW249" s="181">
        <v>0</v>
      </c>
      <c r="DX249" s="181">
        <v>0</v>
      </c>
      <c r="DY249" s="181">
        <v>0</v>
      </c>
      <c r="DZ249" s="181">
        <v>0</v>
      </c>
      <c r="EA249" s="181">
        <v>0</v>
      </c>
      <c r="EB249" s="181">
        <v>0</v>
      </c>
      <c r="EC249" s="181">
        <v>0</v>
      </c>
      <c r="ED249" s="181">
        <v>0</v>
      </c>
      <c r="EE249" s="181">
        <v>0</v>
      </c>
      <c r="EF249" s="181">
        <v>0</v>
      </c>
      <c r="EG249" s="181">
        <v>0</v>
      </c>
      <c r="EH249" s="181">
        <v>0</v>
      </c>
      <c r="EI249" s="181">
        <v>0</v>
      </c>
      <c r="EJ249" s="181">
        <v>0</v>
      </c>
      <c r="FY249" s="211">
        <v>244</v>
      </c>
      <c r="FZ249">
        <v>2.7941486282096548</v>
      </c>
      <c r="GA249">
        <v>3.2224804680940005</v>
      </c>
      <c r="GB249">
        <v>0.29448398330253633</v>
      </c>
      <c r="GC249">
        <v>0.30981310060979</v>
      </c>
      <c r="GD249">
        <v>0.26580680653629857</v>
      </c>
      <c r="GE249">
        <v>9.5283153058725006E-2</v>
      </c>
      <c r="GF249">
        <v>0.49395954912409079</v>
      </c>
      <c r="GG249">
        <v>0.47874846122576609</v>
      </c>
      <c r="GH249">
        <v>8.9508689212329934E-2</v>
      </c>
      <c r="GI249">
        <v>0.73981056876461393</v>
      </c>
      <c r="GJ249"/>
      <c r="GK249">
        <v>2.7848961397058818</v>
      </c>
      <c r="GL249">
        <v>2.714595358455882</v>
      </c>
      <c r="GM249">
        <v>0.48321484375000001</v>
      </c>
      <c r="GN249">
        <v>0.90717678571428573</v>
      </c>
      <c r="GO249">
        <v>1.0109892857142857</v>
      </c>
      <c r="GP249">
        <v>0.17920312499999999</v>
      </c>
      <c r="GQ249">
        <v>0.59590760869565207</v>
      </c>
      <c r="GR249">
        <v>0.66627219202898535</v>
      </c>
      <c r="GS249">
        <v>9.465845352564102E-2</v>
      </c>
      <c r="GT249">
        <v>0.99393326627829226</v>
      </c>
      <c r="GU249"/>
      <c r="GV249"/>
      <c r="GW249"/>
      <c r="GX249"/>
      <c r="GY249"/>
      <c r="GZ249"/>
      <c r="HA249"/>
      <c r="HB249"/>
      <c r="HC249"/>
    </row>
    <row r="250" spans="1:211" s="7" customFormat="1">
      <c r="A250" s="1"/>
      <c r="B250">
        <v>0.45479506909712963</v>
      </c>
      <c r="C250">
        <v>3</v>
      </c>
      <c r="D250">
        <v>39714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 s="2"/>
      <c r="AK250" s="81"/>
      <c r="AL250" s="81"/>
      <c r="AM250" s="43">
        <v>234</v>
      </c>
      <c r="AN250">
        <v>34.931789275539273</v>
      </c>
      <c r="AO250">
        <v>0.67111590086996331</v>
      </c>
      <c r="AP250">
        <v>2.2107267099672421</v>
      </c>
      <c r="AQ250">
        <v>3.9546580780284533</v>
      </c>
      <c r="AR250">
        <v>0.64712186355311352</v>
      </c>
      <c r="AS250">
        <v>3.1249296800282713</v>
      </c>
      <c r="AT250" t="e">
        <v>#DIV/0!</v>
      </c>
      <c r="AU250" t="e">
        <v>#DIV/0!</v>
      </c>
      <c r="AV250"/>
      <c r="AW250"/>
      <c r="DE250" s="186"/>
      <c r="DF250" s="181"/>
      <c r="DG250" s="185"/>
      <c r="DH250" s="185"/>
      <c r="DI250" s="185"/>
      <c r="DJ250" s="185"/>
      <c r="DK250" s="185"/>
      <c r="DL250" s="185"/>
      <c r="DM250" s="185"/>
      <c r="DN250" s="185"/>
      <c r="DO250" s="185"/>
      <c r="DP250" s="185"/>
      <c r="DQ250" s="185"/>
      <c r="DR250" s="185"/>
      <c r="DS250" s="185"/>
      <c r="DT250" s="185"/>
      <c r="DU250" s="185"/>
      <c r="DV250" s="185"/>
      <c r="DW250" s="185"/>
      <c r="DX250" s="185"/>
      <c r="DY250" s="185"/>
      <c r="DZ250" s="185"/>
      <c r="EA250" s="181"/>
      <c r="EB250" s="185"/>
      <c r="EC250" s="181"/>
      <c r="ED250" s="181"/>
      <c r="EE250" s="181"/>
      <c r="EF250" s="181"/>
      <c r="EG250" s="181"/>
      <c r="EH250" s="181"/>
      <c r="EI250" s="181"/>
      <c r="EJ250" s="181"/>
      <c r="FY250" s="211">
        <v>245</v>
      </c>
      <c r="FZ250">
        <v>1.0101290304093355</v>
      </c>
      <c r="GA250">
        <v>1.5698419645857586</v>
      </c>
      <c r="GB250">
        <v>1.5432837955576275</v>
      </c>
      <c r="GC250">
        <v>0.7826008821024758</v>
      </c>
      <c r="GD250">
        <v>0.14016652598731177</v>
      </c>
      <c r="GE250">
        <v>0.16171291400422502</v>
      </c>
      <c r="GF250">
        <v>4.0519097411428125E-2</v>
      </c>
      <c r="GG250">
        <v>5.0581908438140623E-2</v>
      </c>
      <c r="GH250">
        <v>8.9508689212329934E-2</v>
      </c>
      <c r="GI250">
        <v>0.62773567500503757</v>
      </c>
      <c r="GJ250"/>
      <c r="GK250">
        <v>1.0063312499999999</v>
      </c>
      <c r="GL250">
        <v>1.32167109375</v>
      </c>
      <c r="GM250">
        <v>2.5337666903409088</v>
      </c>
      <c r="GN250">
        <v>2.2976402394480515</v>
      </c>
      <c r="GO250">
        <v>0.53366651785714281</v>
      </c>
      <c r="GP250">
        <v>0.30407812500000003</v>
      </c>
      <c r="GQ250">
        <v>4.8843750000000005E-2</v>
      </c>
      <c r="GR250">
        <v>7.0364583333333328E-2</v>
      </c>
      <c r="GS250">
        <v>9.465845352564102E-2</v>
      </c>
      <c r="GT250">
        <v>0.84345333234473852</v>
      </c>
      <c r="GU250"/>
      <c r="GV250"/>
      <c r="GW250"/>
      <c r="GX250"/>
      <c r="GY250"/>
      <c r="GZ250"/>
      <c r="HA250"/>
      <c r="HB250"/>
      <c r="HC250"/>
    </row>
    <row r="251" spans="1:211" s="7" customFormat="1">
      <c r="A251" s="1"/>
      <c r="B251">
        <v>4.2926375781334514E-2</v>
      </c>
      <c r="C251">
        <v>10</v>
      </c>
      <c r="D251">
        <v>39714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 s="2"/>
      <c r="AK251" s="81"/>
      <c r="AL251" s="81"/>
      <c r="AM251" s="43">
        <v>235</v>
      </c>
      <c r="AN251">
        <v>49.714115816337682</v>
      </c>
      <c r="AO251">
        <v>1.1152784677478849</v>
      </c>
      <c r="AP251">
        <v>1.2009883711250104</v>
      </c>
      <c r="AQ251">
        <v>7.4550349715747819</v>
      </c>
      <c r="AR251">
        <v>1.0378310043337415</v>
      </c>
      <c r="AS251">
        <v>4.0301603460496294</v>
      </c>
      <c r="AT251" t="e">
        <v>#DIV/0!</v>
      </c>
      <c r="AU251" t="e">
        <v>#DIV/0!</v>
      </c>
      <c r="AV251"/>
      <c r="AW251"/>
      <c r="DE251" s="186"/>
      <c r="DF251" s="181"/>
      <c r="DG251" s="185"/>
      <c r="DH251" s="185"/>
      <c r="DI251" s="185"/>
      <c r="DJ251" s="185"/>
      <c r="DK251" s="185"/>
      <c r="DL251" s="185"/>
      <c r="DM251" s="185"/>
      <c r="DN251" s="185"/>
      <c r="DO251" s="185"/>
      <c r="DP251" s="185"/>
      <c r="DQ251" s="185"/>
      <c r="DR251" s="185"/>
      <c r="DS251" s="185"/>
      <c r="DT251" s="185"/>
      <c r="DU251" s="185"/>
      <c r="DV251" s="185"/>
      <c r="DW251" s="185"/>
      <c r="DX251" s="185"/>
      <c r="DY251" s="185"/>
      <c r="DZ251" s="185"/>
      <c r="EA251" s="181"/>
      <c r="EB251" s="185"/>
      <c r="EC251" s="181"/>
      <c r="ED251" s="181"/>
      <c r="EE251" s="181"/>
      <c r="EF251" s="181"/>
      <c r="EG251" s="181"/>
      <c r="EH251" s="181"/>
      <c r="EI251" s="181"/>
      <c r="EJ251" s="181"/>
      <c r="FY251" s="211">
        <v>246</v>
      </c>
      <c r="FZ251">
        <v>1.9863440444886529</v>
      </c>
      <c r="GA251">
        <v>2.0062034799658144</v>
      </c>
      <c r="GB251">
        <v>0.37512024163716085</v>
      </c>
      <c r="GC251">
        <v>0.24303865235303249</v>
      </c>
      <c r="GD251">
        <v>7.3152444530401053E-2</v>
      </c>
      <c r="GE251">
        <v>3.8543094451799993E-2</v>
      </c>
      <c r="GF251">
        <v>0</v>
      </c>
      <c r="GG251">
        <v>5.0581908438140623E-2</v>
      </c>
      <c r="GH251">
        <v>0.11249442504775362</v>
      </c>
      <c r="GI251">
        <v>0.44540970061983287</v>
      </c>
      <c r="GJ251"/>
      <c r="GK251">
        <v>1.979703676470588</v>
      </c>
      <c r="GL251">
        <v>1.6898286764705883</v>
      </c>
      <c r="GM251">
        <v>0.6155156249999999</v>
      </c>
      <c r="GN251">
        <v>0.71269553571428568</v>
      </c>
      <c r="GO251">
        <v>0.2781174107142857</v>
      </c>
      <c r="GP251">
        <v>7.2374999999999995E-2</v>
      </c>
      <c r="GQ251">
        <v>0</v>
      </c>
      <c r="GR251">
        <v>7.0364583333333328E-2</v>
      </c>
      <c r="GS251">
        <v>0.11895232371794871</v>
      </c>
      <c r="GT251">
        <v>0.59845780718056452</v>
      </c>
      <c r="GU251"/>
      <c r="GV251"/>
      <c r="GW251"/>
      <c r="GX251"/>
      <c r="GY251"/>
      <c r="GZ251"/>
      <c r="HA251"/>
      <c r="HB251"/>
      <c r="HC251"/>
    </row>
    <row r="252" spans="1:211" s="7" customFormat="1">
      <c r="A252" s="1"/>
      <c r="B252">
        <v>0.23736312316190844</v>
      </c>
      <c r="C252">
        <v>5</v>
      </c>
      <c r="D252">
        <v>39714</v>
      </c>
      <c r="E252">
        <v>0</v>
      </c>
      <c r="F252">
        <v>20.833333333333332</v>
      </c>
      <c r="G252">
        <v>72.916666666666671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 s="2"/>
      <c r="AK252" s="81"/>
      <c r="AL252" s="81"/>
      <c r="AM252" s="43">
        <v>236</v>
      </c>
      <c r="AN252">
        <v>43.942675798022663</v>
      </c>
      <c r="AO252">
        <v>1.0562029777066759</v>
      </c>
      <c r="AP252">
        <v>14.089719694071238</v>
      </c>
      <c r="AQ252">
        <v>6.8803436767342303</v>
      </c>
      <c r="AR252">
        <v>0.96460159249557964</v>
      </c>
      <c r="AS252">
        <v>3.3800285213578012</v>
      </c>
      <c r="AT252" t="e">
        <v>#DIV/0!</v>
      </c>
      <c r="AU252" t="e">
        <v>#DIV/0!</v>
      </c>
      <c r="AV252"/>
      <c r="AW252"/>
      <c r="FY252" s="211">
        <v>247</v>
      </c>
      <c r="FZ252">
        <v>1.2419977251488572</v>
      </c>
      <c r="GA252">
        <v>2.5173846549739793</v>
      </c>
      <c r="GB252">
        <v>1.0767214595702459</v>
      </c>
      <c r="GC252">
        <v>0.35864868613500445</v>
      </c>
      <c r="GD252">
        <v>0.10166089095647676</v>
      </c>
      <c r="GE252">
        <v>9.5283153058725006E-2</v>
      </c>
      <c r="GF252">
        <v>0.47958579147543745</v>
      </c>
      <c r="GG252">
        <v>0.46645510438007809</v>
      </c>
      <c r="GH252">
        <v>8.9508689212329934E-2</v>
      </c>
      <c r="GI252">
        <v>0.60524617498407385</v>
      </c>
      <c r="GJ252"/>
      <c r="GK252">
        <v>1.2376705882352941</v>
      </c>
      <c r="GL252">
        <v>2.1202096507352941</v>
      </c>
      <c r="GM252">
        <v>1.7675532670454543</v>
      </c>
      <c r="GN252">
        <v>1.0530275974025971</v>
      </c>
      <c r="GO252">
        <v>0.38706026785714276</v>
      </c>
      <c r="GP252">
        <v>0.17920312499999999</v>
      </c>
      <c r="GQ252">
        <v>0.57937499999999997</v>
      </c>
      <c r="GR252">
        <v>0.64973958333333326</v>
      </c>
      <c r="GS252">
        <v>9.465845352564102E-2</v>
      </c>
      <c r="GT252">
        <v>0.81326351533270658</v>
      </c>
      <c r="GU252"/>
      <c r="GV252"/>
      <c r="GW252"/>
      <c r="GX252"/>
      <c r="GY252"/>
      <c r="GZ252"/>
      <c r="HA252"/>
      <c r="HB252"/>
      <c r="HC252"/>
    </row>
    <row r="253" spans="1:211" s="7" customFormat="1">
      <c r="A253" s="1"/>
      <c r="B253">
        <v>0.55984115497399389</v>
      </c>
      <c r="C253">
        <v>6</v>
      </c>
      <c r="D253">
        <v>39714</v>
      </c>
      <c r="E253">
        <v>0</v>
      </c>
      <c r="F253">
        <v>41.666666666666664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 s="2"/>
      <c r="AK253" s="81"/>
      <c r="AL253" s="81"/>
      <c r="AM253" s="43">
        <v>237</v>
      </c>
      <c r="AN253">
        <v>40.355231638595612</v>
      </c>
      <c r="AO253">
        <v>1.0113487785397812</v>
      </c>
      <c r="AP253">
        <v>0.68175885736885156</v>
      </c>
      <c r="AQ253">
        <v>7.8112185170381139</v>
      </c>
      <c r="AR253">
        <v>0.94555800234385701</v>
      </c>
      <c r="AS253">
        <v>3.0936191157311215</v>
      </c>
      <c r="AT253">
        <v>0.66002725157167974</v>
      </c>
      <c r="AU253">
        <v>0.11013662126012444</v>
      </c>
      <c r="AV253"/>
      <c r="AW253"/>
      <c r="FY253" s="211">
        <v>248</v>
      </c>
      <c r="FZ253">
        <v>2.6161760450001523</v>
      </c>
      <c r="GA253">
        <v>3.0571402633298108</v>
      </c>
      <c r="GB253">
        <v>1.6699051959643296</v>
      </c>
      <c r="GC253">
        <v>0.95885098258020984</v>
      </c>
      <c r="GD253">
        <v>0.13735348620810747</v>
      </c>
      <c r="GE253">
        <v>0.15502337532990002</v>
      </c>
      <c r="GF253">
        <v>1.0284381956596096</v>
      </c>
      <c r="GG253">
        <v>0.95749692245153217</v>
      </c>
      <c r="GH253">
        <v>0.17901737842465987</v>
      </c>
      <c r="GI253">
        <v>1.0869402848633283</v>
      </c>
      <c r="GJ253"/>
      <c r="GK253">
        <v>2.6072961397058823</v>
      </c>
      <c r="GL253">
        <v>2.5750109834558819</v>
      </c>
      <c r="GM253">
        <v>2.7422887073863631</v>
      </c>
      <c r="GN253">
        <v>2.8161144886363632</v>
      </c>
      <c r="GO253">
        <v>0.52313437499999993</v>
      </c>
      <c r="GP253">
        <v>0.291375</v>
      </c>
      <c r="GQ253">
        <v>1.2406589673913042</v>
      </c>
      <c r="GR253">
        <v>1.3325443840579707</v>
      </c>
      <c r="GS253">
        <v>0.18931690705128204</v>
      </c>
      <c r="GT253">
        <v>1.4605390193069663</v>
      </c>
      <c r="GU253"/>
      <c r="GV253"/>
      <c r="GW253"/>
      <c r="GX253"/>
      <c r="GY253"/>
      <c r="GZ253"/>
      <c r="HA253"/>
      <c r="HB253"/>
      <c r="HC253"/>
    </row>
    <row r="254" spans="1:211" s="7" customFormat="1">
      <c r="A254" s="1"/>
      <c r="B254">
        <v>0.44208040064437082</v>
      </c>
      <c r="C254">
        <v>5</v>
      </c>
      <c r="D254">
        <v>39714</v>
      </c>
      <c r="E254">
        <v>0</v>
      </c>
      <c r="F254">
        <v>20.833333333333332</v>
      </c>
      <c r="G254">
        <v>72.916666666666671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 s="2"/>
      <c r="AK254" s="81"/>
      <c r="AL254" s="81"/>
      <c r="AM254" s="43">
        <v>238</v>
      </c>
      <c r="AN254">
        <v>42.938131842759397</v>
      </c>
      <c r="AO254">
        <v>1.0575006300861063</v>
      </c>
      <c r="AP254">
        <v>8.8206427532070251</v>
      </c>
      <c r="AQ254">
        <v>8.5992342328819422</v>
      </c>
      <c r="AR254">
        <v>1.0056250264768798</v>
      </c>
      <c r="AS254">
        <v>3.292744643873093</v>
      </c>
      <c r="AT254" t="e">
        <v>#DIV/0!</v>
      </c>
      <c r="AU254" t="e">
        <v>#DIV/0!</v>
      </c>
      <c r="AV254"/>
      <c r="AW254"/>
      <c r="FY254" s="211">
        <v>249</v>
      </c>
      <c r="FZ254">
        <v>1.107633620876479</v>
      </c>
      <c r="GA254">
        <v>1.5798049258808367</v>
      </c>
      <c r="GB254">
        <v>0.53036993314386205</v>
      </c>
      <c r="GC254">
        <v>0.37329563128764809</v>
      </c>
      <c r="GD254">
        <v>0.25213854472404745</v>
      </c>
      <c r="GE254">
        <v>0.22150706500102499</v>
      </c>
      <c r="GF254">
        <v>0.12155729223428439</v>
      </c>
      <c r="GG254">
        <v>5.0581908438140623E-2</v>
      </c>
      <c r="GH254">
        <v>8.9508689212329934E-2</v>
      </c>
      <c r="GI254">
        <v>0.47259139990787974</v>
      </c>
      <c r="GJ254"/>
      <c r="GK254">
        <v>1.1038893382352941</v>
      </c>
      <c r="GL254">
        <v>1.330401056985294</v>
      </c>
      <c r="GM254">
        <v>0.86983203124999997</v>
      </c>
      <c r="GN254">
        <v>1.0935828124999998</v>
      </c>
      <c r="GO254">
        <v>0.95899687499999986</v>
      </c>
      <c r="GP254">
        <v>0.41620312500000001</v>
      </c>
      <c r="GQ254">
        <v>0.14653125</v>
      </c>
      <c r="GR254">
        <v>7.0364583333333328E-2</v>
      </c>
      <c r="GS254">
        <v>9.465845352564102E-2</v>
      </c>
      <c r="GT254">
        <v>0.63478158960218689</v>
      </c>
      <c r="GU254"/>
      <c r="GV254"/>
      <c r="GW254"/>
      <c r="GX254"/>
      <c r="GY254"/>
      <c r="GZ254"/>
      <c r="HA254"/>
      <c r="HB254"/>
      <c r="HC254"/>
    </row>
    <row r="255" spans="1:211" s="7" customFormat="1">
      <c r="A255" s="1"/>
      <c r="B255">
        <v>0.96207638584879085</v>
      </c>
      <c r="C255">
        <v>5</v>
      </c>
      <c r="D255">
        <v>39714</v>
      </c>
      <c r="E255">
        <v>0</v>
      </c>
      <c r="F255">
        <v>20.833333333333332</v>
      </c>
      <c r="G255">
        <v>72.916666666666671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 s="2"/>
      <c r="AK255" s="81"/>
      <c r="AL255" s="81"/>
      <c r="AM255" s="43">
        <v>239</v>
      </c>
      <c r="AN255">
        <v>47.951166816364221</v>
      </c>
      <c r="AO255">
        <v>1.0946122455414231</v>
      </c>
      <c r="AP255">
        <v>10.033568456741202</v>
      </c>
      <c r="AQ255">
        <v>7.404086678880561</v>
      </c>
      <c r="AR255">
        <v>1.0132128368558391</v>
      </c>
      <c r="AS255">
        <v>4.1865092511373101</v>
      </c>
      <c r="AT255" t="e">
        <v>#DIV/0!</v>
      </c>
      <c r="AU255" t="e">
        <v>#DIV/0!</v>
      </c>
      <c r="AV255"/>
      <c r="AW255"/>
      <c r="FY255" s="211">
        <v>250</v>
      </c>
      <c r="FZ255">
        <v>2.5107859847422165</v>
      </c>
      <c r="GA255">
        <v>2.829278022068952</v>
      </c>
      <c r="GB255">
        <v>0.4791326259921222</v>
      </c>
      <c r="GC255">
        <v>0.40572475496272131</v>
      </c>
      <c r="GD255">
        <v>0.222227806704795</v>
      </c>
      <c r="GE255">
        <v>0.11273697714240002</v>
      </c>
      <c r="GF255">
        <v>4.0519097411428125E-2</v>
      </c>
      <c r="GG255">
        <v>0.10116381687628125</v>
      </c>
      <c r="GH255">
        <v>0.15603164258923619</v>
      </c>
      <c r="GI255">
        <v>0.64717320177783488</v>
      </c>
      <c r="GJ255"/>
      <c r="GK255">
        <v>2.5024086397058825</v>
      </c>
      <c r="GL255">
        <v>2.3831234834558819</v>
      </c>
      <c r="GM255">
        <v>0.78610546874999987</v>
      </c>
      <c r="GN255">
        <v>1.1890406250000001</v>
      </c>
      <c r="GO255">
        <v>0.84493125000000002</v>
      </c>
      <c r="GP255">
        <v>0.21168750000000003</v>
      </c>
      <c r="GQ255">
        <v>4.8843750000000005E-2</v>
      </c>
      <c r="GR255">
        <v>0.14072916666666666</v>
      </c>
      <c r="GS255">
        <v>0.16502303685897435</v>
      </c>
      <c r="GT255">
        <v>0.86946242906297133</v>
      </c>
      <c r="GU255"/>
      <c r="GV255"/>
      <c r="GW255"/>
      <c r="GX255"/>
      <c r="GY255"/>
      <c r="GZ255"/>
      <c r="HA255"/>
      <c r="HB255"/>
      <c r="HC255"/>
    </row>
    <row r="256" spans="1:211" s="7" customFormat="1">
      <c r="A256" s="1"/>
      <c r="B256">
        <v>0.28043127202402385</v>
      </c>
      <c r="C256">
        <v>8</v>
      </c>
      <c r="D256">
        <v>39714</v>
      </c>
      <c r="E256">
        <v>0</v>
      </c>
      <c r="F256">
        <v>104.16666666666667</v>
      </c>
      <c r="G256">
        <v>31.25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 s="2"/>
      <c r="AK256" s="81"/>
      <c r="AL256" s="81"/>
      <c r="AM256" s="43">
        <v>240</v>
      </c>
      <c r="AN256">
        <v>31.187250609784979</v>
      </c>
      <c r="AO256">
        <v>0.68988802103314151</v>
      </c>
      <c r="AP256">
        <v>0.22627587227391169</v>
      </c>
      <c r="AQ256">
        <v>4.7935609576703762</v>
      </c>
      <c r="AR256">
        <v>0.63079308730285599</v>
      </c>
      <c r="AS256">
        <v>2.635818907163213</v>
      </c>
      <c r="AT256" t="e">
        <v>#DIV/0!</v>
      </c>
      <c r="AU256" t="e">
        <v>#DIV/0!</v>
      </c>
      <c r="AV256"/>
      <c r="AW256"/>
      <c r="FY256" s="211">
        <v>251</v>
      </c>
      <c r="FZ256">
        <v>1.507219690297759</v>
      </c>
      <c r="GA256">
        <v>2.3019059089253333</v>
      </c>
      <c r="GB256">
        <v>0.93524781200067753</v>
      </c>
      <c r="GC256">
        <v>0.47216416852922138</v>
      </c>
      <c r="GD256">
        <v>9.4524604804436779E-2</v>
      </c>
      <c r="GE256">
        <v>3.8543094451799993E-2</v>
      </c>
      <c r="GF256">
        <v>0.66819523726455643</v>
      </c>
      <c r="GG256">
        <v>0.62966621671876666</v>
      </c>
      <c r="GH256">
        <v>0.11249442504775362</v>
      </c>
      <c r="GI256">
        <v>0.64338192898062518</v>
      </c>
      <c r="GJ256"/>
      <c r="GK256">
        <v>1.5018393382352939</v>
      </c>
      <c r="GL256">
        <v>1.9385385569852942</v>
      </c>
      <c r="GM256">
        <v>1.5353462357954544</v>
      </c>
      <c r="GN256">
        <v>1.3862197849025972</v>
      </c>
      <c r="GO256">
        <v>0.35994776785714283</v>
      </c>
      <c r="GP256">
        <v>7.2374999999999995E-2</v>
      </c>
      <c r="GQ256">
        <v>0.80556521739130427</v>
      </c>
      <c r="GR256">
        <v>0.87592980072463755</v>
      </c>
      <c r="GS256">
        <v>0.11895232371794871</v>
      </c>
      <c r="GT256">
        <v>0.8643301765994289</v>
      </c>
      <c r="GU256"/>
      <c r="GV256"/>
      <c r="GW256"/>
      <c r="GX256"/>
      <c r="GY256"/>
      <c r="GZ256"/>
      <c r="HA256"/>
      <c r="HB256"/>
      <c r="HC256"/>
    </row>
    <row r="257" spans="1:211" s="7" customFormat="1">
      <c r="A257" s="1"/>
      <c r="B257">
        <v>0.64038376144802478</v>
      </c>
      <c r="C257">
        <v>3</v>
      </c>
      <c r="D257">
        <v>39714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 s="2"/>
      <c r="AK257" s="81"/>
      <c r="AL257" s="81"/>
      <c r="AM257" s="43">
        <v>241</v>
      </c>
      <c r="AN257">
        <v>68.319766687797355</v>
      </c>
      <c r="AO257">
        <v>1.5742809763263164</v>
      </c>
      <c r="AP257">
        <v>1.8093729691222942</v>
      </c>
      <c r="AQ257">
        <v>10.149340483628832</v>
      </c>
      <c r="AR257">
        <v>1.4587281712232247</v>
      </c>
      <c r="AS257">
        <v>5.7307741851229075</v>
      </c>
      <c r="AT257">
        <v>1.0986623621837497</v>
      </c>
      <c r="AU257">
        <v>0.22344687180117662</v>
      </c>
      <c r="AV257"/>
      <c r="AW257"/>
      <c r="FY257" s="211">
        <v>252</v>
      </c>
      <c r="FZ257">
        <v>2.0426268193683668</v>
      </c>
      <c r="GA257">
        <v>2.651556465732535</v>
      </c>
      <c r="GB257">
        <v>1.4498518071178652</v>
      </c>
      <c r="GC257">
        <v>0.76849516666697593</v>
      </c>
      <c r="GD257">
        <v>0.14252365132001354</v>
      </c>
      <c r="GE257">
        <v>0.17434885128142502</v>
      </c>
      <c r="GF257">
        <v>0.9090953625792253</v>
      </c>
      <c r="GG257">
        <v>0.71770870692793864</v>
      </c>
      <c r="GH257">
        <v>6.8957207506271032E-2</v>
      </c>
      <c r="GI257">
        <v>0.91215768176809131</v>
      </c>
      <c r="GJ257"/>
      <c r="GK257">
        <v>2.0357193014705879</v>
      </c>
      <c r="GL257">
        <v>2.2333560202205884</v>
      </c>
      <c r="GM257">
        <v>2.380516690340909</v>
      </c>
      <c r="GN257">
        <v>2.2564348823051947</v>
      </c>
      <c r="GO257">
        <v>0.54244553571428566</v>
      </c>
      <c r="GP257">
        <v>0.32751562500000003</v>
      </c>
      <c r="GQ257">
        <v>1.0963777173913045</v>
      </c>
      <c r="GR257">
        <v>0.99869021739130437</v>
      </c>
      <c r="GS257">
        <v>7.2881610576923078E-2</v>
      </c>
      <c r="GT257">
        <v>1.2255881710988021</v>
      </c>
      <c r="GU257"/>
      <c r="GV257"/>
      <c r="GW257"/>
      <c r="GX257"/>
      <c r="GY257"/>
      <c r="GZ257"/>
      <c r="HA257"/>
      <c r="HB257"/>
      <c r="HC257"/>
    </row>
    <row r="258" spans="1:211" s="7" customFormat="1">
      <c r="A258" s="1"/>
      <c r="B258">
        <v>0.51972399293583238</v>
      </c>
      <c r="C258">
        <v>1</v>
      </c>
      <c r="D258">
        <v>39747</v>
      </c>
      <c r="E258">
        <v>0</v>
      </c>
      <c r="F258">
        <v>86.805555555555557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 s="2"/>
      <c r="AK258" s="81"/>
      <c r="AL258" s="81"/>
      <c r="AM258" s="43">
        <v>242</v>
      </c>
      <c r="AN258">
        <v>43.221429057734206</v>
      </c>
      <c r="AO258">
        <v>1.152212178615196</v>
      </c>
      <c r="AP258">
        <v>2.3053013317527666</v>
      </c>
      <c r="AQ258">
        <v>7.8809654398685325</v>
      </c>
      <c r="AR258">
        <v>1.0583320941956327</v>
      </c>
      <c r="AS258">
        <v>3.5510428643083314</v>
      </c>
      <c r="AT258" t="e">
        <v>#DIV/0!</v>
      </c>
      <c r="AU258" t="e">
        <v>#DIV/0!</v>
      </c>
      <c r="AV258"/>
      <c r="AW258"/>
      <c r="FY258" s="211">
        <v>253</v>
      </c>
      <c r="FZ258">
        <v>1.4218939391748835</v>
      </c>
      <c r="GA258">
        <v>1.6694133536210565</v>
      </c>
      <c r="GB258">
        <v>0.70214598702537168</v>
      </c>
      <c r="GC258">
        <v>0.38145685527569323</v>
      </c>
      <c r="GD258">
        <v>0.13256978595342425</v>
      </c>
      <c r="GE258">
        <v>0.14833383665557504</v>
      </c>
      <c r="GF258">
        <v>1.0428119533082629</v>
      </c>
      <c r="GG258">
        <v>0.8686264624209391</v>
      </c>
      <c r="GH258">
        <v>0</v>
      </c>
      <c r="GI258">
        <v>0.64490264436350886</v>
      </c>
      <c r="GJ258"/>
      <c r="GK258">
        <v>1.417061213235294</v>
      </c>
      <c r="GL258">
        <v>1.4060924632352938</v>
      </c>
      <c r="GM258">
        <v>1.1529517045454543</v>
      </c>
      <c r="GN258">
        <v>1.120086972402597</v>
      </c>
      <c r="GO258">
        <v>0.50474464285714282</v>
      </c>
      <c r="GP258">
        <v>0.27867187500000001</v>
      </c>
      <c r="GQ258">
        <v>1.2571915760869565</v>
      </c>
      <c r="GR258">
        <v>1.2083478260869565</v>
      </c>
      <c r="GS258">
        <v>0</v>
      </c>
      <c r="GT258">
        <v>0.8663898273449695</v>
      </c>
      <c r="GU258"/>
      <c r="GV258"/>
      <c r="GW258"/>
      <c r="GX258"/>
      <c r="GY258"/>
      <c r="GZ258"/>
      <c r="HA258"/>
      <c r="HB258"/>
      <c r="HC258"/>
    </row>
    <row r="259" spans="1:211" s="7" customFormat="1">
      <c r="A259" s="90"/>
      <c r="B259">
        <v>0.41271111399663418</v>
      </c>
      <c r="C259">
        <v>7</v>
      </c>
      <c r="D259">
        <v>39747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 s="2"/>
      <c r="AK259" s="81"/>
      <c r="AL259" s="81"/>
      <c r="AM259" s="43">
        <v>243</v>
      </c>
      <c r="AN259">
        <v>29.260852845411666</v>
      </c>
      <c r="AO259">
        <v>0.69021846301982337</v>
      </c>
      <c r="AP259">
        <v>0.90662367122449583</v>
      </c>
      <c r="AQ259">
        <v>4.9377335933043653</v>
      </c>
      <c r="AR259">
        <v>0.65724351096207712</v>
      </c>
      <c r="AS259">
        <v>2.4178783848599572</v>
      </c>
      <c r="AT259" t="e">
        <v>#DIV/0!</v>
      </c>
      <c r="AU259" t="e">
        <v>#DIV/0!</v>
      </c>
      <c r="AV259"/>
      <c r="AW259"/>
      <c r="FY259" s="211">
        <v>254</v>
      </c>
      <c r="FZ259">
        <v>1.0658510593684116</v>
      </c>
      <c r="GA259">
        <v>1.8919695397721215</v>
      </c>
      <c r="GB259">
        <v>0.48865974154353986</v>
      </c>
      <c r="GC259">
        <v>0.12487080741806875</v>
      </c>
      <c r="GD259">
        <v>0.12020795609260179</v>
      </c>
      <c r="GE259">
        <v>0.15502337532990002</v>
      </c>
      <c r="GF259">
        <v>0.52010488888686557</v>
      </c>
      <c r="GG259">
        <v>0.51703701281821868</v>
      </c>
      <c r="GH259">
        <v>0.17901737842465987</v>
      </c>
      <c r="GI259">
        <v>0.46730338658490317</v>
      </c>
      <c r="GJ259"/>
      <c r="GK259">
        <v>1.0622174632352939</v>
      </c>
      <c r="GL259">
        <v>1.5934752757352939</v>
      </c>
      <c r="GM259">
        <v>0.8015703125000001</v>
      </c>
      <c r="GN259">
        <v>0.36590401785714288</v>
      </c>
      <c r="GO259">
        <v>0.45765401785714288</v>
      </c>
      <c r="GP259">
        <v>0.291375</v>
      </c>
      <c r="GQ259">
        <v>0.62821874999999994</v>
      </c>
      <c r="GR259">
        <v>0.72010416666666655</v>
      </c>
      <c r="GS259">
        <v>0.18931690705128204</v>
      </c>
      <c r="GT259">
        <v>0.62779549012874369</v>
      </c>
      <c r="GU259"/>
      <c r="GV259"/>
      <c r="GW259"/>
      <c r="GX259"/>
      <c r="GY259"/>
      <c r="GZ259"/>
      <c r="HA259"/>
      <c r="HB259"/>
      <c r="HC259"/>
    </row>
    <row r="260" spans="1:211" s="7" customFormat="1">
      <c r="A260" s="77" t="s">
        <v>61</v>
      </c>
      <c r="B260">
        <v>0.75060293806532852</v>
      </c>
      <c r="C260">
        <v>4</v>
      </c>
      <c r="D260">
        <v>39747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 s="2"/>
      <c r="AK260" s="81"/>
      <c r="AL260" s="81"/>
      <c r="AM260" s="43">
        <v>244</v>
      </c>
      <c r="AN260">
        <v>45.56279355132056</v>
      </c>
      <c r="AO260">
        <v>1.0430847058868906</v>
      </c>
      <c r="AP260">
        <v>6.3684682864465119</v>
      </c>
      <c r="AQ260">
        <v>8.7840434081378049</v>
      </c>
      <c r="AR260">
        <v>0.99393326627829215</v>
      </c>
      <c r="AS260">
        <v>3.542183989962445</v>
      </c>
      <c r="AT260" t="e">
        <v>#DIV/0!</v>
      </c>
      <c r="AU260" t="e">
        <v>#DIV/0!</v>
      </c>
      <c r="AV260"/>
      <c r="AW260"/>
      <c r="FY260" s="211">
        <v>255</v>
      </c>
      <c r="FZ260">
        <v>1.1548460565969245</v>
      </c>
      <c r="GA260">
        <v>1.905935762558278</v>
      </c>
      <c r="GB260">
        <v>0.86182045423855302</v>
      </c>
      <c r="GC260">
        <v>0.765675380206292</v>
      </c>
      <c r="GD260">
        <v>0.38628707580827676</v>
      </c>
      <c r="GE260">
        <v>0.10310120352945001</v>
      </c>
      <c r="GF260">
        <v>0.5344786465355188</v>
      </c>
      <c r="GG260">
        <v>0.47874846122576609</v>
      </c>
      <c r="GH260">
        <v>0.11249442504775362</v>
      </c>
      <c r="GI260">
        <v>0.71441167450316501</v>
      </c>
      <c r="GJ260"/>
      <c r="GK260">
        <v>1.1507455882352939</v>
      </c>
      <c r="GL260">
        <v>1.6051049632352941</v>
      </c>
      <c r="GM260">
        <v>1.4147642045454543</v>
      </c>
      <c r="GN260">
        <v>2.2447463474025975</v>
      </c>
      <c r="GO260">
        <v>1.4689352678571428</v>
      </c>
      <c r="GP260">
        <v>0.19359375000000001</v>
      </c>
      <c r="GQ260">
        <v>0.64475135869565214</v>
      </c>
      <c r="GR260">
        <v>0.66627219202898535</v>
      </c>
      <c r="GS260">
        <v>0.11895232371794871</v>
      </c>
      <c r="GT260">
        <v>0.95962974861029837</v>
      </c>
      <c r="GU260"/>
      <c r="GV260"/>
      <c r="GW260"/>
      <c r="GX260"/>
      <c r="GY260"/>
      <c r="GZ260"/>
      <c r="HA260"/>
      <c r="HB260"/>
      <c r="HC260"/>
    </row>
    <row r="261" spans="1:211" s="7" customFormat="1">
      <c r="A261" s="77" t="s">
        <v>62</v>
      </c>
      <c r="B261">
        <v>0.40511692107548303</v>
      </c>
      <c r="C261">
        <v>3</v>
      </c>
      <c r="D261">
        <v>39747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 s="2"/>
      <c r="AK261" s="81"/>
      <c r="AL261" s="81"/>
      <c r="AM261" s="43">
        <v>245</v>
      </c>
      <c r="AN261">
        <v>34.879957137769637</v>
      </c>
      <c r="AO261">
        <v>0.90544740355998177</v>
      </c>
      <c r="AP261">
        <v>2.0464931096201067</v>
      </c>
      <c r="AQ261">
        <v>6.0160804827136705</v>
      </c>
      <c r="AR261">
        <v>0.84345333234473852</v>
      </c>
      <c r="AS261">
        <v>2.8445286488847716</v>
      </c>
      <c r="AT261" t="e">
        <v>#DIV/0!</v>
      </c>
      <c r="AU261" t="e">
        <v>#DIV/0!</v>
      </c>
      <c r="AV261"/>
      <c r="AW261"/>
      <c r="FY261" s="211">
        <v>256</v>
      </c>
      <c r="FZ261">
        <v>0.65220267085631156</v>
      </c>
      <c r="GA261">
        <v>1.1054573143876789</v>
      </c>
      <c r="GB261">
        <v>0.49056643336654338</v>
      </c>
      <c r="GC261">
        <v>0.23779589015751063</v>
      </c>
      <c r="GD261">
        <v>0.11738040714008678</v>
      </c>
      <c r="GE261">
        <v>8.1904075710074992E-2</v>
      </c>
      <c r="GF261">
        <v>0</v>
      </c>
      <c r="GG261">
        <v>0</v>
      </c>
      <c r="GH261">
        <v>0</v>
      </c>
      <c r="GI261">
        <v>0.28309004394434334</v>
      </c>
      <c r="GJ261"/>
      <c r="GK261">
        <v>0.64979062499999996</v>
      </c>
      <c r="GL261">
        <v>0.93077109375000011</v>
      </c>
      <c r="GM261">
        <v>0.80476953125000006</v>
      </c>
      <c r="GN261">
        <v>0.69722120535714294</v>
      </c>
      <c r="GO261">
        <v>0.44676026785714285</v>
      </c>
      <c r="GP261">
        <v>0.153796875</v>
      </c>
      <c r="GQ261">
        <v>0</v>
      </c>
      <c r="GR261">
        <v>0</v>
      </c>
      <c r="GS261">
        <v>0</v>
      </c>
      <c r="GT261">
        <v>0.38026408482142859</v>
      </c>
      <c r="GU261"/>
      <c r="GV261"/>
      <c r="GW261"/>
      <c r="GX261"/>
      <c r="GY261"/>
      <c r="GZ261"/>
      <c r="HA261"/>
      <c r="HB261"/>
      <c r="HC261"/>
    </row>
    <row r="262" spans="1:211" s="7" customFormat="1" ht="12.75" customHeight="1">
      <c r="A262" s="77"/>
      <c r="B262">
        <v>0.30364079595998139</v>
      </c>
      <c r="C262">
        <v>2</v>
      </c>
      <c r="D262">
        <v>39747</v>
      </c>
      <c r="E262">
        <v>0</v>
      </c>
      <c r="F262">
        <v>91.145833333333329</v>
      </c>
      <c r="G262">
        <v>91.145833333333329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 s="2"/>
      <c r="AK262" s="81"/>
      <c r="AL262" s="81"/>
      <c r="AM262" s="43">
        <v>246</v>
      </c>
      <c r="AN262">
        <v>25.626655833273475</v>
      </c>
      <c r="AO262">
        <v>0.61360106386015933</v>
      </c>
      <c r="AP262">
        <v>0.98388215814056001</v>
      </c>
      <c r="AQ262">
        <v>5.3308879915325891</v>
      </c>
      <c r="AR262">
        <v>0.59845780718056452</v>
      </c>
      <c r="AS262">
        <v>2.0285842557335618</v>
      </c>
      <c r="AT262" t="e">
        <v>#DIV/0!</v>
      </c>
      <c r="AU262" t="e">
        <v>#DIV/0!</v>
      </c>
      <c r="AV262"/>
      <c r="AW262"/>
      <c r="FY262" s="211">
        <v>257</v>
      </c>
      <c r="FZ262">
        <v>1.768866479822087</v>
      </c>
      <c r="GA262">
        <v>2.1283335878206429</v>
      </c>
      <c r="GB262">
        <v>0.35290616944298203</v>
      </c>
      <c r="GC262">
        <v>0.12183008082348998</v>
      </c>
      <c r="GD262">
        <v>0.10267071491418427</v>
      </c>
      <c r="GE262">
        <v>0.15025941724904995</v>
      </c>
      <c r="GF262">
        <v>0.41513581345513451</v>
      </c>
      <c r="GG262">
        <v>0.39070597101659427</v>
      </c>
      <c r="GH262">
        <v>0.15603164258923619</v>
      </c>
      <c r="GI262">
        <v>0.50588916424993102</v>
      </c>
      <c r="GJ262"/>
      <c r="GK262">
        <v>1.762745588235294</v>
      </c>
      <c r="GL262">
        <v>1.7924877757352942</v>
      </c>
      <c r="GM262">
        <v>0.57896093749999999</v>
      </c>
      <c r="GN262">
        <v>0.35681964285714285</v>
      </c>
      <c r="GO262">
        <v>0.39063214285714282</v>
      </c>
      <c r="GP262">
        <v>0.28228124999999998</v>
      </c>
      <c r="GQ262">
        <v>0.50047010869565223</v>
      </c>
      <c r="GR262">
        <v>0.54351177536231876</v>
      </c>
      <c r="GS262">
        <v>0.16502303685897435</v>
      </c>
      <c r="GT262">
        <v>0.67956636282941252</v>
      </c>
      <c r="GU262"/>
      <c r="GV262"/>
      <c r="GW262"/>
      <c r="GX262"/>
      <c r="GY262"/>
      <c r="GZ262"/>
      <c r="HA262"/>
      <c r="HB262"/>
      <c r="HC262"/>
    </row>
    <row r="263" spans="1:211" s="7" customFormat="1">
      <c r="A263" s="77"/>
      <c r="B263">
        <v>0.98764454952940817</v>
      </c>
      <c r="C263">
        <v>1</v>
      </c>
      <c r="D263">
        <v>39747</v>
      </c>
      <c r="E263">
        <v>0</v>
      </c>
      <c r="F263">
        <v>86.805555555555557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 s="2"/>
      <c r="AK263" s="81"/>
      <c r="AL263" s="81"/>
      <c r="AM263" s="43">
        <v>247</v>
      </c>
      <c r="AN263">
        <v>34.291915879599699</v>
      </c>
      <c r="AO263">
        <v>0.88817610484674636</v>
      </c>
      <c r="AP263">
        <v>6.9128395753170384</v>
      </c>
      <c r="AQ263">
        <v>7.0324923298952076</v>
      </c>
      <c r="AR263">
        <v>0.81326351533270613</v>
      </c>
      <c r="AS263">
        <v>2.8413913950804695</v>
      </c>
      <c r="AT263" t="e">
        <v>#DIV/0!</v>
      </c>
      <c r="AU263" t="e">
        <v>#DIV/0!</v>
      </c>
      <c r="AV263"/>
      <c r="AW263"/>
      <c r="FY263" s="211">
        <v>258</v>
      </c>
      <c r="FZ263">
        <v>0.58315152955294414</v>
      </c>
      <c r="GA263">
        <v>1.003814701500104</v>
      </c>
      <c r="GB263">
        <v>0.81874833990751394</v>
      </c>
      <c r="GC263">
        <v>0.36282812801107323</v>
      </c>
      <c r="GD263">
        <v>8.1742433912774984E-2</v>
      </c>
      <c r="GE263">
        <v>0.11460862901025</v>
      </c>
      <c r="GF263">
        <v>0.86857626516779707</v>
      </c>
      <c r="GG263">
        <v>0.76829061536607923</v>
      </c>
      <c r="GH263">
        <v>0.11249442504775362</v>
      </c>
      <c r="GI263">
        <v>0.5066388088732714</v>
      </c>
      <c r="GJ263"/>
      <c r="GK263">
        <v>0.58109062499999997</v>
      </c>
      <c r="GL263">
        <v>0.84537187499999988</v>
      </c>
      <c r="GM263">
        <v>1.3442173295454545</v>
      </c>
      <c r="GN263">
        <v>1.0654048295454543</v>
      </c>
      <c r="GO263">
        <v>0.31134374999999992</v>
      </c>
      <c r="GP263">
        <v>0.21534374999999997</v>
      </c>
      <c r="GQ263">
        <v>1.0475339673913044</v>
      </c>
      <c r="GR263">
        <v>1.0690548007246377</v>
      </c>
      <c r="GS263">
        <v>0.11895232371794871</v>
      </c>
      <c r="GT263">
        <v>0.6806275991309414</v>
      </c>
      <c r="GU263"/>
      <c r="GV263"/>
      <c r="GW263"/>
      <c r="GX263"/>
      <c r="GY263"/>
      <c r="GZ263"/>
      <c r="HA263"/>
      <c r="HB263"/>
      <c r="HC263"/>
    </row>
    <row r="264" spans="1:211" s="7" customFormat="1">
      <c r="A264" s="77"/>
      <c r="B264">
        <v>0.28643694526736185</v>
      </c>
      <c r="C264">
        <v>7</v>
      </c>
      <c r="D264">
        <v>39747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 s="2"/>
      <c r="AK264" s="81"/>
      <c r="AL264" s="81"/>
      <c r="AM264" s="43">
        <v>248</v>
      </c>
      <c r="AN264">
        <v>59.880583893023939</v>
      </c>
      <c r="AO264">
        <v>1.5778278971992015</v>
      </c>
      <c r="AP264">
        <v>1.985774882107801</v>
      </c>
      <c r="AQ264">
        <v>11.84634212981164</v>
      </c>
      <c r="AR264">
        <v>1.4605390193069661</v>
      </c>
      <c r="AS264">
        <v>5.2664962209590689</v>
      </c>
      <c r="AT264">
        <v>0.96937768529080148</v>
      </c>
      <c r="AU264">
        <v>0.11116212989129837</v>
      </c>
      <c r="AV264"/>
      <c r="AW264"/>
      <c r="FY264" s="211">
        <v>259</v>
      </c>
      <c r="FZ264">
        <v>0.87202674780260059</v>
      </c>
      <c r="GA264">
        <v>0.98083036604055052</v>
      </c>
      <c r="GB264">
        <v>1.2675454009909908</v>
      </c>
      <c r="GC264">
        <v>0.86365199268410908</v>
      </c>
      <c r="GD264">
        <v>0.24346644830067857</v>
      </c>
      <c r="GE264">
        <v>8.377572757792498E-2</v>
      </c>
      <c r="GF264">
        <v>0.82805716775636906</v>
      </c>
      <c r="GG264">
        <v>0.71770870692793864</v>
      </c>
      <c r="GH264">
        <v>2.2985735835423678E-2</v>
      </c>
      <c r="GI264">
        <v>0.72932662567811191</v>
      </c>
      <c r="GJ264"/>
      <c r="GK264">
        <v>0.86893124999999993</v>
      </c>
      <c r="GL264">
        <v>0.82567734375000001</v>
      </c>
      <c r="GM264">
        <v>2.0810713778409089</v>
      </c>
      <c r="GN264">
        <v>2.5341801948051943</v>
      </c>
      <c r="GO264">
        <v>0.92590178571428583</v>
      </c>
      <c r="GP264">
        <v>0.15745312499999997</v>
      </c>
      <c r="GQ264">
        <v>0.99869021739130437</v>
      </c>
      <c r="GR264">
        <v>0.99869021739130437</v>
      </c>
      <c r="GS264">
        <v>2.4293870192307693E-2</v>
      </c>
      <c r="GT264">
        <v>0.97977770022776123</v>
      </c>
      <c r="GU264"/>
      <c r="GV264"/>
      <c r="GW264"/>
      <c r="GX264"/>
      <c r="GY264"/>
      <c r="GZ264"/>
      <c r="HA264"/>
      <c r="HB264"/>
      <c r="HC264"/>
    </row>
    <row r="265" spans="1:211" s="7" customFormat="1">
      <c r="A265" s="77"/>
      <c r="B265">
        <v>0.30264325085029253</v>
      </c>
      <c r="C265">
        <v>3</v>
      </c>
      <c r="D265">
        <v>39747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 s="2"/>
      <c r="AK265" s="81"/>
      <c r="AL265" s="81"/>
      <c r="AM265" s="43">
        <v>249</v>
      </c>
      <c r="AN265">
        <v>32.753696633567948</v>
      </c>
      <c r="AO265">
        <v>0.67192411154317477</v>
      </c>
      <c r="AP265">
        <v>0.99483503115991134</v>
      </c>
      <c r="AQ265">
        <v>4.7989890107065332</v>
      </c>
      <c r="AR265">
        <v>0.63478158960218689</v>
      </c>
      <c r="AS265">
        <v>2.7900718577889538</v>
      </c>
      <c r="AT265" t="e">
        <v>#DIV/0!</v>
      </c>
      <c r="AU265" t="e">
        <v>#DIV/0!</v>
      </c>
      <c r="AV265"/>
      <c r="AW265"/>
      <c r="FY265" s="211">
        <v>260</v>
      </c>
      <c r="FZ265">
        <v>0.46324748758224094</v>
      </c>
      <c r="GA265">
        <v>0.86520206463574068</v>
      </c>
      <c r="GB265">
        <v>0.38747408343899059</v>
      </c>
      <c r="GC265">
        <v>0.18117887740129063</v>
      </c>
      <c r="GD265">
        <v>7.7881154566901784E-2</v>
      </c>
      <c r="GE265">
        <v>5.0050519932599999E-2</v>
      </c>
      <c r="GF265">
        <v>0.31972386098362504</v>
      </c>
      <c r="GG265">
        <v>0.27724879729462504</v>
      </c>
      <c r="GH265">
        <v>4.5971471670847357E-2</v>
      </c>
      <c r="GI265">
        <v>0.27224477057909718</v>
      </c>
      <c r="GJ265"/>
      <c r="GK265">
        <v>0.46155937499999999</v>
      </c>
      <c r="GL265">
        <v>0.72853593750000001</v>
      </c>
      <c r="GM265">
        <v>0.63568749999999996</v>
      </c>
      <c r="GN265">
        <v>0.53133370535714275</v>
      </c>
      <c r="GO265">
        <v>0.29659151785714277</v>
      </c>
      <c r="GP265">
        <v>9.4124999999999986E-2</v>
      </c>
      <c r="GQ265">
        <v>0.38624999999999998</v>
      </c>
      <c r="GR265">
        <v>0.38624999999999998</v>
      </c>
      <c r="GS265">
        <v>4.8587740384615385E-2</v>
      </c>
      <c r="GT265">
        <v>0.36573522664835156</v>
      </c>
      <c r="GU265"/>
      <c r="GV265"/>
      <c r="GW265"/>
      <c r="GX265"/>
      <c r="GY265"/>
      <c r="GZ265"/>
      <c r="HA265"/>
      <c r="HB265"/>
      <c r="HC265"/>
    </row>
    <row r="266" spans="1:211" s="7" customFormat="1">
      <c r="A266" s="1"/>
      <c r="B266">
        <v>0.77377600073513797</v>
      </c>
      <c r="C266">
        <v>10</v>
      </c>
      <c r="D266">
        <v>39747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 s="2"/>
      <c r="AK266" s="81"/>
      <c r="AL266" s="81"/>
      <c r="AM266" s="43">
        <v>250</v>
      </c>
      <c r="AN266">
        <v>40.459790043154015</v>
      </c>
      <c r="AO266">
        <v>0.91413553495003763</v>
      </c>
      <c r="AP266">
        <v>1.6791733932833286</v>
      </c>
      <c r="AQ266">
        <v>7.5047739302679863</v>
      </c>
      <c r="AR266">
        <v>0.86946242906297122</v>
      </c>
      <c r="AS266">
        <v>3.1193684587243244</v>
      </c>
      <c r="AT266" t="e">
        <v>#DIV/0!</v>
      </c>
      <c r="AU266" t="e">
        <v>#DIV/0!</v>
      </c>
      <c r="AV266"/>
      <c r="AW266"/>
      <c r="FY266" s="211">
        <v>261</v>
      </c>
      <c r="FZ266">
        <v>0.934993198491888</v>
      </c>
      <c r="GA266">
        <v>1.5388039266963203</v>
      </c>
      <c r="GB266">
        <v>0.78264899942362365</v>
      </c>
      <c r="GC266">
        <v>1.1266588016057422</v>
      </c>
      <c r="GD266">
        <v>0.717016208200425</v>
      </c>
      <c r="GE266">
        <v>0.18387676744312501</v>
      </c>
      <c r="GF266">
        <v>0.81368341010771561</v>
      </c>
      <c r="GG266">
        <v>0.75599725852039101</v>
      </c>
      <c r="GH266">
        <v>8.9508689212329934E-2</v>
      </c>
      <c r="GI266">
        <v>0.89640448599945055</v>
      </c>
      <c r="GJ266"/>
      <c r="GK266">
        <v>0.93182996323529399</v>
      </c>
      <c r="GL266">
        <v>1.296154181985294</v>
      </c>
      <c r="GM266">
        <v>1.2848852982954544</v>
      </c>
      <c r="GN266">
        <v>3.3015767045454538</v>
      </c>
      <c r="GO266">
        <v>2.7267187499999999</v>
      </c>
      <c r="GP266">
        <v>0.345703125</v>
      </c>
      <c r="GQ266">
        <v>0.98215760869565205</v>
      </c>
      <c r="GR266">
        <v>1.0525221920289853</v>
      </c>
      <c r="GS266">
        <v>9.465845352564102E-2</v>
      </c>
      <c r="GT266">
        <v>1.2040500147504081</v>
      </c>
      <c r="GU266"/>
      <c r="GV266"/>
      <c r="GW266"/>
      <c r="GX266"/>
      <c r="GY266"/>
      <c r="GZ266"/>
      <c r="HA266"/>
      <c r="HB266"/>
      <c r="HC266"/>
    </row>
    <row r="267" spans="1:211" s="7" customFormat="1">
      <c r="A267" s="1"/>
      <c r="B267">
        <v>0.65969443231348701</v>
      </c>
      <c r="C267">
        <v>8</v>
      </c>
      <c r="D267">
        <v>39747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 s="2"/>
      <c r="AK267" s="81"/>
      <c r="AL267" s="81"/>
      <c r="AM267" s="43">
        <v>251</v>
      </c>
      <c r="AN267">
        <v>41.427466673914076</v>
      </c>
      <c r="AO267">
        <v>0.94590442022091015</v>
      </c>
      <c r="AP267">
        <v>23.620676240272751</v>
      </c>
      <c r="AQ267">
        <v>7.4033430870209296</v>
      </c>
      <c r="AR267">
        <v>0.8643301765994289</v>
      </c>
      <c r="AS267">
        <v>3.2258456895790495</v>
      </c>
      <c r="AT267" t="e">
        <v>#DIV/0!</v>
      </c>
      <c r="AU267" t="e">
        <v>#DIV/0!</v>
      </c>
      <c r="AV267"/>
      <c r="AW267"/>
      <c r="FY267" s="211">
        <v>262</v>
      </c>
      <c r="FZ267">
        <v>1.859184210876514</v>
      </c>
      <c r="GA267">
        <v>1.9831196199841419</v>
      </c>
      <c r="GB267">
        <v>1.6243149977498141</v>
      </c>
      <c r="GC267">
        <v>0.99554022342364479</v>
      </c>
      <c r="GD267">
        <v>0.14486305709224284</v>
      </c>
      <c r="GE267">
        <v>0.15315172346204997</v>
      </c>
      <c r="GF267">
        <v>0.20038102790324064</v>
      </c>
      <c r="GG267">
        <v>0.13862439864731252</v>
      </c>
      <c r="GH267">
        <v>0</v>
      </c>
      <c r="GI267">
        <v>0.79076937830814131</v>
      </c>
      <c r="GJ267"/>
      <c r="GK267">
        <v>1.8528411764705879</v>
      </c>
      <c r="GL267">
        <v>1.6703216452205878</v>
      </c>
      <c r="GM267">
        <v>2.6674449573863632</v>
      </c>
      <c r="GN267">
        <v>2.923223417207792</v>
      </c>
      <c r="GO267">
        <v>0.55119642857142859</v>
      </c>
      <c r="GP267">
        <v>0.28771875000000002</v>
      </c>
      <c r="GQ267">
        <v>0.24196875000000001</v>
      </c>
      <c r="GR267">
        <v>0.19312499999999999</v>
      </c>
      <c r="GS267">
        <v>0</v>
      </c>
      <c r="GT267">
        <v>1.062690262485676</v>
      </c>
      <c r="GU267"/>
      <c r="GV267"/>
      <c r="GW267"/>
      <c r="GX267"/>
      <c r="GY267"/>
      <c r="GZ267"/>
      <c r="HA267"/>
      <c r="HB267"/>
      <c r="HC267"/>
    </row>
    <row r="268" spans="1:211" s="7" customFormat="1">
      <c r="A268" s="1"/>
      <c r="B268">
        <v>0.36129706345065538</v>
      </c>
      <c r="C268">
        <v>4</v>
      </c>
      <c r="D268">
        <v>39775</v>
      </c>
      <c r="E268">
        <v>10.416666666666666</v>
      </c>
      <c r="F268">
        <v>10.416666666666666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 s="2"/>
      <c r="AK268" s="81"/>
      <c r="AL268" s="81"/>
      <c r="AM268" s="43">
        <v>252</v>
      </c>
      <c r="AN268">
        <v>52.611627923884157</v>
      </c>
      <c r="AO268">
        <v>1.3169525771509902</v>
      </c>
      <c r="AP268">
        <v>1.9265502584260887</v>
      </c>
      <c r="AQ268">
        <v>9.837321720268708</v>
      </c>
      <c r="AR268">
        <v>1.2255881710988019</v>
      </c>
      <c r="AS268">
        <v>4.1395267441300501</v>
      </c>
      <c r="AT268" t="e">
        <v>#DIV/0!</v>
      </c>
      <c r="AU268" t="e">
        <v>#DIV/0!</v>
      </c>
      <c r="AV268"/>
      <c r="AW268"/>
      <c r="FY268" s="211">
        <v>263</v>
      </c>
      <c r="FZ268">
        <v>0.56131282397002225</v>
      </c>
      <c r="GA268">
        <v>1.138714841627519</v>
      </c>
      <c r="GB268">
        <v>0.28961731929274809</v>
      </c>
      <c r="GC268">
        <v>9.8534286674213739E-2</v>
      </c>
      <c r="GD268">
        <v>7.7460241060436766E-2</v>
      </c>
      <c r="GE268">
        <v>4.3360981258274998E-2</v>
      </c>
      <c r="GF268">
        <v>0.49395954912409079</v>
      </c>
      <c r="GG268">
        <v>0.47874846122576609</v>
      </c>
      <c r="GH268">
        <v>8.9508689212329934E-2</v>
      </c>
      <c r="GI268">
        <v>0.30073058922071427</v>
      </c>
      <c r="GJ268"/>
      <c r="GK268">
        <v>0.55924687499999992</v>
      </c>
      <c r="GL268">
        <v>0.95879765624999991</v>
      </c>
      <c r="GM268">
        <v>0.47494140625000003</v>
      </c>
      <c r="GN268">
        <v>0.28866651785714281</v>
      </c>
      <c r="GO268">
        <v>0.2946977678571428</v>
      </c>
      <c r="GP268">
        <v>8.1421875000000005E-2</v>
      </c>
      <c r="GQ268">
        <v>0.59590760869565207</v>
      </c>
      <c r="GR268">
        <v>0.66627219202898535</v>
      </c>
      <c r="GS268">
        <v>9.465845352564102E-2</v>
      </c>
      <c r="GT268">
        <v>0.40389042226568717</v>
      </c>
      <c r="GU268"/>
      <c r="GV268"/>
      <c r="GW268"/>
      <c r="GX268"/>
      <c r="GY268"/>
      <c r="GZ268"/>
      <c r="HA268"/>
      <c r="HB268"/>
      <c r="HC268"/>
    </row>
    <row r="269" spans="1:211" s="7" customFormat="1">
      <c r="A269" s="1"/>
      <c r="B269">
        <v>0.60198194276110173</v>
      </c>
      <c r="C269">
        <v>3</v>
      </c>
      <c r="D269">
        <v>39775</v>
      </c>
      <c r="E269">
        <v>52.083333333333336</v>
      </c>
      <c r="F269">
        <v>625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 s="2"/>
      <c r="AK269" s="81"/>
      <c r="AL269" s="81"/>
      <c r="AM269" s="43">
        <v>253</v>
      </c>
      <c r="AN269">
        <v>39.50001192505988</v>
      </c>
      <c r="AO269">
        <v>0.9211538100794664</v>
      </c>
      <c r="AP269">
        <v>0.70456429691528966</v>
      </c>
      <c r="AQ269">
        <v>7.0121548177987147</v>
      </c>
      <c r="AR269">
        <v>0.86638982734496961</v>
      </c>
      <c r="AS269">
        <v>3.2496075528176585</v>
      </c>
      <c r="AT269" t="e">
        <v>#DIV/0!</v>
      </c>
      <c r="AU269" t="e">
        <v>#DIV/0!</v>
      </c>
      <c r="AV269"/>
      <c r="AW269"/>
      <c r="FY269" s="211">
        <v>264</v>
      </c>
      <c r="FZ269">
        <v>1.0749501796864278</v>
      </c>
      <c r="GA269">
        <v>1.6759727311443608</v>
      </c>
      <c r="GB269">
        <v>0.54058140728753901</v>
      </c>
      <c r="GC269">
        <v>0.59788359287713866</v>
      </c>
      <c r="GD269">
        <v>0.33212991084020993</v>
      </c>
      <c r="GE269">
        <v>3.5650788238799996E-2</v>
      </c>
      <c r="GF269">
        <v>0.37461671604370633</v>
      </c>
      <c r="GG269">
        <v>0.34012406257845362</v>
      </c>
      <c r="GH269">
        <v>6.6522953376906252E-2</v>
      </c>
      <c r="GI269">
        <v>0.55738536959741314</v>
      </c>
      <c r="GJ269"/>
      <c r="GK269">
        <v>1.071151838235294</v>
      </c>
      <c r="GL269">
        <v>1.411464338235294</v>
      </c>
      <c r="GM269">
        <v>0.88710937499999998</v>
      </c>
      <c r="GN269">
        <v>1.7517468749999998</v>
      </c>
      <c r="GO269">
        <v>1.2628874999999999</v>
      </c>
      <c r="GP269">
        <v>6.6937499999999997E-2</v>
      </c>
      <c r="GQ269">
        <v>0.45162635869565215</v>
      </c>
      <c r="GR269">
        <v>0.47314719202898542</v>
      </c>
      <c r="GS269">
        <v>7.0364583333333328E-2</v>
      </c>
      <c r="GT269">
        <v>0.74862793105285586</v>
      </c>
      <c r="GU269"/>
      <c r="GV269"/>
      <c r="GW269"/>
      <c r="GX269"/>
      <c r="GY269"/>
      <c r="GZ269"/>
      <c r="HA269"/>
      <c r="HB269"/>
      <c r="HC269"/>
    </row>
    <row r="270" spans="1:211" s="7" customFormat="1">
      <c r="A270" s="1"/>
      <c r="B270">
        <v>0.93942223283162396</v>
      </c>
      <c r="C270">
        <v>9</v>
      </c>
      <c r="D270">
        <v>39775</v>
      </c>
      <c r="E270">
        <v>10.416666666666666</v>
      </c>
      <c r="F270">
        <v>10.416666666666666</v>
      </c>
      <c r="G270">
        <v>10.416666666666666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 s="2"/>
      <c r="AK270" s="81"/>
      <c r="AL270" s="81"/>
      <c r="AM270" s="43">
        <v>254</v>
      </c>
      <c r="AN270">
        <v>29.121153771337596</v>
      </c>
      <c r="AO270">
        <v>0.67376314010315663</v>
      </c>
      <c r="AP270">
        <v>0.43458030019882921</v>
      </c>
      <c r="AQ270">
        <v>5.5300451462392903</v>
      </c>
      <c r="AR270">
        <v>0.62779549012874369</v>
      </c>
      <c r="AS270">
        <v>2.2813177477506161</v>
      </c>
      <c r="AT270">
        <v>0.47706476066972647</v>
      </c>
      <c r="AU270">
        <v>-1.8272378261509237E-2</v>
      </c>
      <c r="AV270"/>
      <c r="AW270"/>
      <c r="FY270" s="211">
        <v>265</v>
      </c>
      <c r="FZ270">
        <v>1.1839004027513103</v>
      </c>
      <c r="GA270">
        <v>1.6758338359867393</v>
      </c>
      <c r="GB270">
        <v>0.88302384745334284</v>
      </c>
      <c r="GC270">
        <v>0.48268084174342757</v>
      </c>
      <c r="GD270">
        <v>0.12166202751679928</v>
      </c>
      <c r="GE270">
        <v>0.10310120352945001</v>
      </c>
      <c r="GF270">
        <v>0.70871433467598444</v>
      </c>
      <c r="GG270">
        <v>0.62966621671876666</v>
      </c>
      <c r="GH270">
        <v>8.9508689212329934E-2</v>
      </c>
      <c r="GI270">
        <v>0.60169490891141331</v>
      </c>
      <c r="GJ270"/>
      <c r="GK270">
        <v>1.1798268382352939</v>
      </c>
      <c r="GL270">
        <v>1.4115768382352938</v>
      </c>
      <c r="GM270">
        <v>1.4499282670454545</v>
      </c>
      <c r="GN270">
        <v>1.4169229099025973</v>
      </c>
      <c r="GO270">
        <v>0.4630258928571428</v>
      </c>
      <c r="GP270">
        <v>0.19359375000000001</v>
      </c>
      <c r="GQ270">
        <v>0.85440896739130423</v>
      </c>
      <c r="GR270">
        <v>0.87592980072463755</v>
      </c>
      <c r="GS270">
        <v>9.465845352564102E-2</v>
      </c>
      <c r="GT270">
        <v>0.8083696838109673</v>
      </c>
      <c r="GU270"/>
      <c r="GV270"/>
      <c r="GW270"/>
      <c r="GX270"/>
      <c r="GY270"/>
      <c r="GZ270"/>
      <c r="HA270"/>
      <c r="HB270"/>
      <c r="HC270"/>
    </row>
    <row r="271" spans="1:211" s="7" customFormat="1">
      <c r="A271" s="77"/>
      <c r="B271">
        <v>8.1490054248329002E-2</v>
      </c>
      <c r="C271">
        <v>9</v>
      </c>
      <c r="D271">
        <v>39775</v>
      </c>
      <c r="E271">
        <v>10.416666666666666</v>
      </c>
      <c r="F271">
        <v>10.416666666666666</v>
      </c>
      <c r="G271">
        <v>10.416666666666666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 s="2"/>
      <c r="AK271" s="81"/>
      <c r="AL271" s="81"/>
      <c r="AM271" s="43">
        <v>255</v>
      </c>
      <c r="AN271">
        <v>49.022718787440652</v>
      </c>
      <c r="AO271">
        <v>1.0467495744328668</v>
      </c>
      <c r="AP271">
        <v>0.79039823800521947</v>
      </c>
      <c r="AQ271">
        <v>7.0177991402499771</v>
      </c>
      <c r="AR271">
        <v>0.95962974861029837</v>
      </c>
      <c r="AS271">
        <v>4.0208766511965122</v>
      </c>
      <c r="AT271">
        <v>0.78861273276825905</v>
      </c>
      <c r="AU271">
        <v>-0.10832505117944746</v>
      </c>
      <c r="AV271"/>
      <c r="AW271"/>
      <c r="FY271" s="211">
        <v>266</v>
      </c>
      <c r="FZ271">
        <v>0.61404920438390986</v>
      </c>
      <c r="GA271">
        <v>1.27681936836498</v>
      </c>
      <c r="GB271">
        <v>1.4086501267890374</v>
      </c>
      <c r="GC271">
        <v>0.85034678646034267</v>
      </c>
      <c r="GD271">
        <v>0.25873321062273419</v>
      </c>
      <c r="GE271">
        <v>0.12129816768457499</v>
      </c>
      <c r="GF271">
        <v>0.20038102790324064</v>
      </c>
      <c r="GG271">
        <v>0.18920630708545313</v>
      </c>
      <c r="GH271">
        <v>8.9508689212329934E-2</v>
      </c>
      <c r="GI271">
        <v>0.6319788101067999</v>
      </c>
      <c r="GJ271"/>
      <c r="GK271">
        <v>0.61177499999999996</v>
      </c>
      <c r="GL271">
        <v>1.075275</v>
      </c>
      <c r="GM271">
        <v>2.3132159090909088</v>
      </c>
      <c r="GN271">
        <v>2.4952074269480513</v>
      </c>
      <c r="GO271">
        <v>0.9840696428571426</v>
      </c>
      <c r="GP271">
        <v>0.22804687499999998</v>
      </c>
      <c r="GQ271">
        <v>0.24196875000000001</v>
      </c>
      <c r="GR271">
        <v>0.26348958333333333</v>
      </c>
      <c r="GS271">
        <v>9.465845352564102E-2</v>
      </c>
      <c r="GT271">
        <v>0.84913755109473854</v>
      </c>
      <c r="GU271"/>
      <c r="GV271"/>
      <c r="GW271"/>
      <c r="GX271"/>
      <c r="GY271"/>
      <c r="GZ271"/>
      <c r="HA271"/>
      <c r="HB271"/>
      <c r="HC271"/>
    </row>
    <row r="272" spans="1:211" s="7" customFormat="1">
      <c r="A272" s="77"/>
      <c r="B272">
        <v>0.22296347060791799</v>
      </c>
      <c r="C272">
        <v>4</v>
      </c>
      <c r="D272">
        <v>39775</v>
      </c>
      <c r="E272">
        <v>10.416666666666666</v>
      </c>
      <c r="F272">
        <v>10.416666666666666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 s="2"/>
      <c r="AK272" s="81"/>
      <c r="AL272" s="81"/>
      <c r="AM272" s="43">
        <v>256</v>
      </c>
      <c r="AN272">
        <v>18.775719246031748</v>
      </c>
      <c r="AO272">
        <v>0.40633736830357148</v>
      </c>
      <c r="AP272">
        <v>0.17265513571968266</v>
      </c>
      <c r="AQ272">
        <v>2.9683968355625492</v>
      </c>
      <c r="AR272">
        <v>0.38026408482142854</v>
      </c>
      <c r="AS272">
        <v>1.6770855633830337</v>
      </c>
      <c r="AT272" t="e">
        <v>#DIV/0!</v>
      </c>
      <c r="AU272" t="e">
        <v>#DIV/0!</v>
      </c>
      <c r="AV272"/>
      <c r="AW272"/>
      <c r="FY272" s="211">
        <v>267</v>
      </c>
      <c r="FZ272">
        <v>1.3129149349512539</v>
      </c>
      <c r="GA272">
        <v>1.4437206913320493</v>
      </c>
      <c r="GB272">
        <v>1.2374022627014623</v>
      </c>
      <c r="GC272">
        <v>0.83417925737938026</v>
      </c>
      <c r="GD272">
        <v>0.22645519343588247</v>
      </c>
      <c r="GE272">
        <v>0.14731318231042501</v>
      </c>
      <c r="GF272">
        <v>0.73485967443875966</v>
      </c>
      <c r="GG272">
        <v>0.61737285987307855</v>
      </c>
      <c r="GH272">
        <v>8.9508689212329934E-2</v>
      </c>
      <c r="GI272">
        <v>0.7715136711949262</v>
      </c>
      <c r="GJ272"/>
      <c r="GK272">
        <v>1.3086112132352941</v>
      </c>
      <c r="GL272">
        <v>1.2161268382352939</v>
      </c>
      <c r="GM272">
        <v>2.0318409090909091</v>
      </c>
      <c r="GN272">
        <v>2.4478190340909087</v>
      </c>
      <c r="GO272">
        <v>0.86129062499999987</v>
      </c>
      <c r="GP272">
        <v>0.276890625</v>
      </c>
      <c r="GQ272">
        <v>0.88672010869565221</v>
      </c>
      <c r="GR272">
        <v>0.85939719202898535</v>
      </c>
      <c r="GS272">
        <v>9.465845352564102E-2</v>
      </c>
      <c r="GT272">
        <v>1.036624261909499</v>
      </c>
      <c r="GU272"/>
      <c r="GV272"/>
      <c r="GW272"/>
      <c r="GX272"/>
      <c r="GY272"/>
      <c r="GZ272"/>
      <c r="HA272"/>
      <c r="HB272"/>
      <c r="HC272"/>
    </row>
    <row r="273" spans="1:211" s="7" customFormat="1">
      <c r="A273" s="1"/>
      <c r="B273">
        <v>0.1979215800347589</v>
      </c>
      <c r="C273">
        <v>2</v>
      </c>
      <c r="D273">
        <v>39775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 s="2"/>
      <c r="AK273" s="81"/>
      <c r="AL273" s="81"/>
      <c r="AM273" s="43">
        <v>257</v>
      </c>
      <c r="AN273">
        <v>33.141513303110159</v>
      </c>
      <c r="AO273">
        <v>0.70524986209312313</v>
      </c>
      <c r="AP273">
        <v>0.42306025637115702</v>
      </c>
      <c r="AQ273">
        <v>6.0926290413833319</v>
      </c>
      <c r="AR273">
        <v>0.67956636282941263</v>
      </c>
      <c r="AS273">
        <v>2.6607713622510056</v>
      </c>
      <c r="AT273">
        <v>0.54660474758085054</v>
      </c>
      <c r="AU273">
        <v>0.3601431850164919</v>
      </c>
      <c r="AV273"/>
      <c r="AW273"/>
      <c r="FY273" s="211">
        <v>268</v>
      </c>
      <c r="FZ273">
        <v>0.2361789889057406</v>
      </c>
      <c r="GA273">
        <v>0.9629720632042873</v>
      </c>
      <c r="GB273">
        <v>0.98420950555789199</v>
      </c>
      <c r="GC273">
        <v>1.0206281328483917</v>
      </c>
      <c r="GD273">
        <v>0.54455848490113379</v>
      </c>
      <c r="GE273">
        <v>2.6015014625850003E-2</v>
      </c>
      <c r="GF273">
        <v>0.86857626516779707</v>
      </c>
      <c r="GG273">
        <v>0.71770870692793864</v>
      </c>
      <c r="GH273">
        <v>0</v>
      </c>
      <c r="GI273">
        <v>0.73993440313195991</v>
      </c>
      <c r="GJ273"/>
      <c r="GK273">
        <v>0.23540624999999998</v>
      </c>
      <c r="GL273">
        <v>0.81112499999999998</v>
      </c>
      <c r="GM273">
        <v>1.6158110795454543</v>
      </c>
      <c r="GN273">
        <v>2.9908624188311679</v>
      </c>
      <c r="GO273">
        <v>2.0703013392857139</v>
      </c>
      <c r="GP273">
        <v>4.8843750000000005E-2</v>
      </c>
      <c r="GQ273">
        <v>1.0475339673913044</v>
      </c>
      <c r="GR273">
        <v>0.99869021739130437</v>
      </c>
      <c r="GS273">
        <v>0</v>
      </c>
      <c r="GT273">
        <v>0.99381052724449437</v>
      </c>
      <c r="GU273"/>
      <c r="GV273"/>
      <c r="GW273"/>
      <c r="GX273"/>
      <c r="GY273"/>
      <c r="GZ273"/>
      <c r="HA273"/>
      <c r="HB273"/>
      <c r="HC273"/>
    </row>
    <row r="274" spans="1:211" s="7" customFormat="1">
      <c r="A274" s="1"/>
      <c r="B274">
        <v>0.65143567891063237</v>
      </c>
      <c r="C274">
        <v>8</v>
      </c>
      <c r="D274">
        <v>39775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 s="2"/>
      <c r="AK274" s="81"/>
      <c r="AL274" s="81"/>
      <c r="AM274" s="43">
        <v>258</v>
      </c>
      <c r="AN274">
        <v>31.260448408274492</v>
      </c>
      <c r="AO274">
        <v>0.72789408500557395</v>
      </c>
      <c r="AP274">
        <v>0.73399226199459355</v>
      </c>
      <c r="AQ274">
        <v>5.2208938763495611</v>
      </c>
      <c r="AR274">
        <v>0.68062759913094151</v>
      </c>
      <c r="AS274">
        <v>2.5631894888524474</v>
      </c>
      <c r="AT274">
        <v>0.51256714926698399</v>
      </c>
      <c r="AU274">
        <v>2.7575261447045307E-2</v>
      </c>
      <c r="AV274"/>
      <c r="AW274"/>
      <c r="FY274" s="211">
        <v>269</v>
      </c>
      <c r="FZ274">
        <v>1.8137036221040614</v>
      </c>
      <c r="GA274">
        <v>2.5666369451742206</v>
      </c>
      <c r="GB274">
        <v>0.51356729405175816</v>
      </c>
      <c r="GC274">
        <v>0.35796296010026563</v>
      </c>
      <c r="GD274">
        <v>0.23067015661440002</v>
      </c>
      <c r="GE274">
        <v>8.377572757792498E-2</v>
      </c>
      <c r="GF274">
        <v>0.98791909824818158</v>
      </c>
      <c r="GG274">
        <v>0.856333105575251</v>
      </c>
      <c r="GH274">
        <v>6.8957207506271032E-2</v>
      </c>
      <c r="GI274">
        <v>0.71352273307556247</v>
      </c>
      <c r="GJ274"/>
      <c r="GK274">
        <v>1.8076443014705876</v>
      </c>
      <c r="GL274">
        <v>2.161866957720588</v>
      </c>
      <c r="GM274">
        <v>0.84246484374999997</v>
      </c>
      <c r="GN274">
        <v>1.0491015625</v>
      </c>
      <c r="GO274">
        <v>0.87768749999999995</v>
      </c>
      <c r="GP274">
        <v>0.15745312499999997</v>
      </c>
      <c r="GQ274">
        <v>1.1918152173913041</v>
      </c>
      <c r="GR274">
        <v>1.1918152173913041</v>
      </c>
      <c r="GS274">
        <v>7.2881610576923078E-2</v>
      </c>
      <c r="GT274">
        <v>0.95849869463776294</v>
      </c>
      <c r="GU274"/>
      <c r="GV274"/>
      <c r="GW274"/>
      <c r="GX274"/>
      <c r="GY274"/>
      <c r="GZ274"/>
      <c r="HA274"/>
      <c r="HB274"/>
      <c r="HC274"/>
    </row>
    <row r="275" spans="1:211" s="7" customFormat="1">
      <c r="A275" s="1"/>
      <c r="B275">
        <v>0.54561775159096904</v>
      </c>
      <c r="C275">
        <v>5</v>
      </c>
      <c r="D275">
        <v>39775</v>
      </c>
      <c r="E275">
        <v>0</v>
      </c>
      <c r="F275">
        <v>89.285714285714278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 s="2"/>
      <c r="AK275" s="81"/>
      <c r="AL275" s="81"/>
      <c r="AM275" s="43">
        <v>259</v>
      </c>
      <c r="AN275">
        <v>44.898447619711199</v>
      </c>
      <c r="AO275">
        <v>1.0394667082313067</v>
      </c>
      <c r="AP275">
        <v>11.501837708669157</v>
      </c>
      <c r="AQ275">
        <v>6.609374919594698</v>
      </c>
      <c r="AR275">
        <v>0.97977770022776123</v>
      </c>
      <c r="AS275">
        <v>3.9873127480856434</v>
      </c>
      <c r="AT275" t="e">
        <v>#DIV/0!</v>
      </c>
      <c r="AU275" t="e">
        <v>#DIV/0!</v>
      </c>
      <c r="AV275"/>
      <c r="AW275"/>
      <c r="FY275" s="211">
        <v>270</v>
      </c>
      <c r="FZ275">
        <v>2.0879557753422602</v>
      </c>
      <c r="GA275">
        <v>2.9227901867781307</v>
      </c>
      <c r="GB275">
        <v>1.3802740908225397</v>
      </c>
      <c r="GC275">
        <v>0.87235855798756023</v>
      </c>
      <c r="GD275">
        <v>0.25730625602134927</v>
      </c>
      <c r="GE275">
        <v>0.12424440262320001</v>
      </c>
      <c r="GF275">
        <v>1.3481620566432344</v>
      </c>
      <c r="GG275">
        <v>1.2347457197461571</v>
      </c>
      <c r="GH275">
        <v>0.15603164258923619</v>
      </c>
      <c r="GI275">
        <v>1.0595541082304742</v>
      </c>
      <c r="GJ275"/>
      <c r="GK275">
        <v>2.0808786764705878</v>
      </c>
      <c r="GL275">
        <v>2.4619021139705879</v>
      </c>
      <c r="GM275">
        <v>2.2662862215909088</v>
      </c>
      <c r="GN275">
        <v>2.5597886769480516</v>
      </c>
      <c r="GO275">
        <v>0.97865089285714268</v>
      </c>
      <c r="GP275">
        <v>0.23343749999999999</v>
      </c>
      <c r="GQ275">
        <v>1.626908967391304</v>
      </c>
      <c r="GR275">
        <v>1.7187943840579707</v>
      </c>
      <c r="GS275">
        <v>0.16502303685897435</v>
      </c>
      <c r="GT275">
        <v>1.4235495590337834</v>
      </c>
      <c r="GU275"/>
      <c r="GV275"/>
      <c r="GW275"/>
      <c r="GX275"/>
      <c r="GY275"/>
      <c r="GZ275"/>
      <c r="HA275"/>
      <c r="HB275"/>
      <c r="HC275"/>
    </row>
    <row r="276" spans="1:211" s="7" customFormat="1">
      <c r="A276" s="1"/>
      <c r="B276">
        <v>0.7618962856391005</v>
      </c>
      <c r="C276">
        <v>1</v>
      </c>
      <c r="D276">
        <v>39775</v>
      </c>
      <c r="E276">
        <v>0</v>
      </c>
      <c r="F276">
        <v>43.75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 s="2"/>
      <c r="AK276" s="81"/>
      <c r="AL276" s="81"/>
      <c r="AM276" s="43">
        <v>260</v>
      </c>
      <c r="AN276">
        <v>17.210989010989014</v>
      </c>
      <c r="AO276">
        <v>0.39346560027472521</v>
      </c>
      <c r="AP276">
        <v>4.4870131363724628</v>
      </c>
      <c r="AQ276">
        <v>2.940223088085959</v>
      </c>
      <c r="AR276">
        <v>0.36573522664835167</v>
      </c>
      <c r="AS276">
        <v>1.4033699516674245</v>
      </c>
      <c r="AT276" t="e">
        <v>#DIV/0!</v>
      </c>
      <c r="AU276" t="e">
        <v>#DIV/0!</v>
      </c>
      <c r="AV276"/>
      <c r="AW276"/>
      <c r="FY276" s="211">
        <v>271</v>
      </c>
      <c r="FZ276">
        <v>1.1947852894284114</v>
      </c>
      <c r="GA276">
        <v>1.8891430030635343</v>
      </c>
      <c r="GB276">
        <v>1.6435920206191605</v>
      </c>
      <c r="GC276">
        <v>0.95260264114910709</v>
      </c>
      <c r="GD276">
        <v>0.26923002529085999</v>
      </c>
      <c r="GE276">
        <v>0.183984624894375</v>
      </c>
      <c r="GF276">
        <v>1.0833310507196909</v>
      </c>
      <c r="GG276">
        <v>0.8686264624209391</v>
      </c>
      <c r="GH276">
        <v>2.2985735835423678E-2</v>
      </c>
      <c r="GI276">
        <v>0.9295156792394399</v>
      </c>
      <c r="GJ276"/>
      <c r="GK276">
        <v>1.190814338235294</v>
      </c>
      <c r="GL276">
        <v>1.5913260569852941</v>
      </c>
      <c r="GM276">
        <v>2.6986260653409091</v>
      </c>
      <c r="GN276">
        <v>2.7954862215909086</v>
      </c>
      <c r="GO276">
        <v>1.0242</v>
      </c>
      <c r="GP276">
        <v>0.345609375</v>
      </c>
      <c r="GQ276">
        <v>1.3060353260869564</v>
      </c>
      <c r="GR276">
        <v>1.2083478260869565</v>
      </c>
      <c r="GS276">
        <v>2.4293870192307693E-2</v>
      </c>
      <c r="GT276">
        <v>1.2487939199710931</v>
      </c>
      <c r="GU276"/>
      <c r="GV276"/>
      <c r="GW276"/>
      <c r="GX276"/>
      <c r="GY276"/>
      <c r="GZ276"/>
      <c r="HA276"/>
      <c r="HB276"/>
      <c r="HC276"/>
    </row>
    <row r="277" spans="1:211" s="7" customFormat="1">
      <c r="A277" s="1"/>
      <c r="B277">
        <v>0.24177278300578409</v>
      </c>
      <c r="C277">
        <v>7</v>
      </c>
      <c r="D277">
        <v>39775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 s="2"/>
      <c r="AK277" s="81"/>
      <c r="AL277" s="81"/>
      <c r="AM277" s="43">
        <v>261</v>
      </c>
      <c r="AN277">
        <v>62.793687575596934</v>
      </c>
      <c r="AO277">
        <v>1.322025629206218</v>
      </c>
      <c r="AP277">
        <v>20.365574496404911</v>
      </c>
      <c r="AQ277">
        <v>7.8395917457010125</v>
      </c>
      <c r="AR277">
        <v>1.2040500147504081</v>
      </c>
      <c r="AS277">
        <v>5.0858285283620601</v>
      </c>
      <c r="AT277" t="e">
        <v>#DIV/0!</v>
      </c>
      <c r="AU277" t="e">
        <v>#DIV/0!</v>
      </c>
      <c r="AV277"/>
      <c r="AW277"/>
      <c r="FY277" s="211">
        <v>272</v>
      </c>
      <c r="FZ277">
        <v>2.0116889934674287</v>
      </c>
      <c r="GA277">
        <v>2.5477442738731084</v>
      </c>
      <c r="GB277">
        <v>0.74630763954098422</v>
      </c>
      <c r="GC277">
        <v>0.38268018727962455</v>
      </c>
      <c r="GD277">
        <v>0.16062041640918856</v>
      </c>
      <c r="GE277">
        <v>0.17718722876879997</v>
      </c>
      <c r="GF277">
        <v>0.66819523726455643</v>
      </c>
      <c r="GG277">
        <v>0.83199385047132934</v>
      </c>
      <c r="GH277">
        <v>0.33261476688453123</v>
      </c>
      <c r="GI277">
        <v>0.7441616218063436</v>
      </c>
      <c r="GJ277"/>
      <c r="GK277">
        <v>2.004941176470588</v>
      </c>
      <c r="GL277">
        <v>2.1460349264705876</v>
      </c>
      <c r="GM277">
        <v>1.2253267045454543</v>
      </c>
      <c r="GN277">
        <v>1.12333474025974</v>
      </c>
      <c r="GO277">
        <v>0.61116428571428572</v>
      </c>
      <c r="GP277">
        <v>0.33299999999999996</v>
      </c>
      <c r="GQ277">
        <v>0.80556521739130427</v>
      </c>
      <c r="GR277">
        <v>1.157388134057971</v>
      </c>
      <c r="GS277">
        <v>0.35182291666666665</v>
      </c>
      <c r="GT277">
        <v>0.99976406015765984</v>
      </c>
      <c r="GU277"/>
      <c r="GV277"/>
      <c r="GW277"/>
      <c r="GX277"/>
      <c r="GY277"/>
      <c r="GZ277"/>
      <c r="HA277"/>
      <c r="HB277"/>
      <c r="HC277"/>
    </row>
    <row r="278" spans="1:211" s="7" customFormat="1">
      <c r="A278" s="1"/>
      <c r="B278">
        <v>0.42386093388555723</v>
      </c>
      <c r="C278">
        <v>2</v>
      </c>
      <c r="D278">
        <v>39799</v>
      </c>
      <c r="E278">
        <v>0</v>
      </c>
      <c r="F278">
        <v>52.083333333333336</v>
      </c>
      <c r="G278">
        <v>20.833333333333332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 s="2"/>
      <c r="AK278" s="81"/>
      <c r="AL278" s="81"/>
      <c r="AM278" s="43">
        <v>262</v>
      </c>
      <c r="AN278">
        <v>39.866700221755366</v>
      </c>
      <c r="AO278">
        <v>1.1450530387342435</v>
      </c>
      <c r="AP278">
        <v>2.1540845830554041</v>
      </c>
      <c r="AQ278">
        <v>7.8899486374471026</v>
      </c>
      <c r="AR278">
        <v>1.062690262485676</v>
      </c>
      <c r="AS278">
        <v>4.3055113791837485</v>
      </c>
      <c r="AT278" t="e">
        <v>#DIV/0!</v>
      </c>
      <c r="AU278" t="e">
        <v>#DIV/0!</v>
      </c>
      <c r="AV278"/>
      <c r="AW278"/>
      <c r="FY278" s="211">
        <v>273</v>
      </c>
      <c r="FZ278">
        <v>1.3709721062788289</v>
      </c>
      <c r="GA278">
        <v>1.7854402881784388</v>
      </c>
      <c r="GB278">
        <v>0.76587038191531398</v>
      </c>
      <c r="GC278">
        <v>0.41526569889122444</v>
      </c>
      <c r="GD278">
        <v>9.7404874257461777E-2</v>
      </c>
      <c r="GE278">
        <v>9.05731237035E-2</v>
      </c>
      <c r="GF278">
        <v>8.1038194822856249E-2</v>
      </c>
      <c r="GG278">
        <v>5.0581908438140623E-2</v>
      </c>
      <c r="GH278">
        <v>8.9508689212329934E-2</v>
      </c>
      <c r="GI278">
        <v>0.47432014737393757</v>
      </c>
      <c r="GJ278"/>
      <c r="GK278">
        <v>1.366361213235294</v>
      </c>
      <c r="GL278">
        <v>1.5037987132352941</v>
      </c>
      <c r="GM278">
        <v>1.2572173295454543</v>
      </c>
      <c r="GN278">
        <v>1.2189150974025971</v>
      </c>
      <c r="GO278">
        <v>0.3707290178571428</v>
      </c>
      <c r="GP278">
        <v>0.17006250000000001</v>
      </c>
      <c r="GQ278">
        <v>9.768750000000001E-2</v>
      </c>
      <c r="GR278">
        <v>7.0364583333333328E-2</v>
      </c>
      <c r="GS278">
        <v>9.465845352564102E-2</v>
      </c>
      <c r="GT278">
        <v>0.63733070283270643</v>
      </c>
      <c r="GU278"/>
      <c r="GV278"/>
      <c r="GW278"/>
      <c r="GX278"/>
      <c r="GY278"/>
      <c r="GZ278"/>
      <c r="HA278"/>
      <c r="HB278"/>
      <c r="HC278"/>
    </row>
    <row r="279" spans="1:211" s="7" customFormat="1">
      <c r="A279" s="1"/>
      <c r="B279">
        <v>0.36158953717600184</v>
      </c>
      <c r="C279">
        <v>4</v>
      </c>
      <c r="D279">
        <v>39799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 s="2"/>
      <c r="AK279" s="81"/>
      <c r="AL279" s="81"/>
      <c r="AM279" s="43">
        <v>263</v>
      </c>
      <c r="AN279">
        <v>22.499461968687509</v>
      </c>
      <c r="AO279">
        <v>0.44185007747302513</v>
      </c>
      <c r="AP279">
        <v>11.51257101200965</v>
      </c>
      <c r="AQ279">
        <v>3.5719477826661157</v>
      </c>
      <c r="AR279">
        <v>0.40389042226568717</v>
      </c>
      <c r="AS279">
        <v>1.8517377475243557</v>
      </c>
      <c r="AT279" t="e">
        <v>#DIV/0!</v>
      </c>
      <c r="AU279" t="e">
        <v>#DIV/0!</v>
      </c>
      <c r="AV279"/>
      <c r="AW279"/>
      <c r="FY279" s="211">
        <v>274</v>
      </c>
      <c r="FZ279">
        <v>1.1857149502691429</v>
      </c>
      <c r="GA279">
        <v>1.4636096779825429</v>
      </c>
      <c r="GB279">
        <v>0.35297279241116836</v>
      </c>
      <c r="GC279">
        <v>0.54777107063943697</v>
      </c>
      <c r="GD279">
        <v>0.37592623363290756</v>
      </c>
      <c r="GE279">
        <v>8.1904075710074992E-2</v>
      </c>
      <c r="GF279">
        <v>0.15986193049181252</v>
      </c>
      <c r="GG279">
        <v>0.23978821552359375</v>
      </c>
      <c r="GH279">
        <v>0.15603164258923619</v>
      </c>
      <c r="GI279">
        <v>0.5283450137630743</v>
      </c>
      <c r="GJ279"/>
      <c r="GK279">
        <v>1.181654963235294</v>
      </c>
      <c r="GL279">
        <v>1.2327135569852938</v>
      </c>
      <c r="GM279">
        <v>0.57914453125000009</v>
      </c>
      <c r="GN279">
        <v>1.6043921875000002</v>
      </c>
      <c r="GO279">
        <v>1.4293218750000003</v>
      </c>
      <c r="GP279">
        <v>0.153796875</v>
      </c>
      <c r="GQ279">
        <v>0.19312499999999999</v>
      </c>
      <c r="GR279">
        <v>0.33385416666666667</v>
      </c>
      <c r="GS279">
        <v>0.16502303685897435</v>
      </c>
      <c r="GT279">
        <v>0.70965388126885376</v>
      </c>
      <c r="GU279"/>
      <c r="GV279"/>
      <c r="GW279"/>
      <c r="GX279"/>
      <c r="GY279"/>
      <c r="GZ279"/>
      <c r="HA279"/>
      <c r="HB279"/>
      <c r="HC279"/>
    </row>
    <row r="280" spans="1:211" s="7" customFormat="1">
      <c r="A280" s="1"/>
      <c r="B280">
        <v>0.98908335881637477</v>
      </c>
      <c r="C280">
        <v>4</v>
      </c>
      <c r="D280">
        <v>39799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 s="2"/>
      <c r="AK280" s="81"/>
      <c r="AL280" s="81"/>
      <c r="AM280" s="43">
        <v>264</v>
      </c>
      <c r="AN280">
        <v>40.336729776451634</v>
      </c>
      <c r="AO280">
        <v>0.81950634915814136</v>
      </c>
      <c r="AP280">
        <v>0.25092620730238341</v>
      </c>
      <c r="AQ280">
        <v>5.5958177116709562</v>
      </c>
      <c r="AR280">
        <v>0.74862793105285586</v>
      </c>
      <c r="AS280">
        <v>3.4032118551969952</v>
      </c>
      <c r="AT280" t="e">
        <v>#DIV/0!</v>
      </c>
      <c r="AU280" t="e">
        <v>#DIV/0!</v>
      </c>
      <c r="AV280"/>
      <c r="AW280"/>
      <c r="FY280" s="211">
        <v>275</v>
      </c>
      <c r="FZ280">
        <v>0.7721067128270146</v>
      </c>
      <c r="GA280">
        <v>1.0382662756135281</v>
      </c>
      <c r="GB280">
        <v>0.20962281816599065</v>
      </c>
      <c r="GC280">
        <v>0.40722906828203248</v>
      </c>
      <c r="GD280">
        <v>0.39634979684480992</v>
      </c>
      <c r="GE280">
        <v>0.19356646978169997</v>
      </c>
      <c r="GF280">
        <v>0.37461671604370633</v>
      </c>
      <c r="GG280">
        <v>0.28954215414031298</v>
      </c>
      <c r="GH280">
        <v>2.2985735835423678E-2</v>
      </c>
      <c r="GI280">
        <v>0.46114662190185396</v>
      </c>
      <c r="GJ280"/>
      <c r="GK280">
        <v>0.76932187499999993</v>
      </c>
      <c r="GL280">
        <v>0.87422812499999991</v>
      </c>
      <c r="GM280">
        <v>0.34396875000000005</v>
      </c>
      <c r="GN280">
        <v>1.1922937499999999</v>
      </c>
      <c r="GO280">
        <v>1.5071999999999999</v>
      </c>
      <c r="GP280">
        <v>0.36374999999999996</v>
      </c>
      <c r="GQ280">
        <v>0.45162635869565215</v>
      </c>
      <c r="GR280">
        <v>0.40278260869565213</v>
      </c>
      <c r="GS280">
        <v>2.4293870192307693E-2</v>
      </c>
      <c r="GT280">
        <v>0.61928217077759196</v>
      </c>
      <c r="GU280"/>
      <c r="GV280"/>
      <c r="GW280"/>
      <c r="GX280"/>
      <c r="GY280"/>
      <c r="GZ280"/>
      <c r="HA280"/>
      <c r="HB280"/>
      <c r="HC280"/>
    </row>
    <row r="281" spans="1:211" s="7" customFormat="1">
      <c r="A281" s="1"/>
      <c r="B281">
        <v>0.24547650023780054</v>
      </c>
      <c r="C281">
        <v>3</v>
      </c>
      <c r="D281">
        <v>39799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 s="80"/>
      <c r="AK281" s="81"/>
      <c r="AL281" s="81"/>
      <c r="AM281" s="43">
        <v>265</v>
      </c>
      <c r="AN281">
        <v>36.976064430324335</v>
      </c>
      <c r="AO281">
        <v>0.87482414017283328</v>
      </c>
      <c r="AP281">
        <v>0.64305330295871577</v>
      </c>
      <c r="AQ281">
        <v>6.4797863084995626</v>
      </c>
      <c r="AR281">
        <v>0.80836968381096741</v>
      </c>
      <c r="AS281">
        <v>3.0183309768262765</v>
      </c>
      <c r="AT281">
        <v>0.59590711712881173</v>
      </c>
      <c r="AU281">
        <v>5.5414932292430219E-2</v>
      </c>
      <c r="AV281"/>
      <c r="AW281"/>
      <c r="FY281" s="211">
        <v>276</v>
      </c>
      <c r="FZ281">
        <v>1.6393601339302255</v>
      </c>
      <c r="GA281">
        <v>2.2050989071895115</v>
      </c>
      <c r="GB281">
        <v>1.6991208575410073</v>
      </c>
      <c r="GC281">
        <v>1.1543107954909697</v>
      </c>
      <c r="GD281">
        <v>0.31861497288732427</v>
      </c>
      <c r="GE281">
        <v>0.23885303163345004</v>
      </c>
      <c r="GF281">
        <v>0.74923343208741267</v>
      </c>
      <c r="GG281">
        <v>0.57908430828062596</v>
      </c>
      <c r="GH281">
        <v>4.5971471670847357E-2</v>
      </c>
      <c r="GI281">
        <v>0.98062219358216274</v>
      </c>
      <c r="GJ281"/>
      <c r="GK281">
        <v>1.6337005514705882</v>
      </c>
      <c r="GL281">
        <v>1.8571771139705882</v>
      </c>
      <c r="GM281">
        <v>2.7894815340909087</v>
      </c>
      <c r="GN281">
        <v>3.3872496144480513</v>
      </c>
      <c r="GO281">
        <v>1.2121821428571429</v>
      </c>
      <c r="GP281">
        <v>0.44878125000000002</v>
      </c>
      <c r="GQ281">
        <v>0.90325271739130431</v>
      </c>
      <c r="GR281">
        <v>0.80556521739130427</v>
      </c>
      <c r="GS281">
        <v>4.8587740384615385E-2</v>
      </c>
      <c r="GT281">
        <v>1.3174409372389118</v>
      </c>
      <c r="GU281"/>
      <c r="GV281"/>
      <c r="GW281"/>
      <c r="GX281"/>
      <c r="GY281"/>
      <c r="GZ281"/>
      <c r="HA281"/>
      <c r="HB281"/>
      <c r="HC281"/>
    </row>
    <row r="282" spans="1:211" s="7" customFormat="1">
      <c r="A282" s="1"/>
      <c r="B282">
        <v>0.64729563350412</v>
      </c>
      <c r="C282">
        <v>5</v>
      </c>
      <c r="D282">
        <v>39799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 s="80"/>
      <c r="AK282" s="81"/>
      <c r="AL282" s="81"/>
      <c r="AM282" s="43">
        <v>266</v>
      </c>
      <c r="AN282">
        <v>35.906519637769634</v>
      </c>
      <c r="AO282">
        <v>0.91568441918498156</v>
      </c>
      <c r="AP282">
        <v>1.519043950748552</v>
      </c>
      <c r="AQ282">
        <v>5.6409716986134022</v>
      </c>
      <c r="AR282">
        <v>0.84913755109473843</v>
      </c>
      <c r="AS282">
        <v>3.1099890605955567</v>
      </c>
      <c r="AT282">
        <v>0.58072989377582773</v>
      </c>
      <c r="AU282">
        <v>9.7805972855264059E-2</v>
      </c>
      <c r="AV282"/>
      <c r="AW282"/>
      <c r="FY282" s="211">
        <v>277</v>
      </c>
      <c r="FZ282">
        <v>0.36514200012448783</v>
      </c>
      <c r="GA282">
        <v>0.90765684868879182</v>
      </c>
      <c r="GB282">
        <v>0.80472982568142992</v>
      </c>
      <c r="GC282">
        <v>0.76140769785983065</v>
      </c>
      <c r="GD282">
        <v>0.40771573944560996</v>
      </c>
      <c r="GE282">
        <v>0.20518175271374994</v>
      </c>
      <c r="GF282">
        <v>0.12155729223428439</v>
      </c>
      <c r="GG282">
        <v>0</v>
      </c>
      <c r="GH282">
        <v>0</v>
      </c>
      <c r="GI282">
        <v>0.50357548549494946</v>
      </c>
      <c r="GJ282"/>
      <c r="GK282">
        <v>0.36377812499999995</v>
      </c>
      <c r="GL282">
        <v>0.76428984374999998</v>
      </c>
      <c r="GM282">
        <v>1.3210727982954542</v>
      </c>
      <c r="GN282">
        <v>2.2323860795454538</v>
      </c>
      <c r="GO282">
        <v>1.5506999999999997</v>
      </c>
      <c r="GP282">
        <v>0.38540625000000001</v>
      </c>
      <c r="GQ282">
        <v>0.14653125</v>
      </c>
      <c r="GR282">
        <v>0</v>
      </c>
      <c r="GS282">
        <v>0</v>
      </c>
      <c r="GT282">
        <v>0.67641643465909085</v>
      </c>
      <c r="GU282"/>
      <c r="GV282"/>
      <c r="GW282"/>
      <c r="GX282"/>
      <c r="GY282"/>
      <c r="GZ282"/>
      <c r="HA282"/>
      <c r="HB282"/>
      <c r="HC282"/>
    </row>
    <row r="283" spans="1:211" s="7" customFormat="1">
      <c r="A283" s="1"/>
      <c r="B283">
        <v>0.84935058679267073</v>
      </c>
      <c r="C283">
        <v>7</v>
      </c>
      <c r="D283">
        <v>39799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 s="80"/>
      <c r="AK283" s="81"/>
      <c r="AL283" s="81"/>
      <c r="AM283" s="43">
        <v>267</v>
      </c>
      <c r="AN283">
        <v>43.43587507559694</v>
      </c>
      <c r="AO283">
        <v>1.1019979260812183</v>
      </c>
      <c r="AP283">
        <v>1.3643751102303385</v>
      </c>
      <c r="AQ283">
        <v>7.4152404168295476</v>
      </c>
      <c r="AR283">
        <v>1.0366242619094992</v>
      </c>
      <c r="AS283">
        <v>3.6019861809674443</v>
      </c>
      <c r="AT283">
        <v>0.70824567611290556</v>
      </c>
      <c r="AU283">
        <v>0.31548118843580386</v>
      </c>
      <c r="AV283"/>
      <c r="AW283"/>
      <c r="FY283" s="211">
        <v>278</v>
      </c>
      <c r="FZ283">
        <v>0.86782553693507269</v>
      </c>
      <c r="GA283">
        <v>1.502361039404168</v>
      </c>
      <c r="GB283">
        <v>0.64500531479841439</v>
      </c>
      <c r="GC283">
        <v>0.65675218211036879</v>
      </c>
      <c r="GD283">
        <v>0.38155421471512502</v>
      </c>
      <c r="GE283">
        <v>9.8229387997349982E-2</v>
      </c>
      <c r="GF283">
        <v>0.15986193049181252</v>
      </c>
      <c r="GG283">
        <v>0.18920630708545313</v>
      </c>
      <c r="GH283">
        <v>6.6522953376906252E-2</v>
      </c>
      <c r="GI283">
        <v>0.54164771494206088</v>
      </c>
      <c r="GJ283"/>
      <c r="GK283">
        <v>0.86482683823529405</v>
      </c>
      <c r="GL283">
        <v>1.2653385569852942</v>
      </c>
      <c r="GM283">
        <v>1.05824609375</v>
      </c>
      <c r="GN283">
        <v>1.924296875</v>
      </c>
      <c r="GO283">
        <v>1.4511562500000001</v>
      </c>
      <c r="GP283">
        <v>0.18459374999999997</v>
      </c>
      <c r="GQ283">
        <v>0.19312499999999999</v>
      </c>
      <c r="GR283">
        <v>0.26348958333333333</v>
      </c>
      <c r="GS283">
        <v>7.0364583333333328E-2</v>
      </c>
      <c r="GT283">
        <v>0.72754375306372543</v>
      </c>
      <c r="GU283"/>
      <c r="GV283"/>
      <c r="GW283"/>
      <c r="GX283"/>
      <c r="GY283"/>
      <c r="GZ283"/>
      <c r="HA283"/>
      <c r="HB283"/>
      <c r="HC283"/>
    </row>
    <row r="284" spans="1:211" s="7" customFormat="1">
      <c r="A284" s="1"/>
      <c r="B284">
        <v>0.99541896846186795</v>
      </c>
      <c r="C284">
        <v>5</v>
      </c>
      <c r="D284">
        <v>39799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 s="80"/>
      <c r="AK284" s="81"/>
      <c r="AL284" s="81"/>
      <c r="AM284" s="43">
        <v>268</v>
      </c>
      <c r="AN284">
        <v>52.280279503105589</v>
      </c>
      <c r="AO284">
        <v>1.0812384549689438</v>
      </c>
      <c r="AP284">
        <v>1.0245170250936873</v>
      </c>
      <c r="AQ284">
        <v>6.1007815652709905</v>
      </c>
      <c r="AR284">
        <v>0.99381052724449459</v>
      </c>
      <c r="AS284">
        <v>4.7684518854079148</v>
      </c>
      <c r="AT284" t="e">
        <v>#DIV/0!</v>
      </c>
      <c r="AU284" t="e">
        <v>#DIV/0!</v>
      </c>
      <c r="AV284"/>
      <c r="AW284"/>
      <c r="FY284" s="211">
        <v>279</v>
      </c>
      <c r="FZ284">
        <v>0.39238179876104062</v>
      </c>
      <c r="GA284">
        <v>0.52286619820815339</v>
      </c>
      <c r="GB284">
        <v>0.83970926283335257</v>
      </c>
      <c r="GC284">
        <v>0.70167107290619013</v>
      </c>
      <c r="GD284">
        <v>0.23729193933589932</v>
      </c>
      <c r="GE284">
        <v>0.12809556381015003</v>
      </c>
      <c r="GF284">
        <v>0.61551684135837503</v>
      </c>
      <c r="GG284">
        <v>0.52933036966390667</v>
      </c>
      <c r="GH284">
        <v>0.17901737842465987</v>
      </c>
      <c r="GI284">
        <v>0.53657544367011889</v>
      </c>
      <c r="GJ284"/>
      <c r="GK284">
        <v>0.39103124999999994</v>
      </c>
      <c r="GL284">
        <v>0.44026171874999998</v>
      </c>
      <c r="GM284">
        <v>1.3783462357954543</v>
      </c>
      <c r="GN284">
        <v>2.0580166599025973</v>
      </c>
      <c r="GO284">
        <v>0.90271339285714292</v>
      </c>
      <c r="GP284">
        <v>0.24065624999999999</v>
      </c>
      <c r="GQ284">
        <v>0.74243885869565207</v>
      </c>
      <c r="GR284">
        <v>0.73663677536231864</v>
      </c>
      <c r="GS284">
        <v>0.18931690705128204</v>
      </c>
      <c r="GT284">
        <v>0.7207693288799063</v>
      </c>
      <c r="GU284"/>
      <c r="GV284"/>
      <c r="GW284"/>
      <c r="GX284"/>
      <c r="GY284"/>
      <c r="GZ284"/>
      <c r="HA284"/>
      <c r="HB284"/>
      <c r="HC284"/>
    </row>
    <row r="285" spans="1:211" s="7" customFormat="1">
      <c r="A285" s="1"/>
      <c r="B285">
        <v>0.53302319220455074</v>
      </c>
      <c r="C285">
        <v>7</v>
      </c>
      <c r="D285">
        <v>39799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 s="80"/>
      <c r="AK285" s="81"/>
      <c r="AL285" s="81"/>
      <c r="AM285" s="43">
        <v>269</v>
      </c>
      <c r="AN285">
        <v>47.294217209598443</v>
      </c>
      <c r="AO285">
        <v>1.0311229030438471</v>
      </c>
      <c r="AP285">
        <v>12.575935704034022</v>
      </c>
      <c r="AQ285">
        <v>8.1930488500278962</v>
      </c>
      <c r="AR285">
        <v>0.95849869463776294</v>
      </c>
      <c r="AS285">
        <v>3.5801898073845808</v>
      </c>
      <c r="AT285" t="e">
        <v>#DIV/0!</v>
      </c>
      <c r="AU285" t="e">
        <v>#DIV/0!</v>
      </c>
      <c r="AV285"/>
      <c r="AW285"/>
      <c r="FY285" s="211">
        <v>280</v>
      </c>
      <c r="FZ285">
        <v>0.79209071982213186</v>
      </c>
      <c r="GA285">
        <v>1.5713152151853722</v>
      </c>
      <c r="GB285">
        <v>1.5002420463739827</v>
      </c>
      <c r="GC285">
        <v>0.817669410630399</v>
      </c>
      <c r="GD285">
        <v>0.20554405951931998</v>
      </c>
      <c r="GE285">
        <v>0.11658813832935</v>
      </c>
      <c r="GF285">
        <v>0.61551684135837503</v>
      </c>
      <c r="GG285">
        <v>0.4281665527876255</v>
      </c>
      <c r="GH285">
        <v>0</v>
      </c>
      <c r="GI285">
        <v>0.71106351130130263</v>
      </c>
      <c r="GJ285"/>
      <c r="GK285">
        <v>0.78924374999999991</v>
      </c>
      <c r="GL285">
        <v>1.3232906250000003</v>
      </c>
      <c r="GM285">
        <v>2.4634502840909089</v>
      </c>
      <c r="GN285">
        <v>2.3996159090909086</v>
      </c>
      <c r="GO285">
        <v>0.78164999999999996</v>
      </c>
      <c r="GP285">
        <v>0.21890625</v>
      </c>
      <c r="GQ285">
        <v>0.74243885869565207</v>
      </c>
      <c r="GR285">
        <v>0.59590760869565207</v>
      </c>
      <c r="GS285">
        <v>0</v>
      </c>
      <c r="GT285">
        <v>0.95535657855731215</v>
      </c>
      <c r="GU285"/>
      <c r="GV285"/>
      <c r="GW285"/>
      <c r="GX285"/>
      <c r="GY285"/>
      <c r="GZ285"/>
      <c r="HA285"/>
      <c r="HB285"/>
      <c r="HC285"/>
    </row>
    <row r="286" spans="1:211" s="7" customFormat="1">
      <c r="A286" s="1"/>
      <c r="B286">
        <v>4.9768241364291477E-2</v>
      </c>
      <c r="C286">
        <v>8</v>
      </c>
      <c r="D286">
        <v>39799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 s="80"/>
      <c r="AK286" s="81"/>
      <c r="AL286" s="81"/>
      <c r="AM286" s="43">
        <v>270</v>
      </c>
      <c r="AN286">
        <v>64.442594931413652</v>
      </c>
      <c r="AO286">
        <v>1.5515220029179313</v>
      </c>
      <c r="AP286">
        <v>1.5305304630258787</v>
      </c>
      <c r="AQ286">
        <v>11.443422796784141</v>
      </c>
      <c r="AR286">
        <v>1.4235495590337837</v>
      </c>
      <c r="AS286">
        <v>5.0386601829018121</v>
      </c>
      <c r="AT286">
        <v>1.0308614209289648</v>
      </c>
      <c r="AU286">
        <v>5.228658522982077E-2</v>
      </c>
      <c r="AV286"/>
      <c r="AW286"/>
      <c r="FY286" s="211">
        <v>281</v>
      </c>
      <c r="FZ286">
        <v>1.3800712265968444</v>
      </c>
      <c r="GA286">
        <v>2.1535576085908756</v>
      </c>
      <c r="GB286">
        <v>1.5697227745537277</v>
      </c>
      <c r="GC286">
        <v>0.81160097524073349</v>
      </c>
      <c r="GD286">
        <v>0.16249294752524676</v>
      </c>
      <c r="GE286">
        <v>0.16171291400422502</v>
      </c>
      <c r="GF286">
        <v>0.20038102790324064</v>
      </c>
      <c r="GG286">
        <v>0.13862439864731252</v>
      </c>
      <c r="GH286">
        <v>0</v>
      </c>
      <c r="GI286">
        <v>0.71637281556662269</v>
      </c>
      <c r="GJ286"/>
      <c r="GK286">
        <v>1.375295588235294</v>
      </c>
      <c r="GL286">
        <v>1.8138229319852941</v>
      </c>
      <c r="GM286">
        <v>2.5772666903409087</v>
      </c>
      <c r="GN286">
        <v>2.3827464894480519</v>
      </c>
      <c r="GO286">
        <v>0.61877276785714286</v>
      </c>
      <c r="GP286">
        <v>0.30407812500000003</v>
      </c>
      <c r="GQ286">
        <v>0.24196875000000001</v>
      </c>
      <c r="GR286">
        <v>0.19312499999999999</v>
      </c>
      <c r="GS286">
        <v>0</v>
      </c>
      <c r="GT286">
        <v>0.96266075928666917</v>
      </c>
      <c r="GU286"/>
      <c r="GV286"/>
      <c r="GW286"/>
      <c r="GX286"/>
      <c r="GY286"/>
      <c r="GZ286"/>
      <c r="HA286"/>
      <c r="HB286"/>
      <c r="HC286"/>
    </row>
    <row r="287" spans="1:211" s="7" customFormat="1">
      <c r="A287" s="1"/>
      <c r="B287">
        <v>0.60680931752150546</v>
      </c>
      <c r="C287">
        <v>8</v>
      </c>
      <c r="D287">
        <v>39799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 s="80"/>
      <c r="AK287" s="81"/>
      <c r="AL287" s="81"/>
      <c r="AM287" s="43">
        <v>271</v>
      </c>
      <c r="AN287">
        <v>56.26545186706231</v>
      </c>
      <c r="AO287">
        <v>1.3433532999489721</v>
      </c>
      <c r="AP287">
        <v>1.1794177835225907</v>
      </c>
      <c r="AQ287">
        <v>9.0377965326609413</v>
      </c>
      <c r="AR287">
        <v>1.2487939199710936</v>
      </c>
      <c r="AS287">
        <v>4.9607563237132801</v>
      </c>
      <c r="AT287" t="e">
        <v>#DIV/0!</v>
      </c>
      <c r="AU287" t="e">
        <v>#DIV/0!</v>
      </c>
      <c r="AV287"/>
      <c r="AW287"/>
      <c r="FY287" s="211">
        <v>282</v>
      </c>
      <c r="FZ287">
        <v>0.47416115541808967</v>
      </c>
      <c r="GA287">
        <v>1.3349022832224815</v>
      </c>
      <c r="GB287">
        <v>0.95777052656179196</v>
      </c>
      <c r="GC287">
        <v>0.36715287722771073</v>
      </c>
      <c r="GD287">
        <v>7.939003211234999E-2</v>
      </c>
      <c r="GE287">
        <v>7.7086188903599986E-2</v>
      </c>
      <c r="GF287">
        <v>0.49395954912409079</v>
      </c>
      <c r="GG287">
        <v>0.4281665527876255</v>
      </c>
      <c r="GH287">
        <v>2.2985735835423678E-2</v>
      </c>
      <c r="GI287">
        <v>0.4417037857971281</v>
      </c>
      <c r="GJ287"/>
      <c r="GK287">
        <v>0.47232187499999995</v>
      </c>
      <c r="GL287">
        <v>1.1240718750000003</v>
      </c>
      <c r="GM287">
        <v>1.5723110795454542</v>
      </c>
      <c r="GN287">
        <v>1.0780610795454544</v>
      </c>
      <c r="GO287">
        <v>0.30224999999999996</v>
      </c>
      <c r="GP287">
        <v>0.14474999999999999</v>
      </c>
      <c r="GQ287">
        <v>0.59590760869565207</v>
      </c>
      <c r="GR287">
        <v>0.59590760869565207</v>
      </c>
      <c r="GS287">
        <v>2.4293870192307693E-2</v>
      </c>
      <c r="GT287">
        <v>0.59341688668668291</v>
      </c>
      <c r="GU287"/>
      <c r="GV287"/>
      <c r="GW287"/>
      <c r="GX287"/>
      <c r="GY287"/>
      <c r="GZ287"/>
      <c r="HA287"/>
      <c r="HB287"/>
      <c r="HC287"/>
    </row>
    <row r="288" spans="1:211" s="7" customFormat="1">
      <c r="A288" s="1"/>
      <c r="B288">
        <v>0.46600521263698291</v>
      </c>
      <c r="C288">
        <v>2</v>
      </c>
      <c r="D288">
        <v>39847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 s="80"/>
      <c r="AK288" s="81"/>
      <c r="AL288" s="81"/>
      <c r="AM288" s="43">
        <v>272</v>
      </c>
      <c r="AN288">
        <v>46.21413415607789</v>
      </c>
      <c r="AO288">
        <v>1.0758342161734256</v>
      </c>
      <c r="AP288">
        <v>8.4545047848003776</v>
      </c>
      <c r="AQ288">
        <v>8.603194215765896</v>
      </c>
      <c r="AR288">
        <v>0.99976406015765995</v>
      </c>
      <c r="AS288">
        <v>3.8198697056852251</v>
      </c>
      <c r="AT288" t="e">
        <v>#DIV/0!</v>
      </c>
      <c r="AU288" t="e">
        <v>#DIV/0!</v>
      </c>
      <c r="AV288"/>
      <c r="AW288"/>
      <c r="FY288" s="211">
        <v>283</v>
      </c>
      <c r="FZ288">
        <v>0.61955938073623207</v>
      </c>
      <c r="GA288">
        <v>1.3285211714923011</v>
      </c>
      <c r="GB288">
        <v>0.86617860697684679</v>
      </c>
      <c r="GC288">
        <v>0.77315495057387063</v>
      </c>
      <c r="GD288">
        <v>0.35636164451878172</v>
      </c>
      <c r="GE288">
        <v>3.0832901432324998E-2</v>
      </c>
      <c r="GF288">
        <v>0.86857626516779707</v>
      </c>
      <c r="GG288">
        <v>0.76829061536607923</v>
      </c>
      <c r="GH288">
        <v>0.11249442504775362</v>
      </c>
      <c r="GI288">
        <v>0.67911875883343087</v>
      </c>
      <c r="GJ288"/>
      <c r="GK288">
        <v>0.61714687499999987</v>
      </c>
      <c r="GL288">
        <v>1.1186625000000001</v>
      </c>
      <c r="GM288">
        <v>1.4220767045454543</v>
      </c>
      <c r="GN288">
        <v>2.2663932224025967</v>
      </c>
      <c r="GO288">
        <v>1.3548790178571426</v>
      </c>
      <c r="GP288">
        <v>5.7890625000000001E-2</v>
      </c>
      <c r="GQ288">
        <v>1.0475339673913044</v>
      </c>
      <c r="GR288">
        <v>1.0690548007246377</v>
      </c>
      <c r="GS288">
        <v>0.11895232371794871</v>
      </c>
      <c r="GT288">
        <v>0.91211777770237012</v>
      </c>
      <c r="GU288"/>
      <c r="GV288"/>
      <c r="GW288"/>
      <c r="GX288"/>
      <c r="GY288"/>
      <c r="GZ288"/>
      <c r="HA288"/>
      <c r="HB288"/>
      <c r="HC288"/>
    </row>
    <row r="289" spans="1:211" s="7" customFormat="1">
      <c r="A289" s="1"/>
      <c r="B289">
        <v>0.9315642794487049</v>
      </c>
      <c r="C289">
        <v>2</v>
      </c>
      <c r="D289">
        <v>39847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 s="80"/>
      <c r="AK289" s="81"/>
      <c r="AL289" s="81"/>
      <c r="AM289" s="43">
        <v>273</v>
      </c>
      <c r="AN289">
        <v>27.210318657377478</v>
      </c>
      <c r="AO289">
        <v>0.67871251109674646</v>
      </c>
      <c r="AP289">
        <v>1.2904708078562876</v>
      </c>
      <c r="AQ289">
        <v>5.2209754130720327</v>
      </c>
      <c r="AR289">
        <v>0.63733070283270665</v>
      </c>
      <c r="AS289">
        <v>2.0984881918515388</v>
      </c>
      <c r="AT289" t="e">
        <v>#DIV/0!</v>
      </c>
      <c r="AU289" t="e">
        <v>#DIV/0!</v>
      </c>
      <c r="AV289"/>
      <c r="AW289"/>
      <c r="FY289" s="211">
        <v>284</v>
      </c>
      <c r="FZ289">
        <v>1.3746701335432137</v>
      </c>
      <c r="GA289">
        <v>1.8097779097469657</v>
      </c>
      <c r="GB289">
        <v>0.90352320355343307</v>
      </c>
      <c r="GC289">
        <v>0.47060706152432752</v>
      </c>
      <c r="GD289">
        <v>0.12023582948797178</v>
      </c>
      <c r="GE289">
        <v>0.16663865826195001</v>
      </c>
      <c r="GF289">
        <v>0.28141922272609687</v>
      </c>
      <c r="GG289">
        <v>0.13862439864731252</v>
      </c>
      <c r="GH289">
        <v>6.8957207506271032E-2</v>
      </c>
      <c r="GI289">
        <v>0.55418244011293272</v>
      </c>
      <c r="GJ289"/>
      <c r="GK289">
        <v>1.369886213235294</v>
      </c>
      <c r="GL289">
        <v>1.524022931985294</v>
      </c>
      <c r="GM289">
        <v>1.48249609375</v>
      </c>
      <c r="GN289">
        <v>1.3804133928571427</v>
      </c>
      <c r="GO289">
        <v>0.45761651785714286</v>
      </c>
      <c r="GP289">
        <v>0.31303125000000004</v>
      </c>
      <c r="GQ289">
        <v>0.33965624999999999</v>
      </c>
      <c r="GR289">
        <v>0.19312499999999999</v>
      </c>
      <c r="GS289">
        <v>7.2881610576923078E-2</v>
      </c>
      <c r="GT289">
        <v>0.74450733708387196</v>
      </c>
      <c r="GU289"/>
      <c r="GV289"/>
      <c r="GW289"/>
      <c r="GX289"/>
      <c r="GY289"/>
      <c r="GZ289"/>
      <c r="HA289"/>
      <c r="HB289"/>
      <c r="HC289"/>
    </row>
    <row r="290" spans="1:211" s="7" customFormat="1">
      <c r="A290" s="1"/>
      <c r="B290">
        <v>0.66455487521959444</v>
      </c>
      <c r="C290">
        <v>8</v>
      </c>
      <c r="D290">
        <v>39847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 s="80"/>
      <c r="AK290" s="81"/>
      <c r="AL290" s="81"/>
      <c r="AM290" s="43">
        <v>274</v>
      </c>
      <c r="AN290">
        <v>37.438650337271667</v>
      </c>
      <c r="AO290">
        <v>0.75826800737650835</v>
      </c>
      <c r="AP290">
        <v>2.1040962712455533</v>
      </c>
      <c r="AQ290">
        <v>5.0919256030129905</v>
      </c>
      <c r="AR290">
        <v>0.70965388126885387</v>
      </c>
      <c r="AS290">
        <v>3.1898183393568513</v>
      </c>
      <c r="AT290" t="e">
        <v>#DIV/0!</v>
      </c>
      <c r="AU290" t="e">
        <v>#DIV/0!</v>
      </c>
      <c r="AV290"/>
      <c r="AW290"/>
      <c r="FY290" s="211">
        <v>285</v>
      </c>
      <c r="FZ290">
        <v>1.1094481683943118</v>
      </c>
      <c r="GA290">
        <v>0.98160558380128504</v>
      </c>
      <c r="GB290">
        <v>1.7902543095242929</v>
      </c>
      <c r="GC290">
        <v>1.2765505589048243</v>
      </c>
      <c r="GD290">
        <v>0.25587778827484925</v>
      </c>
      <c r="GE290">
        <v>0.1406236436361</v>
      </c>
      <c r="GF290">
        <v>0.40076205580648128</v>
      </c>
      <c r="GG290">
        <v>0.27724879729462504</v>
      </c>
      <c r="GH290">
        <v>0</v>
      </c>
      <c r="GI290">
        <v>0.81898914563969261</v>
      </c>
      <c r="GJ290"/>
      <c r="GK290">
        <v>1.105717463235294</v>
      </c>
      <c r="GL290">
        <v>0.82681121323529405</v>
      </c>
      <c r="GM290">
        <v>2.9397691761363638</v>
      </c>
      <c r="GN290">
        <v>3.746482568993506</v>
      </c>
      <c r="GO290">
        <v>0.97321339285714281</v>
      </c>
      <c r="GP290">
        <v>0.26418750000000002</v>
      </c>
      <c r="GQ290">
        <v>0.48393750000000002</v>
      </c>
      <c r="GR290">
        <v>0.38624999999999998</v>
      </c>
      <c r="GS290">
        <v>0</v>
      </c>
      <c r="GT290">
        <v>1.1005275064457603</v>
      </c>
      <c r="GU290"/>
      <c r="GV290"/>
      <c r="GW290"/>
      <c r="GX290"/>
      <c r="GY290"/>
      <c r="GZ290"/>
      <c r="HA290"/>
      <c r="HB290"/>
      <c r="HC290"/>
    </row>
    <row r="291" spans="1:211" s="7" customFormat="1">
      <c r="A291" s="1"/>
      <c r="B291">
        <v>0.57894040675016156</v>
      </c>
      <c r="C291">
        <v>6</v>
      </c>
      <c r="D291">
        <v>39847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 s="80"/>
      <c r="AK291" s="81"/>
      <c r="AL291" s="81"/>
      <c r="AM291" s="43">
        <v>275</v>
      </c>
      <c r="AN291">
        <v>34.986705685618723</v>
      </c>
      <c r="AO291">
        <v>0.65487475083612035</v>
      </c>
      <c r="AP291">
        <v>12.356451577538037</v>
      </c>
      <c r="AQ291">
        <v>4.1654323694363722</v>
      </c>
      <c r="AR291">
        <v>0.61928217077759207</v>
      </c>
      <c r="AS291">
        <v>3.0098117654978433</v>
      </c>
      <c r="AT291" t="e">
        <v>#DIV/0!</v>
      </c>
      <c r="AU291" t="e">
        <v>#DIV/0!</v>
      </c>
      <c r="AV291"/>
      <c r="AW291"/>
      <c r="FY291" s="211">
        <v>286</v>
      </c>
      <c r="FZ291">
        <v>1.4872470532138662</v>
      </c>
      <c r="GA291">
        <v>1.8305827137824557</v>
      </c>
      <c r="GB291">
        <v>0.46671216122210618</v>
      </c>
      <c r="GC291">
        <v>0.65822359610105619</v>
      </c>
      <c r="GD291">
        <v>0.39762684225575351</v>
      </c>
      <c r="GE291">
        <v>7.4193882690599997E-2</v>
      </c>
      <c r="GF291">
        <v>1.0284381956596096</v>
      </c>
      <c r="GG291">
        <v>0.90691501401339158</v>
      </c>
      <c r="GH291">
        <v>6.6522953376906252E-2</v>
      </c>
      <c r="GI291">
        <v>0.75509140236526062</v>
      </c>
      <c r="GJ291"/>
      <c r="GK291">
        <v>1.482236213235294</v>
      </c>
      <c r="GL291">
        <v>1.541814338235294</v>
      </c>
      <c r="GM291">
        <v>0.76574999999999993</v>
      </c>
      <c r="GN291">
        <v>1.9286049107142855</v>
      </c>
      <c r="GO291">
        <v>1.5121205357142857</v>
      </c>
      <c r="GP291">
        <v>0.13931250000000001</v>
      </c>
      <c r="GQ291">
        <v>1.2406589673913042</v>
      </c>
      <c r="GR291">
        <v>1.2621798007246374</v>
      </c>
      <c r="GS291">
        <v>7.0364583333333328E-2</v>
      </c>
      <c r="GT291">
        <v>1.0142260599348432</v>
      </c>
      <c r="GU291"/>
      <c r="GV291"/>
      <c r="GW291"/>
      <c r="GX291"/>
      <c r="GY291"/>
      <c r="GZ291"/>
      <c r="HA291"/>
      <c r="HB291"/>
      <c r="HC291"/>
    </row>
    <row r="292" spans="1:211" s="7" customFormat="1">
      <c r="A292" s="1"/>
      <c r="B292">
        <v>0.53605479114511945</v>
      </c>
      <c r="C292">
        <v>1</v>
      </c>
      <c r="D292">
        <v>39847</v>
      </c>
      <c r="E292">
        <v>10.416666666666666</v>
      </c>
      <c r="F292">
        <v>52.083333333333336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 s="80"/>
      <c r="AK292" s="81"/>
      <c r="AL292" s="81"/>
      <c r="AM292" s="43">
        <v>276</v>
      </c>
      <c r="AN292">
        <v>60.718707823151554</v>
      </c>
      <c r="AO292">
        <v>1.4403418819243414</v>
      </c>
      <c r="AP292">
        <v>2.0603407467277997</v>
      </c>
      <c r="AQ292">
        <v>9.6102701042935372</v>
      </c>
      <c r="AR292">
        <v>1.3174409372389118</v>
      </c>
      <c r="AS292">
        <v>4.6713367197419791</v>
      </c>
      <c r="AT292" t="e">
        <v>#DIV/0!</v>
      </c>
      <c r="AU292" t="e">
        <v>#DIV/0!</v>
      </c>
      <c r="AV292"/>
      <c r="AW292"/>
      <c r="FY292" s="211">
        <v>287</v>
      </c>
      <c r="FZ292">
        <v>1.4091543539099778</v>
      </c>
      <c r="GA292">
        <v>1.9853908671180984</v>
      </c>
      <c r="GB292">
        <v>0.43398431608091481</v>
      </c>
      <c r="GC292">
        <v>0.24633487859838432</v>
      </c>
      <c r="GD292">
        <v>0.10823089384695535</v>
      </c>
      <c r="GE292">
        <v>5.0050519932599999E-2</v>
      </c>
      <c r="GF292">
        <v>0.31972386098362504</v>
      </c>
      <c r="GG292">
        <v>0.27724879729462504</v>
      </c>
      <c r="GH292">
        <v>2.2985735835423678E-2</v>
      </c>
      <c r="GI292">
        <v>0.43746852222067079</v>
      </c>
      <c r="GJ292"/>
      <c r="GK292">
        <v>1.4041518382352942</v>
      </c>
      <c r="GL292">
        <v>1.6720893382352942</v>
      </c>
      <c r="GM292">
        <v>0.71203906249999993</v>
      </c>
      <c r="GN292">
        <v>0.72196986607142855</v>
      </c>
      <c r="GO292">
        <v>0.41183705357142858</v>
      </c>
      <c r="GP292">
        <v>9.4124999999999986E-2</v>
      </c>
      <c r="GQ292">
        <v>0.38624999999999998</v>
      </c>
      <c r="GR292">
        <v>0.38624999999999998</v>
      </c>
      <c r="GS292">
        <v>2.4293870192307693E-2</v>
      </c>
      <c r="GT292">
        <v>0.587714364899806</v>
      </c>
      <c r="GU292"/>
      <c r="GV292"/>
      <c r="GW292"/>
      <c r="GX292"/>
      <c r="GY292"/>
      <c r="GZ292"/>
      <c r="HA292"/>
      <c r="HB292"/>
      <c r="HC292"/>
    </row>
    <row r="293" spans="1:211" s="7" customFormat="1">
      <c r="A293" s="1"/>
      <c r="B293">
        <v>0.10762175964812526</v>
      </c>
      <c r="C293">
        <v>5</v>
      </c>
      <c r="D293">
        <v>39847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 s="80"/>
      <c r="AK293" s="81"/>
      <c r="AL293" s="81"/>
      <c r="AM293" s="43">
        <v>277</v>
      </c>
      <c r="AN293">
        <v>34.650868055555556</v>
      </c>
      <c r="AO293">
        <v>0.7440580781249998</v>
      </c>
      <c r="AP293">
        <v>4.3575968077852698</v>
      </c>
      <c r="AQ293">
        <v>4.0769666422431339</v>
      </c>
      <c r="AR293">
        <v>0.67641643465909096</v>
      </c>
      <c r="AS293">
        <v>2.8851908099514616</v>
      </c>
      <c r="AT293" t="e">
        <v>#DIV/0!</v>
      </c>
      <c r="AU293" t="e">
        <v>#DIV/0!</v>
      </c>
      <c r="AV293"/>
      <c r="AW293"/>
      <c r="FY293" s="211">
        <v>288</v>
      </c>
      <c r="FZ293">
        <v>1.2329675370595607</v>
      </c>
      <c r="GA293">
        <v>1.7854896112661527</v>
      </c>
      <c r="GB293">
        <v>1.3242596654911498</v>
      </c>
      <c r="GC293">
        <v>0.88411784613248334</v>
      </c>
      <c r="GD293">
        <v>0.23362313584607999</v>
      </c>
      <c r="GE293">
        <v>0.10791909033592499</v>
      </c>
      <c r="GF293">
        <v>0.69434057702733132</v>
      </c>
      <c r="GG293">
        <v>0.56679095143493796</v>
      </c>
      <c r="GH293">
        <v>4.5971471670847357E-2</v>
      </c>
      <c r="GI293">
        <v>0.77077930845319176</v>
      </c>
      <c r="GJ293"/>
      <c r="GK293">
        <v>1.228604963235294</v>
      </c>
      <c r="GL293">
        <v>1.5038549632352938</v>
      </c>
      <c r="GM293">
        <v>2.1741704545454543</v>
      </c>
      <c r="GN293">
        <v>2.5936923295454548</v>
      </c>
      <c r="GO293">
        <v>0.88841250000000005</v>
      </c>
      <c r="GP293">
        <v>0.20264062499999999</v>
      </c>
      <c r="GQ293">
        <v>0.83787635869565202</v>
      </c>
      <c r="GR293">
        <v>0.78903260869565206</v>
      </c>
      <c r="GS293">
        <v>4.8587740384615385E-2</v>
      </c>
      <c r="GT293">
        <v>1.0355304033722033</v>
      </c>
      <c r="GU293"/>
      <c r="GV293"/>
      <c r="GW293"/>
      <c r="GX293"/>
      <c r="GY293"/>
      <c r="GZ293"/>
      <c r="HA293"/>
      <c r="HB293"/>
      <c r="HC293"/>
    </row>
    <row r="294" spans="1:211" s="7" customFormat="1">
      <c r="A294" s="1"/>
      <c r="B294">
        <v>0.3219225240343182</v>
      </c>
      <c r="C294">
        <v>2</v>
      </c>
      <c r="D294">
        <v>39847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 s="80"/>
      <c r="AK294" s="81"/>
      <c r="AL294" s="81"/>
      <c r="AM294" s="43">
        <v>278</v>
      </c>
      <c r="AN294">
        <v>37.843093001089322</v>
      </c>
      <c r="AO294">
        <v>0.80029812837009806</v>
      </c>
      <c r="AP294">
        <v>10.931573136339619</v>
      </c>
      <c r="AQ294">
        <v>5.1089665818567322</v>
      </c>
      <c r="AR294">
        <v>0.72754375306372543</v>
      </c>
      <c r="AS294">
        <v>3.1711780586286156</v>
      </c>
      <c r="AT294" t="e">
        <v>#DIV/0!</v>
      </c>
      <c r="AU294" t="e">
        <v>#DIV/0!</v>
      </c>
      <c r="AV294"/>
      <c r="AW294"/>
      <c r="FY294" s="211">
        <v>289</v>
      </c>
      <c r="FZ294">
        <v>0.52319950856759245</v>
      </c>
      <c r="GA294">
        <v>0.80881135432651374</v>
      </c>
      <c r="GB294">
        <v>1.0397383424797393</v>
      </c>
      <c r="GC294">
        <v>0.84357035551392945</v>
      </c>
      <c r="GD294">
        <v>0.31891573193769629</v>
      </c>
      <c r="GE294">
        <v>8.8593614384399985E-2</v>
      </c>
      <c r="GF294">
        <v>0.49395954912409079</v>
      </c>
      <c r="GG294">
        <v>0.47874846122576609</v>
      </c>
      <c r="GH294">
        <v>6.6522953376906252E-2</v>
      </c>
      <c r="GI294">
        <v>0.61150076012552623</v>
      </c>
      <c r="GJ294"/>
      <c r="GK294">
        <v>0.52132500000000004</v>
      </c>
      <c r="GL294">
        <v>0.68094609375000004</v>
      </c>
      <c r="GM294">
        <v>1.7066665482954544</v>
      </c>
      <c r="GN294">
        <v>2.4738311688311683</v>
      </c>
      <c r="GO294">
        <v>1.2128169642857138</v>
      </c>
      <c r="GP294">
        <v>0.16649999999999998</v>
      </c>
      <c r="GQ294">
        <v>0.59590760869565207</v>
      </c>
      <c r="GR294">
        <v>0.66627219202898535</v>
      </c>
      <c r="GS294">
        <v>7.0364583333333328E-2</v>
      </c>
      <c r="GT294">
        <v>0.82141614092203075</v>
      </c>
      <c r="GU294"/>
      <c r="GV294"/>
      <c r="GW294"/>
      <c r="GX294"/>
      <c r="GY294"/>
      <c r="GZ294"/>
      <c r="HA294"/>
      <c r="HB294"/>
      <c r="HC294"/>
    </row>
    <row r="295" spans="1:211" s="7" customFormat="1">
      <c r="A295" s="1"/>
      <c r="B295">
        <v>0.5863835673348996</v>
      </c>
      <c r="C295">
        <v>8</v>
      </c>
      <c r="D295">
        <v>39847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 s="80"/>
      <c r="AK295" s="81"/>
      <c r="AL295" s="81"/>
      <c r="AM295" s="43">
        <v>279</v>
      </c>
      <c r="AN295">
        <v>35.698144304869849</v>
      </c>
      <c r="AO295">
        <v>0.78001873772943542</v>
      </c>
      <c r="AP295">
        <v>1.1872958444621755</v>
      </c>
      <c r="AQ295">
        <v>4.6824558689718465</v>
      </c>
      <c r="AR295">
        <v>0.7207693288799063</v>
      </c>
      <c r="AS295">
        <v>3.033587726256088</v>
      </c>
      <c r="AT295">
        <v>0.57940759019857468</v>
      </c>
      <c r="AU295">
        <v>-6.1219077732667396E-2</v>
      </c>
      <c r="AV295"/>
      <c r="AW295"/>
      <c r="FY295" s="211">
        <v>290</v>
      </c>
      <c r="FZ295">
        <v>1.4127948188568678</v>
      </c>
      <c r="GA295">
        <v>1.5199904358395582</v>
      </c>
      <c r="GB295">
        <v>0.25695609711974293</v>
      </c>
      <c r="GC295">
        <v>0.17357402873635747</v>
      </c>
      <c r="GD295">
        <v>0.11778908119091357</v>
      </c>
      <c r="GE295">
        <v>7.4193882690599997E-2</v>
      </c>
      <c r="GF295">
        <v>0.69434057702733132</v>
      </c>
      <c r="GG295">
        <v>0.61737285987307855</v>
      </c>
      <c r="GH295">
        <v>8.9508689212329934E-2</v>
      </c>
      <c r="GI295">
        <v>0.47793706079739195</v>
      </c>
      <c r="GJ295"/>
      <c r="GK295">
        <v>1.4081268382352941</v>
      </c>
      <c r="GL295">
        <v>1.280322150735294</v>
      </c>
      <c r="GM295">
        <v>0.42141406250000002</v>
      </c>
      <c r="GN295">
        <v>0.50863303571428564</v>
      </c>
      <c r="GO295">
        <v>0.44832053571428565</v>
      </c>
      <c r="GP295">
        <v>0.13931250000000001</v>
      </c>
      <c r="GQ295">
        <v>0.83787635869565202</v>
      </c>
      <c r="GR295">
        <v>0.85939719202898535</v>
      </c>
      <c r="GS295">
        <v>9.465845352564102E-2</v>
      </c>
      <c r="GT295">
        <v>0.64207924973417452</v>
      </c>
      <c r="GU295"/>
      <c r="GV295"/>
      <c r="GW295"/>
      <c r="GX295"/>
      <c r="GY295"/>
      <c r="GZ295"/>
      <c r="HA295"/>
      <c r="HB295"/>
      <c r="HC295"/>
    </row>
    <row r="296" spans="1:211" s="7" customFormat="1">
      <c r="A296" s="1"/>
      <c r="B296">
        <v>0.81972476870568745</v>
      </c>
      <c r="C296">
        <v>6</v>
      </c>
      <c r="D296">
        <v>39847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 s="80"/>
      <c r="AK296" s="81"/>
      <c r="AL296" s="81"/>
      <c r="AM296" s="43">
        <v>280</v>
      </c>
      <c r="AN296">
        <v>41.141032608695653</v>
      </c>
      <c r="AO296">
        <v>1.0269859864130435</v>
      </c>
      <c r="AP296">
        <v>1.3775927459273338</v>
      </c>
      <c r="AQ296">
        <v>6.7581964953078595</v>
      </c>
      <c r="AR296">
        <v>0.95535657855731204</v>
      </c>
      <c r="AS296">
        <v>3.5326789304418371</v>
      </c>
      <c r="AT296" t="e">
        <v>#DIV/0!</v>
      </c>
      <c r="AU296" t="e">
        <v>#DIV/0!</v>
      </c>
      <c r="AV296"/>
      <c r="AW296"/>
      <c r="FY296" s="211">
        <v>291</v>
      </c>
      <c r="FZ296">
        <v>1.3238172328758782</v>
      </c>
      <c r="GA296">
        <v>2.2348831834920952</v>
      </c>
      <c r="GB296">
        <v>0.45946065926521407</v>
      </c>
      <c r="GC296">
        <v>0.32387265960295758</v>
      </c>
      <c r="GD296">
        <v>0.24780269070170999</v>
      </c>
      <c r="GE296">
        <v>0.15513123278114999</v>
      </c>
      <c r="GF296">
        <v>0.78975252949884067</v>
      </c>
      <c r="GG296">
        <v>0.62966621671876666</v>
      </c>
      <c r="GH296">
        <v>0.13548016088317727</v>
      </c>
      <c r="GI296">
        <v>0.61217184115406909</v>
      </c>
      <c r="GJ296"/>
      <c r="GK296">
        <v>1.3190549632352941</v>
      </c>
      <c r="GL296">
        <v>1.8819768382352944</v>
      </c>
      <c r="GM296">
        <v>0.75354687500000006</v>
      </c>
      <c r="GN296">
        <v>0.94885625000000007</v>
      </c>
      <c r="GO296">
        <v>0.94282499999999991</v>
      </c>
      <c r="GP296">
        <v>0.29128124999999999</v>
      </c>
      <c r="GQ296">
        <v>0.95209646739130416</v>
      </c>
      <c r="GR296">
        <v>0.87592980072463755</v>
      </c>
      <c r="GS296">
        <v>0.14324619391025639</v>
      </c>
      <c r="GT296">
        <v>0.82215389990737087</v>
      </c>
      <c r="GU296"/>
      <c r="GV296"/>
      <c r="GW296"/>
      <c r="GX296"/>
      <c r="GY296"/>
      <c r="GZ296"/>
      <c r="HA296"/>
      <c r="HB296"/>
      <c r="HC296"/>
    </row>
    <row r="297" spans="1:211" s="7" customFormat="1">
      <c r="A297" s="1"/>
      <c r="B297">
        <v>0.47902255171663821</v>
      </c>
      <c r="C297">
        <v>4</v>
      </c>
      <c r="D297">
        <v>39847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 s="80"/>
      <c r="AK297" s="81"/>
      <c r="AL297" s="81"/>
      <c r="AM297" s="43">
        <v>281</v>
      </c>
      <c r="AN297">
        <v>38.012851598972922</v>
      </c>
      <c r="AO297">
        <v>1.046973710215336</v>
      </c>
      <c r="AP297">
        <v>1.1631959453654908</v>
      </c>
      <c r="AQ297">
        <v>7.2945366886288294</v>
      </c>
      <c r="AR297">
        <v>0.96266075928666917</v>
      </c>
      <c r="AS297">
        <v>3.5253209128083189</v>
      </c>
      <c r="AT297" t="e">
        <v>#DIV/0!</v>
      </c>
      <c r="AU297" t="e">
        <v>#DIV/0!</v>
      </c>
      <c r="AV297"/>
      <c r="AW297"/>
      <c r="FY297" s="211">
        <v>292</v>
      </c>
      <c r="FZ297">
        <v>1.8555551158408483</v>
      </c>
      <c r="GA297">
        <v>2.2518340128196845</v>
      </c>
      <c r="GB297">
        <v>1.0415784113345565</v>
      </c>
      <c r="GC297">
        <v>0.79664606850617947</v>
      </c>
      <c r="GD297">
        <v>0.22157336382177856</v>
      </c>
      <c r="GE297">
        <v>4.8178868064749992E-3</v>
      </c>
      <c r="GF297">
        <v>0.98791909824818158</v>
      </c>
      <c r="GG297">
        <v>0.856333105575251</v>
      </c>
      <c r="GH297">
        <v>4.5971471670847357E-2</v>
      </c>
      <c r="GI297">
        <v>0.83994157458780327</v>
      </c>
      <c r="GJ297"/>
      <c r="GK297">
        <v>1.849184926470588</v>
      </c>
      <c r="GL297">
        <v>1.8965872702205882</v>
      </c>
      <c r="GM297">
        <v>1.7096821732954544</v>
      </c>
      <c r="GN297">
        <v>2.3365097402597401</v>
      </c>
      <c r="GO297">
        <v>0.84265178571428567</v>
      </c>
      <c r="GP297">
        <v>9.0468749999999994E-3</v>
      </c>
      <c r="GQ297">
        <v>1.1918152173913041</v>
      </c>
      <c r="GR297">
        <v>1.1918152173913041</v>
      </c>
      <c r="GS297">
        <v>4.8587740384615385E-2</v>
      </c>
      <c r="GT297">
        <v>1.1283843686512496</v>
      </c>
      <c r="GU297"/>
      <c r="GV297"/>
      <c r="GW297"/>
      <c r="GX297"/>
      <c r="GY297"/>
      <c r="GZ297"/>
      <c r="HA297"/>
      <c r="HB297"/>
      <c r="HC297"/>
    </row>
    <row r="298" spans="1:211" s="7" customFormat="1">
      <c r="A298" s="1"/>
      <c r="B298">
        <v>0.80704559186329483</v>
      </c>
      <c r="C298">
        <v>1</v>
      </c>
      <c r="D298">
        <v>39910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 s="80"/>
      <c r="AK298" s="81"/>
      <c r="AL298" s="81"/>
      <c r="AM298" s="43">
        <v>282</v>
      </c>
      <c r="AN298">
        <v>27.005455685618735</v>
      </c>
      <c r="AO298">
        <v>0.65032918833612041</v>
      </c>
      <c r="AP298">
        <v>11.569312378355296</v>
      </c>
      <c r="AQ298">
        <v>4.6772786869902925</v>
      </c>
      <c r="AR298">
        <v>0.59341688668668291</v>
      </c>
      <c r="AS298">
        <v>2.2629233328921097</v>
      </c>
      <c r="AT298" t="e">
        <v>#DIV/0!</v>
      </c>
      <c r="AU298" t="e">
        <v>#DIV/0!</v>
      </c>
      <c r="AV298"/>
      <c r="AW298"/>
      <c r="FY298" s="211">
        <v>293</v>
      </c>
      <c r="FZ298">
        <v>1.7137835871284761</v>
      </c>
      <c r="GA298">
        <v>2.1533871516099783</v>
      </c>
      <c r="GB298">
        <v>1.7029779412932489</v>
      </c>
      <c r="GC298">
        <v>1.3078774903749824</v>
      </c>
      <c r="GD298">
        <v>0.36397365029853751</v>
      </c>
      <c r="GE298">
        <v>8.377572757792498E-2</v>
      </c>
      <c r="GF298">
        <v>1.1621547863886474</v>
      </c>
      <c r="GG298">
        <v>1.0578327695063923</v>
      </c>
      <c r="GH298">
        <v>8.9508689212329934E-2</v>
      </c>
      <c r="GI298">
        <v>1.0993326914231645</v>
      </c>
      <c r="GJ298"/>
      <c r="GK298">
        <v>1.7080349264705881</v>
      </c>
      <c r="GL298">
        <v>1.813808363970588</v>
      </c>
      <c r="GM298">
        <v>2.7963629261363634</v>
      </c>
      <c r="GN298">
        <v>3.837620738636363</v>
      </c>
      <c r="GO298">
        <v>1.3841718750000003</v>
      </c>
      <c r="GP298">
        <v>0.15745312499999997</v>
      </c>
      <c r="GQ298">
        <v>1.4014728260869567</v>
      </c>
      <c r="GR298">
        <v>1.47183740942029</v>
      </c>
      <c r="GS298">
        <v>9.465845352564102E-2</v>
      </c>
      <c r="GT298">
        <v>1.4769402014439099</v>
      </c>
      <c r="GU298"/>
      <c r="GV298"/>
      <c r="GW298"/>
      <c r="GX298"/>
      <c r="GY298"/>
      <c r="GZ298"/>
      <c r="HA298"/>
      <c r="HB298"/>
      <c r="HC298"/>
    </row>
    <row r="299" spans="1:211" s="7" customFormat="1">
      <c r="A299" s="1"/>
      <c r="B299">
        <v>0.87601209991801299</v>
      </c>
      <c r="C299">
        <v>2</v>
      </c>
      <c r="D299">
        <v>39910</v>
      </c>
      <c r="E299">
        <v>0</v>
      </c>
      <c r="F299">
        <v>463.76811594202894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 s="80"/>
      <c r="AK299" s="81"/>
      <c r="AL299" s="81"/>
      <c r="AM299" s="43">
        <v>283</v>
      </c>
      <c r="AN299">
        <v>48.47175793208401</v>
      </c>
      <c r="AO299">
        <v>0.99847078143414547</v>
      </c>
      <c r="AP299">
        <v>7.0361269984913877</v>
      </c>
      <c r="AQ299">
        <v>6.4030887201454174</v>
      </c>
      <c r="AR299">
        <v>0.91211777770237012</v>
      </c>
      <c r="AS299">
        <v>4.2120861860433916</v>
      </c>
      <c r="AT299" t="e">
        <v>#DIV/0!</v>
      </c>
      <c r="AU299" t="e">
        <v>#DIV/0!</v>
      </c>
      <c r="AV299"/>
      <c r="AW299"/>
      <c r="FY299" s="211">
        <v>294</v>
      </c>
      <c r="FZ299">
        <v>1.9227227773976638</v>
      </c>
      <c r="GA299">
        <v>2.1528496232997849</v>
      </c>
      <c r="GB299">
        <v>0.23494189383012304</v>
      </c>
      <c r="GC299">
        <v>0.16948140487753435</v>
      </c>
      <c r="GD299">
        <v>6.8879280746539276E-2</v>
      </c>
      <c r="GE299">
        <v>5.0050519932599999E-2</v>
      </c>
      <c r="GF299">
        <v>0.31972386098362504</v>
      </c>
      <c r="GG299">
        <v>0.27724879729462504</v>
      </c>
      <c r="GH299">
        <v>0</v>
      </c>
      <c r="GI299">
        <v>0.43910038352287872</v>
      </c>
      <c r="GJ299"/>
      <c r="GK299">
        <v>1.916188051470588</v>
      </c>
      <c r="GL299">
        <v>1.8133560202205881</v>
      </c>
      <c r="GM299">
        <v>0.38541015624999997</v>
      </c>
      <c r="GN299">
        <v>0.49688058035714278</v>
      </c>
      <c r="GO299">
        <v>0.26213839285714285</v>
      </c>
      <c r="GP299">
        <v>9.4124999999999986E-2</v>
      </c>
      <c r="GQ299">
        <v>0.38624999999999998</v>
      </c>
      <c r="GR299">
        <v>0.38624999999999998</v>
      </c>
      <c r="GS299">
        <v>0</v>
      </c>
      <c r="GT299">
        <v>0.58999732011554606</v>
      </c>
      <c r="GU299"/>
      <c r="GV299"/>
      <c r="GW299"/>
      <c r="GX299"/>
      <c r="GY299"/>
      <c r="GZ299"/>
      <c r="HA299"/>
      <c r="HB299"/>
      <c r="HC299"/>
    </row>
    <row r="300" spans="1:211" s="7" customFormat="1">
      <c r="A300" s="1"/>
      <c r="B300">
        <v>0.49047435604774248</v>
      </c>
      <c r="C300">
        <v>3</v>
      </c>
      <c r="D300">
        <v>39910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 s="80"/>
      <c r="AK300" s="81"/>
      <c r="AL300" s="81"/>
      <c r="AM300" s="43">
        <v>284</v>
      </c>
      <c r="AN300">
        <v>34.70577360751993</v>
      </c>
      <c r="AO300">
        <v>0.78776365973456686</v>
      </c>
      <c r="AP300">
        <v>1.2085555925822713</v>
      </c>
      <c r="AQ300">
        <v>5.8886360651104734</v>
      </c>
      <c r="AR300">
        <v>0.74450733708387196</v>
      </c>
      <c r="AS300">
        <v>2.6882260003291525</v>
      </c>
      <c r="AT300" t="e">
        <v>#DIV/0!</v>
      </c>
      <c r="AU300" t="e">
        <v>#DIV/0!</v>
      </c>
      <c r="AV300"/>
      <c r="AW300"/>
      <c r="FY300" s="211">
        <v>295</v>
      </c>
      <c r="FZ300">
        <v>1.1166638089657754</v>
      </c>
      <c r="GA300">
        <v>1.2915906662685064</v>
      </c>
      <c r="GB300">
        <v>0.93749940401140885</v>
      </c>
      <c r="GC300">
        <v>0.66269537468453887</v>
      </c>
      <c r="GD300">
        <v>0.1651186031745375</v>
      </c>
      <c r="GE300">
        <v>4.8178868064749992E-3</v>
      </c>
      <c r="GF300">
        <v>1.3220167168804597</v>
      </c>
      <c r="GG300">
        <v>1.3482028934681267</v>
      </c>
      <c r="GH300">
        <v>0.28907754934304869</v>
      </c>
      <c r="GI300">
        <v>0.77123188367045681</v>
      </c>
      <c r="GJ300"/>
      <c r="GK300">
        <v>1.112954963235294</v>
      </c>
      <c r="GL300">
        <v>1.0879823069852939</v>
      </c>
      <c r="GM300">
        <v>1.5389087357954543</v>
      </c>
      <c r="GN300">
        <v>1.9435688920454544</v>
      </c>
      <c r="GO300">
        <v>0.62779687500000003</v>
      </c>
      <c r="GP300">
        <v>9.0468749999999994E-3</v>
      </c>
      <c r="GQ300">
        <v>1.5945978260869564</v>
      </c>
      <c r="GR300">
        <v>1.8760561594202898</v>
      </c>
      <c r="GS300">
        <v>0.30575220352564103</v>
      </c>
      <c r="GT300">
        <v>1.0360021207286692</v>
      </c>
      <c r="GU300"/>
      <c r="GV300"/>
      <c r="GW300"/>
      <c r="GX300"/>
      <c r="GY300"/>
      <c r="GZ300"/>
      <c r="HA300"/>
      <c r="HB300"/>
      <c r="HC300"/>
    </row>
    <row r="301" spans="1:211" s="7" customFormat="1">
      <c r="A301" s="1"/>
      <c r="B301">
        <v>0.94317184649120556</v>
      </c>
      <c r="C301">
        <v>8</v>
      </c>
      <c r="D301">
        <v>39910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 s="80"/>
      <c r="AK301" s="81"/>
      <c r="AL301" s="81"/>
      <c r="AM301" s="43">
        <v>285</v>
      </c>
      <c r="AN301">
        <v>43.284205765639591</v>
      </c>
      <c r="AO301">
        <v>1.1826896320903362</v>
      </c>
      <c r="AP301">
        <v>31.177595573649814</v>
      </c>
      <c r="AQ301">
        <v>7.051360051276462</v>
      </c>
      <c r="AR301">
        <v>1.1005275064457603</v>
      </c>
      <c r="AS301">
        <v>3.883442300319969</v>
      </c>
      <c r="AT301" t="e">
        <v>#DIV/0!</v>
      </c>
      <c r="AU301" t="e">
        <v>#DIV/0!</v>
      </c>
      <c r="AV301"/>
      <c r="AW301"/>
      <c r="FY301" s="211">
        <v>296</v>
      </c>
      <c r="FZ301">
        <v>1.0149693775423287</v>
      </c>
      <c r="GA301">
        <v>1.1218507105006514</v>
      </c>
      <c r="GB301">
        <v>1.4406695917541752</v>
      </c>
      <c r="GC301">
        <v>0.85787637327038535</v>
      </c>
      <c r="GD301">
        <v>0.1083514164969118</v>
      </c>
      <c r="GE301">
        <v>0.11460862901025</v>
      </c>
      <c r="GF301">
        <v>0.20038102790324064</v>
      </c>
      <c r="GG301">
        <v>0.29037012396173439</v>
      </c>
      <c r="GH301">
        <v>0.19956886013071873</v>
      </c>
      <c r="GI301">
        <v>0.63141121116529009</v>
      </c>
      <c r="GJ301"/>
      <c r="GK301">
        <v>1.0116112132352939</v>
      </c>
      <c r="GL301">
        <v>0.94496668198529399</v>
      </c>
      <c r="GM301">
        <v>2.3654151278409086</v>
      </c>
      <c r="GN301">
        <v>2.5185386769480518</v>
      </c>
      <c r="GO301">
        <v>0.41235401785714282</v>
      </c>
      <c r="GP301">
        <v>0.21534374999999997</v>
      </c>
      <c r="GQ301">
        <v>0.24196875000000001</v>
      </c>
      <c r="GR301">
        <v>0.40421875000000002</v>
      </c>
      <c r="GS301">
        <v>0.21109375</v>
      </c>
      <c r="GT301">
        <v>0.84848857178666925</v>
      </c>
      <c r="GU301"/>
      <c r="GV301"/>
      <c r="GW301"/>
      <c r="GX301"/>
      <c r="GY301"/>
      <c r="GZ301"/>
      <c r="HA301"/>
      <c r="HB301"/>
      <c r="HC301"/>
    </row>
    <row r="302" spans="1:211" s="7" customFormat="1">
      <c r="A302" s="1"/>
      <c r="B302">
        <v>0.53964092277828457</v>
      </c>
      <c r="C302">
        <v>3</v>
      </c>
      <c r="D302">
        <v>39910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 s="80"/>
      <c r="AK302" s="81"/>
      <c r="AL302" s="81"/>
      <c r="AM302" s="43">
        <v>286</v>
      </c>
      <c r="AN302">
        <v>52.837186988321889</v>
      </c>
      <c r="AO302">
        <v>1.0957267909283277</v>
      </c>
      <c r="AP302">
        <v>0.5491167798670058</v>
      </c>
      <c r="AQ302">
        <v>7.6715538146810065</v>
      </c>
      <c r="AR302">
        <v>1.0142260599348436</v>
      </c>
      <c r="AS302">
        <v>4.3768380042182775</v>
      </c>
      <c r="AT302" t="e">
        <v>#DIV/0!</v>
      </c>
      <c r="AU302" t="e">
        <v>#DIV/0!</v>
      </c>
      <c r="AV302"/>
      <c r="AW302"/>
      <c r="FY302" s="211">
        <v>297</v>
      </c>
      <c r="FZ302">
        <v>2.0372257263147358</v>
      </c>
      <c r="GA302">
        <v>2.0718117911660201</v>
      </c>
      <c r="GB302">
        <v>0.11500430342607421</v>
      </c>
      <c r="GC302">
        <v>0.11017469232779374</v>
      </c>
      <c r="GD302">
        <v>7.2144890290366054E-2</v>
      </c>
      <c r="GE302">
        <v>4.0468675045275002E-2</v>
      </c>
      <c r="GF302">
        <v>0.36024295839505316</v>
      </c>
      <c r="GG302">
        <v>0.32783070573276563</v>
      </c>
      <c r="GH302">
        <v>0.11249442504775362</v>
      </c>
      <c r="GI302">
        <v>0.45363283001087151</v>
      </c>
      <c r="GJ302"/>
      <c r="GK302">
        <v>2.0303099264705877</v>
      </c>
      <c r="GL302">
        <v>1.7449583639705879</v>
      </c>
      <c r="GM302">
        <v>0.1884765625</v>
      </c>
      <c r="GN302">
        <v>0.3228236607142857</v>
      </c>
      <c r="GO302">
        <v>0.27457366071428568</v>
      </c>
      <c r="GP302">
        <v>7.5984375000000007E-2</v>
      </c>
      <c r="GQ302">
        <v>0.43509375</v>
      </c>
      <c r="GR302">
        <v>0.45661458333333332</v>
      </c>
      <c r="GS302">
        <v>0.11895232371794871</v>
      </c>
      <c r="GT302">
        <v>0.60948124468056442</v>
      </c>
      <c r="GU302"/>
      <c r="GV302"/>
      <c r="GW302"/>
      <c r="GX302"/>
      <c r="GY302"/>
      <c r="GZ302"/>
      <c r="HA302"/>
      <c r="HB302"/>
      <c r="HC302"/>
    </row>
    <row r="303" spans="1:211" s="7" customFormat="1">
      <c r="A303" s="1"/>
      <c r="B303">
        <v>0.15518947627686708</v>
      </c>
      <c r="C303">
        <v>6</v>
      </c>
      <c r="D303">
        <v>39910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 s="80"/>
      <c r="AK303" s="81"/>
      <c r="AL303" s="81"/>
      <c r="AM303" s="43">
        <v>287</v>
      </c>
      <c r="AN303">
        <v>28.044164556848379</v>
      </c>
      <c r="AO303">
        <v>0.64007203937055601</v>
      </c>
      <c r="AP303">
        <v>4.542894613841411</v>
      </c>
      <c r="AQ303">
        <v>5.2905727458212768</v>
      </c>
      <c r="AR303">
        <v>0.587714364899806</v>
      </c>
      <c r="AS303">
        <v>2.22175534044379</v>
      </c>
      <c r="AT303" t="e">
        <v>#DIV/0!</v>
      </c>
      <c r="AU303" t="e">
        <v>#DIV/0!</v>
      </c>
      <c r="AV303"/>
      <c r="AW303"/>
      <c r="FY303" s="211">
        <v>298</v>
      </c>
      <c r="FZ303">
        <v>0.9283095226823147</v>
      </c>
      <c r="GA303">
        <v>1.2177613605825557</v>
      </c>
      <c r="GB303">
        <v>0.33711420933026714</v>
      </c>
      <c r="GC303">
        <v>0.17577610352129061</v>
      </c>
      <c r="GD303">
        <v>0.11258031637311426</v>
      </c>
      <c r="GE303">
        <v>8.8593614384399985E-2</v>
      </c>
      <c r="GF303">
        <v>0.97354534059952824</v>
      </c>
      <c r="GG303">
        <v>0.8946216571677037</v>
      </c>
      <c r="GH303">
        <v>0.13548016088317727</v>
      </c>
      <c r="GI303">
        <v>0.48019328517631465</v>
      </c>
      <c r="GJ303"/>
      <c r="GK303">
        <v>0.92494687499999995</v>
      </c>
      <c r="GL303">
        <v>1.0252359375</v>
      </c>
      <c r="GM303">
        <v>0.55298437499999997</v>
      </c>
      <c r="GN303">
        <v>0.51570870535714275</v>
      </c>
      <c r="GO303">
        <v>0.42873214285714278</v>
      </c>
      <c r="GP303">
        <v>0.16649999999999998</v>
      </c>
      <c r="GQ303">
        <v>1.1752826086956523</v>
      </c>
      <c r="GR303">
        <v>1.2456471920289856</v>
      </c>
      <c r="GS303">
        <v>0.14324619391025639</v>
      </c>
      <c r="GT303">
        <v>0.64503843909261027</v>
      </c>
      <c r="GU303"/>
      <c r="GV303"/>
      <c r="GW303"/>
      <c r="GX303"/>
      <c r="GY303"/>
      <c r="GZ303"/>
      <c r="HA303"/>
      <c r="HB303"/>
      <c r="HC303"/>
    </row>
    <row r="304" spans="1:211" s="7" customFormat="1">
      <c r="A304" s="1"/>
      <c r="B304">
        <v>0.68698662090429674</v>
      </c>
      <c r="C304">
        <v>4</v>
      </c>
      <c r="D304">
        <v>39910</v>
      </c>
      <c r="E304">
        <v>0</v>
      </c>
      <c r="F304">
        <v>69.444444444444443</v>
      </c>
      <c r="G304">
        <v>69.444444444444443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 s="80"/>
      <c r="AK304" s="81"/>
      <c r="AL304" s="81"/>
      <c r="AM304" s="43">
        <v>288</v>
      </c>
      <c r="AN304">
        <v>47.332705559927419</v>
      </c>
      <c r="AO304">
        <v>1.130240294670962</v>
      </c>
      <c r="AP304">
        <v>1.2618060565857352</v>
      </c>
      <c r="AQ304">
        <v>7.6462591947176595</v>
      </c>
      <c r="AR304">
        <v>1.035530403372203</v>
      </c>
      <c r="AS304">
        <v>3.9805789622991212</v>
      </c>
      <c r="AT304" t="e">
        <v>#DIV/0!</v>
      </c>
      <c r="AU304" t="e">
        <v>#DIV/0!</v>
      </c>
      <c r="AV304"/>
      <c r="AW304"/>
      <c r="FY304" s="211">
        <v>299</v>
      </c>
      <c r="FZ304">
        <v>1.2510680643081256</v>
      </c>
      <c r="GA304">
        <v>1.7709071188987984</v>
      </c>
      <c r="GB304">
        <v>0.73664727805319397</v>
      </c>
      <c r="GC304">
        <v>0.715253915195592</v>
      </c>
      <c r="GD304">
        <v>0.37059694616515176</v>
      </c>
      <c r="GE304">
        <v>8.377572757792498E-2</v>
      </c>
      <c r="GF304">
        <v>0.15986193049181252</v>
      </c>
      <c r="GG304">
        <v>0.39153394083801563</v>
      </c>
      <c r="GH304">
        <v>0.33261476688453123</v>
      </c>
      <c r="GI304">
        <v>0.65662460353324437</v>
      </c>
      <c r="GJ304"/>
      <c r="GK304">
        <v>1.2468299632352939</v>
      </c>
      <c r="GL304">
        <v>1.4916229319852941</v>
      </c>
      <c r="GM304">
        <v>1.2094946732954543</v>
      </c>
      <c r="GN304">
        <v>2.0969338474025974</v>
      </c>
      <c r="GO304">
        <v>1.4092165178571427</v>
      </c>
      <c r="GP304">
        <v>0.15745312499999997</v>
      </c>
      <c r="GQ304">
        <v>0.19312499999999999</v>
      </c>
      <c r="GR304">
        <v>0.54494791666666664</v>
      </c>
      <c r="GS304">
        <v>0.35182291666666665</v>
      </c>
      <c r="GT304">
        <v>0.88209781421091149</v>
      </c>
      <c r="GU304"/>
      <c r="GV304"/>
      <c r="GW304"/>
      <c r="GX304"/>
      <c r="GY304"/>
      <c r="GZ304"/>
      <c r="HA304"/>
      <c r="HB304"/>
      <c r="HC304"/>
    </row>
    <row r="305" spans="1:211" s="7" customFormat="1">
      <c r="A305" s="1"/>
      <c r="B305">
        <v>0.12136574795711219</v>
      </c>
      <c r="C305">
        <v>3</v>
      </c>
      <c r="D305">
        <v>39910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 s="80"/>
      <c r="AK305" s="81"/>
      <c r="AL305" s="81"/>
      <c r="AM305" s="43">
        <v>289</v>
      </c>
      <c r="AN305">
        <v>40.329929764780303</v>
      </c>
      <c r="AO305">
        <v>0.89160463001423396</v>
      </c>
      <c r="AP305">
        <v>6.9056920333497951</v>
      </c>
      <c r="AQ305">
        <v>5.2735606310621614</v>
      </c>
      <c r="AR305">
        <v>0.82141614092203086</v>
      </c>
      <c r="AS305">
        <v>3.5152191952357557</v>
      </c>
      <c r="AT305" t="e">
        <v>#DIV/0!</v>
      </c>
      <c r="AU305" t="e">
        <v>#DIV/0!</v>
      </c>
      <c r="AV305"/>
      <c r="AW305"/>
      <c r="FY305" s="211">
        <v>300</v>
      </c>
      <c r="FZ305">
        <v>1.414638147533448</v>
      </c>
      <c r="GA305">
        <v>2.0735649757208625</v>
      </c>
      <c r="GB305">
        <v>0.57552458661866956</v>
      </c>
      <c r="GC305">
        <v>0.55940785254506564</v>
      </c>
      <c r="GD305">
        <v>0.36347005727545184</v>
      </c>
      <c r="GE305">
        <v>3.8543094451799993E-2</v>
      </c>
      <c r="GF305">
        <v>0.66819523726455643</v>
      </c>
      <c r="GG305">
        <v>0.68024812515690725</v>
      </c>
      <c r="GH305">
        <v>0.20200311426008355</v>
      </c>
      <c r="GI305">
        <v>0.70812505666159309</v>
      </c>
      <c r="GJ305"/>
      <c r="GK305">
        <v>1.409729963235294</v>
      </c>
      <c r="GL305">
        <v>1.7463862132352941</v>
      </c>
      <c r="GM305">
        <v>0.9444296875</v>
      </c>
      <c r="GN305">
        <v>1.6385212053571427</v>
      </c>
      <c r="GO305">
        <v>1.382029017857143</v>
      </c>
      <c r="GP305">
        <v>7.2374999999999995E-2</v>
      </c>
      <c r="GQ305">
        <v>0.80556521739130427</v>
      </c>
      <c r="GR305">
        <v>0.94629438405797084</v>
      </c>
      <c r="GS305">
        <v>0.21361077724358973</v>
      </c>
      <c r="GT305">
        <v>0.951072932645466</v>
      </c>
      <c r="GU305"/>
      <c r="GV305"/>
      <c r="GW305"/>
      <c r="GX305"/>
      <c r="GY305"/>
      <c r="GZ305"/>
      <c r="HA305"/>
      <c r="HB305"/>
      <c r="HC305"/>
    </row>
    <row r="306" spans="1:211" s="7" customFormat="1">
      <c r="A306" s="1"/>
      <c r="B306">
        <v>0.88947891442678717</v>
      </c>
      <c r="C306">
        <v>2</v>
      </c>
      <c r="D306">
        <v>39910</v>
      </c>
      <c r="E306">
        <v>0</v>
      </c>
      <c r="F306">
        <v>463.76811594202894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 s="80"/>
      <c r="AK306" s="81"/>
      <c r="AL306" s="81"/>
      <c r="AM306" s="43">
        <v>290</v>
      </c>
      <c r="AN306">
        <v>29.344258012104877</v>
      </c>
      <c r="AO306">
        <v>0.6640140376883612</v>
      </c>
      <c r="AP306">
        <v>0.36096866685184659</v>
      </c>
      <c r="AQ306">
        <v>5.4344575313441714</v>
      </c>
      <c r="AR306">
        <v>0.64207924973417452</v>
      </c>
      <c r="AS306">
        <v>2.5096505720694862</v>
      </c>
      <c r="AT306">
        <v>0.48660179097364958</v>
      </c>
      <c r="AU306">
        <v>0.36087502703688656</v>
      </c>
      <c r="AV306"/>
      <c r="AW306"/>
      <c r="FY306" s="211">
        <v>301</v>
      </c>
      <c r="FZ306">
        <v>1.1329785698552555</v>
      </c>
      <c r="GA306">
        <v>2.125626041365253</v>
      </c>
      <c r="GB306">
        <v>1.4565159385980784</v>
      </c>
      <c r="GC306">
        <v>0.82193709297686035</v>
      </c>
      <c r="GD306">
        <v>0.25258978544048677</v>
      </c>
      <c r="GE306">
        <v>0.12713670883619999</v>
      </c>
      <c r="GF306">
        <v>0.31972386098362504</v>
      </c>
      <c r="GG306">
        <v>0.27724879729462504</v>
      </c>
      <c r="GH306">
        <v>0</v>
      </c>
      <c r="GI306">
        <v>0.72447572424258255</v>
      </c>
      <c r="GJ306"/>
      <c r="GK306">
        <v>1.1291268382352941</v>
      </c>
      <c r="GL306">
        <v>1.7902635569852943</v>
      </c>
      <c r="GM306">
        <v>2.3913213778409088</v>
      </c>
      <c r="GN306">
        <v>2.4119761769480519</v>
      </c>
      <c r="GO306">
        <v>0.96051026785714266</v>
      </c>
      <c r="GP306">
        <v>0.23887499999999998</v>
      </c>
      <c r="GQ306">
        <v>0.38624999999999998</v>
      </c>
      <c r="GR306">
        <v>0.38624999999999998</v>
      </c>
      <c r="GS306">
        <v>0</v>
      </c>
      <c r="GT306">
        <v>0.97344169678666925</v>
      </c>
      <c r="GU306"/>
      <c r="GV306"/>
      <c r="GW306"/>
      <c r="GX306"/>
      <c r="GY306"/>
      <c r="GZ306"/>
      <c r="HA306"/>
      <c r="HB306"/>
      <c r="HC306"/>
    </row>
    <row r="307" spans="1:211" s="7" customFormat="1">
      <c r="A307" s="1"/>
      <c r="B307">
        <v>0.3745061945937973</v>
      </c>
      <c r="C307">
        <v>9</v>
      </c>
      <c r="D307">
        <v>39910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 s="80"/>
      <c r="AK307" s="81"/>
      <c r="AL307" s="81"/>
      <c r="AM307" s="43">
        <v>291</v>
      </c>
      <c r="AN307">
        <v>45.882837171472069</v>
      </c>
      <c r="AO307">
        <v>0.89309675384041576</v>
      </c>
      <c r="AP307">
        <v>0.24415232440386536</v>
      </c>
      <c r="AQ307">
        <v>6.912038406973859</v>
      </c>
      <c r="AR307">
        <v>0.82215389990737098</v>
      </c>
      <c r="AS307">
        <v>3.7956078147082133</v>
      </c>
      <c r="AT307">
        <v>0.74426177034973218</v>
      </c>
      <c r="AU307">
        <v>-0.17877291355811542</v>
      </c>
      <c r="AV307"/>
      <c r="AW307"/>
      <c r="FY307" s="211">
        <v>302</v>
      </c>
      <c r="FZ307">
        <v>1.0840205188456959</v>
      </c>
      <c r="GA307">
        <v>2.0247091750332071</v>
      </c>
      <c r="GB307">
        <v>1.0143526438474204</v>
      </c>
      <c r="GC307">
        <v>0.79402800681959818</v>
      </c>
      <c r="GD307">
        <v>0.37243030509969111</v>
      </c>
      <c r="GE307">
        <v>3.0832901432324998E-2</v>
      </c>
      <c r="GF307">
        <v>0.37461671604370633</v>
      </c>
      <c r="GG307">
        <v>0.39070597101659427</v>
      </c>
      <c r="GH307">
        <v>0.15603164258923619</v>
      </c>
      <c r="GI307">
        <v>0.71141911862195861</v>
      </c>
      <c r="GJ307"/>
      <c r="GK307">
        <v>1.0803112132352939</v>
      </c>
      <c r="GL307">
        <v>1.705260431985294</v>
      </c>
      <c r="GM307">
        <v>1.6650415482954544</v>
      </c>
      <c r="GN307">
        <v>2.3276816152597402</v>
      </c>
      <c r="GO307">
        <v>1.4161674107142856</v>
      </c>
      <c r="GP307">
        <v>5.7890625000000001E-2</v>
      </c>
      <c r="GQ307">
        <v>0.45162635869565215</v>
      </c>
      <c r="GR307">
        <v>0.54351177536231876</v>
      </c>
      <c r="GS307">
        <v>0.16502303685897435</v>
      </c>
      <c r="GT307">
        <v>0.9556339135599321</v>
      </c>
      <c r="GU307"/>
      <c r="GV307"/>
      <c r="GW307"/>
      <c r="GX307"/>
      <c r="GY307"/>
      <c r="GZ307"/>
      <c r="HA307"/>
      <c r="HB307"/>
      <c r="HC307"/>
    </row>
    <row r="308" spans="1:211" s="7" customFormat="1">
      <c r="A308" s="1"/>
      <c r="B308">
        <v>0.11645985095198252</v>
      </c>
      <c r="C308">
        <v>10</v>
      </c>
      <c r="D308">
        <v>39949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 s="80"/>
      <c r="AK308" s="81"/>
      <c r="AL308" s="81"/>
      <c r="AM308" s="43">
        <v>292</v>
      </c>
      <c r="AN308">
        <v>53.439218735849977</v>
      </c>
      <c r="AO308">
        <v>1.2204265314779132</v>
      </c>
      <c r="AP308">
        <v>12.897732640177829</v>
      </c>
      <c r="AQ308">
        <v>8.9021701092116068</v>
      </c>
      <c r="AR308">
        <v>1.1283843686512496</v>
      </c>
      <c r="AS308">
        <v>4.0739642631929103</v>
      </c>
      <c r="AT308" t="e">
        <v>#DIV/0!</v>
      </c>
      <c r="AU308" t="e">
        <v>#DIV/0!</v>
      </c>
      <c r="AV308"/>
      <c r="AW308"/>
      <c r="FY308" s="211">
        <v>303</v>
      </c>
      <c r="FZ308">
        <v>1.0748812474577085</v>
      </c>
      <c r="GA308">
        <v>1.3899882043904981</v>
      </c>
      <c r="GB308">
        <v>0.3582750011606648</v>
      </c>
      <c r="GC308">
        <v>0.40303143142124931</v>
      </c>
      <c r="GD308">
        <v>0.26868613531983426</v>
      </c>
      <c r="GE308">
        <v>0.14249529550395001</v>
      </c>
      <c r="GF308">
        <v>0.57499774394694703</v>
      </c>
      <c r="GG308">
        <v>0.47874846122576609</v>
      </c>
      <c r="GH308">
        <v>8.9508689212329934E-2</v>
      </c>
      <c r="GI308">
        <v>0.5165734460684196</v>
      </c>
      <c r="GJ308"/>
      <c r="GK308">
        <v>1.0712830882352942</v>
      </c>
      <c r="GL308">
        <v>1.1707049632352939</v>
      </c>
      <c r="GM308">
        <v>0.58766406250000003</v>
      </c>
      <c r="GN308">
        <v>1.1808430803571426</v>
      </c>
      <c r="GO308">
        <v>1.0221321428571428</v>
      </c>
      <c r="GP308">
        <v>0.26784374999999999</v>
      </c>
      <c r="GQ308">
        <v>0.69359510869565222</v>
      </c>
      <c r="GR308">
        <v>0.66627219202898535</v>
      </c>
      <c r="GS308">
        <v>9.465845352564102E-2</v>
      </c>
      <c r="GT308">
        <v>0.69386657116274586</v>
      </c>
      <c r="GU308"/>
      <c r="GV308"/>
      <c r="GW308"/>
      <c r="GX308"/>
      <c r="GY308"/>
      <c r="GZ308"/>
      <c r="HA308"/>
      <c r="HB308"/>
      <c r="HC308"/>
    </row>
    <row r="309" spans="1:211" s="7" customFormat="1">
      <c r="A309" s="1"/>
      <c r="B309">
        <v>0.64071935168202554</v>
      </c>
      <c r="C309">
        <v>5</v>
      </c>
      <c r="D309">
        <v>39949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 s="80"/>
      <c r="AK309" s="81"/>
      <c r="AL309" s="81"/>
      <c r="AM309" s="43">
        <v>293</v>
      </c>
      <c r="AN309">
        <v>67.800558757040534</v>
      </c>
      <c r="AO309">
        <v>1.6142360845690704</v>
      </c>
      <c r="AP309">
        <v>16.098446155385311</v>
      </c>
      <c r="AQ309">
        <v>10.734604484813683</v>
      </c>
      <c r="AR309">
        <v>1.4769402014439095</v>
      </c>
      <c r="AS309">
        <v>5.2388300765316069</v>
      </c>
      <c r="AT309" t="e">
        <v>#DIV/0!</v>
      </c>
      <c r="AU309" t="e">
        <v>#DIV/0!</v>
      </c>
      <c r="AV309"/>
      <c r="AW309"/>
      <c r="FY309" s="211">
        <v>304</v>
      </c>
      <c r="FZ309">
        <v>1.4751221332806899</v>
      </c>
      <c r="GA309">
        <v>1.7051009280568983</v>
      </c>
      <c r="GB309">
        <v>0.47100369099221362</v>
      </c>
      <c r="GC309">
        <v>0.19298319698550687</v>
      </c>
      <c r="GD309">
        <v>8.1296100825544254E-2</v>
      </c>
      <c r="GE309">
        <v>3.8543094451799993E-2</v>
      </c>
      <c r="GF309">
        <v>0.33409761863227821</v>
      </c>
      <c r="GG309">
        <v>0.39070597101659427</v>
      </c>
      <c r="GH309">
        <v>0.15603164258923619</v>
      </c>
      <c r="GI309">
        <v>0.46449756275665233</v>
      </c>
      <c r="GJ309"/>
      <c r="GK309">
        <v>1.4698499999999999</v>
      </c>
      <c r="GL309">
        <v>1.4357367187499999</v>
      </c>
      <c r="GM309">
        <v>0.77287890625</v>
      </c>
      <c r="GN309">
        <v>0.56563683035714274</v>
      </c>
      <c r="GO309">
        <v>0.30914464285714277</v>
      </c>
      <c r="GP309">
        <v>7.2374999999999995E-2</v>
      </c>
      <c r="GQ309">
        <v>0.40278260869565213</v>
      </c>
      <c r="GR309">
        <v>0.54351177536231876</v>
      </c>
      <c r="GS309">
        <v>0.16502303685897435</v>
      </c>
      <c r="GT309">
        <v>0.62393583893235371</v>
      </c>
      <c r="GU309"/>
      <c r="GV309"/>
      <c r="GW309"/>
      <c r="GX309"/>
      <c r="GY309"/>
      <c r="GZ309"/>
      <c r="HA309"/>
      <c r="HB309"/>
      <c r="HC309"/>
    </row>
    <row r="310" spans="1:211" s="7" customFormat="1">
      <c r="A310" s="1"/>
      <c r="B310">
        <v>0.37108959765067984</v>
      </c>
      <c r="C310">
        <v>4</v>
      </c>
      <c r="D310">
        <v>39949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 s="80"/>
      <c r="AK310" s="81"/>
      <c r="AL310" s="81"/>
      <c r="AM310" s="43">
        <v>294</v>
      </c>
      <c r="AN310">
        <v>25.891650618580758</v>
      </c>
      <c r="AO310">
        <v>0.63305955212710086</v>
      </c>
      <c r="AP310">
        <v>4.1530788977002056</v>
      </c>
      <c r="AQ310">
        <v>5.6349985418853752</v>
      </c>
      <c r="AR310">
        <v>0.58999732011554618</v>
      </c>
      <c r="AS310">
        <v>1.8672813701849313</v>
      </c>
      <c r="AT310" t="e">
        <v>#DIV/0!</v>
      </c>
      <c r="AU310" t="e">
        <v>#DIV/0!</v>
      </c>
      <c r="AV310"/>
      <c r="AW310"/>
      <c r="FY310" s="211">
        <v>305</v>
      </c>
      <c r="FZ310">
        <v>0.75212270583189755</v>
      </c>
      <c r="GA310">
        <v>1.0764905003505172</v>
      </c>
      <c r="GB310">
        <v>0.77778233541383546</v>
      </c>
      <c r="GC310">
        <v>0.43555922672603076</v>
      </c>
      <c r="GD310">
        <v>0.10113245082825105</v>
      </c>
      <c r="GE310">
        <v>1.4453660419425E-2</v>
      </c>
      <c r="GF310">
        <v>0.6538214796159032</v>
      </c>
      <c r="GG310">
        <v>0.71853667674935984</v>
      </c>
      <c r="GH310">
        <v>0.22255459596614241</v>
      </c>
      <c r="GI310">
        <v>0.51145848328894672</v>
      </c>
      <c r="GJ310"/>
      <c r="GK310">
        <v>0.74940000000000007</v>
      </c>
      <c r="GL310">
        <v>0.90623203125000007</v>
      </c>
      <c r="GM310">
        <v>1.2766118607954544</v>
      </c>
      <c r="GN310">
        <v>1.27841286525974</v>
      </c>
      <c r="GO310">
        <v>0.38499241071428569</v>
      </c>
      <c r="GP310">
        <v>2.7140625000000002E-2</v>
      </c>
      <c r="GQ310">
        <v>0.78903260869565206</v>
      </c>
      <c r="GR310">
        <v>1.0001263586956521</v>
      </c>
      <c r="GS310">
        <v>0.23538762019230769</v>
      </c>
      <c r="GT310">
        <v>0.68708490007954004</v>
      </c>
      <c r="GU310"/>
      <c r="GV310"/>
      <c r="GW310"/>
      <c r="GX310"/>
      <c r="GY310"/>
      <c r="GZ310"/>
      <c r="HA310"/>
      <c r="HB310"/>
      <c r="HC310"/>
    </row>
    <row r="311" spans="1:211" s="7" customFormat="1">
      <c r="A311" s="1"/>
      <c r="B311">
        <v>8.0910539895928224E-2</v>
      </c>
      <c r="C311">
        <v>10</v>
      </c>
      <c r="D311">
        <v>39949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 s="80"/>
      <c r="AK311" s="81"/>
      <c r="AL311" s="81"/>
      <c r="AM311" s="43">
        <v>295</v>
      </c>
      <c r="AN311">
        <v>50.619850015210474</v>
      </c>
      <c r="AO311">
        <v>1.1132666957823054</v>
      </c>
      <c r="AP311">
        <v>15.994486837561576</v>
      </c>
      <c r="AQ311">
        <v>7.9089147872733347</v>
      </c>
      <c r="AR311">
        <v>1.0360021207286692</v>
      </c>
      <c r="AS311">
        <v>4.351452991468058</v>
      </c>
      <c r="AT311" t="e">
        <v>#DIV/0!</v>
      </c>
      <c r="AU311" t="e">
        <v>#DIV/0!</v>
      </c>
      <c r="AV311"/>
      <c r="AW311"/>
      <c r="FY311" s="211">
        <v>306</v>
      </c>
      <c r="FZ311">
        <v>2.0335678501203232</v>
      </c>
      <c r="GA311">
        <v>2.4768792306508232</v>
      </c>
      <c r="GB311">
        <v>0.99669659329609461</v>
      </c>
      <c r="GC311">
        <v>0.43211044564420764</v>
      </c>
      <c r="GD311">
        <v>9.1707025589887484E-2</v>
      </c>
      <c r="GE311">
        <v>9.5283153058725006E-2</v>
      </c>
      <c r="GF311">
        <v>0.6538214796159032</v>
      </c>
      <c r="GG311">
        <v>0.61737285987307855</v>
      </c>
      <c r="GH311">
        <v>6.6522953376906252E-2</v>
      </c>
      <c r="GI311">
        <v>0.72511982268311914</v>
      </c>
      <c r="GJ311"/>
      <c r="GK311">
        <v>2.0268786764705879</v>
      </c>
      <c r="GL311">
        <v>2.0864568014705887</v>
      </c>
      <c r="GM311">
        <v>1.6363501420454545</v>
      </c>
      <c r="GN311">
        <v>1.2688032670454543</v>
      </c>
      <c r="GO311">
        <v>0.34935937499999992</v>
      </c>
      <c r="GP311">
        <v>0.17920312499999999</v>
      </c>
      <c r="GQ311">
        <v>0.78903260869565206</v>
      </c>
      <c r="GR311">
        <v>0.85939719202898535</v>
      </c>
      <c r="GS311">
        <v>7.0364583333333328E-2</v>
      </c>
      <c r="GT311">
        <v>0.97439707710900547</v>
      </c>
      <c r="GU311"/>
      <c r="GV311"/>
      <c r="GW311"/>
      <c r="GX311"/>
      <c r="GY311"/>
      <c r="GZ311"/>
      <c r="HA311"/>
      <c r="HB311"/>
      <c r="HC311"/>
    </row>
    <row r="312" spans="1:211" s="7" customFormat="1">
      <c r="A312" s="1"/>
      <c r="B312">
        <v>0.64937569325102107</v>
      </c>
      <c r="C312">
        <v>8</v>
      </c>
      <c r="D312">
        <v>39949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 s="80"/>
      <c r="AK312" s="81"/>
      <c r="AL312" s="81"/>
      <c r="AM312" s="43">
        <v>296</v>
      </c>
      <c r="AN312">
        <v>32.916671043417367</v>
      </c>
      <c r="AO312">
        <v>0.91739992896533595</v>
      </c>
      <c r="AP312">
        <v>1.7505169351169407</v>
      </c>
      <c r="AQ312">
        <v>5.9800573217356856</v>
      </c>
      <c r="AR312">
        <v>0.84848857178666903</v>
      </c>
      <c r="AS312">
        <v>3.1517150894262516</v>
      </c>
      <c r="AT312" t="e">
        <v>#DIV/0!</v>
      </c>
      <c r="AU312" t="e">
        <v>#DIV/0!</v>
      </c>
      <c r="AV312"/>
      <c r="AW312"/>
      <c r="FY312" s="211">
        <v>307</v>
      </c>
      <c r="FZ312">
        <v>1.2965888041505496</v>
      </c>
      <c r="GA312">
        <v>2.327775617460055</v>
      </c>
      <c r="GB312">
        <v>0.95636490372484106</v>
      </c>
      <c r="GC312">
        <v>0.2583786102203075</v>
      </c>
      <c r="GD312">
        <v>0.10980606039673499</v>
      </c>
      <c r="GE312">
        <v>0.15502337532990002</v>
      </c>
      <c r="GF312">
        <v>0.5344786465355188</v>
      </c>
      <c r="GG312">
        <v>0.52933036966390667</v>
      </c>
      <c r="GH312">
        <v>0.20200311426008355</v>
      </c>
      <c r="GI312">
        <v>0.61604776111618897</v>
      </c>
      <c r="GJ312"/>
      <c r="GK312">
        <v>1.292120588235294</v>
      </c>
      <c r="GL312">
        <v>1.9605698069852942</v>
      </c>
      <c r="GM312">
        <v>1.56954296875</v>
      </c>
      <c r="GN312">
        <v>0.75791874999999997</v>
      </c>
      <c r="GO312">
        <v>0.41810625000000001</v>
      </c>
      <c r="GP312">
        <v>0.291375</v>
      </c>
      <c r="GQ312">
        <v>0.64475135869565214</v>
      </c>
      <c r="GR312">
        <v>0.73663677536231864</v>
      </c>
      <c r="GS312">
        <v>0.21361077724358973</v>
      </c>
      <c r="GT312">
        <v>0.82762638858490711</v>
      </c>
      <c r="GU312"/>
      <c r="GV312"/>
      <c r="GW312"/>
      <c r="GX312"/>
      <c r="GY312"/>
      <c r="GZ312"/>
      <c r="HA312"/>
      <c r="HB312"/>
      <c r="HC312"/>
    </row>
    <row r="313" spans="1:211" s="7" customFormat="1">
      <c r="A313" s="1"/>
      <c r="B313">
        <v>0.59915375678847926</v>
      </c>
      <c r="C313">
        <v>8</v>
      </c>
      <c r="D313">
        <v>39949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 s="80"/>
      <c r="AK313" s="81"/>
      <c r="AL313" s="81"/>
      <c r="AM313" s="43">
        <v>297</v>
      </c>
      <c r="AN313">
        <v>26.829780833273482</v>
      </c>
      <c r="AO313">
        <v>0.62572684511015941</v>
      </c>
      <c r="AP313">
        <v>0.30462520913483132</v>
      </c>
      <c r="AQ313">
        <v>5.7010309977567086</v>
      </c>
      <c r="AR313">
        <v>0.60948124468056442</v>
      </c>
      <c r="AS313">
        <v>2.1496471345246437</v>
      </c>
      <c r="AT313">
        <v>0.45235747245602737</v>
      </c>
      <c r="AU313">
        <v>0.28536485655006572</v>
      </c>
      <c r="AV313"/>
      <c r="AW313"/>
      <c r="FY313" s="211">
        <v>308</v>
      </c>
      <c r="FZ313">
        <v>1.3819259251846492</v>
      </c>
      <c r="GA313">
        <v>1.745165035549451</v>
      </c>
      <c r="GB313">
        <v>0.47284375984703075</v>
      </c>
      <c r="GC313">
        <v>0.39417593502927817</v>
      </c>
      <c r="GD313">
        <v>0.22115302279093929</v>
      </c>
      <c r="GE313">
        <v>7.4193882690599997E-2</v>
      </c>
      <c r="GF313">
        <v>0.85420250751914373</v>
      </c>
      <c r="GG313">
        <v>0.75599725852039101</v>
      </c>
      <c r="GH313">
        <v>8.9508689212329934E-2</v>
      </c>
      <c r="GI313">
        <v>0.61338236290946213</v>
      </c>
      <c r="GJ313"/>
      <c r="GK313">
        <v>1.377217463235294</v>
      </c>
      <c r="GL313">
        <v>1.4699479319852942</v>
      </c>
      <c r="GM313">
        <v>0.77589453124999996</v>
      </c>
      <c r="GN313">
        <v>1.1549274553571429</v>
      </c>
      <c r="GO313">
        <v>0.84113839285714298</v>
      </c>
      <c r="GP313">
        <v>0.13931250000000001</v>
      </c>
      <c r="GQ313">
        <v>1.0310013586956519</v>
      </c>
      <c r="GR313">
        <v>1.0525221920289853</v>
      </c>
      <c r="GS313">
        <v>9.465845352564102E-2</v>
      </c>
      <c r="GT313">
        <v>0.82398203991274599</v>
      </c>
      <c r="GU313"/>
      <c r="GV313"/>
      <c r="GW313"/>
      <c r="GX313"/>
      <c r="GY313"/>
      <c r="GZ313"/>
      <c r="HA313"/>
      <c r="HB313"/>
      <c r="HC313"/>
    </row>
    <row r="314" spans="1:211" s="7" customFormat="1">
      <c r="A314" s="1"/>
      <c r="B314">
        <v>0.18951337771163335</v>
      </c>
      <c r="C314">
        <v>3</v>
      </c>
      <c r="D314">
        <v>39949</v>
      </c>
      <c r="E314">
        <v>0</v>
      </c>
      <c r="F314">
        <v>81.018518518518519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 s="80"/>
      <c r="AK314" s="81"/>
      <c r="AL314" s="81"/>
      <c r="AM314" s="43">
        <v>298</v>
      </c>
      <c r="AN314">
        <v>31.518759511422552</v>
      </c>
      <c r="AO314">
        <v>0.68233224694417893</v>
      </c>
      <c r="AP314">
        <v>12.0032073867314</v>
      </c>
      <c r="AQ314">
        <v>5.3439755707006666</v>
      </c>
      <c r="AR314">
        <v>0.64503843909261016</v>
      </c>
      <c r="AS314">
        <v>2.5980568321634445</v>
      </c>
      <c r="AT314" t="e">
        <v>#DIV/0!</v>
      </c>
      <c r="AU314" t="e">
        <v>#DIV/0!</v>
      </c>
      <c r="AV314"/>
      <c r="AW314"/>
      <c r="FY314" s="211">
        <v>309</v>
      </c>
      <c r="FZ314">
        <v>1.1790714255295414</v>
      </c>
      <c r="GA314">
        <v>1.5375305512608954</v>
      </c>
      <c r="GB314">
        <v>0.4320776242579113</v>
      </c>
      <c r="GC314">
        <v>0.33000751673035</v>
      </c>
      <c r="GD314">
        <v>0.27817633641741424</v>
      </c>
      <c r="GE314">
        <v>0.18103838995574997</v>
      </c>
      <c r="GF314">
        <v>0.74923343208741267</v>
      </c>
      <c r="GG314">
        <v>0.68024812515690725</v>
      </c>
      <c r="GH314">
        <v>0.15603164258923619</v>
      </c>
      <c r="GI314">
        <v>0.5971961045263674</v>
      </c>
      <c r="GJ314"/>
      <c r="GK314">
        <v>1.1748656249999998</v>
      </c>
      <c r="GL314">
        <v>1.2946429687500001</v>
      </c>
      <c r="GM314">
        <v>0.70883984375000009</v>
      </c>
      <c r="GN314">
        <v>0.96660714285714278</v>
      </c>
      <c r="GO314">
        <v>1.0583571428571426</v>
      </c>
      <c r="GP314">
        <v>0.34021874999999996</v>
      </c>
      <c r="GQ314">
        <v>0.90325271739130431</v>
      </c>
      <c r="GR314">
        <v>0.94629438405797084</v>
      </c>
      <c r="GS314">
        <v>0.16502303685897435</v>
      </c>
      <c r="GT314">
        <v>0.8020676731714842</v>
      </c>
      <c r="GU314"/>
      <c r="GV314"/>
      <c r="GW314"/>
      <c r="GX314"/>
      <c r="GY314"/>
      <c r="GZ314"/>
      <c r="HA314"/>
      <c r="HB314"/>
      <c r="HC314"/>
    </row>
    <row r="315" spans="1:211" s="7" customFormat="1">
      <c r="A315" s="1"/>
      <c r="B315">
        <v>0.90322618667943066</v>
      </c>
      <c r="C315">
        <v>6</v>
      </c>
      <c r="D315">
        <v>39949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 s="80"/>
      <c r="AK315" s="81"/>
      <c r="AL315" s="81"/>
      <c r="AM315" s="43">
        <v>299</v>
      </c>
      <c r="AN315">
        <v>42.714356228602547</v>
      </c>
      <c r="AO315">
        <v>0.95835447063200285</v>
      </c>
      <c r="AP315">
        <v>2.7814682012281877</v>
      </c>
      <c r="AQ315">
        <v>6.4688842919463907</v>
      </c>
      <c r="AR315">
        <v>0.88209781421091149</v>
      </c>
      <c r="AS315">
        <v>3.3380951380303632</v>
      </c>
      <c r="AT315" t="e">
        <v>#DIV/0!</v>
      </c>
      <c r="AU315" t="e">
        <v>#DIV/0!</v>
      </c>
      <c r="AV315"/>
      <c r="AW315"/>
      <c r="FY315" s="211">
        <v>310</v>
      </c>
      <c r="FZ315">
        <v>1.3819259251846492</v>
      </c>
      <c r="GA315">
        <v>1.6484597019757337</v>
      </c>
      <c r="GB315">
        <v>0.24453563234972697</v>
      </c>
      <c r="GC315">
        <v>0.35714043508767612</v>
      </c>
      <c r="GD315">
        <v>0.27672302156577427</v>
      </c>
      <c r="GE315">
        <v>0.10979074220377499</v>
      </c>
      <c r="GF315">
        <v>4.0519097411428125E-2</v>
      </c>
      <c r="GG315">
        <v>0</v>
      </c>
      <c r="GH315">
        <v>2.2985735835423678E-2</v>
      </c>
      <c r="GI315">
        <v>0.43241276004982532</v>
      </c>
      <c r="GJ315"/>
      <c r="GK315">
        <v>1.377217463235294</v>
      </c>
      <c r="GL315">
        <v>1.388432306985294</v>
      </c>
      <c r="GM315">
        <v>0.40105859375000003</v>
      </c>
      <c r="GN315">
        <v>1.0463227678571427</v>
      </c>
      <c r="GO315">
        <v>1.0529946428571428</v>
      </c>
      <c r="GP315">
        <v>0.20629687499999999</v>
      </c>
      <c r="GQ315">
        <v>4.8843750000000005E-2</v>
      </c>
      <c r="GR315">
        <v>0</v>
      </c>
      <c r="GS315">
        <v>2.4293870192307693E-2</v>
      </c>
      <c r="GT315">
        <v>0.58088166400694896</v>
      </c>
      <c r="GU315"/>
      <c r="GV315"/>
      <c r="GW315"/>
      <c r="GX315"/>
      <c r="GY315"/>
      <c r="GZ315"/>
      <c r="HA315"/>
      <c r="HB315"/>
      <c r="HC315"/>
    </row>
    <row r="316" spans="1:211" s="7" customFormat="1">
      <c r="A316" s="1"/>
      <c r="B316">
        <v>0.61062170426561035</v>
      </c>
      <c r="C316">
        <v>3</v>
      </c>
      <c r="D316">
        <v>39949</v>
      </c>
      <c r="E316">
        <v>0</v>
      </c>
      <c r="F316">
        <v>81.018518518518519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 s="80"/>
      <c r="AK316" s="81"/>
      <c r="AL316" s="81"/>
      <c r="AM316" s="43">
        <v>300</v>
      </c>
      <c r="AN316">
        <v>51.114864287874198</v>
      </c>
      <c r="AO316">
        <v>1.0110014398523206</v>
      </c>
      <c r="AP316">
        <v>8.1996239214337798</v>
      </c>
      <c r="AQ316">
        <v>7.2837202474884375</v>
      </c>
      <c r="AR316">
        <v>0.95107293264546611</v>
      </c>
      <c r="AS316">
        <v>4.2798616446402047</v>
      </c>
      <c r="AT316" t="e">
        <v>#DIV/0!</v>
      </c>
      <c r="AU316" t="e">
        <v>#DIV/0!</v>
      </c>
      <c r="AV316"/>
      <c r="AW316"/>
      <c r="FY316" s="211">
        <v>311</v>
      </c>
      <c r="FZ316">
        <v>0.77879038863658812</v>
      </c>
      <c r="GA316">
        <v>1.4513356597446614</v>
      </c>
      <c r="GB316">
        <v>1.1198298317220772</v>
      </c>
      <c r="GC316">
        <v>0.61718347493973447</v>
      </c>
      <c r="GD316">
        <v>0.14206092772049356</v>
      </c>
      <c r="GE316">
        <v>9.5391010509975005E-2</v>
      </c>
      <c r="GF316">
        <v>0.41513581345513451</v>
      </c>
      <c r="GG316">
        <v>0.28954215414031298</v>
      </c>
      <c r="GH316">
        <v>0</v>
      </c>
      <c r="GI316">
        <v>0.54414552697188845</v>
      </c>
      <c r="GJ316"/>
      <c r="GK316">
        <v>0.77620496323529398</v>
      </c>
      <c r="GL316">
        <v>1.222290900735294</v>
      </c>
      <c r="GM316">
        <v>1.8380532670454546</v>
      </c>
      <c r="GN316">
        <v>1.8113097402597402</v>
      </c>
      <c r="GO316">
        <v>0.54060803571428573</v>
      </c>
      <c r="GP316">
        <v>0.17910937500000002</v>
      </c>
      <c r="GQ316">
        <v>0.50047010869565223</v>
      </c>
      <c r="GR316">
        <v>0.40278260869565213</v>
      </c>
      <c r="GS316">
        <v>0</v>
      </c>
      <c r="GT316">
        <v>0.73106727493813728</v>
      </c>
      <c r="GU316"/>
      <c r="GV316"/>
      <c r="GW316"/>
      <c r="GX316"/>
      <c r="GY316"/>
      <c r="GZ316"/>
      <c r="HA316"/>
      <c r="HB316"/>
      <c r="HC316"/>
    </row>
    <row r="317" spans="1:211" s="7" customFormat="1">
      <c r="A317" s="1"/>
      <c r="B317">
        <v>0.63244331216500882</v>
      </c>
      <c r="C317">
        <v>10</v>
      </c>
      <c r="D317">
        <v>39949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 s="80"/>
      <c r="AK317" s="81"/>
      <c r="AL317" s="81"/>
      <c r="AM317" s="43">
        <v>301</v>
      </c>
      <c r="AN317">
        <v>41.670143265639595</v>
      </c>
      <c r="AO317">
        <v>1.0668014914653361</v>
      </c>
      <c r="AP317">
        <v>5.2851969377161891</v>
      </c>
      <c r="AQ317">
        <v>7.238232519592966</v>
      </c>
      <c r="AR317">
        <v>0.97344169678666903</v>
      </c>
      <c r="AS317">
        <v>3.3086459545246605</v>
      </c>
      <c r="AT317" t="e">
        <v>#DIV/0!</v>
      </c>
      <c r="AU317" t="e">
        <v>#DIV/0!</v>
      </c>
      <c r="AV317"/>
      <c r="AW317"/>
      <c r="FY317" s="211">
        <v>312</v>
      </c>
      <c r="FZ317">
        <v>0.97677575999995514</v>
      </c>
      <c r="GA317">
        <v>1.3695820335075799</v>
      </c>
      <c r="GB317">
        <v>0.74328104438601317</v>
      </c>
      <c r="GC317">
        <v>0.94934863361807076</v>
      </c>
      <c r="GD317">
        <v>0.5143833178197299</v>
      </c>
      <c r="GE317">
        <v>0.1020805491843</v>
      </c>
      <c r="GF317">
        <v>1.5772905998437816</v>
      </c>
      <c r="GG317">
        <v>1.3473749236467052</v>
      </c>
      <c r="GH317">
        <v>8.9508689212329934E-2</v>
      </c>
      <c r="GI317">
        <v>0.91523127489501843</v>
      </c>
      <c r="GJ317"/>
      <c r="GK317">
        <v>0.9735018382352939</v>
      </c>
      <c r="GL317">
        <v>1.1534784007352941</v>
      </c>
      <c r="GM317">
        <v>1.2200688920454543</v>
      </c>
      <c r="GN317">
        <v>2.7822860795454543</v>
      </c>
      <c r="GO317">
        <v>1.9558499999999999</v>
      </c>
      <c r="GP317">
        <v>0.1918125</v>
      </c>
      <c r="GQ317">
        <v>1.9019429347826085</v>
      </c>
      <c r="GR317">
        <v>1.8746200181159418</v>
      </c>
      <c r="GS317">
        <v>9.465845352564102E-2</v>
      </c>
      <c r="GT317">
        <v>1.2292044237177995</v>
      </c>
      <c r="GU317"/>
      <c r="GV317"/>
      <c r="GW317"/>
      <c r="GX317"/>
      <c r="GY317"/>
      <c r="GZ317"/>
      <c r="HA317"/>
      <c r="HB317"/>
      <c r="HC317"/>
    </row>
    <row r="318" spans="1:211" s="7" customFormat="1">
      <c r="A318" s="1"/>
      <c r="B318">
        <v>0.26651991026585842</v>
      </c>
      <c r="C318">
        <v>10</v>
      </c>
      <c r="D318">
        <v>39987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 s="80"/>
      <c r="AK318" s="81"/>
      <c r="AL318" s="81"/>
      <c r="AM318" s="43">
        <v>302</v>
      </c>
      <c r="AN318">
        <v>47.713760326919683</v>
      </c>
      <c r="AO318">
        <v>1.0368147928966946</v>
      </c>
      <c r="AP318">
        <v>0.66286130532854326</v>
      </c>
      <c r="AQ318">
        <v>6.9531469993494337</v>
      </c>
      <c r="AR318">
        <v>0.9556339135599321</v>
      </c>
      <c r="AS318">
        <v>4.1376987051728671</v>
      </c>
      <c r="AT318">
        <v>0.76570532757915732</v>
      </c>
      <c r="AU318">
        <v>5.197054276415651E-2</v>
      </c>
      <c r="AV318"/>
      <c r="AW318"/>
      <c r="FY318" s="211">
        <v>313</v>
      </c>
      <c r="FZ318">
        <v>1.6380775511742824</v>
      </c>
      <c r="GA318">
        <v>2.0934539623713553</v>
      </c>
      <c r="GB318">
        <v>0.95958023026921513</v>
      </c>
      <c r="GC318">
        <v>0.86970288252570271</v>
      </c>
      <c r="GD318">
        <v>0.36352561996925997</v>
      </c>
      <c r="GE318">
        <v>0.16182077145547497</v>
      </c>
      <c r="GF318">
        <v>1.951907315887488</v>
      </c>
      <c r="GG318">
        <v>1.5863351693488772</v>
      </c>
      <c r="GH318">
        <v>2.2985735835423678E-2</v>
      </c>
      <c r="GI318">
        <v>1.0375275650295297</v>
      </c>
      <c r="GJ318"/>
      <c r="GK318">
        <v>1.6322268382352938</v>
      </c>
      <c r="GL318">
        <v>1.7629729319852938</v>
      </c>
      <c r="GM318">
        <v>1.5750962357954543</v>
      </c>
      <c r="GN318">
        <v>2.5496907670454547</v>
      </c>
      <c r="GO318">
        <v>1.3823249999999998</v>
      </c>
      <c r="GP318">
        <v>0.30398437500000003</v>
      </c>
      <c r="GQ318">
        <v>2.3535692934782606</v>
      </c>
      <c r="GR318">
        <v>2.2070380434782604</v>
      </c>
      <c r="GS318">
        <v>2.4293870192307693E-2</v>
      </c>
      <c r="GT318">
        <v>1.3935022475402632</v>
      </c>
      <c r="GU318"/>
      <c r="GV318"/>
      <c r="GW318"/>
      <c r="GX318"/>
      <c r="GY318"/>
      <c r="GZ318"/>
      <c r="HA318"/>
      <c r="HB318"/>
      <c r="HC318"/>
    </row>
    <row r="319" spans="1:211" s="7" customFormat="1">
      <c r="A319" s="1"/>
      <c r="B319">
        <v>0.25589273761432629</v>
      </c>
      <c r="C319">
        <v>5</v>
      </c>
      <c r="D319">
        <v>39987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 s="80"/>
      <c r="AK319" s="81"/>
      <c r="AL319" s="81"/>
      <c r="AM319" s="43">
        <v>303</v>
      </c>
      <c r="AN319">
        <v>35.923226266073129</v>
      </c>
      <c r="AO319">
        <v>0.74488634125978981</v>
      </c>
      <c r="AP319">
        <v>0.57337220890861929</v>
      </c>
      <c r="AQ319">
        <v>5.2971856557073682</v>
      </c>
      <c r="AR319">
        <v>0.69386657116274597</v>
      </c>
      <c r="AS319">
        <v>3.0051269392685782</v>
      </c>
      <c r="AT319">
        <v>0.58067932927607091</v>
      </c>
      <c r="AU319">
        <v>9.8944885249421036E-2</v>
      </c>
      <c r="AV319"/>
      <c r="AW319"/>
      <c r="FY319" s="211">
        <v>314</v>
      </c>
      <c r="FZ319">
        <v>0.64128900302046277</v>
      </c>
      <c r="GA319">
        <v>1.1134605243273055</v>
      </c>
      <c r="GB319">
        <v>0.43357279292500084</v>
      </c>
      <c r="GC319">
        <v>0.36184986449859935</v>
      </c>
      <c r="GD319">
        <v>0.25019708669212176</v>
      </c>
      <c r="GE319">
        <v>0.10310120352945001</v>
      </c>
      <c r="GF319">
        <v>0.85420250751914373</v>
      </c>
      <c r="GG319">
        <v>0.70541535008225043</v>
      </c>
      <c r="GH319">
        <v>0</v>
      </c>
      <c r="GI319">
        <v>0.49627712447702904</v>
      </c>
      <c r="GJ319"/>
      <c r="GK319">
        <v>0.63902812499999995</v>
      </c>
      <c r="GL319">
        <v>0.93766875000000005</v>
      </c>
      <c r="GM319">
        <v>0.71149218749999998</v>
      </c>
      <c r="GN319">
        <v>1.0602180803571428</v>
      </c>
      <c r="GO319">
        <v>0.95149151785714292</v>
      </c>
      <c r="GP319">
        <v>0.19359375000000001</v>
      </c>
      <c r="GQ319">
        <v>1.0310013586956519</v>
      </c>
      <c r="GR319">
        <v>0.98215760869565205</v>
      </c>
      <c r="GS319">
        <v>0</v>
      </c>
      <c r="GT319">
        <v>0.66660263781055895</v>
      </c>
      <c r="GU319"/>
      <c r="GV319"/>
      <c r="GW319"/>
      <c r="GX319"/>
      <c r="GY319"/>
      <c r="GZ319"/>
      <c r="HA319"/>
      <c r="HB319"/>
      <c r="HC319"/>
    </row>
    <row r="320" spans="1:211" s="7" customFormat="1">
      <c r="A320" s="1"/>
      <c r="B320">
        <v>0.64688523768391271</v>
      </c>
      <c r="C320">
        <v>6</v>
      </c>
      <c r="D320">
        <v>39987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 s="80"/>
      <c r="AK320" s="81"/>
      <c r="AL320" s="81"/>
      <c r="AM320" s="43">
        <v>304</v>
      </c>
      <c r="AN320">
        <v>30.558721227946773</v>
      </c>
      <c r="AO320">
        <v>0.63608753580635846</v>
      </c>
      <c r="AP320">
        <v>4.3682910857761001</v>
      </c>
      <c r="AQ320">
        <v>5.3093819395874142</v>
      </c>
      <c r="AR320">
        <v>0.62393583893235371</v>
      </c>
      <c r="AS320">
        <v>2.6355974411808303</v>
      </c>
      <c r="AT320" t="e">
        <v>#DIV/0!</v>
      </c>
      <c r="AU320" t="e">
        <v>#DIV/0!</v>
      </c>
      <c r="AV320"/>
      <c r="AW320"/>
      <c r="FY320" s="211">
        <v>315</v>
      </c>
      <c r="FZ320">
        <v>1.0676943880449921</v>
      </c>
      <c r="GA320">
        <v>1.7733350224548137</v>
      </c>
      <c r="GB320">
        <v>0.4622873855156262</v>
      </c>
      <c r="GC320">
        <v>0.3999373008884356</v>
      </c>
      <c r="GD320">
        <v>0.28770740693856001</v>
      </c>
      <c r="GE320">
        <v>0.15984126213637501</v>
      </c>
      <c r="GF320">
        <v>0.86857626516779707</v>
      </c>
      <c r="GG320">
        <v>0.71770870692793864</v>
      </c>
      <c r="GH320">
        <v>2.2985735835423678E-2</v>
      </c>
      <c r="GI320">
        <v>0.59397714336236374</v>
      </c>
      <c r="GJ320"/>
      <c r="GK320">
        <v>1.063820588235294</v>
      </c>
      <c r="GL320">
        <v>1.493207306985294</v>
      </c>
      <c r="GM320">
        <v>0.75825390625</v>
      </c>
      <c r="GN320">
        <v>1.1721765624999998</v>
      </c>
      <c r="GO320">
        <v>1.0948875</v>
      </c>
      <c r="GP320">
        <v>0.300421875</v>
      </c>
      <c r="GQ320">
        <v>1.0475339673913044</v>
      </c>
      <c r="GR320">
        <v>0.99869021739130437</v>
      </c>
      <c r="GS320">
        <v>2.4293870192307693E-2</v>
      </c>
      <c r="GT320">
        <v>0.79775796641378116</v>
      </c>
      <c r="GU320"/>
      <c r="GV320"/>
      <c r="GW320"/>
      <c r="GX320"/>
      <c r="GY320"/>
      <c r="GZ320"/>
      <c r="HA320"/>
      <c r="HB320"/>
      <c r="HC320"/>
    </row>
    <row r="321" spans="1:211" s="7" customFormat="1">
      <c r="A321" s="1"/>
      <c r="B321">
        <v>0.10691222506044484</v>
      </c>
      <c r="C321">
        <v>9</v>
      </c>
      <c r="D321">
        <v>39987</v>
      </c>
      <c r="E321">
        <v>70.112179487179489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 s="80"/>
      <c r="AK321" s="81"/>
      <c r="AL321" s="81"/>
      <c r="AM321" s="43">
        <v>305</v>
      </c>
      <c r="AN321">
        <v>31.842484455459999</v>
      </c>
      <c r="AO321">
        <v>0.73344212806826337</v>
      </c>
      <c r="AP321">
        <v>8.628350694743034</v>
      </c>
      <c r="AQ321">
        <v>5.2639121151903092</v>
      </c>
      <c r="AR321">
        <v>0.68708490007954004</v>
      </c>
      <c r="AS321">
        <v>2.8913882723465578</v>
      </c>
      <c r="AT321" t="e">
        <v>#DIV/0!</v>
      </c>
      <c r="AU321" t="e">
        <v>#DIV/0!</v>
      </c>
      <c r="AV321"/>
      <c r="AW321"/>
      <c r="FY321" s="211">
        <v>316</v>
      </c>
      <c r="FZ321">
        <v>0.50503004909030813</v>
      </c>
      <c r="GA321">
        <v>1.0194428323045543</v>
      </c>
      <c r="GB321">
        <v>1.4919964447360536</v>
      </c>
      <c r="GC321">
        <v>0.92150437287514331</v>
      </c>
      <c r="GD321">
        <v>0.26822568143798675</v>
      </c>
      <c r="GE321">
        <v>0.18585627676222499</v>
      </c>
      <c r="GF321">
        <v>0.57499774394694703</v>
      </c>
      <c r="GG321">
        <v>0.4281665527876255</v>
      </c>
      <c r="GH321">
        <v>2.2985735835423678E-2</v>
      </c>
      <c r="GI321">
        <v>0.69829562592557681</v>
      </c>
      <c r="GJ321"/>
      <c r="GK321">
        <v>0.50323125000000002</v>
      </c>
      <c r="GL321">
        <v>0.8584148437500001</v>
      </c>
      <c r="GM321">
        <v>2.4490259232954545</v>
      </c>
      <c r="GN321">
        <v>2.7032119724025976</v>
      </c>
      <c r="GO321">
        <v>1.0203227678571429</v>
      </c>
      <c r="GP321">
        <v>0.34926562499999997</v>
      </c>
      <c r="GQ321">
        <v>0.69359510869565222</v>
      </c>
      <c r="GR321">
        <v>0.59590760869565207</v>
      </c>
      <c r="GS321">
        <v>2.4293870192307693E-2</v>
      </c>
      <c r="GT321">
        <v>0.9380937840081115</v>
      </c>
      <c r="GU321"/>
      <c r="GV321"/>
      <c r="GW321"/>
      <c r="GX321"/>
      <c r="GY321"/>
      <c r="GZ321"/>
      <c r="HA321"/>
      <c r="HB321"/>
      <c r="HC321"/>
    </row>
    <row r="322" spans="1:211" s="7" customFormat="1">
      <c r="A322" s="1"/>
      <c r="B322">
        <v>0.77685885626949824</v>
      </c>
      <c r="C322">
        <v>7</v>
      </c>
      <c r="D322">
        <v>39987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 s="80"/>
      <c r="AK322" s="81"/>
      <c r="AL322" s="81"/>
      <c r="AM322" s="43">
        <v>306</v>
      </c>
      <c r="AN322">
        <v>38.048514907170599</v>
      </c>
      <c r="AO322">
        <v>1.0240242848199061</v>
      </c>
      <c r="AP322">
        <v>8.3295242548801021</v>
      </c>
      <c r="AQ322">
        <v>8.1890814139090669</v>
      </c>
      <c r="AR322">
        <v>0.97439707710900547</v>
      </c>
      <c r="AS322">
        <v>3.5448624996203177</v>
      </c>
      <c r="AT322" t="e">
        <v>#DIV/0!</v>
      </c>
      <c r="AU322" t="e">
        <v>#DIV/0!</v>
      </c>
      <c r="AV322"/>
      <c r="AW322"/>
      <c r="FY322" s="211">
        <v>317</v>
      </c>
      <c r="FZ322">
        <v>2.3200162539503126</v>
      </c>
      <c r="GA322">
        <v>2.4997831203727303</v>
      </c>
      <c r="GB322">
        <v>0.60476736900322958</v>
      </c>
      <c r="GC322">
        <v>0.58766796550338563</v>
      </c>
      <c r="GD322">
        <v>0.25488568387761423</v>
      </c>
      <c r="GE322">
        <v>0.11460862901025</v>
      </c>
      <c r="GF322">
        <v>0.5344786465355188</v>
      </c>
      <c r="GG322">
        <v>0.47874846122576609</v>
      </c>
      <c r="GH322">
        <v>6.6522953376906252E-2</v>
      </c>
      <c r="GI322">
        <v>0.74280004142405442</v>
      </c>
      <c r="GJ322"/>
      <c r="GK322">
        <v>2.3123492647058819</v>
      </c>
      <c r="GL322">
        <v>2.105818014705882</v>
      </c>
      <c r="GM322">
        <v>0.99293607954545438</v>
      </c>
      <c r="GN322">
        <v>1.7237307224025971</v>
      </c>
      <c r="GO322">
        <v>0.96966964285714263</v>
      </c>
      <c r="GP322">
        <v>0.21534374999999997</v>
      </c>
      <c r="GQ322">
        <v>0.64475135869565214</v>
      </c>
      <c r="GR322">
        <v>0.66627219202898535</v>
      </c>
      <c r="GS322">
        <v>7.0364583333333328E-2</v>
      </c>
      <c r="GT322">
        <v>0.99801418582749291</v>
      </c>
      <c r="GU322"/>
      <c r="GV322"/>
      <c r="GW322"/>
      <c r="GX322"/>
      <c r="GY322"/>
      <c r="GZ322"/>
      <c r="HA322"/>
      <c r="HB322"/>
      <c r="HC322"/>
    </row>
    <row r="323" spans="1:211" s="7" customFormat="1">
      <c r="A323" s="1"/>
      <c r="B323">
        <v>0.74549290591334816</v>
      </c>
      <c r="C323">
        <v>4</v>
      </c>
      <c r="D323">
        <v>39987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 s="80"/>
      <c r="AK323" s="81"/>
      <c r="AL323" s="81"/>
      <c r="AM323" s="43">
        <v>307</v>
      </c>
      <c r="AN323">
        <v>37.626237433146798</v>
      </c>
      <c r="AO323">
        <v>0.87122586638570554</v>
      </c>
      <c r="AP323">
        <v>0.50152265536224339</v>
      </c>
      <c r="AQ323">
        <v>6.9857972628580853</v>
      </c>
      <c r="AR323">
        <v>0.827626388584907</v>
      </c>
      <c r="AS323">
        <v>3.0651183130154367</v>
      </c>
      <c r="AT323">
        <v>0.62550502016685883</v>
      </c>
      <c r="AU323">
        <v>0.12724757338965922</v>
      </c>
      <c r="AV323"/>
      <c r="AW323"/>
      <c r="FY323" s="211">
        <v>318</v>
      </c>
      <c r="FZ323">
        <v>1.7355821416414259</v>
      </c>
      <c r="GA323">
        <v>2.4596290016369258</v>
      </c>
      <c r="GB323">
        <v>1.4892197621554757</v>
      </c>
      <c r="GC323">
        <v>0.94223127527546968</v>
      </c>
      <c r="GD323">
        <v>0.23824299021263676</v>
      </c>
      <c r="GE323">
        <v>7.1247647751975007E-2</v>
      </c>
      <c r="GF323">
        <v>0.5344786465355188</v>
      </c>
      <c r="GG323">
        <v>0.4281665527876255</v>
      </c>
      <c r="GH323">
        <v>2.2985735835423678E-2</v>
      </c>
      <c r="GI323">
        <v>0.85592925123385954</v>
      </c>
      <c r="GJ323"/>
      <c r="GK323">
        <v>1.7297849264705878</v>
      </c>
      <c r="GL323">
        <v>2.0719255514705877</v>
      </c>
      <c r="GM323">
        <v>2.4453330965909088</v>
      </c>
      <c r="GN323">
        <v>2.7650621144480514</v>
      </c>
      <c r="GO323">
        <v>0.90632276785714272</v>
      </c>
      <c r="GP323">
        <v>0.133921875</v>
      </c>
      <c r="GQ323">
        <v>0.64475135869565214</v>
      </c>
      <c r="GR323">
        <v>0.59590760869565207</v>
      </c>
      <c r="GS323">
        <v>2.4293870192307693E-2</v>
      </c>
      <c r="GT323">
        <v>1.15009720396132</v>
      </c>
      <c r="GU323"/>
      <c r="GV323"/>
      <c r="GW323"/>
      <c r="GX323"/>
      <c r="GY323"/>
      <c r="GZ323"/>
      <c r="HA323"/>
      <c r="HB323"/>
      <c r="HC323"/>
    </row>
    <row r="324" spans="1:211" s="7" customFormat="1">
      <c r="A324" s="1"/>
      <c r="B324">
        <v>0.20787712267708969</v>
      </c>
      <c r="C324">
        <v>3</v>
      </c>
      <c r="D324">
        <v>39987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 s="80"/>
      <c r="AK324" s="81"/>
      <c r="AL324" s="81"/>
      <c r="AM324" s="43">
        <v>308</v>
      </c>
      <c r="AN324">
        <v>39.741455432739784</v>
      </c>
      <c r="AO324">
        <v>0.87606023188478976</v>
      </c>
      <c r="AP324">
        <v>0.67269119396142041</v>
      </c>
      <c r="AQ324">
        <v>6.6025483792532755</v>
      </c>
      <c r="AR324">
        <v>0.82398203991274599</v>
      </c>
      <c r="AS324">
        <v>3.2411677911905508</v>
      </c>
      <c r="AT324">
        <v>0.64619293044022785</v>
      </c>
      <c r="AU324">
        <v>0.22955601973626899</v>
      </c>
      <c r="AV324"/>
      <c r="AW324"/>
      <c r="FY324" s="211">
        <v>319</v>
      </c>
      <c r="FZ324">
        <v>1.2166527761700809</v>
      </c>
      <c r="GA324">
        <v>1.33314909866764</v>
      </c>
      <c r="GB324">
        <v>0.60568740343063809</v>
      </c>
      <c r="GC324">
        <v>0.41285383223152949</v>
      </c>
      <c r="GD324">
        <v>0.18476683265960359</v>
      </c>
      <c r="GE324">
        <v>0.25710392451419994</v>
      </c>
      <c r="GF324">
        <v>0.93524070234199996</v>
      </c>
      <c r="GG324">
        <v>0.75599725852039101</v>
      </c>
      <c r="GH324">
        <v>8.9508689212329934E-2</v>
      </c>
      <c r="GI324">
        <v>0.61537711777997006</v>
      </c>
      <c r="GJ324"/>
      <c r="GK324">
        <v>1.2124330882352941</v>
      </c>
      <c r="GL324">
        <v>1.1226440257352941</v>
      </c>
      <c r="GM324">
        <v>0.99444389204545436</v>
      </c>
      <c r="GN324">
        <v>1.21213474025974</v>
      </c>
      <c r="GO324">
        <v>0.70362053571428573</v>
      </c>
      <c r="GP324">
        <v>0.48318749999999999</v>
      </c>
      <c r="GQ324">
        <v>1.1286888586956521</v>
      </c>
      <c r="GR324">
        <v>1.0525221920289853</v>
      </c>
      <c r="GS324">
        <v>9.465845352564102E-2</v>
      </c>
      <c r="GT324">
        <v>0.82676896564326552</v>
      </c>
      <c r="GU324"/>
      <c r="GV324"/>
      <c r="GW324"/>
      <c r="GX324"/>
      <c r="GY324"/>
      <c r="GZ324"/>
      <c r="HA324"/>
      <c r="HB324"/>
      <c r="HC324"/>
    </row>
    <row r="325" spans="1:211" s="7" customFormat="1">
      <c r="A325" s="1"/>
      <c r="B325">
        <v>0.33594288290976504</v>
      </c>
      <c r="C325">
        <v>7</v>
      </c>
      <c r="D325">
        <v>39987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 s="80"/>
      <c r="AK325" s="81"/>
      <c r="AL325" s="81"/>
      <c r="AM325" s="43">
        <v>309</v>
      </c>
      <c r="AN325">
        <v>42.322323281086859</v>
      </c>
      <c r="AO325">
        <v>0.8360169284694019</v>
      </c>
      <c r="AP325">
        <v>0.63717325550338311</v>
      </c>
      <c r="AQ325">
        <v>6.1206111485117862</v>
      </c>
      <c r="AR325">
        <v>0.80206767317148431</v>
      </c>
      <c r="AS325">
        <v>3.7386182930999472</v>
      </c>
      <c r="AT325">
        <v>0.69340748631702309</v>
      </c>
      <c r="AU325">
        <v>0.40487563949980176</v>
      </c>
      <c r="AV325"/>
      <c r="AW325"/>
      <c r="FY325" s="211">
        <v>320</v>
      </c>
      <c r="FZ325">
        <v>1.1585153027025621</v>
      </c>
      <c r="GA325">
        <v>1.6297851062765929</v>
      </c>
      <c r="GB325">
        <v>0.43306428165350619</v>
      </c>
      <c r="GC325">
        <v>0.16354892196088686</v>
      </c>
      <c r="GD325">
        <v>0.15789945340894501</v>
      </c>
      <c r="GE325">
        <v>0.19940501093332497</v>
      </c>
      <c r="GF325">
        <v>1.0022928558968347</v>
      </c>
      <c r="GG325">
        <v>0.91920837085907969</v>
      </c>
      <c r="GH325">
        <v>0.11249442504775362</v>
      </c>
      <c r="GI325">
        <v>0.56482974907919348</v>
      </c>
      <c r="GJ325"/>
      <c r="GK325">
        <v>1.1544955882352941</v>
      </c>
      <c r="GL325">
        <v>1.3724877757352942</v>
      </c>
      <c r="GM325">
        <v>0.71053124999999995</v>
      </c>
      <c r="GN325">
        <v>0.47970468749999995</v>
      </c>
      <c r="GO325">
        <v>0.60080624999999999</v>
      </c>
      <c r="GP325">
        <v>0.37457812499999998</v>
      </c>
      <c r="GQ325">
        <v>1.2083478260869565</v>
      </c>
      <c r="GR325">
        <v>1.2787124094202897</v>
      </c>
      <c r="GS325">
        <v>0.11895232371794871</v>
      </c>
      <c r="GT325">
        <v>0.75862664760803966</v>
      </c>
      <c r="GU325"/>
      <c r="GV325"/>
      <c r="GW325"/>
      <c r="GX325"/>
      <c r="GY325"/>
      <c r="GZ325"/>
      <c r="HA325"/>
      <c r="HB325"/>
      <c r="HC325"/>
    </row>
    <row r="326" spans="1:211" s="7" customFormat="1">
      <c r="A326" s="1"/>
      <c r="B326">
        <v>0.72224947635499848</v>
      </c>
      <c r="C326">
        <v>1</v>
      </c>
      <c r="D326">
        <v>39987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 s="80"/>
      <c r="AK326" s="81"/>
      <c r="AL326" s="81"/>
      <c r="AM326" s="43">
        <v>310</v>
      </c>
      <c r="AN326">
        <v>28.20401078700711</v>
      </c>
      <c r="AO326">
        <v>0.61263419338841296</v>
      </c>
      <c r="AP326">
        <v>0.41280639015785686</v>
      </c>
      <c r="AQ326">
        <v>4.5144930516640125</v>
      </c>
      <c r="AR326">
        <v>0.58088166400694885</v>
      </c>
      <c r="AS326">
        <v>2.276009012549709</v>
      </c>
      <c r="AT326" t="e">
        <v>#DIV/0!</v>
      </c>
      <c r="AU326" t="e">
        <v>#DIV/0!</v>
      </c>
      <c r="AV326"/>
      <c r="AW326"/>
      <c r="FY326" s="211">
        <v>321</v>
      </c>
      <c r="FZ326">
        <v>0.59036717012440787</v>
      </c>
      <c r="GA326">
        <v>1.117601950746806</v>
      </c>
      <c r="GB326">
        <v>0.28785021696971713</v>
      </c>
      <c r="GC326">
        <v>0.10423858566319498</v>
      </c>
      <c r="GD326">
        <v>0.12401442931722426</v>
      </c>
      <c r="GE326">
        <v>8.8593614384399985E-2</v>
      </c>
      <c r="GF326">
        <v>0.33409761863227821</v>
      </c>
      <c r="GG326">
        <v>0.34012406257845362</v>
      </c>
      <c r="GH326">
        <v>6.6522953376906252E-2</v>
      </c>
      <c r="GI326">
        <v>0.29868302571961625</v>
      </c>
      <c r="GJ326"/>
      <c r="GK326">
        <v>0.58832812500000009</v>
      </c>
      <c r="GL326">
        <v>0.94143750000000004</v>
      </c>
      <c r="GM326">
        <v>0.47264062499999998</v>
      </c>
      <c r="GN326">
        <v>0.30561964285714283</v>
      </c>
      <c r="GO326">
        <v>0.47211964285714281</v>
      </c>
      <c r="GP326">
        <v>0.16649999999999998</v>
      </c>
      <c r="GQ326">
        <v>0.40278260869565213</v>
      </c>
      <c r="GR326">
        <v>0.47314719202898542</v>
      </c>
      <c r="GS326">
        <v>7.0364583333333328E-2</v>
      </c>
      <c r="GT326">
        <v>0.40124711697722565</v>
      </c>
      <c r="GU326"/>
      <c r="GV326"/>
      <c r="GW326"/>
      <c r="GX326"/>
      <c r="GY326"/>
      <c r="GZ326"/>
      <c r="HA326"/>
      <c r="HB326"/>
      <c r="HC326"/>
    </row>
    <row r="327" spans="1:211" s="7" customFormat="1">
      <c r="A327" s="1"/>
      <c r="B327">
        <v>0.82009128083646066</v>
      </c>
      <c r="C327">
        <v>5</v>
      </c>
      <c r="D327">
        <v>39987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 s="80"/>
      <c r="AK327" s="81"/>
      <c r="AL327" s="81"/>
      <c r="AM327" s="43">
        <v>311</v>
      </c>
      <c r="AN327">
        <v>32.830297898144764</v>
      </c>
      <c r="AO327">
        <v>0.8001896274319511</v>
      </c>
      <c r="AP327">
        <v>0.99670312058841304</v>
      </c>
      <c r="AQ327">
        <v>5.4534147878408659</v>
      </c>
      <c r="AR327">
        <v>0.73106727493813728</v>
      </c>
      <c r="AS327">
        <v>3.0024897725788033</v>
      </c>
      <c r="AT327" t="e">
        <v>#DIV/0!</v>
      </c>
      <c r="AU327" t="e">
        <v>#DIV/0!</v>
      </c>
      <c r="AV327"/>
      <c r="AW327"/>
      <c r="FY327" s="211">
        <v>322</v>
      </c>
      <c r="FZ327">
        <v>0.8174356688009079</v>
      </c>
      <c r="GA327">
        <v>1.315472522784521</v>
      </c>
      <c r="GB327">
        <v>1.4109923633517492</v>
      </c>
      <c r="GC327">
        <v>1.0807753667481372</v>
      </c>
      <c r="GD327">
        <v>0.34493750131263756</v>
      </c>
      <c r="GE327">
        <v>9.7262662377824993E-2</v>
      </c>
      <c r="GF327">
        <v>0.24090012531466881</v>
      </c>
      <c r="GG327">
        <v>0.23978821552359375</v>
      </c>
      <c r="GH327">
        <v>0.15603164258923619</v>
      </c>
      <c r="GI327">
        <v>0.72927597005182854</v>
      </c>
      <c r="GJ327"/>
      <c r="GK327">
        <v>0.81448124999999982</v>
      </c>
      <c r="GL327">
        <v>1.1076374999999998</v>
      </c>
      <c r="GM327">
        <v>2.316661221590909</v>
      </c>
      <c r="GN327">
        <v>3.1705362215909094</v>
      </c>
      <c r="GO327">
        <v>1.3117968750000002</v>
      </c>
      <c r="GP327">
        <v>0.18276562499999999</v>
      </c>
      <c r="GQ327">
        <v>0.29081250000000003</v>
      </c>
      <c r="GR327">
        <v>0.33385416666666667</v>
      </c>
      <c r="GS327">
        <v>0.16502303685897435</v>
      </c>
      <c r="GT327">
        <v>0.9797549766899768</v>
      </c>
      <c r="GU327"/>
      <c r="GV327"/>
      <c r="GW327"/>
      <c r="GX327"/>
      <c r="GY327"/>
      <c r="GZ327"/>
      <c r="HA327"/>
      <c r="HB327"/>
      <c r="HC327"/>
    </row>
    <row r="328" spans="1:211" s="7" customFormat="1">
      <c r="A328" s="1"/>
      <c r="B328" t="s">
        <v>104</v>
      </c>
      <c r="C328" t="s">
        <v>104</v>
      </c>
      <c r="D328" t="s">
        <v>104</v>
      </c>
      <c r="E328" t="s">
        <v>104</v>
      </c>
      <c r="F328" t="s">
        <v>104</v>
      </c>
      <c r="G328" t="s">
        <v>104</v>
      </c>
      <c r="H328" t="s">
        <v>104</v>
      </c>
      <c r="I328" t="s">
        <v>104</v>
      </c>
      <c r="J328" t="s">
        <v>104</v>
      </c>
      <c r="K328" t="s">
        <v>104</v>
      </c>
      <c r="L328" t="s">
        <v>104</v>
      </c>
      <c r="M328" t="s">
        <v>104</v>
      </c>
      <c r="N328" t="s">
        <v>104</v>
      </c>
      <c r="O328" t="s">
        <v>104</v>
      </c>
      <c r="P328" t="s">
        <v>104</v>
      </c>
      <c r="Q328" t="s">
        <v>104</v>
      </c>
      <c r="R328" t="s">
        <v>104</v>
      </c>
      <c r="S328" t="s">
        <v>104</v>
      </c>
      <c r="T328" t="s">
        <v>104</v>
      </c>
      <c r="U328" t="s">
        <v>104</v>
      </c>
      <c r="V328" t="s">
        <v>104</v>
      </c>
      <c r="W328" t="s">
        <v>104</v>
      </c>
      <c r="X328" t="s">
        <v>104</v>
      </c>
      <c r="Y328" t="s">
        <v>104</v>
      </c>
      <c r="Z328" t="s">
        <v>104</v>
      </c>
      <c r="AA328" t="s">
        <v>104</v>
      </c>
      <c r="AB328" t="s">
        <v>104</v>
      </c>
      <c r="AC328" t="s">
        <v>104</v>
      </c>
      <c r="AD328" t="s">
        <v>104</v>
      </c>
      <c r="AE328" t="s">
        <v>104</v>
      </c>
      <c r="AF328" t="s">
        <v>104</v>
      </c>
      <c r="AG328" t="s">
        <v>104</v>
      </c>
      <c r="AH328" t="s">
        <v>104</v>
      </c>
      <c r="AI328" t="s">
        <v>104</v>
      </c>
      <c r="AJ328" s="80"/>
      <c r="AK328" s="81"/>
      <c r="AL328" s="81"/>
      <c r="AM328" s="43">
        <v>312</v>
      </c>
      <c r="AN328">
        <v>67.150292346128339</v>
      </c>
      <c r="AO328">
        <v>1.3377423540703488</v>
      </c>
      <c r="AP328">
        <v>1.5734187950013536</v>
      </c>
      <c r="AQ328">
        <v>8.5848568261134837</v>
      </c>
      <c r="AR328">
        <v>1.2292044237177997</v>
      </c>
      <c r="AS328">
        <v>5.8459359845539884</v>
      </c>
      <c r="AT328">
        <v>1.073066446071214</v>
      </c>
      <c r="AU328">
        <v>5.2851963148342077E-2</v>
      </c>
      <c r="AV328"/>
      <c r="AW328"/>
      <c r="FY328" s="211">
        <v>323</v>
      </c>
      <c r="FZ328">
        <v>1.9826346473130441</v>
      </c>
      <c r="GA328">
        <v>2.491413278277153</v>
      </c>
      <c r="GB328">
        <v>0.9711472835800089</v>
      </c>
      <c r="GC328">
        <v>1.282270240153542</v>
      </c>
      <c r="GD328">
        <v>0.6566206990778517</v>
      </c>
      <c r="GE328">
        <v>0.10020889731645002</v>
      </c>
      <c r="GF328">
        <v>0.24090012531466881</v>
      </c>
      <c r="GG328">
        <v>0.13862439864731252</v>
      </c>
      <c r="GH328">
        <v>4.5971471670847357E-2</v>
      </c>
      <c r="GI328">
        <v>0.95377771076733586</v>
      </c>
      <c r="GJ328"/>
      <c r="GK328">
        <v>1.9758599264705883</v>
      </c>
      <c r="GL328">
        <v>2.0983325827205883</v>
      </c>
      <c r="GM328">
        <v>1.5941274857954544</v>
      </c>
      <c r="GN328">
        <v>3.7581838474025973</v>
      </c>
      <c r="GO328">
        <v>2.4965290178571427</v>
      </c>
      <c r="GP328">
        <v>0.18815625000000002</v>
      </c>
      <c r="GQ328">
        <v>0.29081250000000003</v>
      </c>
      <c r="GR328">
        <v>0.19312499999999999</v>
      </c>
      <c r="GS328">
        <v>4.8587740384615385E-2</v>
      </c>
      <c r="GT328">
        <v>1.2811833341015602</v>
      </c>
      <c r="GU328"/>
      <c r="GV328"/>
      <c r="GW328"/>
      <c r="GX328"/>
      <c r="GY328"/>
      <c r="GZ328"/>
      <c r="HA328"/>
      <c r="HB328"/>
      <c r="HC328"/>
    </row>
    <row r="329" spans="1:211" s="7" customFormat="1">
      <c r="A329" s="1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 s="80"/>
      <c r="AK329" s="81"/>
      <c r="AL329" s="81"/>
      <c r="AM329" s="43">
        <v>313</v>
      </c>
      <c r="AN329">
        <v>74.696822640009174</v>
      </c>
      <c r="AO329">
        <v>1.5184699602750589</v>
      </c>
      <c r="AP329">
        <v>1.3003025373529107</v>
      </c>
      <c r="AQ329">
        <v>10.684916803866608</v>
      </c>
      <c r="AR329">
        <v>1.3935022475402634</v>
      </c>
      <c r="AS329">
        <v>6.3287401173166558</v>
      </c>
      <c r="AT329" t="e">
        <v>#DIV/0!</v>
      </c>
      <c r="AU329" t="e">
        <v>#DIV/0!</v>
      </c>
      <c r="AV329"/>
      <c r="AW329"/>
      <c r="FY329" s="211">
        <v>324</v>
      </c>
      <c r="FZ329">
        <v>0.59036717012440776</v>
      </c>
      <c r="GA329">
        <v>0.92205112281081081</v>
      </c>
      <c r="GB329">
        <v>1.0570254712595437</v>
      </c>
      <c r="GC329">
        <v>0.59908445671176191</v>
      </c>
      <c r="GD329">
        <v>0.13063772518383854</v>
      </c>
      <c r="GE329">
        <v>0.11460862901025</v>
      </c>
      <c r="GF329">
        <v>0.36024295839505316</v>
      </c>
      <c r="GG329">
        <v>0.37841261417090627</v>
      </c>
      <c r="GH329">
        <v>0.17901737842465987</v>
      </c>
      <c r="GI329">
        <v>0.51282333184955253</v>
      </c>
      <c r="GJ329"/>
      <c r="GK329">
        <v>0.58832812499999987</v>
      </c>
      <c r="GL329">
        <v>0.7765781249999999</v>
      </c>
      <c r="GM329">
        <v>1.7352954545454546</v>
      </c>
      <c r="GN329">
        <v>1.7581784902597399</v>
      </c>
      <c r="GO329">
        <v>0.49716428571428573</v>
      </c>
      <c r="GP329">
        <v>0.21534374999999997</v>
      </c>
      <c r="GQ329">
        <v>0.43509375</v>
      </c>
      <c r="GR329">
        <v>0.52697916666666667</v>
      </c>
      <c r="GS329">
        <v>0.18931690705128204</v>
      </c>
      <c r="GT329">
        <v>0.68903970446220431</v>
      </c>
      <c r="GU329"/>
      <c r="GV329"/>
      <c r="GW329"/>
      <c r="GX329"/>
      <c r="GY329"/>
      <c r="GZ329"/>
      <c r="HA329"/>
      <c r="HB329"/>
      <c r="HC329"/>
    </row>
    <row r="330" spans="1:211" s="7" customFormat="1">
      <c r="A330" s="1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 s="80"/>
      <c r="AK330" s="81"/>
      <c r="AL330" s="81"/>
      <c r="AM330" s="43">
        <v>314</v>
      </c>
      <c r="AN330">
        <v>33.636717132505176</v>
      </c>
      <c r="AO330">
        <v>0.71732540159161484</v>
      </c>
      <c r="AP330">
        <v>0.57126504485659246</v>
      </c>
      <c r="AQ330">
        <v>4.959365457071363</v>
      </c>
      <c r="AR330">
        <v>0.66660263781055895</v>
      </c>
      <c r="AS330">
        <v>3.0847846724390258</v>
      </c>
      <c r="AT330" t="e">
        <v>#DIV/0!</v>
      </c>
      <c r="AU330" t="e">
        <v>#DIV/0!</v>
      </c>
      <c r="AV330"/>
      <c r="AW330"/>
      <c r="FY330" s="211">
        <v>325</v>
      </c>
      <c r="FZ330">
        <v>0.49599986100101157</v>
      </c>
      <c r="GA330">
        <v>0.91635638700065702</v>
      </c>
      <c r="GB330">
        <v>0.87281237330966588</v>
      </c>
      <c r="GC330">
        <v>0.39904110294008577</v>
      </c>
      <c r="GD330">
        <v>0.11544891884612679</v>
      </c>
      <c r="GE330">
        <v>0.14051578618485</v>
      </c>
      <c r="GF330">
        <v>0.81368341010771561</v>
      </c>
      <c r="GG330">
        <v>0.75599725852039101</v>
      </c>
      <c r="GH330">
        <v>6.6522953376906252E-2</v>
      </c>
      <c r="GI330">
        <v>0.50896750371500865</v>
      </c>
      <c r="GJ330"/>
      <c r="GK330">
        <v>0.49416562499999994</v>
      </c>
      <c r="GL330">
        <v>0.77148984375000007</v>
      </c>
      <c r="GM330">
        <v>1.4326509232954545</v>
      </c>
      <c r="GN330">
        <v>1.1712307224025973</v>
      </c>
      <c r="GO330">
        <v>0.43956026785714286</v>
      </c>
      <c r="GP330">
        <v>0.26428124999999997</v>
      </c>
      <c r="GQ330">
        <v>0.98215760869565205</v>
      </c>
      <c r="GR330">
        <v>1.0525221920289853</v>
      </c>
      <c r="GS330">
        <v>7.0364583333333328E-2</v>
      </c>
      <c r="GT330">
        <v>0.68377980163631646</v>
      </c>
      <c r="GU330"/>
      <c r="GV330"/>
      <c r="GW330"/>
      <c r="GX330"/>
      <c r="GY330"/>
      <c r="GZ330"/>
      <c r="HA330"/>
      <c r="HB330"/>
      <c r="HC330"/>
    </row>
    <row r="331" spans="1:211" s="7" customFormat="1">
      <c r="A331" s="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 s="80"/>
      <c r="AK331" s="81"/>
      <c r="AL331" s="81"/>
      <c r="AM331" s="43">
        <v>315</v>
      </c>
      <c r="AN331">
        <v>43.194558147255556</v>
      </c>
      <c r="AO331">
        <v>0.87510437603592861</v>
      </c>
      <c r="AP331">
        <v>11.285663737635868</v>
      </c>
      <c r="AQ331">
        <v>6.3540506172723257</v>
      </c>
      <c r="AR331">
        <v>0.79775796641378105</v>
      </c>
      <c r="AS331">
        <v>3.5866616658101287</v>
      </c>
      <c r="AT331" t="e">
        <v>#DIV/0!</v>
      </c>
      <c r="AU331" t="e">
        <v>#DIV/0!</v>
      </c>
      <c r="AV331"/>
      <c r="AW331"/>
      <c r="FY331" s="211">
        <v>326</v>
      </c>
      <c r="FZ331">
        <v>0.14898716928383623</v>
      </c>
      <c r="GA331">
        <v>0.53315841654617424</v>
      </c>
      <c r="GB331">
        <v>0.58406504477449217</v>
      </c>
      <c r="GC331">
        <v>0.30628905767307624</v>
      </c>
      <c r="GD331">
        <v>8.6951198730574275E-2</v>
      </c>
      <c r="GE331">
        <v>4.8178868064750011E-2</v>
      </c>
      <c r="GF331">
        <v>0.98791909824818158</v>
      </c>
      <c r="GG331">
        <v>0.95749692245153217</v>
      </c>
      <c r="GH331">
        <v>0.15603164258923619</v>
      </c>
      <c r="GI331">
        <v>0.41611883679724121</v>
      </c>
      <c r="GJ331"/>
      <c r="GK331">
        <v>0.14838750000000001</v>
      </c>
      <c r="GL331">
        <v>0.44885624999999996</v>
      </c>
      <c r="GM331">
        <v>0.95820312499999993</v>
      </c>
      <c r="GN331">
        <v>0.89819776785714289</v>
      </c>
      <c r="GO331">
        <v>0.33093214285714284</v>
      </c>
      <c r="GP331">
        <v>9.0468750000000014E-2</v>
      </c>
      <c r="GQ331">
        <v>1.1918152173913041</v>
      </c>
      <c r="GR331">
        <v>1.3325443840579707</v>
      </c>
      <c r="GS331">
        <v>0.16502303685897435</v>
      </c>
      <c r="GT331">
        <v>0.55887220442148422</v>
      </c>
      <c r="GU331"/>
      <c r="GV331"/>
      <c r="GW331"/>
      <c r="GX331"/>
      <c r="GY331"/>
      <c r="GZ331"/>
      <c r="HA331"/>
      <c r="HB331"/>
      <c r="HC331"/>
    </row>
    <row r="332" spans="1:211" s="7" customFormat="1">
      <c r="A332" s="1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 s="80"/>
      <c r="AK332" s="81"/>
      <c r="AL332" s="81"/>
      <c r="AM332" s="43">
        <v>316</v>
      </c>
      <c r="AN332">
        <v>43.526661042761589</v>
      </c>
      <c r="AO332">
        <v>1.0135362753896922</v>
      </c>
      <c r="AP332">
        <v>1.3294548709023017</v>
      </c>
      <c r="AQ332">
        <v>6.1165013157018446</v>
      </c>
      <c r="AR332">
        <v>0.93809378400811139</v>
      </c>
      <c r="AS332">
        <v>3.6493421336834269</v>
      </c>
      <c r="AT332" t="e">
        <v>#DIV/0!</v>
      </c>
      <c r="AU332" t="e">
        <v>#DIV/0!</v>
      </c>
      <c r="AV332"/>
      <c r="AW332"/>
      <c r="FY332" s="211">
        <v>327</v>
      </c>
      <c r="FZ332">
        <v>0.31792956440404219</v>
      </c>
      <c r="GA332">
        <v>0.77812203921109668</v>
      </c>
      <c r="GB332">
        <v>2.2263451863327703</v>
      </c>
      <c r="GC332">
        <v>1.3753663024608147</v>
      </c>
      <c r="GD332">
        <v>0.30100823231741358</v>
      </c>
      <c r="GE332">
        <v>0.12044717016187499</v>
      </c>
      <c r="GF332">
        <v>1.1621547863886474</v>
      </c>
      <c r="GG332">
        <v>1.0578327695063923</v>
      </c>
      <c r="GH332">
        <v>6.6522953376906252E-2</v>
      </c>
      <c r="GI332">
        <v>0.98088055171264643</v>
      </c>
      <c r="GJ332"/>
      <c r="GK332">
        <v>0.31692187500000002</v>
      </c>
      <c r="GL332">
        <v>0.65540624999999997</v>
      </c>
      <c r="GM332">
        <v>3.6555582386363636</v>
      </c>
      <c r="GN332">
        <v>4.0365662743506485</v>
      </c>
      <c r="GO332">
        <v>1.1448830357142856</v>
      </c>
      <c r="GP332">
        <v>0.22617187499999997</v>
      </c>
      <c r="GQ332">
        <v>1.4014728260869567</v>
      </c>
      <c r="GR332">
        <v>1.47183740942029</v>
      </c>
      <c r="GS332">
        <v>7.0364583333333328E-2</v>
      </c>
      <c r="GT332">
        <v>1.3178401117541878</v>
      </c>
      <c r="GU332"/>
      <c r="GV332"/>
      <c r="GW332"/>
      <c r="GX332"/>
      <c r="GY332"/>
      <c r="GZ332"/>
      <c r="HA332"/>
      <c r="HB332"/>
      <c r="HC332"/>
    </row>
    <row r="333" spans="1:211" s="7" customFormat="1">
      <c r="A333" s="1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 s="80"/>
      <c r="AK333" s="81"/>
      <c r="AL333" s="81"/>
      <c r="AM333" s="43">
        <v>317</v>
      </c>
      <c r="AN333">
        <v>44.311192895032399</v>
      </c>
      <c r="AO333">
        <v>1.0699249794102423</v>
      </c>
      <c r="AP333">
        <v>0.93094941404953557</v>
      </c>
      <c r="AQ333">
        <v>8.2042791242797684</v>
      </c>
      <c r="AR333">
        <v>0.99801418582749291</v>
      </c>
      <c r="AS333">
        <v>3.3957171334189371</v>
      </c>
      <c r="AT333" t="e">
        <v>#DIV/0!</v>
      </c>
      <c r="AU333" t="e">
        <v>#DIV/0!</v>
      </c>
      <c r="AV333"/>
      <c r="AW333"/>
      <c r="FY333" s="211">
        <v>328</v>
      </c>
      <c r="FZ333">
        <v>1.5109290874733685</v>
      </c>
      <c r="GA333">
        <v>2.0510186440493836</v>
      </c>
      <c r="GB333">
        <v>0.86567009570535225</v>
      </c>
      <c r="GC333">
        <v>0.58152948462804199</v>
      </c>
      <c r="GD333">
        <v>0.29721154473382505</v>
      </c>
      <c r="GE333">
        <v>0.18387676744312501</v>
      </c>
      <c r="GF333">
        <v>0.66819523726455643</v>
      </c>
      <c r="GG333">
        <v>0.57908430828062596</v>
      </c>
      <c r="GH333">
        <v>0</v>
      </c>
      <c r="GI333">
        <v>0.72405364598747846</v>
      </c>
      <c r="GJ333"/>
      <c r="GK333">
        <v>1.5056830882352941</v>
      </c>
      <c r="GL333">
        <v>1.7273315257352939</v>
      </c>
      <c r="GM333">
        <v>1.4211157670454546</v>
      </c>
      <c r="GN333">
        <v>1.7059517045454544</v>
      </c>
      <c r="GO333">
        <v>1.13109375</v>
      </c>
      <c r="GP333">
        <v>0.345703125</v>
      </c>
      <c r="GQ333">
        <v>0.80556521739130427</v>
      </c>
      <c r="GR333">
        <v>0.80556521739130427</v>
      </c>
      <c r="GS333">
        <v>0</v>
      </c>
      <c r="GT333">
        <v>0.97269156453441052</v>
      </c>
      <c r="GU333"/>
      <c r="GV333"/>
      <c r="GW333"/>
      <c r="GX333"/>
      <c r="GY333"/>
      <c r="GZ333"/>
      <c r="HA333"/>
      <c r="HB333"/>
      <c r="HC333"/>
    </row>
    <row r="334" spans="1:211" s="7" customFormat="1">
      <c r="A334" s="1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 s="80"/>
      <c r="AK334" s="81"/>
      <c r="AL334" s="81"/>
      <c r="AM334" s="43">
        <v>318</v>
      </c>
      <c r="AN334">
        <v>48.364293804199484</v>
      </c>
      <c r="AO334">
        <v>1.2467400373382209</v>
      </c>
      <c r="AP334">
        <v>1.447006975020509</v>
      </c>
      <c r="AQ334">
        <v>8.777713005066337</v>
      </c>
      <c r="AR334">
        <v>1.1500972039613198</v>
      </c>
      <c r="AS334">
        <v>3.9407714263966556</v>
      </c>
      <c r="AT334" t="e">
        <v>#DIV/0!</v>
      </c>
      <c r="AU334" t="e">
        <v>#DIV/0!</v>
      </c>
      <c r="AV334"/>
      <c r="AW334"/>
      <c r="FY334" s="211">
        <v>329</v>
      </c>
      <c r="FZ334">
        <v>1.7737356081138276</v>
      </c>
      <c r="GA334">
        <v>2.1582149539495048</v>
      </c>
      <c r="GB334">
        <v>0.66410958957108379</v>
      </c>
      <c r="GC334">
        <v>0.58708118959656197</v>
      </c>
      <c r="GD334">
        <v>0.27109428391099927</v>
      </c>
      <c r="GE334">
        <v>0.14833383665557504</v>
      </c>
      <c r="GF334">
        <v>0.37461671604370633</v>
      </c>
      <c r="GG334">
        <v>0.34012406257845362</v>
      </c>
      <c r="GH334">
        <v>8.9508689212329934E-2</v>
      </c>
      <c r="GI334">
        <v>0.66030650115535527</v>
      </c>
      <c r="GJ334"/>
      <c r="GK334">
        <v>1.7678005514705879</v>
      </c>
      <c r="GL334">
        <v>1.8178982077205879</v>
      </c>
      <c r="GM334">
        <v>1.0901899857954545</v>
      </c>
      <c r="GN334">
        <v>1.721883847402597</v>
      </c>
      <c r="GO334">
        <v>1.0311508928571427</v>
      </c>
      <c r="GP334">
        <v>0.27867187500000001</v>
      </c>
      <c r="GQ334">
        <v>0.45162635869565215</v>
      </c>
      <c r="GR334">
        <v>0.47314719202898542</v>
      </c>
      <c r="GS334">
        <v>9.465845352564102E-2</v>
      </c>
      <c r="GT334">
        <v>0.88708524846889558</v>
      </c>
      <c r="GU334"/>
      <c r="GV334"/>
      <c r="GW334"/>
      <c r="GX334"/>
      <c r="GY334"/>
      <c r="GZ334"/>
      <c r="HA334"/>
      <c r="HB334"/>
      <c r="HC334"/>
    </row>
    <row r="335" spans="1:211" s="7" customFormat="1">
      <c r="A335" s="1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 s="80"/>
      <c r="AK335" s="81"/>
      <c r="AL335" s="81"/>
      <c r="AM335" s="43">
        <v>319</v>
      </c>
      <c r="AN335">
        <v>36.554674678771541</v>
      </c>
      <c r="AO335">
        <v>0.88311022518836135</v>
      </c>
      <c r="AP335">
        <v>1.1866863444368136</v>
      </c>
      <c r="AQ335">
        <v>6.4063376355283834</v>
      </c>
      <c r="AR335">
        <v>0.8267689656432653</v>
      </c>
      <c r="AS335">
        <v>2.9963232820023631</v>
      </c>
      <c r="AT335">
        <v>0.59424768221516588</v>
      </c>
      <c r="AU335">
        <v>0.18566864353483664</v>
      </c>
      <c r="AV335"/>
      <c r="AW335"/>
      <c r="FY335" s="211">
        <v>330</v>
      </c>
      <c r="FZ335">
        <v>0.59946629044242372</v>
      </c>
      <c r="GA335">
        <v>1.4148949160924951</v>
      </c>
      <c r="GB335">
        <v>0.96876244563290492</v>
      </c>
      <c r="GC335">
        <v>0.43236594529498074</v>
      </c>
      <c r="GD335">
        <v>0.13780245720687423</v>
      </c>
      <c r="GE335">
        <v>0.15984126213637501</v>
      </c>
      <c r="GF335">
        <v>0.69434057702733132</v>
      </c>
      <c r="GG335">
        <v>0.66795476831121925</v>
      </c>
      <c r="GH335">
        <v>0.15603164258923619</v>
      </c>
      <c r="GI335">
        <v>0.55306137104887165</v>
      </c>
      <c r="GJ335"/>
      <c r="GK335">
        <v>0.59726250000000003</v>
      </c>
      <c r="GL335">
        <v>1.1915085937500001</v>
      </c>
      <c r="GM335">
        <v>1.5901977982954543</v>
      </c>
      <c r="GN335">
        <v>1.2689932224025973</v>
      </c>
      <c r="GO335">
        <v>0.5246196428571428</v>
      </c>
      <c r="GP335">
        <v>0.300421875</v>
      </c>
      <c r="GQ335">
        <v>0.83787635869565202</v>
      </c>
      <c r="GR335">
        <v>0.92976177536231885</v>
      </c>
      <c r="GS335">
        <v>0.16502303685897435</v>
      </c>
      <c r="GT335">
        <v>0.74299586734144463</v>
      </c>
      <c r="GU335"/>
      <c r="GV335"/>
      <c r="GW335"/>
      <c r="GX335"/>
      <c r="GY335"/>
      <c r="GZ335"/>
      <c r="HA335"/>
      <c r="HB335"/>
      <c r="HC335"/>
    </row>
    <row r="336" spans="1:211" s="7" customFormat="1">
      <c r="A336" s="1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 s="80"/>
      <c r="AK336" s="81"/>
      <c r="AL336" s="81"/>
      <c r="AM336" s="43">
        <v>320</v>
      </c>
      <c r="AN336">
        <v>39.883057814355759</v>
      </c>
      <c r="AO336">
        <v>0.80572428833038234</v>
      </c>
      <c r="AP336">
        <v>11.937838389503904</v>
      </c>
      <c r="AQ336">
        <v>6.3410434778186797</v>
      </c>
      <c r="AR336">
        <v>0.75862664760803977</v>
      </c>
      <c r="AS336">
        <v>3.4111486441122452</v>
      </c>
      <c r="AT336" t="e">
        <v>#DIV/0!</v>
      </c>
      <c r="AU336" t="e">
        <v>#DIV/0!</v>
      </c>
      <c r="AV336"/>
      <c r="AW336"/>
      <c r="FY336" s="211">
        <v>331</v>
      </c>
      <c r="FZ336">
        <v>1.122133834248126</v>
      </c>
      <c r="GA336">
        <v>1.5490667268510505</v>
      </c>
      <c r="GB336">
        <v>1.0915933852555524</v>
      </c>
      <c r="GC336">
        <v>1.0323981698348277</v>
      </c>
      <c r="GD336">
        <v>0.41855097220051179</v>
      </c>
      <c r="GE336">
        <v>0.1685103101298</v>
      </c>
      <c r="GF336">
        <v>0.12155729223428439</v>
      </c>
      <c r="GG336">
        <v>0</v>
      </c>
      <c r="GH336">
        <v>0</v>
      </c>
      <c r="GI336">
        <v>0.69209875430437018</v>
      </c>
      <c r="GJ336"/>
      <c r="GK336">
        <v>1.1182330882352942</v>
      </c>
      <c r="GL336">
        <v>1.304654963235294</v>
      </c>
      <c r="GM336">
        <v>1.7920220170454546</v>
      </c>
      <c r="GN336">
        <v>3.0275479099025975</v>
      </c>
      <c r="GO336">
        <v>1.5921040178571428</v>
      </c>
      <c r="GP336">
        <v>0.31668750000000001</v>
      </c>
      <c r="GQ336">
        <v>0.14653125</v>
      </c>
      <c r="GR336">
        <v>0</v>
      </c>
      <c r="GS336">
        <v>0</v>
      </c>
      <c r="GT336">
        <v>0.92977807462757822</v>
      </c>
      <c r="GU336"/>
      <c r="GV336"/>
      <c r="GW336"/>
      <c r="GX336"/>
      <c r="GY336"/>
      <c r="GZ336"/>
      <c r="HA336"/>
      <c r="HB336"/>
      <c r="HC336"/>
    </row>
    <row r="337" spans="1:211" s="7" customFormat="1">
      <c r="A337" s="1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 s="80"/>
      <c r="AK337" s="81"/>
      <c r="AL337" s="81"/>
      <c r="AM337" s="43">
        <v>321</v>
      </c>
      <c r="AN337">
        <v>19.17479583620888</v>
      </c>
      <c r="AO337">
        <v>0.42941870367494828</v>
      </c>
      <c r="AP337">
        <v>7.3766112329169218</v>
      </c>
      <c r="AQ337">
        <v>3.3520936275130042</v>
      </c>
      <c r="AR337">
        <v>0.4012471169772257</v>
      </c>
      <c r="AS337">
        <v>1.5215365309654214</v>
      </c>
      <c r="AT337" t="e">
        <v>#DIV/0!</v>
      </c>
      <c r="AU337" t="e">
        <v>#DIV/0!</v>
      </c>
      <c r="AV337"/>
      <c r="AW337"/>
      <c r="FY337" s="211">
        <v>332</v>
      </c>
      <c r="FZ337">
        <v>0.62126484495537382</v>
      </c>
      <c r="GA337">
        <v>1.0731164828795245</v>
      </c>
      <c r="GB337">
        <v>2.1207347525217406</v>
      </c>
      <c r="GC337">
        <v>1.3075503526172696</v>
      </c>
      <c r="GD337">
        <v>0.229746222560475</v>
      </c>
      <c r="GE337">
        <v>8.1904075710074992E-2</v>
      </c>
      <c r="GF337">
        <v>0.82805716775636906</v>
      </c>
      <c r="GG337">
        <v>0.71770870692793864</v>
      </c>
      <c r="GH337">
        <v>2.2985735835423678E-2</v>
      </c>
      <c r="GI337">
        <v>0.89286075718378521</v>
      </c>
      <c r="GJ337"/>
      <c r="GK337">
        <v>0.61901249999999997</v>
      </c>
      <c r="GL337">
        <v>0.90364921875000004</v>
      </c>
      <c r="GM337">
        <v>3.4821793323863628</v>
      </c>
      <c r="GN337">
        <v>3.8380894886363635</v>
      </c>
      <c r="GO337">
        <v>0.87403124999999993</v>
      </c>
      <c r="GP337">
        <v>0.153796875</v>
      </c>
      <c r="GQ337">
        <v>0.99869021739130437</v>
      </c>
      <c r="GR337">
        <v>0.99869021739130437</v>
      </c>
      <c r="GS337">
        <v>2.4293870192307693E-2</v>
      </c>
      <c r="GT337">
        <v>1.1996414339939951</v>
      </c>
      <c r="GU337"/>
      <c r="GV337"/>
      <c r="GW337"/>
      <c r="GX337"/>
      <c r="GY337"/>
      <c r="GZ337"/>
      <c r="HA337"/>
      <c r="HB337"/>
      <c r="HC337"/>
    </row>
    <row r="338" spans="1:211" s="7" customFormat="1">
      <c r="A338" s="1"/>
      <c r="B338" t="s">
        <v>104</v>
      </c>
      <c r="C338" t="s">
        <v>104</v>
      </c>
      <c r="D338" t="s">
        <v>104</v>
      </c>
      <c r="E338" t="s">
        <v>104</v>
      </c>
      <c r="F338" t="s">
        <v>104</v>
      </c>
      <c r="G338" t="s">
        <v>104</v>
      </c>
      <c r="H338" t="s">
        <v>104</v>
      </c>
      <c r="I338" t="s">
        <v>104</v>
      </c>
      <c r="J338" t="s">
        <v>104</v>
      </c>
      <c r="K338" t="s">
        <v>104</v>
      </c>
      <c r="L338" t="s">
        <v>104</v>
      </c>
      <c r="M338" t="s">
        <v>104</v>
      </c>
      <c r="N338" t="s">
        <v>104</v>
      </c>
      <c r="O338" t="s">
        <v>104</v>
      </c>
      <c r="P338" t="s">
        <v>104</v>
      </c>
      <c r="Q338" t="s">
        <v>104</v>
      </c>
      <c r="R338" t="s">
        <v>104</v>
      </c>
      <c r="S338" t="s">
        <v>104</v>
      </c>
      <c r="T338" t="s">
        <v>104</v>
      </c>
      <c r="U338" t="s">
        <v>104</v>
      </c>
      <c r="V338" t="s">
        <v>104</v>
      </c>
      <c r="W338" t="s">
        <v>104</v>
      </c>
      <c r="X338" t="s">
        <v>104</v>
      </c>
      <c r="Y338" t="s">
        <v>104</v>
      </c>
      <c r="Z338" t="s">
        <v>104</v>
      </c>
      <c r="AA338" t="s">
        <v>104</v>
      </c>
      <c r="AB338" t="s">
        <v>104</v>
      </c>
      <c r="AC338" t="s">
        <v>104</v>
      </c>
      <c r="AD338" t="s">
        <v>104</v>
      </c>
      <c r="AE338" t="s">
        <v>104</v>
      </c>
      <c r="AF338" t="s">
        <v>104</v>
      </c>
      <c r="AG338" t="s">
        <v>104</v>
      </c>
      <c r="AH338" t="s">
        <v>104</v>
      </c>
      <c r="AI338" t="s">
        <v>104</v>
      </c>
      <c r="AJ338" s="80"/>
      <c r="AK338" s="81"/>
      <c r="AL338" s="81"/>
      <c r="AM338" s="43">
        <v>322</v>
      </c>
      <c r="AN338">
        <v>45.522872150997145</v>
      </c>
      <c r="AO338">
        <v>1.0673323373397436</v>
      </c>
      <c r="AP338">
        <v>1.8859663546957774</v>
      </c>
      <c r="AQ338">
        <v>6.4328720388551046</v>
      </c>
      <c r="AR338">
        <v>0.97975497668997669</v>
      </c>
      <c r="AS338">
        <v>3.7994216477709601</v>
      </c>
      <c r="AT338">
        <v>0.72952109500445639</v>
      </c>
      <c r="AU338">
        <v>9.4049850418206904E-3</v>
      </c>
      <c r="AV338"/>
      <c r="AW338"/>
      <c r="FY338" s="211">
        <v>333</v>
      </c>
      <c r="FZ338">
        <v>0.98044500610559282</v>
      </c>
      <c r="GA338">
        <v>1.0745681241080738</v>
      </c>
      <c r="GB338">
        <v>0.4349709734765097</v>
      </c>
      <c r="GC338">
        <v>0.63734691610737737</v>
      </c>
      <c r="GD338">
        <v>0.38010032738785937</v>
      </c>
      <c r="GE338">
        <v>4.5232633126125001E-2</v>
      </c>
      <c r="GF338">
        <v>0.49395954912409079</v>
      </c>
      <c r="GG338">
        <v>0.52933036966390667</v>
      </c>
      <c r="GH338">
        <v>0.1330459067538125</v>
      </c>
      <c r="GI338">
        <v>0.57669120609960978</v>
      </c>
      <c r="GJ338"/>
      <c r="GK338">
        <v>0.97725183823529405</v>
      </c>
      <c r="GL338">
        <v>0.90512293198529425</v>
      </c>
      <c r="GM338">
        <v>0.7137304687499999</v>
      </c>
      <c r="GN338">
        <v>1.8672883928571427</v>
      </c>
      <c r="GO338">
        <v>1.4454133928571431</v>
      </c>
      <c r="GP338">
        <v>8.5078125000000004E-2</v>
      </c>
      <c r="GQ338">
        <v>0.59590760869565207</v>
      </c>
      <c r="GR338">
        <v>0.73663677536231864</v>
      </c>
      <c r="GS338">
        <v>0.14072916666666666</v>
      </c>
      <c r="GT338">
        <v>0.77460649504095114</v>
      </c>
      <c r="GU338"/>
      <c r="GV338"/>
      <c r="GW338"/>
      <c r="GX338"/>
      <c r="GY338"/>
      <c r="GZ338"/>
      <c r="HA338"/>
      <c r="HB338"/>
      <c r="HC338"/>
    </row>
    <row r="339" spans="1:211" s="7" customFormat="1">
      <c r="A339" s="1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 s="80"/>
      <c r="AK339" s="81"/>
      <c r="AL339" s="81"/>
      <c r="AM339" s="43">
        <v>323</v>
      </c>
      <c r="AN339">
        <v>65.653135661315815</v>
      </c>
      <c r="AO339">
        <v>1.3924897684732547</v>
      </c>
      <c r="AP339">
        <v>1.7344132434978525</v>
      </c>
      <c r="AQ339">
        <v>8.8635687521182138</v>
      </c>
      <c r="AR339">
        <v>1.2811833341015604</v>
      </c>
      <c r="AS339">
        <v>5.0191249550794552</v>
      </c>
      <c r="AT339" t="e">
        <v>#DIV/0!</v>
      </c>
      <c r="AU339" t="e">
        <v>#DIV/0!</v>
      </c>
      <c r="AV339"/>
      <c r="AW339"/>
      <c r="FY339" s="211">
        <v>334</v>
      </c>
      <c r="FZ339">
        <v>2.4781025435521649</v>
      </c>
      <c r="GA339">
        <v>3.2425377680854064</v>
      </c>
      <c r="GB339">
        <v>2.109234322179133</v>
      </c>
      <c r="GC339">
        <v>1.6643579558886021</v>
      </c>
      <c r="GD339">
        <v>0.50861823947833495</v>
      </c>
      <c r="GE339">
        <v>7.6065534558449999E-2</v>
      </c>
      <c r="GF339">
        <v>1.0284381956596096</v>
      </c>
      <c r="GG339">
        <v>0.856333105575251</v>
      </c>
      <c r="GH339">
        <v>2.2985735835423678E-2</v>
      </c>
      <c r="GI339">
        <v>1.3594318793381202</v>
      </c>
      <c r="GJ339"/>
      <c r="GK339">
        <v>2.4696711397058824</v>
      </c>
      <c r="GL339">
        <v>2.7311633272058824</v>
      </c>
      <c r="GM339">
        <v>3.4633316761363631</v>
      </c>
      <c r="GN339">
        <v>4.882570738636363</v>
      </c>
      <c r="GO339">
        <v>1.9342312500000001</v>
      </c>
      <c r="GP339">
        <v>0.14296875000000001</v>
      </c>
      <c r="GQ339">
        <v>1.2406589673913042</v>
      </c>
      <c r="GR339">
        <v>1.1918152173913041</v>
      </c>
      <c r="GS339">
        <v>2.4293870192307693E-2</v>
      </c>
      <c r="GT339">
        <v>1.8264373806851715</v>
      </c>
      <c r="GU339"/>
      <c r="GV339"/>
      <c r="GW339"/>
      <c r="GX339"/>
      <c r="GY339"/>
      <c r="GZ339"/>
      <c r="HA339"/>
      <c r="HB339"/>
      <c r="HC339"/>
    </row>
    <row r="340" spans="1:211" s="7" customFormat="1">
      <c r="A340" s="1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 s="80"/>
      <c r="AK340" s="81"/>
      <c r="AL340" s="81"/>
      <c r="AM340" s="43">
        <v>324</v>
      </c>
      <c r="AN340">
        <v>29.326233719983719</v>
      </c>
      <c r="AO340">
        <v>0.74113177586996337</v>
      </c>
      <c r="AP340">
        <v>0.71780123040294552</v>
      </c>
      <c r="AQ340">
        <v>4.844270857940784</v>
      </c>
      <c r="AR340">
        <v>0.68903970446220431</v>
      </c>
      <c r="AS340">
        <v>2.3619418410928024</v>
      </c>
      <c r="AT340">
        <v>0.48043194817776569</v>
      </c>
      <c r="AU340">
        <v>-1.8149859557108766E-2</v>
      </c>
      <c r="AV340"/>
      <c r="AW340"/>
      <c r="FY340" s="211">
        <v>335</v>
      </c>
      <c r="FZ340">
        <v>2.0044733528959653</v>
      </c>
      <c r="GA340">
        <v>2.948739954103893</v>
      </c>
      <c r="GB340">
        <v>1.0267731086174365</v>
      </c>
      <c r="GC340">
        <v>0.55135583967613699</v>
      </c>
      <c r="GD340">
        <v>0.24358697095063497</v>
      </c>
      <c r="GE340">
        <v>0.12231882202972501</v>
      </c>
      <c r="GF340">
        <v>0.6538214796159032</v>
      </c>
      <c r="GG340">
        <v>0.61737285987307855</v>
      </c>
      <c r="GH340">
        <v>8.9508689212329934E-2</v>
      </c>
      <c r="GI340">
        <v>0.81774431823778349</v>
      </c>
      <c r="GJ340"/>
      <c r="GK340">
        <v>1.9977036764705878</v>
      </c>
      <c r="GL340">
        <v>2.4836333639705881</v>
      </c>
      <c r="GM340">
        <v>1.6853970170454544</v>
      </c>
      <c r="GN340">
        <v>1.6171517045454542</v>
      </c>
      <c r="GO340">
        <v>0.92641874999999985</v>
      </c>
      <c r="GP340">
        <v>0.22982812499999999</v>
      </c>
      <c r="GQ340">
        <v>0.78903260869565206</v>
      </c>
      <c r="GR340">
        <v>0.85939719202898535</v>
      </c>
      <c r="GS340">
        <v>9.465845352564102E-2</v>
      </c>
      <c r="GT340">
        <v>1.098642101147467</v>
      </c>
      <c r="GU340"/>
      <c r="GV340"/>
      <c r="GW340"/>
      <c r="GX340"/>
      <c r="GY340"/>
      <c r="GZ340"/>
      <c r="HA340"/>
      <c r="HB340"/>
      <c r="HC340"/>
    </row>
    <row r="341" spans="1:211" s="7" customFormat="1">
      <c r="A341" s="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 s="80"/>
      <c r="AK341" s="81"/>
      <c r="AL341" s="81"/>
      <c r="AM341" s="43">
        <v>325</v>
      </c>
      <c r="AN341">
        <v>30.361775002875543</v>
      </c>
      <c r="AO341">
        <v>0.73622028179994825</v>
      </c>
      <c r="AP341">
        <v>10.538820899865801</v>
      </c>
      <c r="AQ341">
        <v>5.0853455550024185</v>
      </c>
      <c r="AR341">
        <v>0.68377980163631646</v>
      </c>
      <c r="AS341">
        <v>2.7077413296736133</v>
      </c>
      <c r="AT341" t="e">
        <v>#DIV/0!</v>
      </c>
      <c r="AU341" t="e">
        <v>#DIV/0!</v>
      </c>
      <c r="AV341"/>
      <c r="AW341"/>
      <c r="FY341" s="211">
        <v>336</v>
      </c>
      <c r="FZ341">
        <v>1.2057391083342321</v>
      </c>
      <c r="GA341">
        <v>1.3927152165769665</v>
      </c>
      <c r="GB341">
        <v>1.0220156689602269</v>
      </c>
      <c r="GC341">
        <v>0.96386654203915323</v>
      </c>
      <c r="GD341">
        <v>0.38683096577930254</v>
      </c>
      <c r="GE341">
        <v>3.8543094451799993E-2</v>
      </c>
      <c r="GF341">
        <v>0</v>
      </c>
      <c r="GG341">
        <v>0.20232763375256249</v>
      </c>
      <c r="GH341">
        <v>0.31206328517847237</v>
      </c>
      <c r="GI341">
        <v>0.6968250227717312</v>
      </c>
      <c r="GJ341"/>
      <c r="GK341">
        <v>1.201670588235294</v>
      </c>
      <c r="GL341">
        <v>1.173041681985294</v>
      </c>
      <c r="GM341">
        <v>1.6777915482954544</v>
      </c>
      <c r="GN341">
        <v>2.8261423295454549</v>
      </c>
      <c r="GO341">
        <v>1.4710031250000002</v>
      </c>
      <c r="GP341">
        <v>7.2374999999999995E-2</v>
      </c>
      <c r="GQ341">
        <v>0</v>
      </c>
      <c r="GR341">
        <v>0.28145833333333331</v>
      </c>
      <c r="GS341">
        <v>0.3300460737179487</v>
      </c>
      <c r="GT341">
        <v>0.93610226704973953</v>
      </c>
      <c r="GU341"/>
      <c r="GV341"/>
      <c r="GW341"/>
      <c r="GX341"/>
      <c r="GY341"/>
      <c r="GZ341"/>
      <c r="HA341"/>
      <c r="HB341"/>
      <c r="HC341"/>
    </row>
    <row r="342" spans="1:211" s="7" customFormat="1">
      <c r="A342" s="1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 s="80"/>
      <c r="AK342" s="81"/>
      <c r="AL342" s="81"/>
      <c r="AM342" s="43">
        <v>326</v>
      </c>
      <c r="AN342">
        <v>29.742983003309085</v>
      </c>
      <c r="AO342">
        <v>0.61233003784440188</v>
      </c>
      <c r="AP342">
        <v>13.418057980306557</v>
      </c>
      <c r="AQ342">
        <v>4.2251962551590934</v>
      </c>
      <c r="AR342">
        <v>0.55887220442148433</v>
      </c>
      <c r="AS342">
        <v>2.64344813887493</v>
      </c>
      <c r="AT342" t="e">
        <v>#DIV/0!</v>
      </c>
      <c r="AU342" t="e">
        <v>#DIV/0!</v>
      </c>
      <c r="AV342"/>
      <c r="AW342"/>
      <c r="FY342" s="211">
        <v>337</v>
      </c>
      <c r="FZ342">
        <v>1.432738674782013</v>
      </c>
      <c r="GA342">
        <v>1.7639391557707107</v>
      </c>
      <c r="GB342">
        <v>0.7683884657987905</v>
      </c>
      <c r="GC342">
        <v>0.5557797397910107</v>
      </c>
      <c r="GD342">
        <v>0.27011290582428749</v>
      </c>
      <c r="GE342">
        <v>0.15502337532990002</v>
      </c>
      <c r="GF342">
        <v>0.37461671604370633</v>
      </c>
      <c r="GG342">
        <v>0.44128787945473491</v>
      </c>
      <c r="GH342">
        <v>0.26852606763698977</v>
      </c>
      <c r="GI342">
        <v>0.66291196325601986</v>
      </c>
      <c r="GJ342"/>
      <c r="GK342">
        <v>1.4279549632352939</v>
      </c>
      <c r="GL342">
        <v>1.4857049632352941</v>
      </c>
      <c r="GM342">
        <v>1.2615142045454544</v>
      </c>
      <c r="GN342">
        <v>1.6305610795454544</v>
      </c>
      <c r="GO342">
        <v>1.0279218750000001</v>
      </c>
      <c r="GP342">
        <v>0.291375</v>
      </c>
      <c r="GQ342">
        <v>0.45162635869565215</v>
      </c>
      <c r="GR342">
        <v>0.61387635869565216</v>
      </c>
      <c r="GS342">
        <v>0.28397536057692307</v>
      </c>
      <c r="GT342">
        <v>0.89059855241066477</v>
      </c>
      <c r="GU342"/>
      <c r="GV342"/>
      <c r="GW342"/>
      <c r="GX342"/>
      <c r="GY342"/>
      <c r="GZ342"/>
      <c r="HA342"/>
      <c r="HB342"/>
      <c r="HC342"/>
    </row>
    <row r="343" spans="1:211" s="7" customFormat="1">
      <c r="A343" s="1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 s="80"/>
      <c r="AK343" s="81"/>
      <c r="AL343" s="81"/>
      <c r="AM343" s="43">
        <v>327</v>
      </c>
      <c r="AN343">
        <v>57.18622613296526</v>
      </c>
      <c r="AO343">
        <v>1.4297022479296067</v>
      </c>
      <c r="AP343">
        <v>14.786451542343332</v>
      </c>
      <c r="AQ343">
        <v>8.3866095558726066</v>
      </c>
      <c r="AR343">
        <v>1.3178401117541876</v>
      </c>
      <c r="AS343">
        <v>4.8695695843451476</v>
      </c>
      <c r="AT343" t="e">
        <v>#DIV/0!</v>
      </c>
      <c r="AU343" t="e">
        <v>#DIV/0!</v>
      </c>
      <c r="AV343"/>
      <c r="AW343"/>
      <c r="FY343" s="211">
        <v>338</v>
      </c>
      <c r="FZ343">
        <v>0.45051927222855925</v>
      </c>
      <c r="GA343">
        <v>1.1397795066223488</v>
      </c>
      <c r="GB343">
        <v>1.2051995081301177</v>
      </c>
      <c r="GC343">
        <v>0.75744581010481338</v>
      </c>
      <c r="GD343">
        <v>0.21121158097692</v>
      </c>
      <c r="GE343">
        <v>8.2862930684025005E-2</v>
      </c>
      <c r="GF343">
        <v>1.4435740091147442</v>
      </c>
      <c r="GG343">
        <v>1.1458752597155641</v>
      </c>
      <c r="GH343">
        <v>4.5971471670847357E-2</v>
      </c>
      <c r="GI343">
        <v>0.74748555648334292</v>
      </c>
      <c r="GJ343"/>
      <c r="GK343">
        <v>0.44896874999999992</v>
      </c>
      <c r="GL343">
        <v>0.9598710937499999</v>
      </c>
      <c r="GM343">
        <v>1.9782602982954547</v>
      </c>
      <c r="GN343">
        <v>2.2218673295454545</v>
      </c>
      <c r="GO343">
        <v>0.8034</v>
      </c>
      <c r="GP343">
        <v>0.15557812500000001</v>
      </c>
      <c r="GQ343">
        <v>1.7411290760869564</v>
      </c>
      <c r="GR343">
        <v>1.5945978260869564</v>
      </c>
      <c r="GS343">
        <v>4.8587740384615385E-2</v>
      </c>
      <c r="GT343">
        <v>1.0040691729534053</v>
      </c>
      <c r="GU343"/>
      <c r="GV343"/>
      <c r="GW343"/>
      <c r="GX343"/>
      <c r="GY343"/>
      <c r="GZ343"/>
      <c r="HA343"/>
      <c r="HB343"/>
      <c r="HC343"/>
    </row>
    <row r="344" spans="1:211" s="7" customFormat="1">
      <c r="A344" s="1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 s="80"/>
      <c r="AK344" s="81"/>
      <c r="AL344" s="81"/>
      <c r="AM344" s="43">
        <v>328</v>
      </c>
      <c r="AN344">
        <v>45.647322570332477</v>
      </c>
      <c r="AO344">
        <v>1.0420700959878517</v>
      </c>
      <c r="AP344">
        <v>8.609242342878499</v>
      </c>
      <c r="AQ344">
        <v>7.4615688155657569</v>
      </c>
      <c r="AR344">
        <v>0.97269156453441052</v>
      </c>
      <c r="AS344">
        <v>3.9505370496856966</v>
      </c>
      <c r="AT344" t="e">
        <v>#DIV/0!</v>
      </c>
      <c r="AU344" t="e">
        <v>#DIV/0!</v>
      </c>
      <c r="AV344"/>
      <c r="AW344"/>
      <c r="FY344" s="211">
        <v>339</v>
      </c>
      <c r="FZ344">
        <v>0.56135297503999393</v>
      </c>
      <c r="GA344">
        <v>1.2617287658707226</v>
      </c>
      <c r="GB344">
        <v>0.62588446072739279</v>
      </c>
      <c r="GC344">
        <v>0.40961138086284804</v>
      </c>
      <c r="GD344">
        <v>0.23303743578199926</v>
      </c>
      <c r="GE344">
        <v>7.4193882690599997E-2</v>
      </c>
      <c r="GF344">
        <v>0.52010488888686557</v>
      </c>
      <c r="GG344">
        <v>0.4158731959419375</v>
      </c>
      <c r="GH344">
        <v>0</v>
      </c>
      <c r="GI344">
        <v>0.46169355407437696</v>
      </c>
      <c r="GJ344"/>
      <c r="GK344">
        <v>0.55934062499999992</v>
      </c>
      <c r="GL344">
        <v>1.0626843749999999</v>
      </c>
      <c r="GM344">
        <v>1.0271328124999999</v>
      </c>
      <c r="GN344">
        <v>1.2001899553571427</v>
      </c>
      <c r="GO344">
        <v>0.88640089285714274</v>
      </c>
      <c r="GP344">
        <v>0.13931250000000001</v>
      </c>
      <c r="GQ344">
        <v>0.62821874999999994</v>
      </c>
      <c r="GR344">
        <v>0.57937499999999997</v>
      </c>
      <c r="GS344">
        <v>0</v>
      </c>
      <c r="GT344">
        <v>0.62021861607142847</v>
      </c>
      <c r="GU344"/>
      <c r="GV344"/>
      <c r="GW344"/>
      <c r="GX344"/>
      <c r="GY344"/>
      <c r="GZ344"/>
      <c r="HA344"/>
      <c r="HB344"/>
      <c r="HC344"/>
    </row>
    <row r="345" spans="1:211" s="7" customFormat="1">
      <c r="A345" s="1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 s="80"/>
      <c r="AK345" s="81"/>
      <c r="AL345" s="81"/>
      <c r="AM345" s="43">
        <v>329</v>
      </c>
      <c r="AN345">
        <v>42.120948896792086</v>
      </c>
      <c r="AO345">
        <v>0.96141126129655452</v>
      </c>
      <c r="AP345">
        <v>0.88720814613491772</v>
      </c>
      <c r="AQ345">
        <v>7.0671254307873994</v>
      </c>
      <c r="AR345">
        <v>0.88708524846889558</v>
      </c>
      <c r="AS345">
        <v>3.2216173949925189</v>
      </c>
      <c r="AT345">
        <v>0.67729300214847477</v>
      </c>
      <c r="AU345">
        <v>5.2076713292970159E-2</v>
      </c>
      <c r="AV345"/>
      <c r="AW345"/>
      <c r="FY345" s="211">
        <v>340</v>
      </c>
      <c r="FZ345">
        <v>0.76115289392119401</v>
      </c>
      <c r="GA345">
        <v>1.1354797193141479</v>
      </c>
      <c r="GB345">
        <v>1.4958535284882948</v>
      </c>
      <c r="GC345">
        <v>0.95190173150193091</v>
      </c>
      <c r="GD345">
        <v>0.22587043404129106</v>
      </c>
      <c r="GE345">
        <v>4.5232633126125001E-2</v>
      </c>
      <c r="GF345">
        <v>1.0022928558968347</v>
      </c>
      <c r="GG345">
        <v>0.96979027929722028</v>
      </c>
      <c r="GH345">
        <v>0.20200311426008355</v>
      </c>
      <c r="GI345">
        <v>0.8181511489650698</v>
      </c>
      <c r="GJ345"/>
      <c r="GK345">
        <v>0.75846562499999992</v>
      </c>
      <c r="GL345">
        <v>0.95610234375000003</v>
      </c>
      <c r="GM345">
        <v>2.4559073153409092</v>
      </c>
      <c r="GN345">
        <v>2.7930473823051947</v>
      </c>
      <c r="GO345">
        <v>0.85891741071428562</v>
      </c>
      <c r="GP345">
        <v>8.5078125000000004E-2</v>
      </c>
      <c r="GQ345">
        <v>1.2083478260869565</v>
      </c>
      <c r="GR345">
        <v>1.349076992753623</v>
      </c>
      <c r="GS345">
        <v>0.21361077724358973</v>
      </c>
      <c r="GT345">
        <v>1.0990497908771482</v>
      </c>
      <c r="GU345"/>
      <c r="GV345"/>
      <c r="GW345"/>
      <c r="GX345"/>
      <c r="GY345"/>
      <c r="GZ345"/>
      <c r="HA345"/>
      <c r="HB345"/>
      <c r="HC345"/>
    </row>
    <row r="346" spans="1:211" s="7" customFormat="1">
      <c r="A346" s="1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 s="80"/>
      <c r="AK346" s="81"/>
      <c r="AL346" s="81"/>
      <c r="AM346" s="43">
        <v>330</v>
      </c>
      <c r="AN346">
        <v>34.802124005724551</v>
      </c>
      <c r="AO346">
        <v>0.81486606705635845</v>
      </c>
      <c r="AP346">
        <v>6.8238424929269819</v>
      </c>
      <c r="AQ346">
        <v>5.7845216757827131</v>
      </c>
      <c r="AR346">
        <v>0.74299586734144463</v>
      </c>
      <c r="AS346">
        <v>2.9005195920074232</v>
      </c>
      <c r="AT346" t="e">
        <v>#DIV/0!</v>
      </c>
      <c r="AU346" t="e">
        <v>#DIV/0!</v>
      </c>
      <c r="AV346"/>
      <c r="AW346"/>
      <c r="FY346" s="211">
        <v>341</v>
      </c>
      <c r="FZ346">
        <v>0.82057295014465537</v>
      </c>
      <c r="GA346">
        <v>1.4829901153327891</v>
      </c>
      <c r="GB346">
        <v>0.64459379164250041</v>
      </c>
      <c r="GC346">
        <v>0.4530868867887749</v>
      </c>
      <c r="GD346">
        <v>0.26530151627116599</v>
      </c>
      <c r="GE346">
        <v>0.12611605449105001</v>
      </c>
      <c r="GF346">
        <v>0.6799668193786782</v>
      </c>
      <c r="GG346">
        <v>0.65566141146553125</v>
      </c>
      <c r="GH346">
        <v>0.17901737842465987</v>
      </c>
      <c r="GI346">
        <v>0.57993747102158344</v>
      </c>
      <c r="GJ346"/>
      <c r="GK346">
        <v>0.81787683823529411</v>
      </c>
      <c r="GL346">
        <v>1.249091681985294</v>
      </c>
      <c r="GM346">
        <v>1.0576992187499998</v>
      </c>
      <c r="GN346">
        <v>1.3279017857142854</v>
      </c>
      <c r="GO346">
        <v>1.0091986607142855</v>
      </c>
      <c r="GP346">
        <v>0.23709374999999999</v>
      </c>
      <c r="GQ346">
        <v>0.82134375000000004</v>
      </c>
      <c r="GR346">
        <v>0.91322916666666665</v>
      </c>
      <c r="GS346">
        <v>0.18931690705128204</v>
      </c>
      <c r="GT346">
        <v>0.77908707495017226</v>
      </c>
      <c r="GU346"/>
      <c r="GV346"/>
      <c r="GW346"/>
      <c r="GX346"/>
      <c r="GY346"/>
      <c r="GZ346"/>
      <c r="HA346"/>
      <c r="HB346"/>
      <c r="HC346"/>
    </row>
    <row r="347" spans="1:211" s="7" customFormat="1">
      <c r="A347" s="1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 s="80"/>
      <c r="AK347" s="81"/>
      <c r="AL347" s="81"/>
      <c r="AM347" s="43">
        <v>331</v>
      </c>
      <c r="AN347">
        <v>44.450872432306255</v>
      </c>
      <c r="AO347">
        <v>1.0227558820903362</v>
      </c>
      <c r="AP347">
        <v>12.503161584452162</v>
      </c>
      <c r="AQ347">
        <v>6.1959094450585219</v>
      </c>
      <c r="AR347">
        <v>0.92977807462757833</v>
      </c>
      <c r="AS347">
        <v>3.723695940682858</v>
      </c>
      <c r="AT347" t="e">
        <v>#DIV/0!</v>
      </c>
      <c r="AU347" t="e">
        <v>#DIV/0!</v>
      </c>
      <c r="AV347"/>
      <c r="AW347"/>
      <c r="FY347" s="211">
        <v>342</v>
      </c>
      <c r="FZ347">
        <v>1.7537114500487387</v>
      </c>
      <c r="GA347">
        <v>2.530573225303562</v>
      </c>
      <c r="GB347">
        <v>0.58883472066869991</v>
      </c>
      <c r="GC347">
        <v>0.48439562327421865</v>
      </c>
      <c r="GD347">
        <v>0.28622715936103926</v>
      </c>
      <c r="GE347">
        <v>0.18585627676222499</v>
      </c>
      <c r="GF347">
        <v>1.0833310507196909</v>
      </c>
      <c r="GG347">
        <v>0.96979027929722028</v>
      </c>
      <c r="GH347">
        <v>0.15603164258923619</v>
      </c>
      <c r="GI347">
        <v>0.78529944007660413</v>
      </c>
      <c r="GJ347"/>
      <c r="GK347">
        <v>1.747784926470588</v>
      </c>
      <c r="GL347">
        <v>2.1315036764705884</v>
      </c>
      <c r="GM347">
        <v>0.96606249999999994</v>
      </c>
      <c r="GN347">
        <v>1.4199665178571426</v>
      </c>
      <c r="GO347">
        <v>1.0892008928571428</v>
      </c>
      <c r="GP347">
        <v>0.34926562499999997</v>
      </c>
      <c r="GQ347">
        <v>1.3060353260869564</v>
      </c>
      <c r="GR347">
        <v>1.349076992753623</v>
      </c>
      <c r="GS347">
        <v>0.16502303685897435</v>
      </c>
      <c r="GT347">
        <v>1.0548213364547325</v>
      </c>
      <c r="GU347"/>
      <c r="GV347"/>
      <c r="GW347"/>
      <c r="GX347"/>
      <c r="GY347"/>
      <c r="GZ347"/>
      <c r="HA347"/>
      <c r="HB347"/>
      <c r="HC347"/>
    </row>
    <row r="348" spans="1:211" s="7" customFormat="1">
      <c r="A348" s="80"/>
      <c r="B348" s="80"/>
      <c r="C348" s="80"/>
      <c r="D348" s="80"/>
      <c r="E348" s="80"/>
      <c r="F348" s="80"/>
      <c r="G348" s="80"/>
      <c r="H348" s="80"/>
      <c r="I348" s="80"/>
      <c r="J348" s="80"/>
      <c r="K348" s="80"/>
      <c r="L348" s="80"/>
      <c r="M348" s="80"/>
      <c r="N348" s="80"/>
      <c r="O348" s="80"/>
      <c r="P348" s="80"/>
      <c r="Q348" s="80"/>
      <c r="R348" s="80"/>
      <c r="S348" s="80"/>
      <c r="T348" s="80"/>
      <c r="U348" s="80"/>
      <c r="V348" s="80"/>
      <c r="W348" s="80"/>
      <c r="X348" s="80"/>
      <c r="Y348" s="80"/>
      <c r="Z348" s="80"/>
      <c r="AA348" s="80"/>
      <c r="AB348" s="80"/>
      <c r="AC348" s="80"/>
      <c r="AD348" s="80"/>
      <c r="AE348" s="80"/>
      <c r="AF348" s="80"/>
      <c r="AG348" s="80"/>
      <c r="AH348" s="80"/>
      <c r="AI348" s="80"/>
      <c r="AJ348" s="80"/>
      <c r="AK348" s="81"/>
      <c r="AL348" s="81"/>
      <c r="AM348" s="43">
        <v>332</v>
      </c>
      <c r="AN348">
        <v>51.366106349869938</v>
      </c>
      <c r="AO348">
        <v>1.3092074403741638</v>
      </c>
      <c r="AP348">
        <v>11.436560530111803</v>
      </c>
      <c r="AQ348">
        <v>7.8959290989479758</v>
      </c>
      <c r="AR348">
        <v>1.1996414339939951</v>
      </c>
      <c r="AS348">
        <v>4.2964230460536159</v>
      </c>
      <c r="AT348" t="e">
        <v>#DIV/0!</v>
      </c>
      <c r="AU348" t="e">
        <v>#DIV/0!</v>
      </c>
      <c r="AV348"/>
      <c r="AW348"/>
      <c r="FY348" s="211">
        <v>343</v>
      </c>
      <c r="FZ348">
        <v>0.37791036654814125</v>
      </c>
      <c r="GA348">
        <v>0.61812769936554779</v>
      </c>
      <c r="GB348">
        <v>0.82963737818964844</v>
      </c>
      <c r="GC348">
        <v>0.81525456965939513</v>
      </c>
      <c r="GD348">
        <v>0.44479215015738754</v>
      </c>
      <c r="GE348">
        <v>0.23879910290782499</v>
      </c>
      <c r="GF348">
        <v>1.2026738838000754</v>
      </c>
      <c r="GG348">
        <v>1.0072508610682518</v>
      </c>
      <c r="GH348">
        <v>0</v>
      </c>
      <c r="GI348">
        <v>0.72677412288359255</v>
      </c>
      <c r="GJ348"/>
      <c r="GK348">
        <v>0.37646249999999998</v>
      </c>
      <c r="GL348">
        <v>0.52025156249999993</v>
      </c>
      <c r="GM348">
        <v>1.3619673295454544</v>
      </c>
      <c r="GN348">
        <v>2.3905220170454546</v>
      </c>
      <c r="GO348">
        <v>1.6918593749999999</v>
      </c>
      <c r="GP348">
        <v>0.44882812500000002</v>
      </c>
      <c r="GQ348">
        <v>1.4503165760869565</v>
      </c>
      <c r="GR348">
        <v>1.4014728260869567</v>
      </c>
      <c r="GS348">
        <v>0</v>
      </c>
      <c r="GT348">
        <v>0.97612115612648209</v>
      </c>
      <c r="GU348"/>
      <c r="GV348"/>
      <c r="GW348"/>
      <c r="GX348"/>
      <c r="GY348"/>
      <c r="GZ348"/>
      <c r="HA348"/>
      <c r="HB348"/>
      <c r="HC348"/>
    </row>
    <row r="349" spans="1:211" s="7" customFormat="1">
      <c r="A349" s="4"/>
      <c r="B349" s="4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81"/>
      <c r="N349" s="81"/>
      <c r="O349" s="81"/>
      <c r="P349" s="81"/>
      <c r="Q349" s="81"/>
      <c r="R349" s="81"/>
      <c r="S349" s="81"/>
      <c r="T349" s="81"/>
      <c r="U349" s="81"/>
      <c r="V349" s="81"/>
      <c r="W349" s="81"/>
      <c r="X349" s="81"/>
      <c r="Y349" s="81"/>
      <c r="Z349" s="81"/>
      <c r="AA349" s="81"/>
      <c r="AB349" s="81"/>
      <c r="AC349" s="81"/>
      <c r="AD349" s="4"/>
      <c r="AE349" s="4"/>
      <c r="AF349" s="81"/>
      <c r="AG349" s="81"/>
      <c r="AH349" s="81"/>
      <c r="AI349" s="81"/>
      <c r="AJ349" s="81"/>
      <c r="AK349" s="81"/>
      <c r="AL349" s="81"/>
      <c r="AM349" s="43">
        <v>333</v>
      </c>
      <c r="AN349">
        <v>39.681083281742644</v>
      </c>
      <c r="AO349">
        <v>0.82417651954504623</v>
      </c>
      <c r="AP349">
        <v>6.5692146834993448</v>
      </c>
      <c r="AQ349">
        <v>5.2856910119529577</v>
      </c>
      <c r="AR349">
        <v>0.77460649504095114</v>
      </c>
      <c r="AS349">
        <v>3.3575273380162414</v>
      </c>
      <c r="AT349" t="e">
        <v>#DIV/0!</v>
      </c>
      <c r="AU349" t="e">
        <v>#DIV/0!</v>
      </c>
      <c r="AV349"/>
      <c r="AW349"/>
      <c r="FY349" s="211">
        <v>344</v>
      </c>
      <c r="FZ349">
        <v>1.2711210035319618</v>
      </c>
      <c r="GA349">
        <v>1.8892624324900766</v>
      </c>
      <c r="GB349">
        <v>0.93708788085549477</v>
      </c>
      <c r="GC349">
        <v>1.2487667155630575</v>
      </c>
      <c r="GD349">
        <v>0.67750471617160168</v>
      </c>
      <c r="GE349">
        <v>7.4193882690599997E-2</v>
      </c>
      <c r="GF349">
        <v>0.20038102790324064</v>
      </c>
      <c r="GG349">
        <v>0.18920630708545313</v>
      </c>
      <c r="GH349">
        <v>8.9508689212329934E-2</v>
      </c>
      <c r="GI349">
        <v>0.85137330123349009</v>
      </c>
      <c r="GJ349"/>
      <c r="GK349">
        <v>1.2666205882352939</v>
      </c>
      <c r="GL349">
        <v>1.5911010569852939</v>
      </c>
      <c r="GM349">
        <v>1.5383618607954543</v>
      </c>
      <c r="GN349">
        <v>3.6597854099025966</v>
      </c>
      <c r="GO349">
        <v>2.5762165178571426</v>
      </c>
      <c r="GP349">
        <v>0.13931250000000001</v>
      </c>
      <c r="GQ349">
        <v>0.24196875000000001</v>
      </c>
      <c r="GR349">
        <v>0.26348958333333333</v>
      </c>
      <c r="GS349">
        <v>9.465845352564102E-2</v>
      </c>
      <c r="GT349">
        <v>1.1435652340827065</v>
      </c>
      <c r="GU349"/>
      <c r="GV349"/>
      <c r="GW349"/>
      <c r="GX349"/>
      <c r="GY349"/>
      <c r="GZ349"/>
      <c r="HA349"/>
      <c r="HB349"/>
      <c r="HC349"/>
    </row>
    <row r="350" spans="1:211" s="7" customFormat="1">
      <c r="A350" s="4"/>
      <c r="B350" s="4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81"/>
      <c r="N350" s="81"/>
      <c r="O350" s="81"/>
      <c r="P350" s="81"/>
      <c r="Q350" s="81"/>
      <c r="R350" s="81"/>
      <c r="S350" s="81"/>
      <c r="T350" s="81"/>
      <c r="U350" s="81"/>
      <c r="V350" s="81"/>
      <c r="W350" s="81"/>
      <c r="X350" s="81"/>
      <c r="Y350" s="81"/>
      <c r="Z350" s="81"/>
      <c r="AA350" s="81"/>
      <c r="AB350" s="81"/>
      <c r="AC350" s="81"/>
      <c r="AD350" s="4"/>
      <c r="AE350" s="4"/>
      <c r="AF350" s="81"/>
      <c r="AG350" s="81"/>
      <c r="AH350" s="81"/>
      <c r="AI350" s="81"/>
      <c r="AJ350" s="81"/>
      <c r="AK350" s="81"/>
      <c r="AL350" s="81"/>
      <c r="AM350" s="43">
        <v>334</v>
      </c>
      <c r="AN350">
        <v>82.183232575360122</v>
      </c>
      <c r="AO350">
        <v>1.9907142317344579</v>
      </c>
      <c r="AP350">
        <v>2.5205541480225859</v>
      </c>
      <c r="AQ350">
        <v>13.346105280150494</v>
      </c>
      <c r="AR350">
        <v>1.8264373806851713</v>
      </c>
      <c r="AS350">
        <v>6.612694520242969</v>
      </c>
      <c r="AT350" t="e">
        <v>#DIV/0!</v>
      </c>
      <c r="AU350" t="e">
        <v>#DIV/0!</v>
      </c>
      <c r="AV350"/>
      <c r="AW350"/>
      <c r="FY350" s="211">
        <v>345</v>
      </c>
      <c r="FZ350">
        <v>2.6070367736121645</v>
      </c>
      <c r="GA350">
        <v>3.109211281426413</v>
      </c>
      <c r="GB350">
        <v>1.5207610809965131</v>
      </c>
      <c r="GC350">
        <v>0.85797552416862155</v>
      </c>
      <c r="GD350">
        <v>0.14397602550216426</v>
      </c>
      <c r="GE350">
        <v>0.12044717016187499</v>
      </c>
      <c r="GF350">
        <v>0.15986193049181252</v>
      </c>
      <c r="GG350">
        <v>0.18920630708545313</v>
      </c>
      <c r="GH350">
        <v>8.9508689212329934E-2</v>
      </c>
      <c r="GI350">
        <v>0.88271261015771196</v>
      </c>
      <c r="GJ350"/>
      <c r="GK350">
        <v>2.5982680147058819</v>
      </c>
      <c r="GL350">
        <v>2.6188695772058823</v>
      </c>
      <c r="GM350">
        <v>2.496801846590909</v>
      </c>
      <c r="GN350">
        <v>2.5192918019480515</v>
      </c>
      <c r="GO350">
        <v>0.54816964285714276</v>
      </c>
      <c r="GP350">
        <v>0.22617187499999997</v>
      </c>
      <c r="GQ350">
        <v>0.19312499999999999</v>
      </c>
      <c r="GR350">
        <v>0.26348958333333333</v>
      </c>
      <c r="GS350">
        <v>9.465845352564102E-2</v>
      </c>
      <c r="GT350">
        <v>1.1862045915359152</v>
      </c>
      <c r="GU350"/>
      <c r="GV350"/>
      <c r="GW350"/>
      <c r="GX350"/>
      <c r="GY350"/>
      <c r="GZ350"/>
      <c r="HA350"/>
      <c r="HB350"/>
      <c r="HC350"/>
    </row>
    <row r="351" spans="1:211" s="7" customFormat="1">
      <c r="A351" s="4"/>
      <c r="B351" s="4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81"/>
      <c r="N351" s="81"/>
      <c r="O351" s="81"/>
      <c r="P351" s="81"/>
      <c r="Q351" s="81"/>
      <c r="R351" s="81"/>
      <c r="S351" s="81"/>
      <c r="T351" s="81"/>
      <c r="U351" s="81"/>
      <c r="V351" s="81"/>
      <c r="W351" s="81"/>
      <c r="X351" s="81"/>
      <c r="Y351" s="81"/>
      <c r="Z351" s="81"/>
      <c r="AA351" s="81"/>
      <c r="AB351" s="81"/>
      <c r="AC351" s="81"/>
      <c r="AD351" s="4"/>
      <c r="AE351" s="4"/>
      <c r="AF351" s="81"/>
      <c r="AG351" s="81"/>
      <c r="AH351" s="81"/>
      <c r="AI351" s="81"/>
      <c r="AJ351" s="81"/>
      <c r="AK351" s="81"/>
      <c r="AL351" s="81"/>
      <c r="AM351" s="43">
        <v>335</v>
      </c>
      <c r="AN351">
        <v>49.959465761871449</v>
      </c>
      <c r="AO351">
        <v>1.178186299242983</v>
      </c>
      <c r="AP351">
        <v>8.5778717971088838</v>
      </c>
      <c r="AQ351">
        <v>9.0756953952128878</v>
      </c>
      <c r="AR351">
        <v>1.0986421011474672</v>
      </c>
      <c r="AS351">
        <v>3.9248638107374281</v>
      </c>
      <c r="AT351" t="e">
        <v>#DIV/0!</v>
      </c>
      <c r="AU351" t="e">
        <v>#DIV/0!</v>
      </c>
      <c r="AV351"/>
      <c r="AW351"/>
      <c r="FY351" s="211">
        <v>346</v>
      </c>
      <c r="FZ351">
        <v>1.2147692964235284</v>
      </c>
      <c r="GA351">
        <v>1.4716128879221699</v>
      </c>
      <c r="GB351">
        <v>1.3711888635744305</v>
      </c>
      <c r="GC351">
        <v>1.1226962644140821</v>
      </c>
      <c r="GD351">
        <v>0.39955738988022427</v>
      </c>
      <c r="GE351">
        <v>0.14249529550395001</v>
      </c>
      <c r="GF351">
        <v>0.24090012531466881</v>
      </c>
      <c r="GG351">
        <v>0.13862439864731252</v>
      </c>
      <c r="GH351">
        <v>4.5971471670847357E-2</v>
      </c>
      <c r="GI351">
        <v>0.79210978721700798</v>
      </c>
      <c r="GJ351"/>
      <c r="GK351">
        <v>1.2107362132352939</v>
      </c>
      <c r="GL351">
        <v>1.2396112132352939</v>
      </c>
      <c r="GM351">
        <v>2.2515987215909092</v>
      </c>
      <c r="GN351">
        <v>3.2933433644480514</v>
      </c>
      <c r="GO351">
        <v>1.5196821428571428</v>
      </c>
      <c r="GP351">
        <v>0.26784374999999999</v>
      </c>
      <c r="GQ351">
        <v>0.29081250000000003</v>
      </c>
      <c r="GR351">
        <v>0.19312499999999999</v>
      </c>
      <c r="GS351">
        <v>4.8587740384615385E-2</v>
      </c>
      <c r="GT351">
        <v>1.0642834636135925</v>
      </c>
      <c r="GU351"/>
      <c r="GV351"/>
      <c r="GW351"/>
      <c r="GX351"/>
      <c r="GY351"/>
      <c r="GZ351"/>
      <c r="HA351"/>
      <c r="HB351"/>
      <c r="HC351"/>
    </row>
    <row r="352" spans="1:211" s="7" customFormat="1">
      <c r="A352" s="4"/>
      <c r="B352" s="4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81"/>
      <c r="N352" s="81"/>
      <c r="O352" s="81"/>
      <c r="P352" s="81"/>
      <c r="Q352" s="81"/>
      <c r="R352" s="81"/>
      <c r="S352" s="81"/>
      <c r="T352" s="81"/>
      <c r="U352" s="81"/>
      <c r="V352" s="81"/>
      <c r="W352" s="81"/>
      <c r="X352" s="81"/>
      <c r="Y352" s="81"/>
      <c r="Z352" s="81"/>
      <c r="AA352" s="81"/>
      <c r="AB352" s="81"/>
      <c r="AC352" s="81"/>
      <c r="AD352" s="4"/>
      <c r="AE352" s="4"/>
      <c r="AF352" s="81"/>
      <c r="AG352" s="81"/>
      <c r="AH352" s="81"/>
      <c r="AI352" s="81"/>
      <c r="AJ352" s="81"/>
      <c r="AK352" s="81"/>
      <c r="AL352" s="81"/>
      <c r="AM352" s="43">
        <v>336</v>
      </c>
      <c r="AN352">
        <v>44.244855821602144</v>
      </c>
      <c r="AO352">
        <v>0.99696309471625177</v>
      </c>
      <c r="AP352">
        <v>3.1780975464108248</v>
      </c>
      <c r="AQ352">
        <v>6.2209265378444467</v>
      </c>
      <c r="AR352">
        <v>0.93610226704973964</v>
      </c>
      <c r="AS352">
        <v>3.7756117404531877</v>
      </c>
      <c r="AT352" t="e">
        <v>#DIV/0!</v>
      </c>
      <c r="AU352" t="e">
        <v>#DIV/0!</v>
      </c>
      <c r="AV352"/>
      <c r="AW352"/>
      <c r="FY352" s="211">
        <v>347</v>
      </c>
      <c r="FZ352">
        <v>1.9863038934186812</v>
      </c>
      <c r="GA352">
        <v>2.6499637857063796</v>
      </c>
      <c r="GB352">
        <v>1.0171793700978327</v>
      </c>
      <c r="GC352">
        <v>0.63660331217948873</v>
      </c>
      <c r="GD352">
        <v>0.28818349476013921</v>
      </c>
      <c r="GE352">
        <v>0.20025600845602504</v>
      </c>
      <c r="GF352">
        <v>4.0519097411428125E-2</v>
      </c>
      <c r="GG352">
        <v>0.10116381687628125</v>
      </c>
      <c r="GH352">
        <v>0.15603164258923619</v>
      </c>
      <c r="GI352">
        <v>0.73827032425041217</v>
      </c>
      <c r="GJ352"/>
      <c r="GK352">
        <v>1.9796099264705882</v>
      </c>
      <c r="GL352">
        <v>2.2319614889705885</v>
      </c>
      <c r="GM352">
        <v>1.6697485795454543</v>
      </c>
      <c r="GN352">
        <v>1.867363534902597</v>
      </c>
      <c r="GO352">
        <v>1.0963258928571427</v>
      </c>
      <c r="GP352">
        <v>0.37645312500000006</v>
      </c>
      <c r="GQ352">
        <v>4.8843750000000005E-2</v>
      </c>
      <c r="GR352">
        <v>0.14072916666666666</v>
      </c>
      <c r="GS352">
        <v>0.16502303685897435</v>
      </c>
      <c r="GT352">
        <v>0.99191023714643189</v>
      </c>
      <c r="GU352"/>
      <c r="GV352"/>
      <c r="GW352"/>
      <c r="GX352"/>
      <c r="GY352"/>
      <c r="GZ352"/>
      <c r="HA352"/>
      <c r="HB352"/>
      <c r="HC352"/>
    </row>
    <row r="353" spans="1:211" s="7" customFormat="1">
      <c r="A353" s="4"/>
      <c r="B353" s="4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81"/>
      <c r="N353" s="81"/>
      <c r="O353" s="81"/>
      <c r="P353" s="81"/>
      <c r="Q353" s="81"/>
      <c r="R353" s="81"/>
      <c r="S353" s="81"/>
      <c r="T353" s="81"/>
      <c r="U353" s="81"/>
      <c r="V353" s="81"/>
      <c r="W353" s="81"/>
      <c r="X353" s="81"/>
      <c r="Y353" s="81"/>
      <c r="Z353" s="81"/>
      <c r="AA353" s="81"/>
      <c r="AB353" s="81"/>
      <c r="AC353" s="81"/>
      <c r="AD353" s="4"/>
      <c r="AE353" s="4"/>
      <c r="AF353" s="81"/>
      <c r="AG353" s="81"/>
      <c r="AH353" s="81"/>
      <c r="AI353" s="81"/>
      <c r="AJ353" s="81"/>
      <c r="AK353" s="81"/>
      <c r="AL353" s="81"/>
      <c r="AM353" s="43">
        <v>337</v>
      </c>
      <c r="AN353">
        <v>40.923517525739385</v>
      </c>
      <c r="AO353">
        <v>0.93651087159403912</v>
      </c>
      <c r="AP353">
        <v>0.76784904572726564</v>
      </c>
      <c r="AQ353">
        <v>6.6933249436881646</v>
      </c>
      <c r="AR353">
        <v>0.89059855241066477</v>
      </c>
      <c r="AS353">
        <v>3.3798411342262713</v>
      </c>
      <c r="AT353">
        <v>0.67929599960341769</v>
      </c>
      <c r="AU353">
        <v>0.1688698810689207</v>
      </c>
      <c r="AV353"/>
      <c r="AW353"/>
      <c r="FY353" s="211">
        <v>348</v>
      </c>
      <c r="FZ353">
        <v>1.4291785119750666</v>
      </c>
      <c r="GA353">
        <v>1.9134512064487708</v>
      </c>
      <c r="GB353">
        <v>0.85607635718574826</v>
      </c>
      <c r="GC353">
        <v>0.61011786034711379</v>
      </c>
      <c r="GD353">
        <v>0.22310841752055</v>
      </c>
      <c r="GE353">
        <v>0.10979074220377499</v>
      </c>
      <c r="GF353">
        <v>0.37461671604370633</v>
      </c>
      <c r="GG353">
        <v>0.28954215414031298</v>
      </c>
      <c r="GH353">
        <v>0</v>
      </c>
      <c r="GI353">
        <v>0.61482409925920722</v>
      </c>
      <c r="GJ353"/>
      <c r="GK353">
        <v>1.4241674632352939</v>
      </c>
      <c r="GL353">
        <v>1.6114565257352937</v>
      </c>
      <c r="GM353">
        <v>1.4054673295454543</v>
      </c>
      <c r="GN353">
        <v>1.7898188920454543</v>
      </c>
      <c r="GO353">
        <v>0.84862499999999996</v>
      </c>
      <c r="GP353">
        <v>0.20629687499999999</v>
      </c>
      <c r="GQ353">
        <v>0.45162635869565215</v>
      </c>
      <c r="GR353">
        <v>0.40278260869565213</v>
      </c>
      <c r="GS353">
        <v>0</v>
      </c>
      <c r="GT353">
        <v>0.82597723029527992</v>
      </c>
      <c r="GU353"/>
      <c r="GV353"/>
      <c r="GW353"/>
      <c r="GX353"/>
      <c r="GY353"/>
      <c r="GZ353"/>
      <c r="HA353"/>
      <c r="HB353"/>
      <c r="HC353"/>
    </row>
    <row r="354" spans="1:211" s="7" customFormat="1">
      <c r="A354" s="4"/>
      <c r="B354" s="4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81"/>
      <c r="N354" s="81"/>
      <c r="O354" s="81"/>
      <c r="P354" s="81"/>
      <c r="Q354" s="81"/>
      <c r="R354" s="81"/>
      <c r="S354" s="81"/>
      <c r="T354" s="81"/>
      <c r="U354" s="81"/>
      <c r="V354" s="81"/>
      <c r="W354" s="81"/>
      <c r="X354" s="81"/>
      <c r="Y354" s="81"/>
      <c r="Z354" s="81"/>
      <c r="AA354" s="81"/>
      <c r="AB354" s="81"/>
      <c r="AC354" s="81"/>
      <c r="AD354" s="4"/>
      <c r="AE354" s="4"/>
      <c r="AF354" s="81"/>
      <c r="AG354" s="81"/>
      <c r="AH354" s="81"/>
      <c r="AI354" s="81"/>
      <c r="AJ354" s="81"/>
      <c r="AK354" s="81"/>
      <c r="AL354" s="81"/>
      <c r="AM354" s="43">
        <v>338</v>
      </c>
      <c r="AN354">
        <v>49.966700924377548</v>
      </c>
      <c r="AO354">
        <v>1.0956329412102845</v>
      </c>
      <c r="AP354">
        <v>1.3988448328402188</v>
      </c>
      <c r="AQ354">
        <v>7.2299249057312824</v>
      </c>
      <c r="AR354">
        <v>1.004069172953405</v>
      </c>
      <c r="AS354">
        <v>4.3714433096092025</v>
      </c>
      <c r="AT354" t="e">
        <v>#DIV/0!</v>
      </c>
      <c r="AU354" t="e">
        <v>#DIV/0!</v>
      </c>
      <c r="AV354"/>
      <c r="AW354"/>
      <c r="FY354" s="211">
        <v>349</v>
      </c>
      <c r="FZ354">
        <v>0.40511001411472219</v>
      </c>
      <c r="GA354">
        <v>0.86465458387333549</v>
      </c>
      <c r="GB354">
        <v>0.53092104579974875</v>
      </c>
      <c r="GC354">
        <v>0.48828252767255242</v>
      </c>
      <c r="GD354">
        <v>0.28103496915246101</v>
      </c>
      <c r="GE354">
        <v>7.7086188903599986E-2</v>
      </c>
      <c r="GF354">
        <v>0.15986193049181252</v>
      </c>
      <c r="GG354">
        <v>0.18920630708545313</v>
      </c>
      <c r="GH354">
        <v>8.9508689212329934E-2</v>
      </c>
      <c r="GI354">
        <v>0.39184240914325441</v>
      </c>
      <c r="GJ354"/>
      <c r="GK354">
        <v>0.40362187500000002</v>
      </c>
      <c r="GL354">
        <v>0.72810234374999994</v>
      </c>
      <c r="GM354">
        <v>0.87127734374999988</v>
      </c>
      <c r="GN354">
        <v>1.4310830357142856</v>
      </c>
      <c r="GO354">
        <v>1.0688799107142857</v>
      </c>
      <c r="GP354">
        <v>0.14474999999999999</v>
      </c>
      <c r="GQ354">
        <v>0.19312499999999999</v>
      </c>
      <c r="GR354">
        <v>0.26348958333333333</v>
      </c>
      <c r="GS354">
        <v>9.465845352564102E-2</v>
      </c>
      <c r="GT354">
        <v>0.52631251659798539</v>
      </c>
      <c r="GU354"/>
      <c r="GV354"/>
      <c r="GW354"/>
      <c r="GX354"/>
      <c r="GY354"/>
      <c r="GZ354"/>
      <c r="HA354"/>
      <c r="HB354"/>
      <c r="HC354"/>
    </row>
    <row r="355" spans="1:211" s="7" customFormat="1">
      <c r="A355" s="4"/>
      <c r="B355" s="4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81"/>
      <c r="N355" s="81"/>
      <c r="O355" s="81"/>
      <c r="P355" s="81"/>
      <c r="Q355" s="81"/>
      <c r="R355" s="81"/>
      <c r="S355" s="81"/>
      <c r="T355" s="81"/>
      <c r="U355" s="81"/>
      <c r="V355" s="81"/>
      <c r="W355" s="81"/>
      <c r="X355" s="81"/>
      <c r="Y355" s="81"/>
      <c r="Z355" s="81"/>
      <c r="AA355" s="81"/>
      <c r="AB355" s="81"/>
      <c r="AC355" s="81"/>
      <c r="AD355" s="4"/>
      <c r="AE355" s="4"/>
      <c r="AF355" s="81"/>
      <c r="AG355" s="81"/>
      <c r="AH355" s="81"/>
      <c r="AI355" s="81"/>
      <c r="AJ355" s="81"/>
      <c r="AK355" s="81"/>
      <c r="AL355" s="81"/>
      <c r="AM355" s="43">
        <v>339</v>
      </c>
      <c r="AN355">
        <v>29.494990079365078</v>
      </c>
      <c r="AO355">
        <v>0.67028735267857142</v>
      </c>
      <c r="AP355">
        <v>0.73710094431937501</v>
      </c>
      <c r="AQ355">
        <v>4.5634805398767364</v>
      </c>
      <c r="AR355">
        <v>0.62021861607142847</v>
      </c>
      <c r="AS355">
        <v>2.5532162741016324</v>
      </c>
      <c r="AT355" t="e">
        <v>#DIV/0!</v>
      </c>
      <c r="AU355" t="e">
        <v>#DIV/0!</v>
      </c>
      <c r="AV355"/>
      <c r="AW355"/>
      <c r="FY355" s="211">
        <v>350</v>
      </c>
      <c r="FZ355">
        <v>1.1548460565969245</v>
      </c>
      <c r="GA355">
        <v>2.4153434089338326</v>
      </c>
      <c r="GB355">
        <v>1.1232316922121701</v>
      </c>
      <c r="GC355">
        <v>0.43374549506732452</v>
      </c>
      <c r="GD355">
        <v>0.11969024227489927</v>
      </c>
      <c r="GE355">
        <v>8.088342136492499E-2</v>
      </c>
      <c r="GF355">
        <v>0.5344786465355188</v>
      </c>
      <c r="GG355">
        <v>0.52933036966390667</v>
      </c>
      <c r="GH355">
        <v>0.20200311426008355</v>
      </c>
      <c r="GI355">
        <v>0.64143868081907751</v>
      </c>
      <c r="GJ355"/>
      <c r="GK355">
        <v>1.1507455882352939</v>
      </c>
      <c r="GL355">
        <v>2.0342455882352937</v>
      </c>
      <c r="GM355">
        <v>1.8439048295454543</v>
      </c>
      <c r="GN355">
        <v>1.2732900974025971</v>
      </c>
      <c r="GO355">
        <v>0.45590089285714286</v>
      </c>
      <c r="GP355">
        <v>0.15201562499999999</v>
      </c>
      <c r="GQ355">
        <v>0.64475135869565214</v>
      </c>
      <c r="GR355">
        <v>0.73663677536231864</v>
      </c>
      <c r="GS355">
        <v>0.21361077724358973</v>
      </c>
      <c r="GT355">
        <v>0.86178268931542656</v>
      </c>
      <c r="GU355"/>
      <c r="GV355"/>
      <c r="GW355"/>
      <c r="GX355"/>
      <c r="GY355"/>
      <c r="GZ355"/>
      <c r="HA355"/>
      <c r="HB355"/>
      <c r="HC355"/>
    </row>
    <row r="356" spans="1:211" s="7" customFormat="1">
      <c r="A356" s="4"/>
      <c r="B356" s="4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81"/>
      <c r="N356" s="81"/>
      <c r="O356" s="81"/>
      <c r="P356" s="81"/>
      <c r="Q356" s="81"/>
      <c r="R356" s="81"/>
      <c r="S356" s="81"/>
      <c r="T356" s="81"/>
      <c r="U356" s="81"/>
      <c r="V356" s="81"/>
      <c r="W356" s="81"/>
      <c r="X356" s="81"/>
      <c r="Y356" s="81"/>
      <c r="Z356" s="81"/>
      <c r="AA356" s="81"/>
      <c r="AB356" s="81"/>
      <c r="AC356" s="81"/>
      <c r="AD356" s="4"/>
      <c r="AE356" s="4"/>
      <c r="AF356" s="81"/>
      <c r="AG356" s="81"/>
      <c r="AH356" s="81"/>
      <c r="AI356" s="81"/>
      <c r="AJ356" s="81"/>
      <c r="AK356" s="81"/>
      <c r="AL356" s="81"/>
      <c r="AM356" s="43">
        <v>340</v>
      </c>
      <c r="AN356">
        <v>52.703164345215974</v>
      </c>
      <c r="AO356">
        <v>1.1777603589071706</v>
      </c>
      <c r="AP356">
        <v>13.250204606581258</v>
      </c>
      <c r="AQ356">
        <v>7.6077283388121932</v>
      </c>
      <c r="AR356">
        <v>1.0990497908771482</v>
      </c>
      <c r="AS356">
        <v>4.6449612220334542</v>
      </c>
      <c r="AT356" t="e">
        <v>#DIV/0!</v>
      </c>
      <c r="AU356" t="e">
        <v>#DIV/0!</v>
      </c>
      <c r="AV356"/>
      <c r="AW356"/>
      <c r="FY356" s="211">
        <v>351</v>
      </c>
      <c r="FZ356">
        <v>0.89687988308945821</v>
      </c>
      <c r="GA356">
        <v>1.4523808590084122</v>
      </c>
      <c r="GB356">
        <v>1.479074910979985</v>
      </c>
      <c r="GC356">
        <v>0.79307502262230101</v>
      </c>
      <c r="GD356">
        <v>0.10353720493532251</v>
      </c>
      <c r="GE356">
        <v>4.5232633126125001E-2</v>
      </c>
      <c r="GF356">
        <v>0.49395954912409079</v>
      </c>
      <c r="GG356">
        <v>0.47874846122576609</v>
      </c>
      <c r="GH356">
        <v>6.6522953376906252E-2</v>
      </c>
      <c r="GI356">
        <v>0.65236414946274013</v>
      </c>
      <c r="GJ356"/>
      <c r="GK356">
        <v>0.89390808823529389</v>
      </c>
      <c r="GL356">
        <v>1.2232518382352939</v>
      </c>
      <c r="GM356">
        <v>2.4282393465909089</v>
      </c>
      <c r="GN356">
        <v>2.328845596590909</v>
      </c>
      <c r="GO356">
        <v>0.39471562500000001</v>
      </c>
      <c r="GP356">
        <v>8.5078125000000004E-2</v>
      </c>
      <c r="GQ356">
        <v>0.59590760869565207</v>
      </c>
      <c r="GR356">
        <v>0.66627219202898535</v>
      </c>
      <c r="GS356">
        <v>7.0364583333333328E-2</v>
      </c>
      <c r="GT356">
        <v>0.87662705037103772</v>
      </c>
      <c r="GU356"/>
      <c r="GV356"/>
      <c r="GW356"/>
      <c r="GX356"/>
      <c r="GY356"/>
      <c r="GZ356"/>
      <c r="HA356"/>
      <c r="HB356"/>
      <c r="HC356"/>
    </row>
    <row r="357" spans="1:211" s="7" customFormat="1">
      <c r="A357" s="4"/>
      <c r="B357" s="4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81"/>
      <c r="N357" s="81"/>
      <c r="O357" s="81"/>
      <c r="P357" s="81"/>
      <c r="Q357" s="81"/>
      <c r="R357" s="81"/>
      <c r="S357" s="81"/>
      <c r="T357" s="81"/>
      <c r="U357" s="81"/>
      <c r="V357" s="81"/>
      <c r="W357" s="81"/>
      <c r="X357" s="81"/>
      <c r="Y357" s="81"/>
      <c r="Z357" s="81"/>
      <c r="AA357" s="81"/>
      <c r="AB357" s="81"/>
      <c r="AC357" s="81"/>
      <c r="AD357" s="4"/>
      <c r="AE357" s="4"/>
      <c r="AF357" s="81"/>
      <c r="AG357" s="81"/>
      <c r="AH357" s="81"/>
      <c r="AI357" s="81"/>
      <c r="AJ357" s="81"/>
      <c r="AK357" s="81"/>
      <c r="AL357" s="81"/>
      <c r="AM357" s="43">
        <v>341</v>
      </c>
      <c r="AN357">
        <v>36.888539684036004</v>
      </c>
      <c r="AO357">
        <v>0.84018388340672789</v>
      </c>
      <c r="AP357">
        <v>0.91577326267616943</v>
      </c>
      <c r="AQ357">
        <v>5.887244394961388</v>
      </c>
      <c r="AR357">
        <v>0.77908707495017215</v>
      </c>
      <c r="AS357">
        <v>2.9342882672374651</v>
      </c>
      <c r="AT357">
        <v>0.59999799503084783</v>
      </c>
      <c r="AU357">
        <v>-1.810497245769821E-2</v>
      </c>
      <c r="AV357"/>
      <c r="AW357"/>
      <c r="FY357" s="211">
        <v>352</v>
      </c>
      <c r="FZ357">
        <v>1.8287495685787194</v>
      </c>
      <c r="GA357">
        <v>1.9100378183422762</v>
      </c>
      <c r="GB357">
        <v>0.20962281816599063</v>
      </c>
      <c r="GC357">
        <v>0.11102453306348999</v>
      </c>
      <c r="GD357">
        <v>0.14589433367099675</v>
      </c>
      <c r="GE357">
        <v>0.12231882202972501</v>
      </c>
      <c r="GF357">
        <v>0.47958579147543745</v>
      </c>
      <c r="GG357">
        <v>0.51703701281821868</v>
      </c>
      <c r="GH357">
        <v>0.15603164258923619</v>
      </c>
      <c r="GI357">
        <v>0.5159741388983683</v>
      </c>
      <c r="GJ357"/>
      <c r="GK357">
        <v>1.822642463235294</v>
      </c>
      <c r="GL357">
        <v>1.6087987132352941</v>
      </c>
      <c r="GM357">
        <v>0.34396875000000005</v>
      </c>
      <c r="GN357">
        <v>0.32556964285714285</v>
      </c>
      <c r="GO357">
        <v>0.5553977678571429</v>
      </c>
      <c r="GP357">
        <v>0.22982812499999999</v>
      </c>
      <c r="GQ357">
        <v>0.57937499999999997</v>
      </c>
      <c r="GR357">
        <v>0.72010416666666655</v>
      </c>
      <c r="GS357">
        <v>0.16502303685897435</v>
      </c>
      <c r="GT357">
        <v>0.69328140359028212</v>
      </c>
      <c r="GU357"/>
      <c r="GV357"/>
      <c r="GW357"/>
      <c r="GX357"/>
      <c r="GY357"/>
      <c r="GZ357"/>
      <c r="HA357"/>
      <c r="HB357"/>
      <c r="HC357"/>
    </row>
    <row r="358" spans="1:211" s="7" customFormat="1">
      <c r="A358" s="4"/>
      <c r="B358" s="4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81"/>
      <c r="N358" s="81"/>
      <c r="O358" s="81"/>
      <c r="P358" s="81"/>
      <c r="Q358" s="81"/>
      <c r="R358" s="81"/>
      <c r="S358" s="81"/>
      <c r="T358" s="81"/>
      <c r="U358" s="81"/>
      <c r="V358" s="81"/>
      <c r="W358" s="81"/>
      <c r="X358" s="81"/>
      <c r="Y358" s="81"/>
      <c r="Z358" s="81"/>
      <c r="AA358" s="81"/>
      <c r="AB358" s="81"/>
      <c r="AC358" s="81"/>
      <c r="AD358" s="4"/>
      <c r="AE358" s="4"/>
      <c r="AF358" s="81"/>
      <c r="AG358" s="81"/>
      <c r="AH358" s="81"/>
      <c r="AI358" s="81"/>
      <c r="AJ358" s="81"/>
      <c r="AK358" s="81"/>
      <c r="AL358" s="81"/>
      <c r="AM358" s="43">
        <v>342</v>
      </c>
      <c r="AN358">
        <v>55.318002540109319</v>
      </c>
      <c r="AO358">
        <v>1.1578740830809751</v>
      </c>
      <c r="AP358">
        <v>18.102854593379107</v>
      </c>
      <c r="AQ358">
        <v>8.8240508681012368</v>
      </c>
      <c r="AR358">
        <v>1.0548213364547325</v>
      </c>
      <c r="AS358">
        <v>4.6587866459550664</v>
      </c>
      <c r="AT358" t="e">
        <v>#DIV/0!</v>
      </c>
      <c r="AU358" t="e">
        <v>#DIV/0!</v>
      </c>
      <c r="AV358"/>
      <c r="AW358"/>
      <c r="FY358" s="211">
        <v>353</v>
      </c>
      <c r="FZ358">
        <v>0.85691186909922401</v>
      </c>
      <c r="GA358">
        <v>1.7645454728996968</v>
      </c>
      <c r="GB358">
        <v>1.6392338678808667</v>
      </c>
      <c r="GC358">
        <v>0.93284244609889977</v>
      </c>
      <c r="GD358">
        <v>0.20788025490438747</v>
      </c>
      <c r="GE358">
        <v>9.05731237035E-2</v>
      </c>
      <c r="GF358">
        <v>0.74923343208741267</v>
      </c>
      <c r="GG358">
        <v>0.78141194203318853</v>
      </c>
      <c r="GH358">
        <v>0.26609181350762501</v>
      </c>
      <c r="GI358">
        <v>0.82186307851899487</v>
      </c>
      <c r="GJ358"/>
      <c r="GK358">
        <v>0.85406433823529404</v>
      </c>
      <c r="GL358">
        <v>1.4863260569852939</v>
      </c>
      <c r="GM358">
        <v>2.6913135653409093</v>
      </c>
      <c r="GN358">
        <v>2.7375674715909089</v>
      </c>
      <c r="GO358">
        <v>0.79073437499999988</v>
      </c>
      <c r="GP358">
        <v>0.17006250000000001</v>
      </c>
      <c r="GQ358">
        <v>0.90325271739130431</v>
      </c>
      <c r="GR358">
        <v>1.0870235507246375</v>
      </c>
      <c r="GS358">
        <v>0.28145833333333331</v>
      </c>
      <c r="GT358">
        <v>1.104164665860168</v>
      </c>
      <c r="GU358"/>
      <c r="GV358"/>
      <c r="GW358"/>
      <c r="GX358"/>
      <c r="GY358"/>
      <c r="GZ358"/>
      <c r="HA358"/>
      <c r="HB358"/>
      <c r="HC358"/>
    </row>
    <row r="359" spans="1:211" s="7" customFormat="1">
      <c r="A359" s="4"/>
      <c r="B359" s="4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81"/>
      <c r="N359" s="81"/>
      <c r="O359" s="81"/>
      <c r="P359" s="81"/>
      <c r="Q359" s="81"/>
      <c r="R359" s="81"/>
      <c r="S359" s="81"/>
      <c r="T359" s="81"/>
      <c r="U359" s="81"/>
      <c r="V359" s="81"/>
      <c r="W359" s="81"/>
      <c r="X359" s="81"/>
      <c r="Y359" s="81"/>
      <c r="Z359" s="81"/>
      <c r="AA359" s="81"/>
      <c r="AB359" s="81"/>
      <c r="AC359" s="81"/>
      <c r="AD359" s="4"/>
      <c r="AE359" s="4"/>
      <c r="AF359" s="81"/>
      <c r="AG359" s="81"/>
      <c r="AH359" s="81"/>
      <c r="AI359" s="81"/>
      <c r="AJ359" s="81"/>
      <c r="AK359" s="81"/>
      <c r="AL359" s="81"/>
      <c r="AM359" s="43">
        <v>343</v>
      </c>
      <c r="AN359">
        <v>51.676570048309181</v>
      </c>
      <c r="AO359">
        <v>1.0617801467391303</v>
      </c>
      <c r="AP359">
        <v>1.3962715658642435</v>
      </c>
      <c r="AQ359">
        <v>6.2612201345798661</v>
      </c>
      <c r="AR359">
        <v>0.9761211561264822</v>
      </c>
      <c r="AS359">
        <v>4.6365337449829918</v>
      </c>
      <c r="AT359" t="e">
        <v>#DIV/0!</v>
      </c>
      <c r="AU359" t="e">
        <v>#DIV/0!</v>
      </c>
      <c r="AV359"/>
      <c r="AW359"/>
      <c r="FY359" s="211">
        <v>354</v>
      </c>
      <c r="FZ359">
        <v>1.1693174888098239</v>
      </c>
      <c r="GA359">
        <v>1.8676124524725153</v>
      </c>
      <c r="GB359">
        <v>0.29448398330253633</v>
      </c>
      <c r="GC359">
        <v>0.49337588321315751</v>
      </c>
      <c r="GD359">
        <v>0.40055100742257432</v>
      </c>
      <c r="GE359">
        <v>0.15994911958762498</v>
      </c>
      <c r="GF359">
        <v>0.93524070234199996</v>
      </c>
      <c r="GG359">
        <v>0.75599725852039101</v>
      </c>
      <c r="GH359">
        <v>6.6522953376906252E-2</v>
      </c>
      <c r="GI359">
        <v>0.65082319418348034</v>
      </c>
      <c r="GJ359"/>
      <c r="GK359">
        <v>1.165314338235294</v>
      </c>
      <c r="GL359">
        <v>1.5731385569852938</v>
      </c>
      <c r="GM359">
        <v>0.48321484375000001</v>
      </c>
      <c r="GN359">
        <v>1.4448383928571429</v>
      </c>
      <c r="GO359">
        <v>1.5232446428571431</v>
      </c>
      <c r="GP359">
        <v>0.300328125</v>
      </c>
      <c r="GQ359">
        <v>1.1286888586956521</v>
      </c>
      <c r="GR359">
        <v>1.0525221920289853</v>
      </c>
      <c r="GS359">
        <v>7.0364583333333328E-2</v>
      </c>
      <c r="GT359">
        <v>0.87416545337428442</v>
      </c>
      <c r="GU359"/>
      <c r="GV359"/>
      <c r="GW359"/>
      <c r="GX359"/>
      <c r="GY359"/>
      <c r="GZ359"/>
      <c r="HA359"/>
      <c r="HB359"/>
      <c r="HC359"/>
    </row>
    <row r="360" spans="1:211" s="7" customFormat="1">
      <c r="A360" s="4"/>
      <c r="B360" s="4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81"/>
      <c r="N360" s="81"/>
      <c r="O360" s="81"/>
      <c r="P360" s="81"/>
      <c r="Q360" s="81"/>
      <c r="R360" s="81"/>
      <c r="S360" s="81"/>
      <c r="T360" s="81"/>
      <c r="U360" s="81"/>
      <c r="V360" s="81"/>
      <c r="W360" s="81"/>
      <c r="X360" s="81"/>
      <c r="Y360" s="81"/>
      <c r="Z360" s="81"/>
      <c r="AA360" s="81"/>
      <c r="AB360" s="81"/>
      <c r="AC360" s="81"/>
      <c r="AD360" s="4"/>
      <c r="AE360" s="4"/>
      <c r="AF360" s="81"/>
      <c r="AG360" s="81"/>
      <c r="AH360" s="81"/>
      <c r="AI360" s="81"/>
      <c r="AJ360" s="81"/>
      <c r="AK360" s="81"/>
      <c r="AL360" s="81"/>
      <c r="AM360" s="43">
        <v>344</v>
      </c>
      <c r="AN360">
        <v>59.628200601821923</v>
      </c>
      <c r="AO360">
        <v>1.2515079954717463</v>
      </c>
      <c r="AP360">
        <v>0.74497119003281975</v>
      </c>
      <c r="AQ360">
        <v>7.4284059567373069</v>
      </c>
      <c r="AR360">
        <v>1.1435652340827065</v>
      </c>
      <c r="AS360">
        <v>5.1203023232933784</v>
      </c>
      <c r="AT360">
        <v>0.95088918539371969</v>
      </c>
      <c r="AU360">
        <v>-3.873196454962529E-2</v>
      </c>
      <c r="AV360"/>
      <c r="AW360"/>
      <c r="FY360" s="211">
        <v>355</v>
      </c>
      <c r="FZ360">
        <v>2.8467220059137595</v>
      </c>
      <c r="GA360">
        <v>4.0220153851629536</v>
      </c>
      <c r="GB360">
        <v>0.47623927677352385</v>
      </c>
      <c r="GC360">
        <v>0.32936367395334998</v>
      </c>
      <c r="GD360">
        <v>0.28244723048360354</v>
      </c>
      <c r="GE360">
        <v>0.16465914894285</v>
      </c>
      <c r="GF360">
        <v>0.5344786465355188</v>
      </c>
      <c r="GG360">
        <v>0.47874846122576609</v>
      </c>
      <c r="GH360">
        <v>8.9508689212329934E-2</v>
      </c>
      <c r="GI360">
        <v>0.80870361537654745</v>
      </c>
      <c r="GJ360"/>
      <c r="GK360">
        <v>2.8370680147058822</v>
      </c>
      <c r="GL360">
        <v>3.3878141084558822</v>
      </c>
      <c r="GM360">
        <v>0.78121484375000017</v>
      </c>
      <c r="GN360">
        <v>0.96446428571428566</v>
      </c>
      <c r="GO360">
        <v>1.0743080357142856</v>
      </c>
      <c r="GP360">
        <v>0.30946874999999996</v>
      </c>
      <c r="GQ360">
        <v>0.64475135869565214</v>
      </c>
      <c r="GR360">
        <v>0.66627219202898535</v>
      </c>
      <c r="GS360">
        <v>9.465845352564102E-2</v>
      </c>
      <c r="GT360">
        <v>1.0864001412782922</v>
      </c>
      <c r="GU360"/>
      <c r="GV360"/>
      <c r="GW360"/>
      <c r="GX360"/>
      <c r="GY360"/>
      <c r="GZ360"/>
      <c r="HA360"/>
      <c r="HB360"/>
      <c r="HC360"/>
    </row>
    <row r="361" spans="1:211" s="7" customFormat="1">
      <c r="A361" s="4"/>
      <c r="B361" s="4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81"/>
      <c r="N361" s="81"/>
      <c r="O361" s="81"/>
      <c r="P361" s="81"/>
      <c r="Q361" s="81"/>
      <c r="R361" s="81"/>
      <c r="S361" s="81"/>
      <c r="T361" s="81"/>
      <c r="U361" s="81"/>
      <c r="V361" s="81"/>
      <c r="W361" s="81"/>
      <c r="X361" s="81"/>
      <c r="Y361" s="81"/>
      <c r="Z361" s="81"/>
      <c r="AA361" s="81"/>
      <c r="AB361" s="81"/>
      <c r="AC361" s="81"/>
      <c r="AD361" s="4"/>
      <c r="AE361" s="4"/>
      <c r="AF361" s="81"/>
      <c r="AG361" s="81"/>
      <c r="AH361" s="81"/>
      <c r="AI361" s="81"/>
      <c r="AJ361" s="81"/>
      <c r="AK361" s="81"/>
      <c r="AL361" s="81"/>
      <c r="AM361" s="43">
        <v>345</v>
      </c>
      <c r="AN361">
        <v>46.710625029926497</v>
      </c>
      <c r="AO361">
        <v>1.2745050386702759</v>
      </c>
      <c r="AP361">
        <v>3.4518955074461659</v>
      </c>
      <c r="AQ361">
        <v>9.680697392815059</v>
      </c>
      <c r="AR361">
        <v>1.1862045915359145</v>
      </c>
      <c r="AS361">
        <v>4.3561283007438787</v>
      </c>
      <c r="AT361" t="e">
        <v>#DIV/0!</v>
      </c>
      <c r="AU361" t="e">
        <v>#DIV/0!</v>
      </c>
      <c r="AV361"/>
      <c r="AW361"/>
      <c r="FY361" s="211">
        <v>356</v>
      </c>
      <c r="FZ361">
        <v>1.8669030350511209</v>
      </c>
      <c r="GA361">
        <v>2.8858508462779291</v>
      </c>
      <c r="GB361">
        <v>2.2067461861376483</v>
      </c>
      <c r="GC361">
        <v>1.1102588117103884</v>
      </c>
      <c r="GD361">
        <v>0.23400166678386425</v>
      </c>
      <c r="GE361">
        <v>8.8593614384399985E-2</v>
      </c>
      <c r="GF361">
        <v>1.0022928558968347</v>
      </c>
      <c r="GG361">
        <v>0.91920837085907969</v>
      </c>
      <c r="GH361">
        <v>6.6522953376906252E-2</v>
      </c>
      <c r="GI361">
        <v>1.1391562366990071</v>
      </c>
      <c r="GJ361"/>
      <c r="GK361">
        <v>1.8606580882352939</v>
      </c>
      <c r="GL361">
        <v>2.4308924632352937</v>
      </c>
      <c r="GM361">
        <v>3.6237144886363635</v>
      </c>
      <c r="GN361">
        <v>3.2589935064935061</v>
      </c>
      <c r="GO361">
        <v>0.88998214285714261</v>
      </c>
      <c r="GP361">
        <v>0.16649999999999998</v>
      </c>
      <c r="GQ361">
        <v>1.2083478260869565</v>
      </c>
      <c r="GR361">
        <v>1.2787124094202897</v>
      </c>
      <c r="GS361">
        <v>7.0364583333333328E-2</v>
      </c>
      <c r="GT361">
        <v>1.5306134258298179</v>
      </c>
      <c r="GU361"/>
      <c r="GV361"/>
      <c r="GW361"/>
      <c r="GX361"/>
      <c r="GY361"/>
      <c r="GZ361"/>
      <c r="HA361"/>
      <c r="HB361"/>
      <c r="HC361"/>
    </row>
    <row r="362" spans="1:211" s="7" customFormat="1">
      <c r="A362" s="4"/>
      <c r="B362" s="4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81"/>
      <c r="N362" s="81"/>
      <c r="O362" s="81"/>
      <c r="P362" s="81"/>
      <c r="Q362" s="81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81"/>
      <c r="AG362" s="81"/>
      <c r="AH362" s="81"/>
      <c r="AI362" s="81"/>
      <c r="AJ362" s="81"/>
      <c r="AK362" s="81"/>
      <c r="AL362" s="81"/>
      <c r="AM362" s="43">
        <v>346</v>
      </c>
      <c r="AN362">
        <v>45.77277414170797</v>
      </c>
      <c r="AO362">
        <v>1.1379624109364901</v>
      </c>
      <c r="AP362">
        <v>1.8201730205040272</v>
      </c>
      <c r="AQ362">
        <v>6.9399257805682213</v>
      </c>
      <c r="AR362">
        <v>1.0642834636135923</v>
      </c>
      <c r="AS362">
        <v>3.7293580960076311</v>
      </c>
      <c r="AT362" t="e">
        <v>#DIV/0!</v>
      </c>
      <c r="AU362" t="e">
        <v>#DIV/0!</v>
      </c>
      <c r="AV362"/>
      <c r="AW362"/>
      <c r="FY362" s="211">
        <v>357</v>
      </c>
      <c r="FZ362">
        <v>1.6035933308075188</v>
      </c>
      <c r="GA362">
        <v>1.9274966096792772</v>
      </c>
      <c r="GB362">
        <v>0.58883472066869991</v>
      </c>
      <c r="GC362">
        <v>0.46340480954018748</v>
      </c>
      <c r="GD362">
        <v>0.22539680003431606</v>
      </c>
      <c r="GE362">
        <v>6.9375995884124991E-2</v>
      </c>
      <c r="GF362">
        <v>0.20038102790324064</v>
      </c>
      <c r="GG362">
        <v>0.13862439864731252</v>
      </c>
      <c r="GH362">
        <v>2.2985735835423678E-2</v>
      </c>
      <c r="GI362">
        <v>0.54900534985345484</v>
      </c>
      <c r="GJ362"/>
      <c r="GK362">
        <v>1.5979612132352941</v>
      </c>
      <c r="GL362">
        <v>1.6230862132352939</v>
      </c>
      <c r="GM362">
        <v>0.96606250000000005</v>
      </c>
      <c r="GN362">
        <v>1.3580580357142857</v>
      </c>
      <c r="GO362">
        <v>0.85713616071428578</v>
      </c>
      <c r="GP362">
        <v>0.130265625</v>
      </c>
      <c r="GQ362">
        <v>0.24196875000000001</v>
      </c>
      <c r="GR362">
        <v>0.19312499999999999</v>
      </c>
      <c r="GS362">
        <v>2.4293870192307693E-2</v>
      </c>
      <c r="GT362">
        <v>0.73748449882837752</v>
      </c>
      <c r="GU362"/>
      <c r="GV362"/>
      <c r="GW362"/>
      <c r="GX362"/>
      <c r="GY362"/>
      <c r="GZ362"/>
      <c r="HA362"/>
      <c r="HB362"/>
      <c r="HC362"/>
    </row>
    <row r="363" spans="1:211" s="7" customFormat="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81"/>
      <c r="AG363" s="81"/>
      <c r="AH363" s="81"/>
      <c r="AI363" s="81"/>
      <c r="AJ363" s="81"/>
      <c r="AK363" s="81"/>
      <c r="AL363" s="81"/>
      <c r="AM363" s="43">
        <v>347</v>
      </c>
      <c r="AN363">
        <v>44.140738047355697</v>
      </c>
      <c r="AO363">
        <v>1.0567968738418441</v>
      </c>
      <c r="AP363">
        <v>2.3295914078179889</v>
      </c>
      <c r="AQ363">
        <v>7.8144747457459038</v>
      </c>
      <c r="AR363">
        <v>0.99191023714643189</v>
      </c>
      <c r="AS363">
        <v>3.6045752982943995</v>
      </c>
      <c r="AT363" t="e">
        <v>#DIV/0!</v>
      </c>
      <c r="AU363" t="e">
        <v>#DIV/0!</v>
      </c>
      <c r="AV363"/>
      <c r="AW363"/>
      <c r="FY363" s="211">
        <v>358</v>
      </c>
      <c r="FZ363">
        <v>0.74302358551388159</v>
      </c>
      <c r="GA363">
        <v>1.2306217910450001</v>
      </c>
      <c r="GB363">
        <v>1.9183874578964366</v>
      </c>
      <c r="GC363">
        <v>0.95815007293303345</v>
      </c>
      <c r="GD363">
        <v>9.4525545473926054E-2</v>
      </c>
      <c r="GE363">
        <v>4.3360981258274998E-2</v>
      </c>
      <c r="GF363">
        <v>0</v>
      </c>
      <c r="GG363">
        <v>0.10116381687628125</v>
      </c>
      <c r="GH363">
        <v>0.1330459067538125</v>
      </c>
      <c r="GI363">
        <v>0.6534627254493397</v>
      </c>
      <c r="GJ363"/>
      <c r="GK363">
        <v>0.74046562499999991</v>
      </c>
      <c r="GL363">
        <v>1.0363171875000001</v>
      </c>
      <c r="GM363">
        <v>3.1501129261363636</v>
      </c>
      <c r="GN363">
        <v>2.8136756493506487</v>
      </c>
      <c r="GO363">
        <v>0.35958616071428567</v>
      </c>
      <c r="GP363">
        <v>8.1421875000000005E-2</v>
      </c>
      <c r="GQ363">
        <v>0</v>
      </c>
      <c r="GR363">
        <v>0.14072916666666666</v>
      </c>
      <c r="GS363">
        <v>0.14072916666666666</v>
      </c>
      <c r="GT363">
        <v>0.87817877570346325</v>
      </c>
      <c r="GU363"/>
      <c r="GV363"/>
      <c r="GW363"/>
      <c r="GX363"/>
      <c r="GY363"/>
      <c r="GZ363"/>
      <c r="HA363"/>
      <c r="HB363"/>
      <c r="HC363"/>
    </row>
    <row r="364" spans="1:211" s="7" customFormat="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81"/>
      <c r="AG364" s="81"/>
      <c r="AH364" s="81"/>
      <c r="AI364" s="81"/>
      <c r="AJ364" s="81"/>
      <c r="AK364" s="81"/>
      <c r="AL364" s="81"/>
      <c r="AM364" s="43">
        <v>348</v>
      </c>
      <c r="AN364">
        <v>38.804553850525714</v>
      </c>
      <c r="AO364">
        <v>0.89662182832480808</v>
      </c>
      <c r="AP364">
        <v>0.7724157307250118</v>
      </c>
      <c r="AQ364">
        <v>6.4207060651242509</v>
      </c>
      <c r="AR364">
        <v>0.82597723029528014</v>
      </c>
      <c r="AS364">
        <v>2.9841469361913289</v>
      </c>
      <c r="AT364" t="e">
        <v>#DIV/0!</v>
      </c>
      <c r="AU364" t="e">
        <v>#DIV/0!</v>
      </c>
      <c r="AV364"/>
      <c r="AW364"/>
      <c r="FY364" s="211">
        <v>359</v>
      </c>
      <c r="FZ364">
        <v>0.77022323308046237</v>
      </c>
      <c r="GA364">
        <v>1.2385955828013364</v>
      </c>
      <c r="GB364">
        <v>1.4373647193796628</v>
      </c>
      <c r="GC364">
        <v>0.68756881963231031</v>
      </c>
      <c r="GD364">
        <v>8.5522730984074272E-2</v>
      </c>
      <c r="GE364">
        <v>6.4558109077649986E-2</v>
      </c>
      <c r="GF364">
        <v>0.36024295839505316</v>
      </c>
      <c r="GG364">
        <v>0.32783070573276563</v>
      </c>
      <c r="GH364">
        <v>6.6522953376906252E-2</v>
      </c>
      <c r="GI364">
        <v>0.5891469282905254</v>
      </c>
      <c r="GJ364"/>
      <c r="GK364">
        <v>0.76762499999999989</v>
      </c>
      <c r="GL364">
        <v>1.04312109375</v>
      </c>
      <c r="GM364">
        <v>2.3599776278409088</v>
      </c>
      <c r="GN364">
        <v>2.0188511769480515</v>
      </c>
      <c r="GO364">
        <v>0.3254946428571428</v>
      </c>
      <c r="GP364">
        <v>0.12121874999999999</v>
      </c>
      <c r="GQ364">
        <v>0.43509375</v>
      </c>
      <c r="GR364">
        <v>0.45661458333333332</v>
      </c>
      <c r="GS364">
        <v>7.0364583333333328E-2</v>
      </c>
      <c r="GT364">
        <v>0.79171112080627704</v>
      </c>
      <c r="GU364"/>
      <c r="GV364"/>
      <c r="GW364"/>
      <c r="GX364"/>
      <c r="GY364"/>
      <c r="GZ364"/>
      <c r="HA364"/>
      <c r="HB364"/>
      <c r="HC364"/>
    </row>
    <row r="365" spans="1:211" s="7" customFormat="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81"/>
      <c r="AG365" s="81"/>
      <c r="AH365" s="81"/>
      <c r="AI365" s="81"/>
      <c r="AJ365" s="81"/>
      <c r="AK365" s="81"/>
      <c r="AL365" s="81"/>
      <c r="AM365" s="43">
        <v>349</v>
      </c>
      <c r="AN365">
        <v>27.255502772690271</v>
      </c>
      <c r="AO365">
        <v>0.5725300062385531</v>
      </c>
      <c r="AP365">
        <v>2.2177057714235988</v>
      </c>
      <c r="AQ365">
        <v>3.4775086654492688</v>
      </c>
      <c r="AR365">
        <v>0.52631251659798539</v>
      </c>
      <c r="AS365">
        <v>2.2706464915234696</v>
      </c>
      <c r="AT365" t="e">
        <v>#DIV/0!</v>
      </c>
      <c r="AU365" t="e">
        <v>#DIV/0!</v>
      </c>
      <c r="AV365"/>
      <c r="AW365"/>
      <c r="FY365" s="211">
        <v>360</v>
      </c>
      <c r="FZ365">
        <v>1.6665999325667777</v>
      </c>
      <c r="GA365">
        <v>2.2415712126649541</v>
      </c>
      <c r="GB365">
        <v>0.90207807855617794</v>
      </c>
      <c r="GC365">
        <v>0.86439197286404634</v>
      </c>
      <c r="GD365">
        <v>0.39817242946882619</v>
      </c>
      <c r="GE365">
        <v>0.13393410496177499</v>
      </c>
      <c r="GF365">
        <v>0.57499774394694703</v>
      </c>
      <c r="GG365">
        <v>0.47874846122576609</v>
      </c>
      <c r="GH365">
        <v>8.9508689212329934E-2</v>
      </c>
      <c r="GI365">
        <v>0.81050782882053363</v>
      </c>
      <c r="GJ365"/>
      <c r="GK365">
        <v>1.6609536764705879</v>
      </c>
      <c r="GL365">
        <v>1.888086488970588</v>
      </c>
      <c r="GM365">
        <v>1.4808579545454543</v>
      </c>
      <c r="GN365">
        <v>2.5340769277597404</v>
      </c>
      <c r="GO365">
        <v>1.5138361607142861</v>
      </c>
      <c r="GP365">
        <v>0.25148437500000004</v>
      </c>
      <c r="GQ365">
        <v>0.69359510869565222</v>
      </c>
      <c r="GR365">
        <v>0.66627219202898535</v>
      </c>
      <c r="GS365">
        <v>9.465845352564102E-2</v>
      </c>
      <c r="GT365">
        <v>1.0887802707903242</v>
      </c>
      <c r="GU365"/>
      <c r="GV365"/>
      <c r="GW365"/>
      <c r="GX365"/>
      <c r="GY365"/>
      <c r="GZ365"/>
      <c r="HA365"/>
      <c r="HB365"/>
      <c r="HC365"/>
    </row>
    <row r="366" spans="1:211" s="7" customFormat="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81"/>
      <c r="AG366" s="81"/>
      <c r="AH366" s="81"/>
      <c r="AI366" s="81"/>
      <c r="AJ366" s="81"/>
      <c r="AK366" s="81"/>
      <c r="AL366" s="81"/>
      <c r="AM366" s="43">
        <v>350</v>
      </c>
      <c r="AN366">
        <v>39.013762234734095</v>
      </c>
      <c r="AO366">
        <v>0.93668842218927684</v>
      </c>
      <c r="AP366">
        <v>0.98301726596392824</v>
      </c>
      <c r="AQ366">
        <v>7.2349911277286614</v>
      </c>
      <c r="AR366">
        <v>0.86178268931542668</v>
      </c>
      <c r="AS366">
        <v>3.0584612721756002</v>
      </c>
      <c r="AT366">
        <v>0.63596965732269084</v>
      </c>
      <c r="AU366">
        <v>-0.17743110040606297</v>
      </c>
      <c r="AV366"/>
      <c r="AW366"/>
      <c r="FY366" s="211">
        <v>361</v>
      </c>
      <c r="FZ366">
        <v>1.283820437726896</v>
      </c>
      <c r="GA366">
        <v>1.7001221344675523</v>
      </c>
      <c r="GB366">
        <v>1.0214645563043403</v>
      </c>
      <c r="GC366">
        <v>0.55368108538677641</v>
      </c>
      <c r="GD366">
        <v>0.12015466311646605</v>
      </c>
      <c r="GE366">
        <v>0.10979074220377499</v>
      </c>
      <c r="GF366">
        <v>0.20038102790324064</v>
      </c>
      <c r="GG366">
        <v>0.18920630708545313</v>
      </c>
      <c r="GH366">
        <v>0.11249442504775362</v>
      </c>
      <c r="GI366">
        <v>0.56180172942572293</v>
      </c>
      <c r="GJ366"/>
      <c r="GK366">
        <v>1.2794362132352939</v>
      </c>
      <c r="GL366">
        <v>1.431744806985294</v>
      </c>
      <c r="GM366">
        <v>1.6763462357954544</v>
      </c>
      <c r="GN366">
        <v>1.6247519277597402</v>
      </c>
      <c r="GO366">
        <v>0.45738616071428562</v>
      </c>
      <c r="GP366">
        <v>0.20629687499999999</v>
      </c>
      <c r="GQ366">
        <v>0.24196875000000001</v>
      </c>
      <c r="GR366">
        <v>0.26348958333333333</v>
      </c>
      <c r="GS366">
        <v>0.11895232371794871</v>
      </c>
      <c r="GT366">
        <v>0.75481793669259656</v>
      </c>
      <c r="GU366"/>
      <c r="GV366"/>
      <c r="GW366"/>
      <c r="GX366"/>
      <c r="GY366"/>
      <c r="GZ366"/>
      <c r="HA366"/>
      <c r="HB366"/>
      <c r="HC366"/>
    </row>
    <row r="367" spans="1:211" s="7" customFormat="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81"/>
      <c r="AG367" s="81"/>
      <c r="AH367" s="81"/>
      <c r="AI367" s="81"/>
      <c r="AJ367" s="81"/>
      <c r="AK367" s="81"/>
      <c r="AL367" s="81"/>
      <c r="AM367" s="43">
        <v>351</v>
      </c>
      <c r="AN367">
        <v>34.459299220896085</v>
      </c>
      <c r="AO367">
        <v>0.95632100540814147</v>
      </c>
      <c r="AP367">
        <v>7.1759807650921879</v>
      </c>
      <c r="AQ367">
        <v>6.4617756269511073</v>
      </c>
      <c r="AR367">
        <v>0.87662705037103761</v>
      </c>
      <c r="AS367">
        <v>3.1664816625455146</v>
      </c>
      <c r="AT367" t="e">
        <v>#DIV/0!</v>
      </c>
      <c r="AU367" t="e">
        <v>#DIV/0!</v>
      </c>
      <c r="AV367"/>
      <c r="AW367"/>
      <c r="FY367" s="211">
        <v>362</v>
      </c>
      <c r="FZ367">
        <v>0.36518215119445963</v>
      </c>
      <c r="GA367">
        <v>1.2070099160320016</v>
      </c>
      <c r="GB367">
        <v>0.67096614767041396</v>
      </c>
      <c r="GC367">
        <v>0.5618119838585468</v>
      </c>
      <c r="GD367">
        <v>0.39004176920187855</v>
      </c>
      <c r="GE367">
        <v>0.11460862901025</v>
      </c>
      <c r="GF367">
        <v>0.37461671604370633</v>
      </c>
      <c r="GG367">
        <v>0.34012406257845362</v>
      </c>
      <c r="GH367">
        <v>6.6522953376906252E-2</v>
      </c>
      <c r="GI367">
        <v>0.51675964372995553</v>
      </c>
      <c r="GJ367"/>
      <c r="GK367">
        <v>0.36387187499999996</v>
      </c>
      <c r="GL367">
        <v>1.0164890625</v>
      </c>
      <c r="GM367">
        <v>1.1010156250000001</v>
      </c>
      <c r="GN367">
        <v>1.6455189732142854</v>
      </c>
      <c r="GO367">
        <v>1.4831517857142855</v>
      </c>
      <c r="GP367">
        <v>0.21534375</v>
      </c>
      <c r="GQ367">
        <v>0.45162635869565215</v>
      </c>
      <c r="GR367">
        <v>0.47314719202898542</v>
      </c>
      <c r="GS367">
        <v>7.0364583333333328E-2</v>
      </c>
      <c r="GT367">
        <v>0.69400604554865419</v>
      </c>
      <c r="GU367"/>
      <c r="GV367"/>
      <c r="GW367"/>
      <c r="GX367"/>
      <c r="GY367"/>
      <c r="GZ367"/>
      <c r="HA367"/>
      <c r="HB367"/>
      <c r="HC367"/>
    </row>
    <row r="368" spans="1:211" s="7" customFormat="1">
      <c r="A368" s="4"/>
      <c r="B368" s="4"/>
      <c r="C368" s="4"/>
      <c r="D368" s="34"/>
      <c r="E368" s="4"/>
      <c r="F368" s="4"/>
      <c r="G368" s="4"/>
      <c r="H368" s="4" t="s">
        <v>129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81"/>
      <c r="AG368" s="81"/>
      <c r="AH368" s="81"/>
      <c r="AI368" s="81"/>
      <c r="AJ368" s="81"/>
      <c r="AK368" s="81"/>
      <c r="AL368" s="81"/>
      <c r="AM368" s="43">
        <v>352</v>
      </c>
      <c r="AN368">
        <v>29.048050138858962</v>
      </c>
      <c r="AO368">
        <v>0.70439890693007956</v>
      </c>
      <c r="AP368">
        <v>9.3215451202529955</v>
      </c>
      <c r="AQ368">
        <v>5.996276479632459</v>
      </c>
      <c r="AR368">
        <v>0.69328140359028212</v>
      </c>
      <c r="AS368">
        <v>2.1935545554557931</v>
      </c>
      <c r="AT368" t="e">
        <v>#DIV/0!</v>
      </c>
      <c r="AU368" t="e">
        <v>#DIV/0!</v>
      </c>
      <c r="AV368"/>
      <c r="AW368"/>
      <c r="FY368" s="211">
        <v>363</v>
      </c>
      <c r="FZ368">
        <v>1.3709721062788289</v>
      </c>
      <c r="GA368">
        <v>1.9724802352212496</v>
      </c>
      <c r="GB368">
        <v>1.4007568676242779</v>
      </c>
      <c r="GC368">
        <v>0.88832371285777778</v>
      </c>
      <c r="GD368">
        <v>0.25056243750477852</v>
      </c>
      <c r="GE368">
        <v>0.11171632279725</v>
      </c>
      <c r="GF368">
        <v>0.41513581345513451</v>
      </c>
      <c r="GG368">
        <v>0.34012406257845362</v>
      </c>
      <c r="GH368">
        <v>6.6522953376906252E-2</v>
      </c>
      <c r="GI368">
        <v>0.77257469788598299</v>
      </c>
      <c r="GJ368"/>
      <c r="GK368">
        <v>1.366361213235294</v>
      </c>
      <c r="GL368">
        <v>1.6612518382352941</v>
      </c>
      <c r="GM368">
        <v>2.299684659090909</v>
      </c>
      <c r="GN368">
        <v>2.6066020698051942</v>
      </c>
      <c r="GO368">
        <v>0.95308928571428542</v>
      </c>
      <c r="GP368">
        <v>0.20990624999999999</v>
      </c>
      <c r="GQ368">
        <v>0.50047010869565223</v>
      </c>
      <c r="GR368">
        <v>0.47314719202898542</v>
      </c>
      <c r="GS368">
        <v>7.0364583333333328E-2</v>
      </c>
      <c r="GT368">
        <v>1.0379939700138949</v>
      </c>
      <c r="GU368"/>
      <c r="GV368"/>
      <c r="GW368"/>
      <c r="GX368"/>
      <c r="GY368"/>
      <c r="GZ368"/>
      <c r="HA368"/>
      <c r="HB368"/>
      <c r="HC368"/>
    </row>
    <row r="369" spans="1:211" s="7" customFormat="1">
      <c r="A369" s="36"/>
      <c r="B369" s="66"/>
      <c r="C369" s="66"/>
      <c r="D369" s="91"/>
      <c r="E369" s="66"/>
      <c r="F369" s="66"/>
      <c r="G369" s="66"/>
      <c r="H369" s="66"/>
      <c r="I369" s="66"/>
      <c r="J369" s="66"/>
      <c r="K369" s="66"/>
      <c r="L369" s="66"/>
      <c r="M369" s="66"/>
      <c r="N369" s="66"/>
      <c r="O369" s="66"/>
      <c r="P369" s="66"/>
      <c r="Q369" s="66"/>
      <c r="R369" s="92"/>
      <c r="S369" s="92"/>
      <c r="T369" s="57"/>
      <c r="U369" s="57"/>
      <c r="V369" s="57"/>
      <c r="W369" s="57"/>
      <c r="X369" s="57"/>
      <c r="Y369" s="57"/>
      <c r="Z369" s="57"/>
      <c r="AA369" s="57"/>
      <c r="AB369" s="57"/>
      <c r="AC369" s="57"/>
      <c r="AD369" s="57"/>
      <c r="AE369" s="57"/>
      <c r="AF369" s="93"/>
      <c r="AG369" s="93"/>
      <c r="AH369" s="93"/>
      <c r="AI369" s="93"/>
      <c r="AJ369" s="93"/>
      <c r="AK369" s="93"/>
      <c r="AL369" s="93"/>
      <c r="AM369" s="43">
        <v>353</v>
      </c>
      <c r="AN369">
        <v>50.097727662925067</v>
      </c>
      <c r="AO369">
        <v>1.2105967574461849</v>
      </c>
      <c r="AP369">
        <v>0.93071448883895125</v>
      </c>
      <c r="AQ369">
        <v>8.1105873007337959</v>
      </c>
      <c r="AR369">
        <v>1.1041646658601683</v>
      </c>
      <c r="AS369">
        <v>4.3977587371853026</v>
      </c>
      <c r="AT369" t="e">
        <v>#DIV/0!</v>
      </c>
      <c r="AU369" t="e">
        <v>#DIV/0!</v>
      </c>
      <c r="AV369"/>
      <c r="AW369"/>
      <c r="FY369" s="211">
        <v>364</v>
      </c>
      <c r="FZ369">
        <v>1.5090054566568443</v>
      </c>
      <c r="GA369">
        <v>1.731608276714768</v>
      </c>
      <c r="GB369">
        <v>0.36447322275377575</v>
      </c>
      <c r="GC369">
        <v>0.39797097520926816</v>
      </c>
      <c r="GD369">
        <v>0.20266000720350752</v>
      </c>
      <c r="GE369">
        <v>4.8178868064749992E-3</v>
      </c>
      <c r="GF369">
        <v>0.15986193049181252</v>
      </c>
      <c r="GG369">
        <v>0.13862439864731252</v>
      </c>
      <c r="GH369">
        <v>4.5971471670847357E-2</v>
      </c>
      <c r="GI369">
        <v>0.46365054688171842</v>
      </c>
      <c r="GJ369"/>
      <c r="GK369">
        <v>1.5038924632352939</v>
      </c>
      <c r="GL369">
        <v>1.458564338235294</v>
      </c>
      <c r="GM369">
        <v>0.59799218750000005</v>
      </c>
      <c r="GN369">
        <v>1.1660328124999999</v>
      </c>
      <c r="GO369">
        <v>0.7708218750000001</v>
      </c>
      <c r="GP369">
        <v>9.0468749999999994E-3</v>
      </c>
      <c r="GQ369">
        <v>0.19312499999999999</v>
      </c>
      <c r="GR369">
        <v>0.19312499999999999</v>
      </c>
      <c r="GS369">
        <v>4.8587740384615385E-2</v>
      </c>
      <c r="GT369">
        <v>0.62288385322398188</v>
      </c>
      <c r="GU369"/>
      <c r="GV369"/>
      <c r="GW369"/>
      <c r="GX369"/>
      <c r="GY369"/>
      <c r="GZ369"/>
      <c r="HA369"/>
      <c r="HB369"/>
      <c r="HC369"/>
    </row>
    <row r="370" spans="1:211" s="7" customFormat="1">
      <c r="A370" s="9" t="s">
        <v>63</v>
      </c>
      <c r="B370" s="10" t="s">
        <v>64</v>
      </c>
      <c r="C370" s="10"/>
      <c r="D370" s="10"/>
      <c r="E370" s="10"/>
      <c r="F370" s="45"/>
      <c r="G370" s="45"/>
      <c r="H370" s="45"/>
      <c r="I370" s="45"/>
      <c r="J370" s="45"/>
      <c r="K370" s="45"/>
      <c r="L370" s="45"/>
      <c r="M370" s="46"/>
      <c r="N370" s="46"/>
      <c r="O370" s="47"/>
      <c r="P370" s="10"/>
      <c r="Q370" s="11"/>
      <c r="R370" s="10"/>
      <c r="S370" s="11"/>
      <c r="T370" s="11"/>
      <c r="U370" s="11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94"/>
      <c r="AG370" s="94"/>
      <c r="AH370" s="94"/>
      <c r="AI370" s="94"/>
      <c r="AJ370" s="94"/>
      <c r="AK370" s="94"/>
      <c r="AL370" s="78"/>
      <c r="AM370" s="43">
        <v>354</v>
      </c>
      <c r="AN370">
        <v>46.600296244705603</v>
      </c>
      <c r="AO370">
        <v>0.96158199871171313</v>
      </c>
      <c r="AP370">
        <v>12.381892508112063</v>
      </c>
      <c r="AQ370">
        <v>6.7938740432310105</v>
      </c>
      <c r="AR370">
        <v>0.87416545337428442</v>
      </c>
      <c r="AS370">
        <v>3.9361800512549059</v>
      </c>
      <c r="AT370" t="e">
        <v>#DIV/0!</v>
      </c>
      <c r="AU370" t="e">
        <v>#DIV/0!</v>
      </c>
      <c r="AV370"/>
      <c r="AW370"/>
      <c r="FY370" s="211">
        <v>365</v>
      </c>
      <c r="FZ370">
        <v>1.2256829642593772</v>
      </c>
      <c r="GA370">
        <v>1.4980512996437554</v>
      </c>
      <c r="GB370">
        <v>0.83929773967743859</v>
      </c>
      <c r="GC370">
        <v>0.60947764131806514</v>
      </c>
      <c r="GD370">
        <v>0.2259259967350993</v>
      </c>
      <c r="GE370">
        <v>0.11648028087809999</v>
      </c>
      <c r="GF370">
        <v>0.69434057702733132</v>
      </c>
      <c r="GG370">
        <v>0.56679095143493796</v>
      </c>
      <c r="GH370">
        <v>6.8957207506271032E-2</v>
      </c>
      <c r="GI370">
        <v>0.65046713549679613</v>
      </c>
      <c r="GJ370"/>
      <c r="GK370">
        <v>1.2214987132352939</v>
      </c>
      <c r="GL370">
        <v>1.261588556985294</v>
      </c>
      <c r="GM370">
        <v>1.3777993607954544</v>
      </c>
      <c r="GN370">
        <v>1.7877041599025971</v>
      </c>
      <c r="GO370">
        <v>0.85921339285714304</v>
      </c>
      <c r="GP370">
        <v>0.21899999999999997</v>
      </c>
      <c r="GQ370">
        <v>0.83787635869565202</v>
      </c>
      <c r="GR370">
        <v>0.78903260869565206</v>
      </c>
      <c r="GS370">
        <v>7.2881610576923078E-2</v>
      </c>
      <c r="GT370">
        <v>0.87385388723209334</v>
      </c>
      <c r="GU370"/>
      <c r="GV370"/>
      <c r="GW370"/>
      <c r="GX370"/>
      <c r="GY370"/>
      <c r="GZ370"/>
      <c r="HA370"/>
      <c r="HB370"/>
      <c r="HC370"/>
    </row>
    <row r="371" spans="1:211" s="7" customFormat="1">
      <c r="A371" s="9" t="s">
        <v>65</v>
      </c>
      <c r="B371" s="11" t="s">
        <v>66</v>
      </c>
      <c r="C371" s="10"/>
      <c r="D371" s="10"/>
      <c r="E371" s="10"/>
      <c r="F371" s="10"/>
      <c r="G371" s="10">
        <v>0.5</v>
      </c>
      <c r="H371" s="45">
        <v>1</v>
      </c>
      <c r="I371" s="45">
        <v>2</v>
      </c>
      <c r="J371" s="45">
        <v>3</v>
      </c>
      <c r="K371" s="45">
        <v>4</v>
      </c>
      <c r="L371" s="45">
        <v>5</v>
      </c>
      <c r="M371" s="45">
        <v>6</v>
      </c>
      <c r="N371" s="45">
        <v>7</v>
      </c>
      <c r="O371" s="46">
        <v>8</v>
      </c>
      <c r="P371" s="46">
        <v>9</v>
      </c>
      <c r="Q371" s="47">
        <v>10</v>
      </c>
      <c r="R371" s="46">
        <v>11</v>
      </c>
      <c r="S371" s="47">
        <v>12</v>
      </c>
      <c r="T371" s="46">
        <v>13</v>
      </c>
      <c r="U371" s="47">
        <v>14</v>
      </c>
      <c r="V371" s="46">
        <v>15</v>
      </c>
      <c r="W371" s="47">
        <v>16</v>
      </c>
      <c r="X371" s="46">
        <v>17</v>
      </c>
      <c r="Y371" s="47">
        <v>18</v>
      </c>
      <c r="Z371" s="46">
        <v>19</v>
      </c>
      <c r="AA371" s="47">
        <v>20</v>
      </c>
      <c r="AB371" s="46">
        <v>21</v>
      </c>
      <c r="AC371" s="47">
        <v>22</v>
      </c>
      <c r="AD371" s="46">
        <v>23</v>
      </c>
      <c r="AE371" s="47">
        <v>24</v>
      </c>
      <c r="AF371" s="46">
        <v>25</v>
      </c>
      <c r="AG371" s="47">
        <v>26</v>
      </c>
      <c r="AH371" s="46">
        <v>27</v>
      </c>
      <c r="AI371" s="47">
        <v>28</v>
      </c>
      <c r="AJ371" s="46">
        <v>29</v>
      </c>
      <c r="AK371" s="47">
        <v>30</v>
      </c>
      <c r="AL371" s="78"/>
      <c r="AM371" s="43">
        <v>355</v>
      </c>
      <c r="AN371">
        <v>54.388487995765011</v>
      </c>
      <c r="AO371">
        <v>1.1846420183868906</v>
      </c>
      <c r="AP371">
        <v>0.37326625711673395</v>
      </c>
      <c r="AQ371">
        <v>10.032886133580202</v>
      </c>
      <c r="AR371">
        <v>1.0864001412782922</v>
      </c>
      <c r="AS371">
        <v>4.0818161360535283</v>
      </c>
      <c r="AT371">
        <v>0.86976650240444886</v>
      </c>
      <c r="AU371">
        <v>9.9531342698646885E-3</v>
      </c>
      <c r="AV371"/>
      <c r="AW371"/>
      <c r="FY371" s="211">
        <v>366</v>
      </c>
      <c r="FZ371">
        <v>1.4504049506561545</v>
      </c>
      <c r="GA371">
        <v>2.1400380767517095</v>
      </c>
      <c r="GB371">
        <v>2.3221028320368919</v>
      </c>
      <c r="GC371">
        <v>1.2346290118022367</v>
      </c>
      <c r="GD371">
        <v>4.9369497753664282E-2</v>
      </c>
      <c r="GE371">
        <v>8.7680817490499996E-2</v>
      </c>
      <c r="GF371">
        <v>1.1094763904824658</v>
      </c>
      <c r="GG371">
        <v>0.856333105575251</v>
      </c>
      <c r="GH371">
        <v>2.2985735835423678E-2</v>
      </c>
      <c r="GI371">
        <v>1.0134441056807324</v>
      </c>
      <c r="GJ371"/>
      <c r="GK371">
        <v>1.4454693014705882</v>
      </c>
      <c r="GL371">
        <v>1.8024810202205881</v>
      </c>
      <c r="GM371">
        <v>3.8130841619318177</v>
      </c>
      <c r="GN371">
        <v>3.6259608360389604</v>
      </c>
      <c r="GO371">
        <v>0.18798214285714282</v>
      </c>
      <c r="GP371">
        <v>0.16462499999999999</v>
      </c>
      <c r="GQ371">
        <v>1.3383464673913041</v>
      </c>
      <c r="GR371">
        <v>1.1918152173913041</v>
      </c>
      <c r="GS371">
        <v>2.4293870192307693E-2</v>
      </c>
      <c r="GT371">
        <v>1.361835188768632</v>
      </c>
      <c r="GU371"/>
      <c r="GV371"/>
      <c r="GW371"/>
      <c r="GX371"/>
      <c r="GY371"/>
      <c r="GZ371"/>
      <c r="HA371"/>
      <c r="HB371"/>
      <c r="HC371"/>
    </row>
    <row r="372" spans="1:211" s="7" customFormat="1">
      <c r="A372" s="95"/>
      <c r="B372" s="13"/>
      <c r="C372" s="10" t="s">
        <v>35</v>
      </c>
      <c r="D372" s="10" t="s">
        <v>67</v>
      </c>
      <c r="E372" s="10" t="s">
        <v>68</v>
      </c>
      <c r="F372" s="10" t="s">
        <v>69</v>
      </c>
      <c r="G372" s="59">
        <f>+G36</f>
        <v>6.9299999999999995E-3</v>
      </c>
      <c r="H372" s="59">
        <f t="shared" ref="H372:AK372" si="360">+H36</f>
        <v>1.737E-2</v>
      </c>
      <c r="I372" s="59">
        <f t="shared" si="360"/>
        <v>3.8249999999999999E-2</v>
      </c>
      <c r="J372" s="59">
        <f t="shared" si="360"/>
        <v>5.9129999999999995E-2</v>
      </c>
      <c r="K372" s="59">
        <f t="shared" si="360"/>
        <v>8.0009999999999998E-2</v>
      </c>
      <c r="L372" s="59">
        <f t="shared" si="360"/>
        <v>0.10088999999999999</v>
      </c>
      <c r="M372" s="59">
        <f t="shared" si="360"/>
        <v>0.12177</v>
      </c>
      <c r="N372" s="59">
        <f t="shared" si="360"/>
        <v>0.14265</v>
      </c>
      <c r="O372" s="59">
        <f t="shared" si="360"/>
        <v>0.16353000000000001</v>
      </c>
      <c r="P372" s="59">
        <f t="shared" si="360"/>
        <v>0.18440999999999999</v>
      </c>
      <c r="Q372" s="59">
        <f t="shared" si="360"/>
        <v>0.20529</v>
      </c>
      <c r="R372" s="59">
        <f t="shared" si="360"/>
        <v>0.22616999999999998</v>
      </c>
      <c r="S372" s="59">
        <f t="shared" si="360"/>
        <v>0.24704999999999996</v>
      </c>
      <c r="T372" s="59">
        <f t="shared" si="360"/>
        <v>0.26793</v>
      </c>
      <c r="U372" s="59">
        <f t="shared" si="360"/>
        <v>0.28880999999999996</v>
      </c>
      <c r="V372" s="59">
        <f t="shared" si="360"/>
        <v>0.30968999999999997</v>
      </c>
      <c r="W372" s="59">
        <f t="shared" si="360"/>
        <v>0.33056999999999997</v>
      </c>
      <c r="X372" s="59">
        <f t="shared" si="360"/>
        <v>0.35144999999999998</v>
      </c>
      <c r="Y372" s="59">
        <f t="shared" si="360"/>
        <v>0.37232999999999999</v>
      </c>
      <c r="Z372" s="59">
        <f t="shared" si="360"/>
        <v>0.39320999999999995</v>
      </c>
      <c r="AA372" s="59">
        <f t="shared" si="360"/>
        <v>0.41408999999999996</v>
      </c>
      <c r="AB372" s="59">
        <f t="shared" si="360"/>
        <v>0.43496999999999997</v>
      </c>
      <c r="AC372" s="59">
        <f t="shared" si="360"/>
        <v>0.45584999999999998</v>
      </c>
      <c r="AD372" s="59">
        <f t="shared" si="360"/>
        <v>0.47672999999999999</v>
      </c>
      <c r="AE372" s="59">
        <f t="shared" si="360"/>
        <v>0.49760999999999994</v>
      </c>
      <c r="AF372" s="59">
        <f t="shared" si="360"/>
        <v>0.51849000000000001</v>
      </c>
      <c r="AG372" s="59">
        <f t="shared" si="360"/>
        <v>0.53937000000000002</v>
      </c>
      <c r="AH372" s="59">
        <f t="shared" si="360"/>
        <v>0.56024999999999991</v>
      </c>
      <c r="AI372" s="59">
        <f t="shared" si="360"/>
        <v>0.58112999999999992</v>
      </c>
      <c r="AJ372" s="59">
        <f t="shared" si="360"/>
        <v>0.60200999999999993</v>
      </c>
      <c r="AK372" s="59">
        <f t="shared" si="360"/>
        <v>0.62288999999999994</v>
      </c>
      <c r="AL372" s="78"/>
      <c r="AM372" s="43">
        <v>356</v>
      </c>
      <c r="AN372">
        <v>63.984271184319127</v>
      </c>
      <c r="AO372">
        <v>1.6318778934127995</v>
      </c>
      <c r="AP372">
        <v>13.387617769622606</v>
      </c>
      <c r="AQ372">
        <v>11.519534577177179</v>
      </c>
      <c r="AR372">
        <v>1.5306134258298179</v>
      </c>
      <c r="AS372">
        <v>5.3541330492777419</v>
      </c>
      <c r="AT372" t="e">
        <v>#DIV/0!</v>
      </c>
      <c r="AU372" t="e">
        <v>#DIV/0!</v>
      </c>
      <c r="AV372"/>
      <c r="AW372"/>
      <c r="FY372" s="211">
        <v>367</v>
      </c>
      <c r="FZ372">
        <v>1.3891703469148604</v>
      </c>
      <c r="GA372">
        <v>2.2905875178812947</v>
      </c>
      <c r="GB372">
        <v>0.33201186948532962</v>
      </c>
      <c r="GC372">
        <v>6.6059285055014988E-2</v>
      </c>
      <c r="GD372">
        <v>9.2239432677832495E-2</v>
      </c>
      <c r="GE372">
        <v>8.377572757792498E-2</v>
      </c>
      <c r="GF372">
        <v>0.15986193049181252</v>
      </c>
      <c r="GG372">
        <v>0.13862439864731252</v>
      </c>
      <c r="GH372">
        <v>0</v>
      </c>
      <c r="GI372">
        <v>0.36819730998219513</v>
      </c>
      <c r="GJ372"/>
      <c r="GK372">
        <v>1.3842299632352939</v>
      </c>
      <c r="GL372">
        <v>1.9292455882352939</v>
      </c>
      <c r="GM372">
        <v>0.545015625</v>
      </c>
      <c r="GN372">
        <v>0.19364999999999999</v>
      </c>
      <c r="GO372">
        <v>0.35110312499999996</v>
      </c>
      <c r="GP372">
        <v>0.15745312499999997</v>
      </c>
      <c r="GQ372">
        <v>0.19312499999999999</v>
      </c>
      <c r="GR372">
        <v>0.19312499999999999</v>
      </c>
      <c r="GS372">
        <v>0</v>
      </c>
      <c r="GT372">
        <v>0.49469474264705871</v>
      </c>
      <c r="GU372"/>
      <c r="GV372"/>
      <c r="GW372"/>
      <c r="GX372"/>
      <c r="GY372"/>
      <c r="GZ372"/>
      <c r="HA372"/>
      <c r="HB372"/>
      <c r="HC372"/>
    </row>
    <row r="373" spans="1:211" s="7" customFormat="1">
      <c r="A373" s="95"/>
      <c r="B373" s="71">
        <f t="shared" ref="B373:B378" si="361">+C4</f>
        <v>39646</v>
      </c>
      <c r="C373" s="18">
        <f t="shared" ref="C373:C382" si="362">+D70</f>
        <v>8.3333333333333321</v>
      </c>
      <c r="D373" s="18">
        <f t="shared" ref="D373:D382" si="363">SUM(G373:AK373)</f>
        <v>0.31874999999999992</v>
      </c>
      <c r="E373" s="19">
        <f t="shared" ref="E373:E382" si="364">IF(C373&lt;1, 0.000001, D373/C373)</f>
        <v>3.8249999999999999E-2</v>
      </c>
      <c r="F373" s="19"/>
      <c r="G373" s="18">
        <f>AVERAGE(E228:E237)*G$372</f>
        <v>0</v>
      </c>
      <c r="H373" s="18">
        <f t="shared" ref="H373:AK373" si="365">AVERAGE(F228:F237)*H$372</f>
        <v>0</v>
      </c>
      <c r="I373" s="18">
        <f t="shared" si="365"/>
        <v>0.31874999999999992</v>
      </c>
      <c r="J373" s="18">
        <f t="shared" si="365"/>
        <v>0</v>
      </c>
      <c r="K373" s="18">
        <f t="shared" si="365"/>
        <v>0</v>
      </c>
      <c r="L373" s="18">
        <f t="shared" si="365"/>
        <v>0</v>
      </c>
      <c r="M373" s="18">
        <f t="shared" si="365"/>
        <v>0</v>
      </c>
      <c r="N373" s="18">
        <f t="shared" si="365"/>
        <v>0</v>
      </c>
      <c r="O373" s="18">
        <f t="shared" si="365"/>
        <v>0</v>
      </c>
      <c r="P373" s="18">
        <f t="shared" si="365"/>
        <v>0</v>
      </c>
      <c r="Q373" s="18">
        <f t="shared" si="365"/>
        <v>0</v>
      </c>
      <c r="R373" s="18">
        <f t="shared" si="365"/>
        <v>0</v>
      </c>
      <c r="S373" s="18">
        <f t="shared" si="365"/>
        <v>0</v>
      </c>
      <c r="T373" s="18">
        <f t="shared" si="365"/>
        <v>0</v>
      </c>
      <c r="U373" s="18">
        <f t="shared" si="365"/>
        <v>0</v>
      </c>
      <c r="V373" s="18">
        <f t="shared" si="365"/>
        <v>0</v>
      </c>
      <c r="W373" s="18">
        <f t="shared" si="365"/>
        <v>0</v>
      </c>
      <c r="X373" s="18">
        <f t="shared" si="365"/>
        <v>0</v>
      </c>
      <c r="Y373" s="18">
        <f t="shared" si="365"/>
        <v>0</v>
      </c>
      <c r="Z373" s="18">
        <f t="shared" si="365"/>
        <v>0</v>
      </c>
      <c r="AA373" s="18">
        <f t="shared" si="365"/>
        <v>0</v>
      </c>
      <c r="AB373" s="18">
        <f t="shared" si="365"/>
        <v>0</v>
      </c>
      <c r="AC373" s="18">
        <f t="shared" si="365"/>
        <v>0</v>
      </c>
      <c r="AD373" s="18">
        <f t="shared" si="365"/>
        <v>0</v>
      </c>
      <c r="AE373" s="18">
        <f t="shared" si="365"/>
        <v>0</v>
      </c>
      <c r="AF373" s="18">
        <f t="shared" si="365"/>
        <v>0</v>
      </c>
      <c r="AG373" s="18">
        <f t="shared" si="365"/>
        <v>0</v>
      </c>
      <c r="AH373" s="18">
        <f t="shared" si="365"/>
        <v>0</v>
      </c>
      <c r="AI373" s="18">
        <f t="shared" si="365"/>
        <v>0</v>
      </c>
      <c r="AJ373" s="18">
        <f t="shared" si="365"/>
        <v>0</v>
      </c>
      <c r="AK373" s="18">
        <f t="shared" si="365"/>
        <v>0</v>
      </c>
      <c r="AL373" s="78"/>
      <c r="AM373" s="43">
        <v>357</v>
      </c>
      <c r="AN373">
        <v>35.857507810816628</v>
      </c>
      <c r="AO373">
        <v>0.77294418669198461</v>
      </c>
      <c r="AP373">
        <v>0.52293316497661424</v>
      </c>
      <c r="AQ373">
        <v>5.7890987788535568</v>
      </c>
      <c r="AR373">
        <v>0.7374844988283773</v>
      </c>
      <c r="AS373">
        <v>2.9037205949771874</v>
      </c>
      <c r="AT373" t="e">
        <v>#DIV/0!</v>
      </c>
      <c r="AU373" t="e">
        <v>#DIV/0!</v>
      </c>
      <c r="AV373"/>
      <c r="AW373"/>
      <c r="FY373" s="211">
        <v>368</v>
      </c>
      <c r="FZ373">
        <v>1.6066479115814265</v>
      </c>
      <c r="GA373">
        <v>2.1464585591173924</v>
      </c>
      <c r="GB373">
        <v>0.52697441621736907</v>
      </c>
      <c r="GC373">
        <v>0.48248636446522741</v>
      </c>
      <c r="GD373">
        <v>0.19884035385375751</v>
      </c>
      <c r="GE373">
        <v>0</v>
      </c>
      <c r="GF373">
        <v>0.47958579147543745</v>
      </c>
      <c r="GG373">
        <v>0.4158731959419375</v>
      </c>
      <c r="GH373">
        <v>4.5971471670847357E-2</v>
      </c>
      <c r="GI373">
        <v>0.57315398770721304</v>
      </c>
      <c r="GJ373"/>
      <c r="GK373">
        <v>1.6011880514705881</v>
      </c>
      <c r="GL373">
        <v>1.8079653952205879</v>
      </c>
      <c r="GM373">
        <v>0.86451171874999999</v>
      </c>
      <c r="GN373">
        <v>1.4141187499999999</v>
      </c>
      <c r="GO373">
        <v>0.756384375</v>
      </c>
      <c r="GP373">
        <v>0</v>
      </c>
      <c r="GQ373">
        <v>0.57937499999999997</v>
      </c>
      <c r="GR373">
        <v>0.57937499999999997</v>
      </c>
      <c r="GS373">
        <v>4.8587740384615385E-2</v>
      </c>
      <c r="GT373">
        <v>0.77000937712104056</v>
      </c>
      <c r="GU373"/>
      <c r="GV373"/>
      <c r="GW373"/>
      <c r="GX373"/>
      <c r="GY373"/>
      <c r="GZ373"/>
      <c r="HA373"/>
      <c r="HB373"/>
      <c r="HC373"/>
    </row>
    <row r="374" spans="1:211" s="7" customFormat="1">
      <c r="A374" s="95"/>
      <c r="B374" s="71">
        <f t="shared" si="361"/>
        <v>39673</v>
      </c>
      <c r="C374" s="18">
        <f t="shared" si="362"/>
        <v>91.915849673202615</v>
      </c>
      <c r="D374" s="18">
        <f t="shared" si="363"/>
        <v>2.1966224264705883</v>
      </c>
      <c r="E374" s="19">
        <f t="shared" si="364"/>
        <v>2.3898189858228523E-2</v>
      </c>
      <c r="F374" s="19">
        <f>IF(F388&lt;0,0,F388)</f>
        <v>0</v>
      </c>
      <c r="G374" s="18">
        <f>AVERAGE(E238:E247)*G$372</f>
        <v>0.14239338235294113</v>
      </c>
      <c r="H374" s="18">
        <f t="shared" ref="H374:AK374" si="366">AVERAGE(F238:F247)*H$372</f>
        <v>0.56204154411764706</v>
      </c>
      <c r="I374" s="18">
        <f t="shared" si="366"/>
        <v>1.4921875</v>
      </c>
      <c r="J374" s="18">
        <f t="shared" si="366"/>
        <v>0</v>
      </c>
      <c r="K374" s="18">
        <f t="shared" si="366"/>
        <v>0</v>
      </c>
      <c r="L374" s="18">
        <f t="shared" si="366"/>
        <v>0</v>
      </c>
      <c r="M374" s="18">
        <f t="shared" si="366"/>
        <v>0</v>
      </c>
      <c r="N374" s="18">
        <f t="shared" si="366"/>
        <v>0</v>
      </c>
      <c r="O374" s="18">
        <f t="shared" si="366"/>
        <v>0</v>
      </c>
      <c r="P374" s="18">
        <f t="shared" si="366"/>
        <v>0</v>
      </c>
      <c r="Q374" s="18">
        <f t="shared" si="366"/>
        <v>0</v>
      </c>
      <c r="R374" s="18">
        <f t="shared" si="366"/>
        <v>0</v>
      </c>
      <c r="S374" s="18">
        <f t="shared" si="366"/>
        <v>0</v>
      </c>
      <c r="T374" s="18">
        <f t="shared" si="366"/>
        <v>0</v>
      </c>
      <c r="U374" s="18">
        <f t="shared" si="366"/>
        <v>0</v>
      </c>
      <c r="V374" s="18">
        <f t="shared" si="366"/>
        <v>0</v>
      </c>
      <c r="W374" s="18">
        <f t="shared" si="366"/>
        <v>0</v>
      </c>
      <c r="X374" s="18">
        <f t="shared" si="366"/>
        <v>0</v>
      </c>
      <c r="Y374" s="18">
        <f t="shared" si="366"/>
        <v>0</v>
      </c>
      <c r="Z374" s="18">
        <f t="shared" si="366"/>
        <v>0</v>
      </c>
      <c r="AA374" s="18">
        <f t="shared" si="366"/>
        <v>0</v>
      </c>
      <c r="AB374" s="18">
        <f t="shared" si="366"/>
        <v>0</v>
      </c>
      <c r="AC374" s="18">
        <f t="shared" si="366"/>
        <v>0</v>
      </c>
      <c r="AD374" s="18">
        <f t="shared" si="366"/>
        <v>0</v>
      </c>
      <c r="AE374" s="18">
        <f t="shared" si="366"/>
        <v>0</v>
      </c>
      <c r="AF374" s="18">
        <f t="shared" si="366"/>
        <v>0</v>
      </c>
      <c r="AG374" s="18">
        <f t="shared" si="366"/>
        <v>0</v>
      </c>
      <c r="AH374" s="18">
        <f t="shared" si="366"/>
        <v>0</v>
      </c>
      <c r="AI374" s="18">
        <f t="shared" si="366"/>
        <v>0</v>
      </c>
      <c r="AJ374" s="18">
        <f t="shared" si="366"/>
        <v>0</v>
      </c>
      <c r="AK374" s="18">
        <f t="shared" si="366"/>
        <v>0</v>
      </c>
      <c r="AL374" s="78"/>
      <c r="AM374" s="43">
        <v>358</v>
      </c>
      <c r="AN374">
        <v>31.464401455026454</v>
      </c>
      <c r="AO374">
        <v>0.93412165327380947</v>
      </c>
      <c r="AP374">
        <v>2.8978890630198912</v>
      </c>
      <c r="AQ374">
        <v>5.8757418831999875</v>
      </c>
      <c r="AR374">
        <v>0.87817877570346325</v>
      </c>
      <c r="AS374">
        <v>3.411317534619307</v>
      </c>
      <c r="AT374" t="e">
        <v>#DIV/0!</v>
      </c>
      <c r="AU374" t="e">
        <v>#DIV/0!</v>
      </c>
      <c r="AV374"/>
      <c r="AW374"/>
      <c r="FY374" s="211">
        <v>369</v>
      </c>
      <c r="FZ374">
        <v>0.69210175261782658</v>
      </c>
      <c r="GA374">
        <v>1.2090812880017696</v>
      </c>
      <c r="GB374">
        <v>1.6458676342136855</v>
      </c>
      <c r="GC374">
        <v>1.0091625870351508</v>
      </c>
      <c r="GD374">
        <v>0.27154080109516171</v>
      </c>
      <c r="GE374">
        <v>0.1406236436361</v>
      </c>
      <c r="GF374">
        <v>8.1038194822856249E-2</v>
      </c>
      <c r="GG374">
        <v>0</v>
      </c>
      <c r="GH374">
        <v>6.8957207506271032E-2</v>
      </c>
      <c r="GI374">
        <v>0.68402633415327752</v>
      </c>
      <c r="GJ374"/>
      <c r="GK374">
        <v>0.68976562499999994</v>
      </c>
      <c r="GL374">
        <v>1.0181484375000003</v>
      </c>
      <c r="GM374">
        <v>2.7018877840909088</v>
      </c>
      <c r="GN374">
        <v>2.9610777394480516</v>
      </c>
      <c r="GO374">
        <v>1.0329790178571427</v>
      </c>
      <c r="GP374">
        <v>0.26418750000000002</v>
      </c>
      <c r="GQ374">
        <v>9.768750000000001E-2</v>
      </c>
      <c r="GR374">
        <v>0</v>
      </c>
      <c r="GS374">
        <v>7.2881610576923078E-2</v>
      </c>
      <c r="GT374">
        <v>0.9190403075049951</v>
      </c>
      <c r="GU374"/>
      <c r="GV374"/>
      <c r="GW374"/>
      <c r="GX374"/>
      <c r="GY374"/>
      <c r="GZ374"/>
      <c r="HA374"/>
      <c r="HB374"/>
      <c r="HC374"/>
    </row>
    <row r="375" spans="1:211" s="7" customFormat="1">
      <c r="A375" s="95"/>
      <c r="B375" s="71">
        <f t="shared" si="361"/>
        <v>39714</v>
      </c>
      <c r="C375" s="18">
        <f t="shared" si="362"/>
        <v>59.375</v>
      </c>
      <c r="D375" s="18">
        <f t="shared" si="363"/>
        <v>1.6185937500000001</v>
      </c>
      <c r="E375" s="19">
        <f t="shared" si="364"/>
        <v>2.7260526315789475E-2</v>
      </c>
      <c r="F375" s="19">
        <f>IF(F389&lt;0,0,F389)</f>
        <v>3.2106589126321547E-3</v>
      </c>
      <c r="G375" s="18">
        <f>AVERAGE(E248:E257)*G$372</f>
        <v>0</v>
      </c>
      <c r="H375" s="18">
        <f t="shared" ref="H375:AK375" si="367">AVERAGE(F248:F257)*H$372</f>
        <v>0.54281250000000003</v>
      </c>
      <c r="I375" s="18">
        <f t="shared" si="367"/>
        <v>1.0757812499999999</v>
      </c>
      <c r="J375" s="18">
        <f t="shared" si="367"/>
        <v>0</v>
      </c>
      <c r="K375" s="18">
        <f t="shared" si="367"/>
        <v>0</v>
      </c>
      <c r="L375" s="18">
        <f t="shared" si="367"/>
        <v>0</v>
      </c>
      <c r="M375" s="18">
        <f t="shared" si="367"/>
        <v>0</v>
      </c>
      <c r="N375" s="18">
        <f t="shared" si="367"/>
        <v>0</v>
      </c>
      <c r="O375" s="18">
        <f t="shared" si="367"/>
        <v>0</v>
      </c>
      <c r="P375" s="18">
        <f t="shared" si="367"/>
        <v>0</v>
      </c>
      <c r="Q375" s="18">
        <f t="shared" si="367"/>
        <v>0</v>
      </c>
      <c r="R375" s="18">
        <f t="shared" si="367"/>
        <v>0</v>
      </c>
      <c r="S375" s="18">
        <f t="shared" si="367"/>
        <v>0</v>
      </c>
      <c r="T375" s="18">
        <f t="shared" si="367"/>
        <v>0</v>
      </c>
      <c r="U375" s="18">
        <f t="shared" si="367"/>
        <v>0</v>
      </c>
      <c r="V375" s="18">
        <f t="shared" si="367"/>
        <v>0</v>
      </c>
      <c r="W375" s="18">
        <f t="shared" si="367"/>
        <v>0</v>
      </c>
      <c r="X375" s="18">
        <f t="shared" si="367"/>
        <v>0</v>
      </c>
      <c r="Y375" s="18">
        <f t="shared" si="367"/>
        <v>0</v>
      </c>
      <c r="Z375" s="18">
        <f t="shared" si="367"/>
        <v>0</v>
      </c>
      <c r="AA375" s="18">
        <f t="shared" si="367"/>
        <v>0</v>
      </c>
      <c r="AB375" s="18">
        <f t="shared" si="367"/>
        <v>0</v>
      </c>
      <c r="AC375" s="18">
        <f t="shared" si="367"/>
        <v>0</v>
      </c>
      <c r="AD375" s="18">
        <f t="shared" si="367"/>
        <v>0</v>
      </c>
      <c r="AE375" s="18">
        <f t="shared" si="367"/>
        <v>0</v>
      </c>
      <c r="AF375" s="18">
        <f t="shared" si="367"/>
        <v>0</v>
      </c>
      <c r="AG375" s="18">
        <f t="shared" si="367"/>
        <v>0</v>
      </c>
      <c r="AH375" s="18">
        <f t="shared" si="367"/>
        <v>0</v>
      </c>
      <c r="AI375" s="18">
        <f t="shared" si="367"/>
        <v>0</v>
      </c>
      <c r="AJ375" s="18">
        <f t="shared" si="367"/>
        <v>0</v>
      </c>
      <c r="AK375" s="18">
        <f t="shared" si="367"/>
        <v>0</v>
      </c>
      <c r="AL375" s="78"/>
      <c r="AM375" s="43">
        <v>359</v>
      </c>
      <c r="AN375">
        <v>29.720047949735449</v>
      </c>
      <c r="AO375">
        <v>0.8390072328869046</v>
      </c>
      <c r="AP375">
        <v>1.2800573748186854</v>
      </c>
      <c r="AQ375">
        <v>5.6275767407507473</v>
      </c>
      <c r="AR375">
        <v>0.79171112080627692</v>
      </c>
      <c r="AS375">
        <v>2.8552197307712324</v>
      </c>
      <c r="AT375" t="e">
        <v>#DIV/0!</v>
      </c>
      <c r="AU375" t="e">
        <v>#DIV/0!</v>
      </c>
      <c r="AV375"/>
      <c r="AW375"/>
      <c r="FY375" s="211">
        <v>370</v>
      </c>
      <c r="FZ375">
        <v>1.0966798019706583</v>
      </c>
      <c r="GA375">
        <v>1.9987888258907356</v>
      </c>
      <c r="GB375">
        <v>1.0201393422846174</v>
      </c>
      <c r="GC375">
        <v>0.57916377441067945</v>
      </c>
      <c r="GD375">
        <v>0.24675445113504105</v>
      </c>
      <c r="GE375">
        <v>7.1247647751975007E-2</v>
      </c>
      <c r="GF375">
        <v>0.20038102790324064</v>
      </c>
      <c r="GG375">
        <v>0.13862439864731252</v>
      </c>
      <c r="GH375">
        <v>2.2985735835423678E-2</v>
      </c>
      <c r="GI375">
        <v>0.59134582824747917</v>
      </c>
      <c r="GJ375"/>
      <c r="GK375">
        <v>1.0930330882352939</v>
      </c>
      <c r="GL375">
        <v>1.683622931985294</v>
      </c>
      <c r="GM375">
        <v>1.6748227982954544</v>
      </c>
      <c r="GN375">
        <v>1.69869724025974</v>
      </c>
      <c r="GO375">
        <v>0.93860491071428553</v>
      </c>
      <c r="GP375">
        <v>0.133921875</v>
      </c>
      <c r="GQ375">
        <v>0.24196875000000001</v>
      </c>
      <c r="GR375">
        <v>0.19312499999999999</v>
      </c>
      <c r="GS375">
        <v>2.4293870192307693E-2</v>
      </c>
      <c r="GT375">
        <v>0.79454468348746832</v>
      </c>
      <c r="GU375"/>
      <c r="GV375"/>
      <c r="GW375"/>
      <c r="GX375"/>
      <c r="GY375"/>
      <c r="GZ375"/>
      <c r="HA375"/>
      <c r="HB375"/>
      <c r="HC375"/>
    </row>
    <row r="376" spans="1:211" s="7" customFormat="1">
      <c r="A376" s="95"/>
      <c r="B376" s="71">
        <f t="shared" si="361"/>
        <v>39747</v>
      </c>
      <c r="C376" s="18">
        <f t="shared" si="362"/>
        <v>35.590277777777779</v>
      </c>
      <c r="D376" s="18">
        <f t="shared" si="363"/>
        <v>0.80851562499999996</v>
      </c>
      <c r="E376" s="19">
        <f t="shared" si="364"/>
        <v>2.2717317073170731E-2</v>
      </c>
      <c r="F376" s="19">
        <f>IF(F390&lt;0,0,F390)</f>
        <v>0</v>
      </c>
      <c r="G376" s="18">
        <f>AVERAGE(E258:E267)*G$372</f>
        <v>0</v>
      </c>
      <c r="H376" s="18">
        <f t="shared" ref="H376:AK376" si="368">AVERAGE(F258:F267)*H$372</f>
        <v>0.45988281250000002</v>
      </c>
      <c r="I376" s="18">
        <f t="shared" si="368"/>
        <v>0.34863281249999994</v>
      </c>
      <c r="J376" s="18">
        <f t="shared" si="368"/>
        <v>0</v>
      </c>
      <c r="K376" s="18">
        <f t="shared" si="368"/>
        <v>0</v>
      </c>
      <c r="L376" s="18">
        <f t="shared" si="368"/>
        <v>0</v>
      </c>
      <c r="M376" s="18">
        <f t="shared" si="368"/>
        <v>0</v>
      </c>
      <c r="N376" s="18">
        <f t="shared" si="368"/>
        <v>0</v>
      </c>
      <c r="O376" s="18">
        <f t="shared" si="368"/>
        <v>0</v>
      </c>
      <c r="P376" s="18">
        <f t="shared" si="368"/>
        <v>0</v>
      </c>
      <c r="Q376" s="18">
        <f t="shared" si="368"/>
        <v>0</v>
      </c>
      <c r="R376" s="18">
        <f t="shared" si="368"/>
        <v>0</v>
      </c>
      <c r="S376" s="18">
        <f t="shared" si="368"/>
        <v>0</v>
      </c>
      <c r="T376" s="18">
        <f t="shared" si="368"/>
        <v>0</v>
      </c>
      <c r="U376" s="18">
        <f t="shared" si="368"/>
        <v>0</v>
      </c>
      <c r="V376" s="18">
        <f t="shared" si="368"/>
        <v>0</v>
      </c>
      <c r="W376" s="18">
        <f t="shared" si="368"/>
        <v>0</v>
      </c>
      <c r="X376" s="18">
        <f t="shared" si="368"/>
        <v>0</v>
      </c>
      <c r="Y376" s="18">
        <f t="shared" si="368"/>
        <v>0</v>
      </c>
      <c r="Z376" s="18">
        <f t="shared" si="368"/>
        <v>0</v>
      </c>
      <c r="AA376" s="18">
        <f t="shared" si="368"/>
        <v>0</v>
      </c>
      <c r="AB376" s="18">
        <f t="shared" si="368"/>
        <v>0</v>
      </c>
      <c r="AC376" s="18">
        <f t="shared" si="368"/>
        <v>0</v>
      </c>
      <c r="AD376" s="18">
        <f t="shared" si="368"/>
        <v>0</v>
      </c>
      <c r="AE376" s="18">
        <f t="shared" si="368"/>
        <v>0</v>
      </c>
      <c r="AF376" s="18">
        <f t="shared" si="368"/>
        <v>0</v>
      </c>
      <c r="AG376" s="18">
        <f t="shared" si="368"/>
        <v>0</v>
      </c>
      <c r="AH376" s="18">
        <f t="shared" si="368"/>
        <v>0</v>
      </c>
      <c r="AI376" s="18">
        <f t="shared" si="368"/>
        <v>0</v>
      </c>
      <c r="AJ376" s="18">
        <f t="shared" si="368"/>
        <v>0</v>
      </c>
      <c r="AK376" s="18">
        <f t="shared" si="368"/>
        <v>0</v>
      </c>
      <c r="AL376" s="78"/>
      <c r="AM376" s="43">
        <v>360</v>
      </c>
      <c r="AN376">
        <v>53.838682031712722</v>
      </c>
      <c r="AO376">
        <v>1.1872601608501259</v>
      </c>
      <c r="AP376">
        <v>0.75169030565573447</v>
      </c>
      <c r="AQ376">
        <v>8.1605104542881364</v>
      </c>
      <c r="AR376">
        <v>1.0887802707903242</v>
      </c>
      <c r="AS376">
        <v>4.5627777119144577</v>
      </c>
      <c r="AT376">
        <v>0.86104881628382912</v>
      </c>
      <c r="AU376">
        <v>7.3991293070152508E-3</v>
      </c>
      <c r="AV376"/>
      <c r="AW376"/>
      <c r="FY376" s="211">
        <v>371</v>
      </c>
      <c r="FZ376">
        <v>1.7465359605472464</v>
      </c>
      <c r="GA376">
        <v>2.3684378463227618</v>
      </c>
      <c r="GB376">
        <v>1.230107060638336</v>
      </c>
      <c r="GC376">
        <v>1.3785899489937179</v>
      </c>
      <c r="GD376">
        <v>0.70895768523650682</v>
      </c>
      <c r="GE376">
        <v>0.16465914894285</v>
      </c>
      <c r="GF376">
        <v>0.5344786465355188</v>
      </c>
      <c r="GG376">
        <v>0.47874846122576609</v>
      </c>
      <c r="GH376">
        <v>8.9508689212329934E-2</v>
      </c>
      <c r="GI376">
        <v>1.0712544044567407</v>
      </c>
      <c r="GJ376"/>
      <c r="GK376">
        <v>1.7406411764705878</v>
      </c>
      <c r="GL376">
        <v>1.994820863970588</v>
      </c>
      <c r="GM376">
        <v>2.0191548295454549</v>
      </c>
      <c r="GN376">
        <v>4.0405729099025978</v>
      </c>
      <c r="GO376">
        <v>2.695597767857143</v>
      </c>
      <c r="GP376">
        <v>0.30946874999999996</v>
      </c>
      <c r="GQ376">
        <v>0.64475135869565214</v>
      </c>
      <c r="GR376">
        <v>0.66627219202898535</v>
      </c>
      <c r="GS376">
        <v>9.465845352564102E-2</v>
      </c>
      <c r="GT376">
        <v>1.4389607172188956</v>
      </c>
      <c r="GU376"/>
      <c r="GV376"/>
      <c r="GW376"/>
      <c r="GX376"/>
      <c r="GY376"/>
      <c r="GZ376"/>
      <c r="HA376"/>
      <c r="HB376"/>
      <c r="HC376"/>
    </row>
    <row r="377" spans="1:211" s="7" customFormat="1">
      <c r="A377" s="95"/>
      <c r="B377" s="71">
        <f t="shared" si="361"/>
        <v>39775</v>
      </c>
      <c r="C377" s="18">
        <f t="shared" si="362"/>
        <v>91.428571428571402</v>
      </c>
      <c r="D377" s="18">
        <f t="shared" si="363"/>
        <v>1.5337392857142853</v>
      </c>
      <c r="E377" s="19">
        <f t="shared" si="364"/>
        <v>1.6775273437500002E-2</v>
      </c>
      <c r="F377" s="19">
        <f>IF(F391&lt;0,0,F391)</f>
        <v>0</v>
      </c>
      <c r="G377" s="18">
        <f>AVERAGE(E268:E277)*G$372</f>
        <v>6.4968750000000006E-2</v>
      </c>
      <c r="H377" s="18">
        <f t="shared" ref="H377:AK377" si="369">AVERAGE(F268:F277)*H$372</f>
        <v>1.3890830357142854</v>
      </c>
      <c r="I377" s="18">
        <f t="shared" si="369"/>
        <v>7.9687499999999981E-2</v>
      </c>
      <c r="J377" s="18">
        <f t="shared" si="369"/>
        <v>0</v>
      </c>
      <c r="K377" s="18">
        <f t="shared" si="369"/>
        <v>0</v>
      </c>
      <c r="L377" s="18">
        <f t="shared" si="369"/>
        <v>0</v>
      </c>
      <c r="M377" s="18">
        <f t="shared" si="369"/>
        <v>0</v>
      </c>
      <c r="N377" s="18">
        <f t="shared" si="369"/>
        <v>0</v>
      </c>
      <c r="O377" s="18">
        <f t="shared" si="369"/>
        <v>0</v>
      </c>
      <c r="P377" s="18">
        <f t="shared" si="369"/>
        <v>0</v>
      </c>
      <c r="Q377" s="18">
        <f t="shared" si="369"/>
        <v>0</v>
      </c>
      <c r="R377" s="18">
        <f t="shared" si="369"/>
        <v>0</v>
      </c>
      <c r="S377" s="18">
        <f t="shared" si="369"/>
        <v>0</v>
      </c>
      <c r="T377" s="18">
        <f t="shared" si="369"/>
        <v>0</v>
      </c>
      <c r="U377" s="18">
        <f t="shared" si="369"/>
        <v>0</v>
      </c>
      <c r="V377" s="18">
        <f t="shared" si="369"/>
        <v>0</v>
      </c>
      <c r="W377" s="18">
        <f t="shared" si="369"/>
        <v>0</v>
      </c>
      <c r="X377" s="18">
        <f t="shared" si="369"/>
        <v>0</v>
      </c>
      <c r="Y377" s="18">
        <f t="shared" si="369"/>
        <v>0</v>
      </c>
      <c r="Z377" s="18">
        <f t="shared" si="369"/>
        <v>0</v>
      </c>
      <c r="AA377" s="18">
        <f t="shared" si="369"/>
        <v>0</v>
      </c>
      <c r="AB377" s="18">
        <f t="shared" si="369"/>
        <v>0</v>
      </c>
      <c r="AC377" s="18">
        <f t="shared" si="369"/>
        <v>0</v>
      </c>
      <c r="AD377" s="18">
        <f t="shared" si="369"/>
        <v>0</v>
      </c>
      <c r="AE377" s="18">
        <f t="shared" si="369"/>
        <v>0</v>
      </c>
      <c r="AF377" s="18">
        <f t="shared" si="369"/>
        <v>0</v>
      </c>
      <c r="AG377" s="18">
        <f t="shared" si="369"/>
        <v>0</v>
      </c>
      <c r="AH377" s="18">
        <f t="shared" si="369"/>
        <v>0</v>
      </c>
      <c r="AI377" s="18">
        <f t="shared" si="369"/>
        <v>0</v>
      </c>
      <c r="AJ377" s="18">
        <f t="shared" si="369"/>
        <v>0</v>
      </c>
      <c r="AK377" s="18">
        <f t="shared" si="369"/>
        <v>0</v>
      </c>
      <c r="AL377" s="78"/>
      <c r="AM377" s="43">
        <v>361</v>
      </c>
      <c r="AN377">
        <v>33.053238758110083</v>
      </c>
      <c r="AO377">
        <v>0.80551908132339478</v>
      </c>
      <c r="AP377">
        <v>0.8895034975324041</v>
      </c>
      <c r="AQ377">
        <v>5.8529171086679757</v>
      </c>
      <c r="AR377">
        <v>0.75481793669259645</v>
      </c>
      <c r="AS377">
        <v>2.6672683849579641</v>
      </c>
      <c r="AT377">
        <v>0.54270774938823452</v>
      </c>
      <c r="AU377">
        <v>6.9079677996149641E-2</v>
      </c>
      <c r="AV377"/>
      <c r="AW377"/>
      <c r="FY377" s="211">
        <v>372</v>
      </c>
      <c r="FZ377">
        <v>2.3472446826756412</v>
      </c>
      <c r="GA377">
        <v>3.1381780954635756</v>
      </c>
      <c r="GB377">
        <v>0.4100634209682914</v>
      </c>
      <c r="GC377">
        <v>0.16708452105995561</v>
      </c>
      <c r="GD377">
        <v>8.6067377527657488E-2</v>
      </c>
      <c r="GE377">
        <v>0.1406236436361</v>
      </c>
      <c r="GF377">
        <v>1.4030549117033158</v>
      </c>
      <c r="GG377">
        <v>1.1964571681537048</v>
      </c>
      <c r="GH377">
        <v>0.11249442504775362</v>
      </c>
      <c r="GI377">
        <v>0.76687792198567972</v>
      </c>
      <c r="GJ377"/>
      <c r="GK377">
        <v>2.339283639705882</v>
      </c>
      <c r="GL377">
        <v>2.6434086397058825</v>
      </c>
      <c r="GM377">
        <v>0.67283593750000004</v>
      </c>
      <c r="GN377">
        <v>0.48993906249999997</v>
      </c>
      <c r="GO377">
        <v>0.32757187499999996</v>
      </c>
      <c r="GP377">
        <v>0.26418750000000002</v>
      </c>
      <c r="GQ377">
        <v>1.6922853260869564</v>
      </c>
      <c r="GR377">
        <v>1.6649624094202897</v>
      </c>
      <c r="GS377">
        <v>0.11895232371794871</v>
      </c>
      <c r="GT377">
        <v>1.0301858204021574</v>
      </c>
      <c r="GU377"/>
      <c r="GV377"/>
      <c r="GW377"/>
      <c r="GX377"/>
      <c r="GY377"/>
      <c r="GZ377"/>
      <c r="HA377"/>
      <c r="HB377"/>
      <c r="HC377"/>
    </row>
    <row r="378" spans="1:211" s="7" customFormat="1">
      <c r="A378" s="95"/>
      <c r="B378" s="71">
        <f t="shared" si="361"/>
        <v>39799</v>
      </c>
      <c r="C378" s="18">
        <f t="shared" si="362"/>
        <v>7.291666666666667</v>
      </c>
      <c r="D378" s="18">
        <f t="shared" si="363"/>
        <v>0.17015625000000001</v>
      </c>
      <c r="E378" s="19">
        <f t="shared" si="364"/>
        <v>2.3335714285714286E-2</v>
      </c>
      <c r="F378" s="19">
        <f t="shared" ref="F378:F382" si="370">IF(F392&lt;0,0,F392)</f>
        <v>1.375329191536692E-2</v>
      </c>
      <c r="G378" s="18">
        <f>AVERAGE(E278:E287)*G$372</f>
        <v>0</v>
      </c>
      <c r="H378" s="18">
        <f t="shared" ref="H378:AK378" si="371">AVERAGE(F278:F287)*H$372</f>
        <v>9.0468750000000014E-2</v>
      </c>
      <c r="I378" s="18">
        <f t="shared" si="371"/>
        <v>7.9687499999999981E-2</v>
      </c>
      <c r="J378" s="18">
        <f t="shared" si="371"/>
        <v>0</v>
      </c>
      <c r="K378" s="18">
        <f t="shared" si="371"/>
        <v>0</v>
      </c>
      <c r="L378" s="18">
        <f t="shared" si="371"/>
        <v>0</v>
      </c>
      <c r="M378" s="18">
        <f t="shared" si="371"/>
        <v>0</v>
      </c>
      <c r="N378" s="18">
        <f t="shared" si="371"/>
        <v>0</v>
      </c>
      <c r="O378" s="18">
        <f t="shared" si="371"/>
        <v>0</v>
      </c>
      <c r="P378" s="18">
        <f t="shared" si="371"/>
        <v>0</v>
      </c>
      <c r="Q378" s="18">
        <f t="shared" si="371"/>
        <v>0</v>
      </c>
      <c r="R378" s="18">
        <f t="shared" si="371"/>
        <v>0</v>
      </c>
      <c r="S378" s="18">
        <f t="shared" si="371"/>
        <v>0</v>
      </c>
      <c r="T378" s="18">
        <f t="shared" si="371"/>
        <v>0</v>
      </c>
      <c r="U378" s="18">
        <f t="shared" si="371"/>
        <v>0</v>
      </c>
      <c r="V378" s="18">
        <f t="shared" si="371"/>
        <v>0</v>
      </c>
      <c r="W378" s="18">
        <f t="shared" si="371"/>
        <v>0</v>
      </c>
      <c r="X378" s="18">
        <f t="shared" si="371"/>
        <v>0</v>
      </c>
      <c r="Y378" s="18">
        <f t="shared" si="371"/>
        <v>0</v>
      </c>
      <c r="Z378" s="18">
        <f t="shared" si="371"/>
        <v>0</v>
      </c>
      <c r="AA378" s="18">
        <f t="shared" si="371"/>
        <v>0</v>
      </c>
      <c r="AB378" s="18">
        <f t="shared" si="371"/>
        <v>0</v>
      </c>
      <c r="AC378" s="18">
        <f t="shared" si="371"/>
        <v>0</v>
      </c>
      <c r="AD378" s="18">
        <f t="shared" si="371"/>
        <v>0</v>
      </c>
      <c r="AE378" s="18">
        <f t="shared" si="371"/>
        <v>0</v>
      </c>
      <c r="AF378" s="18">
        <f t="shared" si="371"/>
        <v>0</v>
      </c>
      <c r="AG378" s="18">
        <f t="shared" si="371"/>
        <v>0</v>
      </c>
      <c r="AH378" s="18">
        <f t="shared" si="371"/>
        <v>0</v>
      </c>
      <c r="AI378" s="18">
        <f t="shared" si="371"/>
        <v>0</v>
      </c>
      <c r="AJ378" s="18">
        <f t="shared" si="371"/>
        <v>0</v>
      </c>
      <c r="AK378" s="18">
        <f t="shared" si="371"/>
        <v>0</v>
      </c>
      <c r="AL378" s="78"/>
      <c r="AM378" s="43">
        <v>362</v>
      </c>
      <c r="AN378">
        <v>37.955549804462841</v>
      </c>
      <c r="AO378">
        <v>0.75145352510351959</v>
      </c>
      <c r="AP378">
        <v>0.51162975883724493</v>
      </c>
      <c r="AQ378">
        <v>4.6076439726965717</v>
      </c>
      <c r="AR378">
        <v>0.6940060455486543</v>
      </c>
      <c r="AS378">
        <v>3.3891238401907775</v>
      </c>
      <c r="AT378" t="e">
        <v>#DIV/0!</v>
      </c>
      <c r="AU378" t="e">
        <v>#DIV/0!</v>
      </c>
      <c r="AV378"/>
      <c r="AW378"/>
      <c r="FY378" s="211">
        <v>373</v>
      </c>
      <c r="FZ378">
        <v>1.3818857741146775</v>
      </c>
      <c r="GA378">
        <v>1.6328021529879928</v>
      </c>
      <c r="GB378">
        <v>0.14195179369366875</v>
      </c>
      <c r="GC378">
        <v>0.63133319877900129</v>
      </c>
      <c r="GD378">
        <v>0.49344431050779741</v>
      </c>
      <c r="GE378">
        <v>0.106898435990775</v>
      </c>
      <c r="GF378">
        <v>0.40076205580648128</v>
      </c>
      <c r="GG378">
        <v>0.27724879729462504</v>
      </c>
      <c r="GH378">
        <v>0</v>
      </c>
      <c r="GI378">
        <v>0.59118616845004868</v>
      </c>
      <c r="GJ378"/>
      <c r="GK378">
        <v>1.377123713235294</v>
      </c>
      <c r="GL378">
        <v>1.3752955882352942</v>
      </c>
      <c r="GM378">
        <v>0.23293750000000002</v>
      </c>
      <c r="GN378">
        <v>1.8484656249999998</v>
      </c>
      <c r="GO378">
        <v>1.8762468749999996</v>
      </c>
      <c r="GP378">
        <v>0.20085937500000001</v>
      </c>
      <c r="GQ378">
        <v>0.48393750000000002</v>
      </c>
      <c r="GR378">
        <v>0.38624999999999998</v>
      </c>
      <c r="GS378">
        <v>0</v>
      </c>
      <c r="GT378">
        <v>0.79404911764705877</v>
      </c>
      <c r="GU378"/>
      <c r="GV378"/>
      <c r="GW378"/>
      <c r="GX378"/>
      <c r="GY378"/>
      <c r="GZ378"/>
      <c r="HA378"/>
      <c r="HB378"/>
      <c r="HC378"/>
    </row>
    <row r="379" spans="1:211" s="7" customFormat="1">
      <c r="A379" s="77" t="s">
        <v>61</v>
      </c>
      <c r="B379" s="71">
        <f t="shared" ref="B379:B382" si="372">+C10</f>
        <v>39847</v>
      </c>
      <c r="C379" s="18">
        <f t="shared" si="362"/>
        <v>6.25</v>
      </c>
      <c r="D379" s="18">
        <f t="shared" si="363"/>
        <v>9.768750000000001E-2</v>
      </c>
      <c r="E379" s="19">
        <f t="shared" si="364"/>
        <v>1.5630000000000002E-2</v>
      </c>
      <c r="F379" s="19">
        <f t="shared" si="370"/>
        <v>0</v>
      </c>
      <c r="G379" s="18">
        <f>AVERAGE(E288:E297)*G$372</f>
        <v>7.2187499999999986E-3</v>
      </c>
      <c r="H379" s="18">
        <f t="shared" ref="H379:AK379" si="373">AVERAGE(F288:F297)*H$372</f>
        <v>9.0468750000000014E-2</v>
      </c>
      <c r="I379" s="18">
        <f t="shared" si="373"/>
        <v>0</v>
      </c>
      <c r="J379" s="18">
        <f t="shared" si="373"/>
        <v>0</v>
      </c>
      <c r="K379" s="18">
        <f t="shared" si="373"/>
        <v>0</v>
      </c>
      <c r="L379" s="18">
        <f t="shared" si="373"/>
        <v>0</v>
      </c>
      <c r="M379" s="18">
        <f t="shared" si="373"/>
        <v>0</v>
      </c>
      <c r="N379" s="18">
        <f t="shared" si="373"/>
        <v>0</v>
      </c>
      <c r="O379" s="18">
        <f t="shared" si="373"/>
        <v>0</v>
      </c>
      <c r="P379" s="18">
        <f t="shared" si="373"/>
        <v>0</v>
      </c>
      <c r="Q379" s="18">
        <f t="shared" si="373"/>
        <v>0</v>
      </c>
      <c r="R379" s="18">
        <f t="shared" si="373"/>
        <v>0</v>
      </c>
      <c r="S379" s="18">
        <f t="shared" si="373"/>
        <v>0</v>
      </c>
      <c r="T379" s="18">
        <f t="shared" si="373"/>
        <v>0</v>
      </c>
      <c r="U379" s="18">
        <f t="shared" si="373"/>
        <v>0</v>
      </c>
      <c r="V379" s="18">
        <f t="shared" si="373"/>
        <v>0</v>
      </c>
      <c r="W379" s="18">
        <f t="shared" si="373"/>
        <v>0</v>
      </c>
      <c r="X379" s="18">
        <f t="shared" si="373"/>
        <v>0</v>
      </c>
      <c r="Y379" s="18">
        <f t="shared" si="373"/>
        <v>0</v>
      </c>
      <c r="Z379" s="18">
        <f t="shared" si="373"/>
        <v>0</v>
      </c>
      <c r="AA379" s="18">
        <f t="shared" si="373"/>
        <v>0</v>
      </c>
      <c r="AB379" s="18">
        <f t="shared" si="373"/>
        <v>0</v>
      </c>
      <c r="AC379" s="18">
        <f t="shared" si="373"/>
        <v>0</v>
      </c>
      <c r="AD379" s="18">
        <f t="shared" si="373"/>
        <v>0</v>
      </c>
      <c r="AE379" s="18">
        <f t="shared" si="373"/>
        <v>0</v>
      </c>
      <c r="AF379" s="18">
        <f t="shared" si="373"/>
        <v>0</v>
      </c>
      <c r="AG379" s="18">
        <f t="shared" si="373"/>
        <v>0</v>
      </c>
      <c r="AH379" s="18">
        <f t="shared" si="373"/>
        <v>0</v>
      </c>
      <c r="AI379" s="18">
        <f t="shared" si="373"/>
        <v>0</v>
      </c>
      <c r="AJ379" s="18">
        <f t="shared" si="373"/>
        <v>0</v>
      </c>
      <c r="AK379" s="18">
        <f t="shared" si="373"/>
        <v>0</v>
      </c>
      <c r="AL379" s="78"/>
      <c r="AM379" s="43">
        <v>363</v>
      </c>
      <c r="AN379">
        <v>45.971848824070683</v>
      </c>
      <c r="AO379">
        <v>1.1178871170152842</v>
      </c>
      <c r="AP379">
        <v>1.4160289579115548</v>
      </c>
      <c r="AQ379">
        <v>7.5891692095806409</v>
      </c>
      <c r="AR379">
        <v>1.0379939700138949</v>
      </c>
      <c r="AS379">
        <v>3.6979655664905158</v>
      </c>
      <c r="AT379" t="e">
        <v>#DIV/0!</v>
      </c>
      <c r="AU379" t="e">
        <v>#DIV/0!</v>
      </c>
      <c r="AV379"/>
      <c r="AW379"/>
      <c r="FY379" s="211">
        <v>374</v>
      </c>
      <c r="FZ379">
        <v>1.6338475591480073</v>
      </c>
      <c r="GA379">
        <v>1.976002809246221</v>
      </c>
      <c r="GB379">
        <v>2.2080826257806246E-2</v>
      </c>
      <c r="GC379">
        <v>0.11593605818695124</v>
      </c>
      <c r="GD379">
        <v>0.13301630313758678</v>
      </c>
      <c r="GE379">
        <v>0.16663865826195001</v>
      </c>
      <c r="GF379">
        <v>0.78975252949884067</v>
      </c>
      <c r="GG379">
        <v>0.62966621671876666</v>
      </c>
      <c r="GH379">
        <v>8.9508689212329934E-2</v>
      </c>
      <c r="GI379">
        <v>0.47909199799503355</v>
      </c>
      <c r="GJ379"/>
      <c r="GK379">
        <v>1.6283474264705879</v>
      </c>
      <c r="GL379">
        <v>1.664534926470588</v>
      </c>
      <c r="GM379">
        <v>3.6187499999999997E-2</v>
      </c>
      <c r="GN379">
        <v>0.3400727678571428</v>
      </c>
      <c r="GO379">
        <v>0.50657276785714278</v>
      </c>
      <c r="GP379">
        <v>0.31303125000000004</v>
      </c>
      <c r="GQ379">
        <v>0.95209646739130416</v>
      </c>
      <c r="GR379">
        <v>0.87592980072463755</v>
      </c>
      <c r="GS379">
        <v>9.465845352564102E-2</v>
      </c>
      <c r="GT379">
        <v>0.64357252304893509</v>
      </c>
      <c r="GU379"/>
      <c r="GV379"/>
      <c r="GW379"/>
      <c r="GX379"/>
      <c r="GY379"/>
      <c r="GZ379"/>
      <c r="HA379"/>
      <c r="HB379"/>
      <c r="HC379"/>
    </row>
    <row r="380" spans="1:211" s="7" customFormat="1">
      <c r="A380" s="77" t="s">
        <v>62</v>
      </c>
      <c r="B380" s="71">
        <f t="shared" si="372"/>
        <v>39910</v>
      </c>
      <c r="C380" s="18">
        <f t="shared" si="362"/>
        <v>106.64251207729468</v>
      </c>
      <c r="D380" s="18">
        <f t="shared" si="363"/>
        <v>1.9973804347826087</v>
      </c>
      <c r="E380" s="19">
        <f t="shared" si="364"/>
        <v>1.8729682899207248E-2</v>
      </c>
      <c r="F380" s="19">
        <f t="shared" si="370"/>
        <v>2.8717054250514502E-3</v>
      </c>
      <c r="G380" s="18">
        <f>AVERAGE(E298:E307)*G$372</f>
        <v>0</v>
      </c>
      <c r="H380" s="18">
        <f t="shared" ref="H380:AK380" si="374">AVERAGE(F298:F307)*H$372</f>
        <v>1.7317554347826087</v>
      </c>
      <c r="I380" s="18">
        <f t="shared" si="374"/>
        <v>0.265625</v>
      </c>
      <c r="J380" s="18">
        <f t="shared" si="374"/>
        <v>0</v>
      </c>
      <c r="K380" s="18">
        <f t="shared" si="374"/>
        <v>0</v>
      </c>
      <c r="L380" s="18">
        <f t="shared" si="374"/>
        <v>0</v>
      </c>
      <c r="M380" s="18">
        <f t="shared" si="374"/>
        <v>0</v>
      </c>
      <c r="N380" s="18">
        <f t="shared" si="374"/>
        <v>0</v>
      </c>
      <c r="O380" s="18">
        <f t="shared" si="374"/>
        <v>0</v>
      </c>
      <c r="P380" s="18">
        <f t="shared" si="374"/>
        <v>0</v>
      </c>
      <c r="Q380" s="18">
        <f t="shared" si="374"/>
        <v>0</v>
      </c>
      <c r="R380" s="18">
        <f t="shared" si="374"/>
        <v>0</v>
      </c>
      <c r="S380" s="18">
        <f t="shared" si="374"/>
        <v>0</v>
      </c>
      <c r="T380" s="18">
        <f t="shared" si="374"/>
        <v>0</v>
      </c>
      <c r="U380" s="18">
        <f t="shared" si="374"/>
        <v>0</v>
      </c>
      <c r="V380" s="18">
        <f t="shared" si="374"/>
        <v>0</v>
      </c>
      <c r="W380" s="18">
        <f t="shared" si="374"/>
        <v>0</v>
      </c>
      <c r="X380" s="18">
        <f t="shared" si="374"/>
        <v>0</v>
      </c>
      <c r="Y380" s="18">
        <f t="shared" si="374"/>
        <v>0</v>
      </c>
      <c r="Z380" s="18">
        <f t="shared" si="374"/>
        <v>0</v>
      </c>
      <c r="AA380" s="18">
        <f t="shared" si="374"/>
        <v>0</v>
      </c>
      <c r="AB380" s="18">
        <f t="shared" si="374"/>
        <v>0</v>
      </c>
      <c r="AC380" s="18">
        <f t="shared" si="374"/>
        <v>0</v>
      </c>
      <c r="AD380" s="18">
        <f t="shared" si="374"/>
        <v>0</v>
      </c>
      <c r="AE380" s="18">
        <f t="shared" si="374"/>
        <v>0</v>
      </c>
      <c r="AF380" s="18">
        <f t="shared" si="374"/>
        <v>0</v>
      </c>
      <c r="AG380" s="18">
        <f t="shared" si="374"/>
        <v>0</v>
      </c>
      <c r="AH380" s="18">
        <f t="shared" si="374"/>
        <v>0</v>
      </c>
      <c r="AI380" s="18">
        <f t="shared" si="374"/>
        <v>0</v>
      </c>
      <c r="AJ380" s="18">
        <f t="shared" si="374"/>
        <v>0</v>
      </c>
      <c r="AK380" s="18">
        <f t="shared" si="374"/>
        <v>0</v>
      </c>
      <c r="AL380" s="78"/>
      <c r="AM380" s="43">
        <v>364</v>
      </c>
      <c r="AN380">
        <v>29.88646461789844</v>
      </c>
      <c r="AO380">
        <v>0.65640721450791861</v>
      </c>
      <c r="AP380">
        <v>2.6888648889426872</v>
      </c>
      <c r="AQ380">
        <v>5.0186441730363294</v>
      </c>
      <c r="AR380">
        <v>0.62288385322398176</v>
      </c>
      <c r="AS380">
        <v>2.1947006241340481</v>
      </c>
      <c r="AT380" t="e">
        <v>#DIV/0!</v>
      </c>
      <c r="AU380" t="e">
        <v>#DIV/0!</v>
      </c>
      <c r="AV380"/>
      <c r="AW380"/>
      <c r="FY380" s="211">
        <v>375</v>
      </c>
      <c r="FZ380">
        <v>2.1188936012431983</v>
      </c>
      <c r="GA380">
        <v>2.5907564911407768</v>
      </c>
      <c r="GB380">
        <v>2.7131317004247881</v>
      </c>
      <c r="GC380">
        <v>1.5071915736242441</v>
      </c>
      <c r="GD380">
        <v>7.4169784411469986E-2</v>
      </c>
      <c r="GE380">
        <v>4.3360981258274998E-2</v>
      </c>
      <c r="GF380">
        <v>0.82805716775636906</v>
      </c>
      <c r="GG380">
        <v>0.76829061536607923</v>
      </c>
      <c r="GH380">
        <v>6.6522953376906252E-2</v>
      </c>
      <c r="GI380">
        <v>1.1785169372120885</v>
      </c>
      <c r="GJ380"/>
      <c r="GK380">
        <v>2.1116568014705877</v>
      </c>
      <c r="GL380">
        <v>2.1822036764705883</v>
      </c>
      <c r="GM380">
        <v>4.4557741477272721</v>
      </c>
      <c r="GN380">
        <v>4.4267678977272729</v>
      </c>
      <c r="GO380">
        <v>0.28233749999999996</v>
      </c>
      <c r="GP380">
        <v>8.1421875000000005E-2</v>
      </c>
      <c r="GQ380">
        <v>0.99869021739130437</v>
      </c>
      <c r="GR380">
        <v>1.0690548007246377</v>
      </c>
      <c r="GS380">
        <v>7.0364583333333328E-2</v>
      </c>
      <c r="GT380">
        <v>1.5837646499844997</v>
      </c>
      <c r="GU380"/>
      <c r="GV380"/>
      <c r="GW380"/>
      <c r="GX380"/>
      <c r="GY380"/>
      <c r="GZ380"/>
      <c r="HA380"/>
      <c r="HB380"/>
      <c r="HC380"/>
    </row>
    <row r="381" spans="1:211" s="7" customFormat="1">
      <c r="A381" s="1"/>
      <c r="B381" s="71">
        <f t="shared" si="372"/>
        <v>39949</v>
      </c>
      <c r="C381" s="18">
        <f t="shared" si="362"/>
        <v>16.203703703703702</v>
      </c>
      <c r="D381" s="18">
        <f t="shared" si="363"/>
        <v>0.28145833333333331</v>
      </c>
      <c r="E381" s="19">
        <f t="shared" si="364"/>
        <v>1.737E-2</v>
      </c>
      <c r="F381" s="19">
        <f t="shared" si="370"/>
        <v>0</v>
      </c>
      <c r="G381" s="18">
        <f>AVERAGE(E308:E317)*G$372</f>
        <v>0</v>
      </c>
      <c r="H381" s="18">
        <f t="shared" ref="H381:AK381" si="375">AVERAGE(F308:F317)*H$372</f>
        <v>0.28145833333333331</v>
      </c>
      <c r="I381" s="18">
        <f t="shared" si="375"/>
        <v>0</v>
      </c>
      <c r="J381" s="18">
        <f t="shared" si="375"/>
        <v>0</v>
      </c>
      <c r="K381" s="18">
        <f t="shared" si="375"/>
        <v>0</v>
      </c>
      <c r="L381" s="18">
        <f t="shared" si="375"/>
        <v>0</v>
      </c>
      <c r="M381" s="18">
        <f t="shared" si="375"/>
        <v>0</v>
      </c>
      <c r="N381" s="18">
        <f t="shared" si="375"/>
        <v>0</v>
      </c>
      <c r="O381" s="18">
        <f t="shared" si="375"/>
        <v>0</v>
      </c>
      <c r="P381" s="18">
        <f t="shared" si="375"/>
        <v>0</v>
      </c>
      <c r="Q381" s="18">
        <f t="shared" si="375"/>
        <v>0</v>
      </c>
      <c r="R381" s="18">
        <f t="shared" si="375"/>
        <v>0</v>
      </c>
      <c r="S381" s="18">
        <f t="shared" si="375"/>
        <v>0</v>
      </c>
      <c r="T381" s="18">
        <f t="shared" si="375"/>
        <v>0</v>
      </c>
      <c r="U381" s="18">
        <f t="shared" si="375"/>
        <v>0</v>
      </c>
      <c r="V381" s="18">
        <f t="shared" si="375"/>
        <v>0</v>
      </c>
      <c r="W381" s="18">
        <f t="shared" si="375"/>
        <v>0</v>
      </c>
      <c r="X381" s="18">
        <f t="shared" si="375"/>
        <v>0</v>
      </c>
      <c r="Y381" s="18">
        <f t="shared" si="375"/>
        <v>0</v>
      </c>
      <c r="Z381" s="18">
        <f t="shared" si="375"/>
        <v>0</v>
      </c>
      <c r="AA381" s="18">
        <f t="shared" si="375"/>
        <v>0</v>
      </c>
      <c r="AB381" s="18">
        <f t="shared" si="375"/>
        <v>0</v>
      </c>
      <c r="AC381" s="18">
        <f t="shared" si="375"/>
        <v>0</v>
      </c>
      <c r="AD381" s="18">
        <f t="shared" si="375"/>
        <v>0</v>
      </c>
      <c r="AE381" s="18">
        <f t="shared" si="375"/>
        <v>0</v>
      </c>
      <c r="AF381" s="18">
        <f t="shared" si="375"/>
        <v>0</v>
      </c>
      <c r="AG381" s="18">
        <f t="shared" si="375"/>
        <v>0</v>
      </c>
      <c r="AH381" s="18">
        <f t="shared" si="375"/>
        <v>0</v>
      </c>
      <c r="AI381" s="18">
        <f t="shared" si="375"/>
        <v>0</v>
      </c>
      <c r="AJ381" s="18">
        <f t="shared" si="375"/>
        <v>0</v>
      </c>
      <c r="AK381" s="18">
        <f t="shared" si="375"/>
        <v>0</v>
      </c>
      <c r="AL381" s="78"/>
      <c r="AM381" s="43">
        <v>365</v>
      </c>
      <c r="AN381">
        <v>40.783958993993366</v>
      </c>
      <c r="AO381">
        <v>0.93004486489761029</v>
      </c>
      <c r="AP381">
        <v>1.998484112581437</v>
      </c>
      <c r="AQ381">
        <v>6.4954717939771713</v>
      </c>
      <c r="AR381">
        <v>0.87385388723209312</v>
      </c>
      <c r="AS381">
        <v>3.2940362189304104</v>
      </c>
      <c r="AT381" t="e">
        <v>#DIV/0!</v>
      </c>
      <c r="AU381" t="e">
        <v>#DIV/0!</v>
      </c>
      <c r="AV381"/>
      <c r="AW381"/>
      <c r="FY381" s="211">
        <v>376</v>
      </c>
      <c r="FZ381">
        <v>0.68121686594072517</v>
      </c>
      <c r="GA381">
        <v>1.2794676392804434</v>
      </c>
      <c r="GB381">
        <v>1.2555593822388409</v>
      </c>
      <c r="GC381">
        <v>0.82067756965079952</v>
      </c>
      <c r="GD381">
        <v>0.2648001929657528</v>
      </c>
      <c r="GE381">
        <v>5.486840673907499E-2</v>
      </c>
      <c r="GF381">
        <v>0.15986193049181252</v>
      </c>
      <c r="GG381">
        <v>0.23978821552359375</v>
      </c>
      <c r="GH381">
        <v>0.15603164258923619</v>
      </c>
      <c r="GI381">
        <v>0.61111881935774026</v>
      </c>
      <c r="GJ381"/>
      <c r="GK381">
        <v>0.6787781249999999</v>
      </c>
      <c r="GL381">
        <v>1.07746171875</v>
      </c>
      <c r="GM381">
        <v>2.0609634232954548</v>
      </c>
      <c r="GN381">
        <v>2.4068168831168828</v>
      </c>
      <c r="GO381">
        <v>1.0070839285714284</v>
      </c>
      <c r="GP381">
        <v>0.103171875</v>
      </c>
      <c r="GQ381">
        <v>0.19312499999999999</v>
      </c>
      <c r="GR381">
        <v>0.33385416666666667</v>
      </c>
      <c r="GS381">
        <v>0.16502303685897435</v>
      </c>
      <c r="GT381">
        <v>0.82099470274517139</v>
      </c>
      <c r="GU381"/>
      <c r="GV381"/>
      <c r="GW381"/>
      <c r="GX381"/>
      <c r="GY381"/>
      <c r="GZ381"/>
      <c r="HA381"/>
      <c r="HB381"/>
      <c r="HC381"/>
    </row>
    <row r="382" spans="1:211" s="7" customFormat="1">
      <c r="A382" s="1"/>
      <c r="B382" s="71">
        <f t="shared" si="372"/>
        <v>39987</v>
      </c>
      <c r="C382" s="18">
        <f t="shared" si="362"/>
        <v>7.0112179487179489</v>
      </c>
      <c r="D382" s="18">
        <f t="shared" si="363"/>
        <v>4.8587740384615385E-2</v>
      </c>
      <c r="E382" s="19">
        <f t="shared" si="364"/>
        <v>6.9299999999999995E-3</v>
      </c>
      <c r="F382" s="19">
        <f t="shared" si="370"/>
        <v>0</v>
      </c>
      <c r="G382" s="18">
        <f>AVERAGE(E318:E327)*G$372</f>
        <v>4.8587740384615385E-2</v>
      </c>
      <c r="H382" s="18">
        <f t="shared" ref="H382:AK382" si="376">AVERAGE(F318:F327)*H$372</f>
        <v>0</v>
      </c>
      <c r="I382" s="18">
        <f t="shared" si="376"/>
        <v>0</v>
      </c>
      <c r="J382" s="18">
        <f t="shared" si="376"/>
        <v>0</v>
      </c>
      <c r="K382" s="18">
        <f t="shared" si="376"/>
        <v>0</v>
      </c>
      <c r="L382" s="18">
        <f t="shared" si="376"/>
        <v>0</v>
      </c>
      <c r="M382" s="18">
        <f t="shared" si="376"/>
        <v>0</v>
      </c>
      <c r="N382" s="18">
        <f t="shared" si="376"/>
        <v>0</v>
      </c>
      <c r="O382" s="18">
        <f t="shared" si="376"/>
        <v>0</v>
      </c>
      <c r="P382" s="18">
        <f t="shared" si="376"/>
        <v>0</v>
      </c>
      <c r="Q382" s="18">
        <f t="shared" si="376"/>
        <v>0</v>
      </c>
      <c r="R382" s="18">
        <f t="shared" si="376"/>
        <v>0</v>
      </c>
      <c r="S382" s="18">
        <f t="shared" si="376"/>
        <v>0</v>
      </c>
      <c r="T382" s="18">
        <f t="shared" si="376"/>
        <v>0</v>
      </c>
      <c r="U382" s="18">
        <f t="shared" si="376"/>
        <v>0</v>
      </c>
      <c r="V382" s="18">
        <f t="shared" si="376"/>
        <v>0</v>
      </c>
      <c r="W382" s="18">
        <f t="shared" si="376"/>
        <v>0</v>
      </c>
      <c r="X382" s="18">
        <f t="shared" si="376"/>
        <v>0</v>
      </c>
      <c r="Y382" s="18">
        <f t="shared" si="376"/>
        <v>0</v>
      </c>
      <c r="Z382" s="18">
        <f t="shared" si="376"/>
        <v>0</v>
      </c>
      <c r="AA382" s="18">
        <f t="shared" si="376"/>
        <v>0</v>
      </c>
      <c r="AB382" s="18">
        <f t="shared" si="376"/>
        <v>0</v>
      </c>
      <c r="AC382" s="18">
        <f t="shared" si="376"/>
        <v>0</v>
      </c>
      <c r="AD382" s="18">
        <f t="shared" si="376"/>
        <v>0</v>
      </c>
      <c r="AE382" s="18">
        <f t="shared" si="376"/>
        <v>0</v>
      </c>
      <c r="AF382" s="18">
        <f t="shared" si="376"/>
        <v>0</v>
      </c>
      <c r="AG382" s="18">
        <f t="shared" si="376"/>
        <v>0</v>
      </c>
      <c r="AH382" s="18">
        <f t="shared" si="376"/>
        <v>0</v>
      </c>
      <c r="AI382" s="18">
        <f t="shared" si="376"/>
        <v>0</v>
      </c>
      <c r="AJ382" s="18">
        <f t="shared" si="376"/>
        <v>0</v>
      </c>
      <c r="AK382" s="18">
        <f t="shared" si="376"/>
        <v>0</v>
      </c>
      <c r="AL382" s="78"/>
      <c r="AM382" s="43">
        <v>366</v>
      </c>
      <c r="AN382">
        <v>54.371125024006254</v>
      </c>
      <c r="AO382">
        <v>1.4955893206262645</v>
      </c>
      <c r="AP382">
        <v>17.318794236011659</v>
      </c>
      <c r="AQ382">
        <v>10.286464524065028</v>
      </c>
      <c r="AR382">
        <v>1.361835188768632</v>
      </c>
      <c r="AS382">
        <v>5.1250711681968424</v>
      </c>
      <c r="AT382" t="e">
        <v>#DIV/0!</v>
      </c>
      <c r="AU382" t="e">
        <v>#DIV/0!</v>
      </c>
      <c r="AV382"/>
      <c r="AW382"/>
      <c r="FY382" s="211">
        <v>377</v>
      </c>
      <c r="FZ382">
        <v>1.8736154920194412</v>
      </c>
      <c r="GA382">
        <v>2.5031493290314963</v>
      </c>
      <c r="GB382">
        <v>2.2512527388409884</v>
      </c>
      <c r="GC382">
        <v>1.2186959214061166</v>
      </c>
      <c r="GD382">
        <v>0.15693597897963749</v>
      </c>
      <c r="GE382">
        <v>0.16755145515584996</v>
      </c>
      <c r="GF382">
        <v>0.49395954912409079</v>
      </c>
      <c r="GG382">
        <v>0.52933036966390667</v>
      </c>
      <c r="GH382">
        <v>0.15603164258923619</v>
      </c>
      <c r="GI382">
        <v>1.0302253380473438</v>
      </c>
      <c r="GJ382"/>
      <c r="GK382">
        <v>1.8673161764705877</v>
      </c>
      <c r="GL382">
        <v>2.1084528952205881</v>
      </c>
      <c r="GM382">
        <v>3.6964527698863634</v>
      </c>
      <c r="GN382">
        <v>3.5782691761363634</v>
      </c>
      <c r="GO382">
        <v>0.59723437499999998</v>
      </c>
      <c r="GP382">
        <v>0.31490624999999994</v>
      </c>
      <c r="GQ382">
        <v>0.59590760869565207</v>
      </c>
      <c r="GR382">
        <v>0.73663677536231864</v>
      </c>
      <c r="GS382">
        <v>0.16502303685897435</v>
      </c>
      <c r="GT382">
        <v>1.3843867933823155</v>
      </c>
      <c r="GU382"/>
      <c r="GV382"/>
      <c r="GW382"/>
      <c r="GX382"/>
      <c r="GY382"/>
      <c r="GZ382"/>
      <c r="HA382"/>
      <c r="HB382"/>
      <c r="HC382"/>
    </row>
    <row r="383" spans="1:211" s="7" customFormat="1">
      <c r="A383" s="1"/>
      <c r="B383" s="71"/>
      <c r="C383" s="18"/>
      <c r="D383" s="18"/>
      <c r="E383" s="19"/>
      <c r="F383" s="19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8"/>
      <c r="AH383" s="18"/>
      <c r="AI383" s="18"/>
      <c r="AJ383" s="18"/>
      <c r="AK383" s="18"/>
      <c r="AL383" s="78"/>
      <c r="AM383" s="43">
        <v>367</v>
      </c>
      <c r="AN383">
        <v>22.8218545751634</v>
      </c>
      <c r="AO383">
        <v>0.54416421691176464</v>
      </c>
      <c r="AP383">
        <v>18.313108278284158</v>
      </c>
      <c r="AQ383">
        <v>4.9205278187135777</v>
      </c>
      <c r="AR383">
        <v>0.49469474264705871</v>
      </c>
      <c r="AS383">
        <v>1.6844527281338644</v>
      </c>
      <c r="AT383" t="e">
        <v>#DIV/0!</v>
      </c>
      <c r="AU383" t="e">
        <v>#DIV/0!</v>
      </c>
      <c r="AV383"/>
      <c r="AW383"/>
      <c r="FY383" s="211">
        <v>378</v>
      </c>
      <c r="FZ383">
        <v>1.902698619332575</v>
      </c>
      <c r="GA383">
        <v>2.5784630071718162</v>
      </c>
      <c r="GB383">
        <v>0.23833741075661596</v>
      </c>
      <c r="GC383">
        <v>0.25929614763279496</v>
      </c>
      <c r="GD383">
        <v>0.2045636221020975</v>
      </c>
      <c r="GE383">
        <v>0.1020805491843</v>
      </c>
      <c r="GF383">
        <v>0.74923343208741267</v>
      </c>
      <c r="GG383">
        <v>0.62966621671876666</v>
      </c>
      <c r="GH383">
        <v>0.11249442504775362</v>
      </c>
      <c r="GI383">
        <v>0.6085947401379187</v>
      </c>
      <c r="GJ383"/>
      <c r="GK383">
        <v>1.8961724264705881</v>
      </c>
      <c r="GL383">
        <v>2.1716685202205879</v>
      </c>
      <c r="GM383">
        <v>0.39073046874999995</v>
      </c>
      <c r="GN383">
        <v>0.75932500000000003</v>
      </c>
      <c r="GO383">
        <v>0.77805937499999989</v>
      </c>
      <c r="GP383">
        <v>0.1918125</v>
      </c>
      <c r="GQ383">
        <v>0.90325271739130431</v>
      </c>
      <c r="GR383">
        <v>0.87592980072463755</v>
      </c>
      <c r="GS383">
        <v>0.11895232371794871</v>
      </c>
      <c r="GT383">
        <v>0.81743346226596825</v>
      </c>
      <c r="GU383"/>
      <c r="GV383"/>
      <c r="GW383"/>
      <c r="GX383"/>
      <c r="GY383"/>
      <c r="GZ383"/>
      <c r="HA383"/>
      <c r="HB383"/>
      <c r="HC383"/>
    </row>
    <row r="384" spans="1:211" s="7" customFormat="1">
      <c r="A384" s="1"/>
      <c r="B384" s="71"/>
      <c r="C384" s="18"/>
      <c r="D384" s="18"/>
      <c r="E384" s="19"/>
      <c r="F384" s="19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  <c r="AA384" s="18"/>
      <c r="AB384" s="18"/>
      <c r="AC384" s="18"/>
      <c r="AD384" s="18"/>
      <c r="AE384" s="18"/>
      <c r="AF384" s="18"/>
      <c r="AG384" s="18"/>
      <c r="AH384" s="18"/>
      <c r="AI384" s="18"/>
      <c r="AJ384" s="18"/>
      <c r="AK384" s="18"/>
      <c r="AL384" s="78"/>
      <c r="AM384" s="43">
        <v>368</v>
      </c>
      <c r="AN384">
        <v>36.430367804172946</v>
      </c>
      <c r="AO384">
        <v>0.84215154079468313</v>
      </c>
      <c r="AP384">
        <v>22.755459277832944</v>
      </c>
      <c r="AQ384">
        <v>6.4759920520306089</v>
      </c>
      <c r="AR384">
        <v>0.77000937712104067</v>
      </c>
      <c r="AS384">
        <v>2.8058766406349762</v>
      </c>
      <c r="AT384" t="e">
        <v>#DIV/0!</v>
      </c>
      <c r="AU384" t="e">
        <v>#DIV/0!</v>
      </c>
      <c r="AV384"/>
      <c r="AW384"/>
      <c r="FY384" s="211">
        <v>379</v>
      </c>
      <c r="FZ384">
        <v>2.9898162684520466</v>
      </c>
      <c r="GA384">
        <v>3.7711065109159403</v>
      </c>
      <c r="GB384">
        <v>1.1326618196480074</v>
      </c>
      <c r="GC384">
        <v>0.99195972757153816</v>
      </c>
      <c r="GD384">
        <v>0.43239644412294848</v>
      </c>
      <c r="GE384">
        <v>0.15315172346204997</v>
      </c>
      <c r="GF384">
        <v>0.37461671604370633</v>
      </c>
      <c r="GG384">
        <v>0.34012406257845362</v>
      </c>
      <c r="GH384">
        <v>0.13548016088317727</v>
      </c>
      <c r="GI384">
        <v>1.0537074370005663</v>
      </c>
      <c r="GJ384"/>
      <c r="GK384">
        <v>2.9797854779411761</v>
      </c>
      <c r="GL384">
        <v>3.1764612591911763</v>
      </c>
      <c r="GM384">
        <v>1.8589556107954546</v>
      </c>
      <c r="GN384">
        <v>2.9082066152597399</v>
      </c>
      <c r="GO384">
        <v>1.6441767857142853</v>
      </c>
      <c r="GP384">
        <v>0.28771875000000002</v>
      </c>
      <c r="GQ384">
        <v>0.45162635869565215</v>
      </c>
      <c r="GR384">
        <v>0.47314719202898542</v>
      </c>
      <c r="GS384">
        <v>0.14324619391025639</v>
      </c>
      <c r="GT384">
        <v>1.415558085411365</v>
      </c>
      <c r="GU384"/>
      <c r="GV384"/>
      <c r="GW384"/>
      <c r="GX384"/>
      <c r="GY384"/>
      <c r="GZ384"/>
      <c r="HA384"/>
      <c r="HB384"/>
      <c r="HC384"/>
    </row>
    <row r="385" spans="1:211" s="7" customFormat="1">
      <c r="A385" s="1"/>
      <c r="B385" s="71"/>
      <c r="C385" s="14"/>
      <c r="D385" s="14"/>
      <c r="E385" s="13"/>
      <c r="F385" s="13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94"/>
      <c r="AG385" s="94"/>
      <c r="AH385" s="94"/>
      <c r="AI385" s="94"/>
      <c r="AJ385" s="94"/>
      <c r="AK385" s="94"/>
      <c r="AL385" s="78"/>
      <c r="AM385" s="43">
        <v>369</v>
      </c>
      <c r="AN385">
        <v>39.753189865689862</v>
      </c>
      <c r="AO385">
        <v>0.97576555219780214</v>
      </c>
      <c r="AP385">
        <v>1.8993432003043003</v>
      </c>
      <c r="AQ385">
        <v>5.8023994430820984</v>
      </c>
      <c r="AR385">
        <v>0.9190403075049951</v>
      </c>
      <c r="AS385">
        <v>3.1567382177811867</v>
      </c>
      <c r="AT385" t="e">
        <v>#DIV/0!</v>
      </c>
      <c r="AU385" t="e">
        <v>#DIV/0!</v>
      </c>
      <c r="AV385"/>
      <c r="AW385"/>
      <c r="FY385" s="211">
        <v>380</v>
      </c>
      <c r="FZ385">
        <v>1.4309529084229275</v>
      </c>
      <c r="GA385">
        <v>2.0783633598770983</v>
      </c>
      <c r="GB385">
        <v>0.47100369099221362</v>
      </c>
      <c r="GC385">
        <v>0.40116063289236686</v>
      </c>
      <c r="GD385">
        <v>0.2225645275495243</v>
      </c>
      <c r="GE385">
        <v>2.6015014625850003E-2</v>
      </c>
      <c r="GF385">
        <v>0.37461671604370633</v>
      </c>
      <c r="GG385">
        <v>0.39070597101659427</v>
      </c>
      <c r="GH385">
        <v>0.15603164258923619</v>
      </c>
      <c r="GI385">
        <v>0.54526275372717103</v>
      </c>
      <c r="GJ385"/>
      <c r="GK385">
        <v>1.4259018382352939</v>
      </c>
      <c r="GL385">
        <v>1.750382306985294</v>
      </c>
      <c r="GM385">
        <v>0.77287890625</v>
      </c>
      <c r="GN385">
        <v>1.175424330357143</v>
      </c>
      <c r="GO385">
        <v>0.8465571428571429</v>
      </c>
      <c r="GP385">
        <v>4.8843750000000005E-2</v>
      </c>
      <c r="GQ385">
        <v>0.45162635869565215</v>
      </c>
      <c r="GR385">
        <v>0.54351177536231876</v>
      </c>
      <c r="GS385">
        <v>0.16502303685897435</v>
      </c>
      <c r="GT385">
        <v>0.73239745657941269</v>
      </c>
      <c r="GU385"/>
      <c r="GV385"/>
      <c r="GW385"/>
      <c r="GX385"/>
      <c r="GY385"/>
      <c r="GZ385"/>
      <c r="HA385"/>
      <c r="HB385"/>
      <c r="HC385"/>
    </row>
    <row r="386" spans="1:211" s="7" customFormat="1">
      <c r="A386" s="1"/>
      <c r="B386" s="13"/>
      <c r="C386" s="13"/>
      <c r="D386" s="96"/>
      <c r="E386" s="1"/>
      <c r="F386" s="1"/>
      <c r="G386" s="1"/>
      <c r="H386" s="1"/>
      <c r="I386" s="1"/>
      <c r="J386" s="14"/>
      <c r="K386" s="14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94"/>
      <c r="AG386" s="94"/>
      <c r="AH386" s="94"/>
      <c r="AI386" s="94"/>
      <c r="AJ386" s="94"/>
      <c r="AK386" s="94"/>
      <c r="AL386" s="78"/>
      <c r="AM386" s="43">
        <v>370</v>
      </c>
      <c r="AN386">
        <v>34.077820310816627</v>
      </c>
      <c r="AO386">
        <v>0.84766351481698443</v>
      </c>
      <c r="AP386">
        <v>1.3438563459310302</v>
      </c>
      <c r="AQ386">
        <v>5.9661108340771642</v>
      </c>
      <c r="AR386">
        <v>0.79454468348746832</v>
      </c>
      <c r="AS386">
        <v>2.6925189315857647</v>
      </c>
      <c r="AT386" t="e">
        <v>#DIV/0!</v>
      </c>
      <c r="AU386" t="e">
        <v>#DIV/0!</v>
      </c>
      <c r="AV386"/>
      <c r="AW386"/>
      <c r="FY386" s="211">
        <v>381</v>
      </c>
      <c r="FZ386">
        <v>2.5652829932628447</v>
      </c>
      <c r="GA386">
        <v>3.2565039908715621</v>
      </c>
      <c r="GB386">
        <v>0.82871734376223982</v>
      </c>
      <c r="GC386">
        <v>0.66176628110969649</v>
      </c>
      <c r="GD386">
        <v>0.20406002907901177</v>
      </c>
      <c r="GE386">
        <v>4.8178868064749992E-3</v>
      </c>
      <c r="GF386">
        <v>0.31972386098362504</v>
      </c>
      <c r="GG386">
        <v>0.37841261417090627</v>
      </c>
      <c r="GH386">
        <v>0.15603164258923619</v>
      </c>
      <c r="GI386">
        <v>0.78063035284710658</v>
      </c>
      <c r="GJ386"/>
      <c r="GK386">
        <v>2.5563711397058819</v>
      </c>
      <c r="GL386">
        <v>2.7427930147058821</v>
      </c>
      <c r="GM386">
        <v>1.3604595170454545</v>
      </c>
      <c r="GN386">
        <v>1.9409072849025975</v>
      </c>
      <c r="GO386">
        <v>0.77591651785714288</v>
      </c>
      <c r="GP386">
        <v>9.0468749999999994E-3</v>
      </c>
      <c r="GQ386">
        <v>0.38624999999999998</v>
      </c>
      <c r="GR386">
        <v>0.52697916666666667</v>
      </c>
      <c r="GS386">
        <v>0.16502303685897435</v>
      </c>
      <c r="GT386">
        <v>1.0488040422934906</v>
      </c>
      <c r="GU386"/>
      <c r="GV386"/>
      <c r="GW386"/>
      <c r="GX386"/>
      <c r="GY386"/>
      <c r="GZ386"/>
      <c r="HA386"/>
      <c r="HB386"/>
      <c r="HC386"/>
    </row>
    <row r="387" spans="1:211" s="7" customFormat="1">
      <c r="A387" s="1"/>
      <c r="B387" s="13"/>
      <c r="C387" s="21"/>
      <c r="D387" s="96"/>
      <c r="E387" s="3"/>
      <c r="F387" s="10" t="s">
        <v>70</v>
      </c>
      <c r="G387" s="13"/>
      <c r="H387" s="10" t="s">
        <v>71</v>
      </c>
      <c r="I387" s="1"/>
      <c r="J387" s="14"/>
      <c r="K387" s="14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94"/>
      <c r="AG387" s="94"/>
      <c r="AH387" s="94"/>
      <c r="AI387" s="94"/>
      <c r="AJ387" s="94"/>
      <c r="AK387" s="94"/>
      <c r="AL387" s="78"/>
      <c r="AM387" s="43">
        <v>371</v>
      </c>
      <c r="AN387">
        <v>73.051678063458752</v>
      </c>
      <c r="AO387">
        <v>1.5644899019215546</v>
      </c>
      <c r="AP387">
        <v>1.6784975060917029</v>
      </c>
      <c r="AQ387">
        <v>9.7712778521117762</v>
      </c>
      <c r="AR387">
        <v>1.4389607172188952</v>
      </c>
      <c r="AS387">
        <v>6.3953150506622958</v>
      </c>
      <c r="AT387">
        <v>1.1683634467266824</v>
      </c>
      <c r="AU387">
        <v>9.3223736233214366E-2</v>
      </c>
      <c r="AV387"/>
      <c r="AW387"/>
      <c r="FY387" s="211">
        <v>382</v>
      </c>
      <c r="FZ387">
        <v>1.0772966919661511</v>
      </c>
      <c r="GA387">
        <v>1.3563839498991308</v>
      </c>
      <c r="GB387">
        <v>0.23354371327861409</v>
      </c>
      <c r="GC387">
        <v>0.2808700743417088</v>
      </c>
      <c r="GD387">
        <v>0.29824942618383427</v>
      </c>
      <c r="GE387">
        <v>0.25812457885934997</v>
      </c>
      <c r="GF387">
        <v>0.5606239862982938</v>
      </c>
      <c r="GG387">
        <v>0.4158731959419375</v>
      </c>
      <c r="GH387">
        <v>4.5971471670847357E-2</v>
      </c>
      <c r="GI387">
        <v>0.49382919926361024</v>
      </c>
      <c r="GJ387"/>
      <c r="GK387">
        <v>1.073334375</v>
      </c>
      <c r="GL387">
        <v>1.1420531249999999</v>
      </c>
      <c r="GM387">
        <v>0.38317187500000005</v>
      </c>
      <c r="GN387">
        <v>0.82236651785714288</v>
      </c>
      <c r="GO387">
        <v>1.1342571428571429</v>
      </c>
      <c r="GP387">
        <v>0.48496874999999995</v>
      </c>
      <c r="GQ387">
        <v>0.6770624999999999</v>
      </c>
      <c r="GR387">
        <v>0.57937499999999997</v>
      </c>
      <c r="GS387">
        <v>4.8587740384615385E-2</v>
      </c>
      <c r="GT387">
        <v>0.66328272664835164</v>
      </c>
      <c r="GU387"/>
      <c r="GV387"/>
      <c r="GW387"/>
      <c r="GX387"/>
      <c r="GY387"/>
      <c r="GZ387"/>
      <c r="HA387"/>
      <c r="HB387"/>
      <c r="HC387"/>
    </row>
    <row r="388" spans="1:211" s="7" customFormat="1">
      <c r="A388" s="1"/>
      <c r="B388" s="13"/>
      <c r="C388" s="21"/>
      <c r="D388" s="96"/>
      <c r="E388" s="3"/>
      <c r="F388" s="19">
        <f t="shared" ref="F388:F398" si="377">IF(C374&lt;1,0,LN(E374/E373)/E21)</f>
        <v>-1.7420031198251577E-2</v>
      </c>
      <c r="G388" s="13"/>
      <c r="H388" s="19">
        <f>IF(G406&lt;0,0,G406)</f>
        <v>8.9200592815579127E-2</v>
      </c>
      <c r="I388" s="1"/>
      <c r="J388" s="14"/>
      <c r="K388" s="14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94"/>
      <c r="AG388" s="94"/>
      <c r="AH388" s="94"/>
      <c r="AI388" s="94"/>
      <c r="AJ388" s="94"/>
      <c r="AK388" s="94"/>
      <c r="AL388" s="78"/>
      <c r="AM388" s="43">
        <v>372</v>
      </c>
      <c r="AN388">
        <v>51.332669742460347</v>
      </c>
      <c r="AO388">
        <v>1.1243612534039118</v>
      </c>
      <c r="AP388">
        <v>0.37781475578205664</v>
      </c>
      <c r="AQ388">
        <v>9.7681461682216746</v>
      </c>
      <c r="AR388">
        <v>1.0301858204021572</v>
      </c>
      <c r="AS388">
        <v>4.1323746895576283</v>
      </c>
      <c r="AT388">
        <v>0.82528473839161043</v>
      </c>
      <c r="AU388">
        <v>-0.10574882464108487</v>
      </c>
      <c r="AV388"/>
      <c r="AW388"/>
      <c r="FY388" s="211">
        <v>383</v>
      </c>
      <c r="FZ388">
        <v>1.4527916140058497</v>
      </c>
      <c r="GA388">
        <v>2.084912784948191</v>
      </c>
      <c r="GB388">
        <v>1.026839731585623</v>
      </c>
      <c r="GC388">
        <v>0.85530466879645772</v>
      </c>
      <c r="GD388">
        <v>0.39525804994303937</v>
      </c>
      <c r="GE388">
        <v>7.6065534558449999E-2</v>
      </c>
      <c r="GF388">
        <v>0.5344786465355188</v>
      </c>
      <c r="GG388">
        <v>0.47874846122576609</v>
      </c>
      <c r="GH388">
        <v>8.9508689212329934E-2</v>
      </c>
      <c r="GI388">
        <v>0.80040668857749275</v>
      </c>
      <c r="GJ388"/>
      <c r="GK388">
        <v>1.4477455882352941</v>
      </c>
      <c r="GL388">
        <v>1.7557729319852939</v>
      </c>
      <c r="GM388">
        <v>1.6855806107954545</v>
      </c>
      <c r="GN388">
        <v>2.5079104099025975</v>
      </c>
      <c r="GO388">
        <v>1.503388392857143</v>
      </c>
      <c r="GP388">
        <v>0.14296875000000001</v>
      </c>
      <c r="GQ388">
        <v>0.64475135869565214</v>
      </c>
      <c r="GR388">
        <v>0.66627219202898535</v>
      </c>
      <c r="GS388">
        <v>9.465845352564102E-2</v>
      </c>
      <c r="GT388">
        <v>1.075224880821837</v>
      </c>
      <c r="GU388"/>
      <c r="GV388"/>
      <c r="GW388"/>
      <c r="GX388"/>
      <c r="GY388"/>
      <c r="GZ388"/>
      <c r="HA388"/>
      <c r="HB388"/>
      <c r="HC388"/>
    </row>
    <row r="389" spans="1:211" s="7" customFormat="1">
      <c r="A389" s="1"/>
      <c r="B389" s="13"/>
      <c r="C389" s="21"/>
      <c r="D389" s="96"/>
      <c r="E389" s="3"/>
      <c r="F389" s="19">
        <f t="shared" si="377"/>
        <v>3.2106589126321547E-3</v>
      </c>
      <c r="G389" s="13"/>
      <c r="H389" s="19">
        <f t="shared" ref="H389:H398" si="378">IF(G407&lt;0,0,G407)</f>
        <v>4.8811943891404086E-2</v>
      </c>
      <c r="I389" s="1"/>
      <c r="J389" s="14"/>
      <c r="K389" s="14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94"/>
      <c r="AG389" s="94"/>
      <c r="AH389" s="94"/>
      <c r="AI389" s="94"/>
      <c r="AJ389" s="94"/>
      <c r="AK389" s="94"/>
      <c r="AL389" s="78"/>
      <c r="AM389" s="43">
        <v>373</v>
      </c>
      <c r="AN389">
        <v>42.716993464052294</v>
      </c>
      <c r="AO389">
        <v>0.85751652941176482</v>
      </c>
      <c r="AP389">
        <v>1.2932527787400492</v>
      </c>
      <c r="AQ389">
        <v>5.6575126876250685</v>
      </c>
      <c r="AR389">
        <v>0.79404911764705877</v>
      </c>
      <c r="AS389">
        <v>3.5459161004696442</v>
      </c>
      <c r="AT389" t="e">
        <v>#DIV/0!</v>
      </c>
      <c r="AU389" t="e">
        <v>#DIV/0!</v>
      </c>
      <c r="AV389"/>
      <c r="AW389"/>
      <c r="FY389" s="211">
        <v>384</v>
      </c>
      <c r="FZ389">
        <v>0.44326348058712373</v>
      </c>
      <c r="GA389">
        <v>0.65457058665770007</v>
      </c>
      <c r="GB389">
        <v>0.39996117117719288</v>
      </c>
      <c r="GC389">
        <v>0.23882803687674747</v>
      </c>
      <c r="GD389">
        <v>7.7040656602154992E-2</v>
      </c>
      <c r="GE389">
        <v>5.2996754871225009E-2</v>
      </c>
      <c r="GF389">
        <v>0.33409761863227821</v>
      </c>
      <c r="GG389">
        <v>0.34012406257845362</v>
      </c>
      <c r="GH389">
        <v>6.6522953376906252E-2</v>
      </c>
      <c r="GI389">
        <v>0.27759104678950419</v>
      </c>
      <c r="GJ389"/>
      <c r="GK389">
        <v>0.44163749999999996</v>
      </c>
      <c r="GL389">
        <v>0.55106718749999994</v>
      </c>
      <c r="GM389">
        <v>0.65622656249999989</v>
      </c>
      <c r="GN389">
        <v>0.70063124999999982</v>
      </c>
      <c r="GO389">
        <v>0.29319374999999998</v>
      </c>
      <c r="GP389">
        <v>9.951562500000001E-2</v>
      </c>
      <c r="GQ389">
        <v>0.40278260869565213</v>
      </c>
      <c r="GR389">
        <v>0.47314719202898542</v>
      </c>
      <c r="GS389">
        <v>7.0364583333333328E-2</v>
      </c>
      <c r="GT389">
        <v>0.37284100090579708</v>
      </c>
      <c r="GU389"/>
      <c r="GV389"/>
      <c r="GW389"/>
      <c r="GX389"/>
      <c r="GY389"/>
      <c r="GZ389"/>
      <c r="HA389"/>
      <c r="HB389"/>
      <c r="HC389"/>
    </row>
    <row r="390" spans="1:211" s="7" customFormat="1">
      <c r="A390" s="1"/>
      <c r="B390" s="13"/>
      <c r="C390" s="21"/>
      <c r="D390" s="96"/>
      <c r="E390" s="3"/>
      <c r="F390" s="19">
        <f t="shared" si="377"/>
        <v>-5.5246131219902246E-3</v>
      </c>
      <c r="G390" s="13"/>
      <c r="H390" s="19">
        <f t="shared" si="378"/>
        <v>4.0175337614353976E-2</v>
      </c>
      <c r="I390" s="1"/>
      <c r="J390" s="14"/>
      <c r="K390" s="14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94"/>
      <c r="AG390" s="94"/>
      <c r="AH390" s="94"/>
      <c r="AI390" s="94"/>
      <c r="AJ390" s="94"/>
      <c r="AK390" s="94"/>
      <c r="AL390" s="78"/>
      <c r="AM390" s="43">
        <v>374</v>
      </c>
      <c r="AN390">
        <v>32.924655116598842</v>
      </c>
      <c r="AO390">
        <v>0.70550038833459805</v>
      </c>
      <c r="AP390">
        <v>20.064806422223107</v>
      </c>
      <c r="AQ390">
        <v>6.0355416476634929</v>
      </c>
      <c r="AR390">
        <v>0.64357252304893531</v>
      </c>
      <c r="AS390">
        <v>2.4767329099992899</v>
      </c>
      <c r="AT390" t="e">
        <v>#DIV/0!</v>
      </c>
      <c r="AU390" t="e">
        <v>#DIV/0!</v>
      </c>
      <c r="AV390"/>
      <c r="AW390"/>
      <c r="FY390" s="211">
        <v>385</v>
      </c>
      <c r="FZ390">
        <v>2.1020067245218561</v>
      </c>
      <c r="GA390">
        <v>2.549753348316274</v>
      </c>
      <c r="GB390">
        <v>0.92606559663698773</v>
      </c>
      <c r="GC390">
        <v>0.64100901730964821</v>
      </c>
      <c r="GD390">
        <v>0.18431559194316427</v>
      </c>
      <c r="GE390">
        <v>0.13195459564267498</v>
      </c>
      <c r="GF390">
        <v>0.98791909824818158</v>
      </c>
      <c r="GG390">
        <v>0.90691501401339158</v>
      </c>
      <c r="GH390">
        <v>0.11249442504775362</v>
      </c>
      <c r="GI390">
        <v>0.83776763745020966</v>
      </c>
      <c r="GJ390"/>
      <c r="GK390">
        <v>2.0950367647058816</v>
      </c>
      <c r="GL390">
        <v>2.147923483455882</v>
      </c>
      <c r="GM390">
        <v>1.5202446732954544</v>
      </c>
      <c r="GN390">
        <v>1.8816994724025973</v>
      </c>
      <c r="GO390">
        <v>0.70210714285714282</v>
      </c>
      <c r="GP390">
        <v>0.24792187499999999</v>
      </c>
      <c r="GQ390">
        <v>1.1918152173913041</v>
      </c>
      <c r="GR390">
        <v>1.2621798007246374</v>
      </c>
      <c r="GS390">
        <v>0.11895232371794871</v>
      </c>
      <c r="GT390">
        <v>1.1256312243935462</v>
      </c>
      <c r="GU390"/>
      <c r="GV390"/>
      <c r="GW390"/>
      <c r="GX390"/>
      <c r="GY390"/>
      <c r="GZ390"/>
      <c r="HA390"/>
      <c r="HB390"/>
      <c r="HC390"/>
    </row>
    <row r="391" spans="1:211" s="7" customFormat="1">
      <c r="A391" s="1"/>
      <c r="B391" s="13"/>
      <c r="C391" s="21"/>
      <c r="D391" s="96"/>
      <c r="E391" s="3"/>
      <c r="F391" s="19">
        <f t="shared" si="377"/>
        <v>-1.0829339903179764E-2</v>
      </c>
      <c r="G391" s="13"/>
      <c r="H391" s="19">
        <f t="shared" si="378"/>
        <v>5.3804967892802348E-2</v>
      </c>
      <c r="I391" s="1"/>
      <c r="J391" s="14"/>
      <c r="K391" s="14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94"/>
      <c r="AG391" s="94"/>
      <c r="AH391" s="94"/>
      <c r="AI391" s="94"/>
      <c r="AJ391" s="94"/>
      <c r="AK391" s="94"/>
      <c r="AL391" s="78"/>
      <c r="AM391" s="43">
        <v>375</v>
      </c>
      <c r="AN391">
        <v>60.078089182532914</v>
      </c>
      <c r="AO391">
        <v>1.7262036149829498</v>
      </c>
      <c r="AP391">
        <v>11.695850071276428</v>
      </c>
      <c r="AQ391">
        <v>11.888891805814193</v>
      </c>
      <c r="AR391">
        <v>1.5837646499844991</v>
      </c>
      <c r="AS391">
        <v>5.957490755254998</v>
      </c>
      <c r="AT391" t="e">
        <v>#DIV/0!</v>
      </c>
      <c r="AU391" t="e">
        <v>#DIV/0!</v>
      </c>
      <c r="AV391"/>
      <c r="AW391"/>
      <c r="FY391" s="211">
        <v>386</v>
      </c>
      <c r="FZ391">
        <v>3.2205540132341843</v>
      </c>
      <c r="GA391">
        <v>3.7636010194776586</v>
      </c>
      <c r="GB391">
        <v>0.83929773967743859</v>
      </c>
      <c r="GC391">
        <v>0.45929314419181766</v>
      </c>
      <c r="GD391">
        <v>0.12930587365164425</v>
      </c>
      <c r="GE391">
        <v>0.15502337532990002</v>
      </c>
      <c r="GF391">
        <v>1.0284381956596096</v>
      </c>
      <c r="GG391">
        <v>0.90691501401339158</v>
      </c>
      <c r="GH391">
        <v>6.6522953376906252E-2</v>
      </c>
      <c r="GI391">
        <v>0.95126338755052708</v>
      </c>
      <c r="GJ391"/>
      <c r="GK391">
        <v>3.2096886029411764</v>
      </c>
      <c r="GL391">
        <v>3.1700909466911762</v>
      </c>
      <c r="GM391">
        <v>1.3777993607954544</v>
      </c>
      <c r="GN391">
        <v>1.3480729099025974</v>
      </c>
      <c r="GO391">
        <v>0.49195714285714276</v>
      </c>
      <c r="GP391">
        <v>0.291375</v>
      </c>
      <c r="GQ391">
        <v>1.2406589673913042</v>
      </c>
      <c r="GR391">
        <v>1.2621798007246374</v>
      </c>
      <c r="GS391">
        <v>7.0364583333333328E-2</v>
      </c>
      <c r="GT391">
        <v>1.278093731463682</v>
      </c>
      <c r="GU391"/>
      <c r="GV391"/>
      <c r="GW391"/>
      <c r="GX391"/>
      <c r="GY391"/>
      <c r="GZ391"/>
      <c r="HA391"/>
      <c r="HB391"/>
      <c r="HC391"/>
    </row>
    <row r="392" spans="1:211" s="7" customFormat="1">
      <c r="A392" s="1"/>
      <c r="B392" s="13"/>
      <c r="C392" s="21"/>
      <c r="D392" s="96"/>
      <c r="E392" s="3"/>
      <c r="F392" s="19">
        <f t="shared" si="377"/>
        <v>1.375329191536692E-2</v>
      </c>
      <c r="G392" s="13"/>
      <c r="H392" s="19">
        <f t="shared" si="378"/>
        <v>3.5170618876898388E-2</v>
      </c>
      <c r="I392" s="1"/>
      <c r="J392" s="14"/>
      <c r="K392" s="14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94"/>
      <c r="AG392" s="94"/>
      <c r="AH392" s="94"/>
      <c r="AI392" s="94"/>
      <c r="AJ392" s="94"/>
      <c r="AK392" s="94"/>
      <c r="AL392" s="78"/>
      <c r="AM392" s="43">
        <v>376</v>
      </c>
      <c r="AN392">
        <v>37.970516000203496</v>
      </c>
      <c r="AO392">
        <v>0.8847272860004578</v>
      </c>
      <c r="AP392">
        <v>2.8459118817461175</v>
      </c>
      <c r="AQ392">
        <v>5.5233906647780202</v>
      </c>
      <c r="AR392">
        <v>0.82099470274517139</v>
      </c>
      <c r="AS392">
        <v>3.299595558269206</v>
      </c>
      <c r="AT392" t="e">
        <v>#DIV/0!</v>
      </c>
      <c r="AU392" t="e">
        <v>#DIV/0!</v>
      </c>
      <c r="AV392"/>
      <c r="AW392"/>
      <c r="FY392" s="211">
        <v>387</v>
      </c>
      <c r="FZ392">
        <v>1.4436924936878337</v>
      </c>
      <c r="GA392">
        <v>1.7822942987616295</v>
      </c>
      <c r="GB392">
        <v>1.4401914456300748</v>
      </c>
      <c r="GC392">
        <v>1.0739930430957934</v>
      </c>
      <c r="GD392">
        <v>0.35875264602510004</v>
      </c>
      <c r="GE392">
        <v>8.377572757792498E-2</v>
      </c>
      <c r="GF392">
        <v>0</v>
      </c>
      <c r="GG392">
        <v>5.0581908438140623E-2</v>
      </c>
      <c r="GH392">
        <v>6.6522953376906252E-2</v>
      </c>
      <c r="GI392">
        <v>0.7797159587701914</v>
      </c>
      <c r="GJ392"/>
      <c r="GK392">
        <v>1.4388112132352942</v>
      </c>
      <c r="GL392">
        <v>1.5010846507352942</v>
      </c>
      <c r="GM392">
        <v>2.3646846590909094</v>
      </c>
      <c r="GN392">
        <v>3.1506143465909093</v>
      </c>
      <c r="GO392">
        <v>1.3642500000000002</v>
      </c>
      <c r="GP392">
        <v>0.15745312499999997</v>
      </c>
      <c r="GQ392">
        <v>0</v>
      </c>
      <c r="GR392">
        <v>7.0364583333333328E-2</v>
      </c>
      <c r="GS392">
        <v>7.0364583333333328E-2</v>
      </c>
      <c r="GT392">
        <v>1.0476220911319074</v>
      </c>
      <c r="GU392"/>
      <c r="GV392"/>
      <c r="GW392"/>
      <c r="GX392"/>
      <c r="GY392"/>
      <c r="GZ392"/>
      <c r="HA392"/>
      <c r="HB392"/>
      <c r="HC392"/>
    </row>
    <row r="393" spans="1:211" s="7" customFormat="1">
      <c r="A393" s="1"/>
      <c r="B393" s="13"/>
      <c r="C393" s="21"/>
      <c r="D393" s="96"/>
      <c r="E393" s="3"/>
      <c r="F393" s="19">
        <f t="shared" si="377"/>
        <v>-8.3498509282995941E-3</v>
      </c>
      <c r="G393" s="13"/>
      <c r="H393" s="19">
        <f t="shared" si="378"/>
        <v>6.4596773635294813E-2</v>
      </c>
      <c r="I393" s="1"/>
      <c r="J393" s="14"/>
      <c r="K393" s="14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94"/>
      <c r="AG393" s="94"/>
      <c r="AH393" s="94"/>
      <c r="AI393" s="94"/>
      <c r="AJ393" s="94"/>
      <c r="AK393" s="94"/>
      <c r="AL393" s="78"/>
      <c r="AM393" s="43">
        <v>377</v>
      </c>
      <c r="AN393">
        <v>55.291815298908489</v>
      </c>
      <c r="AO393">
        <v>1.5044585857013162</v>
      </c>
      <c r="AP393">
        <v>7.3370222512813426</v>
      </c>
      <c r="AQ393">
        <v>10.380747814858108</v>
      </c>
      <c r="AR393">
        <v>1.3843867933823155</v>
      </c>
      <c r="AS393">
        <v>4.6623792464711959</v>
      </c>
      <c r="AT393" t="e">
        <v>#DIV/0!</v>
      </c>
      <c r="AU393" t="e">
        <v>#DIV/0!</v>
      </c>
      <c r="AV393"/>
      <c r="AW393"/>
      <c r="FY393" s="211">
        <v>388</v>
      </c>
      <c r="FZ393">
        <v>1.1729465838454896</v>
      </c>
      <c r="GA393">
        <v>1.7058562409132088</v>
      </c>
      <c r="GB393">
        <v>0.32806523990295</v>
      </c>
      <c r="GC393">
        <v>0.29673974124563124</v>
      </c>
      <c r="GD393">
        <v>0.27397512583964995</v>
      </c>
      <c r="GE393">
        <v>0.17236934196232498</v>
      </c>
      <c r="GF393">
        <v>0.33409761863227821</v>
      </c>
      <c r="GG393">
        <v>0.34012406257845362</v>
      </c>
      <c r="GH393">
        <v>8.9508689212329934E-2</v>
      </c>
      <c r="GI393">
        <v>0.48345526145136009</v>
      </c>
      <c r="GJ393"/>
      <c r="GK393">
        <v>1.1689705882352939</v>
      </c>
      <c r="GL393">
        <v>1.436908088235294</v>
      </c>
      <c r="GM393">
        <v>0.53825000000000001</v>
      </c>
      <c r="GN393">
        <v>0.869140625</v>
      </c>
      <c r="GO393">
        <v>1.0423125</v>
      </c>
      <c r="GP393">
        <v>0.32395312500000001</v>
      </c>
      <c r="GQ393">
        <v>0.40278260869565213</v>
      </c>
      <c r="GR393">
        <v>0.47314719202898542</v>
      </c>
      <c r="GS393">
        <v>9.465845352564102E-2</v>
      </c>
      <c r="GT393">
        <v>0.64939483009131738</v>
      </c>
      <c r="GU393"/>
      <c r="GV393"/>
      <c r="GW393"/>
      <c r="GX393"/>
      <c r="GY393"/>
      <c r="GZ393"/>
      <c r="HA393"/>
      <c r="HB393"/>
      <c r="HC393"/>
    </row>
    <row r="394" spans="1:211" s="7" customFormat="1">
      <c r="A394" s="1"/>
      <c r="B394" s="13"/>
      <c r="C394" s="21"/>
      <c r="D394" s="96"/>
      <c r="E394" s="3"/>
      <c r="F394" s="19">
        <f t="shared" si="377"/>
        <v>2.8717054250514502E-3</v>
      </c>
      <c r="G394" s="13"/>
      <c r="H394" s="19">
        <f t="shared" si="378"/>
        <v>7.0710121526675496E-2</v>
      </c>
      <c r="I394" s="1"/>
      <c r="J394" s="14"/>
      <c r="K394" s="14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94"/>
      <c r="AG394" s="94"/>
      <c r="AH394" s="94"/>
      <c r="AI394" s="94"/>
      <c r="AJ394" s="94"/>
      <c r="AK394" s="94"/>
      <c r="AL394" s="78"/>
      <c r="AM394" s="43">
        <v>378</v>
      </c>
      <c r="AN394">
        <v>44.494608947490178</v>
      </c>
      <c r="AO394">
        <v>0.89033365945410359</v>
      </c>
      <c r="AP394">
        <v>0.30594690986389128</v>
      </c>
      <c r="AQ394">
        <v>7.3854281701720508</v>
      </c>
      <c r="AR394">
        <v>0.81743346226596825</v>
      </c>
      <c r="AS394">
        <v>3.5023880606183302</v>
      </c>
      <c r="AT394">
        <v>0.71682270121971303</v>
      </c>
      <c r="AU394">
        <v>-0.10630345534708935</v>
      </c>
      <c r="AV394"/>
      <c r="AW394"/>
      <c r="FY394" s="211">
        <v>389</v>
      </c>
      <c r="FZ394">
        <v>1.2384513306830309</v>
      </c>
      <c r="GA394">
        <v>1.5953434846153804</v>
      </c>
      <c r="GB394">
        <v>0.50734505087485304</v>
      </c>
      <c r="GC394">
        <v>0.39423300189945437</v>
      </c>
      <c r="GD394">
        <v>0.26349282034483495</v>
      </c>
      <c r="GE394">
        <v>0.15984126213637501</v>
      </c>
      <c r="GF394">
        <v>0.69434057702733132</v>
      </c>
      <c r="GG394">
        <v>0.56679095143493796</v>
      </c>
      <c r="GH394">
        <v>2.2985735835423678E-2</v>
      </c>
      <c r="GI394">
        <v>0.58532080175322609</v>
      </c>
      <c r="GJ394"/>
      <c r="GK394">
        <v>1.234183088235294</v>
      </c>
      <c r="GL394">
        <v>1.343612775735294</v>
      </c>
      <c r="GM394">
        <v>0.83243749999999994</v>
      </c>
      <c r="GN394">
        <v>1.1552234374999999</v>
      </c>
      <c r="GO394">
        <v>1.0025437500000001</v>
      </c>
      <c r="GP394">
        <v>0.300421875</v>
      </c>
      <c r="GQ394">
        <v>0.83787635869565202</v>
      </c>
      <c r="GR394">
        <v>0.78903260869565206</v>
      </c>
      <c r="GS394">
        <v>2.4293870192307693E-2</v>
      </c>
      <c r="GT394">
        <v>0.78626691342465072</v>
      </c>
      <c r="GU394"/>
      <c r="GV394"/>
      <c r="GW394"/>
      <c r="GX394"/>
      <c r="GY394"/>
      <c r="GZ394"/>
      <c r="HA394"/>
      <c r="HB394"/>
      <c r="HC394"/>
    </row>
    <row r="395" spans="1:211" s="7" customFormat="1">
      <c r="A395" s="1"/>
      <c r="B395" s="13"/>
      <c r="C395" s="21"/>
      <c r="D395" s="96"/>
      <c r="E395" s="3"/>
      <c r="F395" s="19">
        <f t="shared" si="377"/>
        <v>-1.9324360502208505E-3</v>
      </c>
      <c r="G395" s="13"/>
      <c r="H395" s="19">
        <f t="shared" si="378"/>
        <v>9.4979999999999995E-2</v>
      </c>
      <c r="I395" s="1"/>
      <c r="J395" s="14"/>
      <c r="K395" s="14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94"/>
      <c r="AG395" s="94"/>
      <c r="AH395" s="94"/>
      <c r="AI395" s="94"/>
      <c r="AJ395" s="94"/>
      <c r="AK395" s="94"/>
      <c r="AL395" s="78"/>
      <c r="AM395" s="43">
        <v>379</v>
      </c>
      <c r="AN395">
        <v>68.454119280330119</v>
      </c>
      <c r="AO395">
        <v>1.5338882328948091</v>
      </c>
      <c r="AP395">
        <v>1.126691050967088</v>
      </c>
      <c r="AQ395">
        <v>11.375020870678435</v>
      </c>
      <c r="AR395">
        <v>1.415558085411365</v>
      </c>
      <c r="AS395">
        <v>5.6385332753062913</v>
      </c>
      <c r="AT395">
        <v>1.1068217969966789</v>
      </c>
      <c r="AU395">
        <v>-5.3835041239731873E-2</v>
      </c>
      <c r="AV395"/>
      <c r="AW395"/>
      <c r="FY395" s="211">
        <v>390</v>
      </c>
      <c r="FZ395">
        <v>1.0258830453781775</v>
      </c>
      <c r="GA395">
        <v>1.5475034650081854</v>
      </c>
      <c r="GB395">
        <v>0.24412410919381289</v>
      </c>
      <c r="GC395">
        <v>0.27061284220842374</v>
      </c>
      <c r="GD395">
        <v>0.29021386898607748</v>
      </c>
      <c r="GE395">
        <v>0.19169481791385001</v>
      </c>
      <c r="GF395">
        <v>0.5344786465355188</v>
      </c>
      <c r="GG395">
        <v>0.52933036966390667</v>
      </c>
      <c r="GH395">
        <v>0.15603164258923619</v>
      </c>
      <c r="GI395">
        <v>0.49681409908896201</v>
      </c>
      <c r="GJ395"/>
      <c r="GK395">
        <v>1.0223737132352941</v>
      </c>
      <c r="GL395">
        <v>1.3033541819852941</v>
      </c>
      <c r="GM395">
        <v>0.40051171875000002</v>
      </c>
      <c r="GN395">
        <v>0.79253437500000001</v>
      </c>
      <c r="GO395">
        <v>1.103784375</v>
      </c>
      <c r="GP395">
        <v>0.36009375000000005</v>
      </c>
      <c r="GQ395">
        <v>0.64475135869565214</v>
      </c>
      <c r="GR395">
        <v>0.73663677536231864</v>
      </c>
      <c r="GS395">
        <v>0.16502303685897435</v>
      </c>
      <c r="GT395">
        <v>0.66728884050798409</v>
      </c>
      <c r="GU395"/>
      <c r="GV395"/>
      <c r="GW395"/>
      <c r="GX395"/>
      <c r="GY395"/>
      <c r="GZ395"/>
      <c r="HA395"/>
      <c r="HB395"/>
      <c r="HC395"/>
    </row>
    <row r="396" spans="1:211" s="7" customFormat="1">
      <c r="A396" s="1"/>
      <c r="B396" s="13"/>
      <c r="C396" s="21"/>
      <c r="D396" s="96"/>
      <c r="E396" s="3"/>
      <c r="F396" s="19">
        <f t="shared" si="377"/>
        <v>-2.4181178080294786E-2</v>
      </c>
      <c r="G396" s="13"/>
      <c r="H396" s="19">
        <f t="shared" si="378"/>
        <v>0.16119400827807628</v>
      </c>
      <c r="I396" s="1"/>
      <c r="J396" s="14"/>
      <c r="K396" s="14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94"/>
      <c r="AG396" s="94"/>
      <c r="AH396" s="94"/>
      <c r="AI396" s="94"/>
      <c r="AJ396" s="94"/>
      <c r="AK396" s="94"/>
      <c r="AL396" s="78"/>
      <c r="AM396" s="43">
        <v>380</v>
      </c>
      <c r="AN396">
        <v>38.421548025332392</v>
      </c>
      <c r="AO396">
        <v>0.791254690218123</v>
      </c>
      <c r="AP396">
        <v>0.81645757650536732</v>
      </c>
      <c r="AQ396">
        <v>6.0966772177366888</v>
      </c>
      <c r="AR396">
        <v>0.73239745657941258</v>
      </c>
      <c r="AS396">
        <v>3.0721249416857113</v>
      </c>
      <c r="AT396" t="e">
        <v>#DIV/0!</v>
      </c>
      <c r="AU396" t="e">
        <v>#DIV/0!</v>
      </c>
      <c r="AV396"/>
      <c r="AW396"/>
      <c r="FY396" s="211">
        <v>391</v>
      </c>
      <c r="FZ396">
        <v>1.9626907913878984</v>
      </c>
      <c r="GA396">
        <v>2.7112320606161924</v>
      </c>
      <c r="GB396">
        <v>0.80617495067868516</v>
      </c>
      <c r="GC396">
        <v>0.52522616339581063</v>
      </c>
      <c r="GD396">
        <v>0.27349997868755999</v>
      </c>
      <c r="GE396">
        <v>0.23108890988835001</v>
      </c>
      <c r="GF396">
        <v>0.40076205580648128</v>
      </c>
      <c r="GG396">
        <v>0.27724879729462504</v>
      </c>
      <c r="GH396">
        <v>0</v>
      </c>
      <c r="GI396">
        <v>0.71504503401677466</v>
      </c>
      <c r="GJ396"/>
      <c r="GK396">
        <v>1.9560318014705882</v>
      </c>
      <c r="GL396">
        <v>2.2835474264705882</v>
      </c>
      <c r="GM396">
        <v>1.3227109375000001</v>
      </c>
      <c r="GN396">
        <v>1.5396765625</v>
      </c>
      <c r="GO396">
        <v>1.0405125</v>
      </c>
      <c r="GP396">
        <v>0.43434375000000003</v>
      </c>
      <c r="GQ396">
        <v>0.48393750000000002</v>
      </c>
      <c r="GR396">
        <v>0.38624999999999998</v>
      </c>
      <c r="GS396">
        <v>0</v>
      </c>
      <c r="GT396">
        <v>0.96063854779411761</v>
      </c>
      <c r="GU396"/>
      <c r="GV396"/>
      <c r="GW396"/>
      <c r="GX396"/>
      <c r="GY396"/>
      <c r="GZ396"/>
      <c r="HA396"/>
      <c r="HB396"/>
      <c r="HC396"/>
    </row>
    <row r="397" spans="1:211" s="7" customFormat="1">
      <c r="A397" s="1"/>
      <c r="B397" s="13"/>
      <c r="C397" s="21"/>
      <c r="D397" s="96"/>
      <c r="E397" s="3"/>
      <c r="F397" s="19">
        <f t="shared" si="377"/>
        <v>0</v>
      </c>
      <c r="G397" s="13"/>
      <c r="H397" s="19">
        <f t="shared" si="378"/>
        <v>0</v>
      </c>
      <c r="I397" s="1"/>
      <c r="J397" s="14"/>
      <c r="K397" s="14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94"/>
      <c r="AG397" s="94"/>
      <c r="AH397" s="94"/>
      <c r="AI397" s="94"/>
      <c r="AJ397" s="94"/>
      <c r="AK397" s="94"/>
      <c r="AL397" s="78"/>
      <c r="AM397" s="43">
        <v>381</v>
      </c>
      <c r="AN397">
        <v>48.656689844741315</v>
      </c>
      <c r="AO397">
        <v>1.1512550595036088</v>
      </c>
      <c r="AP397">
        <v>30.372425183319226</v>
      </c>
      <c r="AQ397">
        <v>9.1559469954827044</v>
      </c>
      <c r="AR397">
        <v>1.0488040422934908</v>
      </c>
      <c r="AS397">
        <v>3.5807374597675401</v>
      </c>
      <c r="AT397" t="e">
        <v>#DIV/0!</v>
      </c>
      <c r="AU397" t="e">
        <v>#DIV/0!</v>
      </c>
      <c r="AV397"/>
      <c r="AW397"/>
      <c r="FY397" s="211">
        <v>392</v>
      </c>
      <c r="FZ397">
        <v>1.423748637762688</v>
      </c>
      <c r="GA397">
        <v>1.5297351734151734</v>
      </c>
      <c r="GB397">
        <v>0.38798259471048513</v>
      </c>
      <c r="GC397">
        <v>0.57911460447304808</v>
      </c>
      <c r="GD397">
        <v>0.42240246590535091</v>
      </c>
      <c r="GE397">
        <v>0.12713670883619999</v>
      </c>
      <c r="GF397">
        <v>0.31972386098362504</v>
      </c>
      <c r="GG397">
        <v>0.37841261417090627</v>
      </c>
      <c r="GH397">
        <v>0.17901737842465987</v>
      </c>
      <c r="GI397">
        <v>0.63090843161245935</v>
      </c>
      <c r="GJ397"/>
      <c r="GK397">
        <v>1.4189830882352936</v>
      </c>
      <c r="GL397">
        <v>1.2884830882352938</v>
      </c>
      <c r="GM397">
        <v>0.6366484375</v>
      </c>
      <c r="GN397">
        <v>1.6961720982142856</v>
      </c>
      <c r="GO397">
        <v>1.6061799107142853</v>
      </c>
      <c r="GP397">
        <v>0.23887499999999998</v>
      </c>
      <c r="GQ397">
        <v>0.38624999999999998</v>
      </c>
      <c r="GR397">
        <v>0.52697916666666667</v>
      </c>
      <c r="GS397">
        <v>0.18931690705128204</v>
      </c>
      <c r="GT397">
        <v>0.84747566870017232</v>
      </c>
      <c r="GU397"/>
      <c r="GV397"/>
      <c r="GW397"/>
      <c r="GX397"/>
      <c r="GY397"/>
      <c r="GZ397"/>
      <c r="HA397"/>
      <c r="HB397"/>
      <c r="HC397"/>
    </row>
    <row r="398" spans="1:211" s="7" customFormat="1">
      <c r="A398" s="1"/>
      <c r="B398" s="13"/>
      <c r="C398" s="21"/>
      <c r="D398" s="96"/>
      <c r="E398" s="3"/>
      <c r="F398" s="19">
        <f t="shared" si="377"/>
        <v>0</v>
      </c>
      <c r="G398" s="13"/>
      <c r="H398" s="19">
        <f t="shared" si="378"/>
        <v>0</v>
      </c>
      <c r="I398" s="1"/>
      <c r="J398" s="14"/>
      <c r="K398" s="14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94"/>
      <c r="AG398" s="94"/>
      <c r="AH398" s="94"/>
      <c r="AI398" s="94"/>
      <c r="AJ398" s="94"/>
      <c r="AK398" s="94"/>
      <c r="AL398" s="78"/>
      <c r="AM398" s="43">
        <v>382</v>
      </c>
      <c r="AN398">
        <v>34.58043345543345</v>
      </c>
      <c r="AO398">
        <v>0.70084597527472525</v>
      </c>
      <c r="AP398">
        <v>1.3595914783921441</v>
      </c>
      <c r="AQ398">
        <v>5.0207662877034771</v>
      </c>
      <c r="AR398">
        <v>0.66328272664835164</v>
      </c>
      <c r="AS398">
        <v>2.7832566265951924</v>
      </c>
      <c r="AT398" t="e">
        <v>#DIV/0!</v>
      </c>
      <c r="AU398" t="e">
        <v>#DIV/0!</v>
      </c>
      <c r="AV398"/>
      <c r="AW398"/>
      <c r="FY398" s="211">
        <v>393</v>
      </c>
      <c r="FZ398">
        <v>1.0894641613991947</v>
      </c>
      <c r="GA398">
        <v>1.5920984098497977</v>
      </c>
      <c r="GB398">
        <v>0.50165534055323679</v>
      </c>
      <c r="GC398">
        <v>0.43191739081915437</v>
      </c>
      <c r="GD398">
        <v>0.27097224811592785</v>
      </c>
      <c r="GE398">
        <v>0.1020805491843</v>
      </c>
      <c r="GF398">
        <v>1.0833310507196909</v>
      </c>
      <c r="GG398">
        <v>0.91920837085907969</v>
      </c>
      <c r="GH398">
        <v>8.9508689212329934E-2</v>
      </c>
      <c r="GI398">
        <v>0.64630337876434818</v>
      </c>
      <c r="GJ398"/>
      <c r="GK398">
        <v>1.0857955882352941</v>
      </c>
      <c r="GL398">
        <v>1.340936213235294</v>
      </c>
      <c r="GM398">
        <v>0.82307031250000007</v>
      </c>
      <c r="GN398">
        <v>1.2653573660714286</v>
      </c>
      <c r="GO398">
        <v>1.0306151785714284</v>
      </c>
      <c r="GP398">
        <v>0.1918125</v>
      </c>
      <c r="GQ398">
        <v>1.3060353260869564</v>
      </c>
      <c r="GR398">
        <v>1.2787124094202897</v>
      </c>
      <c r="GS398">
        <v>9.465845352564102E-2</v>
      </c>
      <c r="GT398">
        <v>0.86803497178386402</v>
      </c>
      <c r="GU398"/>
      <c r="GV398"/>
      <c r="GW398"/>
      <c r="GX398"/>
      <c r="GY398"/>
      <c r="GZ398"/>
      <c r="HA398"/>
      <c r="HB398"/>
      <c r="HC398"/>
    </row>
    <row r="399" spans="1:211" s="7" customFormat="1">
      <c r="A399" s="1"/>
      <c r="B399" s="1"/>
      <c r="C399" s="3"/>
      <c r="D399" s="3"/>
      <c r="E399" s="1"/>
      <c r="F399" s="1"/>
      <c r="G399" s="2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78"/>
      <c r="AG399" s="78"/>
      <c r="AH399" s="78"/>
      <c r="AI399" s="78"/>
      <c r="AJ399" s="78"/>
      <c r="AK399" s="78"/>
      <c r="AL399" s="78"/>
      <c r="AM399" s="43">
        <v>383</v>
      </c>
      <c r="AN399">
        <v>51.920622099406465</v>
      </c>
      <c r="AO399">
        <v>1.15242735688479</v>
      </c>
      <c r="AP399">
        <v>1.2676021909352224</v>
      </c>
      <c r="AQ399">
        <v>7.7943148693887183</v>
      </c>
      <c r="AR399">
        <v>1.0752248808218368</v>
      </c>
      <c r="AS399">
        <v>4.2470051269818079</v>
      </c>
      <c r="AT399">
        <v>0.83896976987978522</v>
      </c>
      <c r="AU399">
        <v>0.22746175420482984</v>
      </c>
      <c r="AV399"/>
      <c r="AW399"/>
      <c r="FY399" s="211">
        <v>394</v>
      </c>
      <c r="FZ399">
        <v>0.73762249246025058</v>
      </c>
      <c r="GA399">
        <v>0.75997545854328219</v>
      </c>
      <c r="GB399">
        <v>0.36355318832636713</v>
      </c>
      <c r="GC399">
        <v>0.30636431952796683</v>
      </c>
      <c r="GD399">
        <v>0.19650113217846005</v>
      </c>
      <c r="GE399">
        <v>8.088342136492499E-2</v>
      </c>
      <c r="GF399">
        <v>0.5344786465355188</v>
      </c>
      <c r="GG399">
        <v>0.52933036966390667</v>
      </c>
      <c r="GH399">
        <v>0.15603164258923619</v>
      </c>
      <c r="GI399">
        <v>0.43013152792345899</v>
      </c>
      <c r="GJ399"/>
      <c r="GK399">
        <v>0.73505624999999997</v>
      </c>
      <c r="GL399">
        <v>0.63978281249999991</v>
      </c>
      <c r="GM399">
        <v>0.59648437499999996</v>
      </c>
      <c r="GN399">
        <v>0.89756718749999997</v>
      </c>
      <c r="GO399">
        <v>0.74726250000000016</v>
      </c>
      <c r="GP399">
        <v>0.15201562499999999</v>
      </c>
      <c r="GQ399">
        <v>0.64475135869565214</v>
      </c>
      <c r="GR399">
        <v>0.73663677536231864</v>
      </c>
      <c r="GS399">
        <v>0.16502303685897435</v>
      </c>
      <c r="GT399">
        <v>0.5777155041109252</v>
      </c>
      <c r="GU399"/>
      <c r="GV399"/>
      <c r="GW399"/>
      <c r="GX399"/>
      <c r="GY399"/>
      <c r="GZ399"/>
      <c r="HA399"/>
      <c r="HB399"/>
      <c r="HC399"/>
    </row>
    <row r="400" spans="1:211" s="7" customFormat="1">
      <c r="A400" s="1"/>
      <c r="B400" s="1"/>
      <c r="C400" s="3"/>
      <c r="D400" s="3"/>
      <c r="E400" s="1"/>
      <c r="F400" s="1"/>
      <c r="G400" s="2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78"/>
      <c r="AG400" s="78"/>
      <c r="AH400" s="78"/>
      <c r="AI400" s="78"/>
      <c r="AJ400" s="78"/>
      <c r="AK400" s="78"/>
      <c r="AL400" s="78"/>
      <c r="AM400" s="43">
        <v>384</v>
      </c>
      <c r="AN400">
        <v>19.443694645732684</v>
      </c>
      <c r="AO400">
        <v>0.40614072599637679</v>
      </c>
      <c r="AP400">
        <v>4.2410189063041104</v>
      </c>
      <c r="AQ400">
        <v>2.8849963681492863</v>
      </c>
      <c r="AR400">
        <v>0.37284100090579708</v>
      </c>
      <c r="AS400">
        <v>1.611269030709213</v>
      </c>
      <c r="AT400" t="e">
        <v>#DIV/0!</v>
      </c>
      <c r="AU400" t="e">
        <v>#DIV/0!</v>
      </c>
      <c r="AV400"/>
      <c r="AW400"/>
      <c r="FY400" s="211">
        <v>395</v>
      </c>
      <c r="FZ400">
        <v>0.66855758281576305</v>
      </c>
      <c r="GA400">
        <v>1.4220017743782043</v>
      </c>
      <c r="GB400">
        <v>0.50257537498064531</v>
      </c>
      <c r="GC400">
        <v>0.32051574273947803</v>
      </c>
      <c r="GD400">
        <v>0.2597405807658375</v>
      </c>
      <c r="GE400">
        <v>0.21289194573322495</v>
      </c>
      <c r="GF400">
        <v>0.24090012531466881</v>
      </c>
      <c r="GG400">
        <v>0.18920630708545313</v>
      </c>
      <c r="GH400">
        <v>8.9508689212329934E-2</v>
      </c>
      <c r="GI400">
        <v>0.4264859573667894</v>
      </c>
      <c r="GJ400"/>
      <c r="GK400">
        <v>0.66605625000000002</v>
      </c>
      <c r="GL400">
        <v>1.1973140625000003</v>
      </c>
      <c r="GM400">
        <v>0.82457812499999994</v>
      </c>
      <c r="GN400">
        <v>0.93925781249999973</v>
      </c>
      <c r="GO400">
        <v>0.9879843749999998</v>
      </c>
      <c r="GP400">
        <v>0.399890625</v>
      </c>
      <c r="GQ400">
        <v>0.29081250000000003</v>
      </c>
      <c r="GR400">
        <v>0.26348958333333333</v>
      </c>
      <c r="GS400">
        <v>9.465845352564102E-2</v>
      </c>
      <c r="GT400">
        <v>0.57281794070512815</v>
      </c>
      <c r="GU400"/>
      <c r="GV400"/>
      <c r="GW400"/>
      <c r="GX400"/>
      <c r="GY400"/>
      <c r="GZ400"/>
      <c r="HA400"/>
      <c r="HB400"/>
      <c r="HC400"/>
    </row>
    <row r="401" spans="1:211" s="7" customFormat="1">
      <c r="A401" s="4"/>
      <c r="B401" s="4"/>
      <c r="C401" s="83"/>
      <c r="D401" s="83"/>
      <c r="E401" s="4"/>
      <c r="F401" s="4"/>
      <c r="G401" s="28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81"/>
      <c r="AG401" s="81"/>
      <c r="AH401" s="81"/>
      <c r="AI401" s="81"/>
      <c r="AJ401" s="81"/>
      <c r="AK401" s="81"/>
      <c r="AL401" s="81"/>
      <c r="AM401" s="43">
        <v>385</v>
      </c>
      <c r="AN401">
        <v>49.570828602018651</v>
      </c>
      <c r="AO401">
        <v>1.2293511977944396</v>
      </c>
      <c r="AP401">
        <v>12.716667464108506</v>
      </c>
      <c r="AQ401">
        <v>9.3802010491301413</v>
      </c>
      <c r="AR401">
        <v>1.1256312243935462</v>
      </c>
      <c r="AS401">
        <v>3.80092617577011</v>
      </c>
      <c r="AT401" t="e">
        <v>#DIV/0!</v>
      </c>
      <c r="AU401" t="e">
        <v>#DIV/0!</v>
      </c>
      <c r="AV401"/>
      <c r="AW401"/>
      <c r="FY401" s="211">
        <v>396</v>
      </c>
      <c r="FZ401">
        <v>1.2510680643081256</v>
      </c>
      <c r="GA401">
        <v>1.8139093837142546</v>
      </c>
      <c r="GB401">
        <v>0.75872810431100024</v>
      </c>
      <c r="GC401">
        <v>0.3895159540541932</v>
      </c>
      <c r="GD401">
        <v>0.13547717222926178</v>
      </c>
      <c r="GE401">
        <v>0.19367432723294997</v>
      </c>
      <c r="GF401">
        <v>0.28141922272609687</v>
      </c>
      <c r="GG401">
        <v>0.18920630708545313</v>
      </c>
      <c r="GH401">
        <v>8.9508689212329934E-2</v>
      </c>
      <c r="GI401">
        <v>0.51238754835321199</v>
      </c>
      <c r="GJ401"/>
      <c r="GK401">
        <v>1.2468299632352939</v>
      </c>
      <c r="GL401">
        <v>1.5278104319852941</v>
      </c>
      <c r="GM401">
        <v>1.2456821732954544</v>
      </c>
      <c r="GN401">
        <v>1.1435244724025972</v>
      </c>
      <c r="GO401">
        <v>0.5154790178571429</v>
      </c>
      <c r="GP401">
        <v>0.36365625000000001</v>
      </c>
      <c r="GQ401">
        <v>0.33965624999999999</v>
      </c>
      <c r="GR401">
        <v>0.26348958333333333</v>
      </c>
      <c r="GS401">
        <v>9.465845352564102E-2</v>
      </c>
      <c r="GT401">
        <v>0.68846117158270648</v>
      </c>
      <c r="GU401"/>
      <c r="GV401"/>
      <c r="GW401"/>
      <c r="GX401"/>
      <c r="GY401"/>
      <c r="GZ401"/>
      <c r="HA401"/>
      <c r="HB401"/>
      <c r="HC401"/>
    </row>
    <row r="402" spans="1:211" s="7" customFormat="1">
      <c r="A402" s="4"/>
      <c r="B402" s="4"/>
      <c r="C402" s="83"/>
      <c r="D402" s="83"/>
      <c r="E402" s="4"/>
      <c r="F402" s="4"/>
      <c r="G402" s="28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81"/>
      <c r="AG402" s="81"/>
      <c r="AH402" s="81"/>
      <c r="AI402" s="81"/>
      <c r="AJ402" s="81"/>
      <c r="AK402" s="81"/>
      <c r="AL402" s="81"/>
      <c r="AM402" s="43">
        <v>386</v>
      </c>
      <c r="AN402">
        <v>56.846823134447014</v>
      </c>
      <c r="AO402">
        <v>1.3740281046100504</v>
      </c>
      <c r="AP402">
        <v>1.2017005392234883</v>
      </c>
      <c r="AQ402">
        <v>11.520214716163077</v>
      </c>
      <c r="AR402">
        <v>1.278093731463682</v>
      </c>
      <c r="AS402">
        <v>4.531872050918655</v>
      </c>
      <c r="AT402" t="e">
        <v>#DIV/0!</v>
      </c>
      <c r="AU402" t="e">
        <v>#DIV/0!</v>
      </c>
      <c r="AV402"/>
      <c r="AW402"/>
      <c r="FY402" s="211">
        <v>397</v>
      </c>
      <c r="FZ402">
        <v>1.1512283314724832</v>
      </c>
      <c r="GA402">
        <v>1.859658126447258</v>
      </c>
      <c r="GB402">
        <v>0.55293524908936875</v>
      </c>
      <c r="GC402">
        <v>0.20280987098038061</v>
      </c>
      <c r="GD402">
        <v>0.13499035809715931</v>
      </c>
      <c r="GE402">
        <v>0.13195459564267498</v>
      </c>
      <c r="GF402">
        <v>0.15986193049181252</v>
      </c>
      <c r="GG402">
        <v>0.13862439864731252</v>
      </c>
      <c r="GH402">
        <v>2.2985735835423678E-2</v>
      </c>
      <c r="GI402">
        <v>0.4146867560408084</v>
      </c>
      <c r="GJ402"/>
      <c r="GK402">
        <v>1.1474080882352939</v>
      </c>
      <c r="GL402">
        <v>1.5664471507352939</v>
      </c>
      <c r="GM402">
        <v>0.90728125000000004</v>
      </c>
      <c r="GN402">
        <v>0.5946712053571428</v>
      </c>
      <c r="GO402">
        <v>0.51372589285714287</v>
      </c>
      <c r="GP402">
        <v>0.24792187499999999</v>
      </c>
      <c r="GQ402">
        <v>0.19312499999999999</v>
      </c>
      <c r="GR402">
        <v>0.19312499999999999</v>
      </c>
      <c r="GS402">
        <v>2.4293870192307693E-2</v>
      </c>
      <c r="GT402">
        <v>0.55716682025694886</v>
      </c>
      <c r="GU402"/>
      <c r="GV402"/>
      <c r="GW402"/>
      <c r="GX402"/>
      <c r="GY402"/>
      <c r="GZ402"/>
      <c r="HA402"/>
      <c r="HB402"/>
      <c r="HC402"/>
    </row>
    <row r="403" spans="1:211" s="7" customFormat="1">
      <c r="A403" s="96"/>
      <c r="B403" s="13" t="s">
        <v>21</v>
      </c>
      <c r="C403" s="21" t="s">
        <v>72</v>
      </c>
      <c r="D403" s="21" t="s">
        <v>73</v>
      </c>
      <c r="E403" s="21" t="s">
        <v>74</v>
      </c>
      <c r="F403" s="10" t="s">
        <v>70</v>
      </c>
      <c r="G403" s="10" t="s">
        <v>71</v>
      </c>
      <c r="H403" s="10" t="s">
        <v>133</v>
      </c>
      <c r="I403" s="13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3">
        <v>387</v>
      </c>
      <c r="AN403">
        <v>44.995002723311543</v>
      </c>
      <c r="AO403">
        <v>1.1165249252450982</v>
      </c>
      <c r="AP403">
        <v>1.9729023562960719</v>
      </c>
      <c r="AQ403">
        <v>7.0795204753635952</v>
      </c>
      <c r="AR403">
        <v>1.0476220911319074</v>
      </c>
      <c r="AS403">
        <v>3.7292333446663961</v>
      </c>
      <c r="AT403" t="e">
        <v>#DIV/0!</v>
      </c>
      <c r="AU403" t="e">
        <v>#DIV/0!</v>
      </c>
      <c r="AV403"/>
      <c r="AW403"/>
      <c r="FY403" s="211">
        <v>398</v>
      </c>
      <c r="FZ403">
        <v>0.95864645159264272</v>
      </c>
      <c r="GA403">
        <v>1.1718209384441955</v>
      </c>
      <c r="GB403">
        <v>2.0176424025941877</v>
      </c>
      <c r="GC403">
        <v>1.2855385810900521</v>
      </c>
      <c r="GD403">
        <v>0.23355269578509746</v>
      </c>
      <c r="GE403">
        <v>0.10979074220377499</v>
      </c>
      <c r="GF403">
        <v>0.5344786465355188</v>
      </c>
      <c r="GG403">
        <v>0.47874846122576609</v>
      </c>
      <c r="GH403">
        <v>6.6522953376906252E-2</v>
      </c>
      <c r="GI403">
        <v>0.87400920501007362</v>
      </c>
      <c r="GJ403"/>
      <c r="GK403">
        <v>0.955501838235294</v>
      </c>
      <c r="GL403">
        <v>0.98707215073529397</v>
      </c>
      <c r="GM403">
        <v>3.3130973011363629</v>
      </c>
      <c r="GN403">
        <v>3.7735082386363628</v>
      </c>
      <c r="GO403">
        <v>0.88849687499999996</v>
      </c>
      <c r="GP403">
        <v>0.20629687499999999</v>
      </c>
      <c r="GQ403">
        <v>0.64475135869565214</v>
      </c>
      <c r="GR403">
        <v>0.66627219202898535</v>
      </c>
      <c r="GS403">
        <v>7.0364583333333328E-2</v>
      </c>
      <c r="GT403">
        <v>1.1744423912801283</v>
      </c>
      <c r="GU403"/>
      <c r="GV403"/>
      <c r="GW403"/>
      <c r="GX403"/>
      <c r="GY403"/>
      <c r="GZ403"/>
      <c r="HA403"/>
      <c r="HB403"/>
      <c r="HC403"/>
    </row>
    <row r="404" spans="1:211" s="7" customFormat="1">
      <c r="A404" s="9" t="s">
        <v>75</v>
      </c>
      <c r="B404" s="13"/>
      <c r="C404" s="21"/>
      <c r="D404" s="21"/>
      <c r="E404" s="21"/>
      <c r="F404" s="10"/>
      <c r="G404" s="10"/>
      <c r="H404" s="10" t="s">
        <v>132</v>
      </c>
      <c r="I404" s="13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3">
        <v>388</v>
      </c>
      <c r="AN404">
        <v>33.681708408930277</v>
      </c>
      <c r="AO404">
        <v>0.69995180108121846</v>
      </c>
      <c r="AP404">
        <v>4.3311952972147605</v>
      </c>
      <c r="AQ404">
        <v>5.1971379055836771</v>
      </c>
      <c r="AR404">
        <v>0.64939483009131738</v>
      </c>
      <c r="AS404">
        <v>2.7090700545904203</v>
      </c>
      <c r="AT404" t="e">
        <v>#DIV/0!</v>
      </c>
      <c r="AU404" t="e">
        <v>#DIV/0!</v>
      </c>
      <c r="AV404"/>
      <c r="AW404"/>
      <c r="FY404" s="211">
        <v>399</v>
      </c>
      <c r="FZ404">
        <v>1.0966798019706583</v>
      </c>
      <c r="GA404">
        <v>1.8719221922329279</v>
      </c>
      <c r="GB404">
        <v>1.3098658859299441</v>
      </c>
      <c r="GC404">
        <v>0.57810092965762316</v>
      </c>
      <c r="GD404">
        <v>0.11777420382373928</v>
      </c>
      <c r="GE404">
        <v>0.12129816768457499</v>
      </c>
      <c r="GF404">
        <v>0.86857626516779707</v>
      </c>
      <c r="GG404">
        <v>0.76829061536607923</v>
      </c>
      <c r="GH404">
        <v>6.6522953376906252E-2</v>
      </c>
      <c r="GI404">
        <v>0.7159878694582793</v>
      </c>
      <c r="GJ404"/>
      <c r="GK404">
        <v>1.0930330882352939</v>
      </c>
      <c r="GL404">
        <v>1.576888556985294</v>
      </c>
      <c r="GM404">
        <v>2.1504321732954548</v>
      </c>
      <c r="GN404">
        <v>1.6970119724025974</v>
      </c>
      <c r="GO404">
        <v>0.44870089285714287</v>
      </c>
      <c r="GP404">
        <v>0.22804687499999998</v>
      </c>
      <c r="GQ404">
        <v>1.0475339673913044</v>
      </c>
      <c r="GR404">
        <v>1.0690548007246377</v>
      </c>
      <c r="GS404">
        <v>7.0364583333333328E-2</v>
      </c>
      <c r="GT404">
        <v>0.96201294102250579</v>
      </c>
      <c r="GU404"/>
      <c r="GV404"/>
      <c r="GW404"/>
      <c r="GX404"/>
      <c r="GY404"/>
      <c r="GZ404"/>
      <c r="HA404"/>
      <c r="HB404"/>
      <c r="HC404"/>
    </row>
    <row r="405" spans="1:211" s="7" customFormat="1">
      <c r="A405" s="188">
        <v>13.69</v>
      </c>
      <c r="B405" s="71">
        <f t="shared" ref="B405:B414" si="379">+C4</f>
        <v>39646</v>
      </c>
      <c r="C405" s="61">
        <v>0</v>
      </c>
      <c r="D405" s="61">
        <f t="shared" ref="D405:D414" si="380">IF(C373&lt;0.0001, 0, (G70*0.5)+(H70*1)+(I70*2)+(J70*3)+(K70*4)+(L70*5)+(M70*6)+(N70*7)+(O70*8)+(P70*9)+(Q70*10)+(R70*11)+(S70*12)+(T70*13)+(U70*14)+(V70*15)+(W70*16)+(X70*17)+(Y70*18)+(Z70*19)+(AA70*20)+(AB70*21)+(AC70*22)+(AD70*23)+(AE70*24)+(AF70*25)+(AG70*26)+(AH70*27)+(AI70*28)+(AJ70*29)+(AK70*30))/(SUM(G70:AI70))</f>
        <v>2</v>
      </c>
      <c r="E405" s="108">
        <f t="shared" ref="E405:E414" si="381">IF(D405=0,0.00000001,(1-$A$43/100)*($A$39*(D405^($A$41))))</f>
        <v>2.0936520722287327E-2</v>
      </c>
      <c r="F405" s="19"/>
      <c r="G405" s="19"/>
      <c r="H405" s="19"/>
      <c r="I405" s="13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3">
        <v>389</v>
      </c>
      <c r="AN405">
        <v>38.029393594115461</v>
      </c>
      <c r="AO405">
        <v>0.83058921774788497</v>
      </c>
      <c r="AP405">
        <v>0.81744352506323981</v>
      </c>
      <c r="AQ405">
        <v>6.0281450166048476</v>
      </c>
      <c r="AR405">
        <v>0.78626691342465072</v>
      </c>
      <c r="AS405">
        <v>3.1631809677718459</v>
      </c>
      <c r="AT405" t="e">
        <v>#DIV/0!</v>
      </c>
      <c r="AU405" t="e">
        <v>#DIV/0!</v>
      </c>
      <c r="AV405"/>
      <c r="AW405"/>
      <c r="FY405" s="211">
        <v>400</v>
      </c>
      <c r="FZ405">
        <v>1.492759627996084</v>
      </c>
      <c r="GA405">
        <v>2.3401392077678436</v>
      </c>
      <c r="GB405">
        <v>0.48875672965912037</v>
      </c>
      <c r="GC405">
        <v>0.17253442516911374</v>
      </c>
      <c r="GD405">
        <v>0.20463520711433142</v>
      </c>
      <c r="GE405">
        <v>0.19736370224302502</v>
      </c>
      <c r="GF405">
        <v>1.5772905998437816</v>
      </c>
      <c r="GG405">
        <v>1.3979568320848459</v>
      </c>
      <c r="GH405">
        <v>0.15603164258923619</v>
      </c>
      <c r="GI405">
        <v>0.76467066703452491</v>
      </c>
      <c r="GJ405"/>
      <c r="GK405">
        <v>1.4875893382352938</v>
      </c>
      <c r="GL405">
        <v>1.9708237132352937</v>
      </c>
      <c r="GM405">
        <v>0.80198437500000008</v>
      </c>
      <c r="GN405">
        <v>0.50540758928571428</v>
      </c>
      <c r="GO405">
        <v>0.77873571428571431</v>
      </c>
      <c r="GP405">
        <v>0.37101562500000002</v>
      </c>
      <c r="GQ405">
        <v>1.9019429347826085</v>
      </c>
      <c r="GR405">
        <v>1.9449846014492751</v>
      </c>
      <c r="GS405">
        <v>0.16502303685897435</v>
      </c>
      <c r="GT405">
        <v>1.0270550798325182</v>
      </c>
      <c r="GU405"/>
      <c r="GV405"/>
      <c r="GW405"/>
      <c r="GX405"/>
      <c r="GY405"/>
      <c r="GZ405"/>
      <c r="HA405"/>
      <c r="HB405"/>
      <c r="HC405"/>
    </row>
    <row r="406" spans="1:211" s="7" customFormat="1">
      <c r="A406" s="188">
        <v>9.4499999999999993</v>
      </c>
      <c r="B406" s="71">
        <f t="shared" si="379"/>
        <v>39673</v>
      </c>
      <c r="C406" s="61">
        <f>B406-B405</f>
        <v>27</v>
      </c>
      <c r="D406" s="61">
        <f t="shared" si="380"/>
        <v>1.3126527709879561</v>
      </c>
      <c r="E406" s="108">
        <f t="shared" si="381"/>
        <v>2.090216534078668E-2</v>
      </c>
      <c r="F406" s="19">
        <f t="shared" ref="F406:F414" si="382">IF(C374&lt;1,0,LN(E406/E405)/E21)</f>
        <v>-6.0825133042076272E-5</v>
      </c>
      <c r="G406" s="19">
        <f t="shared" ref="G406:G414" si="383">IF(D406=0, 0, 0.051-(0.068*LN(D406))+(0.006*A406))</f>
        <v>8.9200592815579127E-2</v>
      </c>
      <c r="H406" s="19">
        <f t="shared" ref="H406:H414" si="384">+IF((G406&gt;0),G406,0)</f>
        <v>8.9200592815579127E-2</v>
      </c>
      <c r="I406" s="13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3">
        <v>390</v>
      </c>
      <c r="AN406">
        <v>35.136280168189529</v>
      </c>
      <c r="AO406">
        <v>0.71963521253955176</v>
      </c>
      <c r="AP406">
        <v>7.9622984359202977</v>
      </c>
      <c r="AQ406">
        <v>5.2866869065661497</v>
      </c>
      <c r="AR406">
        <v>0.66728884050798409</v>
      </c>
      <c r="AS406">
        <v>2.7908526785088066</v>
      </c>
      <c r="AT406" t="e">
        <v>#DIV/0!</v>
      </c>
      <c r="AU406" t="e">
        <v>#DIV/0!</v>
      </c>
      <c r="AV406"/>
      <c r="AW406"/>
      <c r="FY406" s="211">
        <v>401</v>
      </c>
      <c r="FZ406">
        <v>0.92959210543825721</v>
      </c>
      <c r="GA406">
        <v>1.23095900501766</v>
      </c>
      <c r="GB406">
        <v>0.34055232764115234</v>
      </c>
      <c r="GC406">
        <v>0.18064916836464312</v>
      </c>
      <c r="GD406">
        <v>9.6509386074532494E-2</v>
      </c>
      <c r="GE406">
        <v>0.11460862901025</v>
      </c>
      <c r="GF406">
        <v>0.37461671604370633</v>
      </c>
      <c r="GG406">
        <v>0.28954215414031298</v>
      </c>
      <c r="GH406">
        <v>2.2985735835423678E-2</v>
      </c>
      <c r="GI406">
        <v>0.34667685936009984</v>
      </c>
      <c r="GJ406"/>
      <c r="GK406">
        <v>0.92642058823529405</v>
      </c>
      <c r="GL406">
        <v>1.036811213235294</v>
      </c>
      <c r="GM406">
        <v>0.55878906250000004</v>
      </c>
      <c r="GN406">
        <v>0.52978281249999992</v>
      </c>
      <c r="GO406">
        <v>0.36741562500000002</v>
      </c>
      <c r="GP406">
        <v>0.21534375</v>
      </c>
      <c r="GQ406">
        <v>0.45162635869565215</v>
      </c>
      <c r="GR406">
        <v>0.40278260869565213</v>
      </c>
      <c r="GS406">
        <v>2.4293870192307693E-2</v>
      </c>
      <c r="GT406">
        <v>0.46570910092465079</v>
      </c>
      <c r="GU406"/>
      <c r="GV406"/>
      <c r="GW406"/>
      <c r="GX406"/>
      <c r="GY406"/>
      <c r="GZ406"/>
      <c r="HA406"/>
      <c r="HB406"/>
      <c r="HC406"/>
    </row>
    <row r="407" spans="1:211" s="7" customFormat="1">
      <c r="A407" s="188">
        <v>4.03</v>
      </c>
      <c r="B407" s="71">
        <f t="shared" si="379"/>
        <v>39714</v>
      </c>
      <c r="C407" s="61">
        <f>B407-$B$405</f>
        <v>68</v>
      </c>
      <c r="D407" s="61">
        <f t="shared" si="380"/>
        <v>1.4736842105263157</v>
      </c>
      <c r="E407" s="108">
        <f t="shared" si="381"/>
        <v>2.0911600411121462E-2</v>
      </c>
      <c r="F407" s="19">
        <f t="shared" si="382"/>
        <v>1.1007077046015418E-5</v>
      </c>
      <c r="G407" s="19">
        <f t="shared" si="383"/>
        <v>4.8811943891404086E-2</v>
      </c>
      <c r="H407" s="19">
        <f t="shared" si="384"/>
        <v>4.8811943891404086E-2</v>
      </c>
      <c r="I407" s="13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3">
        <v>391</v>
      </c>
      <c r="AN407">
        <v>44.955861928104575</v>
      </c>
      <c r="AO407">
        <v>1.0407649025735295</v>
      </c>
      <c r="AP407">
        <v>0.75081126670027831</v>
      </c>
      <c r="AQ407">
        <v>7.9029687417723782</v>
      </c>
      <c r="AR407">
        <v>0.9606385477941175</v>
      </c>
      <c r="AS407">
        <v>3.6241645685746997</v>
      </c>
      <c r="AT407" t="e">
        <v>#DIV/0!</v>
      </c>
      <c r="AU407" t="e">
        <v>#DIV/0!</v>
      </c>
      <c r="AV407"/>
      <c r="AW407"/>
      <c r="FY407" s="211">
        <v>402</v>
      </c>
      <c r="FZ407">
        <v>0.24890720425942214</v>
      </c>
      <c r="GA407">
        <v>0.35313619489251058</v>
      </c>
      <c r="GB407">
        <v>0.38754070640717686</v>
      </c>
      <c r="GC407">
        <v>0.42852930035545872</v>
      </c>
      <c r="GD407">
        <v>0.23740173567533246</v>
      </c>
      <c r="GE407">
        <v>8.1904075710074992E-2</v>
      </c>
      <c r="GF407">
        <v>0.15986193049181252</v>
      </c>
      <c r="GG407">
        <v>0.23978821552359375</v>
      </c>
      <c r="GH407">
        <v>0.1330459067538125</v>
      </c>
      <c r="GI407">
        <v>0.31578191167912528</v>
      </c>
      <c r="GJ407"/>
      <c r="GK407">
        <v>0.24799687499999998</v>
      </c>
      <c r="GL407">
        <v>0.29722734374999998</v>
      </c>
      <c r="GM407">
        <v>0.63587109374999995</v>
      </c>
      <c r="GN407">
        <v>1.2560718749999997</v>
      </c>
      <c r="GO407">
        <v>0.90291562499999989</v>
      </c>
      <c r="GP407">
        <v>0.153796875</v>
      </c>
      <c r="GQ407">
        <v>0.19312499999999999</v>
      </c>
      <c r="GR407">
        <v>0.33385416666666667</v>
      </c>
      <c r="GS407">
        <v>0.14072916666666666</v>
      </c>
      <c r="GT407">
        <v>0.4241275520833333</v>
      </c>
      <c r="GU407"/>
      <c r="GV407"/>
      <c r="GW407"/>
      <c r="GX407"/>
      <c r="GY407"/>
      <c r="GZ407"/>
      <c r="HA407"/>
      <c r="HB407"/>
      <c r="HC407"/>
    </row>
    <row r="408" spans="1:211" s="7" customFormat="1">
      <c r="A408" s="188">
        <v>0.78</v>
      </c>
      <c r="B408" s="71">
        <f t="shared" si="379"/>
        <v>39747</v>
      </c>
      <c r="C408" s="61">
        <f t="shared" ref="C408:C414" si="385">B408-$B$405</f>
        <v>101</v>
      </c>
      <c r="D408" s="61">
        <f t="shared" si="380"/>
        <v>1.2560975609756098</v>
      </c>
      <c r="E408" s="108">
        <f t="shared" si="381"/>
        <v>2.0898575547043306E-2</v>
      </c>
      <c r="F408" s="19">
        <f t="shared" si="382"/>
        <v>-1.8880229732400941E-5</v>
      </c>
      <c r="G408" s="19">
        <f t="shared" si="383"/>
        <v>4.0175337614353976E-2</v>
      </c>
      <c r="H408" s="19">
        <f t="shared" si="384"/>
        <v>4.0175337614353976E-2</v>
      </c>
      <c r="I408" s="13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3">
        <v>392</v>
      </c>
      <c r="AN408">
        <v>41.706074406258224</v>
      </c>
      <c r="AO408">
        <v>0.88353633653172792</v>
      </c>
      <c r="AP408">
        <v>4.2411546059602667</v>
      </c>
      <c r="AQ408">
        <v>5.9781824702945947</v>
      </c>
      <c r="AR408">
        <v>0.84747566870017244</v>
      </c>
      <c r="AS408">
        <v>3.7013240951248094</v>
      </c>
      <c r="AT408" t="e">
        <v>#DIV/0!</v>
      </c>
      <c r="AU408" t="e">
        <v>#DIV/0!</v>
      </c>
      <c r="AV408"/>
      <c r="AW408"/>
      <c r="FY408" s="211">
        <v>403</v>
      </c>
      <c r="FZ408">
        <v>0.20893919026918778</v>
      </c>
      <c r="GA408">
        <v>0.87110448442230903</v>
      </c>
      <c r="GB408">
        <v>0.5448729370576465</v>
      </c>
      <c r="GC408">
        <v>0.38140043784215927</v>
      </c>
      <c r="GD408">
        <v>0.22638569404438924</v>
      </c>
      <c r="GE408">
        <v>3.8543094451799993E-2</v>
      </c>
      <c r="GF408">
        <v>0.33409761863227821</v>
      </c>
      <c r="GG408">
        <v>0.28954215414031298</v>
      </c>
      <c r="GH408">
        <v>0</v>
      </c>
      <c r="GI408">
        <v>0.35234908029207684</v>
      </c>
      <c r="GJ408"/>
      <c r="GK408">
        <v>0.20815312499999999</v>
      </c>
      <c r="GL408">
        <v>0.73368046875000004</v>
      </c>
      <c r="GM408">
        <v>0.89423828125000004</v>
      </c>
      <c r="GN408">
        <v>1.1175055803571428</v>
      </c>
      <c r="GO408">
        <v>0.86101339285714273</v>
      </c>
      <c r="GP408">
        <v>7.2374999999999995E-2</v>
      </c>
      <c r="GQ408">
        <v>0.40278260869565213</v>
      </c>
      <c r="GR408">
        <v>0.40278260869565213</v>
      </c>
      <c r="GS408">
        <v>0</v>
      </c>
      <c r="GT408">
        <v>0.47323748156055895</v>
      </c>
      <c r="GU408"/>
      <c r="GV408"/>
      <c r="GW408"/>
      <c r="GX408"/>
      <c r="GY408"/>
      <c r="GZ408"/>
      <c r="HA408"/>
      <c r="HB408"/>
      <c r="HC408"/>
    </row>
    <row r="409" spans="1:211" s="7" customFormat="1">
      <c r="A409" s="188">
        <v>0.14000000000000001</v>
      </c>
      <c r="B409" s="71">
        <f t="shared" si="379"/>
        <v>39775</v>
      </c>
      <c r="C409" s="61">
        <f t="shared" si="385"/>
        <v>129</v>
      </c>
      <c r="D409" s="61">
        <f t="shared" si="380"/>
        <v>0.97151692708333348</v>
      </c>
      <c r="E409" s="108">
        <f t="shared" si="381"/>
        <v>2.0877647025743889E-2</v>
      </c>
      <c r="F409" s="19">
        <f t="shared" si="382"/>
        <v>-3.5783381347661226E-5</v>
      </c>
      <c r="G409" s="19">
        <f t="shared" si="383"/>
        <v>5.3804967892802348E-2</v>
      </c>
      <c r="H409" s="19">
        <f t="shared" si="384"/>
        <v>5.3804967892802348E-2</v>
      </c>
      <c r="I409" s="13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3">
        <v>393</v>
      </c>
      <c r="AN409">
        <v>46.354299419972371</v>
      </c>
      <c r="AO409">
        <v>0.92850283194301952</v>
      </c>
      <c r="AP409">
        <v>0.40644992851941136</v>
      </c>
      <c r="AQ409">
        <v>6.7265395894770608</v>
      </c>
      <c r="AR409">
        <v>0.86803497178386391</v>
      </c>
      <c r="AS409">
        <v>3.9680215222211785</v>
      </c>
      <c r="AT409">
        <v>0.74898211557045613</v>
      </c>
      <c r="AU409">
        <v>0.1866712898297847</v>
      </c>
      <c r="AV409"/>
      <c r="AW409"/>
      <c r="FY409" s="211">
        <v>404</v>
      </c>
      <c r="FZ409">
        <v>2.0262719074089159</v>
      </c>
      <c r="GA409">
        <v>2.6161691693296909</v>
      </c>
      <c r="GB409">
        <v>0.88616945180544238</v>
      </c>
      <c r="GC409">
        <v>0.76534889188522193</v>
      </c>
      <c r="GD409">
        <v>0.39151880639223746</v>
      </c>
      <c r="GE409">
        <v>0.10979074220377499</v>
      </c>
      <c r="GF409">
        <v>0.69434057702733132</v>
      </c>
      <c r="GG409">
        <v>0.66795476831121925</v>
      </c>
      <c r="GH409">
        <v>0.17901737842465987</v>
      </c>
      <c r="GI409">
        <v>0.89176934078195924</v>
      </c>
      <c r="GJ409"/>
      <c r="GK409">
        <v>2.0194536764705884</v>
      </c>
      <c r="GL409">
        <v>2.2033325827205883</v>
      </c>
      <c r="GM409">
        <v>1.4536835937499999</v>
      </c>
      <c r="GN409">
        <v>2.2429296875000002</v>
      </c>
      <c r="GO409">
        <v>1.489171875</v>
      </c>
      <c r="GP409">
        <v>0.20629687499999999</v>
      </c>
      <c r="GQ409">
        <v>0.83787635869565202</v>
      </c>
      <c r="GR409">
        <v>0.92976177536231885</v>
      </c>
      <c r="GS409">
        <v>0.18931690705128204</v>
      </c>
      <c r="GT409">
        <v>1.1979004821935044</v>
      </c>
      <c r="GU409"/>
      <c r="GV409"/>
      <c r="GW409"/>
      <c r="GX409"/>
      <c r="GY409"/>
      <c r="GZ409"/>
      <c r="HA409"/>
      <c r="HB409"/>
      <c r="HC409"/>
    </row>
    <row r="410" spans="1:211" s="7" customFormat="1">
      <c r="A410" s="188">
        <v>0.21</v>
      </c>
      <c r="B410" s="71">
        <f t="shared" si="379"/>
        <v>39799</v>
      </c>
      <c r="C410" s="61">
        <f t="shared" si="385"/>
        <v>153</v>
      </c>
      <c r="D410" s="61">
        <f t="shared" si="380"/>
        <v>1.2857142857142856</v>
      </c>
      <c r="E410" s="108">
        <f t="shared" si="381"/>
        <v>2.0900475068961144E-2</v>
      </c>
      <c r="F410" s="19">
        <f t="shared" si="382"/>
        <v>4.5534289927704174E-5</v>
      </c>
      <c r="G410" s="19">
        <f t="shared" si="383"/>
        <v>3.5170618876898388E-2</v>
      </c>
      <c r="H410" s="19">
        <f t="shared" si="384"/>
        <v>3.5170618876898388E-2</v>
      </c>
      <c r="I410" s="13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3">
        <v>394</v>
      </c>
      <c r="AN410">
        <v>29.296890870803917</v>
      </c>
      <c r="AO410">
        <v>0.58922954250278692</v>
      </c>
      <c r="AP410">
        <v>0.60241270392521984</v>
      </c>
      <c r="AQ410">
        <v>4.0948721991133734</v>
      </c>
      <c r="AR410">
        <v>0.57771550411092543</v>
      </c>
      <c r="AS410">
        <v>2.8322622572967262</v>
      </c>
      <c r="AT410">
        <v>0.48731281439014351</v>
      </c>
      <c r="AU410">
        <v>0.40463026033612026</v>
      </c>
      <c r="AV410"/>
      <c r="AW410"/>
      <c r="FY410" s="211">
        <v>405</v>
      </c>
      <c r="FZ410">
        <v>1.4195072758251883</v>
      </c>
      <c r="GA410">
        <v>2.6000130234939132</v>
      </c>
      <c r="GB410">
        <v>0.96013568598645582</v>
      </c>
      <c r="GC410">
        <v>0.32275302647793191</v>
      </c>
      <c r="GD410">
        <v>0.13410653689424248</v>
      </c>
      <c r="GE410">
        <v>0.19838435658817499</v>
      </c>
      <c r="GF410">
        <v>0.70871433467598444</v>
      </c>
      <c r="GG410">
        <v>0.62966621671876666</v>
      </c>
      <c r="GH410">
        <v>0.13548016088317727</v>
      </c>
      <c r="GI410">
        <v>0.66970618304949237</v>
      </c>
      <c r="GJ410"/>
      <c r="GK410">
        <v>1.4147849264705878</v>
      </c>
      <c r="GL410">
        <v>2.1899685202205879</v>
      </c>
      <c r="GM410">
        <v>1.57545703125</v>
      </c>
      <c r="GN410">
        <v>0.94684218750000004</v>
      </c>
      <c r="GO410">
        <v>0.51036562499999993</v>
      </c>
      <c r="GP410">
        <v>0.37279687500000003</v>
      </c>
      <c r="GQ410">
        <v>0.85440896739130423</v>
      </c>
      <c r="GR410">
        <v>0.87592980072463755</v>
      </c>
      <c r="GS410">
        <v>0.14324619391025639</v>
      </c>
      <c r="GT410">
        <v>0.89965254880442969</v>
      </c>
      <c r="GU410"/>
      <c r="GV410"/>
      <c r="GW410"/>
      <c r="GX410"/>
      <c r="GY410"/>
      <c r="GZ410"/>
      <c r="HA410"/>
      <c r="HB410"/>
      <c r="HC410"/>
    </row>
    <row r="411" spans="1:211" s="7" customFormat="1">
      <c r="A411" s="188">
        <v>1.28</v>
      </c>
      <c r="B411" s="71">
        <f>+C10</f>
        <v>39847</v>
      </c>
      <c r="C411" s="61">
        <f t="shared" si="385"/>
        <v>201</v>
      </c>
      <c r="D411" s="61">
        <f t="shared" si="380"/>
        <v>0.91666666666666674</v>
      </c>
      <c r="E411" s="108">
        <f t="shared" si="381"/>
        <v>2.0872915691627046E-2</v>
      </c>
      <c r="F411" s="19">
        <f t="shared" si="382"/>
        <v>-2.7488971678225113E-5</v>
      </c>
      <c r="G411" s="19">
        <f t="shared" si="383"/>
        <v>6.4596773635294813E-2</v>
      </c>
      <c r="H411" s="19">
        <f t="shared" si="384"/>
        <v>6.4596773635294813E-2</v>
      </c>
      <c r="I411" s="13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3">
        <v>395</v>
      </c>
      <c r="AN411">
        <v>30.510487891737888</v>
      </c>
      <c r="AO411">
        <v>0.62368597275641025</v>
      </c>
      <c r="AP411">
        <v>0.50819004222634101</v>
      </c>
      <c r="AQ411">
        <v>4.3323840803923943</v>
      </c>
      <c r="AR411">
        <v>0.57281794070512815</v>
      </c>
      <c r="AS411">
        <v>2.4761421352098534</v>
      </c>
      <c r="AT411">
        <v>0.4900359983544616</v>
      </c>
      <c r="AU411">
        <v>-3.1738248743259236E-2</v>
      </c>
      <c r="AV411"/>
      <c r="AW411"/>
      <c r="FY411" s="211">
        <v>406</v>
      </c>
      <c r="FZ411">
        <v>1.1262948940456816</v>
      </c>
      <c r="GA411">
        <v>1.4014870048676453</v>
      </c>
      <c r="GB411">
        <v>0.20526466542769689</v>
      </c>
      <c r="GC411">
        <v>0.45160391663573252</v>
      </c>
      <c r="GD411">
        <v>0.37248586779349929</v>
      </c>
      <c r="GE411">
        <v>0.1020805491843</v>
      </c>
      <c r="GF411">
        <v>0.57499774394694703</v>
      </c>
      <c r="GG411">
        <v>0.57991227810204737</v>
      </c>
      <c r="GH411">
        <v>0.22255459596614241</v>
      </c>
      <c r="GI411">
        <v>0.56656133868006064</v>
      </c>
      <c r="GJ411"/>
      <c r="GK411">
        <v>1.1222437499999998</v>
      </c>
      <c r="GL411">
        <v>1.17999375</v>
      </c>
      <c r="GM411">
        <v>0.33665624999999999</v>
      </c>
      <c r="GN411">
        <v>1.3223383928571431</v>
      </c>
      <c r="GO411">
        <v>1.4164633928571428</v>
      </c>
      <c r="GP411">
        <v>0.1918125</v>
      </c>
      <c r="GQ411">
        <v>0.69359510869565222</v>
      </c>
      <c r="GR411">
        <v>0.80700135869565215</v>
      </c>
      <c r="GS411">
        <v>0.23538762019230769</v>
      </c>
      <c r="GT411">
        <v>0.76086922434902038</v>
      </c>
      <c r="GU411"/>
      <c r="GV411"/>
      <c r="GW411"/>
      <c r="GX411"/>
      <c r="GY411"/>
      <c r="GZ411"/>
      <c r="HA411"/>
      <c r="HB411"/>
      <c r="HC411"/>
    </row>
    <row r="412" spans="1:211" s="7" customFormat="1">
      <c r="A412" s="188">
        <v>4</v>
      </c>
      <c r="B412" s="71">
        <f t="shared" si="379"/>
        <v>39910</v>
      </c>
      <c r="C412" s="61">
        <f t="shared" si="385"/>
        <v>264</v>
      </c>
      <c r="D412" s="61">
        <f t="shared" si="380"/>
        <v>1.065118912797282</v>
      </c>
      <c r="E412" s="108">
        <f t="shared" si="381"/>
        <v>2.0885137887674397E-2</v>
      </c>
      <c r="F412" s="19">
        <f t="shared" si="382"/>
        <v>9.2917701268908948E-6</v>
      </c>
      <c r="G412" s="19">
        <f t="shared" si="383"/>
        <v>7.0710121526675496E-2</v>
      </c>
      <c r="H412" s="19">
        <f t="shared" si="384"/>
        <v>7.0710121526675496E-2</v>
      </c>
      <c r="I412" s="13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3">
        <v>396</v>
      </c>
      <c r="AN412">
        <v>30.082714490710806</v>
      </c>
      <c r="AO412">
        <v>0.74292477672174628</v>
      </c>
      <c r="AP412">
        <v>0.78441229063881379</v>
      </c>
      <c r="AQ412">
        <v>5.6148947732268777</v>
      </c>
      <c r="AR412">
        <v>0.68846117158270648</v>
      </c>
      <c r="AS412">
        <v>2.3733528870913227</v>
      </c>
      <c r="AT412">
        <v>0.48683972955555199</v>
      </c>
      <c r="AU412">
        <v>5.5173395339521453E-2</v>
      </c>
      <c r="AV412"/>
      <c r="AW412"/>
      <c r="FY412" s="211">
        <v>407</v>
      </c>
      <c r="FZ412">
        <v>1.6484304730894939</v>
      </c>
      <c r="GA412">
        <v>2.4710161814997571</v>
      </c>
      <c r="GB412">
        <v>0.69495366575122375</v>
      </c>
      <c r="GC412">
        <v>0.41171430474954496</v>
      </c>
      <c r="GD412">
        <v>0.1665610076187225</v>
      </c>
      <c r="GE412">
        <v>3.0832901432324998E-2</v>
      </c>
      <c r="GF412">
        <v>0.37461671604370633</v>
      </c>
      <c r="GG412">
        <v>0.4918697878928755</v>
      </c>
      <c r="GH412">
        <v>0.28907754934304869</v>
      </c>
      <c r="GI412">
        <v>0.62142476451728057</v>
      </c>
      <c r="GJ412"/>
      <c r="GK412">
        <v>1.6428599264705883</v>
      </c>
      <c r="GL412">
        <v>2.0813872702205884</v>
      </c>
      <c r="GM412">
        <v>1.1404023437499999</v>
      </c>
      <c r="GN412">
        <v>1.2065124999999999</v>
      </c>
      <c r="GO412">
        <v>0.63321562499999995</v>
      </c>
      <c r="GP412">
        <v>5.7890625000000001E-2</v>
      </c>
      <c r="GQ412">
        <v>0.45162635869565215</v>
      </c>
      <c r="GR412">
        <v>0.68424094202898544</v>
      </c>
      <c r="GS412">
        <v>0.30575220352564103</v>
      </c>
      <c r="GT412">
        <v>0.83477129148837614</v>
      </c>
      <c r="GU412"/>
      <c r="GV412"/>
      <c r="GW412"/>
      <c r="GX412"/>
      <c r="GY412"/>
      <c r="GZ412"/>
      <c r="HA412"/>
      <c r="HB412"/>
      <c r="HC412"/>
    </row>
    <row r="413" spans="1:211" s="7" customFormat="1">
      <c r="A413" s="189">
        <v>7.33</v>
      </c>
      <c r="B413" s="71">
        <f t="shared" si="379"/>
        <v>39949</v>
      </c>
      <c r="C413" s="61">
        <f t="shared" si="385"/>
        <v>303</v>
      </c>
      <c r="D413" s="61">
        <f t="shared" si="380"/>
        <v>1</v>
      </c>
      <c r="E413" s="108">
        <f t="shared" si="381"/>
        <v>2.0879999999999999E-2</v>
      </c>
      <c r="F413" s="19">
        <f t="shared" si="382"/>
        <v>-6.3086448137117718E-6</v>
      </c>
      <c r="G413" s="19">
        <f t="shared" si="383"/>
        <v>9.4979999999999995E-2</v>
      </c>
      <c r="H413" s="19">
        <f t="shared" si="384"/>
        <v>9.4979999999999995E-2</v>
      </c>
      <c r="I413" s="13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3">
        <v>397</v>
      </c>
      <c r="AN413">
        <v>24.029531620340443</v>
      </c>
      <c r="AO413">
        <v>0.59451661526341315</v>
      </c>
      <c r="AP413">
        <v>2.1911229137636599</v>
      </c>
      <c r="AQ413">
        <v>4.7697353527446822</v>
      </c>
      <c r="AR413">
        <v>0.55716682025694886</v>
      </c>
      <c r="AS413">
        <v>1.9900246889582329</v>
      </c>
      <c r="AT413" t="e">
        <v>#DIV/0!</v>
      </c>
      <c r="AU413" t="e">
        <v>#DIV/0!</v>
      </c>
      <c r="AV413"/>
      <c r="AW413"/>
      <c r="FY413" s="211">
        <v>408</v>
      </c>
      <c r="FZ413">
        <v>1.9881585920064859</v>
      </c>
      <c r="GA413">
        <v>2.4146254711905297</v>
      </c>
      <c r="GB413">
        <v>1.9131092707307338</v>
      </c>
      <c r="GC413">
        <v>0.98021891133042727</v>
      </c>
      <c r="GD413">
        <v>0.1149466548712243</v>
      </c>
      <c r="GE413">
        <v>0.11648028087809999</v>
      </c>
      <c r="GF413">
        <v>4.0519097411428125E-2</v>
      </c>
      <c r="GG413">
        <v>0.10116381687628125</v>
      </c>
      <c r="GH413">
        <v>0.1330459067538125</v>
      </c>
      <c r="GI413">
        <v>0.85574502552761111</v>
      </c>
      <c r="GJ413"/>
      <c r="GK413">
        <v>1.9815318014705881</v>
      </c>
      <c r="GL413">
        <v>2.033797426470588</v>
      </c>
      <c r="GM413">
        <v>3.141292613636363</v>
      </c>
      <c r="GN413">
        <v>2.8785528814935057</v>
      </c>
      <c r="GO413">
        <v>0.43780714285714284</v>
      </c>
      <c r="GP413">
        <v>0.21899999999999997</v>
      </c>
      <c r="GQ413">
        <v>4.8843750000000005E-2</v>
      </c>
      <c r="GR413">
        <v>0.14072916666666666</v>
      </c>
      <c r="GS413">
        <v>0.14072916666666666</v>
      </c>
      <c r="GT413">
        <v>1.1500408949261522</v>
      </c>
      <c r="GU413"/>
      <c r="GV413"/>
      <c r="GW413"/>
      <c r="GX413"/>
      <c r="GY413"/>
      <c r="GZ413"/>
      <c r="HA413"/>
      <c r="HB413"/>
      <c r="HC413"/>
    </row>
    <row r="414" spans="1:211" s="7" customFormat="1">
      <c r="A414" s="188">
        <v>10.51</v>
      </c>
      <c r="B414" s="71">
        <f t="shared" si="379"/>
        <v>39987</v>
      </c>
      <c r="C414" s="61">
        <f t="shared" si="385"/>
        <v>341</v>
      </c>
      <c r="D414" s="61">
        <f t="shared" si="380"/>
        <v>0.5</v>
      </c>
      <c r="E414" s="108">
        <f t="shared" si="381"/>
        <v>2.0823631862379927E-2</v>
      </c>
      <c r="F414" s="19">
        <f t="shared" si="382"/>
        <v>-7.1138789583783266E-5</v>
      </c>
      <c r="G414" s="19">
        <f t="shared" si="383"/>
        <v>0.16119400827807628</v>
      </c>
      <c r="H414" s="19">
        <f t="shared" si="384"/>
        <v>0.16119400827807628</v>
      </c>
      <c r="I414" s="13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3">
        <v>398</v>
      </c>
      <c r="AN414">
        <v>46.542632554229414</v>
      </c>
      <c r="AO414">
        <v>1.2679803804081413</v>
      </c>
      <c r="AP414">
        <v>1.5632669501946597</v>
      </c>
      <c r="AQ414">
        <v>7.7307510778582156</v>
      </c>
      <c r="AR414">
        <v>1.1744423912801283</v>
      </c>
      <c r="AS414">
        <v>4.2257997397556837</v>
      </c>
      <c r="AT414" t="e">
        <v>#DIV/0!</v>
      </c>
      <c r="AU414" t="e">
        <v>#DIV/0!</v>
      </c>
      <c r="AV414"/>
      <c r="AW414"/>
      <c r="FY414" s="211">
        <v>409</v>
      </c>
      <c r="FZ414">
        <v>1.5394113177958917</v>
      </c>
      <c r="GA414">
        <v>2.4215834818664064</v>
      </c>
      <c r="GB414">
        <v>1.0742699986549558</v>
      </c>
      <c r="GC414">
        <v>0.66186543200793257</v>
      </c>
      <c r="GD414">
        <v>0.30908296169668925</v>
      </c>
      <c r="GE414">
        <v>0.17718722876879997</v>
      </c>
      <c r="GF414">
        <v>0.82805716775636906</v>
      </c>
      <c r="GG414">
        <v>0.76829061536607923</v>
      </c>
      <c r="GH414">
        <v>6.6522953376906252E-2</v>
      </c>
      <c r="GI414">
        <v>0.82515672798945539</v>
      </c>
      <c r="GJ414"/>
      <c r="GK414">
        <v>1.5343161764705879</v>
      </c>
      <c r="GL414">
        <v>2.0397341452205882</v>
      </c>
      <c r="GM414">
        <v>1.7634399857954544</v>
      </c>
      <c r="GN414">
        <v>1.9416604099025971</v>
      </c>
      <c r="GO414">
        <v>1.1760133928571428</v>
      </c>
      <c r="GP414">
        <v>0.33299999999999996</v>
      </c>
      <c r="GQ414">
        <v>0.99869021739130437</v>
      </c>
      <c r="GR414">
        <v>1.0690548007246377</v>
      </c>
      <c r="GS414">
        <v>7.0364583333333328E-2</v>
      </c>
      <c r="GT414">
        <v>1.1085648711695646</v>
      </c>
      <c r="GU414"/>
      <c r="GV414"/>
      <c r="GW414"/>
      <c r="GX414"/>
      <c r="GY414"/>
      <c r="GZ414"/>
      <c r="HA414"/>
      <c r="HB414"/>
      <c r="HC414"/>
    </row>
    <row r="415" spans="1:211" s="7" customFormat="1">
      <c r="A415" s="188"/>
      <c r="B415" s="71"/>
      <c r="C415" s="61"/>
      <c r="D415" s="61"/>
      <c r="E415" s="108"/>
      <c r="F415" s="19"/>
      <c r="G415" s="19"/>
      <c r="H415" s="19"/>
      <c r="I415" s="13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3">
        <v>399</v>
      </c>
      <c r="AN415">
        <v>40.713551075623478</v>
      </c>
      <c r="AO415">
        <v>1.0343079851247565</v>
      </c>
      <c r="AP415">
        <v>0.6238028179308559</v>
      </c>
      <c r="AQ415">
        <v>7.51501888466853</v>
      </c>
      <c r="AR415">
        <v>0.96201294102250579</v>
      </c>
      <c r="AS415">
        <v>3.3541845908375696</v>
      </c>
      <c r="AT415" t="e">
        <v>#DIV/0!</v>
      </c>
      <c r="AU415" t="e">
        <v>#DIV/0!</v>
      </c>
      <c r="AV415"/>
      <c r="AW415"/>
      <c r="FY415" s="211">
        <v>410</v>
      </c>
      <c r="FZ415">
        <v>0.59218171764224059</v>
      </c>
      <c r="GA415">
        <v>0.98710200079640031</v>
      </c>
      <c r="GB415">
        <v>0.91316698574287136</v>
      </c>
      <c r="GC415">
        <v>0.4407065009552576</v>
      </c>
      <c r="GD415">
        <v>0.13732655348222678</v>
      </c>
      <c r="GE415">
        <v>0.20025600845602504</v>
      </c>
      <c r="GF415">
        <v>1.2026738838000754</v>
      </c>
      <c r="GG415">
        <v>1.0578327695063923</v>
      </c>
      <c r="GH415">
        <v>8.9508689212329934E-2</v>
      </c>
      <c r="GI415">
        <v>0.61891650864755898</v>
      </c>
      <c r="GJ415"/>
      <c r="GK415">
        <v>0.59015624999999994</v>
      </c>
      <c r="GL415">
        <v>0.83129296874999992</v>
      </c>
      <c r="GM415">
        <v>1.4991587357954543</v>
      </c>
      <c r="GN415">
        <v>1.293847909902597</v>
      </c>
      <c r="GO415">
        <v>0.5228102678571428</v>
      </c>
      <c r="GP415">
        <v>0.37645312500000006</v>
      </c>
      <c r="GQ415">
        <v>1.4503165760869565</v>
      </c>
      <c r="GR415">
        <v>1.47183740942029</v>
      </c>
      <c r="GS415">
        <v>9.465845352564102E-2</v>
      </c>
      <c r="GT415">
        <v>0.83142005665303897</v>
      </c>
      <c r="GU415"/>
      <c r="GV415"/>
      <c r="GW415"/>
      <c r="GX415"/>
      <c r="GY415"/>
      <c r="GZ415"/>
      <c r="HA415"/>
      <c r="HB415"/>
      <c r="HC415"/>
    </row>
    <row r="416" spans="1:211" s="7" customFormat="1">
      <c r="A416" s="188"/>
      <c r="B416" s="71"/>
      <c r="C416" s="61"/>
      <c r="D416" s="61"/>
      <c r="E416" s="108"/>
      <c r="F416" s="19"/>
      <c r="G416" s="19"/>
      <c r="H416" s="19"/>
      <c r="I416" s="13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3">
        <v>400</v>
      </c>
      <c r="AN416">
        <v>53.266446446657447</v>
      </c>
      <c r="AO416">
        <v>1.0954562007965394</v>
      </c>
      <c r="AP416">
        <v>5.6014106261116403</v>
      </c>
      <c r="AQ416">
        <v>8.7921386415019054</v>
      </c>
      <c r="AR416">
        <v>1.0270550798325182</v>
      </c>
      <c r="AS416">
        <v>4.6375147297592507</v>
      </c>
      <c r="AT416" t="e">
        <v>#DIV/0!</v>
      </c>
      <c r="AU416" t="e">
        <v>#DIV/0!</v>
      </c>
      <c r="AV416"/>
      <c r="AW416"/>
      <c r="FY416" s="211">
        <v>411</v>
      </c>
      <c r="FZ416">
        <v>1.4273238133872621</v>
      </c>
      <c r="GA416">
        <v>2.0531293866546534</v>
      </c>
      <c r="GB416">
        <v>2.0857249502224238</v>
      </c>
      <c r="GC416">
        <v>1.3199378243603583</v>
      </c>
      <c r="GD416">
        <v>0.19883808413608497</v>
      </c>
      <c r="GE416">
        <v>7.8045043877549999E-2</v>
      </c>
      <c r="GF416">
        <v>0.12155729223428439</v>
      </c>
      <c r="GG416">
        <v>0</v>
      </c>
      <c r="GH416">
        <v>2.2985735835423678E-2</v>
      </c>
      <c r="GI416">
        <v>0.85942669669508809</v>
      </c>
      <c r="GJ416"/>
      <c r="GK416">
        <v>1.422245588235294</v>
      </c>
      <c r="GL416">
        <v>1.7290659007352938</v>
      </c>
      <c r="GM416">
        <v>3.4246754261363632</v>
      </c>
      <c r="GN416">
        <v>3.8742113636363626</v>
      </c>
      <c r="GO416">
        <v>0.75635624999999984</v>
      </c>
      <c r="GP416">
        <v>0.14653125</v>
      </c>
      <c r="GQ416">
        <v>0.14653125</v>
      </c>
      <c r="GR416">
        <v>0</v>
      </c>
      <c r="GS416">
        <v>2.4293870192307693E-2</v>
      </c>
      <c r="GT416">
        <v>1.1548204769127928</v>
      </c>
      <c r="GU416"/>
      <c r="GV416"/>
      <c r="GW416"/>
      <c r="GX416"/>
      <c r="GY416"/>
      <c r="GZ416"/>
      <c r="HA416"/>
      <c r="HB416"/>
      <c r="HC416"/>
    </row>
    <row r="417" spans="1:211" s="7" customFormat="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3">
        <v>401</v>
      </c>
      <c r="AN417">
        <v>22.565851927448797</v>
      </c>
      <c r="AO417">
        <v>0.49789749899788499</v>
      </c>
      <c r="AP417">
        <v>0.32292499113980555</v>
      </c>
      <c r="AQ417">
        <v>3.9266920869260376</v>
      </c>
      <c r="AR417">
        <v>0.46570910092465079</v>
      </c>
      <c r="AS417">
        <v>1.7976745512653363</v>
      </c>
      <c r="AT417" t="e">
        <v>#DIV/0!</v>
      </c>
      <c r="AU417" t="e">
        <v>#DIV/0!</v>
      </c>
      <c r="AV417"/>
      <c r="AW417"/>
      <c r="FY417" s="211">
        <v>412</v>
      </c>
      <c r="FZ417">
        <v>0.44326348058712373</v>
      </c>
      <c r="GA417">
        <v>0.84156077143945152</v>
      </c>
      <c r="GB417">
        <v>1.2622431922414945</v>
      </c>
      <c r="GC417">
        <v>1.0904160718275289</v>
      </c>
      <c r="GD417">
        <v>0.41808994584303844</v>
      </c>
      <c r="GE417">
        <v>8.377572757792498E-2</v>
      </c>
      <c r="GF417">
        <v>0.31972386098362504</v>
      </c>
      <c r="GG417">
        <v>0.27724879729462504</v>
      </c>
      <c r="GH417">
        <v>2.2985735835423678E-2</v>
      </c>
      <c r="GI417">
        <v>0.6720972319686539</v>
      </c>
      <c r="GJ417"/>
      <c r="GK417">
        <v>0.44163749999999996</v>
      </c>
      <c r="GL417">
        <v>0.70861406249999992</v>
      </c>
      <c r="GM417">
        <v>2.0725518465909087</v>
      </c>
      <c r="GN417">
        <v>3.1981926948051944</v>
      </c>
      <c r="GO417">
        <v>1.5899142857142854</v>
      </c>
      <c r="GP417">
        <v>0.15745312499999997</v>
      </c>
      <c r="GQ417">
        <v>0.38624999999999998</v>
      </c>
      <c r="GR417">
        <v>0.38624999999999998</v>
      </c>
      <c r="GS417">
        <v>2.4293870192307693E-2</v>
      </c>
      <c r="GT417">
        <v>0.90292950049950038</v>
      </c>
      <c r="GU417"/>
      <c r="GV417"/>
      <c r="GW417"/>
      <c r="GX417"/>
      <c r="GY417"/>
      <c r="GZ417"/>
      <c r="HA417"/>
      <c r="HB417"/>
      <c r="HC417"/>
    </row>
    <row r="418" spans="1:211" s="7" customFormat="1">
      <c r="A418" s="4"/>
      <c r="B418" s="128" t="s">
        <v>141</v>
      </c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3">
        <v>402</v>
      </c>
      <c r="AN418">
        <v>22.220081018518517</v>
      </c>
      <c r="AO418">
        <v>0.45857155729166654</v>
      </c>
      <c r="AP418">
        <v>2.2755506987800569</v>
      </c>
      <c r="AQ418">
        <v>2.5858971817483201</v>
      </c>
      <c r="AR418">
        <v>0.4241275520833333</v>
      </c>
      <c r="AS418">
        <v>1.9887766115809542</v>
      </c>
      <c r="AT418" t="e">
        <v>#DIV/0!</v>
      </c>
      <c r="AU418" t="e">
        <v>#DIV/0!</v>
      </c>
      <c r="AV418"/>
      <c r="AW418"/>
      <c r="FY418" s="211">
        <v>413</v>
      </c>
      <c r="FZ418">
        <v>1.2638364307317789</v>
      </c>
      <c r="GA418">
        <v>1.6758338359867393</v>
      </c>
      <c r="GB418">
        <v>0.7232993365703273</v>
      </c>
      <c r="GC418">
        <v>0.51844383974346697</v>
      </c>
      <c r="GD418">
        <v>0.17984450181579748</v>
      </c>
      <c r="GE418">
        <v>0.10406005850340001</v>
      </c>
      <c r="GF418">
        <v>0.81589786926161567</v>
      </c>
      <c r="GG418">
        <v>0.61737285987307855</v>
      </c>
      <c r="GH418">
        <v>6.6522953376906252E-2</v>
      </c>
      <c r="GI418">
        <v>0.62311146506472737</v>
      </c>
      <c r="GJ418"/>
      <c r="GK418">
        <v>1.2595143382352938</v>
      </c>
      <c r="GL418">
        <v>1.4115768382352938</v>
      </c>
      <c r="GM418">
        <v>1.1871015625000001</v>
      </c>
      <c r="GN418">
        <v>1.5197546874999999</v>
      </c>
      <c r="GO418">
        <v>0.68393437499999998</v>
      </c>
      <c r="GP418">
        <v>0.19537500000000002</v>
      </c>
      <c r="GQ418">
        <v>0.98440760869565203</v>
      </c>
      <c r="GR418">
        <v>0.85939719202898535</v>
      </c>
      <c r="GS418">
        <v>7.0364583333333328E-2</v>
      </c>
      <c r="GT418">
        <v>0.83706449355285595</v>
      </c>
      <c r="GU418"/>
      <c r="GV418"/>
      <c r="GW418"/>
      <c r="GX418"/>
      <c r="GY418"/>
      <c r="GZ418"/>
      <c r="HA418"/>
      <c r="HB418"/>
      <c r="HC418"/>
    </row>
    <row r="419" spans="1:211" s="7" customFormat="1">
      <c r="A419" s="4"/>
      <c r="B419" s="10" t="s">
        <v>76</v>
      </c>
      <c r="C419" s="21"/>
      <c r="D419" s="13"/>
      <c r="E419" s="21"/>
      <c r="F419" s="13"/>
      <c r="G419" s="13"/>
      <c r="H419" s="94"/>
      <c r="I419" s="94"/>
      <c r="J419" s="94"/>
      <c r="K419" s="94"/>
      <c r="L419" s="94"/>
      <c r="M419" s="94"/>
      <c r="N419" s="94"/>
      <c r="O419" s="94"/>
      <c r="P419" s="94"/>
      <c r="Q419" s="94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4"/>
      <c r="AM419" s="43">
        <v>403</v>
      </c>
      <c r="AN419">
        <v>25.147307410282952</v>
      </c>
      <c r="AO419">
        <v>0.51657685471661485</v>
      </c>
      <c r="AP419">
        <v>4.2102578005037117</v>
      </c>
      <c r="AQ419">
        <v>3.2472346911521592</v>
      </c>
      <c r="AR419">
        <v>0.473237481560559</v>
      </c>
      <c r="AS419">
        <v>2.1878267903940629</v>
      </c>
      <c r="AT419" t="e">
        <v>#DIV/0!</v>
      </c>
      <c r="AU419" t="e">
        <v>#DIV/0!</v>
      </c>
      <c r="AV419"/>
      <c r="AW419"/>
      <c r="FY419" s="211">
        <v>414</v>
      </c>
      <c r="FZ419">
        <v>1.9045533179203793</v>
      </c>
      <c r="GA419">
        <v>2.4252968569500437</v>
      </c>
      <c r="GB419">
        <v>1.0331045761469202</v>
      </c>
      <c r="GC419">
        <v>0.74333647092136212</v>
      </c>
      <c r="GD419">
        <v>0.22017334194627433</v>
      </c>
      <c r="GE419">
        <v>3.0832901432324998E-2</v>
      </c>
      <c r="GF419">
        <v>1.0140644380109562</v>
      </c>
      <c r="GG419">
        <v>0.8946216571677037</v>
      </c>
      <c r="GH419">
        <v>8.9508689212329934E-2</v>
      </c>
      <c r="GI419">
        <v>0.85600949457599151</v>
      </c>
      <c r="GJ419"/>
      <c r="GK419">
        <v>1.898094301470588</v>
      </c>
      <c r="GL419">
        <v>2.0428443014705877</v>
      </c>
      <c r="GM419">
        <v>1.6960923295454546</v>
      </c>
      <c r="GN419">
        <v>2.1806338474025972</v>
      </c>
      <c r="GO419">
        <v>0.837557142857143</v>
      </c>
      <c r="GP419">
        <v>5.7890625000000001E-2</v>
      </c>
      <c r="GQ419">
        <v>1.2241263586956521</v>
      </c>
      <c r="GR419">
        <v>1.2456471920289856</v>
      </c>
      <c r="GS419">
        <v>9.465845352564102E-2</v>
      </c>
      <c r="GT419">
        <v>1.1501057172188955</v>
      </c>
      <c r="GU419"/>
      <c r="GV419"/>
      <c r="GW419"/>
      <c r="GX419"/>
      <c r="GY419"/>
      <c r="GZ419"/>
      <c r="HA419"/>
      <c r="HB419"/>
      <c r="HC419"/>
    </row>
    <row r="420" spans="1:211" s="7" customFormat="1">
      <c r="A420" s="4"/>
      <c r="B420" s="13"/>
      <c r="C420" s="13"/>
      <c r="D420" s="13"/>
      <c r="E420" s="13"/>
      <c r="F420" s="13"/>
      <c r="G420" s="13"/>
      <c r="H420" s="14"/>
      <c r="I420" s="175"/>
      <c r="J420" s="21"/>
      <c r="K420" s="94"/>
      <c r="L420" s="94"/>
      <c r="M420" s="94"/>
      <c r="N420" s="94"/>
      <c r="O420" s="94"/>
      <c r="P420" s="94"/>
      <c r="Q420" s="94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4"/>
      <c r="AM420" s="43">
        <v>404</v>
      </c>
      <c r="AN420">
        <v>59.8239467091649</v>
      </c>
      <c r="AO420">
        <v>1.2769723813743934</v>
      </c>
      <c r="AP420">
        <v>0.82779500033996289</v>
      </c>
      <c r="AQ420">
        <v>9.2283510335704548</v>
      </c>
      <c r="AR420">
        <v>1.1979004821935044</v>
      </c>
      <c r="AS420">
        <v>4.9071044751573876</v>
      </c>
      <c r="AT420">
        <v>0.97282319252443195</v>
      </c>
      <c r="AU420">
        <v>0.24082955135214187</v>
      </c>
      <c r="AV420"/>
      <c r="AW420"/>
      <c r="FY420" s="211">
        <v>415</v>
      </c>
      <c r="FZ420">
        <v>1.4672228951487769</v>
      </c>
      <c r="GA420">
        <v>2.3920713307068251</v>
      </c>
      <c r="GB420">
        <v>1.0161927127022377</v>
      </c>
      <c r="GC420">
        <v>0.65714871591711699</v>
      </c>
      <c r="GD420">
        <v>0.24956976063191783</v>
      </c>
      <c r="GE420">
        <v>9.6357736129499983E-3</v>
      </c>
      <c r="GF420">
        <v>0.66819523726455643</v>
      </c>
      <c r="GG420">
        <v>0.73083003359504783</v>
      </c>
      <c r="GH420">
        <v>0.22255459596614241</v>
      </c>
      <c r="GI420">
        <v>0.76234035241480336</v>
      </c>
      <c r="GJ420"/>
      <c r="GK420">
        <v>1.4622205882352939</v>
      </c>
      <c r="GL420">
        <v>2.0147948069852939</v>
      </c>
      <c r="GM420">
        <v>1.6680571732954543</v>
      </c>
      <c r="GN420">
        <v>1.927023133116883</v>
      </c>
      <c r="GO420">
        <v>0.94916517857142846</v>
      </c>
      <c r="GP420">
        <v>1.8093749999999999E-2</v>
      </c>
      <c r="GQ420">
        <v>0.80556521739130427</v>
      </c>
      <c r="GR420">
        <v>1.0166589673913042</v>
      </c>
      <c r="GS420">
        <v>0.23538762019230769</v>
      </c>
      <c r="GT420">
        <v>1.0240791555371578</v>
      </c>
      <c r="GU420"/>
      <c r="GV420"/>
      <c r="GW420"/>
      <c r="GX420"/>
      <c r="GY420"/>
      <c r="GZ420"/>
      <c r="HA420"/>
      <c r="HB420"/>
      <c r="HC420"/>
    </row>
    <row r="421" spans="1:211" s="7" customFormat="1">
      <c r="A421" s="4"/>
      <c r="B421" s="10" t="s">
        <v>51</v>
      </c>
      <c r="C421" s="13"/>
      <c r="D421" s="13"/>
      <c r="E421" s="13"/>
      <c r="F421" s="134"/>
      <c r="G421" s="11" t="s">
        <v>33</v>
      </c>
      <c r="H421" s="13"/>
      <c r="I421" s="14"/>
      <c r="J421" s="13"/>
      <c r="K421" s="21"/>
      <c r="L421" s="13"/>
      <c r="M421" s="14"/>
      <c r="N421" s="13"/>
      <c r="O421" s="13"/>
      <c r="P421" s="13"/>
      <c r="Q421" s="14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4"/>
      <c r="AM421" s="43">
        <v>405</v>
      </c>
      <c r="AN421">
        <v>43.926045913302133</v>
      </c>
      <c r="AO421">
        <v>0.97834526762718022</v>
      </c>
      <c r="AP421">
        <v>0.37103511465239913</v>
      </c>
      <c r="AQ421">
        <v>7.7784668005933275</v>
      </c>
      <c r="AR421">
        <v>0.89965254880442969</v>
      </c>
      <c r="AS421">
        <v>3.481361165581216</v>
      </c>
      <c r="AT421">
        <v>0.71358691466404489</v>
      </c>
      <c r="AU421">
        <v>-0.17844829837957646</v>
      </c>
      <c r="AV421"/>
      <c r="AW421"/>
      <c r="FY421" s="211">
        <v>416</v>
      </c>
      <c r="FZ421">
        <v>0.58855262260657493</v>
      </c>
      <c r="GA421">
        <v>1.3884565043709092</v>
      </c>
      <c r="GB421">
        <v>1.0484850131037209</v>
      </c>
      <c r="GC421">
        <v>0.45181719757219008</v>
      </c>
      <c r="GD421">
        <v>8.4544563284524282E-2</v>
      </c>
      <c r="GE421">
        <v>7.6065534558449999E-2</v>
      </c>
      <c r="GF421">
        <v>0.52010488888686557</v>
      </c>
      <c r="GG421">
        <v>0.46645510438007809</v>
      </c>
      <c r="GH421">
        <v>8.9508689212329934E-2</v>
      </c>
      <c r="GI421">
        <v>0.49901916513837152</v>
      </c>
      <c r="GJ421"/>
      <c r="GK421">
        <v>0.58649999999999991</v>
      </c>
      <c r="GL421">
        <v>1.1695312499999999</v>
      </c>
      <c r="GM421">
        <v>1.7215220170454542</v>
      </c>
      <c r="GN421">
        <v>1.3264541599025972</v>
      </c>
      <c r="GO421">
        <v>0.32193214285714283</v>
      </c>
      <c r="GP421">
        <v>0.14296875000000001</v>
      </c>
      <c r="GQ421">
        <v>0.62821874999999994</v>
      </c>
      <c r="GR421">
        <v>0.64973958333333326</v>
      </c>
      <c r="GS421">
        <v>9.465845352564102E-2</v>
      </c>
      <c r="GT421">
        <v>0.67056627268564761</v>
      </c>
      <c r="GU421"/>
      <c r="GV421"/>
      <c r="GW421"/>
      <c r="GX421"/>
      <c r="GY421"/>
      <c r="GZ421"/>
      <c r="HA421"/>
      <c r="HB421"/>
      <c r="HC421"/>
    </row>
    <row r="422" spans="1:211" s="7" customFormat="1">
      <c r="A422" s="4"/>
      <c r="B422" s="12" t="s">
        <v>34</v>
      </c>
      <c r="C422" s="10"/>
      <c r="D422" s="10" t="s">
        <v>115</v>
      </c>
      <c r="E422" s="13"/>
      <c r="F422" s="134"/>
      <c r="G422" s="44">
        <f>G372</f>
        <v>6.9299999999999995E-3</v>
      </c>
      <c r="H422" s="216">
        <f t="shared" ref="H422:AK422" si="386">H372</f>
        <v>1.737E-2</v>
      </c>
      <c r="I422" s="216">
        <f t="shared" si="386"/>
        <v>3.8249999999999999E-2</v>
      </c>
      <c r="J422" s="216">
        <f t="shared" si="386"/>
        <v>5.9129999999999995E-2</v>
      </c>
      <c r="K422" s="216">
        <f t="shared" si="386"/>
        <v>8.0009999999999998E-2</v>
      </c>
      <c r="L422" s="216">
        <f t="shared" si="386"/>
        <v>0.10088999999999999</v>
      </c>
      <c r="M422" s="216">
        <f t="shared" si="386"/>
        <v>0.12177</v>
      </c>
      <c r="N422" s="216">
        <f t="shared" si="386"/>
        <v>0.14265</v>
      </c>
      <c r="O422" s="216">
        <f t="shared" si="386"/>
        <v>0.16353000000000001</v>
      </c>
      <c r="P422" s="216">
        <f t="shared" si="386"/>
        <v>0.18440999999999999</v>
      </c>
      <c r="Q422" s="216">
        <f t="shared" si="386"/>
        <v>0.20529</v>
      </c>
      <c r="R422" s="216">
        <f t="shared" si="386"/>
        <v>0.22616999999999998</v>
      </c>
      <c r="S422" s="216">
        <f t="shared" si="386"/>
        <v>0.24704999999999996</v>
      </c>
      <c r="T422" s="216">
        <f t="shared" si="386"/>
        <v>0.26793</v>
      </c>
      <c r="U422" s="216">
        <f t="shared" si="386"/>
        <v>0.28880999999999996</v>
      </c>
      <c r="V422" s="216">
        <f t="shared" si="386"/>
        <v>0.30968999999999997</v>
      </c>
      <c r="W422" s="216">
        <f t="shared" si="386"/>
        <v>0.33056999999999997</v>
      </c>
      <c r="X422" s="216">
        <f t="shared" si="386"/>
        <v>0.35144999999999998</v>
      </c>
      <c r="Y422" s="216">
        <f t="shared" si="386"/>
        <v>0.37232999999999999</v>
      </c>
      <c r="Z422" s="216">
        <f t="shared" si="386"/>
        <v>0.39320999999999995</v>
      </c>
      <c r="AA422" s="216">
        <f t="shared" si="386"/>
        <v>0.41408999999999996</v>
      </c>
      <c r="AB422" s="216">
        <f t="shared" si="386"/>
        <v>0.43496999999999997</v>
      </c>
      <c r="AC422" s="216">
        <f t="shared" si="386"/>
        <v>0.45584999999999998</v>
      </c>
      <c r="AD422" s="216">
        <f t="shared" si="386"/>
        <v>0.47672999999999999</v>
      </c>
      <c r="AE422" s="216">
        <f t="shared" si="386"/>
        <v>0.49760999999999994</v>
      </c>
      <c r="AF422" s="216">
        <f t="shared" si="386"/>
        <v>0.51849000000000001</v>
      </c>
      <c r="AG422" s="216">
        <f t="shared" si="386"/>
        <v>0.53937000000000002</v>
      </c>
      <c r="AH422" s="216">
        <f t="shared" si="386"/>
        <v>0.56024999999999991</v>
      </c>
      <c r="AI422" s="216">
        <f t="shared" si="386"/>
        <v>0.58112999999999992</v>
      </c>
      <c r="AJ422" s="216">
        <f t="shared" si="386"/>
        <v>0.60200999999999993</v>
      </c>
      <c r="AK422" s="216">
        <f t="shared" si="386"/>
        <v>0.62288999999999994</v>
      </c>
      <c r="AL422" s="4"/>
      <c r="AM422" s="43">
        <v>406</v>
      </c>
      <c r="AN422">
        <v>42.930654098317149</v>
      </c>
      <c r="AO422">
        <v>0.80663613476469176</v>
      </c>
      <c r="AP422">
        <v>13.555661233390021</v>
      </c>
      <c r="AQ422">
        <v>5.6032428546497544</v>
      </c>
      <c r="AR422">
        <v>0.76086922434902071</v>
      </c>
      <c r="AS422">
        <v>3.6488799276695891</v>
      </c>
      <c r="AT422" t="e">
        <v>#DIV/0!</v>
      </c>
      <c r="AU422" t="e">
        <v>#DIV/0!</v>
      </c>
      <c r="AV422"/>
      <c r="AW422"/>
      <c r="FY422" s="211">
        <v>417</v>
      </c>
      <c r="FZ422">
        <v>1.4413058303381387</v>
      </c>
      <c r="GA422">
        <v>1.8750465722786729</v>
      </c>
      <c r="GB422">
        <v>1.4738393251986748</v>
      </c>
      <c r="GC422">
        <v>0.87773571921882898</v>
      </c>
      <c r="GD422">
        <v>0.14107879306122428</v>
      </c>
      <c r="GE422">
        <v>0.10979074220377499</v>
      </c>
      <c r="GF422">
        <v>0.37461671604370633</v>
      </c>
      <c r="GG422">
        <v>0.28954215414031298</v>
      </c>
      <c r="GH422">
        <v>0</v>
      </c>
      <c r="GI422">
        <v>0.7211572096347928</v>
      </c>
      <c r="GJ422"/>
      <c r="GK422">
        <v>1.436534926470588</v>
      </c>
      <c r="GL422">
        <v>1.5794568014705881</v>
      </c>
      <c r="GM422">
        <v>2.4199034090909088</v>
      </c>
      <c r="GN422">
        <v>2.5772105519480517</v>
      </c>
      <c r="GO422">
        <v>0.53736964285714284</v>
      </c>
      <c r="GP422">
        <v>0.20629687499999999</v>
      </c>
      <c r="GQ422">
        <v>0.45162635869565215</v>
      </c>
      <c r="GR422">
        <v>0.40278260869565213</v>
      </c>
      <c r="GS422">
        <v>0</v>
      </c>
      <c r="GT422">
        <v>0.96908686742285832</v>
      </c>
      <c r="GU422"/>
      <c r="GV422"/>
      <c r="GW422"/>
      <c r="GX422"/>
      <c r="GY422"/>
      <c r="GZ422"/>
      <c r="HA422"/>
      <c r="HB422"/>
      <c r="HC422"/>
    </row>
    <row r="423" spans="1:211" s="7" customFormat="1">
      <c r="A423" s="4"/>
      <c r="B423" s="48" t="s">
        <v>38</v>
      </c>
      <c r="C423" s="107">
        <f t="shared" ref="C423:C432" si="387">SUM(G423:AK423)</f>
        <v>1.262021883213946</v>
      </c>
      <c r="D423" s="190">
        <f>$A$405</f>
        <v>13.69</v>
      </c>
      <c r="E423" s="8"/>
      <c r="F423" s="124"/>
      <c r="G423" s="107">
        <f>(($A$453+$A$455*(G$422)+($A$457*$D423))*($E21*G37))</f>
        <v>7.1532528966130673E-2</v>
      </c>
      <c r="H423" s="217">
        <f t="shared" ref="H423:AK431" si="388">(($A$453+$A$455*(H$422)+($A$457*$D423))*($E21*H37))</f>
        <v>0.28219664415601869</v>
      </c>
      <c r="I423" s="217">
        <f t="shared" si="388"/>
        <v>0.90829271009179668</v>
      </c>
      <c r="J423" s="217">
        <f t="shared" si="388"/>
        <v>0</v>
      </c>
      <c r="K423" s="217">
        <f t="shared" si="388"/>
        <v>0</v>
      </c>
      <c r="L423" s="217">
        <f t="shared" si="388"/>
        <v>0</v>
      </c>
      <c r="M423" s="217">
        <f t="shared" si="388"/>
        <v>0</v>
      </c>
      <c r="N423" s="217">
        <f t="shared" si="388"/>
        <v>0</v>
      </c>
      <c r="O423" s="217">
        <f t="shared" si="388"/>
        <v>0</v>
      </c>
      <c r="P423" s="217">
        <f t="shared" si="388"/>
        <v>0</v>
      </c>
      <c r="Q423" s="217">
        <f t="shared" si="388"/>
        <v>0</v>
      </c>
      <c r="R423" s="217">
        <f t="shared" si="388"/>
        <v>0</v>
      </c>
      <c r="S423" s="217">
        <f t="shared" si="388"/>
        <v>0</v>
      </c>
      <c r="T423" s="217">
        <f t="shared" si="388"/>
        <v>0</v>
      </c>
      <c r="U423" s="217">
        <f t="shared" si="388"/>
        <v>0</v>
      </c>
      <c r="V423" s="217">
        <f t="shared" si="388"/>
        <v>0</v>
      </c>
      <c r="W423" s="217">
        <f t="shared" si="388"/>
        <v>0</v>
      </c>
      <c r="X423" s="217">
        <f t="shared" si="388"/>
        <v>0</v>
      </c>
      <c r="Y423" s="217">
        <f t="shared" si="388"/>
        <v>0</v>
      </c>
      <c r="Z423" s="217">
        <f t="shared" si="388"/>
        <v>0</v>
      </c>
      <c r="AA423" s="217">
        <f t="shared" si="388"/>
        <v>0</v>
      </c>
      <c r="AB423" s="217">
        <f t="shared" si="388"/>
        <v>0</v>
      </c>
      <c r="AC423" s="217">
        <f t="shared" si="388"/>
        <v>0</v>
      </c>
      <c r="AD423" s="217">
        <f t="shared" si="388"/>
        <v>0</v>
      </c>
      <c r="AE423" s="217">
        <f t="shared" si="388"/>
        <v>0</v>
      </c>
      <c r="AF423" s="217">
        <f t="shared" si="388"/>
        <v>0</v>
      </c>
      <c r="AG423" s="217">
        <f t="shared" si="388"/>
        <v>0</v>
      </c>
      <c r="AH423" s="217">
        <f t="shared" si="388"/>
        <v>0</v>
      </c>
      <c r="AI423" s="217">
        <f t="shared" si="388"/>
        <v>0</v>
      </c>
      <c r="AJ423" s="217">
        <f t="shared" si="388"/>
        <v>0</v>
      </c>
      <c r="AK423" s="217">
        <f t="shared" si="388"/>
        <v>0</v>
      </c>
      <c r="AL423" s="4"/>
      <c r="AM423" s="43">
        <v>407</v>
      </c>
      <c r="AN423">
        <v>41.552347706315899</v>
      </c>
      <c r="AO423">
        <v>0.90386590861798299</v>
      </c>
      <c r="AP423">
        <v>0.13408639361743882</v>
      </c>
      <c r="AQ423">
        <v>7.2004973519379796</v>
      </c>
      <c r="AR423">
        <v>0.83477129148837637</v>
      </c>
      <c r="AS423">
        <v>3.1986855250755646</v>
      </c>
      <c r="AT423">
        <v>0.66820766174501767</v>
      </c>
      <c r="AU423">
        <v>5.3353643805255313E-2</v>
      </c>
      <c r="AV423"/>
      <c r="AW423"/>
      <c r="FY423" s="211">
        <v>418</v>
      </c>
      <c r="FZ423">
        <v>0.35792635955302404</v>
      </c>
      <c r="GA423">
        <v>0.66486280499572081</v>
      </c>
      <c r="GB423">
        <v>0.95522207753092148</v>
      </c>
      <c r="GC423">
        <v>0.53952966217526521</v>
      </c>
      <c r="GD423">
        <v>0.11970663278718854</v>
      </c>
      <c r="GE423">
        <v>0.130933941297525</v>
      </c>
      <c r="GF423">
        <v>0.20038102790324064</v>
      </c>
      <c r="GG423">
        <v>0.13862439864731252</v>
      </c>
      <c r="GH423">
        <v>2.2985735835423678E-2</v>
      </c>
      <c r="GI423">
        <v>0.39392710102179929</v>
      </c>
      <c r="GJ423"/>
      <c r="GK423">
        <v>0.356540625</v>
      </c>
      <c r="GL423">
        <v>0.55966171874999993</v>
      </c>
      <c r="GM423">
        <v>1.5677837357954545</v>
      </c>
      <c r="GN423">
        <v>1.5830613027597402</v>
      </c>
      <c r="GO423">
        <v>0.4555392857142857</v>
      </c>
      <c r="GP423">
        <v>0.246140625</v>
      </c>
      <c r="GQ423">
        <v>0.24196875000000001</v>
      </c>
      <c r="GR423">
        <v>0.19312499999999999</v>
      </c>
      <c r="GS423">
        <v>2.4293870192307693E-2</v>
      </c>
      <c r="GT423">
        <v>0.5292252533404096</v>
      </c>
      <c r="GU423"/>
      <c r="GV423"/>
      <c r="GW423"/>
      <c r="GX423"/>
      <c r="GY423"/>
      <c r="GZ423"/>
      <c r="HA423"/>
      <c r="HB423"/>
      <c r="HC423"/>
    </row>
    <row r="424" spans="1:211" s="7" customFormat="1">
      <c r="A424" s="4"/>
      <c r="B424" s="48" t="s">
        <v>39</v>
      </c>
      <c r="C424" s="107">
        <f t="shared" si="387"/>
        <v>2.2648255296275241</v>
      </c>
      <c r="D424" s="190">
        <f>$A$406</f>
        <v>9.4499999999999993</v>
      </c>
      <c r="E424" s="8"/>
      <c r="F424" s="124"/>
      <c r="G424" s="217">
        <f t="shared" ref="G424:V432" si="389">(($A$453+$A$455*(G$422)+($A$457*$D424))*($E22*G38))</f>
        <v>8.4661921622119996E-2</v>
      </c>
      <c r="H424" s="217">
        <f t="shared" si="389"/>
        <v>0.65645908376614637</v>
      </c>
      <c r="I424" s="217">
        <f t="shared" si="389"/>
        <v>1.5237045242392575</v>
      </c>
      <c r="J424" s="217">
        <f t="shared" si="389"/>
        <v>0</v>
      </c>
      <c r="K424" s="217">
        <f t="shared" si="389"/>
        <v>0</v>
      </c>
      <c r="L424" s="217">
        <f t="shared" si="389"/>
        <v>0</v>
      </c>
      <c r="M424" s="217">
        <f t="shared" si="389"/>
        <v>0</v>
      </c>
      <c r="N424" s="217">
        <f t="shared" si="389"/>
        <v>0</v>
      </c>
      <c r="O424" s="217">
        <f t="shared" si="389"/>
        <v>0</v>
      </c>
      <c r="P424" s="217">
        <f t="shared" si="389"/>
        <v>0</v>
      </c>
      <c r="Q424" s="217">
        <f t="shared" si="389"/>
        <v>0</v>
      </c>
      <c r="R424" s="217">
        <f t="shared" si="389"/>
        <v>0</v>
      </c>
      <c r="S424" s="217">
        <f t="shared" si="389"/>
        <v>0</v>
      </c>
      <c r="T424" s="217">
        <f t="shared" si="389"/>
        <v>0</v>
      </c>
      <c r="U424" s="217">
        <f t="shared" si="389"/>
        <v>0</v>
      </c>
      <c r="V424" s="217">
        <f t="shared" si="389"/>
        <v>0</v>
      </c>
      <c r="W424" s="217">
        <f t="shared" si="388"/>
        <v>0</v>
      </c>
      <c r="X424" s="217">
        <f t="shared" si="388"/>
        <v>0</v>
      </c>
      <c r="Y424" s="217">
        <f t="shared" si="388"/>
        <v>0</v>
      </c>
      <c r="Z424" s="217">
        <f t="shared" si="388"/>
        <v>0</v>
      </c>
      <c r="AA424" s="217">
        <f t="shared" si="388"/>
        <v>0</v>
      </c>
      <c r="AB424" s="217">
        <f t="shared" si="388"/>
        <v>0</v>
      </c>
      <c r="AC424" s="217">
        <f t="shared" si="388"/>
        <v>0</v>
      </c>
      <c r="AD424" s="217">
        <f t="shared" si="388"/>
        <v>0</v>
      </c>
      <c r="AE424" s="217">
        <f t="shared" si="388"/>
        <v>0</v>
      </c>
      <c r="AF424" s="217">
        <f t="shared" si="388"/>
        <v>0</v>
      </c>
      <c r="AG424" s="217">
        <f t="shared" si="388"/>
        <v>0</v>
      </c>
      <c r="AH424" s="217">
        <f t="shared" si="388"/>
        <v>0</v>
      </c>
      <c r="AI424" s="217">
        <f t="shared" si="388"/>
        <v>0</v>
      </c>
      <c r="AJ424" s="217">
        <f t="shared" si="388"/>
        <v>0</v>
      </c>
      <c r="AK424" s="217">
        <f t="shared" si="388"/>
        <v>0</v>
      </c>
      <c r="AL424" s="4"/>
      <c r="AM424" s="43">
        <v>408</v>
      </c>
      <c r="AN424">
        <v>41.628398303765955</v>
      </c>
      <c r="AO424">
        <v>1.217232484418767</v>
      </c>
      <c r="AP424">
        <v>2.7726336525209372</v>
      </c>
      <c r="AQ424">
        <v>8.6580130275766347</v>
      </c>
      <c r="AR424">
        <v>1.1500408949261522</v>
      </c>
      <c r="AS424">
        <v>4.7095906749083225</v>
      </c>
      <c r="AT424" t="e">
        <v>#DIV/0!</v>
      </c>
      <c r="AU424" t="e">
        <v>#DIV/0!</v>
      </c>
      <c r="AV424"/>
      <c r="AW424"/>
      <c r="FY424" s="211">
        <v>419</v>
      </c>
      <c r="FZ424">
        <v>2.0117579256961484</v>
      </c>
      <c r="GA424">
        <v>2.8579175745856653</v>
      </c>
      <c r="GB424">
        <v>0.83259735037643312</v>
      </c>
      <c r="GC424">
        <v>0.70607108397771823</v>
      </c>
      <c r="GD424">
        <v>0.36920859126965994</v>
      </c>
      <c r="GE424">
        <v>0.12129816768457499</v>
      </c>
      <c r="GF424">
        <v>0.69434057702733132</v>
      </c>
      <c r="GG424">
        <v>0.56679095143493796</v>
      </c>
      <c r="GH424">
        <v>4.5971471670847357E-2</v>
      </c>
      <c r="GI424">
        <v>0.84298513876598913</v>
      </c>
      <c r="GJ424"/>
      <c r="GK424">
        <v>2.0048099264705881</v>
      </c>
      <c r="GL424">
        <v>2.4071497702205882</v>
      </c>
      <c r="GM424">
        <v>1.3670415482954543</v>
      </c>
      <c r="GN424">
        <v>2.0700423295454544</v>
      </c>
      <c r="GO424">
        <v>1.4040750000000002</v>
      </c>
      <c r="GP424">
        <v>0.22804687499999998</v>
      </c>
      <c r="GQ424">
        <v>0.83787635869565202</v>
      </c>
      <c r="GR424">
        <v>0.78903260869565206</v>
      </c>
      <c r="GS424">
        <v>4.8587740384615385E-2</v>
      </c>
      <c r="GT424">
        <v>1.132478114769262</v>
      </c>
      <c r="GU424"/>
      <c r="GV424"/>
      <c r="GW424"/>
      <c r="GX424"/>
      <c r="GY424"/>
      <c r="GZ424"/>
      <c r="HA424"/>
      <c r="HB424"/>
      <c r="HC424"/>
    </row>
    <row r="425" spans="1:211" s="7" customFormat="1">
      <c r="A425" s="4"/>
      <c r="B425" s="48" t="s">
        <v>40</v>
      </c>
      <c r="C425" s="107">
        <f t="shared" si="387"/>
        <v>0.73955720657014445</v>
      </c>
      <c r="D425" s="190">
        <f>A$407</f>
        <v>4.03</v>
      </c>
      <c r="E425" s="8"/>
      <c r="F425" s="124"/>
      <c r="G425" s="217">
        <f t="shared" si="389"/>
        <v>0</v>
      </c>
      <c r="H425" s="217">
        <f t="shared" si="388"/>
        <v>0.30591144711335744</v>
      </c>
      <c r="I425" s="217">
        <f t="shared" si="388"/>
        <v>0.43364575945678702</v>
      </c>
      <c r="J425" s="217">
        <f t="shared" si="388"/>
        <v>0</v>
      </c>
      <c r="K425" s="217">
        <f t="shared" si="388"/>
        <v>0</v>
      </c>
      <c r="L425" s="217">
        <f t="shared" si="388"/>
        <v>0</v>
      </c>
      <c r="M425" s="217">
        <f t="shared" si="388"/>
        <v>0</v>
      </c>
      <c r="N425" s="217">
        <f t="shared" si="388"/>
        <v>0</v>
      </c>
      <c r="O425" s="217">
        <f t="shared" si="388"/>
        <v>0</v>
      </c>
      <c r="P425" s="217">
        <f t="shared" si="388"/>
        <v>0</v>
      </c>
      <c r="Q425" s="217">
        <f t="shared" si="388"/>
        <v>0</v>
      </c>
      <c r="R425" s="217">
        <f t="shared" si="388"/>
        <v>0</v>
      </c>
      <c r="S425" s="217">
        <f t="shared" si="388"/>
        <v>0</v>
      </c>
      <c r="T425" s="217">
        <f t="shared" si="388"/>
        <v>0</v>
      </c>
      <c r="U425" s="217">
        <f t="shared" si="388"/>
        <v>0</v>
      </c>
      <c r="V425" s="217">
        <f t="shared" si="388"/>
        <v>0</v>
      </c>
      <c r="W425" s="217">
        <f t="shared" si="388"/>
        <v>0</v>
      </c>
      <c r="X425" s="217">
        <f t="shared" si="388"/>
        <v>0</v>
      </c>
      <c r="Y425" s="217">
        <f t="shared" si="388"/>
        <v>0</v>
      </c>
      <c r="Z425" s="217">
        <f t="shared" si="388"/>
        <v>0</v>
      </c>
      <c r="AA425" s="217">
        <f t="shared" si="388"/>
        <v>0</v>
      </c>
      <c r="AB425" s="217">
        <f t="shared" si="388"/>
        <v>0</v>
      </c>
      <c r="AC425" s="217">
        <f t="shared" si="388"/>
        <v>0</v>
      </c>
      <c r="AD425" s="217">
        <f t="shared" si="388"/>
        <v>0</v>
      </c>
      <c r="AE425" s="217">
        <f t="shared" si="388"/>
        <v>0</v>
      </c>
      <c r="AF425" s="217">
        <f t="shared" si="388"/>
        <v>0</v>
      </c>
      <c r="AG425" s="217">
        <f t="shared" si="388"/>
        <v>0</v>
      </c>
      <c r="AH425" s="217">
        <f t="shared" si="388"/>
        <v>0</v>
      </c>
      <c r="AI425" s="217">
        <f t="shared" si="388"/>
        <v>0</v>
      </c>
      <c r="AJ425" s="217">
        <f t="shared" si="388"/>
        <v>0</v>
      </c>
      <c r="AK425" s="217">
        <f t="shared" si="388"/>
        <v>0</v>
      </c>
      <c r="AL425" s="4"/>
      <c r="AM425" s="43">
        <v>409</v>
      </c>
      <c r="AN425">
        <v>51.257975095231323</v>
      </c>
      <c r="AO425">
        <v>1.203483858286521</v>
      </c>
      <c r="AP425">
        <v>10.613515435676412</v>
      </c>
      <c r="AQ425">
        <v>8.6714278852794866</v>
      </c>
      <c r="AR425">
        <v>1.1085648711695646</v>
      </c>
      <c r="AS425">
        <v>4.1708675464428167</v>
      </c>
      <c r="AT425" t="e">
        <v>#DIV/0!</v>
      </c>
      <c r="AU425" t="e">
        <v>#DIV/0!</v>
      </c>
      <c r="AV425"/>
      <c r="AW425"/>
      <c r="FY425" s="211">
        <v>420</v>
      </c>
      <c r="FZ425">
        <v>0.42327947359200652</v>
      </c>
      <c r="GA425">
        <v>0.56373825468726069</v>
      </c>
      <c r="GB425">
        <v>5.6582117285628515E-2</v>
      </c>
      <c r="GC425">
        <v>8.1494730888584985E-2</v>
      </c>
      <c r="GD425">
        <v>0.126463447331955</v>
      </c>
      <c r="GE425">
        <v>0.15502337532990002</v>
      </c>
      <c r="GF425">
        <v>1.6966334329241659</v>
      </c>
      <c r="GG425">
        <v>1.5871631391702987</v>
      </c>
      <c r="GH425">
        <v>0.22255459596614241</v>
      </c>
      <c r="GI425">
        <v>0.48813457686534267</v>
      </c>
      <c r="GJ425"/>
      <c r="GK425">
        <v>0.42171562499999993</v>
      </c>
      <c r="GL425">
        <v>0.47460234374999999</v>
      </c>
      <c r="GM425">
        <v>9.2730468750000003E-2</v>
      </c>
      <c r="GN425">
        <v>0.23891249999999997</v>
      </c>
      <c r="GO425">
        <v>0.48144374999999995</v>
      </c>
      <c r="GP425">
        <v>0.291375</v>
      </c>
      <c r="GQ425">
        <v>2.0462241847826084</v>
      </c>
      <c r="GR425">
        <v>2.2084741847826086</v>
      </c>
      <c r="GS425">
        <v>0.23538762019230769</v>
      </c>
      <c r="GT425">
        <v>0.65550032974498307</v>
      </c>
      <c r="GU425"/>
      <c r="GV425"/>
      <c r="GW425"/>
      <c r="GX425"/>
      <c r="GY425"/>
      <c r="GZ425"/>
      <c r="HA425"/>
      <c r="HB425"/>
      <c r="HC425"/>
    </row>
    <row r="426" spans="1:211" s="7" customFormat="1">
      <c r="A426" s="128" t="s">
        <v>92</v>
      </c>
      <c r="B426" s="48" t="s">
        <v>41</v>
      </c>
      <c r="C426" s="107">
        <f t="shared" si="387"/>
        <v>0.39978108312002303</v>
      </c>
      <c r="D426" s="190">
        <f>A$408</f>
        <v>0.78</v>
      </c>
      <c r="E426" s="8"/>
      <c r="F426" s="124"/>
      <c r="G426" s="217">
        <f t="shared" si="389"/>
        <v>1.1113018525743749E-2</v>
      </c>
      <c r="H426" s="217">
        <f t="shared" si="388"/>
        <v>0.315758085331584</v>
      </c>
      <c r="I426" s="217">
        <f t="shared" si="388"/>
        <v>7.2909979262695296E-2</v>
      </c>
      <c r="J426" s="217">
        <f t="shared" si="388"/>
        <v>0</v>
      </c>
      <c r="K426" s="217">
        <f t="shared" si="388"/>
        <v>0</v>
      </c>
      <c r="L426" s="217">
        <f t="shared" si="388"/>
        <v>0</v>
      </c>
      <c r="M426" s="217">
        <f t="shared" si="388"/>
        <v>0</v>
      </c>
      <c r="N426" s="217">
        <f t="shared" si="388"/>
        <v>0</v>
      </c>
      <c r="O426" s="217">
        <f t="shared" si="388"/>
        <v>0</v>
      </c>
      <c r="P426" s="217">
        <f t="shared" si="388"/>
        <v>0</v>
      </c>
      <c r="Q426" s="217">
        <f t="shared" si="388"/>
        <v>0</v>
      </c>
      <c r="R426" s="217">
        <f t="shared" si="388"/>
        <v>0</v>
      </c>
      <c r="S426" s="217">
        <f t="shared" si="388"/>
        <v>0</v>
      </c>
      <c r="T426" s="217">
        <f t="shared" si="388"/>
        <v>0</v>
      </c>
      <c r="U426" s="217">
        <f t="shared" si="388"/>
        <v>0</v>
      </c>
      <c r="V426" s="217">
        <f t="shared" si="388"/>
        <v>0</v>
      </c>
      <c r="W426" s="217">
        <f t="shared" si="388"/>
        <v>0</v>
      </c>
      <c r="X426" s="217">
        <f t="shared" si="388"/>
        <v>0</v>
      </c>
      <c r="Y426" s="217">
        <f t="shared" si="388"/>
        <v>0</v>
      </c>
      <c r="Z426" s="217">
        <f t="shared" si="388"/>
        <v>0</v>
      </c>
      <c r="AA426" s="217">
        <f t="shared" si="388"/>
        <v>0</v>
      </c>
      <c r="AB426" s="217">
        <f t="shared" si="388"/>
        <v>0</v>
      </c>
      <c r="AC426" s="217">
        <f t="shared" si="388"/>
        <v>0</v>
      </c>
      <c r="AD426" s="217">
        <f t="shared" si="388"/>
        <v>0</v>
      </c>
      <c r="AE426" s="217">
        <f t="shared" si="388"/>
        <v>0</v>
      </c>
      <c r="AF426" s="217">
        <f t="shared" si="388"/>
        <v>0</v>
      </c>
      <c r="AG426" s="217">
        <f t="shared" si="388"/>
        <v>0</v>
      </c>
      <c r="AH426" s="217">
        <f t="shared" si="388"/>
        <v>0</v>
      </c>
      <c r="AI426" s="217">
        <f t="shared" si="388"/>
        <v>0</v>
      </c>
      <c r="AJ426" s="217">
        <f t="shared" si="388"/>
        <v>0</v>
      </c>
      <c r="AK426" s="217">
        <f t="shared" si="388"/>
        <v>0</v>
      </c>
      <c r="AL426" s="4"/>
      <c r="AM426" s="43">
        <v>410</v>
      </c>
      <c r="AN426">
        <v>39.698193852745476</v>
      </c>
      <c r="AO426">
        <v>0.89619517529911208</v>
      </c>
      <c r="AP426">
        <v>0.92761517822813278</v>
      </c>
      <c r="AQ426">
        <v>6.2396716182413785</v>
      </c>
      <c r="AR426">
        <v>0.83142005665303897</v>
      </c>
      <c r="AS426">
        <v>3.4350819918402902</v>
      </c>
      <c r="AT426">
        <v>0.64056801236301519</v>
      </c>
      <c r="AU426">
        <v>0.10029978662854377</v>
      </c>
      <c r="AV426"/>
      <c r="AW426"/>
      <c r="FY426" s="211">
        <v>421</v>
      </c>
      <c r="FZ426">
        <v>0.17441242040255625</v>
      </c>
      <c r="GA426">
        <v>0.33535795084728748</v>
      </c>
      <c r="GB426">
        <v>1.4043282318715358</v>
      </c>
      <c r="GC426">
        <v>1.1708959040948415</v>
      </c>
      <c r="GD426">
        <v>0.37161522671570996</v>
      </c>
      <c r="GE426">
        <v>0.11942651581672502</v>
      </c>
      <c r="GF426">
        <v>0.5344786465355188</v>
      </c>
      <c r="GG426">
        <v>0.47874846122576609</v>
      </c>
      <c r="GH426">
        <v>6.6522953376906252E-2</v>
      </c>
      <c r="GI426">
        <v>0.68599108497210171</v>
      </c>
      <c r="GJ426"/>
      <c r="GK426">
        <v>0.17381249999999998</v>
      </c>
      <c r="GL426">
        <v>0.28237499999999999</v>
      </c>
      <c r="GM426">
        <v>2.3058565340909087</v>
      </c>
      <c r="GN426">
        <v>3.4348221590909089</v>
      </c>
      <c r="GO426">
        <v>1.4130749999999999</v>
      </c>
      <c r="GP426">
        <v>0.22439062500000001</v>
      </c>
      <c r="GQ426">
        <v>0.64475135869565214</v>
      </c>
      <c r="GR426">
        <v>0.66627219202898535</v>
      </c>
      <c r="GS426">
        <v>7.0364583333333328E-2</v>
      </c>
      <c r="GT426">
        <v>0.92157199522397881</v>
      </c>
      <c r="GU426"/>
      <c r="GV426"/>
      <c r="GW426"/>
      <c r="GX426"/>
      <c r="GY426"/>
      <c r="GZ426"/>
      <c r="HA426"/>
      <c r="HB426"/>
      <c r="HC426"/>
    </row>
    <row r="427" spans="1:211" s="7" customFormat="1">
      <c r="A427" s="128" t="s">
        <v>93</v>
      </c>
      <c r="B427" s="48" t="s">
        <v>42</v>
      </c>
      <c r="C427" s="107">
        <f t="shared" si="387"/>
        <v>0.22402011211883668</v>
      </c>
      <c r="D427" s="190">
        <f>A$409</f>
        <v>0.14000000000000001</v>
      </c>
      <c r="E427" s="8"/>
      <c r="F427" s="124"/>
      <c r="G427" s="217">
        <f t="shared" si="389"/>
        <v>8.559457890637499E-3</v>
      </c>
      <c r="H427" s="217">
        <f t="shared" si="388"/>
        <v>0.1945766371344492</v>
      </c>
      <c r="I427" s="217">
        <f t="shared" si="388"/>
        <v>2.0884017093749995E-2</v>
      </c>
      <c r="J427" s="217">
        <f t="shared" si="388"/>
        <v>0</v>
      </c>
      <c r="K427" s="217">
        <f t="shared" si="388"/>
        <v>0</v>
      </c>
      <c r="L427" s="217">
        <f t="shared" si="388"/>
        <v>0</v>
      </c>
      <c r="M427" s="217">
        <f t="shared" si="388"/>
        <v>0</v>
      </c>
      <c r="N427" s="217">
        <f t="shared" si="388"/>
        <v>0</v>
      </c>
      <c r="O427" s="217">
        <f t="shared" si="388"/>
        <v>0</v>
      </c>
      <c r="P427" s="217">
        <f t="shared" si="388"/>
        <v>0</v>
      </c>
      <c r="Q427" s="217">
        <f t="shared" si="388"/>
        <v>0</v>
      </c>
      <c r="R427" s="217">
        <f t="shared" si="388"/>
        <v>0</v>
      </c>
      <c r="S427" s="217">
        <f t="shared" si="388"/>
        <v>0</v>
      </c>
      <c r="T427" s="217">
        <f t="shared" si="388"/>
        <v>0</v>
      </c>
      <c r="U427" s="217">
        <f t="shared" si="388"/>
        <v>0</v>
      </c>
      <c r="V427" s="217">
        <f t="shared" si="388"/>
        <v>0</v>
      </c>
      <c r="W427" s="217">
        <f t="shared" si="388"/>
        <v>0</v>
      </c>
      <c r="X427" s="217">
        <f t="shared" si="388"/>
        <v>0</v>
      </c>
      <c r="Y427" s="217">
        <f t="shared" si="388"/>
        <v>0</v>
      </c>
      <c r="Z427" s="217">
        <f t="shared" si="388"/>
        <v>0</v>
      </c>
      <c r="AA427" s="217">
        <f t="shared" si="388"/>
        <v>0</v>
      </c>
      <c r="AB427" s="217">
        <f t="shared" si="388"/>
        <v>0</v>
      </c>
      <c r="AC427" s="217">
        <f t="shared" si="388"/>
        <v>0</v>
      </c>
      <c r="AD427" s="217">
        <f t="shared" si="388"/>
        <v>0</v>
      </c>
      <c r="AE427" s="217">
        <f t="shared" si="388"/>
        <v>0</v>
      </c>
      <c r="AF427" s="217">
        <f t="shared" si="388"/>
        <v>0</v>
      </c>
      <c r="AG427" s="217">
        <f t="shared" si="388"/>
        <v>0</v>
      </c>
      <c r="AH427" s="217">
        <f t="shared" si="388"/>
        <v>0</v>
      </c>
      <c r="AI427" s="217">
        <f t="shared" si="388"/>
        <v>0</v>
      </c>
      <c r="AJ427" s="217">
        <f t="shared" si="388"/>
        <v>0</v>
      </c>
      <c r="AK427" s="217">
        <f t="shared" si="388"/>
        <v>0</v>
      </c>
      <c r="AL427" s="4"/>
      <c r="AM427" s="43">
        <v>411</v>
      </c>
      <c r="AN427">
        <v>48.05815265208647</v>
      </c>
      <c r="AO427">
        <v>1.2678731375848415</v>
      </c>
      <c r="AP427">
        <v>17.357261189310982</v>
      </c>
      <c r="AQ427">
        <v>8.166968827403128</v>
      </c>
      <c r="AR427">
        <v>1.154820476912793</v>
      </c>
      <c r="AS427">
        <v>4.0086464761143867</v>
      </c>
      <c r="AT427" t="e">
        <v>#DIV/0!</v>
      </c>
      <c r="AU427" t="e">
        <v>#DIV/0!</v>
      </c>
      <c r="AV427"/>
      <c r="AW427"/>
      <c r="FY427" s="211">
        <v>422</v>
      </c>
      <c r="FZ427">
        <v>1.6961862434830541</v>
      </c>
      <c r="GA427">
        <v>2.0696932397485241</v>
      </c>
      <c r="GB427">
        <v>1.301611147279105</v>
      </c>
      <c r="GC427">
        <v>0.7183219538111465</v>
      </c>
      <c r="GD427">
        <v>0.16102682074234287</v>
      </c>
      <c r="GE427">
        <v>0.19549205037517497</v>
      </c>
      <c r="GF427">
        <v>0.57499774394694703</v>
      </c>
      <c r="GG427">
        <v>0.4281665527876255</v>
      </c>
      <c r="GH427">
        <v>0</v>
      </c>
      <c r="GI427">
        <v>0.76417268999975596</v>
      </c>
      <c r="GJ427"/>
      <c r="GK427">
        <v>1.6903893382352941</v>
      </c>
      <c r="GL427">
        <v>1.7432760569852941</v>
      </c>
      <c r="GM427">
        <v>2.1373682528409086</v>
      </c>
      <c r="GN427">
        <v>2.1087560876623375</v>
      </c>
      <c r="GO427">
        <v>0.61269642857142848</v>
      </c>
      <c r="GP427">
        <v>0.36735937499999993</v>
      </c>
      <c r="GQ427">
        <v>0.69359510869565222</v>
      </c>
      <c r="GR427">
        <v>0.59590760869565207</v>
      </c>
      <c r="GS427">
        <v>0</v>
      </c>
      <c r="GT427">
        <v>1.0268098256686566</v>
      </c>
      <c r="GU427"/>
      <c r="GV427"/>
      <c r="GW427"/>
      <c r="GX427"/>
      <c r="GY427"/>
      <c r="GZ427"/>
      <c r="HA427"/>
      <c r="HB427"/>
      <c r="HC427"/>
    </row>
    <row r="428" spans="1:211" s="7" customFormat="1">
      <c r="A428" s="138" t="s">
        <v>95</v>
      </c>
      <c r="B428" s="48" t="s">
        <v>118</v>
      </c>
      <c r="C428" s="107">
        <f t="shared" si="387"/>
        <v>7.1247647751975007E-2</v>
      </c>
      <c r="D428" s="190">
        <f>A$410</f>
        <v>0.21</v>
      </c>
      <c r="E428" s="8"/>
      <c r="F428" s="124"/>
      <c r="G428" s="217">
        <f t="shared" si="389"/>
        <v>1.9255805934749995E-3</v>
      </c>
      <c r="H428" s="217">
        <f t="shared" si="388"/>
        <v>4.8178868064750011E-2</v>
      </c>
      <c r="I428" s="217">
        <f t="shared" si="388"/>
        <v>2.1143199093749995E-2</v>
      </c>
      <c r="J428" s="217">
        <f t="shared" si="388"/>
        <v>0</v>
      </c>
      <c r="K428" s="217">
        <f t="shared" si="388"/>
        <v>0</v>
      </c>
      <c r="L428" s="217">
        <f t="shared" si="388"/>
        <v>0</v>
      </c>
      <c r="M428" s="217">
        <f t="shared" si="388"/>
        <v>0</v>
      </c>
      <c r="N428" s="217">
        <f t="shared" si="388"/>
        <v>0</v>
      </c>
      <c r="O428" s="217">
        <f t="shared" si="388"/>
        <v>0</v>
      </c>
      <c r="P428" s="217">
        <f t="shared" si="388"/>
        <v>0</v>
      </c>
      <c r="Q428" s="217">
        <f t="shared" si="388"/>
        <v>0</v>
      </c>
      <c r="R428" s="217">
        <f t="shared" si="388"/>
        <v>0</v>
      </c>
      <c r="S428" s="217">
        <f t="shared" si="388"/>
        <v>0</v>
      </c>
      <c r="T428" s="217">
        <f t="shared" si="388"/>
        <v>0</v>
      </c>
      <c r="U428" s="217">
        <f t="shared" si="388"/>
        <v>0</v>
      </c>
      <c r="V428" s="217">
        <f t="shared" si="388"/>
        <v>0</v>
      </c>
      <c r="W428" s="217">
        <f t="shared" si="388"/>
        <v>0</v>
      </c>
      <c r="X428" s="217">
        <f t="shared" si="388"/>
        <v>0</v>
      </c>
      <c r="Y428" s="217">
        <f t="shared" si="388"/>
        <v>0</v>
      </c>
      <c r="Z428" s="217">
        <f t="shared" si="388"/>
        <v>0</v>
      </c>
      <c r="AA428" s="217">
        <f t="shared" si="388"/>
        <v>0</v>
      </c>
      <c r="AB428" s="217">
        <f t="shared" si="388"/>
        <v>0</v>
      </c>
      <c r="AC428" s="217">
        <f t="shared" si="388"/>
        <v>0</v>
      </c>
      <c r="AD428" s="217">
        <f t="shared" si="388"/>
        <v>0</v>
      </c>
      <c r="AE428" s="217">
        <f t="shared" si="388"/>
        <v>0</v>
      </c>
      <c r="AF428" s="217">
        <f t="shared" si="388"/>
        <v>0</v>
      </c>
      <c r="AG428" s="217">
        <f t="shared" si="388"/>
        <v>0</v>
      </c>
      <c r="AH428" s="217">
        <f t="shared" si="388"/>
        <v>0</v>
      </c>
      <c r="AI428" s="217">
        <f t="shared" si="388"/>
        <v>0</v>
      </c>
      <c r="AJ428" s="217">
        <f t="shared" si="388"/>
        <v>0</v>
      </c>
      <c r="AK428" s="217">
        <f t="shared" si="388"/>
        <v>0</v>
      </c>
      <c r="AL428" s="4"/>
      <c r="AM428" s="43">
        <v>412</v>
      </c>
      <c r="AN428">
        <v>41.668639346764351</v>
      </c>
      <c r="AO428">
        <v>0.98680868853021964</v>
      </c>
      <c r="AP428">
        <v>5.4514642879979363</v>
      </c>
      <c r="AQ428">
        <v>5.4314048155988903</v>
      </c>
      <c r="AR428">
        <v>0.90292950049950038</v>
      </c>
      <c r="AS428">
        <v>3.4304207363924033</v>
      </c>
      <c r="AT428" t="e">
        <v>#DIV/0!</v>
      </c>
      <c r="AU428" t="e">
        <v>#DIV/0!</v>
      </c>
      <c r="AV428"/>
      <c r="AW428"/>
      <c r="FY428" s="211">
        <v>423</v>
      </c>
      <c r="FZ428">
        <v>1.5000442007962671</v>
      </c>
      <c r="GA428">
        <v>1.6759532654132818</v>
      </c>
      <c r="GB428">
        <v>1.051288816492181</v>
      </c>
      <c r="GC428">
        <v>0.73572734907183523</v>
      </c>
      <c r="GD428">
        <v>0.14573124435542784</v>
      </c>
      <c r="GE428">
        <v>7.1247647751975007E-2</v>
      </c>
      <c r="GF428">
        <v>0.20038102790324064</v>
      </c>
      <c r="GG428">
        <v>0.23978821552359375</v>
      </c>
      <c r="GH428">
        <v>0.17901737842465987</v>
      </c>
      <c r="GI428">
        <v>0.62623755417597371</v>
      </c>
      <c r="GJ428"/>
      <c r="GK428">
        <v>1.4946955882352939</v>
      </c>
      <c r="GL428">
        <v>1.4113518382352939</v>
      </c>
      <c r="GM428">
        <v>1.7265284090909088</v>
      </c>
      <c r="GN428">
        <v>2.1601904626623374</v>
      </c>
      <c r="GO428">
        <v>0.55492767857142855</v>
      </c>
      <c r="GP428">
        <v>0.133921875</v>
      </c>
      <c r="GQ428">
        <v>0.24196875000000001</v>
      </c>
      <c r="GR428">
        <v>0.33385416666666667</v>
      </c>
      <c r="GS428">
        <v>0.18931690705128204</v>
      </c>
      <c r="GT428">
        <v>0.84148746658978268</v>
      </c>
      <c r="GU428"/>
      <c r="GV428"/>
      <c r="GW428"/>
      <c r="GX428"/>
      <c r="GY428"/>
      <c r="GZ428"/>
      <c r="HA428"/>
      <c r="HB428"/>
      <c r="HC428"/>
    </row>
    <row r="429" spans="1:211" s="7" customFormat="1">
      <c r="A429" s="138" t="s">
        <v>94</v>
      </c>
      <c r="B429" s="48" t="s">
        <v>119</v>
      </c>
      <c r="C429" s="107">
        <f t="shared" si="387"/>
        <v>0.86857626516779707</v>
      </c>
      <c r="D429" s="190">
        <f>A$411</f>
        <v>1.28</v>
      </c>
      <c r="E429" s="8"/>
      <c r="F429" s="124"/>
      <c r="G429" s="217">
        <f t="shared" si="389"/>
        <v>2.9983687564359368E-3</v>
      </c>
      <c r="H429" s="217">
        <f t="shared" si="388"/>
        <v>0.75574360412620489</v>
      </c>
      <c r="I429" s="217">
        <f t="shared" si="388"/>
        <v>0.10983429228515626</v>
      </c>
      <c r="J429" s="217">
        <f t="shared" si="388"/>
        <v>0</v>
      </c>
      <c r="K429" s="217">
        <f t="shared" si="388"/>
        <v>0</v>
      </c>
      <c r="L429" s="217">
        <f t="shared" si="388"/>
        <v>0</v>
      </c>
      <c r="M429" s="217">
        <f t="shared" si="388"/>
        <v>0</v>
      </c>
      <c r="N429" s="217">
        <f t="shared" si="388"/>
        <v>0</v>
      </c>
      <c r="O429" s="217">
        <f t="shared" si="388"/>
        <v>0</v>
      </c>
      <c r="P429" s="217">
        <f t="shared" si="388"/>
        <v>0</v>
      </c>
      <c r="Q429" s="217">
        <f t="shared" si="388"/>
        <v>0</v>
      </c>
      <c r="R429" s="217">
        <f t="shared" si="388"/>
        <v>0</v>
      </c>
      <c r="S429" s="217">
        <f t="shared" si="388"/>
        <v>0</v>
      </c>
      <c r="T429" s="217">
        <f t="shared" si="388"/>
        <v>0</v>
      </c>
      <c r="U429" s="217">
        <f t="shared" si="388"/>
        <v>0</v>
      </c>
      <c r="V429" s="217">
        <f t="shared" si="388"/>
        <v>0</v>
      </c>
      <c r="W429" s="217">
        <f t="shared" si="388"/>
        <v>0</v>
      </c>
      <c r="X429" s="217">
        <f t="shared" si="388"/>
        <v>0</v>
      </c>
      <c r="Y429" s="217">
        <f t="shared" si="388"/>
        <v>0</v>
      </c>
      <c r="Z429" s="217">
        <f t="shared" si="388"/>
        <v>0</v>
      </c>
      <c r="AA429" s="217">
        <f t="shared" si="388"/>
        <v>0</v>
      </c>
      <c r="AB429" s="217">
        <f t="shared" si="388"/>
        <v>0</v>
      </c>
      <c r="AC429" s="217">
        <f t="shared" si="388"/>
        <v>0</v>
      </c>
      <c r="AD429" s="217">
        <f t="shared" si="388"/>
        <v>0</v>
      </c>
      <c r="AE429" s="217">
        <f t="shared" si="388"/>
        <v>0</v>
      </c>
      <c r="AF429" s="217">
        <f t="shared" si="388"/>
        <v>0</v>
      </c>
      <c r="AG429" s="217">
        <f t="shared" si="388"/>
        <v>0</v>
      </c>
      <c r="AH429" s="217">
        <f t="shared" si="388"/>
        <v>0</v>
      </c>
      <c r="AI429" s="217">
        <f t="shared" si="388"/>
        <v>0</v>
      </c>
      <c r="AJ429" s="217">
        <f t="shared" si="388"/>
        <v>0</v>
      </c>
      <c r="AK429" s="217">
        <f t="shared" si="388"/>
        <v>0</v>
      </c>
      <c r="AL429" s="4"/>
      <c r="AM429" s="43">
        <v>413</v>
      </c>
      <c r="AN429">
        <v>40.412771443118309</v>
      </c>
      <c r="AO429">
        <v>0.90084906790814134</v>
      </c>
      <c r="AP429">
        <v>2.5430002893244223</v>
      </c>
      <c r="AQ429">
        <v>6.5882231509278366</v>
      </c>
      <c r="AR429">
        <v>0.83706449355285573</v>
      </c>
      <c r="AS429">
        <v>3.1430172813666082</v>
      </c>
      <c r="AT429" t="e">
        <v>#DIV/0!</v>
      </c>
      <c r="AU429" t="e">
        <v>#DIV/0!</v>
      </c>
      <c r="AV429"/>
      <c r="AW429"/>
      <c r="FY429" s="211">
        <v>424</v>
      </c>
      <c r="FZ429">
        <v>0.82057295014465537</v>
      </c>
      <c r="GA429">
        <v>1.16913329689323</v>
      </c>
      <c r="GB429">
        <v>0.26661645860753319</v>
      </c>
      <c r="GC429">
        <v>0.37128457161929496</v>
      </c>
      <c r="GD429">
        <v>0.30904454608772786</v>
      </c>
      <c r="GE429">
        <v>0.17916673808790001</v>
      </c>
      <c r="GF429">
        <v>0.74923343208741267</v>
      </c>
      <c r="GG429">
        <v>0.68024812515690725</v>
      </c>
      <c r="GH429">
        <v>0.17901737842465987</v>
      </c>
      <c r="GI429">
        <v>0.52466137175988981</v>
      </c>
      <c r="GJ429"/>
      <c r="GK429">
        <v>0.81787683823529411</v>
      </c>
      <c r="GL429">
        <v>0.98481043198529417</v>
      </c>
      <c r="GM429">
        <v>0.43724609375000001</v>
      </c>
      <c r="GN429">
        <v>1.0872714285714284</v>
      </c>
      <c r="GO429">
        <v>1.1753651785714285</v>
      </c>
      <c r="GP429">
        <v>0.33656250000000004</v>
      </c>
      <c r="GQ429">
        <v>0.90325271739130431</v>
      </c>
      <c r="GR429">
        <v>0.94629438405797084</v>
      </c>
      <c r="GS429">
        <v>0.18931690705128204</v>
      </c>
      <c r="GT429">
        <v>0.70461154699986173</v>
      </c>
      <c r="GU429"/>
      <c r="GV429"/>
      <c r="GW429"/>
      <c r="GX429"/>
      <c r="GY429"/>
      <c r="GZ429"/>
      <c r="HA429"/>
      <c r="HB429"/>
      <c r="HC429"/>
    </row>
    <row r="430" spans="1:211" s="7" customFormat="1">
      <c r="A430" s="128" t="s">
        <v>18</v>
      </c>
      <c r="B430" s="48" t="s">
        <v>120</v>
      </c>
      <c r="C430" s="107">
        <f t="shared" si="387"/>
        <v>0.81887252380421982</v>
      </c>
      <c r="D430" s="190">
        <f>A$412</f>
        <v>4</v>
      </c>
      <c r="E430" s="8"/>
      <c r="F430" s="124"/>
      <c r="G430" s="217">
        <f t="shared" si="389"/>
        <v>0</v>
      </c>
      <c r="H430" s="217">
        <f t="shared" si="388"/>
        <v>0.72360404667531353</v>
      </c>
      <c r="I430" s="217">
        <f t="shared" si="388"/>
        <v>9.5268477128906251E-2</v>
      </c>
      <c r="J430" s="217">
        <f t="shared" si="388"/>
        <v>0</v>
      </c>
      <c r="K430" s="217">
        <f t="shared" si="388"/>
        <v>0</v>
      </c>
      <c r="L430" s="217">
        <f t="shared" si="388"/>
        <v>0</v>
      </c>
      <c r="M430" s="217">
        <f t="shared" si="388"/>
        <v>0</v>
      </c>
      <c r="N430" s="217">
        <f t="shared" si="388"/>
        <v>0</v>
      </c>
      <c r="O430" s="217">
        <f t="shared" si="388"/>
        <v>0</v>
      </c>
      <c r="P430" s="217">
        <f t="shared" si="388"/>
        <v>0</v>
      </c>
      <c r="Q430" s="217">
        <f t="shared" si="388"/>
        <v>0</v>
      </c>
      <c r="R430" s="217">
        <f t="shared" si="388"/>
        <v>0</v>
      </c>
      <c r="S430" s="217">
        <f t="shared" si="388"/>
        <v>0</v>
      </c>
      <c r="T430" s="217">
        <f t="shared" si="388"/>
        <v>0</v>
      </c>
      <c r="U430" s="217">
        <f t="shared" si="388"/>
        <v>0</v>
      </c>
      <c r="V430" s="217">
        <f t="shared" si="388"/>
        <v>0</v>
      </c>
      <c r="W430" s="217">
        <f t="shared" si="388"/>
        <v>0</v>
      </c>
      <c r="X430" s="217">
        <f t="shared" si="388"/>
        <v>0</v>
      </c>
      <c r="Y430" s="217">
        <f t="shared" si="388"/>
        <v>0</v>
      </c>
      <c r="Z430" s="217">
        <f t="shared" si="388"/>
        <v>0</v>
      </c>
      <c r="AA430" s="217">
        <f t="shared" si="388"/>
        <v>0</v>
      </c>
      <c r="AB430" s="217">
        <f t="shared" si="388"/>
        <v>0</v>
      </c>
      <c r="AC430" s="217">
        <f t="shared" si="388"/>
        <v>0</v>
      </c>
      <c r="AD430" s="217">
        <f t="shared" si="388"/>
        <v>0</v>
      </c>
      <c r="AE430" s="217">
        <f t="shared" si="388"/>
        <v>0</v>
      </c>
      <c r="AF430" s="217">
        <f t="shared" si="388"/>
        <v>0</v>
      </c>
      <c r="AG430" s="217">
        <f t="shared" si="388"/>
        <v>0</v>
      </c>
      <c r="AH430" s="217">
        <f t="shared" si="388"/>
        <v>0</v>
      </c>
      <c r="AI430" s="217">
        <f t="shared" si="388"/>
        <v>0</v>
      </c>
      <c r="AJ430" s="217">
        <f t="shared" si="388"/>
        <v>0</v>
      </c>
      <c r="AK430" s="217">
        <f t="shared" si="388"/>
        <v>0</v>
      </c>
      <c r="AL430" s="4"/>
      <c r="AM430" s="43">
        <v>414</v>
      </c>
      <c r="AN430">
        <v>50.901678063458746</v>
      </c>
      <c r="AO430">
        <v>1.2427650269215547</v>
      </c>
      <c r="AP430">
        <v>1.0075936903311531</v>
      </c>
      <c r="AQ430">
        <v>9.2115017442842859</v>
      </c>
      <c r="AR430">
        <v>1.1501057172188955</v>
      </c>
      <c r="AS430">
        <v>3.9985796336324722</v>
      </c>
      <c r="AT430">
        <v>0.81981678933331892</v>
      </c>
      <c r="AU430">
        <v>0.14003536055900251</v>
      </c>
      <c r="AV430"/>
      <c r="AW430"/>
      <c r="FY430" s="211">
        <v>425</v>
      </c>
      <c r="FZ430">
        <v>0.16897117627895342</v>
      </c>
      <c r="GA430">
        <v>0.45412185004334965</v>
      </c>
      <c r="GB430">
        <v>1.2056610749558658</v>
      </c>
      <c r="GC430">
        <v>0.8748161324232665</v>
      </c>
      <c r="GD430">
        <v>0.26250014347197431</v>
      </c>
      <c r="GE430">
        <v>0.130933941297525</v>
      </c>
      <c r="GF430">
        <v>0.5344786465355188</v>
      </c>
      <c r="GG430">
        <v>0.4281665527876255</v>
      </c>
      <c r="GH430">
        <v>4.5971471670847357E-2</v>
      </c>
      <c r="GI430">
        <v>0.57165429669724577</v>
      </c>
      <c r="GJ430"/>
      <c r="GK430">
        <v>0.16830937499999998</v>
      </c>
      <c r="GL430">
        <v>0.38239921874999994</v>
      </c>
      <c r="GM430">
        <v>1.9798213778409088</v>
      </c>
      <c r="GN430">
        <v>2.5670543019480512</v>
      </c>
      <c r="GO430">
        <v>0.99861964285714278</v>
      </c>
      <c r="GP430">
        <v>0.246140625</v>
      </c>
      <c r="GQ430">
        <v>0.64475135869565214</v>
      </c>
      <c r="GR430">
        <v>0.59590760869565207</v>
      </c>
      <c r="GS430">
        <v>4.8587740384615385E-2</v>
      </c>
      <c r="GT430">
        <v>0.76801789895566364</v>
      </c>
      <c r="GU430"/>
      <c r="GV430"/>
      <c r="GW430"/>
      <c r="GX430"/>
      <c r="GY430"/>
      <c r="GZ430"/>
      <c r="HA430"/>
      <c r="HB430"/>
      <c r="HC430"/>
    </row>
    <row r="431" spans="1:211" s="7" customFormat="1">
      <c r="A431" s="128" t="s">
        <v>17</v>
      </c>
      <c r="B431" s="48" t="s">
        <v>121</v>
      </c>
      <c r="C431" s="107">
        <f t="shared" si="387"/>
        <v>0.15603164258923619</v>
      </c>
      <c r="D431" s="190">
        <f>A$413</f>
        <v>7.33</v>
      </c>
      <c r="E431" s="8"/>
      <c r="F431" s="124"/>
      <c r="G431" s="217">
        <f t="shared" si="389"/>
        <v>2.2985735835423678E-2</v>
      </c>
      <c r="H431" s="217">
        <f t="shared" si="388"/>
        <v>0.1330459067538125</v>
      </c>
      <c r="I431" s="217">
        <f t="shared" si="388"/>
        <v>0</v>
      </c>
      <c r="J431" s="217">
        <f t="shared" si="388"/>
        <v>0</v>
      </c>
      <c r="K431" s="217">
        <f t="shared" si="388"/>
        <v>0</v>
      </c>
      <c r="L431" s="217">
        <f t="shared" si="388"/>
        <v>0</v>
      </c>
      <c r="M431" s="217">
        <f t="shared" si="388"/>
        <v>0</v>
      </c>
      <c r="N431" s="217">
        <f t="shared" si="388"/>
        <v>0</v>
      </c>
      <c r="O431" s="217">
        <f t="shared" si="388"/>
        <v>0</v>
      </c>
      <c r="P431" s="217">
        <f t="shared" si="388"/>
        <v>0</v>
      </c>
      <c r="Q431" s="217">
        <f t="shared" si="388"/>
        <v>0</v>
      </c>
      <c r="R431" s="217">
        <f t="shared" si="388"/>
        <v>0</v>
      </c>
      <c r="S431" s="217">
        <f t="shared" si="388"/>
        <v>0</v>
      </c>
      <c r="T431" s="217">
        <f t="shared" si="388"/>
        <v>0</v>
      </c>
      <c r="U431" s="217">
        <f t="shared" si="388"/>
        <v>0</v>
      </c>
      <c r="V431" s="217">
        <f t="shared" si="388"/>
        <v>0</v>
      </c>
      <c r="W431" s="217">
        <f t="shared" si="388"/>
        <v>0</v>
      </c>
      <c r="X431" s="217">
        <f t="shared" si="388"/>
        <v>0</v>
      </c>
      <c r="Y431" s="217">
        <f t="shared" si="388"/>
        <v>0</v>
      </c>
      <c r="Z431" s="217">
        <f t="shared" si="388"/>
        <v>0</v>
      </c>
      <c r="AA431" s="217">
        <f t="shared" si="388"/>
        <v>0</v>
      </c>
      <c r="AB431" s="217">
        <f t="shared" si="388"/>
        <v>0</v>
      </c>
      <c r="AC431" s="217">
        <f t="shared" si="388"/>
        <v>0</v>
      </c>
      <c r="AD431" s="217">
        <f t="shared" si="388"/>
        <v>0</v>
      </c>
      <c r="AE431" s="217">
        <f t="shared" si="388"/>
        <v>0</v>
      </c>
      <c r="AF431" s="217">
        <f t="shared" si="388"/>
        <v>0</v>
      </c>
      <c r="AG431" s="217">
        <f t="shared" si="388"/>
        <v>0</v>
      </c>
      <c r="AH431" s="217">
        <f t="shared" si="388"/>
        <v>0</v>
      </c>
      <c r="AI431" s="217">
        <f t="shared" si="388"/>
        <v>0</v>
      </c>
      <c r="AJ431" s="217">
        <f t="shared" si="388"/>
        <v>0</v>
      </c>
      <c r="AK431" s="217">
        <f t="shared" si="388"/>
        <v>0</v>
      </c>
      <c r="AL431" s="4"/>
      <c r="AM431" s="43">
        <v>415</v>
      </c>
      <c r="AN431">
        <v>50.464250607573014</v>
      </c>
      <c r="AO431">
        <v>1.1121045590716427</v>
      </c>
      <c r="AP431">
        <v>8.3980386675601277</v>
      </c>
      <c r="AQ431">
        <v>8.1757614079603744</v>
      </c>
      <c r="AR431">
        <v>1.0240791555371578</v>
      </c>
      <c r="AS431">
        <v>3.9491265285977413</v>
      </c>
      <c r="AT431" t="e">
        <v>#DIV/0!</v>
      </c>
      <c r="AU431" t="e">
        <v>#DIV/0!</v>
      </c>
      <c r="AV431"/>
      <c r="AW431"/>
      <c r="FY431" s="211">
        <v>426</v>
      </c>
      <c r="FZ431">
        <v>0.93922319051816339</v>
      </c>
      <c r="GA431">
        <v>1.5847837194701828</v>
      </c>
      <c r="GB431">
        <v>0.38607590288748161</v>
      </c>
      <c r="GC431">
        <v>0.29448816476862122</v>
      </c>
      <c r="GD431">
        <v>0.24977296279849492</v>
      </c>
      <c r="GE431">
        <v>8.6721962516549997E-2</v>
      </c>
      <c r="GF431">
        <v>0.82805716775636906</v>
      </c>
      <c r="GG431">
        <v>0.71770870692793864</v>
      </c>
      <c r="GH431">
        <v>0</v>
      </c>
      <c r="GI431">
        <v>0.52386914818268426</v>
      </c>
      <c r="GJ431"/>
      <c r="GK431">
        <v>0.93570937499999984</v>
      </c>
      <c r="GL431">
        <v>1.33439296875</v>
      </c>
      <c r="GM431">
        <v>0.63344921875000004</v>
      </c>
      <c r="GN431">
        <v>0.86247812499999998</v>
      </c>
      <c r="GO431">
        <v>0.94993124999999989</v>
      </c>
      <c r="GP431">
        <v>0.16284374999999998</v>
      </c>
      <c r="GQ431">
        <v>0.99869021739130437</v>
      </c>
      <c r="GR431">
        <v>0.99869021739130437</v>
      </c>
      <c r="GS431">
        <v>0</v>
      </c>
      <c r="GT431">
        <v>0.70355601222826092</v>
      </c>
      <c r="GU431"/>
      <c r="GV431"/>
      <c r="GW431"/>
      <c r="GX431"/>
      <c r="GY431"/>
      <c r="GZ431"/>
      <c r="HA431"/>
      <c r="HB431"/>
      <c r="HC431"/>
    </row>
    <row r="432" spans="1:211" s="7" customFormat="1">
      <c r="A432" s="4"/>
      <c r="B432" s="48" t="s">
        <v>122</v>
      </c>
      <c r="C432" s="107">
        <f t="shared" si="387"/>
        <v>0.67535830009444708</v>
      </c>
      <c r="D432" s="190">
        <f>A$414</f>
        <v>10.51</v>
      </c>
      <c r="E432" s="8"/>
      <c r="F432" s="124"/>
      <c r="G432" s="217">
        <f t="shared" si="389"/>
        <v>1.9614649459786949E-2</v>
      </c>
      <c r="H432" s="217">
        <f t="shared" ref="H432:AK432" si="390">(($A$453+$A$455*(H$422)+($A$457*$D432))*($E30*H46))</f>
        <v>0.38344804078270711</v>
      </c>
      <c r="I432" s="217">
        <f t="shared" si="390"/>
        <v>0.272295609851953</v>
      </c>
      <c r="J432" s="217">
        <f t="shared" si="390"/>
        <v>0</v>
      </c>
      <c r="K432" s="217">
        <f t="shared" si="390"/>
        <v>0</v>
      </c>
      <c r="L432" s="217">
        <f t="shared" si="390"/>
        <v>0</v>
      </c>
      <c r="M432" s="217">
        <f t="shared" si="390"/>
        <v>0</v>
      </c>
      <c r="N432" s="217">
        <f t="shared" si="390"/>
        <v>0</v>
      </c>
      <c r="O432" s="217">
        <f t="shared" si="390"/>
        <v>0</v>
      </c>
      <c r="P432" s="217">
        <f t="shared" si="390"/>
        <v>0</v>
      </c>
      <c r="Q432" s="217">
        <f t="shared" si="390"/>
        <v>0</v>
      </c>
      <c r="R432" s="217">
        <f t="shared" si="390"/>
        <v>0</v>
      </c>
      <c r="S432" s="217">
        <f t="shared" si="390"/>
        <v>0</v>
      </c>
      <c r="T432" s="217">
        <f t="shared" si="390"/>
        <v>0</v>
      </c>
      <c r="U432" s="217">
        <f t="shared" si="390"/>
        <v>0</v>
      </c>
      <c r="V432" s="217">
        <f t="shared" si="390"/>
        <v>0</v>
      </c>
      <c r="W432" s="217">
        <f t="shared" si="390"/>
        <v>0</v>
      </c>
      <c r="X432" s="217">
        <f t="shared" si="390"/>
        <v>0</v>
      </c>
      <c r="Y432" s="217">
        <f t="shared" si="390"/>
        <v>0</v>
      </c>
      <c r="Z432" s="217">
        <f t="shared" si="390"/>
        <v>0</v>
      </c>
      <c r="AA432" s="217">
        <f t="shared" si="390"/>
        <v>0</v>
      </c>
      <c r="AB432" s="217">
        <f t="shared" si="390"/>
        <v>0</v>
      </c>
      <c r="AC432" s="217">
        <f t="shared" si="390"/>
        <v>0</v>
      </c>
      <c r="AD432" s="217">
        <f t="shared" si="390"/>
        <v>0</v>
      </c>
      <c r="AE432" s="217">
        <f t="shared" si="390"/>
        <v>0</v>
      </c>
      <c r="AF432" s="217">
        <f t="shared" si="390"/>
        <v>0</v>
      </c>
      <c r="AG432" s="217">
        <f t="shared" si="390"/>
        <v>0</v>
      </c>
      <c r="AH432" s="217">
        <f t="shared" si="390"/>
        <v>0</v>
      </c>
      <c r="AI432" s="217">
        <f t="shared" si="390"/>
        <v>0</v>
      </c>
      <c r="AJ432" s="217">
        <f t="shared" si="390"/>
        <v>0</v>
      </c>
      <c r="AK432" s="217">
        <f t="shared" si="390"/>
        <v>0</v>
      </c>
      <c r="AL432" s="4"/>
      <c r="AM432" s="43">
        <v>416</v>
      </c>
      <c r="AN432">
        <v>26.610339082214079</v>
      </c>
      <c r="AO432">
        <v>0.73120913793498155</v>
      </c>
      <c r="AP432">
        <v>0.96592917128230682</v>
      </c>
      <c r="AQ432">
        <v>5.2130092831140136</v>
      </c>
      <c r="AR432">
        <v>0.67056627268564761</v>
      </c>
      <c r="AS432">
        <v>2.4125322311139792</v>
      </c>
      <c r="AT432">
        <v>0.42871959961992462</v>
      </c>
      <c r="AU432">
        <v>-3.0672383917658745E-2</v>
      </c>
      <c r="AV432"/>
      <c r="AW432"/>
      <c r="FY432" s="211">
        <v>427</v>
      </c>
      <c r="FZ432">
        <v>1.2256829642593772</v>
      </c>
      <c r="GA432">
        <v>1.9644566812038537</v>
      </c>
      <c r="GB432">
        <v>0.45558699621462073</v>
      </c>
      <c r="GC432">
        <v>0.24140675111146992</v>
      </c>
      <c r="GD432">
        <v>0.23454631332744749</v>
      </c>
      <c r="GE432">
        <v>0.13864413431700001</v>
      </c>
      <c r="GF432">
        <v>0.33409761863227821</v>
      </c>
      <c r="GG432">
        <v>0.28954215414031298</v>
      </c>
      <c r="GH432">
        <v>0</v>
      </c>
      <c r="GI432">
        <v>0.48595848881399806</v>
      </c>
      <c r="GJ432"/>
      <c r="GK432">
        <v>1.2214987132352939</v>
      </c>
      <c r="GL432">
        <v>1.6545416819852941</v>
      </c>
      <c r="GM432">
        <v>0.74749609375000003</v>
      </c>
      <c r="GN432">
        <v>0.70682499999999993</v>
      </c>
      <c r="GO432">
        <v>0.8920593750000001</v>
      </c>
      <c r="GP432">
        <v>0.260625</v>
      </c>
      <c r="GQ432">
        <v>0.40278260869565213</v>
      </c>
      <c r="GR432">
        <v>0.40278260869565213</v>
      </c>
      <c r="GS432">
        <v>0</v>
      </c>
      <c r="GT432">
        <v>0.65276735813618925</v>
      </c>
      <c r="GU432"/>
      <c r="GV432"/>
      <c r="GW432"/>
      <c r="GX432"/>
      <c r="GY432"/>
      <c r="GZ432"/>
      <c r="HA432"/>
      <c r="HB432"/>
      <c r="HC432"/>
    </row>
    <row r="433" spans="1:211" s="7" customFormat="1">
      <c r="A433" s="4"/>
      <c r="B433" s="48"/>
      <c r="C433" s="107"/>
      <c r="D433" s="19"/>
      <c r="E433" s="8"/>
      <c r="F433" s="124"/>
      <c r="G433" s="107"/>
      <c r="H433" s="107"/>
      <c r="I433" s="107"/>
      <c r="J433" s="107"/>
      <c r="K433" s="107"/>
      <c r="L433" s="107"/>
      <c r="M433" s="107"/>
      <c r="N433" s="107"/>
      <c r="O433" s="107"/>
      <c r="P433" s="107"/>
      <c r="Q433" s="107"/>
      <c r="R433" s="107"/>
      <c r="S433" s="107"/>
      <c r="T433" s="107"/>
      <c r="U433" s="107"/>
      <c r="V433" s="107"/>
      <c r="W433" s="107"/>
      <c r="X433" s="107"/>
      <c r="Y433" s="107"/>
      <c r="Z433" s="107"/>
      <c r="AA433" s="107"/>
      <c r="AB433" s="107"/>
      <c r="AC433" s="107"/>
      <c r="AD433" s="107"/>
      <c r="AE433" s="107"/>
      <c r="AF433" s="107"/>
      <c r="AG433" s="107"/>
      <c r="AH433" s="107"/>
      <c r="AI433" s="107"/>
      <c r="AJ433" s="107"/>
      <c r="AK433" s="107"/>
      <c r="AL433" s="4"/>
      <c r="AM433" s="43">
        <v>417</v>
      </c>
      <c r="AN433">
        <v>38.431467949498632</v>
      </c>
      <c r="AO433">
        <v>1.0580268041651442</v>
      </c>
      <c r="AP433">
        <v>1.3734324044593071</v>
      </c>
      <c r="AQ433">
        <v>7.3041130621181267</v>
      </c>
      <c r="AR433">
        <v>0.96908686742285843</v>
      </c>
      <c r="AS433">
        <v>3.5543444920894833</v>
      </c>
      <c r="AT433" t="e">
        <v>#DIV/0!</v>
      </c>
      <c r="AU433" t="e">
        <v>#DIV/0!</v>
      </c>
      <c r="AV433"/>
      <c r="AW433"/>
      <c r="FY433" s="211">
        <v>428</v>
      </c>
      <c r="FZ433">
        <v>1.5811938793039593</v>
      </c>
      <c r="GA433">
        <v>1.9953931990486788</v>
      </c>
      <c r="GB433">
        <v>1.284832529770795</v>
      </c>
      <c r="GC433">
        <v>1.0669749703376841</v>
      </c>
      <c r="GD433">
        <v>0.40003253703231428</v>
      </c>
      <c r="GE433">
        <v>0.10979074220377499</v>
      </c>
      <c r="GF433">
        <v>4.0519097411428125E-2</v>
      </c>
      <c r="GG433">
        <v>0.10116381687628125</v>
      </c>
      <c r="GH433">
        <v>0.1330459067538125</v>
      </c>
      <c r="GI433">
        <v>0.80332151644721095</v>
      </c>
      <c r="GJ433"/>
      <c r="GK433">
        <v>1.5759880514705882</v>
      </c>
      <c r="GL433">
        <v>1.6808943014705882</v>
      </c>
      <c r="GM433">
        <v>2.1097002840909087</v>
      </c>
      <c r="GN433">
        <v>3.1297605519480518</v>
      </c>
      <c r="GO433">
        <v>1.5214821428571428</v>
      </c>
      <c r="GP433">
        <v>0.20629687499999999</v>
      </c>
      <c r="GQ433">
        <v>4.8843750000000005E-2</v>
      </c>
      <c r="GR433">
        <v>0.14072916666666666</v>
      </c>
      <c r="GS433">
        <v>0.14072916666666666</v>
      </c>
      <c r="GT433">
        <v>1.0793486790170614</v>
      </c>
      <c r="GU433"/>
      <c r="GV433"/>
      <c r="GW433"/>
      <c r="GX433"/>
      <c r="GY433"/>
      <c r="GZ433"/>
      <c r="HA433"/>
      <c r="HB433"/>
      <c r="HC433"/>
    </row>
    <row r="434" spans="1:211" s="7" customFormat="1">
      <c r="A434" s="4"/>
      <c r="B434" s="48"/>
      <c r="C434" s="107"/>
      <c r="D434" s="18"/>
      <c r="E434" s="8"/>
      <c r="F434" s="174"/>
      <c r="G434" s="107"/>
      <c r="H434" s="107"/>
      <c r="I434" s="107"/>
      <c r="J434" s="107"/>
      <c r="K434" s="107"/>
      <c r="L434" s="107"/>
      <c r="M434" s="107"/>
      <c r="N434" s="107"/>
      <c r="O434" s="107"/>
      <c r="P434" s="107"/>
      <c r="Q434" s="107"/>
      <c r="R434" s="107"/>
      <c r="S434" s="107"/>
      <c r="T434" s="107"/>
      <c r="U434" s="107"/>
      <c r="V434" s="107"/>
      <c r="W434" s="107"/>
      <c r="X434" s="107"/>
      <c r="Y434" s="107"/>
      <c r="Z434" s="107"/>
      <c r="AA434" s="107"/>
      <c r="AB434" s="107"/>
      <c r="AC434" s="107"/>
      <c r="AD434" s="107"/>
      <c r="AE434" s="107"/>
      <c r="AF434" s="107"/>
      <c r="AG434" s="107"/>
      <c r="AH434" s="107"/>
      <c r="AI434" s="107"/>
      <c r="AJ434" s="107"/>
      <c r="AK434" s="107"/>
      <c r="AL434" s="4"/>
      <c r="AM434" s="43">
        <v>418</v>
      </c>
      <c r="AN434">
        <v>23.834785180097679</v>
      </c>
      <c r="AO434">
        <v>0.57573401665521973</v>
      </c>
      <c r="AP434">
        <v>1.0961356862636347</v>
      </c>
      <c r="AQ434">
        <v>3.5240997417474214</v>
      </c>
      <c r="AR434">
        <v>0.5292252533404096</v>
      </c>
      <c r="AS434">
        <v>2.0696048796674158</v>
      </c>
      <c r="AT434" t="e">
        <v>#DIV/0!</v>
      </c>
      <c r="AU434" t="e">
        <v>#DIV/0!</v>
      </c>
      <c r="AV434"/>
      <c r="AW434"/>
      <c r="FY434" s="211">
        <v>429</v>
      </c>
      <c r="FZ434">
        <v>2.1020067245218566</v>
      </c>
      <c r="GA434">
        <v>2.5749873215387193</v>
      </c>
      <c r="GB434">
        <v>2.1764468790497946</v>
      </c>
      <c r="GC434">
        <v>1.458447891501363</v>
      </c>
      <c r="GD434">
        <v>0.34187850860431174</v>
      </c>
      <c r="GE434">
        <v>0.21278408828197498</v>
      </c>
      <c r="GF434">
        <v>0.6538214796159032</v>
      </c>
      <c r="GG434">
        <v>0.71853667674935984</v>
      </c>
      <c r="GH434">
        <v>0.22255459596614241</v>
      </c>
      <c r="GI434">
        <v>1.1898960635899352</v>
      </c>
      <c r="GJ434"/>
      <c r="GK434">
        <v>2.0950367647058821</v>
      </c>
      <c r="GL434">
        <v>2.1692398897058824</v>
      </c>
      <c r="GM434">
        <v>3.574416193181817</v>
      </c>
      <c r="GN434">
        <v>4.2816139610389605</v>
      </c>
      <c r="GO434">
        <v>1.3009165178571427</v>
      </c>
      <c r="GP434">
        <v>0.39998437499999995</v>
      </c>
      <c r="GQ434">
        <v>0.78903260869565206</v>
      </c>
      <c r="GR434">
        <v>1.0001263586956521</v>
      </c>
      <c r="GS434">
        <v>0.23538762019230769</v>
      </c>
      <c r="GT434">
        <v>1.5989579409265604</v>
      </c>
      <c r="GU434"/>
      <c r="GV434"/>
      <c r="GW434"/>
      <c r="GX434"/>
      <c r="GY434"/>
      <c r="GZ434"/>
      <c r="HA434"/>
      <c r="HB434"/>
      <c r="HC434"/>
    </row>
    <row r="435" spans="1:211" s="7" customFormat="1">
      <c r="A435" s="4"/>
      <c r="B435" s="52" t="s">
        <v>53</v>
      </c>
      <c r="C435" s="53">
        <f>SUM(C423:C434)</f>
        <v>7.4802921940581495</v>
      </c>
      <c r="D435" s="13"/>
      <c r="E435" s="13"/>
      <c r="F435" s="96"/>
      <c r="G435" s="13"/>
      <c r="H435" s="13"/>
      <c r="I435" s="14"/>
      <c r="J435" s="13"/>
      <c r="K435" s="21"/>
      <c r="L435" s="13"/>
      <c r="M435" s="14"/>
      <c r="N435" s="13"/>
      <c r="O435" s="13"/>
      <c r="P435" s="13"/>
      <c r="Q435" s="14"/>
      <c r="R435" s="14"/>
      <c r="S435" s="14"/>
      <c r="T435" s="14"/>
      <c r="U435" s="14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94"/>
      <c r="AH435" s="94"/>
      <c r="AI435" s="94"/>
      <c r="AJ435" s="94"/>
      <c r="AK435" s="94"/>
      <c r="AL435" s="4"/>
      <c r="AM435" s="43">
        <v>419</v>
      </c>
      <c r="AN435">
        <v>54.215844857313051</v>
      </c>
      <c r="AO435">
        <v>1.2289140272077268</v>
      </c>
      <c r="AP435">
        <v>1.8779552461356683</v>
      </c>
      <c r="AQ435">
        <v>9.0489388324893074</v>
      </c>
      <c r="AR435">
        <v>1.132478114769262</v>
      </c>
      <c r="AS435">
        <v>4.3525313619463981</v>
      </c>
      <c r="AT435" t="e">
        <v>#DIV/0!</v>
      </c>
      <c r="AU435" t="e">
        <v>#DIV/0!</v>
      </c>
      <c r="AV435"/>
      <c r="AW435"/>
      <c r="FY435" s="211">
        <v>430</v>
      </c>
      <c r="FZ435">
        <v>1.2856349852447289</v>
      </c>
      <c r="GA435">
        <v>1.444248706363376</v>
      </c>
      <c r="GB435">
        <v>0.84549596127054949</v>
      </c>
      <c r="GC435">
        <v>0.6334136544963902</v>
      </c>
      <c r="GD435">
        <v>0.2045636221020975</v>
      </c>
      <c r="GE435">
        <v>0.1020805491843</v>
      </c>
      <c r="GF435">
        <v>8.1038194822856249E-2</v>
      </c>
      <c r="GG435">
        <v>0</v>
      </c>
      <c r="GH435">
        <v>4.5971471670847357E-2</v>
      </c>
      <c r="GI435">
        <v>0.5349525797891439</v>
      </c>
      <c r="GJ435"/>
      <c r="GK435">
        <v>1.281264338235294</v>
      </c>
      <c r="GL435">
        <v>1.2164479319852939</v>
      </c>
      <c r="GM435">
        <v>1.3881274857954544</v>
      </c>
      <c r="GN435">
        <v>1.8579720170454543</v>
      </c>
      <c r="GO435">
        <v>0.77805937499999989</v>
      </c>
      <c r="GP435">
        <v>0.1918125</v>
      </c>
      <c r="GQ435">
        <v>9.768750000000001E-2</v>
      </c>
      <c r="GR435">
        <v>0</v>
      </c>
      <c r="GS435">
        <v>4.8587740384615385E-2</v>
      </c>
      <c r="GT435">
        <v>0.71874528788307268</v>
      </c>
      <c r="GU435"/>
      <c r="GV435"/>
      <c r="GW435"/>
      <c r="GX435"/>
      <c r="GY435"/>
      <c r="GZ435"/>
      <c r="HA435"/>
      <c r="HB435"/>
      <c r="HC435"/>
    </row>
    <row r="436" spans="1:211" s="7" customFormat="1">
      <c r="A436" s="4"/>
      <c r="B436" s="4"/>
      <c r="C436" s="4"/>
      <c r="D436" s="4"/>
      <c r="E436" s="4"/>
      <c r="F436" s="4"/>
      <c r="G436" s="4"/>
      <c r="H436" s="4"/>
      <c r="I436" s="83"/>
      <c r="J436" s="4"/>
      <c r="K436" s="4"/>
      <c r="L436" s="28"/>
      <c r="M436" s="4"/>
      <c r="N436" s="4"/>
      <c r="O436" s="4"/>
      <c r="P436" s="28"/>
      <c r="Q436" s="4"/>
      <c r="R436" s="28"/>
      <c r="S436" s="28"/>
      <c r="T436" s="28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81"/>
      <c r="AG436" s="81"/>
      <c r="AH436" s="81"/>
      <c r="AI436" s="81"/>
      <c r="AJ436" s="81"/>
      <c r="AK436" s="81"/>
      <c r="AL436" s="81"/>
      <c r="AM436" s="43">
        <v>420</v>
      </c>
      <c r="AN436">
        <v>37.686366011705687</v>
      </c>
      <c r="AO436">
        <v>0.7146366007002507</v>
      </c>
      <c r="AP436">
        <v>2.7505986417393125</v>
      </c>
      <c r="AQ436">
        <v>5.4010671440412859</v>
      </c>
      <c r="AR436">
        <v>0.65550032974498329</v>
      </c>
      <c r="AS436">
        <v>3.2425505484577961</v>
      </c>
      <c r="AT436" t="e">
        <v>#DIV/0!</v>
      </c>
      <c r="AU436" t="e">
        <v>#DIV/0!</v>
      </c>
      <c r="AV436"/>
      <c r="AW436"/>
      <c r="FY436" s="211">
        <v>431</v>
      </c>
      <c r="FZ436">
        <v>0.42694871969764403</v>
      </c>
      <c r="GA436">
        <v>0.60462977689744657</v>
      </c>
      <c r="GB436">
        <v>0.34861463967287454</v>
      </c>
      <c r="GC436">
        <v>0.60752792170448189</v>
      </c>
      <c r="GD436">
        <v>0.38862799472562104</v>
      </c>
      <c r="GE436">
        <v>1.4453660419425E-2</v>
      </c>
      <c r="GF436">
        <v>0.31972386098362504</v>
      </c>
      <c r="GG436">
        <v>0.32783070573276563</v>
      </c>
      <c r="GH436">
        <v>6.6522953376906252E-2</v>
      </c>
      <c r="GI436">
        <v>0.43656922148012461</v>
      </c>
      <c r="GJ436"/>
      <c r="GK436">
        <v>0.42546562499999996</v>
      </c>
      <c r="GL436">
        <v>0.50905546874999996</v>
      </c>
      <c r="GM436">
        <v>0.57183203124999993</v>
      </c>
      <c r="GN436">
        <v>1.7794314732142855</v>
      </c>
      <c r="GO436">
        <v>1.4777049107142857</v>
      </c>
      <c r="GP436">
        <v>2.7140625000000002E-2</v>
      </c>
      <c r="GQ436">
        <v>0.38624999999999998</v>
      </c>
      <c r="GR436">
        <v>0.45661458333333332</v>
      </c>
      <c r="GS436">
        <v>7.0364583333333328E-2</v>
      </c>
      <c r="GT436">
        <v>0.5863234300595237</v>
      </c>
      <c r="GU436"/>
      <c r="GV436"/>
      <c r="GW436"/>
      <c r="GX436"/>
      <c r="GY436"/>
      <c r="GZ436"/>
      <c r="HA436"/>
      <c r="HB436"/>
      <c r="HC436"/>
    </row>
    <row r="437" spans="1:211" s="7" customFormat="1">
      <c r="A437" s="13" t="s">
        <v>77</v>
      </c>
      <c r="B437" s="10" t="s">
        <v>76</v>
      </c>
      <c r="C437" s="21"/>
      <c r="D437" s="13"/>
      <c r="E437" s="21"/>
      <c r="F437" s="13"/>
      <c r="G437" s="13"/>
      <c r="H437" s="94"/>
      <c r="I437" s="94"/>
      <c r="J437" s="94"/>
      <c r="K437" s="94"/>
      <c r="L437" s="94"/>
      <c r="M437" s="94"/>
      <c r="N437" s="94"/>
      <c r="O437" s="94"/>
      <c r="P437" s="94"/>
      <c r="Q437" s="94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81"/>
      <c r="AM437" s="43">
        <v>421</v>
      </c>
      <c r="AN437">
        <v>42.932236312399354</v>
      </c>
      <c r="AO437">
        <v>1.0137291947463767</v>
      </c>
      <c r="AP437">
        <v>3.8007653933556367</v>
      </c>
      <c r="AQ437">
        <v>5.3417773958589496</v>
      </c>
      <c r="AR437">
        <v>0.92157199522397881</v>
      </c>
      <c r="AS437">
        <v>3.8452949625895112</v>
      </c>
      <c r="AT437" t="e">
        <v>#DIV/0!</v>
      </c>
      <c r="AU437" t="e">
        <v>#DIV/0!</v>
      </c>
      <c r="AV437"/>
      <c r="AW437"/>
      <c r="FY437" s="211">
        <v>432</v>
      </c>
      <c r="FZ437">
        <v>1.1385312957074452</v>
      </c>
      <c r="GA437">
        <v>1.7646649023262395</v>
      </c>
      <c r="GB437">
        <v>0.58215835295148866</v>
      </c>
      <c r="GC437">
        <v>0.39545633390338553</v>
      </c>
      <c r="GD437">
        <v>0.23972569160476176</v>
      </c>
      <c r="GE437">
        <v>0.10979074220377499</v>
      </c>
      <c r="GF437">
        <v>0.69434057702733132</v>
      </c>
      <c r="GG437">
        <v>0.66795476831121925</v>
      </c>
      <c r="GH437">
        <v>0.20200311426008355</v>
      </c>
      <c r="GI437">
        <v>0.60345967873430684</v>
      </c>
      <c r="GJ437"/>
      <c r="GK437">
        <v>1.134573713235294</v>
      </c>
      <c r="GL437">
        <v>1.4861010569852942</v>
      </c>
      <c r="GM437">
        <v>0.95500390624999998</v>
      </c>
      <c r="GN437">
        <v>1.1584712053571427</v>
      </c>
      <c r="GO437">
        <v>0.91166651785714281</v>
      </c>
      <c r="GP437">
        <v>0.20629687499999999</v>
      </c>
      <c r="GQ437">
        <v>0.83787635869565202</v>
      </c>
      <c r="GR437">
        <v>0.92976177536231885</v>
      </c>
      <c r="GS437">
        <v>0.21361077724358973</v>
      </c>
      <c r="GT437">
        <v>0.81054625465633556</v>
      </c>
      <c r="GU437"/>
      <c r="GV437"/>
      <c r="GW437"/>
      <c r="GX437"/>
      <c r="GY437"/>
      <c r="GZ437"/>
      <c r="HA437"/>
      <c r="HB437"/>
      <c r="HC437"/>
    </row>
    <row r="438" spans="1:211" s="7" customFormat="1">
      <c r="A438" s="1">
        <f>SUM(E4:E15)</f>
        <v>100</v>
      </c>
      <c r="B438" s="13"/>
      <c r="C438" s="13"/>
      <c r="D438" s="13"/>
      <c r="E438" s="13"/>
      <c r="F438" s="13"/>
      <c r="G438" s="13"/>
      <c r="H438" s="14"/>
      <c r="I438" s="13"/>
      <c r="J438" s="21"/>
      <c r="K438" s="94"/>
      <c r="L438" s="94"/>
      <c r="M438" s="94"/>
      <c r="N438" s="94"/>
      <c r="O438" s="94"/>
      <c r="P438" s="94"/>
      <c r="Q438" s="94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81"/>
      <c r="AM438" s="43">
        <v>422</v>
      </c>
      <c r="AN438">
        <v>42.277544921954288</v>
      </c>
      <c r="AO438">
        <v>1.0976158082355223</v>
      </c>
      <c r="AP438">
        <v>1.0839473619538764</v>
      </c>
      <c r="AQ438">
        <v>7.9096684421736771</v>
      </c>
      <c r="AR438">
        <v>1.0268098256686566</v>
      </c>
      <c r="AS438">
        <v>3.4215526566051335</v>
      </c>
      <c r="AT438" t="e">
        <v>#DIV/0!</v>
      </c>
      <c r="AU438" t="e">
        <v>#DIV/0!</v>
      </c>
      <c r="AV438"/>
      <c r="AW438"/>
      <c r="FY438" s="211">
        <v>433</v>
      </c>
      <c r="FZ438">
        <v>1.9826346473130441</v>
      </c>
      <c r="GA438">
        <v>2.8664388471044076</v>
      </c>
      <c r="GB438">
        <v>0.99268334074552844</v>
      </c>
      <c r="GC438">
        <v>0.45080365744302076</v>
      </c>
      <c r="GD438">
        <v>9.0797784806204984E-2</v>
      </c>
      <c r="GE438">
        <v>7.6065534558449999E-2</v>
      </c>
      <c r="GF438">
        <v>0.5344786465355188</v>
      </c>
      <c r="GG438">
        <v>0.4281665527876255</v>
      </c>
      <c r="GH438">
        <v>2.2985735835423678E-2</v>
      </c>
      <c r="GI438">
        <v>0.68770635554452342</v>
      </c>
      <c r="GJ438"/>
      <c r="GK438">
        <v>1.9758599264705883</v>
      </c>
      <c r="GL438">
        <v>2.4143872702205886</v>
      </c>
      <c r="GM438">
        <v>1.6294009232954543</v>
      </c>
      <c r="GN438">
        <v>1.3229110795454544</v>
      </c>
      <c r="GO438">
        <v>0.34569374999999997</v>
      </c>
      <c r="GP438">
        <v>0.14296875000000001</v>
      </c>
      <c r="GQ438">
        <v>0.64475135869565214</v>
      </c>
      <c r="GR438">
        <v>0.59590760869565207</v>
      </c>
      <c r="GS438">
        <v>2.4293870192307693E-2</v>
      </c>
      <c r="GT438">
        <v>0.92399996573080057</v>
      </c>
      <c r="GU438"/>
      <c r="GV438"/>
      <c r="GW438"/>
      <c r="GX438"/>
      <c r="GY438"/>
      <c r="GZ438"/>
      <c r="HA438"/>
      <c r="HB438"/>
      <c r="HC438"/>
    </row>
    <row r="439" spans="1:211" s="7" customFormat="1">
      <c r="A439" s="13" t="s">
        <v>78</v>
      </c>
      <c r="B439" s="10" t="s">
        <v>51</v>
      </c>
      <c r="C439" s="13"/>
      <c r="D439" s="13"/>
      <c r="E439" s="13"/>
      <c r="F439" s="134"/>
      <c r="G439" s="11" t="s">
        <v>33</v>
      </c>
      <c r="H439" s="13"/>
      <c r="I439" s="14"/>
      <c r="J439" s="13"/>
      <c r="K439" s="21"/>
      <c r="L439" s="13"/>
      <c r="M439" s="14"/>
      <c r="N439" s="13"/>
      <c r="O439" s="13"/>
      <c r="P439" s="13"/>
      <c r="Q439" s="14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4"/>
      <c r="AM439" s="43">
        <v>423</v>
      </c>
      <c r="AN439">
        <v>34.249675596734413</v>
      </c>
      <c r="AO439">
        <v>0.9088243142102993</v>
      </c>
      <c r="AP439">
        <v>1.5200904621652467</v>
      </c>
      <c r="AQ439">
        <v>6.4254166999084354</v>
      </c>
      <c r="AR439">
        <v>0.84148746658978268</v>
      </c>
      <c r="AS439">
        <v>3.0898420040255767</v>
      </c>
      <c r="AT439">
        <v>0.55847219233427214</v>
      </c>
      <c r="AU439">
        <v>-1.9717035595671589E-2</v>
      </c>
      <c r="AV439"/>
      <c r="AW439"/>
      <c r="FY439" s="211">
        <v>434</v>
      </c>
      <c r="FZ439">
        <v>1.8700265480537477</v>
      </c>
      <c r="GA439">
        <v>2.2909545892105903</v>
      </c>
      <c r="GB439">
        <v>0.71977167242930373</v>
      </c>
      <c r="GC439">
        <v>0.59617215659609191</v>
      </c>
      <c r="GD439">
        <v>0.28390093371393754</v>
      </c>
      <c r="GE439">
        <v>0.22627102308187499</v>
      </c>
      <c r="GF439">
        <v>1.4030549117033158</v>
      </c>
      <c r="GG439">
        <v>1.1964571681537048</v>
      </c>
      <c r="GH439">
        <v>6.6522953376906252E-2</v>
      </c>
      <c r="GI439">
        <v>0.87663855239206412</v>
      </c>
      <c r="GJ439"/>
      <c r="GK439">
        <v>1.8637536764705878</v>
      </c>
      <c r="GL439">
        <v>1.9296833639705879</v>
      </c>
      <c r="GM439">
        <v>1.1814126420454545</v>
      </c>
      <c r="GN439">
        <v>1.7487642045454543</v>
      </c>
      <c r="GO439">
        <v>1.0804218750000001</v>
      </c>
      <c r="GP439">
        <v>0.42529687499999996</v>
      </c>
      <c r="GQ439">
        <v>1.6922853260869564</v>
      </c>
      <c r="GR439">
        <v>1.6649624094202897</v>
      </c>
      <c r="GS439">
        <v>7.0364583333333328E-2</v>
      </c>
      <c r="GT439">
        <v>1.1776476205872664</v>
      </c>
      <c r="GU439"/>
      <c r="GV439"/>
      <c r="GW439"/>
      <c r="GX439"/>
      <c r="GY439"/>
      <c r="GZ439"/>
      <c r="HA439"/>
      <c r="HB439"/>
      <c r="HC439"/>
    </row>
    <row r="440" spans="1:211" s="7" customFormat="1">
      <c r="A440" s="1">
        <v>4</v>
      </c>
      <c r="B440" s="12" t="s">
        <v>34</v>
      </c>
      <c r="C440" s="10"/>
      <c r="D440" s="10" t="s">
        <v>115</v>
      </c>
      <c r="E440" s="13"/>
      <c r="F440" s="134"/>
      <c r="G440" s="44">
        <v>0.5</v>
      </c>
      <c r="H440" s="45">
        <v>1</v>
      </c>
      <c r="I440" s="45">
        <v>2</v>
      </c>
      <c r="J440" s="45">
        <v>3</v>
      </c>
      <c r="K440" s="45">
        <v>4</v>
      </c>
      <c r="L440" s="45">
        <v>5</v>
      </c>
      <c r="M440" s="45">
        <v>6</v>
      </c>
      <c r="N440" s="45">
        <v>7</v>
      </c>
      <c r="O440" s="46">
        <v>8</v>
      </c>
      <c r="P440" s="46">
        <v>9</v>
      </c>
      <c r="Q440" s="47">
        <v>10</v>
      </c>
      <c r="R440" s="46">
        <v>11</v>
      </c>
      <c r="S440" s="47">
        <v>12</v>
      </c>
      <c r="T440" s="46">
        <v>13</v>
      </c>
      <c r="U440" s="47">
        <v>14</v>
      </c>
      <c r="V440" s="46">
        <v>15</v>
      </c>
      <c r="W440" s="47">
        <v>16</v>
      </c>
      <c r="X440" s="46">
        <v>17</v>
      </c>
      <c r="Y440" s="47">
        <v>18</v>
      </c>
      <c r="Z440" s="46">
        <v>19</v>
      </c>
      <c r="AA440" s="47">
        <v>20</v>
      </c>
      <c r="AB440" s="46">
        <v>21</v>
      </c>
      <c r="AC440" s="47">
        <v>22</v>
      </c>
      <c r="AD440" s="46">
        <v>23</v>
      </c>
      <c r="AE440" s="47">
        <v>24</v>
      </c>
      <c r="AF440" s="46">
        <v>25</v>
      </c>
      <c r="AG440" s="47">
        <v>26</v>
      </c>
      <c r="AH440" s="46">
        <v>27</v>
      </c>
      <c r="AI440" s="47">
        <v>28</v>
      </c>
      <c r="AJ440" s="46">
        <v>29</v>
      </c>
      <c r="AK440" s="47">
        <v>30</v>
      </c>
      <c r="AL440" s="4"/>
      <c r="AM440" s="43">
        <v>424</v>
      </c>
      <c r="AN440">
        <v>39.42635886968128</v>
      </c>
      <c r="AO440">
        <v>0.75826080266138651</v>
      </c>
      <c r="AP440">
        <v>0.20703633578797914</v>
      </c>
      <c r="AQ440">
        <v>5.2489788688692105</v>
      </c>
      <c r="AR440">
        <v>0.70461154699986195</v>
      </c>
      <c r="AS440">
        <v>3.257551461682398</v>
      </c>
      <c r="AT440">
        <v>0.6398354087238004</v>
      </c>
      <c r="AU440">
        <v>-1.700020254655138E-2</v>
      </c>
      <c r="AV440"/>
      <c r="AW440"/>
      <c r="FY440" s="211">
        <v>435</v>
      </c>
      <c r="FZ440">
        <v>1.9135835060096764</v>
      </c>
      <c r="GA440">
        <v>2.2817175225885324</v>
      </c>
      <c r="GB440">
        <v>0.2848902447829324</v>
      </c>
      <c r="GC440">
        <v>0.14192155212974811</v>
      </c>
      <c r="GD440">
        <v>6.5099740247797508E-2</v>
      </c>
      <c r="GE440">
        <v>7.1247647751975007E-2</v>
      </c>
      <c r="GF440">
        <v>0.86857626516779707</v>
      </c>
      <c r="GG440">
        <v>0.71770870692793864</v>
      </c>
      <c r="GH440">
        <v>6.8957207506271032E-2</v>
      </c>
      <c r="GI440">
        <v>0.55723763709928587</v>
      </c>
      <c r="GJ440"/>
      <c r="GK440">
        <v>1.9071599264705881</v>
      </c>
      <c r="GL440">
        <v>1.9220310202205881</v>
      </c>
      <c r="GM440">
        <v>0.46756640625000001</v>
      </c>
      <c r="GN440">
        <v>0.41639531249999995</v>
      </c>
      <c r="GO440">
        <v>0.24799687500000001</v>
      </c>
      <c r="GP440">
        <v>0.133921875</v>
      </c>
      <c r="GQ440">
        <v>1.0475339673913044</v>
      </c>
      <c r="GR440">
        <v>0.99869021739130437</v>
      </c>
      <c r="GS440">
        <v>7.2881610576923078E-2</v>
      </c>
      <c r="GT440">
        <v>0.74862775713776308</v>
      </c>
      <c r="GU440"/>
      <c r="GV440"/>
      <c r="GW440"/>
      <c r="GX440"/>
      <c r="GY440"/>
      <c r="GZ440"/>
      <c r="HA440"/>
      <c r="HB440"/>
      <c r="HC440"/>
    </row>
    <row r="441" spans="1:211" s="7" customFormat="1">
      <c r="A441" s="21" t="s">
        <v>97</v>
      </c>
      <c r="B441" s="48" t="s">
        <v>38</v>
      </c>
      <c r="C441" s="107">
        <f t="shared" ref="C441:C450" si="391">SUM(G441:AK441)</f>
        <v>1.262021883213946</v>
      </c>
      <c r="D441" s="190">
        <f>$A$405</f>
        <v>13.69</v>
      </c>
      <c r="E441" s="8"/>
      <c r="F441" s="124"/>
      <c r="G441" s="107">
        <f>IF(G423&lt;=0, "0.000", G423)</f>
        <v>7.1532528966130673E-2</v>
      </c>
      <c r="H441" s="107">
        <f t="shared" ref="H441:AK441" si="392">IF(H423&lt;=0, "0.000", H423)</f>
        <v>0.28219664415601869</v>
      </c>
      <c r="I441" s="107">
        <f t="shared" si="392"/>
        <v>0.90829271009179668</v>
      </c>
      <c r="J441" s="107" t="str">
        <f t="shared" si="392"/>
        <v>0.000</v>
      </c>
      <c r="K441" s="107" t="str">
        <f t="shared" si="392"/>
        <v>0.000</v>
      </c>
      <c r="L441" s="107" t="str">
        <f t="shared" si="392"/>
        <v>0.000</v>
      </c>
      <c r="M441" s="107" t="str">
        <f t="shared" si="392"/>
        <v>0.000</v>
      </c>
      <c r="N441" s="107" t="str">
        <f t="shared" si="392"/>
        <v>0.000</v>
      </c>
      <c r="O441" s="107" t="str">
        <f t="shared" si="392"/>
        <v>0.000</v>
      </c>
      <c r="P441" s="107" t="str">
        <f t="shared" si="392"/>
        <v>0.000</v>
      </c>
      <c r="Q441" s="107" t="str">
        <f t="shared" si="392"/>
        <v>0.000</v>
      </c>
      <c r="R441" s="107" t="str">
        <f t="shared" si="392"/>
        <v>0.000</v>
      </c>
      <c r="S441" s="107" t="str">
        <f t="shared" si="392"/>
        <v>0.000</v>
      </c>
      <c r="T441" s="107" t="str">
        <f t="shared" si="392"/>
        <v>0.000</v>
      </c>
      <c r="U441" s="107" t="str">
        <f t="shared" si="392"/>
        <v>0.000</v>
      </c>
      <c r="V441" s="107" t="str">
        <f t="shared" si="392"/>
        <v>0.000</v>
      </c>
      <c r="W441" s="107" t="str">
        <f t="shared" si="392"/>
        <v>0.000</v>
      </c>
      <c r="X441" s="107" t="str">
        <f t="shared" si="392"/>
        <v>0.000</v>
      </c>
      <c r="Y441" s="107" t="str">
        <f t="shared" si="392"/>
        <v>0.000</v>
      </c>
      <c r="Z441" s="107" t="str">
        <f t="shared" si="392"/>
        <v>0.000</v>
      </c>
      <c r="AA441" s="107" t="str">
        <f t="shared" si="392"/>
        <v>0.000</v>
      </c>
      <c r="AB441" s="107" t="str">
        <f t="shared" si="392"/>
        <v>0.000</v>
      </c>
      <c r="AC441" s="107" t="str">
        <f t="shared" si="392"/>
        <v>0.000</v>
      </c>
      <c r="AD441" s="107" t="str">
        <f t="shared" si="392"/>
        <v>0.000</v>
      </c>
      <c r="AE441" s="107" t="str">
        <f t="shared" si="392"/>
        <v>0.000</v>
      </c>
      <c r="AF441" s="107" t="str">
        <f t="shared" si="392"/>
        <v>0.000</v>
      </c>
      <c r="AG441" s="107" t="str">
        <f t="shared" si="392"/>
        <v>0.000</v>
      </c>
      <c r="AH441" s="107" t="str">
        <f t="shared" si="392"/>
        <v>0.000</v>
      </c>
      <c r="AI441" s="107" t="str">
        <f t="shared" si="392"/>
        <v>0.000</v>
      </c>
      <c r="AJ441" s="107" t="str">
        <f t="shared" si="392"/>
        <v>0.000</v>
      </c>
      <c r="AK441" s="107" t="str">
        <f t="shared" si="392"/>
        <v>0.000</v>
      </c>
      <c r="AL441" s="4"/>
      <c r="AM441" s="43">
        <v>425</v>
      </c>
      <c r="AN441">
        <v>34.329278564129098</v>
      </c>
      <c r="AO441">
        <v>0.83996091481276858</v>
      </c>
      <c r="AP441">
        <v>3.1849525001370576</v>
      </c>
      <c r="AQ441">
        <v>4.6772752861621729</v>
      </c>
      <c r="AR441">
        <v>0.76801789895566375</v>
      </c>
      <c r="AS441">
        <v>2.9929483962514558</v>
      </c>
      <c r="AT441" t="e">
        <v>#DIV/0!</v>
      </c>
      <c r="AU441" t="e">
        <v>#DIV/0!</v>
      </c>
      <c r="AV441"/>
      <c r="AW441"/>
      <c r="FY441" s="211">
        <v>436</v>
      </c>
      <c r="FZ441">
        <v>1.0658510593684116</v>
      </c>
      <c r="GA441">
        <v>1.3406048278448615</v>
      </c>
      <c r="GB441">
        <v>0.46855223007692337</v>
      </c>
      <c r="GC441">
        <v>0.40797633143973122</v>
      </c>
      <c r="GD441">
        <v>0.24405045112271251</v>
      </c>
      <c r="GE441">
        <v>0.21958148440754999</v>
      </c>
      <c r="GF441">
        <v>8.1038194822856249E-2</v>
      </c>
      <c r="GG441">
        <v>0</v>
      </c>
      <c r="GH441">
        <v>2.2985735835423678E-2</v>
      </c>
      <c r="GI441">
        <v>0.42897927323248963</v>
      </c>
      <c r="GJ441"/>
      <c r="GK441">
        <v>1.0622174632352939</v>
      </c>
      <c r="GL441">
        <v>1.1291080882352942</v>
      </c>
      <c r="GM441">
        <v>0.7687656249999999</v>
      </c>
      <c r="GN441">
        <v>1.1957031249999999</v>
      </c>
      <c r="GO441">
        <v>0.92826562499999998</v>
      </c>
      <c r="GP441">
        <v>0.41259374999999998</v>
      </c>
      <c r="GQ441">
        <v>9.768750000000001E-2</v>
      </c>
      <c r="GR441">
        <v>0</v>
      </c>
      <c r="GS441">
        <v>2.4293870192307693E-2</v>
      </c>
      <c r="GT441">
        <v>0.57624601668552033</v>
      </c>
      <c r="GU441"/>
      <c r="GV441"/>
      <c r="GW441"/>
      <c r="GX441"/>
      <c r="GY441"/>
      <c r="GZ441"/>
      <c r="HA441"/>
      <c r="HB441"/>
      <c r="HC441"/>
    </row>
    <row r="442" spans="1:211" s="7" customFormat="1">
      <c r="A442" s="1">
        <v>385</v>
      </c>
      <c r="B442" s="48" t="s">
        <v>39</v>
      </c>
      <c r="C442" s="107">
        <f t="shared" si="391"/>
        <v>2.2648255296275241</v>
      </c>
      <c r="D442" s="190">
        <f>$A$406</f>
        <v>9.4499999999999993</v>
      </c>
      <c r="E442" s="8"/>
      <c r="F442" s="124"/>
      <c r="G442" s="173">
        <f t="shared" ref="G442:G450" si="393">IF(G424&lt;=0, "0.000", G424)</f>
        <v>8.4661921622119996E-2</v>
      </c>
      <c r="H442" s="173">
        <f t="shared" ref="H442:V442" si="394">IF(H424&lt;=0, "0.000", H424)</f>
        <v>0.65645908376614637</v>
      </c>
      <c r="I442" s="173">
        <f t="shared" si="394"/>
        <v>1.5237045242392575</v>
      </c>
      <c r="J442" s="173" t="str">
        <f t="shared" si="394"/>
        <v>0.000</v>
      </c>
      <c r="K442" s="173" t="str">
        <f t="shared" si="394"/>
        <v>0.000</v>
      </c>
      <c r="L442" s="173" t="str">
        <f t="shared" si="394"/>
        <v>0.000</v>
      </c>
      <c r="M442" s="173" t="str">
        <f t="shared" si="394"/>
        <v>0.000</v>
      </c>
      <c r="N442" s="173" t="str">
        <f t="shared" si="394"/>
        <v>0.000</v>
      </c>
      <c r="O442" s="173" t="str">
        <f t="shared" si="394"/>
        <v>0.000</v>
      </c>
      <c r="P442" s="173" t="str">
        <f t="shared" si="394"/>
        <v>0.000</v>
      </c>
      <c r="Q442" s="173" t="str">
        <f t="shared" si="394"/>
        <v>0.000</v>
      </c>
      <c r="R442" s="173" t="str">
        <f t="shared" si="394"/>
        <v>0.000</v>
      </c>
      <c r="S442" s="173" t="str">
        <f t="shared" si="394"/>
        <v>0.000</v>
      </c>
      <c r="T442" s="173" t="str">
        <f t="shared" si="394"/>
        <v>0.000</v>
      </c>
      <c r="U442" s="173" t="str">
        <f t="shared" si="394"/>
        <v>0.000</v>
      </c>
      <c r="V442" s="173" t="str">
        <f t="shared" si="394"/>
        <v>0.000</v>
      </c>
      <c r="W442" s="173" t="str">
        <f t="shared" ref="W442:AK442" si="395">IF(W424&lt;=0, "0.000", W424)</f>
        <v>0.000</v>
      </c>
      <c r="X442" s="173" t="str">
        <f t="shared" si="395"/>
        <v>0.000</v>
      </c>
      <c r="Y442" s="173" t="str">
        <f t="shared" si="395"/>
        <v>0.000</v>
      </c>
      <c r="Z442" s="173" t="str">
        <f t="shared" si="395"/>
        <v>0.000</v>
      </c>
      <c r="AA442" s="173" t="str">
        <f t="shared" si="395"/>
        <v>0.000</v>
      </c>
      <c r="AB442" s="173" t="str">
        <f t="shared" si="395"/>
        <v>0.000</v>
      </c>
      <c r="AC442" s="173" t="str">
        <f t="shared" si="395"/>
        <v>0.000</v>
      </c>
      <c r="AD442" s="173" t="str">
        <f t="shared" si="395"/>
        <v>0.000</v>
      </c>
      <c r="AE442" s="173" t="str">
        <f t="shared" si="395"/>
        <v>0.000</v>
      </c>
      <c r="AF442" s="173" t="str">
        <f t="shared" si="395"/>
        <v>0.000</v>
      </c>
      <c r="AG442" s="173" t="str">
        <f t="shared" si="395"/>
        <v>0.000</v>
      </c>
      <c r="AH442" s="173" t="str">
        <f t="shared" si="395"/>
        <v>0.000</v>
      </c>
      <c r="AI442" s="173" t="str">
        <f t="shared" si="395"/>
        <v>0.000</v>
      </c>
      <c r="AJ442" s="173" t="str">
        <f t="shared" si="395"/>
        <v>0.000</v>
      </c>
      <c r="AK442" s="173" t="str">
        <f t="shared" si="395"/>
        <v>0.000</v>
      </c>
      <c r="AL442" s="4"/>
      <c r="AM442" s="43">
        <v>426</v>
      </c>
      <c r="AN442">
        <v>38.880849939613526</v>
      </c>
      <c r="AO442">
        <v>0.75797411345108689</v>
      </c>
      <c r="AP442">
        <v>10.250760070097538</v>
      </c>
      <c r="AQ442">
        <v>5.6107009258264853</v>
      </c>
      <c r="AR442">
        <v>0.70355601222826092</v>
      </c>
      <c r="AS442">
        <v>3.3250204852467702</v>
      </c>
      <c r="AT442" t="e">
        <v>#DIV/0!</v>
      </c>
      <c r="AU442" t="e">
        <v>#DIV/0!</v>
      </c>
      <c r="AV442"/>
      <c r="AW442"/>
      <c r="FY442" s="211">
        <v>437</v>
      </c>
      <c r="FZ442">
        <v>0.29427631130328752</v>
      </c>
      <c r="GA442">
        <v>1.0779637509501305</v>
      </c>
      <c r="GB442">
        <v>0.4205771939153039</v>
      </c>
      <c r="GC442">
        <v>0.4957763907786874</v>
      </c>
      <c r="GD442">
        <v>0.40570478202219107</v>
      </c>
      <c r="GE442">
        <v>0.1406236436361</v>
      </c>
      <c r="GF442">
        <v>0.57499774394694703</v>
      </c>
      <c r="GG442">
        <v>0.4281665527876255</v>
      </c>
      <c r="GH442">
        <v>0</v>
      </c>
      <c r="GI442">
        <v>0.47950131183376976</v>
      </c>
      <c r="GJ442"/>
      <c r="GK442">
        <v>0.29325000000000001</v>
      </c>
      <c r="GL442">
        <v>0.9078515625000001</v>
      </c>
      <c r="GM442">
        <v>0.68999218750000013</v>
      </c>
      <c r="GN442">
        <v>1.4518080357142855</v>
      </c>
      <c r="GO442">
        <v>1.5429174107142856</v>
      </c>
      <c r="GP442">
        <v>0.26418750000000002</v>
      </c>
      <c r="GQ442">
        <v>0.69359510869565222</v>
      </c>
      <c r="GR442">
        <v>0.59590760869565207</v>
      </c>
      <c r="GS442">
        <v>0</v>
      </c>
      <c r="GT442">
        <v>0.6439509413819875</v>
      </c>
      <c r="GU442"/>
      <c r="GV442"/>
      <c r="GW442"/>
      <c r="GX442"/>
      <c r="GY442"/>
      <c r="GZ442"/>
      <c r="HA442"/>
      <c r="HB442"/>
      <c r="HC442"/>
    </row>
    <row r="443" spans="1:211" s="7" customFormat="1">
      <c r="A443" s="103" t="s">
        <v>98</v>
      </c>
      <c r="B443" s="48" t="s">
        <v>40</v>
      </c>
      <c r="C443" s="107">
        <f t="shared" si="391"/>
        <v>0.73955720657014445</v>
      </c>
      <c r="D443" s="190">
        <f>A$407</f>
        <v>4.03</v>
      </c>
      <c r="E443" s="8"/>
      <c r="F443" s="124"/>
      <c r="G443" s="173" t="str">
        <f t="shared" si="393"/>
        <v>0.000</v>
      </c>
      <c r="H443" s="173">
        <f t="shared" ref="H443:V443" si="396">IF(H425&lt;=0, "0.000", H425)</f>
        <v>0.30591144711335744</v>
      </c>
      <c r="I443" s="173">
        <f t="shared" si="396"/>
        <v>0.43364575945678702</v>
      </c>
      <c r="J443" s="173" t="str">
        <f t="shared" si="396"/>
        <v>0.000</v>
      </c>
      <c r="K443" s="173" t="str">
        <f t="shared" si="396"/>
        <v>0.000</v>
      </c>
      <c r="L443" s="173" t="str">
        <f t="shared" si="396"/>
        <v>0.000</v>
      </c>
      <c r="M443" s="173" t="str">
        <f t="shared" si="396"/>
        <v>0.000</v>
      </c>
      <c r="N443" s="173" t="str">
        <f t="shared" si="396"/>
        <v>0.000</v>
      </c>
      <c r="O443" s="173" t="str">
        <f t="shared" si="396"/>
        <v>0.000</v>
      </c>
      <c r="P443" s="173" t="str">
        <f t="shared" si="396"/>
        <v>0.000</v>
      </c>
      <c r="Q443" s="173" t="str">
        <f t="shared" si="396"/>
        <v>0.000</v>
      </c>
      <c r="R443" s="173" t="str">
        <f t="shared" si="396"/>
        <v>0.000</v>
      </c>
      <c r="S443" s="173" t="str">
        <f t="shared" si="396"/>
        <v>0.000</v>
      </c>
      <c r="T443" s="173" t="str">
        <f t="shared" si="396"/>
        <v>0.000</v>
      </c>
      <c r="U443" s="173" t="str">
        <f t="shared" si="396"/>
        <v>0.000</v>
      </c>
      <c r="V443" s="173" t="str">
        <f t="shared" si="396"/>
        <v>0.000</v>
      </c>
      <c r="W443" s="173" t="str">
        <f t="shared" ref="W443:AK443" si="397">IF(W425&lt;=0, "0.000", W425)</f>
        <v>0.000</v>
      </c>
      <c r="X443" s="173" t="str">
        <f t="shared" si="397"/>
        <v>0.000</v>
      </c>
      <c r="Y443" s="173" t="str">
        <f t="shared" si="397"/>
        <v>0.000</v>
      </c>
      <c r="Z443" s="173" t="str">
        <f t="shared" si="397"/>
        <v>0.000</v>
      </c>
      <c r="AA443" s="173" t="str">
        <f t="shared" si="397"/>
        <v>0.000</v>
      </c>
      <c r="AB443" s="173" t="str">
        <f t="shared" si="397"/>
        <v>0.000</v>
      </c>
      <c r="AC443" s="173" t="str">
        <f t="shared" si="397"/>
        <v>0.000</v>
      </c>
      <c r="AD443" s="173" t="str">
        <f t="shared" si="397"/>
        <v>0.000</v>
      </c>
      <c r="AE443" s="173" t="str">
        <f t="shared" si="397"/>
        <v>0.000</v>
      </c>
      <c r="AF443" s="173" t="str">
        <f t="shared" si="397"/>
        <v>0.000</v>
      </c>
      <c r="AG443" s="173" t="str">
        <f t="shared" si="397"/>
        <v>0.000</v>
      </c>
      <c r="AH443" s="173" t="str">
        <f t="shared" si="397"/>
        <v>0.000</v>
      </c>
      <c r="AI443" s="173" t="str">
        <f t="shared" si="397"/>
        <v>0.000</v>
      </c>
      <c r="AJ443" s="173" t="str">
        <f t="shared" si="397"/>
        <v>0.000</v>
      </c>
      <c r="AK443" s="173" t="str">
        <f t="shared" si="397"/>
        <v>0.000</v>
      </c>
      <c r="AL443" s="4"/>
      <c r="AM443" s="43">
        <v>427</v>
      </c>
      <c r="AN443">
        <v>32.781116350525714</v>
      </c>
      <c r="AO443">
        <v>0.69413784394980826</v>
      </c>
      <c r="AP443">
        <v>4.2715046994122199</v>
      </c>
      <c r="AQ443">
        <v>5.3699221020203591</v>
      </c>
      <c r="AR443">
        <v>0.65276735813618925</v>
      </c>
      <c r="AS443">
        <v>2.7178931941731284</v>
      </c>
      <c r="AT443" t="e">
        <v>#DIV/0!</v>
      </c>
      <c r="AU443" t="e">
        <v>#DIV/0!</v>
      </c>
      <c r="AV443"/>
      <c r="AW443"/>
      <c r="FY443" s="211">
        <v>438</v>
      </c>
      <c r="FZ443">
        <v>1.4504049506561545</v>
      </c>
      <c r="GA443">
        <v>2.3270282615334614</v>
      </c>
      <c r="GB443">
        <v>0.82823919763813947</v>
      </c>
      <c r="GC443">
        <v>0.78371370781613703</v>
      </c>
      <c r="GD443">
        <v>0.42569046873971356</v>
      </c>
      <c r="GE443">
        <v>8.8593614384399985E-2</v>
      </c>
      <c r="GF443">
        <v>0.15986193049181252</v>
      </c>
      <c r="GG443">
        <v>0.18920630708545313</v>
      </c>
      <c r="GH443">
        <v>0.13548016088317727</v>
      </c>
      <c r="GI443">
        <v>0.70872004935207888</v>
      </c>
      <c r="GJ443"/>
      <c r="GK443">
        <v>1.4454693014705882</v>
      </c>
      <c r="GL443">
        <v>1.9600278952205881</v>
      </c>
      <c r="GM443">
        <v>1.3597290482954545</v>
      </c>
      <c r="GN443">
        <v>2.2975534902597401</v>
      </c>
      <c r="GO443">
        <v>1.6188830357142858</v>
      </c>
      <c r="GP443">
        <v>0.16649999999999998</v>
      </c>
      <c r="GQ443">
        <v>0.19312499999999999</v>
      </c>
      <c r="GR443">
        <v>0.26348958333333333</v>
      </c>
      <c r="GS443">
        <v>0.14324619391025639</v>
      </c>
      <c r="GT443">
        <v>0.95209051587811699</v>
      </c>
      <c r="GU443"/>
      <c r="GV443"/>
      <c r="GW443"/>
      <c r="GX443"/>
      <c r="GY443"/>
      <c r="GZ443"/>
      <c r="HA443"/>
      <c r="HB443"/>
      <c r="HC443"/>
    </row>
    <row r="444" spans="1:211" s="7" customFormat="1">
      <c r="A444" s="1">
        <v>345</v>
      </c>
      <c r="B444" s="48" t="s">
        <v>41</v>
      </c>
      <c r="C444" s="107">
        <f t="shared" si="391"/>
        <v>0.39978108312002303</v>
      </c>
      <c r="D444" s="190">
        <f>A$408</f>
        <v>0.78</v>
      </c>
      <c r="E444" s="8"/>
      <c r="F444" s="124"/>
      <c r="G444" s="173">
        <f t="shared" si="393"/>
        <v>1.1113018525743749E-2</v>
      </c>
      <c r="H444" s="173">
        <f t="shared" ref="H444:V444" si="398">IF(H426&lt;=0, "0.000", H426)</f>
        <v>0.315758085331584</v>
      </c>
      <c r="I444" s="173">
        <f t="shared" si="398"/>
        <v>7.2909979262695296E-2</v>
      </c>
      <c r="J444" s="173" t="str">
        <f t="shared" si="398"/>
        <v>0.000</v>
      </c>
      <c r="K444" s="173" t="str">
        <f t="shared" si="398"/>
        <v>0.000</v>
      </c>
      <c r="L444" s="173" t="str">
        <f t="shared" si="398"/>
        <v>0.000</v>
      </c>
      <c r="M444" s="173" t="str">
        <f t="shared" si="398"/>
        <v>0.000</v>
      </c>
      <c r="N444" s="173" t="str">
        <f t="shared" si="398"/>
        <v>0.000</v>
      </c>
      <c r="O444" s="173" t="str">
        <f t="shared" si="398"/>
        <v>0.000</v>
      </c>
      <c r="P444" s="173" t="str">
        <f t="shared" si="398"/>
        <v>0.000</v>
      </c>
      <c r="Q444" s="173" t="str">
        <f t="shared" si="398"/>
        <v>0.000</v>
      </c>
      <c r="R444" s="173" t="str">
        <f t="shared" si="398"/>
        <v>0.000</v>
      </c>
      <c r="S444" s="173" t="str">
        <f t="shared" si="398"/>
        <v>0.000</v>
      </c>
      <c r="T444" s="173" t="str">
        <f t="shared" si="398"/>
        <v>0.000</v>
      </c>
      <c r="U444" s="173" t="str">
        <f t="shared" si="398"/>
        <v>0.000</v>
      </c>
      <c r="V444" s="173" t="str">
        <f t="shared" si="398"/>
        <v>0.000</v>
      </c>
      <c r="W444" s="173" t="str">
        <f t="shared" ref="W444:AK444" si="399">IF(W426&lt;=0, "0.000", W426)</f>
        <v>0.000</v>
      </c>
      <c r="X444" s="173" t="str">
        <f t="shared" si="399"/>
        <v>0.000</v>
      </c>
      <c r="Y444" s="173" t="str">
        <f t="shared" si="399"/>
        <v>0.000</v>
      </c>
      <c r="Z444" s="173" t="str">
        <f t="shared" si="399"/>
        <v>0.000</v>
      </c>
      <c r="AA444" s="173" t="str">
        <f t="shared" si="399"/>
        <v>0.000</v>
      </c>
      <c r="AB444" s="173" t="str">
        <f t="shared" si="399"/>
        <v>0.000</v>
      </c>
      <c r="AC444" s="173" t="str">
        <f t="shared" si="399"/>
        <v>0.000</v>
      </c>
      <c r="AD444" s="173" t="str">
        <f t="shared" si="399"/>
        <v>0.000</v>
      </c>
      <c r="AE444" s="173" t="str">
        <f t="shared" si="399"/>
        <v>0.000</v>
      </c>
      <c r="AF444" s="173" t="str">
        <f t="shared" si="399"/>
        <v>0.000</v>
      </c>
      <c r="AG444" s="173" t="str">
        <f t="shared" si="399"/>
        <v>0.000</v>
      </c>
      <c r="AH444" s="173" t="str">
        <f t="shared" si="399"/>
        <v>0.000</v>
      </c>
      <c r="AI444" s="173" t="str">
        <f t="shared" si="399"/>
        <v>0.000</v>
      </c>
      <c r="AJ444" s="173" t="str">
        <f t="shared" si="399"/>
        <v>0.000</v>
      </c>
      <c r="AK444" s="173" t="str">
        <f t="shared" si="399"/>
        <v>0.000</v>
      </c>
      <c r="AL444" s="4"/>
      <c r="AM444" s="43">
        <v>428</v>
      </c>
      <c r="AN444">
        <v>46.856870525988178</v>
      </c>
      <c r="AO444">
        <v>1.1633772969187672</v>
      </c>
      <c r="AP444">
        <v>2.3459140317753739</v>
      </c>
      <c r="AQ444">
        <v>7.5162681951859387</v>
      </c>
      <c r="AR444">
        <v>1.0793486790170612</v>
      </c>
      <c r="AS444">
        <v>3.632234873819455</v>
      </c>
      <c r="AT444" t="e">
        <v>#DIV/0!</v>
      </c>
      <c r="AU444" t="e">
        <v>#DIV/0!</v>
      </c>
      <c r="AV444"/>
      <c r="AW444"/>
      <c r="FY444" s="211">
        <v>439</v>
      </c>
      <c r="FZ444">
        <v>0.19621097491550621</v>
      </c>
      <c r="GA444">
        <v>0.58366617279991162</v>
      </c>
      <c r="GB444">
        <v>1.0118041948165502</v>
      </c>
      <c r="GC444">
        <v>0.95780873645610254</v>
      </c>
      <c r="GD444">
        <v>0.46852274462747778</v>
      </c>
      <c r="GE444">
        <v>0.21102029386537499</v>
      </c>
      <c r="GF444">
        <v>0.41513581345513451</v>
      </c>
      <c r="GG444">
        <v>0.39070597101659427</v>
      </c>
      <c r="GH444">
        <v>0.15603164258923619</v>
      </c>
      <c r="GI444">
        <v>0.64077618467134378</v>
      </c>
      <c r="GJ444"/>
      <c r="GK444">
        <v>0.19556249999999997</v>
      </c>
      <c r="GL444">
        <v>0.49141406249999997</v>
      </c>
      <c r="GM444">
        <v>1.6605142045454544</v>
      </c>
      <c r="GN444">
        <v>2.8076371956168829</v>
      </c>
      <c r="GO444">
        <v>1.7813651785714284</v>
      </c>
      <c r="GP444">
        <v>0.39623437500000003</v>
      </c>
      <c r="GQ444">
        <v>0.50047010869565223</v>
      </c>
      <c r="GR444">
        <v>0.54351177536231876</v>
      </c>
      <c r="GS444">
        <v>0.16502303685897435</v>
      </c>
      <c r="GT444">
        <v>0.86058700573430191</v>
      </c>
      <c r="GU444"/>
      <c r="GV444"/>
      <c r="GW444"/>
      <c r="GX444"/>
      <c r="GY444"/>
      <c r="GZ444"/>
      <c r="HA444"/>
      <c r="HB444"/>
      <c r="HC444"/>
    </row>
    <row r="445" spans="1:211" s="7" customFormat="1">
      <c r="A445" s="4"/>
      <c r="B445" s="48" t="s">
        <v>42</v>
      </c>
      <c r="C445" s="107">
        <f t="shared" si="391"/>
        <v>0.22402011211883668</v>
      </c>
      <c r="D445" s="190">
        <f>A$409</f>
        <v>0.14000000000000001</v>
      </c>
      <c r="E445" s="8"/>
      <c r="F445" s="124"/>
      <c r="G445" s="173">
        <f t="shared" si="393"/>
        <v>8.559457890637499E-3</v>
      </c>
      <c r="H445" s="173">
        <f t="shared" ref="H445:V445" si="400">IF(H427&lt;=0, "0.000", H427)</f>
        <v>0.1945766371344492</v>
      </c>
      <c r="I445" s="173">
        <f t="shared" si="400"/>
        <v>2.0884017093749995E-2</v>
      </c>
      <c r="J445" s="173" t="str">
        <f t="shared" si="400"/>
        <v>0.000</v>
      </c>
      <c r="K445" s="173" t="str">
        <f t="shared" si="400"/>
        <v>0.000</v>
      </c>
      <c r="L445" s="173" t="str">
        <f t="shared" si="400"/>
        <v>0.000</v>
      </c>
      <c r="M445" s="173" t="str">
        <f t="shared" si="400"/>
        <v>0.000</v>
      </c>
      <c r="N445" s="173" t="str">
        <f t="shared" si="400"/>
        <v>0.000</v>
      </c>
      <c r="O445" s="173" t="str">
        <f t="shared" si="400"/>
        <v>0.000</v>
      </c>
      <c r="P445" s="173" t="str">
        <f t="shared" si="400"/>
        <v>0.000</v>
      </c>
      <c r="Q445" s="173" t="str">
        <f t="shared" si="400"/>
        <v>0.000</v>
      </c>
      <c r="R445" s="173" t="str">
        <f t="shared" si="400"/>
        <v>0.000</v>
      </c>
      <c r="S445" s="173" t="str">
        <f t="shared" si="400"/>
        <v>0.000</v>
      </c>
      <c r="T445" s="173" t="str">
        <f t="shared" si="400"/>
        <v>0.000</v>
      </c>
      <c r="U445" s="173" t="str">
        <f t="shared" si="400"/>
        <v>0.000</v>
      </c>
      <c r="V445" s="173" t="str">
        <f t="shared" si="400"/>
        <v>0.000</v>
      </c>
      <c r="W445" s="173" t="str">
        <f t="shared" ref="W445:AK445" si="401">IF(W427&lt;=0, "0.000", W427)</f>
        <v>0.000</v>
      </c>
      <c r="X445" s="173" t="str">
        <f t="shared" si="401"/>
        <v>0.000</v>
      </c>
      <c r="Y445" s="173" t="str">
        <f t="shared" si="401"/>
        <v>0.000</v>
      </c>
      <c r="Z445" s="173" t="str">
        <f t="shared" si="401"/>
        <v>0.000</v>
      </c>
      <c r="AA445" s="173" t="str">
        <f t="shared" si="401"/>
        <v>0.000</v>
      </c>
      <c r="AB445" s="173" t="str">
        <f t="shared" si="401"/>
        <v>0.000</v>
      </c>
      <c r="AC445" s="173" t="str">
        <f t="shared" si="401"/>
        <v>0.000</v>
      </c>
      <c r="AD445" s="173" t="str">
        <f t="shared" si="401"/>
        <v>0.000</v>
      </c>
      <c r="AE445" s="173" t="str">
        <f t="shared" si="401"/>
        <v>0.000</v>
      </c>
      <c r="AF445" s="173" t="str">
        <f t="shared" si="401"/>
        <v>0.000</v>
      </c>
      <c r="AG445" s="173" t="str">
        <f t="shared" si="401"/>
        <v>0.000</v>
      </c>
      <c r="AH445" s="173" t="str">
        <f t="shared" si="401"/>
        <v>0.000</v>
      </c>
      <c r="AI445" s="173" t="str">
        <f t="shared" si="401"/>
        <v>0.000</v>
      </c>
      <c r="AJ445" s="173" t="str">
        <f t="shared" si="401"/>
        <v>0.000</v>
      </c>
      <c r="AK445" s="173" t="str">
        <f t="shared" si="401"/>
        <v>0.000</v>
      </c>
      <c r="AL445" s="4"/>
      <c r="AM445" s="43">
        <v>429</v>
      </c>
      <c r="AN445">
        <v>63.828856712696222</v>
      </c>
      <c r="AO445">
        <v>1.7444712229999859</v>
      </c>
      <c r="AP445">
        <v>9.2074360523647822</v>
      </c>
      <c r="AQ445">
        <v>11.65136022941936</v>
      </c>
      <c r="AR445">
        <v>1.5989579409265606</v>
      </c>
      <c r="AS445">
        <v>5.8879775836855268</v>
      </c>
      <c r="AT445" t="e">
        <v>#DIV/0!</v>
      </c>
      <c r="AU445" t="e">
        <v>#DIV/0!</v>
      </c>
      <c r="AV445"/>
      <c r="AW445"/>
      <c r="FY445" s="211">
        <v>440</v>
      </c>
      <c r="FZ445">
        <v>1.1185472887123278</v>
      </c>
      <c r="GA445">
        <v>1.3126931655236624</v>
      </c>
      <c r="GB445">
        <v>0.38403596512810545</v>
      </c>
      <c r="GC445">
        <v>0.4403260939455656</v>
      </c>
      <c r="GD445">
        <v>0.27347059214707498</v>
      </c>
      <c r="GE445">
        <v>0.14833383665557504</v>
      </c>
      <c r="GF445">
        <v>0.20038102790324064</v>
      </c>
      <c r="GG445">
        <v>0.23978821552359375</v>
      </c>
      <c r="GH445">
        <v>0.1330459067538125</v>
      </c>
      <c r="GI445">
        <v>0.47165551034180997</v>
      </c>
      <c r="GJ445"/>
      <c r="GK445">
        <v>1.1146518382352941</v>
      </c>
      <c r="GL445">
        <v>1.105511213235294</v>
      </c>
      <c r="GM445">
        <v>0.6298828125</v>
      </c>
      <c r="GN445">
        <v>1.2903515624999999</v>
      </c>
      <c r="GO445">
        <v>1.0405312499999999</v>
      </c>
      <c r="GP445">
        <v>0.27867187500000001</v>
      </c>
      <c r="GQ445">
        <v>0.24196875000000001</v>
      </c>
      <c r="GR445">
        <v>0.33385416666666667</v>
      </c>
      <c r="GS445">
        <v>0.14072916666666666</v>
      </c>
      <c r="GT445">
        <v>0.63355276348039213</v>
      </c>
      <c r="GU445"/>
      <c r="GV445"/>
      <c r="GW445"/>
      <c r="GX445"/>
      <c r="GY445"/>
      <c r="GZ445"/>
      <c r="HA445"/>
      <c r="HB445"/>
      <c r="HC445"/>
    </row>
    <row r="446" spans="1:211" s="7" customFormat="1">
      <c r="A446" s="4"/>
      <c r="B446" s="48" t="s">
        <v>118</v>
      </c>
      <c r="C446" s="107">
        <f t="shared" si="391"/>
        <v>7.1247647751975007E-2</v>
      </c>
      <c r="D446" s="190">
        <f>A$410</f>
        <v>0.21</v>
      </c>
      <c r="E446" s="8"/>
      <c r="F446" s="124"/>
      <c r="G446" s="173">
        <f t="shared" si="393"/>
        <v>1.9255805934749995E-3</v>
      </c>
      <c r="H446" s="173">
        <f t="shared" ref="H446:V446" si="402">IF(H428&lt;=0, "0.000", H428)</f>
        <v>4.8178868064750011E-2</v>
      </c>
      <c r="I446" s="173">
        <f t="shared" si="402"/>
        <v>2.1143199093749995E-2</v>
      </c>
      <c r="J446" s="173" t="str">
        <f t="shared" si="402"/>
        <v>0.000</v>
      </c>
      <c r="K446" s="173" t="str">
        <f t="shared" si="402"/>
        <v>0.000</v>
      </c>
      <c r="L446" s="173" t="str">
        <f t="shared" si="402"/>
        <v>0.000</v>
      </c>
      <c r="M446" s="173" t="str">
        <f t="shared" si="402"/>
        <v>0.000</v>
      </c>
      <c r="N446" s="173" t="str">
        <f t="shared" si="402"/>
        <v>0.000</v>
      </c>
      <c r="O446" s="173" t="str">
        <f t="shared" si="402"/>
        <v>0.000</v>
      </c>
      <c r="P446" s="173" t="str">
        <f t="shared" si="402"/>
        <v>0.000</v>
      </c>
      <c r="Q446" s="173" t="str">
        <f t="shared" si="402"/>
        <v>0.000</v>
      </c>
      <c r="R446" s="173" t="str">
        <f t="shared" si="402"/>
        <v>0.000</v>
      </c>
      <c r="S446" s="173" t="str">
        <f t="shared" si="402"/>
        <v>0.000</v>
      </c>
      <c r="T446" s="173" t="str">
        <f t="shared" si="402"/>
        <v>0.000</v>
      </c>
      <c r="U446" s="173" t="str">
        <f t="shared" si="402"/>
        <v>0.000</v>
      </c>
      <c r="V446" s="173" t="str">
        <f t="shared" si="402"/>
        <v>0.000</v>
      </c>
      <c r="W446" s="173" t="str">
        <f t="shared" ref="W446:AK446" si="403">IF(W428&lt;=0, "0.000", W428)</f>
        <v>0.000</v>
      </c>
      <c r="X446" s="173" t="str">
        <f t="shared" si="403"/>
        <v>0.000</v>
      </c>
      <c r="Y446" s="173" t="str">
        <f t="shared" si="403"/>
        <v>0.000</v>
      </c>
      <c r="Z446" s="173" t="str">
        <f t="shared" si="403"/>
        <v>0.000</v>
      </c>
      <c r="AA446" s="173" t="str">
        <f t="shared" si="403"/>
        <v>0.000</v>
      </c>
      <c r="AB446" s="173" t="str">
        <f t="shared" si="403"/>
        <v>0.000</v>
      </c>
      <c r="AC446" s="173" t="str">
        <f t="shared" si="403"/>
        <v>0.000</v>
      </c>
      <c r="AD446" s="173" t="str">
        <f t="shared" si="403"/>
        <v>0.000</v>
      </c>
      <c r="AE446" s="173" t="str">
        <f t="shared" si="403"/>
        <v>0.000</v>
      </c>
      <c r="AF446" s="173" t="str">
        <f t="shared" si="403"/>
        <v>0.000</v>
      </c>
      <c r="AG446" s="173" t="str">
        <f t="shared" si="403"/>
        <v>0.000</v>
      </c>
      <c r="AH446" s="173" t="str">
        <f t="shared" si="403"/>
        <v>0.000</v>
      </c>
      <c r="AI446" s="173" t="str">
        <f t="shared" si="403"/>
        <v>0.000</v>
      </c>
      <c r="AJ446" s="173" t="str">
        <f t="shared" si="403"/>
        <v>0.000</v>
      </c>
      <c r="AK446" s="173" t="str">
        <f t="shared" si="403"/>
        <v>0.000</v>
      </c>
      <c r="AL446" s="4"/>
      <c r="AM446" s="43">
        <v>430</v>
      </c>
      <c r="AN446">
        <v>31.616499340120662</v>
      </c>
      <c r="AO446">
        <v>0.7578704176329184</v>
      </c>
      <c r="AP446">
        <v>1.0792734762100684</v>
      </c>
      <c r="AQ446">
        <v>5.1773997249442889</v>
      </c>
      <c r="AR446">
        <v>0.71874528788307279</v>
      </c>
      <c r="AS446">
        <v>2.4982265772053882</v>
      </c>
      <c r="AT446" t="e">
        <v>#DIV/0!</v>
      </c>
      <c r="AU446" t="e">
        <v>#DIV/0!</v>
      </c>
      <c r="AV446"/>
      <c r="AW446"/>
      <c r="FY446" s="211">
        <v>441</v>
      </c>
      <c r="FZ446">
        <v>1.864585303930145</v>
      </c>
      <c r="GA446">
        <v>2.3044525116786923</v>
      </c>
      <c r="GB446">
        <v>2.2060815060678287</v>
      </c>
      <c r="GC446">
        <v>1.2354217856677567</v>
      </c>
      <c r="GD446">
        <v>0.13352083683016175</v>
      </c>
      <c r="GE446">
        <v>0.13864413431700001</v>
      </c>
      <c r="GF446">
        <v>0.33409761863227821</v>
      </c>
      <c r="GG446">
        <v>0.28954215414031298</v>
      </c>
      <c r="GH446">
        <v>4.5971471670847357E-2</v>
      </c>
      <c r="GI446">
        <v>0.95853944292689874</v>
      </c>
      <c r="GJ446"/>
      <c r="GK446">
        <v>1.858250551470588</v>
      </c>
      <c r="GL446">
        <v>1.9408794577205881</v>
      </c>
      <c r="GM446">
        <v>3.6226857244318174</v>
      </c>
      <c r="GN446">
        <v>3.6284108360389604</v>
      </c>
      <c r="GO446">
        <v>0.50835401785714285</v>
      </c>
      <c r="GP446">
        <v>0.260625</v>
      </c>
      <c r="GQ446">
        <v>0.40278260869565213</v>
      </c>
      <c r="GR446">
        <v>0.40278260869565213</v>
      </c>
      <c r="GS446">
        <v>4.8587740384615385E-2</v>
      </c>
      <c r="GT446">
        <v>1.2881321285679632</v>
      </c>
      <c r="GU446"/>
      <c r="GV446"/>
      <c r="GW446"/>
      <c r="GX446"/>
      <c r="GY446"/>
      <c r="GZ446"/>
      <c r="HA446"/>
      <c r="HB446"/>
      <c r="HC446"/>
    </row>
    <row r="447" spans="1:211" s="7" customFormat="1">
      <c r="A447" s="4"/>
      <c r="B447" s="48" t="s">
        <v>119</v>
      </c>
      <c r="C447" s="107">
        <f t="shared" si="391"/>
        <v>0.86857626516779707</v>
      </c>
      <c r="D447" s="190">
        <f>A$411</f>
        <v>1.28</v>
      </c>
      <c r="E447" s="8"/>
      <c r="F447" s="124"/>
      <c r="G447" s="173">
        <f t="shared" si="393"/>
        <v>2.9983687564359368E-3</v>
      </c>
      <c r="H447" s="173">
        <f t="shared" ref="H447:V447" si="404">IF(H429&lt;=0, "0.000", H429)</f>
        <v>0.75574360412620489</v>
      </c>
      <c r="I447" s="173">
        <f t="shared" si="404"/>
        <v>0.10983429228515626</v>
      </c>
      <c r="J447" s="173" t="str">
        <f t="shared" si="404"/>
        <v>0.000</v>
      </c>
      <c r="K447" s="173" t="str">
        <f t="shared" si="404"/>
        <v>0.000</v>
      </c>
      <c r="L447" s="173" t="str">
        <f t="shared" si="404"/>
        <v>0.000</v>
      </c>
      <c r="M447" s="173" t="str">
        <f t="shared" si="404"/>
        <v>0.000</v>
      </c>
      <c r="N447" s="173" t="str">
        <f t="shared" si="404"/>
        <v>0.000</v>
      </c>
      <c r="O447" s="173" t="str">
        <f t="shared" si="404"/>
        <v>0.000</v>
      </c>
      <c r="P447" s="173" t="str">
        <f t="shared" si="404"/>
        <v>0.000</v>
      </c>
      <c r="Q447" s="173" t="str">
        <f t="shared" si="404"/>
        <v>0.000</v>
      </c>
      <c r="R447" s="173" t="str">
        <f t="shared" si="404"/>
        <v>0.000</v>
      </c>
      <c r="S447" s="173" t="str">
        <f t="shared" si="404"/>
        <v>0.000</v>
      </c>
      <c r="T447" s="173" t="str">
        <f t="shared" si="404"/>
        <v>0.000</v>
      </c>
      <c r="U447" s="173" t="str">
        <f t="shared" si="404"/>
        <v>0.000</v>
      </c>
      <c r="V447" s="173" t="str">
        <f t="shared" si="404"/>
        <v>0.000</v>
      </c>
      <c r="W447" s="173" t="str">
        <f t="shared" ref="W447:AK447" si="405">IF(W429&lt;=0, "0.000", W429)</f>
        <v>0.000</v>
      </c>
      <c r="X447" s="173" t="str">
        <f t="shared" si="405"/>
        <v>0.000</v>
      </c>
      <c r="Y447" s="173" t="str">
        <f t="shared" si="405"/>
        <v>0.000</v>
      </c>
      <c r="Z447" s="173" t="str">
        <f t="shared" si="405"/>
        <v>0.000</v>
      </c>
      <c r="AA447" s="173" t="str">
        <f t="shared" si="405"/>
        <v>0.000</v>
      </c>
      <c r="AB447" s="173" t="str">
        <f t="shared" si="405"/>
        <v>0.000</v>
      </c>
      <c r="AC447" s="173" t="str">
        <f t="shared" si="405"/>
        <v>0.000</v>
      </c>
      <c r="AD447" s="173" t="str">
        <f t="shared" si="405"/>
        <v>0.000</v>
      </c>
      <c r="AE447" s="173" t="str">
        <f t="shared" si="405"/>
        <v>0.000</v>
      </c>
      <c r="AF447" s="173" t="str">
        <f t="shared" si="405"/>
        <v>0.000</v>
      </c>
      <c r="AG447" s="173" t="str">
        <f t="shared" si="405"/>
        <v>0.000</v>
      </c>
      <c r="AH447" s="173" t="str">
        <f t="shared" si="405"/>
        <v>0.000</v>
      </c>
      <c r="AI447" s="173" t="str">
        <f t="shared" si="405"/>
        <v>0.000</v>
      </c>
      <c r="AJ447" s="173" t="str">
        <f t="shared" si="405"/>
        <v>0.000</v>
      </c>
      <c r="AK447" s="173" t="str">
        <f t="shared" si="405"/>
        <v>0.000</v>
      </c>
      <c r="AL447" s="4"/>
      <c r="AM447" s="43">
        <v>431</v>
      </c>
      <c r="AN447">
        <v>31.606010251322754</v>
      </c>
      <c r="AO447">
        <v>0.62901827306547631</v>
      </c>
      <c r="AP447">
        <v>4.0874133596241373</v>
      </c>
      <c r="AQ447">
        <v>3.5414494546909143</v>
      </c>
      <c r="AR447">
        <v>0.5863234300595237</v>
      </c>
      <c r="AS447">
        <v>2.8133870692008021</v>
      </c>
      <c r="AT447" t="e">
        <v>#DIV/0!</v>
      </c>
      <c r="AU447" t="e">
        <v>#DIV/0!</v>
      </c>
      <c r="AV447"/>
      <c r="AW447"/>
      <c r="FY447" s="211">
        <v>442</v>
      </c>
      <c r="FZ447">
        <v>1.0839803677757243</v>
      </c>
      <c r="GA447">
        <v>1.7001718967286119</v>
      </c>
      <c r="GB447">
        <v>1.3599603668877642</v>
      </c>
      <c r="GC447">
        <v>1.2547705987553552</v>
      </c>
      <c r="GD447">
        <v>0.51054972777229501</v>
      </c>
      <c r="GE447">
        <v>0.106898435990775</v>
      </c>
      <c r="GF447">
        <v>8.1038194822856249E-2</v>
      </c>
      <c r="GG447">
        <v>0.10116381687628125</v>
      </c>
      <c r="GH447">
        <v>0.15603164258923619</v>
      </c>
      <c r="GI447">
        <v>0.82136526694826029</v>
      </c>
      <c r="GJ447"/>
      <c r="GK447">
        <v>1.0802174632352941</v>
      </c>
      <c r="GL447">
        <v>1.4316510569852938</v>
      </c>
      <c r="GM447">
        <v>2.2323995028409085</v>
      </c>
      <c r="GN447">
        <v>3.6793815340909086</v>
      </c>
      <c r="GO447">
        <v>1.9414312499999999</v>
      </c>
      <c r="GP447">
        <v>0.20085937500000001</v>
      </c>
      <c r="GQ447">
        <v>9.768750000000001E-2</v>
      </c>
      <c r="GR447">
        <v>0.14072916666666666</v>
      </c>
      <c r="GS447">
        <v>0.16502303685897435</v>
      </c>
      <c r="GT447">
        <v>1.1033517505870356</v>
      </c>
      <c r="GU447"/>
      <c r="GV447"/>
      <c r="GW447"/>
      <c r="GX447"/>
      <c r="GY447"/>
      <c r="GZ447"/>
      <c r="HA447"/>
      <c r="HB447"/>
      <c r="HC447"/>
    </row>
    <row r="448" spans="1:211" s="7" customFormat="1">
      <c r="A448" s="4"/>
      <c r="B448" s="48" t="s">
        <v>120</v>
      </c>
      <c r="C448" s="107">
        <f t="shared" si="391"/>
        <v>0.81887252380421982</v>
      </c>
      <c r="D448" s="190">
        <f>A$412</f>
        <v>4</v>
      </c>
      <c r="E448" s="8"/>
      <c r="F448" s="124"/>
      <c r="G448" s="173" t="str">
        <f t="shared" si="393"/>
        <v>0.000</v>
      </c>
      <c r="H448" s="173">
        <f t="shared" ref="H448:V448" si="406">IF(H430&lt;=0, "0.000", H430)</f>
        <v>0.72360404667531353</v>
      </c>
      <c r="I448" s="173">
        <f t="shared" si="406"/>
        <v>9.5268477128906251E-2</v>
      </c>
      <c r="J448" s="173" t="str">
        <f t="shared" si="406"/>
        <v>0.000</v>
      </c>
      <c r="K448" s="173" t="str">
        <f t="shared" si="406"/>
        <v>0.000</v>
      </c>
      <c r="L448" s="173" t="str">
        <f t="shared" si="406"/>
        <v>0.000</v>
      </c>
      <c r="M448" s="173" t="str">
        <f t="shared" si="406"/>
        <v>0.000</v>
      </c>
      <c r="N448" s="173" t="str">
        <f t="shared" si="406"/>
        <v>0.000</v>
      </c>
      <c r="O448" s="173" t="str">
        <f t="shared" si="406"/>
        <v>0.000</v>
      </c>
      <c r="P448" s="173" t="str">
        <f t="shared" si="406"/>
        <v>0.000</v>
      </c>
      <c r="Q448" s="173" t="str">
        <f t="shared" si="406"/>
        <v>0.000</v>
      </c>
      <c r="R448" s="173" t="str">
        <f t="shared" si="406"/>
        <v>0.000</v>
      </c>
      <c r="S448" s="173" t="str">
        <f t="shared" si="406"/>
        <v>0.000</v>
      </c>
      <c r="T448" s="173" t="str">
        <f t="shared" si="406"/>
        <v>0.000</v>
      </c>
      <c r="U448" s="173" t="str">
        <f t="shared" si="406"/>
        <v>0.000</v>
      </c>
      <c r="V448" s="173" t="str">
        <f t="shared" si="406"/>
        <v>0.000</v>
      </c>
      <c r="W448" s="173" t="str">
        <f t="shared" ref="W448:AK448" si="407">IF(W430&lt;=0, "0.000", W430)</f>
        <v>0.000</v>
      </c>
      <c r="X448" s="173" t="str">
        <f t="shared" si="407"/>
        <v>0.000</v>
      </c>
      <c r="Y448" s="173" t="str">
        <f t="shared" si="407"/>
        <v>0.000</v>
      </c>
      <c r="Z448" s="173" t="str">
        <f t="shared" si="407"/>
        <v>0.000</v>
      </c>
      <c r="AA448" s="173" t="str">
        <f t="shared" si="407"/>
        <v>0.000</v>
      </c>
      <c r="AB448" s="173" t="str">
        <f t="shared" si="407"/>
        <v>0.000</v>
      </c>
      <c r="AC448" s="173" t="str">
        <f t="shared" si="407"/>
        <v>0.000</v>
      </c>
      <c r="AD448" s="173" t="str">
        <f t="shared" si="407"/>
        <v>0.000</v>
      </c>
      <c r="AE448" s="173" t="str">
        <f t="shared" si="407"/>
        <v>0.000</v>
      </c>
      <c r="AF448" s="173" t="str">
        <f t="shared" si="407"/>
        <v>0.000</v>
      </c>
      <c r="AG448" s="173" t="str">
        <f t="shared" si="407"/>
        <v>0.000</v>
      </c>
      <c r="AH448" s="173" t="str">
        <f t="shared" si="407"/>
        <v>0.000</v>
      </c>
      <c r="AI448" s="173" t="str">
        <f t="shared" si="407"/>
        <v>0.000</v>
      </c>
      <c r="AJ448" s="173" t="str">
        <f t="shared" si="407"/>
        <v>0.000</v>
      </c>
      <c r="AK448" s="173" t="str">
        <f t="shared" si="407"/>
        <v>0.000</v>
      </c>
      <c r="AL448" s="4"/>
      <c r="AM448" s="43">
        <v>432</v>
      </c>
      <c r="AN448">
        <v>42.033727512511874</v>
      </c>
      <c r="AO448">
        <v>0.86439084406427702</v>
      </c>
      <c r="AP448">
        <v>0.43137451042112746</v>
      </c>
      <c r="AQ448">
        <v>6.3980854570300369</v>
      </c>
      <c r="AR448">
        <v>0.81054625465633579</v>
      </c>
      <c r="AS448">
        <v>3.6038481116495045</v>
      </c>
      <c r="AT448">
        <v>0.69007403211196161</v>
      </c>
      <c r="AU448">
        <v>-4.2873204800298326E-3</v>
      </c>
      <c r="AV448"/>
      <c r="AW448"/>
      <c r="FY448" s="211">
        <v>443</v>
      </c>
      <c r="FZ448">
        <v>0.74845345972625998</v>
      </c>
      <c r="GA448">
        <v>1.2467281746197172</v>
      </c>
      <c r="GB448">
        <v>0.76494290520246322</v>
      </c>
      <c r="GC448">
        <v>0.59967912955113067</v>
      </c>
      <c r="GD448">
        <v>0.26962551921655931</v>
      </c>
      <c r="GE448">
        <v>9.5283153058725006E-2</v>
      </c>
      <c r="GF448">
        <v>0.33409761863227821</v>
      </c>
      <c r="GG448">
        <v>0.34012406257845362</v>
      </c>
      <c r="GH448">
        <v>6.6522953376906252E-2</v>
      </c>
      <c r="GI448">
        <v>0.52113319069421604</v>
      </c>
      <c r="GJ448"/>
      <c r="GK448">
        <v>0.74564999999999992</v>
      </c>
      <c r="GL448">
        <v>1.0497749999999999</v>
      </c>
      <c r="GM448">
        <v>1.2551796875000001</v>
      </c>
      <c r="GN448">
        <v>1.7577962053571428</v>
      </c>
      <c r="GO448">
        <v>1.025788392857143</v>
      </c>
      <c r="GP448">
        <v>0.17920312499999999</v>
      </c>
      <c r="GQ448">
        <v>0.40278260869565213</v>
      </c>
      <c r="GR448">
        <v>0.47314719202898542</v>
      </c>
      <c r="GS448">
        <v>7.0364583333333328E-2</v>
      </c>
      <c r="GT448">
        <v>0.69995305447722567</v>
      </c>
      <c r="GU448"/>
      <c r="GV448"/>
      <c r="GW448"/>
      <c r="GX448"/>
      <c r="GY448"/>
      <c r="GZ448"/>
      <c r="HA448"/>
      <c r="HB448"/>
      <c r="HC448"/>
    </row>
    <row r="449" spans="1:211" s="7" customFormat="1">
      <c r="A449" s="4"/>
      <c r="B449" s="48" t="s">
        <v>121</v>
      </c>
      <c r="C449" s="107">
        <f t="shared" si="391"/>
        <v>0.15603164258923619</v>
      </c>
      <c r="D449" s="190">
        <f>A$413</f>
        <v>7.33</v>
      </c>
      <c r="E449" s="8"/>
      <c r="F449" s="124"/>
      <c r="G449" s="173">
        <f t="shared" si="393"/>
        <v>2.2985735835423678E-2</v>
      </c>
      <c r="H449" s="173">
        <f t="shared" ref="H449:V449" si="408">IF(H431&lt;=0, "0.000", H431)</f>
        <v>0.1330459067538125</v>
      </c>
      <c r="I449" s="173" t="str">
        <f t="shared" si="408"/>
        <v>0.000</v>
      </c>
      <c r="J449" s="173" t="str">
        <f t="shared" si="408"/>
        <v>0.000</v>
      </c>
      <c r="K449" s="173" t="str">
        <f t="shared" si="408"/>
        <v>0.000</v>
      </c>
      <c r="L449" s="173" t="str">
        <f t="shared" si="408"/>
        <v>0.000</v>
      </c>
      <c r="M449" s="173" t="str">
        <f t="shared" si="408"/>
        <v>0.000</v>
      </c>
      <c r="N449" s="173" t="str">
        <f t="shared" si="408"/>
        <v>0.000</v>
      </c>
      <c r="O449" s="173" t="str">
        <f t="shared" si="408"/>
        <v>0.000</v>
      </c>
      <c r="P449" s="173" t="str">
        <f t="shared" si="408"/>
        <v>0.000</v>
      </c>
      <c r="Q449" s="173" t="str">
        <f t="shared" si="408"/>
        <v>0.000</v>
      </c>
      <c r="R449" s="173" t="str">
        <f t="shared" si="408"/>
        <v>0.000</v>
      </c>
      <c r="S449" s="173" t="str">
        <f t="shared" si="408"/>
        <v>0.000</v>
      </c>
      <c r="T449" s="173" t="str">
        <f t="shared" si="408"/>
        <v>0.000</v>
      </c>
      <c r="U449" s="173" t="str">
        <f t="shared" si="408"/>
        <v>0.000</v>
      </c>
      <c r="V449" s="173" t="str">
        <f t="shared" si="408"/>
        <v>0.000</v>
      </c>
      <c r="W449" s="173" t="str">
        <f t="shared" ref="W449:AK449" si="409">IF(W431&lt;=0, "0.000", W431)</f>
        <v>0.000</v>
      </c>
      <c r="X449" s="173" t="str">
        <f t="shared" si="409"/>
        <v>0.000</v>
      </c>
      <c r="Y449" s="173" t="str">
        <f t="shared" si="409"/>
        <v>0.000</v>
      </c>
      <c r="Z449" s="173" t="str">
        <f t="shared" si="409"/>
        <v>0.000</v>
      </c>
      <c r="AA449" s="173" t="str">
        <f t="shared" si="409"/>
        <v>0.000</v>
      </c>
      <c r="AB449" s="173" t="str">
        <f t="shared" si="409"/>
        <v>0.000</v>
      </c>
      <c r="AC449" s="173" t="str">
        <f t="shared" si="409"/>
        <v>0.000</v>
      </c>
      <c r="AD449" s="173" t="str">
        <f t="shared" si="409"/>
        <v>0.000</v>
      </c>
      <c r="AE449" s="173" t="str">
        <f t="shared" si="409"/>
        <v>0.000</v>
      </c>
      <c r="AF449" s="173" t="str">
        <f t="shared" si="409"/>
        <v>0.000</v>
      </c>
      <c r="AG449" s="173" t="str">
        <f t="shared" si="409"/>
        <v>0.000</v>
      </c>
      <c r="AH449" s="173" t="str">
        <f t="shared" si="409"/>
        <v>0.000</v>
      </c>
      <c r="AI449" s="173" t="str">
        <f t="shared" si="409"/>
        <v>0.000</v>
      </c>
      <c r="AJ449" s="173" t="str">
        <f t="shared" si="409"/>
        <v>0.000</v>
      </c>
      <c r="AK449" s="173" t="str">
        <f t="shared" si="409"/>
        <v>0.000</v>
      </c>
      <c r="AL449" s="4"/>
      <c r="AM449" s="43">
        <v>433</v>
      </c>
      <c r="AN449">
        <v>41.061144002612188</v>
      </c>
      <c r="AO449">
        <v>1.0020174502846497</v>
      </c>
      <c r="AP449">
        <v>0.8336494383360058</v>
      </c>
      <c r="AQ449">
        <v>8.1327611026737472</v>
      </c>
      <c r="AR449">
        <v>0.92399996573080045</v>
      </c>
      <c r="AS449">
        <v>3.2257209778732103</v>
      </c>
      <c r="AT449" t="e">
        <v>#DIV/0!</v>
      </c>
      <c r="AU449" t="e">
        <v>#DIV/0!</v>
      </c>
      <c r="AV449"/>
      <c r="AW449"/>
      <c r="FY449" s="211">
        <v>444</v>
      </c>
      <c r="FZ449">
        <v>2.3186935201243983</v>
      </c>
      <c r="GA449">
        <v>2.7954855493322484</v>
      </c>
      <c r="GB449">
        <v>0.59757504772908154</v>
      </c>
      <c r="GC449">
        <v>0.26623895853601376</v>
      </c>
      <c r="GD449">
        <v>5.7037250324159988E-2</v>
      </c>
      <c r="GE449">
        <v>7.6065534558449999E-2</v>
      </c>
      <c r="GF449">
        <v>0.37461671604370633</v>
      </c>
      <c r="GG449">
        <v>0.39070597101659427</v>
      </c>
      <c r="GH449">
        <v>0.17901737842465987</v>
      </c>
      <c r="GI449">
        <v>0.61770715030284362</v>
      </c>
      <c r="GJ449"/>
      <c r="GK449">
        <v>2.3107818014705881</v>
      </c>
      <c r="GL449">
        <v>2.3545278952205879</v>
      </c>
      <c r="GM449">
        <v>0.98038671874999994</v>
      </c>
      <c r="GN449">
        <v>0.78080937500000003</v>
      </c>
      <c r="GO449">
        <v>0.21719999999999998</v>
      </c>
      <c r="GP449">
        <v>0.14296875000000001</v>
      </c>
      <c r="GQ449">
        <v>0.45162635869565215</v>
      </c>
      <c r="GR449">
        <v>0.54351177536231876</v>
      </c>
      <c r="GS449">
        <v>0.18931690705128204</v>
      </c>
      <c r="GT449">
        <v>0.82986235719350443</v>
      </c>
      <c r="GU449"/>
      <c r="GV449"/>
      <c r="GW449"/>
      <c r="GX449"/>
      <c r="GY449"/>
      <c r="GZ449"/>
      <c r="HA449"/>
      <c r="HB449"/>
      <c r="HC449"/>
    </row>
    <row r="450" spans="1:211" s="7" customFormat="1">
      <c r="A450" s="13" t="s">
        <v>12</v>
      </c>
      <c r="B450" s="48" t="s">
        <v>122</v>
      </c>
      <c r="C450" s="107">
        <f t="shared" si="391"/>
        <v>0.67535830009444708</v>
      </c>
      <c r="D450" s="190">
        <f>A$414</f>
        <v>10.51</v>
      </c>
      <c r="E450" s="8"/>
      <c r="F450" s="124"/>
      <c r="G450" s="173">
        <f t="shared" si="393"/>
        <v>1.9614649459786949E-2</v>
      </c>
      <c r="H450" s="173">
        <f t="shared" ref="H450:V450" si="410">IF(H432&lt;=0, "0.000", H432)</f>
        <v>0.38344804078270711</v>
      </c>
      <c r="I450" s="173">
        <f t="shared" si="410"/>
        <v>0.272295609851953</v>
      </c>
      <c r="J450" s="173" t="str">
        <f t="shared" si="410"/>
        <v>0.000</v>
      </c>
      <c r="K450" s="173" t="str">
        <f t="shared" si="410"/>
        <v>0.000</v>
      </c>
      <c r="L450" s="173" t="str">
        <f t="shared" si="410"/>
        <v>0.000</v>
      </c>
      <c r="M450" s="173" t="str">
        <f t="shared" si="410"/>
        <v>0.000</v>
      </c>
      <c r="N450" s="173" t="str">
        <f t="shared" si="410"/>
        <v>0.000</v>
      </c>
      <c r="O450" s="173" t="str">
        <f t="shared" si="410"/>
        <v>0.000</v>
      </c>
      <c r="P450" s="173" t="str">
        <f t="shared" si="410"/>
        <v>0.000</v>
      </c>
      <c r="Q450" s="173" t="str">
        <f t="shared" si="410"/>
        <v>0.000</v>
      </c>
      <c r="R450" s="173" t="str">
        <f t="shared" si="410"/>
        <v>0.000</v>
      </c>
      <c r="S450" s="173" t="str">
        <f t="shared" si="410"/>
        <v>0.000</v>
      </c>
      <c r="T450" s="173" t="str">
        <f t="shared" si="410"/>
        <v>0.000</v>
      </c>
      <c r="U450" s="173" t="str">
        <f t="shared" si="410"/>
        <v>0.000</v>
      </c>
      <c r="V450" s="173" t="str">
        <f t="shared" si="410"/>
        <v>0.000</v>
      </c>
      <c r="W450" s="173" t="str">
        <f t="shared" ref="W450:AK450" si="411">IF(W432&lt;=0, "0.000", W432)</f>
        <v>0.000</v>
      </c>
      <c r="X450" s="173" t="str">
        <f t="shared" si="411"/>
        <v>0.000</v>
      </c>
      <c r="Y450" s="173" t="str">
        <f t="shared" si="411"/>
        <v>0.000</v>
      </c>
      <c r="Z450" s="173" t="str">
        <f t="shared" si="411"/>
        <v>0.000</v>
      </c>
      <c r="AA450" s="173" t="str">
        <f t="shared" si="411"/>
        <v>0.000</v>
      </c>
      <c r="AB450" s="173" t="str">
        <f t="shared" si="411"/>
        <v>0.000</v>
      </c>
      <c r="AC450" s="173" t="str">
        <f t="shared" si="411"/>
        <v>0.000</v>
      </c>
      <c r="AD450" s="173" t="str">
        <f t="shared" si="411"/>
        <v>0.000</v>
      </c>
      <c r="AE450" s="173" t="str">
        <f t="shared" si="411"/>
        <v>0.000</v>
      </c>
      <c r="AF450" s="173" t="str">
        <f t="shared" si="411"/>
        <v>0.000</v>
      </c>
      <c r="AG450" s="173" t="str">
        <f t="shared" si="411"/>
        <v>0.000</v>
      </c>
      <c r="AH450" s="173" t="str">
        <f t="shared" si="411"/>
        <v>0.000</v>
      </c>
      <c r="AI450" s="173" t="str">
        <f t="shared" si="411"/>
        <v>0.000</v>
      </c>
      <c r="AJ450" s="173" t="str">
        <f t="shared" si="411"/>
        <v>0.000</v>
      </c>
      <c r="AK450" s="173" t="str">
        <f t="shared" si="411"/>
        <v>0.000</v>
      </c>
      <c r="AL450" s="4"/>
      <c r="AM450" s="43">
        <v>434</v>
      </c>
      <c r="AN450">
        <v>57.056969013450797</v>
      </c>
      <c r="AO450">
        <v>1.2834592576459929</v>
      </c>
      <c r="AP450">
        <v>1.2170513831850034</v>
      </c>
      <c r="AQ450">
        <v>9.5297705087115361</v>
      </c>
      <c r="AR450">
        <v>1.1776476205872664</v>
      </c>
      <c r="AS450">
        <v>4.5183671309852738</v>
      </c>
      <c r="AT450" t="e">
        <v>#DIV/0!</v>
      </c>
      <c r="AU450" t="e">
        <v>#DIV/0!</v>
      </c>
      <c r="AV450"/>
      <c r="AW450"/>
      <c r="FY450" s="211">
        <v>445</v>
      </c>
      <c r="FZ450">
        <v>2.1497912760741644</v>
      </c>
      <c r="GA450">
        <v>3.234108211276558</v>
      </c>
      <c r="GB450">
        <v>1.1423525462831916</v>
      </c>
      <c r="GC450">
        <v>0.84720348598989759</v>
      </c>
      <c r="GD450">
        <v>0.36919541114453247</v>
      </c>
      <c r="GE450">
        <v>7.6065534558449999E-2</v>
      </c>
      <c r="GF450">
        <v>0.70871433467598444</v>
      </c>
      <c r="GG450">
        <v>0.68024812515690725</v>
      </c>
      <c r="GH450">
        <v>0.17901737842465987</v>
      </c>
      <c r="GI450">
        <v>0.96258226402691993</v>
      </c>
      <c r="GJ450"/>
      <c r="GK450">
        <v>2.1423411764705884</v>
      </c>
      <c r="GL450">
        <v>2.7237903952205884</v>
      </c>
      <c r="GM450">
        <v>1.8750181107954544</v>
      </c>
      <c r="GN450">
        <v>2.4840157670454541</v>
      </c>
      <c r="GO450">
        <v>1.4041031249999998</v>
      </c>
      <c r="GP450">
        <v>0.14296875000000001</v>
      </c>
      <c r="GQ450">
        <v>0.85440896739130423</v>
      </c>
      <c r="GR450">
        <v>0.94629438405797084</v>
      </c>
      <c r="GS450">
        <v>0.18931690705128204</v>
      </c>
      <c r="GT450">
        <v>1.2930376573417259</v>
      </c>
      <c r="GU450"/>
      <c r="GV450"/>
      <c r="GW450"/>
      <c r="GX450"/>
      <c r="GY450"/>
      <c r="GZ450"/>
      <c r="HA450"/>
      <c r="HB450"/>
      <c r="HC450"/>
    </row>
    <row r="451" spans="1:211" s="7" customFormat="1">
      <c r="A451" s="135"/>
      <c r="B451" s="48"/>
      <c r="C451" s="107"/>
      <c r="D451" s="19"/>
      <c r="E451" s="8"/>
      <c r="F451" s="124"/>
      <c r="G451" s="173"/>
      <c r="H451" s="173"/>
      <c r="I451" s="173"/>
      <c r="J451" s="173"/>
      <c r="K451" s="173"/>
      <c r="L451" s="173"/>
      <c r="M451" s="173"/>
      <c r="N451" s="173"/>
      <c r="O451" s="173"/>
      <c r="P451" s="173"/>
      <c r="Q451" s="173"/>
      <c r="R451" s="173"/>
      <c r="S451" s="173"/>
      <c r="T451" s="173"/>
      <c r="U451" s="173"/>
      <c r="V451" s="173"/>
      <c r="W451" s="173"/>
      <c r="X451" s="173"/>
      <c r="Y451" s="173"/>
      <c r="Z451" s="173"/>
      <c r="AA451" s="173"/>
      <c r="AB451" s="173"/>
      <c r="AC451" s="173"/>
      <c r="AD451" s="173"/>
      <c r="AE451" s="173"/>
      <c r="AF451" s="173"/>
      <c r="AG451" s="173"/>
      <c r="AH451" s="173"/>
      <c r="AI451" s="173"/>
      <c r="AJ451" s="173"/>
      <c r="AK451" s="173"/>
      <c r="AL451" s="4"/>
      <c r="AM451" s="43">
        <v>435</v>
      </c>
      <c r="AN451">
        <v>35.506369987376218</v>
      </c>
      <c r="AO451">
        <v>0.79628049679384705</v>
      </c>
      <c r="AP451">
        <v>1.0065974174294512</v>
      </c>
      <c r="AQ451">
        <v>6.9709400302119544</v>
      </c>
      <c r="AR451">
        <v>0.74862775713776308</v>
      </c>
      <c r="AS451">
        <v>2.6537988508057362</v>
      </c>
      <c r="AT451" t="e">
        <v>#DIV/0!</v>
      </c>
      <c r="AU451" t="e">
        <v>#DIV/0!</v>
      </c>
      <c r="AV451"/>
      <c r="AW451"/>
      <c r="FY451" s="211">
        <v>446</v>
      </c>
      <c r="FZ451">
        <v>1.0572839038122863</v>
      </c>
      <c r="GA451">
        <v>1.51747325126949</v>
      </c>
      <c r="GB451">
        <v>2.0612592860175138</v>
      </c>
      <c r="GC451">
        <v>1.3847459469379486</v>
      </c>
      <c r="GD451">
        <v>0.4662650777023799</v>
      </c>
      <c r="GE451">
        <v>0.30335721198547494</v>
      </c>
      <c r="GF451">
        <v>0.41513581345513451</v>
      </c>
      <c r="GG451">
        <v>0.34012406257845362</v>
      </c>
      <c r="GH451">
        <v>8.9508689212329934E-2</v>
      </c>
      <c r="GI451">
        <v>1.0132458957857517</v>
      </c>
      <c r="GJ451"/>
      <c r="GK451">
        <v>1.0536375</v>
      </c>
      <c r="GL451">
        <v>1.2780749999999999</v>
      </c>
      <c r="GM451">
        <v>3.3845582386363633</v>
      </c>
      <c r="GN451">
        <v>4.0625488636363638</v>
      </c>
      <c r="GO451">
        <v>1.7732250000000001</v>
      </c>
      <c r="GP451">
        <v>0.57004687499999995</v>
      </c>
      <c r="GQ451">
        <v>0.50047010869565223</v>
      </c>
      <c r="GR451">
        <v>0.47314719202898542</v>
      </c>
      <c r="GS451">
        <v>9.465845352564102E-2</v>
      </c>
      <c r="GT451">
        <v>1.3613098601715312</v>
      </c>
      <c r="GU451"/>
      <c r="GV451"/>
      <c r="GW451"/>
      <c r="GX451"/>
      <c r="GY451"/>
      <c r="GZ451"/>
      <c r="HA451"/>
      <c r="HB451"/>
      <c r="HC451"/>
    </row>
    <row r="452" spans="1:211" s="7" customFormat="1">
      <c r="A452" s="13" t="s">
        <v>47</v>
      </c>
      <c r="B452" s="48"/>
      <c r="C452" s="107"/>
      <c r="D452" s="18"/>
      <c r="E452" s="8"/>
      <c r="F452" s="124"/>
      <c r="G452" s="173"/>
      <c r="H452" s="173"/>
      <c r="I452" s="173"/>
      <c r="J452" s="173"/>
      <c r="K452" s="173"/>
      <c r="L452" s="173"/>
      <c r="M452" s="173"/>
      <c r="N452" s="173"/>
      <c r="O452" s="173"/>
      <c r="P452" s="173"/>
      <c r="Q452" s="173"/>
      <c r="R452" s="173"/>
      <c r="S452" s="173"/>
      <c r="T452" s="173"/>
      <c r="U452" s="173"/>
      <c r="V452" s="173"/>
      <c r="W452" s="173"/>
      <c r="X452" s="173"/>
      <c r="Y452" s="173"/>
      <c r="Z452" s="173"/>
      <c r="AA452" s="173"/>
      <c r="AB452" s="173"/>
      <c r="AC452" s="173"/>
      <c r="AD452" s="173"/>
      <c r="AE452" s="173"/>
      <c r="AF452" s="173"/>
      <c r="AG452" s="173"/>
      <c r="AH452" s="173"/>
      <c r="AI452" s="173"/>
      <c r="AJ452" s="173"/>
      <c r="AK452" s="173"/>
      <c r="AL452" s="4"/>
      <c r="AM452" s="43">
        <v>436</v>
      </c>
      <c r="AN452">
        <v>28.705027652086471</v>
      </c>
      <c r="AO452">
        <v>0.61948810633484164</v>
      </c>
      <c r="AP452">
        <v>0.52547476910936575</v>
      </c>
      <c r="AQ452">
        <v>4.2796195881509602</v>
      </c>
      <c r="AR452">
        <v>0.57624601668552033</v>
      </c>
      <c r="AS452">
        <v>2.2928151812098974</v>
      </c>
      <c r="AT452" t="e">
        <v>#DIV/0!</v>
      </c>
      <c r="AU452" t="e">
        <v>#DIV/0!</v>
      </c>
      <c r="AV452"/>
      <c r="AW452"/>
      <c r="FY452" s="211">
        <v>447</v>
      </c>
      <c r="FZ452">
        <v>2.3291153742683286</v>
      </c>
      <c r="GA452">
        <v>3.311859015195906</v>
      </c>
      <c r="GB452">
        <v>0.69151554744033872</v>
      </c>
      <c r="GC452">
        <v>0.41490758618059509</v>
      </c>
      <c r="GD452">
        <v>0.21118691796871181</v>
      </c>
      <c r="GE452">
        <v>5.0050519932599999E-2</v>
      </c>
      <c r="GF452">
        <v>0.81368341010771561</v>
      </c>
      <c r="GG452">
        <v>0.75599725852039101</v>
      </c>
      <c r="GH452">
        <v>6.6522953376906252E-2</v>
      </c>
      <c r="GI452">
        <v>0.79072390707733797</v>
      </c>
      <c r="GJ452"/>
      <c r="GK452">
        <v>2.3212836397058823</v>
      </c>
      <c r="GL452">
        <v>2.7895531709558825</v>
      </c>
      <c r="GM452">
        <v>1.13459765625</v>
      </c>
      <c r="GN452">
        <v>1.215932142857143</v>
      </c>
      <c r="GO452">
        <v>0.80310401785714292</v>
      </c>
      <c r="GP452">
        <v>9.4124999999999986E-2</v>
      </c>
      <c r="GQ452">
        <v>0.98215760869565205</v>
      </c>
      <c r="GR452">
        <v>1.0525221920289853</v>
      </c>
      <c r="GS452">
        <v>7.0364583333333328E-2</v>
      </c>
      <c r="GT452">
        <v>1.0623015011684023</v>
      </c>
      <c r="GU452"/>
      <c r="GV452"/>
      <c r="GW452"/>
      <c r="GX452"/>
      <c r="GY452"/>
      <c r="GZ452"/>
      <c r="HA452"/>
      <c r="HB452"/>
      <c r="HC452"/>
    </row>
    <row r="453" spans="1:211" s="7" customFormat="1">
      <c r="A453" s="214">
        <v>1.0721E-2</v>
      </c>
      <c r="B453" s="52" t="s">
        <v>53</v>
      </c>
      <c r="C453" s="53">
        <f>SUM(C441:C452)</f>
        <v>7.4802921940581495</v>
      </c>
      <c r="D453" s="13"/>
      <c r="E453" s="13"/>
      <c r="F453" s="96"/>
      <c r="G453" s="13"/>
      <c r="H453" s="13"/>
      <c r="I453" s="14"/>
      <c r="J453" s="13"/>
      <c r="K453" s="21"/>
      <c r="L453" s="13"/>
      <c r="M453" s="14"/>
      <c r="N453" s="13"/>
      <c r="O453" s="13"/>
      <c r="P453" s="13"/>
      <c r="Q453" s="14"/>
      <c r="R453" s="14"/>
      <c r="S453" s="14"/>
      <c r="T453" s="14"/>
      <c r="U453" s="14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94"/>
      <c r="AH453" s="94"/>
      <c r="AI453" s="94"/>
      <c r="AJ453" s="94"/>
      <c r="AK453" s="94"/>
      <c r="AL453" s="4"/>
      <c r="AM453" s="43">
        <v>437</v>
      </c>
      <c r="AN453">
        <v>36.418165545203586</v>
      </c>
      <c r="AO453">
        <v>0.70834603552018649</v>
      </c>
      <c r="AP453">
        <v>3.382161288989463</v>
      </c>
      <c r="AQ453">
        <v>4.317587681174043</v>
      </c>
      <c r="AR453">
        <v>0.64395094138198772</v>
      </c>
      <c r="AS453">
        <v>3.1980803823041777</v>
      </c>
      <c r="AT453" t="e">
        <v>#DIV/0!</v>
      </c>
      <c r="AU453" t="e">
        <v>#DIV/0!</v>
      </c>
      <c r="AV453"/>
      <c r="AW453"/>
      <c r="FY453" s="211">
        <v>448</v>
      </c>
      <c r="FZ453">
        <v>1.8028187354269607</v>
      </c>
      <c r="GA453">
        <v>2.7155123821933143</v>
      </c>
      <c r="GB453">
        <v>0.52373616681104296</v>
      </c>
      <c r="GC453">
        <v>0.59951864230025564</v>
      </c>
      <c r="GD453">
        <v>0.42237289526793426</v>
      </c>
      <c r="GE453">
        <v>9.5283153058725006E-2</v>
      </c>
      <c r="GF453">
        <v>0.33409761863227821</v>
      </c>
      <c r="GG453">
        <v>0.28954215414031298</v>
      </c>
      <c r="GH453">
        <v>2.2985735835423678E-2</v>
      </c>
      <c r="GI453">
        <v>0.69824787269172894</v>
      </c>
      <c r="GJ453"/>
      <c r="GK453">
        <v>1.7966568014705879</v>
      </c>
      <c r="GL453">
        <v>2.2872036764705883</v>
      </c>
      <c r="GM453">
        <v>0.85925781249999988</v>
      </c>
      <c r="GN453">
        <v>1.7562337053571428</v>
      </c>
      <c r="GO453">
        <v>1.606569642857143</v>
      </c>
      <c r="GP453">
        <v>0.17920312499999999</v>
      </c>
      <c r="GQ453">
        <v>0.40278260869565213</v>
      </c>
      <c r="GR453">
        <v>0.40278260869565213</v>
      </c>
      <c r="GS453">
        <v>2.4293870192307693E-2</v>
      </c>
      <c r="GT453">
        <v>0.9379121471431382</v>
      </c>
      <c r="GU453"/>
      <c r="GV453"/>
      <c r="GW453"/>
      <c r="GX453"/>
      <c r="GY453"/>
      <c r="GZ453"/>
      <c r="HA453"/>
      <c r="HB453"/>
      <c r="HC453"/>
    </row>
    <row r="454" spans="1:211" s="7" customFormat="1">
      <c r="A454" s="215" t="s">
        <v>48</v>
      </c>
      <c r="B454" s="4"/>
      <c r="C454" s="83"/>
      <c r="F454" s="28"/>
      <c r="G454" s="28"/>
      <c r="H454" s="83"/>
      <c r="I454" s="4"/>
      <c r="J454" s="98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3">
        <v>438</v>
      </c>
      <c r="AN454">
        <v>46.339863632418783</v>
      </c>
      <c r="AO454">
        <v>1.0400114064082362</v>
      </c>
      <c r="AP454">
        <v>17.504870509600451</v>
      </c>
      <c r="AQ454">
        <v>7.0969386485805277</v>
      </c>
      <c r="AR454">
        <v>0.95209051587811677</v>
      </c>
      <c r="AS454">
        <v>3.8911969089098446</v>
      </c>
      <c r="AT454" t="e">
        <v>#DIV/0!</v>
      </c>
      <c r="AU454" t="e">
        <v>#DIV/0!</v>
      </c>
      <c r="AV454"/>
      <c r="AW454"/>
      <c r="FY454" s="211">
        <v>449</v>
      </c>
      <c r="FZ454">
        <v>1.0330986859496412</v>
      </c>
      <c r="GA454">
        <v>1.6178404931991448</v>
      </c>
      <c r="GB454">
        <v>0.89638836823456158</v>
      </c>
      <c r="GC454">
        <v>1.0450095560231201</v>
      </c>
      <c r="GD454">
        <v>0.56513947322683933</v>
      </c>
      <c r="GE454">
        <v>0.15025941724904995</v>
      </c>
      <c r="GF454">
        <v>8.1038194822856249E-2</v>
      </c>
      <c r="GG454">
        <v>0.20232763375256249</v>
      </c>
      <c r="GH454">
        <v>0.28907754934304869</v>
      </c>
      <c r="GI454">
        <v>0.75248304281979683</v>
      </c>
      <c r="GJ454"/>
      <c r="GK454">
        <v>1.0296112132352939</v>
      </c>
      <c r="GL454">
        <v>1.3626112132352941</v>
      </c>
      <c r="GM454">
        <v>1.4714907670454545</v>
      </c>
      <c r="GN454">
        <v>3.0633791599025972</v>
      </c>
      <c r="GO454">
        <v>2.149325892857143</v>
      </c>
      <c r="GP454">
        <v>0.28228124999999998</v>
      </c>
      <c r="GQ454">
        <v>9.768750000000001E-2</v>
      </c>
      <c r="GR454">
        <v>0.28145833333333331</v>
      </c>
      <c r="GS454">
        <v>0.30575220352564103</v>
      </c>
      <c r="GT454">
        <v>1.0107735153327067</v>
      </c>
      <c r="GU454"/>
      <c r="GV454"/>
      <c r="GW454"/>
      <c r="GX454"/>
      <c r="GY454"/>
      <c r="GZ454"/>
      <c r="HA454"/>
      <c r="HB454"/>
      <c r="HC454"/>
    </row>
    <row r="455" spans="1:211" s="7" customFormat="1" ht="15.75">
      <c r="A455" s="214">
        <v>-1.89E-3</v>
      </c>
      <c r="B455" s="4"/>
      <c r="C455" s="125" t="s">
        <v>137</v>
      </c>
      <c r="D455" s="126"/>
      <c r="E455" s="81"/>
      <c r="F455" s="81"/>
      <c r="G455" s="81"/>
      <c r="H455" s="81"/>
      <c r="I455" s="81"/>
      <c r="J455" s="81"/>
      <c r="K455" s="98"/>
      <c r="L455" s="4"/>
      <c r="M455" s="4"/>
      <c r="N455" s="4"/>
      <c r="O455" s="220"/>
      <c r="P455" s="220"/>
      <c r="Q455" s="220"/>
      <c r="R455" s="220"/>
      <c r="S455" s="200"/>
      <c r="T455" s="200"/>
      <c r="U455" s="200"/>
      <c r="V455" s="200"/>
      <c r="W455" s="201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3">
        <v>439</v>
      </c>
      <c r="AN455">
        <v>46.770402775565813</v>
      </c>
      <c r="AO455">
        <v>0.94023194428850143</v>
      </c>
      <c r="AP455">
        <v>0.85194445589835655</v>
      </c>
      <c r="AQ455">
        <v>5.031682729213232</v>
      </c>
      <c r="AR455">
        <v>0.86058700573430202</v>
      </c>
      <c r="AS455">
        <v>4.0786514048621472</v>
      </c>
      <c r="AT455">
        <v>0.74728626952311561</v>
      </c>
      <c r="AU455">
        <v>-3.4044796557997352E-2</v>
      </c>
      <c r="AV455"/>
      <c r="AW455"/>
      <c r="FY455" s="211">
        <v>450</v>
      </c>
      <c r="FZ455">
        <v>1.2639053629604984</v>
      </c>
      <c r="GA455">
        <v>1.9919796628246931</v>
      </c>
      <c r="GB455">
        <v>0.83973962798074675</v>
      </c>
      <c r="GC455">
        <v>0.40170105158653691</v>
      </c>
      <c r="GD455">
        <v>0.12741468230562425</v>
      </c>
      <c r="GE455">
        <v>0.12044717016187499</v>
      </c>
      <c r="GF455">
        <v>0</v>
      </c>
      <c r="GG455">
        <v>5.0581908438140623E-2</v>
      </c>
      <c r="GH455">
        <v>8.9508689212329934E-2</v>
      </c>
      <c r="GI455">
        <v>0.47892990090848109</v>
      </c>
      <c r="GJ455"/>
      <c r="GK455">
        <v>1.2593830882352941</v>
      </c>
      <c r="GL455">
        <v>1.677554963235294</v>
      </c>
      <c r="GM455">
        <v>1.3785767045454544</v>
      </c>
      <c r="GN455">
        <v>1.1790713474025971</v>
      </c>
      <c r="GO455">
        <v>0.48468214285714278</v>
      </c>
      <c r="GP455">
        <v>0.22617187499999997</v>
      </c>
      <c r="GQ455">
        <v>0</v>
      </c>
      <c r="GR455">
        <v>7.0364583333333328E-2</v>
      </c>
      <c r="GS455">
        <v>9.465845352564102E-2</v>
      </c>
      <c r="GT455">
        <v>0.64346007783270642</v>
      </c>
      <c r="GU455"/>
      <c r="GV455"/>
      <c r="GW455"/>
      <c r="GX455"/>
      <c r="GY455"/>
      <c r="GZ455"/>
      <c r="HA455"/>
      <c r="HB455"/>
      <c r="HC455"/>
    </row>
    <row r="456" spans="1:211" s="7" customFormat="1">
      <c r="A456" s="215" t="s">
        <v>116</v>
      </c>
      <c r="B456" s="4"/>
      <c r="C456" s="99" t="s">
        <v>79</v>
      </c>
      <c r="D456" s="99" t="s">
        <v>23</v>
      </c>
      <c r="E456" s="99" t="s">
        <v>80</v>
      </c>
      <c r="F456" s="99" t="s">
        <v>81</v>
      </c>
      <c r="G456" s="99" t="s">
        <v>82</v>
      </c>
      <c r="H456" s="99" t="s">
        <v>96</v>
      </c>
      <c r="I456" s="99" t="s">
        <v>134</v>
      </c>
      <c r="J456" s="99" t="s">
        <v>135</v>
      </c>
      <c r="K456" s="202" t="s">
        <v>136</v>
      </c>
      <c r="L456" s="205"/>
      <c r="M456" s="205"/>
      <c r="N456" s="205"/>
      <c r="O456" s="205"/>
      <c r="P456" s="205"/>
      <c r="Q456" s="205"/>
      <c r="R456" s="205"/>
      <c r="S456" s="205"/>
      <c r="T456" s="205"/>
      <c r="U456" s="205"/>
      <c r="V456" s="205"/>
      <c r="W456" s="205"/>
      <c r="X456" s="205"/>
      <c r="Y456" s="205"/>
      <c r="Z456" s="205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3">
        <v>440</v>
      </c>
      <c r="AN456">
        <v>31.990720315904138</v>
      </c>
      <c r="AO456">
        <v>0.68097053982843136</v>
      </c>
      <c r="AP456">
        <v>0.16312260689851515</v>
      </c>
      <c r="AQ456">
        <v>4.7222776026347679</v>
      </c>
      <c r="AR456">
        <v>0.63355276348039202</v>
      </c>
      <c r="AS456">
        <v>2.6779781499111439</v>
      </c>
      <c r="AT456" t="e">
        <v>#DIV/0!</v>
      </c>
      <c r="AU456" t="e">
        <v>#DIV/0!</v>
      </c>
      <c r="AV456"/>
      <c r="AW456"/>
      <c r="FY456" s="211">
        <v>451</v>
      </c>
      <c r="FZ456">
        <v>0.88109708696186928</v>
      </c>
      <c r="GA456">
        <v>1.6562645931003219</v>
      </c>
      <c r="GB456">
        <v>0.71219819314663591</v>
      </c>
      <c r="GC456">
        <v>0.35997906596971685</v>
      </c>
      <c r="GD456">
        <v>0.2354015045624368</v>
      </c>
      <c r="GE456">
        <v>7.6065534558449999E-2</v>
      </c>
      <c r="GF456">
        <v>0.52010488888686557</v>
      </c>
      <c r="GG456">
        <v>0.56761892125635938</v>
      </c>
      <c r="GH456">
        <v>0.29151180347241346</v>
      </c>
      <c r="GI456">
        <v>0.5774647089599676</v>
      </c>
      <c r="GJ456"/>
      <c r="GK456">
        <v>0.87809062500000001</v>
      </c>
      <c r="GL456">
        <v>1.3947234375000002</v>
      </c>
      <c r="GM456">
        <v>1.1685468750000001</v>
      </c>
      <c r="GN456">
        <v>1.0547993303571428</v>
      </c>
      <c r="GO456">
        <v>0.89544776785714275</v>
      </c>
      <c r="GP456">
        <v>0.14296875000000001</v>
      </c>
      <c r="GQ456">
        <v>0.62821874999999994</v>
      </c>
      <c r="GR456">
        <v>0.79046874999999994</v>
      </c>
      <c r="GS456">
        <v>0.30826923076923074</v>
      </c>
      <c r="GT456">
        <v>0.77571464972527471</v>
      </c>
      <c r="GU456"/>
      <c r="GV456"/>
      <c r="GW456"/>
      <c r="GX456"/>
      <c r="GY456"/>
      <c r="GZ456"/>
      <c r="HA456"/>
      <c r="HB456"/>
      <c r="HC456"/>
    </row>
    <row r="457" spans="1:211" s="7" customFormat="1">
      <c r="A457" s="214">
        <v>1.936E-3</v>
      </c>
      <c r="B457" s="4"/>
      <c r="C457" s="100">
        <v>0.5</v>
      </c>
      <c r="D457" s="101">
        <f>SUM($E$228:$E$347)/$A$438</f>
        <v>3.7975270236299656</v>
      </c>
      <c r="E457" s="97">
        <f>+G36</f>
        <v>6.9299999999999995E-3</v>
      </c>
      <c r="F457" s="102">
        <f>+D457-D459</f>
        <v>-25.839612645039438</v>
      </c>
      <c r="G457" s="101">
        <f>+D457*E457</f>
        <v>2.631686227375566E-2</v>
      </c>
      <c r="H457" s="101"/>
      <c r="I457" s="101"/>
      <c r="J457" s="101"/>
      <c r="K457" s="101"/>
      <c r="L457" s="205"/>
      <c r="M457" s="205"/>
      <c r="N457" s="205"/>
      <c r="O457" s="205"/>
      <c r="P457" s="205"/>
      <c r="Q457" s="205"/>
      <c r="R457" s="205"/>
      <c r="S457" s="205"/>
      <c r="T457" s="205"/>
      <c r="U457" s="205"/>
      <c r="V457" s="205"/>
      <c r="W457" s="205"/>
      <c r="X457" s="205"/>
      <c r="Y457" s="205"/>
      <c r="Z457" s="205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3">
        <v>441</v>
      </c>
      <c r="AN457">
        <v>49.239307158900331</v>
      </c>
      <c r="AO457">
        <v>1.396149067386298</v>
      </c>
      <c r="AP457">
        <v>7.2216008506519653</v>
      </c>
      <c r="AQ457">
        <v>9.5108567658619236</v>
      </c>
      <c r="AR457">
        <v>1.288132128567963</v>
      </c>
      <c r="AS457">
        <v>4.7639838668321666</v>
      </c>
      <c r="AT457" t="e">
        <v>#DIV/0!</v>
      </c>
      <c r="AU457" t="e">
        <v>#DIV/0!</v>
      </c>
      <c r="AV457"/>
      <c r="AW457"/>
      <c r="FY457" s="211">
        <v>452</v>
      </c>
      <c r="FZ457">
        <v>1.4363941525465305</v>
      </c>
      <c r="GA457">
        <v>1.7833100798420893</v>
      </c>
      <c r="GB457">
        <v>0.65219763607256231</v>
      </c>
      <c r="GC457">
        <v>0.43129154437956946</v>
      </c>
      <c r="GD457">
        <v>0.13538264163569677</v>
      </c>
      <c r="GE457">
        <v>0.14249529550395001</v>
      </c>
      <c r="GF457">
        <v>0.73485967443875966</v>
      </c>
      <c r="GG457">
        <v>0.56679095143493796</v>
      </c>
      <c r="GH457">
        <v>2.2985735835423678E-2</v>
      </c>
      <c r="GI457">
        <v>0.584839466962359</v>
      </c>
      <c r="GJ457"/>
      <c r="GK457">
        <v>1.4314049632352939</v>
      </c>
      <c r="GL457">
        <v>1.5019518382352939</v>
      </c>
      <c r="GM457">
        <v>1.0707954545454543</v>
      </c>
      <c r="GN457">
        <v>1.2660525974025971</v>
      </c>
      <c r="GO457">
        <v>0.51564776785714295</v>
      </c>
      <c r="GP457">
        <v>0.26784374999999999</v>
      </c>
      <c r="GQ457">
        <v>0.88672010869565221</v>
      </c>
      <c r="GR457">
        <v>0.78903260869565206</v>
      </c>
      <c r="GS457">
        <v>2.4293870192307693E-2</v>
      </c>
      <c r="GT457">
        <v>0.78577243290517018</v>
      </c>
      <c r="GU457"/>
      <c r="GV457"/>
      <c r="GW457"/>
      <c r="GX457"/>
      <c r="GY457"/>
      <c r="GZ457"/>
      <c r="HA457"/>
      <c r="HB457"/>
      <c r="HC457"/>
    </row>
    <row r="458" spans="1:211" s="7" customFormat="1">
      <c r="A458" s="4"/>
      <c r="B458" s="4"/>
      <c r="C458" s="63"/>
      <c r="D458" s="101"/>
      <c r="E458" s="63"/>
      <c r="F458" s="63"/>
      <c r="G458" s="101"/>
      <c r="H458" s="101">
        <f>+SQRT(E457*E459)</f>
        <v>1.0971513113513558E-2</v>
      </c>
      <c r="I458" s="101">
        <f>+H458*F457</f>
        <v>-0.28349964898316093</v>
      </c>
      <c r="J458" s="101">
        <f>+I458*$A$440</f>
        <v>-1.1339985959326437</v>
      </c>
      <c r="K458" s="61">
        <f>IF(J458&lt;0,0,J458)</f>
        <v>0</v>
      </c>
      <c r="L458" s="205"/>
      <c r="M458" s="205"/>
      <c r="N458" s="205"/>
      <c r="O458" s="205"/>
      <c r="P458" s="205"/>
      <c r="Q458" s="205"/>
      <c r="R458" s="205"/>
      <c r="S458" s="205"/>
      <c r="T458" s="205"/>
      <c r="U458" s="205"/>
      <c r="V458" s="205"/>
      <c r="W458" s="205"/>
      <c r="X458" s="205"/>
      <c r="Y458" s="205"/>
      <c r="Z458" s="205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3">
        <v>442</v>
      </c>
      <c r="AN458">
        <v>54.738997559493875</v>
      </c>
      <c r="AO458">
        <v>1.2072731636265082</v>
      </c>
      <c r="AP458">
        <v>3.4259357684122205</v>
      </c>
      <c r="AQ458">
        <v>7.1759303151471601</v>
      </c>
      <c r="AR458">
        <v>1.1033517505870356</v>
      </c>
      <c r="AS458">
        <v>4.3183140650574563</v>
      </c>
      <c r="AT458" t="e">
        <v>#DIV/0!</v>
      </c>
      <c r="AU458" t="e">
        <v>#DIV/0!</v>
      </c>
      <c r="AV458"/>
      <c r="AW458"/>
      <c r="FY458" s="211">
        <v>453</v>
      </c>
      <c r="FZ458">
        <v>0.81388927433508185</v>
      </c>
      <c r="GA458">
        <v>0.7851800135824365</v>
      </c>
      <c r="GB458">
        <v>1.3083115365801106</v>
      </c>
      <c r="GC458">
        <v>0.98271555629889473</v>
      </c>
      <c r="GD458">
        <v>0.25105473174171533</v>
      </c>
      <c r="GE458">
        <v>7.4193882690599997E-2</v>
      </c>
      <c r="GF458">
        <v>0.70871433467598444</v>
      </c>
      <c r="GG458">
        <v>0.68024812515690725</v>
      </c>
      <c r="GH458">
        <v>0.17901737842465987</v>
      </c>
      <c r="GI458">
        <v>0.73806551526030995</v>
      </c>
      <c r="GJ458"/>
      <c r="GK458">
        <v>0.81099374999999996</v>
      </c>
      <c r="GL458">
        <v>0.66100546874999988</v>
      </c>
      <c r="GM458">
        <v>2.1481260653409091</v>
      </c>
      <c r="GN458">
        <v>2.8832764001623374</v>
      </c>
      <c r="GO458">
        <v>0.95453705357142848</v>
      </c>
      <c r="GP458">
        <v>0.13931250000000001</v>
      </c>
      <c r="GQ458">
        <v>0.85440896739130423</v>
      </c>
      <c r="GR458">
        <v>0.94629438405797084</v>
      </c>
      <c r="GS458">
        <v>0.18931690705128204</v>
      </c>
      <c r="GT458">
        <v>0.99147654867098467</v>
      </c>
      <c r="GU458"/>
      <c r="GV458"/>
      <c r="GW458"/>
      <c r="GX458"/>
      <c r="GY458"/>
      <c r="GZ458"/>
      <c r="HA458"/>
      <c r="HB458"/>
      <c r="HC458"/>
    </row>
    <row r="459" spans="1:211" s="7" customFormat="1">
      <c r="A459" s="4"/>
      <c r="B459" s="4"/>
      <c r="C459" s="63">
        <v>1</v>
      </c>
      <c r="D459" s="101">
        <f>SUM($F$228:$F$347)/$A$438</f>
        <v>29.637139668669402</v>
      </c>
      <c r="E459" s="97">
        <f>+H36</f>
        <v>1.737E-2</v>
      </c>
      <c r="F459" s="102">
        <f>+D459-D461</f>
        <v>20.067593100041954</v>
      </c>
      <c r="G459" s="101">
        <f>+D459*E459</f>
        <v>0.51479711604478751</v>
      </c>
      <c r="H459" s="101"/>
      <c r="I459" s="101"/>
      <c r="J459" s="101"/>
      <c r="K459" s="101"/>
      <c r="L459" s="205"/>
      <c r="M459" s="205"/>
      <c r="N459" s="205"/>
      <c r="O459" s="205"/>
      <c r="P459" s="205"/>
      <c r="Q459" s="205"/>
      <c r="R459" s="205"/>
      <c r="S459" s="205"/>
      <c r="T459" s="205"/>
      <c r="U459" s="205"/>
      <c r="V459" s="205"/>
      <c r="W459" s="205"/>
      <c r="X459" s="205"/>
      <c r="Y459" s="205"/>
      <c r="Z459" s="205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3">
        <v>443</v>
      </c>
      <c r="AN459">
        <v>36.887643058431095</v>
      </c>
      <c r="AO459">
        <v>0.76596398492494822</v>
      </c>
      <c r="AP459">
        <v>4.437927873175699</v>
      </c>
      <c r="AQ459">
        <v>4.9865901666567103</v>
      </c>
      <c r="AR459">
        <v>0.69995305447722567</v>
      </c>
      <c r="AS459">
        <v>3.223503605188796</v>
      </c>
      <c r="AT459" t="e">
        <v>#DIV/0!</v>
      </c>
      <c r="AU459" t="e">
        <v>#DIV/0!</v>
      </c>
      <c r="AV459"/>
      <c r="AW459"/>
      <c r="FY459" s="211">
        <v>454</v>
      </c>
      <c r="FZ459">
        <v>0.8283894877067286</v>
      </c>
      <c r="GA459">
        <v>1.0252963681767533</v>
      </c>
      <c r="GB459">
        <v>0.76499294887229752</v>
      </c>
      <c r="GC459">
        <v>0.49432124739700767</v>
      </c>
      <c r="GD459">
        <v>0.16432933275001607</v>
      </c>
      <c r="GE459">
        <v>0.17134868761717498</v>
      </c>
      <c r="GF459">
        <v>0.5344786465355188</v>
      </c>
      <c r="GG459">
        <v>0.47874846122576609</v>
      </c>
      <c r="GH459">
        <v>6.6522953376906252E-2</v>
      </c>
      <c r="GI459">
        <v>0.50947054353256227</v>
      </c>
      <c r="GJ459"/>
      <c r="GK459">
        <v>0.82533749999999984</v>
      </c>
      <c r="GL459">
        <v>0.86335312499999994</v>
      </c>
      <c r="GM459">
        <v>1.2561938920454543</v>
      </c>
      <c r="GN459">
        <v>1.4510800527597401</v>
      </c>
      <c r="GO459">
        <v>0.62576116071428567</v>
      </c>
      <c r="GP459">
        <v>0.322171875</v>
      </c>
      <c r="GQ459">
        <v>0.64475135869565214</v>
      </c>
      <c r="GR459">
        <v>0.66627219202898535</v>
      </c>
      <c r="GS459">
        <v>7.0364583333333328E-2</v>
      </c>
      <c r="GT459">
        <v>0.68448169895774491</v>
      </c>
      <c r="GU459"/>
      <c r="GV459"/>
      <c r="GW459"/>
      <c r="GX459"/>
      <c r="GY459"/>
      <c r="GZ459"/>
      <c r="HA459"/>
      <c r="HB459"/>
      <c r="HC459"/>
    </row>
    <row r="460" spans="1:211" s="7" customFormat="1">
      <c r="A460" s="4"/>
      <c r="B460" s="4"/>
      <c r="C460" s="63" t="s">
        <v>99</v>
      </c>
      <c r="D460" s="101"/>
      <c r="E460" s="63"/>
      <c r="F460" s="63"/>
      <c r="G460" s="101"/>
      <c r="H460" s="101">
        <f>+SQRT(E459*E461)</f>
        <v>2.5776006284915436E-2</v>
      </c>
      <c r="I460" s="101">
        <f>+H460*F459</f>
        <v>0.51726240586980698</v>
      </c>
      <c r="J460" s="101">
        <f>+I460*$A$440</f>
        <v>2.0690496234792279</v>
      </c>
      <c r="K460" s="61">
        <f>IF(AND(J460&lt;0, J458&lt;0), 0, J460)</f>
        <v>2.0690496234792279</v>
      </c>
      <c r="L460" s="205"/>
      <c r="M460" s="205"/>
      <c r="N460" s="205"/>
      <c r="O460" s="205"/>
      <c r="P460" s="205"/>
      <c r="Q460" s="205"/>
      <c r="R460" s="205"/>
      <c r="S460" s="205"/>
      <c r="T460" s="205"/>
      <c r="U460" s="205"/>
      <c r="V460" s="205"/>
      <c r="W460" s="205"/>
      <c r="X460" s="205"/>
      <c r="Y460" s="205"/>
      <c r="Z460" s="205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3">
        <v>444</v>
      </c>
      <c r="AN460">
        <v>39.353807820276003</v>
      </c>
      <c r="AO460">
        <v>0.88009919387439339</v>
      </c>
      <c r="AP460">
        <v>0.13355060001914829</v>
      </c>
      <c r="AQ460">
        <v>7.6731430763921553</v>
      </c>
      <c r="AR460">
        <v>0.82986235719350443</v>
      </c>
      <c r="AS460">
        <v>2.9592071266961835</v>
      </c>
      <c r="AT460">
        <v>0.64561534880172122</v>
      </c>
      <c r="AU460">
        <v>0.15485487734675751</v>
      </c>
      <c r="AV460"/>
      <c r="AW460"/>
      <c r="FY460" s="211">
        <v>455</v>
      </c>
      <c r="FZ460">
        <v>0.85925838137894717</v>
      </c>
      <c r="GA460">
        <v>1.4068817537006564</v>
      </c>
      <c r="GB460">
        <v>0.97682475766462729</v>
      </c>
      <c r="GC460">
        <v>0.62142336599669201</v>
      </c>
      <c r="GD460">
        <v>0.22206244767155353</v>
      </c>
      <c r="GE460">
        <v>3.5650788238799996E-2</v>
      </c>
      <c r="GF460">
        <v>1.0284381956596096</v>
      </c>
      <c r="GG460">
        <v>0.856333105575251</v>
      </c>
      <c r="GH460">
        <v>0</v>
      </c>
      <c r="GI460">
        <v>0.67663958593733287</v>
      </c>
      <c r="GJ460"/>
      <c r="GK460">
        <v>0.85624687499999985</v>
      </c>
      <c r="GL460">
        <v>1.1846296875</v>
      </c>
      <c r="GM460">
        <v>1.6032407670454545</v>
      </c>
      <c r="GN460">
        <v>1.8222909902597402</v>
      </c>
      <c r="GO460">
        <v>0.84443303571428563</v>
      </c>
      <c r="GP460">
        <v>6.6937499999999997E-2</v>
      </c>
      <c r="GQ460">
        <v>1.2406589673913042</v>
      </c>
      <c r="GR460">
        <v>1.1918152173913041</v>
      </c>
      <c r="GS460">
        <v>0</v>
      </c>
      <c r="GT460">
        <v>0.9089159290302089</v>
      </c>
      <c r="GU460"/>
      <c r="GV460"/>
      <c r="GW460"/>
      <c r="GX460"/>
      <c r="GY460"/>
      <c r="GZ460"/>
      <c r="HA460"/>
      <c r="HB460"/>
      <c r="HC460"/>
    </row>
    <row r="461" spans="1:211" s="7" customFormat="1">
      <c r="A461" s="4"/>
      <c r="B461" s="4"/>
      <c r="C461" s="63">
        <v>2</v>
      </c>
      <c r="D461" s="101">
        <f>SUM($G$228:$G$347)/$A$438</f>
        <v>9.5695465686274499</v>
      </c>
      <c r="E461" s="97">
        <f>+I36</f>
        <v>3.8249999999999999E-2</v>
      </c>
      <c r="F461" s="102">
        <f>+D461-D463</f>
        <v>9.5695465686274499</v>
      </c>
      <c r="G461" s="101">
        <f>+D461*E461</f>
        <v>0.36603515624999994</v>
      </c>
      <c r="H461" s="101"/>
      <c r="I461" s="101"/>
      <c r="J461" s="101"/>
      <c r="K461" s="101"/>
      <c r="L461" s="205"/>
      <c r="M461" s="205"/>
      <c r="N461" s="205"/>
      <c r="O461" s="205"/>
      <c r="P461" s="205"/>
      <c r="Q461" s="205"/>
      <c r="R461" s="205"/>
      <c r="S461" s="205"/>
      <c r="T461" s="205"/>
      <c r="U461" s="205"/>
      <c r="V461" s="205"/>
      <c r="W461" s="205"/>
      <c r="X461" s="205"/>
      <c r="Y461" s="205"/>
      <c r="Z461" s="205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3">
        <v>445</v>
      </c>
      <c r="AN461">
        <v>64.808382095638322</v>
      </c>
      <c r="AO461">
        <v>1.4055295240374366</v>
      </c>
      <c r="AP461">
        <v>1.1346654923717501</v>
      </c>
      <c r="AQ461">
        <v>10.349278567611268</v>
      </c>
      <c r="AR461">
        <v>1.2930376573417259</v>
      </c>
      <c r="AS461">
        <v>5.1930131979941789</v>
      </c>
      <c r="AT461">
        <v>1.0418278829782854</v>
      </c>
      <c r="AU461">
        <v>-2.1065326992631334E-2</v>
      </c>
      <c r="AV461"/>
      <c r="AW461"/>
      <c r="FY461" s="211">
        <v>456</v>
      </c>
      <c r="FZ461">
        <v>2.2600930141237088</v>
      </c>
      <c r="GA461">
        <v>3.1151236536651936</v>
      </c>
      <c r="GB461">
        <v>0.31840487841515974</v>
      </c>
      <c r="GC461">
        <v>0.33866063891157627</v>
      </c>
      <c r="GD461">
        <v>0.28391581108111186</v>
      </c>
      <c r="GE461">
        <v>0.15315172346204997</v>
      </c>
      <c r="GF461">
        <v>1.0284381956596096</v>
      </c>
      <c r="GG461">
        <v>0.90691501401339158</v>
      </c>
      <c r="GH461">
        <v>6.6522953376906252E-2</v>
      </c>
      <c r="GI461">
        <v>0.76912341685439622</v>
      </c>
      <c r="GJ461"/>
      <c r="GK461">
        <v>2.2523586397058821</v>
      </c>
      <c r="GL461">
        <v>2.6239953584558822</v>
      </c>
      <c r="GM461">
        <v>0.52241796875000002</v>
      </c>
      <c r="GN461">
        <v>0.99194776785714289</v>
      </c>
      <c r="GO461">
        <v>1.080041517857143</v>
      </c>
      <c r="GP461">
        <v>0.28771875000000002</v>
      </c>
      <c r="GQ461">
        <v>1.2406589673913042</v>
      </c>
      <c r="GR461">
        <v>1.2621798007246374</v>
      </c>
      <c r="GS461">
        <v>7.0364583333333328E-2</v>
      </c>
      <c r="GT461">
        <v>1.0331683354075325</v>
      </c>
      <c r="GU461"/>
      <c r="GV461"/>
      <c r="GW461"/>
      <c r="GX461"/>
      <c r="GY461"/>
      <c r="GZ461"/>
      <c r="HA461"/>
      <c r="HB461"/>
      <c r="HC461"/>
    </row>
    <row r="462" spans="1:211" s="7" customFormat="1">
      <c r="A462" s="4"/>
      <c r="B462" s="4"/>
      <c r="C462" s="63"/>
      <c r="D462" s="101"/>
      <c r="E462" s="63"/>
      <c r="F462" s="63"/>
      <c r="G462" s="101"/>
      <c r="H462" s="101">
        <f>+SQRT(E461*E463)</f>
        <v>4.7557570375283048E-2</v>
      </c>
      <c r="I462" s="101">
        <f>+H462*F461</f>
        <v>0.45510438439704837</v>
      </c>
      <c r="J462" s="101">
        <f>+I462*$A$440</f>
        <v>1.8204175375881935</v>
      </c>
      <c r="K462" s="61">
        <f>IF(AND(J462&lt;0, J460&lt;0), 0, J462)</f>
        <v>1.8204175375881935</v>
      </c>
      <c r="L462" s="205"/>
      <c r="M462" s="205"/>
      <c r="N462" s="205"/>
      <c r="O462" s="205"/>
      <c r="P462" s="205"/>
      <c r="Q462" s="205"/>
      <c r="R462" s="205"/>
      <c r="S462" s="205"/>
      <c r="T462" s="205"/>
      <c r="U462" s="205"/>
      <c r="V462" s="205"/>
      <c r="W462" s="205"/>
      <c r="X462" s="205"/>
      <c r="Y462" s="205"/>
      <c r="Z462" s="205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3">
        <v>446</v>
      </c>
      <c r="AN462">
        <v>60.036242722655764</v>
      </c>
      <c r="AO462">
        <v>1.4551677091694535</v>
      </c>
      <c r="AP462">
        <v>1.3271476349541096</v>
      </c>
      <c r="AQ462">
        <v>8.6483991387567638</v>
      </c>
      <c r="AR462">
        <v>1.3613098601715314</v>
      </c>
      <c r="AS462">
        <v>5.0148140998640516</v>
      </c>
      <c r="AT462">
        <v>0.97261471025732682</v>
      </c>
      <c r="AU462">
        <v>0.35621693616546229</v>
      </c>
      <c r="AV462"/>
      <c r="AW462"/>
      <c r="FY462" s="211">
        <v>457</v>
      </c>
      <c r="FZ462">
        <v>1.3110200852934772</v>
      </c>
      <c r="GA462">
        <v>1.8247097121791778</v>
      </c>
      <c r="GB462">
        <v>0.93088965926238387</v>
      </c>
      <c r="GC462">
        <v>0.66068825644633389</v>
      </c>
      <c r="GD462">
        <v>0.30580511269722427</v>
      </c>
      <c r="GE462">
        <v>0.17236934196232498</v>
      </c>
      <c r="GF462">
        <v>0.49395954912409079</v>
      </c>
      <c r="GG462">
        <v>0.47874846122576609</v>
      </c>
      <c r="GH462">
        <v>0.11249442504775362</v>
      </c>
      <c r="GI462">
        <v>0.70160632673709378</v>
      </c>
      <c r="GJ462"/>
      <c r="GK462">
        <v>1.306595588235294</v>
      </c>
      <c r="GL462">
        <v>1.536763556985294</v>
      </c>
      <c r="GM462">
        <v>1.5280337357954543</v>
      </c>
      <c r="GN462">
        <v>1.9379385349025973</v>
      </c>
      <c r="GO462">
        <v>1.1632446428571428</v>
      </c>
      <c r="GP462">
        <v>0.32395312500000001</v>
      </c>
      <c r="GQ462">
        <v>0.59590760869565207</v>
      </c>
      <c r="GR462">
        <v>0.66627219202898535</v>
      </c>
      <c r="GS462">
        <v>0.11895232371794871</v>
      </c>
      <c r="GT462">
        <v>0.94254677986029844</v>
      </c>
      <c r="GU462"/>
      <c r="GV462"/>
      <c r="GW462"/>
      <c r="GX462"/>
      <c r="GY462"/>
      <c r="GZ462"/>
      <c r="HA462"/>
      <c r="HB462"/>
      <c r="HC462"/>
    </row>
    <row r="463" spans="1:211" s="7" customFormat="1">
      <c r="A463" s="4"/>
      <c r="B463" s="4"/>
      <c r="C463" s="63">
        <v>3</v>
      </c>
      <c r="D463" s="101">
        <f>SUM($H$228:$H$347)/$A$438</f>
        <v>0</v>
      </c>
      <c r="E463" s="97">
        <f>+J36</f>
        <v>5.9129999999999995E-2</v>
      </c>
      <c r="F463" s="102">
        <f>+D463-D465</f>
        <v>0</v>
      </c>
      <c r="G463" s="101">
        <f>+D463*E463</f>
        <v>0</v>
      </c>
      <c r="H463" s="101"/>
      <c r="I463" s="101"/>
      <c r="J463" s="101"/>
      <c r="K463" s="101"/>
      <c r="L463" s="205"/>
      <c r="M463" s="205"/>
      <c r="N463" s="205"/>
      <c r="O463" s="205"/>
      <c r="P463" s="205"/>
      <c r="Q463" s="205"/>
      <c r="R463" s="205"/>
      <c r="S463" s="205"/>
      <c r="T463" s="205"/>
      <c r="U463" s="205"/>
      <c r="V463" s="205"/>
      <c r="W463" s="205"/>
      <c r="X463" s="205"/>
      <c r="Y463" s="205"/>
      <c r="Z463" s="205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3">
        <v>447</v>
      </c>
      <c r="AN463">
        <v>50.015880395032411</v>
      </c>
      <c r="AO463">
        <v>1.1525941512852422</v>
      </c>
      <c r="AP463">
        <v>10.313901713571818</v>
      </c>
      <c r="AQ463">
        <v>9.4355624900688309</v>
      </c>
      <c r="AR463">
        <v>1.0623015011684018</v>
      </c>
      <c r="AS463">
        <v>3.9419965498825018</v>
      </c>
      <c r="AT463" t="e">
        <v>#DIV/0!</v>
      </c>
      <c r="AU463" t="e">
        <v>#DIV/0!</v>
      </c>
      <c r="AV463"/>
      <c r="AW463"/>
      <c r="FY463" s="211">
        <v>458</v>
      </c>
      <c r="FZ463">
        <v>1.733767594123593</v>
      </c>
      <c r="GA463">
        <v>2.5090517488180644</v>
      </c>
      <c r="GB463">
        <v>1.4671389358976694</v>
      </c>
      <c r="GC463">
        <v>0.73405021562065842</v>
      </c>
      <c r="GD463">
        <v>0.12314699862659677</v>
      </c>
      <c r="GE463">
        <v>0.13677248244914997</v>
      </c>
      <c r="GF463">
        <v>1.0022928558968347</v>
      </c>
      <c r="GG463">
        <v>0.91920837085907969</v>
      </c>
      <c r="GH463">
        <v>8.9508689212329934E-2</v>
      </c>
      <c r="GI463">
        <v>0.87951573109926895</v>
      </c>
      <c r="GJ463"/>
      <c r="GK463">
        <v>1.7279568014705879</v>
      </c>
      <c r="GL463">
        <v>2.1135974264705877</v>
      </c>
      <c r="GM463">
        <v>2.4091455965909088</v>
      </c>
      <c r="GN463">
        <v>2.1552464894480519</v>
      </c>
      <c r="GO463">
        <v>0.46839776785714277</v>
      </c>
      <c r="GP463">
        <v>0.25696874999999997</v>
      </c>
      <c r="GQ463">
        <v>1.2083478260869565</v>
      </c>
      <c r="GR463">
        <v>1.2787124094202897</v>
      </c>
      <c r="GS463">
        <v>9.465845352564102E-2</v>
      </c>
      <c r="GT463">
        <v>1.1817012891062473</v>
      </c>
      <c r="GU463"/>
      <c r="GV463"/>
      <c r="GW463"/>
      <c r="GX463"/>
      <c r="GY463"/>
      <c r="GZ463"/>
      <c r="HA463"/>
      <c r="HB463"/>
      <c r="HC463"/>
    </row>
    <row r="464" spans="1:211" s="7" customFormat="1">
      <c r="A464" s="4"/>
      <c r="B464" s="4"/>
      <c r="C464" s="63"/>
      <c r="D464" s="101"/>
      <c r="E464" s="63"/>
      <c r="F464" s="63"/>
      <c r="G464" s="101"/>
      <c r="H464" s="101">
        <f>+SQRT(E463*E465)</f>
        <v>6.8782201912994903E-2</v>
      </c>
      <c r="I464" s="101">
        <f>+H464*F463</f>
        <v>0</v>
      </c>
      <c r="J464" s="101">
        <f>+I464*$A$440</f>
        <v>0</v>
      </c>
      <c r="K464" s="61">
        <f>IF(AND(J464&lt;0, J462&lt;0), 0, J464)</f>
        <v>0</v>
      </c>
      <c r="L464" s="205"/>
      <c r="M464" s="205"/>
      <c r="N464" s="205"/>
      <c r="O464" s="205"/>
      <c r="P464" s="205"/>
      <c r="Q464" s="205"/>
      <c r="R464" s="205"/>
      <c r="S464" s="205"/>
      <c r="T464" s="205"/>
      <c r="U464" s="205"/>
      <c r="V464" s="205"/>
      <c r="W464" s="205"/>
      <c r="X464" s="205"/>
      <c r="Y464" s="205"/>
      <c r="Z464" s="205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3">
        <v>448</v>
      </c>
      <c r="AN464">
        <v>48.73998824864394</v>
      </c>
      <c r="AO464">
        <v>1.0252895998382212</v>
      </c>
      <c r="AP464">
        <v>4.6023826120926437</v>
      </c>
      <c r="AQ464">
        <v>7.5041153563579774</v>
      </c>
      <c r="AR464">
        <v>0.9379121471431382</v>
      </c>
      <c r="AS464">
        <v>3.7400408826267353</v>
      </c>
      <c r="AT464" t="e">
        <v>#DIV/0!</v>
      </c>
      <c r="AU464" t="e">
        <v>#DIV/0!</v>
      </c>
      <c r="AV464"/>
      <c r="AW464"/>
      <c r="FY464" s="211">
        <v>459</v>
      </c>
      <c r="FZ464">
        <v>0.80470745344722661</v>
      </c>
      <c r="GA464">
        <v>0.92470934617848632</v>
      </c>
      <c r="GB464">
        <v>0.74954588894731045</v>
      </c>
      <c r="GC464">
        <v>0.86439197286404634</v>
      </c>
      <c r="GD464">
        <v>0.43571307692523864</v>
      </c>
      <c r="GE464">
        <v>0.18393069616874999</v>
      </c>
      <c r="GF464">
        <v>0.37461671604370633</v>
      </c>
      <c r="GG464">
        <v>0.28954215414031298</v>
      </c>
      <c r="GH464">
        <v>6.8957207506271032E-2</v>
      </c>
      <c r="GI464">
        <v>0.62744033724957371</v>
      </c>
      <c r="GJ464"/>
      <c r="GK464">
        <v>0.80189062499999997</v>
      </c>
      <c r="GL464">
        <v>0.77874609375000003</v>
      </c>
      <c r="GM464">
        <v>1.2305806107954544</v>
      </c>
      <c r="GN464">
        <v>2.5340769277597404</v>
      </c>
      <c r="GO464">
        <v>1.6568517857142859</v>
      </c>
      <c r="GP464">
        <v>0.34565625</v>
      </c>
      <c r="GQ464">
        <v>0.45162635869565215</v>
      </c>
      <c r="GR464">
        <v>0.40278260869565213</v>
      </c>
      <c r="GS464">
        <v>7.2881610576923078E-2</v>
      </c>
      <c r="GT464">
        <v>0.84276619815646314</v>
      </c>
      <c r="GU464"/>
      <c r="GV464"/>
      <c r="GW464"/>
      <c r="GX464"/>
      <c r="GY464"/>
      <c r="GZ464"/>
      <c r="HA464"/>
      <c r="HB464"/>
      <c r="HC464"/>
    </row>
    <row r="465" spans="1:211" s="7" customFormat="1">
      <c r="A465" s="4"/>
      <c r="B465" s="4"/>
      <c r="C465" s="63">
        <v>4</v>
      </c>
      <c r="D465" s="101">
        <f>SUM($I$228:$I$347)/$A$438</f>
        <v>0</v>
      </c>
      <c r="E465" s="97">
        <f>+K36</f>
        <v>8.0009999999999998E-2</v>
      </c>
      <c r="F465" s="102">
        <f>+D465-D467</f>
        <v>0</v>
      </c>
      <c r="G465" s="101">
        <f>+D465*E465</f>
        <v>0</v>
      </c>
      <c r="H465" s="101"/>
      <c r="I465" s="101"/>
      <c r="J465" s="101"/>
      <c r="K465" s="101"/>
      <c r="L465" s="205"/>
      <c r="M465" s="205"/>
      <c r="N465" s="205"/>
      <c r="O465" s="205"/>
      <c r="P465" s="205"/>
      <c r="Q465" s="205"/>
      <c r="R465" s="205"/>
      <c r="S465" s="205"/>
      <c r="T465" s="205"/>
      <c r="U465" s="205"/>
      <c r="V465" s="205"/>
      <c r="W465" s="205"/>
      <c r="X465" s="205"/>
      <c r="Y465" s="205"/>
      <c r="Z465" s="205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3">
        <v>449</v>
      </c>
      <c r="AN465">
        <v>51.723860324044153</v>
      </c>
      <c r="AO465">
        <v>1.1054371048467462</v>
      </c>
      <c r="AP465">
        <v>3.7675129368884881</v>
      </c>
      <c r="AQ465">
        <v>6.6326624146206203</v>
      </c>
      <c r="AR465">
        <v>1.0107735153327067</v>
      </c>
      <c r="AS465">
        <v>4.2807389007584984</v>
      </c>
      <c r="AT465" t="e">
        <v>#DIV/0!</v>
      </c>
      <c r="AU465" t="e">
        <v>#DIV/0!</v>
      </c>
      <c r="AV465"/>
      <c r="AW465"/>
      <c r="FY465" s="211">
        <v>460</v>
      </c>
      <c r="FZ465">
        <v>1.6883984870797277</v>
      </c>
      <c r="GA465">
        <v>2.4044721480101297</v>
      </c>
      <c r="GB465">
        <v>1.4272198682041721</v>
      </c>
      <c r="GC465">
        <v>0.91781143100462281</v>
      </c>
      <c r="GD465">
        <v>0.22872585638917606</v>
      </c>
      <c r="GE465">
        <v>3.5650788238799996E-2</v>
      </c>
      <c r="GF465">
        <v>0.5344786465355188</v>
      </c>
      <c r="GG465">
        <v>0.47874846122576609</v>
      </c>
      <c r="GH465">
        <v>8.9508689212329934E-2</v>
      </c>
      <c r="GI465">
        <v>0.83880168284253398</v>
      </c>
      <c r="GJ465"/>
      <c r="GK465">
        <v>1.6827036764705878</v>
      </c>
      <c r="GL465">
        <v>2.0250903952205879</v>
      </c>
      <c r="GM465">
        <v>2.3428838778409089</v>
      </c>
      <c r="GN465">
        <v>2.6928020698051944</v>
      </c>
      <c r="GO465">
        <v>0.86977366071428563</v>
      </c>
      <c r="GP465">
        <v>6.6937499999999997E-2</v>
      </c>
      <c r="GQ465">
        <v>0.64475135869565214</v>
      </c>
      <c r="GR465">
        <v>0.66627219202898535</v>
      </c>
      <c r="GS465">
        <v>9.465845352564102E-2</v>
      </c>
      <c r="GT465">
        <v>1.1269542054494153</v>
      </c>
      <c r="GU465"/>
      <c r="GV465"/>
      <c r="GW465"/>
      <c r="GX465"/>
      <c r="GY465"/>
      <c r="GZ465"/>
      <c r="HA465"/>
      <c r="HB465"/>
      <c r="HC465"/>
    </row>
    <row r="466" spans="1:211" s="7" customFormat="1">
      <c r="A466" s="4"/>
      <c r="B466" s="4"/>
      <c r="C466" s="63"/>
      <c r="D466" s="101"/>
      <c r="E466" s="63"/>
      <c r="F466" s="63"/>
      <c r="G466" s="101"/>
      <c r="H466" s="101">
        <f>+SQRT(E465*E467)</f>
        <v>8.9845472340012764E-2</v>
      </c>
      <c r="I466" s="101">
        <f>+H466*F465</f>
        <v>0</v>
      </c>
      <c r="J466" s="101">
        <f>+I466*$A$440</f>
        <v>0</v>
      </c>
      <c r="K466" s="61">
        <f>IF(AND(J466&lt;0, J464&lt;0), 0, J466)</f>
        <v>0</v>
      </c>
      <c r="L466" s="205"/>
      <c r="M466" s="205"/>
      <c r="N466" s="205"/>
      <c r="O466" s="205"/>
      <c r="P466" s="205"/>
      <c r="Q466" s="205"/>
      <c r="R466" s="205"/>
      <c r="S466" s="205"/>
      <c r="T466" s="205"/>
      <c r="U466" s="205"/>
      <c r="V466" s="205"/>
      <c r="W466" s="205"/>
      <c r="X466" s="205"/>
      <c r="Y466" s="205"/>
      <c r="Z466" s="205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3">
        <v>450</v>
      </c>
      <c r="AN466">
        <v>28.841568657377486</v>
      </c>
      <c r="AO466">
        <v>0.7013923235967463</v>
      </c>
      <c r="AP466">
        <v>1.2823948008992019</v>
      </c>
      <c r="AQ466">
        <v>5.3642080563789269</v>
      </c>
      <c r="AR466">
        <v>0.64346007783270631</v>
      </c>
      <c r="AS466">
        <v>2.1660295193369712</v>
      </c>
      <c r="AT466" t="e">
        <v>#DIV/0!</v>
      </c>
      <c r="AU466" t="e">
        <v>#DIV/0!</v>
      </c>
      <c r="AV466"/>
      <c r="AW466"/>
      <c r="FY466" s="211">
        <v>461</v>
      </c>
      <c r="FZ466">
        <v>1.8373167241348445</v>
      </c>
      <c r="GA466">
        <v>2.3027005924171458</v>
      </c>
      <c r="GB466">
        <v>1.0431098378224382</v>
      </c>
      <c r="GC466">
        <v>0.89864590879378392</v>
      </c>
      <c r="GD466">
        <v>0.40815153031924928</v>
      </c>
      <c r="GE466">
        <v>0.12900836070404997</v>
      </c>
      <c r="GF466">
        <v>0.6538214796159032</v>
      </c>
      <c r="GG466">
        <v>0.56679095143493796</v>
      </c>
      <c r="GH466">
        <v>4.5971471670847357E-2</v>
      </c>
      <c r="GI466">
        <v>0.88330039275900374</v>
      </c>
      <c r="GJ466"/>
      <c r="GK466">
        <v>1.8312224264705876</v>
      </c>
      <c r="GL466">
        <v>1.9397849264705878</v>
      </c>
      <c r="GM466">
        <v>1.7122876420454545</v>
      </c>
      <c r="GN466">
        <v>2.6345010349025975</v>
      </c>
      <c r="GO466">
        <v>1.5522133928571429</v>
      </c>
      <c r="GP466">
        <v>0.24253124999999998</v>
      </c>
      <c r="GQ466">
        <v>0.78903260869565206</v>
      </c>
      <c r="GR466">
        <v>0.78903260869565206</v>
      </c>
      <c r="GS466">
        <v>4.8587740384615385E-2</v>
      </c>
      <c r="GT466">
        <v>1.1866687620906904</v>
      </c>
      <c r="GU466"/>
      <c r="GV466"/>
      <c r="GW466"/>
      <c r="GX466"/>
      <c r="GY466"/>
      <c r="GZ466"/>
      <c r="HA466"/>
      <c r="HB466"/>
      <c r="HC466"/>
    </row>
    <row r="467" spans="1:211" s="7" customFormat="1">
      <c r="A467" s="4"/>
      <c r="B467" s="4"/>
      <c r="C467" s="63">
        <v>5</v>
      </c>
      <c r="D467" s="101">
        <f>SUM($J$228:$J$347)/$A$438</f>
        <v>0</v>
      </c>
      <c r="E467" s="97">
        <f>L36</f>
        <v>0.10088999999999999</v>
      </c>
      <c r="F467" s="102">
        <f>+D467-D469</f>
        <v>0</v>
      </c>
      <c r="G467" s="101">
        <f>+D467*E467</f>
        <v>0</v>
      </c>
      <c r="H467" s="101"/>
      <c r="I467" s="101"/>
      <c r="J467" s="101"/>
      <c r="K467" s="101"/>
      <c r="L467" s="205"/>
      <c r="M467" s="205"/>
      <c r="N467" s="205"/>
      <c r="O467" s="205"/>
      <c r="P467" s="205"/>
      <c r="Q467" s="205"/>
      <c r="R467" s="205"/>
      <c r="S467" s="205"/>
      <c r="T467" s="205"/>
      <c r="U467" s="205"/>
      <c r="V467" s="205"/>
      <c r="W467" s="205"/>
      <c r="X467" s="205"/>
      <c r="Y467" s="205"/>
      <c r="Z467" s="205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3">
        <v>451</v>
      </c>
      <c r="AN467">
        <v>36.998862942612938</v>
      </c>
      <c r="AO467">
        <v>0.80372481662087902</v>
      </c>
      <c r="AP467">
        <v>0.88274186979603597</v>
      </c>
      <c r="AQ467">
        <v>5.8777063008750368</v>
      </c>
      <c r="AR467">
        <v>0.77571464972527482</v>
      </c>
      <c r="AS467">
        <v>3.1779526591743656</v>
      </c>
      <c r="AT467">
        <v>0.62426294456478071</v>
      </c>
      <c r="AU467">
        <v>0.14108255079388843</v>
      </c>
      <c r="AV467"/>
      <c r="AW467"/>
      <c r="FY467" s="211">
        <v>462</v>
      </c>
      <c r="FZ467">
        <v>0.52138496104975962</v>
      </c>
      <c r="GA467">
        <v>0.67980455988014499</v>
      </c>
      <c r="GB467">
        <v>0.6171878337732456</v>
      </c>
      <c r="GC467">
        <v>0.42942074585068701</v>
      </c>
      <c r="GD467">
        <v>0.12971285046042424</v>
      </c>
      <c r="GE467">
        <v>0.10791909033592499</v>
      </c>
      <c r="GF467">
        <v>0.37461671604370633</v>
      </c>
      <c r="GG467">
        <v>0.34012406257845362</v>
      </c>
      <c r="GH467">
        <v>0.11249442504775362</v>
      </c>
      <c r="GI467">
        <v>0.38666879546238975</v>
      </c>
      <c r="GJ467"/>
      <c r="GK467">
        <v>0.51949687499999997</v>
      </c>
      <c r="GL467">
        <v>0.57238359375000003</v>
      </c>
      <c r="GM467">
        <v>1.0132915482954543</v>
      </c>
      <c r="GN467">
        <v>1.2606338474025973</v>
      </c>
      <c r="GO467">
        <v>0.49386964285714274</v>
      </c>
      <c r="GP467">
        <v>0.20264062499999999</v>
      </c>
      <c r="GQ467">
        <v>0.45162635869565215</v>
      </c>
      <c r="GR467">
        <v>0.47314719202898542</v>
      </c>
      <c r="GS467">
        <v>0.11895232371794871</v>
      </c>
      <c r="GT467">
        <v>0.51944734971323969</v>
      </c>
      <c r="GU467"/>
      <c r="GV467"/>
      <c r="GW467"/>
      <c r="GX467"/>
      <c r="GY467"/>
      <c r="GZ467"/>
      <c r="HA467"/>
      <c r="HB467"/>
      <c r="HC467"/>
    </row>
    <row r="468" spans="1:211" s="7" customFormat="1">
      <c r="A468" s="4"/>
      <c r="B468" s="4"/>
      <c r="C468" s="63"/>
      <c r="D468" s="101"/>
      <c r="E468" s="63"/>
      <c r="F468" s="63"/>
      <c r="G468" s="101"/>
      <c r="H468" s="101">
        <f>+SQRT(E467*E469)</f>
        <v>0.11083941221424805</v>
      </c>
      <c r="I468" s="101">
        <f>+H468*F467</f>
        <v>0</v>
      </c>
      <c r="J468" s="101">
        <f>+I468*$A$440</f>
        <v>0</v>
      </c>
      <c r="K468" s="61">
        <f>IF(AND(J468&lt;0, J466&lt;0), 0, J468)</f>
        <v>0</v>
      </c>
      <c r="L468" s="205"/>
      <c r="M468" s="205"/>
      <c r="N468" s="205"/>
      <c r="O468" s="205"/>
      <c r="P468" s="205"/>
      <c r="Q468" s="205"/>
      <c r="R468" s="205"/>
      <c r="S468" s="205"/>
      <c r="T468" s="205"/>
      <c r="U468" s="205"/>
      <c r="V468" s="205"/>
      <c r="W468" s="205"/>
      <c r="X468" s="205"/>
      <c r="Y468" s="205"/>
      <c r="Z468" s="205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3">
        <v>452</v>
      </c>
      <c r="AN468">
        <v>34.949036451258308</v>
      </c>
      <c r="AO468">
        <v>0.85395153917645639</v>
      </c>
      <c r="AP468">
        <v>0.97107798578222759</v>
      </c>
      <c r="AQ468">
        <v>6.4905471786518785</v>
      </c>
      <c r="AR468">
        <v>0.78577243290517007</v>
      </c>
      <c r="AS468">
        <v>2.6351238845516387</v>
      </c>
      <c r="AT468" t="e">
        <v>#DIV/0!</v>
      </c>
      <c r="AU468" t="e">
        <v>#DIV/0!</v>
      </c>
      <c r="AV468"/>
      <c r="AW468"/>
      <c r="FY468" s="211">
        <v>463</v>
      </c>
      <c r="FZ468">
        <v>1.3133665975732005</v>
      </c>
      <c r="GA468">
        <v>1.7436740236853998</v>
      </c>
      <c r="GB468">
        <v>1.1635559394979815</v>
      </c>
      <c r="GC468">
        <v>0.65279106737185566</v>
      </c>
      <c r="GD468">
        <v>0.21086149591013137</v>
      </c>
      <c r="GE468">
        <v>0.12713670883619999</v>
      </c>
      <c r="GF468">
        <v>0.15986193049181252</v>
      </c>
      <c r="GG468">
        <v>0.13862439864731252</v>
      </c>
      <c r="GH468">
        <v>0</v>
      </c>
      <c r="GI468">
        <v>0.62730172581092347</v>
      </c>
      <c r="GJ468"/>
      <c r="GK468">
        <v>1.3087781249999999</v>
      </c>
      <c r="GL468">
        <v>1.4683992187499999</v>
      </c>
      <c r="GM468">
        <v>1.9101821732954545</v>
      </c>
      <c r="GN468">
        <v>1.9154217938311686</v>
      </c>
      <c r="GO468">
        <v>0.80217321428571409</v>
      </c>
      <c r="GP468">
        <v>0.23887499999999998</v>
      </c>
      <c r="GQ468">
        <v>0.19312499999999999</v>
      </c>
      <c r="GR468">
        <v>0.19312499999999999</v>
      </c>
      <c r="GS468">
        <v>0</v>
      </c>
      <c r="GT468">
        <v>0.84285170251623376</v>
      </c>
      <c r="GU468"/>
      <c r="GV468"/>
      <c r="GW468"/>
      <c r="GX468"/>
      <c r="GY468"/>
      <c r="GZ468"/>
      <c r="HA468"/>
      <c r="HB468"/>
      <c r="HC468"/>
    </row>
    <row r="469" spans="1:211" s="7" customFormat="1">
      <c r="A469" s="4"/>
      <c r="B469" s="4"/>
      <c r="C469" s="63">
        <v>6</v>
      </c>
      <c r="D469" s="101">
        <f>SUM($K$228:$K$347)/$A$438</f>
        <v>0</v>
      </c>
      <c r="E469" s="97">
        <f>M36</f>
        <v>0.12177</v>
      </c>
      <c r="F469" s="102">
        <f>+D469-D471</f>
        <v>0</v>
      </c>
      <c r="G469" s="101">
        <f>+D469*E469</f>
        <v>0</v>
      </c>
      <c r="H469" s="101"/>
      <c r="I469" s="101"/>
      <c r="J469" s="101"/>
      <c r="K469" s="101"/>
      <c r="L469" s="205"/>
      <c r="M469" s="205"/>
      <c r="N469" s="205"/>
      <c r="O469" s="205"/>
      <c r="P469" s="205"/>
      <c r="Q469" s="205"/>
      <c r="R469" s="205"/>
      <c r="S469" s="205"/>
      <c r="T469" s="205"/>
      <c r="U469" s="205"/>
      <c r="V469" s="205"/>
      <c r="W469" s="205"/>
      <c r="X469" s="205"/>
      <c r="Y469" s="205"/>
      <c r="Z469" s="205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3">
        <v>453</v>
      </c>
      <c r="AN469">
        <v>46.844434850073426</v>
      </c>
      <c r="AO469">
        <v>1.0578748044996218</v>
      </c>
      <c r="AP469">
        <v>1.620571095080962</v>
      </c>
      <c r="AQ469">
        <v>6.5213903487467002</v>
      </c>
      <c r="AR469">
        <v>0.99147654867098478</v>
      </c>
      <c r="AS469">
        <v>4.1191646244926536</v>
      </c>
      <c r="AT469">
        <v>0.7641295862044869</v>
      </c>
      <c r="AU469">
        <v>0.15460250675212861</v>
      </c>
      <c r="AV469"/>
      <c r="AW469"/>
      <c r="FY469" s="211">
        <v>464</v>
      </c>
      <c r="FZ469">
        <v>0.66123285894560802</v>
      </c>
      <c r="GA469">
        <v>1.2273572505483386</v>
      </c>
      <c r="GB469">
        <v>0.59365878329409605</v>
      </c>
      <c r="GC469">
        <v>0.29254572813279933</v>
      </c>
      <c r="GD469">
        <v>0.10401404932945926</v>
      </c>
      <c r="GE469">
        <v>9.6357736129499983E-3</v>
      </c>
      <c r="GF469">
        <v>0.6538214796159032</v>
      </c>
      <c r="GG469">
        <v>0.56679095143493796</v>
      </c>
      <c r="GH469">
        <v>0</v>
      </c>
      <c r="GI469">
        <v>0.41954763023048147</v>
      </c>
      <c r="GJ469"/>
      <c r="GK469">
        <v>0.65885624999999992</v>
      </c>
      <c r="GL469">
        <v>1.0335281250000001</v>
      </c>
      <c r="GM469">
        <v>0.97385156249999993</v>
      </c>
      <c r="GN469">
        <v>0.85771808035714281</v>
      </c>
      <c r="GO469">
        <v>0.3961633928571428</v>
      </c>
      <c r="GP469">
        <v>1.8093749999999999E-2</v>
      </c>
      <c r="GQ469">
        <v>0.78903260869565206</v>
      </c>
      <c r="GR469">
        <v>0.78903260869565206</v>
      </c>
      <c r="GS469">
        <v>0</v>
      </c>
      <c r="GT469">
        <v>0.56358076281055891</v>
      </c>
      <c r="GU469"/>
      <c r="GV469"/>
      <c r="GW469"/>
      <c r="GX469"/>
      <c r="GY469"/>
      <c r="GZ469"/>
      <c r="HA469"/>
      <c r="HB469"/>
      <c r="HC469"/>
    </row>
    <row r="470" spans="1:211" s="7" customFormat="1">
      <c r="A470" s="4"/>
      <c r="B470" s="4"/>
      <c r="C470" s="63"/>
      <c r="D470" s="101"/>
      <c r="E470" s="63"/>
      <c r="F470" s="63"/>
      <c r="G470" s="101"/>
      <c r="H470" s="101">
        <f>+SQRT(E469*E471)</f>
        <v>0.13179715664611283</v>
      </c>
      <c r="I470" s="101">
        <f>+H470*F469</f>
        <v>0</v>
      </c>
      <c r="J470" s="101">
        <f>+I470*$A$440</f>
        <v>0</v>
      </c>
      <c r="K470" s="61">
        <f>IF(AND(J470&lt;0, J468&lt;0), 0, J470)</f>
        <v>0</v>
      </c>
      <c r="L470" s="205"/>
      <c r="M470" s="205"/>
      <c r="N470" s="205"/>
      <c r="O470" s="205"/>
      <c r="P470" s="205"/>
      <c r="Q470" s="205"/>
      <c r="R470" s="205"/>
      <c r="S470" s="205"/>
      <c r="T470" s="205"/>
      <c r="U470" s="205"/>
      <c r="V470" s="205"/>
      <c r="W470" s="205"/>
      <c r="X470" s="205"/>
      <c r="Y470" s="205"/>
      <c r="Z470" s="205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3">
        <v>454</v>
      </c>
      <c r="AN470">
        <v>30.52186924890729</v>
      </c>
      <c r="AO470">
        <v>0.74097674385351964</v>
      </c>
      <c r="AP470">
        <v>0.69671102642911764</v>
      </c>
      <c r="AQ470">
        <v>5.0378986771907313</v>
      </c>
      <c r="AR470">
        <v>0.68448169895774513</v>
      </c>
      <c r="AS470">
        <v>2.5933475844629639</v>
      </c>
      <c r="AT470" t="e">
        <v>#DIV/0!</v>
      </c>
      <c r="AU470" t="e">
        <v>#DIV/0!</v>
      </c>
      <c r="AV470"/>
      <c r="AW470"/>
      <c r="FY470" s="211">
        <v>465</v>
      </c>
      <c r="FZ470">
        <v>1.5703089926268579</v>
      </c>
      <c r="GA470">
        <v>2.3942193003076118</v>
      </c>
      <c r="GB470">
        <v>1.5777850865854497</v>
      </c>
      <c r="GC470">
        <v>0.99014172272823853</v>
      </c>
      <c r="GD470">
        <v>0.25438436057220104</v>
      </c>
      <c r="GE470">
        <v>9.5391010509975005E-2</v>
      </c>
      <c r="GF470">
        <v>0.57499774394694703</v>
      </c>
      <c r="GG470">
        <v>0.52933036966390667</v>
      </c>
      <c r="GH470">
        <v>0.15603164258923619</v>
      </c>
      <c r="GI470">
        <v>0.89039936515782958</v>
      </c>
      <c r="GJ470"/>
      <c r="GK470">
        <v>1.565000551470588</v>
      </c>
      <c r="GL470">
        <v>2.0165708639705882</v>
      </c>
      <c r="GM470">
        <v>2.5903096590909089</v>
      </c>
      <c r="GN470">
        <v>2.9053411323051943</v>
      </c>
      <c r="GO470">
        <v>0.96755491071428568</v>
      </c>
      <c r="GP470">
        <v>0.17910937500000002</v>
      </c>
      <c r="GQ470">
        <v>0.69359510869565222</v>
      </c>
      <c r="GR470">
        <v>0.73663677536231864</v>
      </c>
      <c r="GS470">
        <v>0.16502303685897435</v>
      </c>
      <c r="GT470">
        <v>1.1962966533660817</v>
      </c>
      <c r="GU470"/>
      <c r="GV470"/>
      <c r="GW470"/>
      <c r="GX470"/>
      <c r="GY470"/>
      <c r="GZ470"/>
      <c r="HA470"/>
      <c r="HB470"/>
      <c r="HC470"/>
    </row>
    <row r="471" spans="1:211" s="7" customFormat="1">
      <c r="A471" s="4"/>
      <c r="B471" s="4"/>
      <c r="C471" s="63">
        <v>7</v>
      </c>
      <c r="D471" s="101">
        <f>SUM($L$228:$L$347)/$A$438</f>
        <v>0</v>
      </c>
      <c r="E471" s="97">
        <f>+N36</f>
        <v>0.14265</v>
      </c>
      <c r="F471" s="102">
        <f>+D471-D473</f>
        <v>0</v>
      </c>
      <c r="G471" s="101">
        <f>+D471*E471</f>
        <v>0</v>
      </c>
      <c r="H471" s="101"/>
      <c r="I471" s="101"/>
      <c r="J471" s="101"/>
      <c r="K471" s="101"/>
      <c r="L471" s="205"/>
      <c r="M471" s="205"/>
      <c r="N471" s="205"/>
      <c r="O471" s="205"/>
      <c r="P471" s="205"/>
      <c r="Q471" s="205"/>
      <c r="R471" s="205"/>
      <c r="S471" s="205"/>
      <c r="T471" s="205"/>
      <c r="U471" s="205"/>
      <c r="V471" s="205"/>
      <c r="W471" s="205"/>
      <c r="X471" s="205"/>
      <c r="Y471" s="205"/>
      <c r="Z471" s="205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3">
        <v>455</v>
      </c>
      <c r="AN471">
        <v>44.60503148723258</v>
      </c>
      <c r="AO471">
        <v>0.97191689693322991</v>
      </c>
      <c r="AP471">
        <v>1.0015249737066916</v>
      </c>
      <c r="AQ471">
        <v>6.6835123818234701</v>
      </c>
      <c r="AR471">
        <v>0.90891592903020879</v>
      </c>
      <c r="AS471">
        <v>3.73387492312773</v>
      </c>
      <c r="AT471" t="e">
        <v>#DIV/0!</v>
      </c>
      <c r="AU471" t="e">
        <v>#DIV/0!</v>
      </c>
      <c r="AV471"/>
      <c r="AW471"/>
      <c r="FY471" s="211">
        <v>466</v>
      </c>
      <c r="FZ471">
        <v>2.8008610851779761</v>
      </c>
      <c r="GA471">
        <v>3.507707686469058</v>
      </c>
      <c r="GB471">
        <v>0.45705179973431598</v>
      </c>
      <c r="GC471">
        <v>0.51038616341811371</v>
      </c>
      <c r="GD471">
        <v>0.3013636133921046</v>
      </c>
      <c r="GE471">
        <v>8.377572757792498E-2</v>
      </c>
      <c r="GF471">
        <v>0.15986193049181252</v>
      </c>
      <c r="GG471">
        <v>0.13862439864731252</v>
      </c>
      <c r="GH471">
        <v>2.2985735835423678E-2</v>
      </c>
      <c r="GI471">
        <v>0.73016728243731022</v>
      </c>
      <c r="GJ471"/>
      <c r="GK471">
        <v>2.7915542279411762</v>
      </c>
      <c r="GL471">
        <v>2.9548315716911762</v>
      </c>
      <c r="GM471">
        <v>0.74991796874999994</v>
      </c>
      <c r="GN471">
        <v>1.4956754464285713</v>
      </c>
      <c r="GO471">
        <v>1.1461754464285714</v>
      </c>
      <c r="GP471">
        <v>0.15745312499999997</v>
      </c>
      <c r="GQ471">
        <v>0.19312499999999999</v>
      </c>
      <c r="GR471">
        <v>0.19312499999999999</v>
      </c>
      <c r="GS471">
        <v>2.4293870192307693E-2</v>
      </c>
      <c r="GT471">
        <v>0.98101330266241105</v>
      </c>
      <c r="GU471"/>
      <c r="GV471"/>
      <c r="GW471"/>
      <c r="GX471"/>
      <c r="GY471"/>
      <c r="GZ471"/>
      <c r="HA471"/>
      <c r="HB471"/>
      <c r="HC471"/>
    </row>
    <row r="472" spans="1:211" s="7" customFormat="1">
      <c r="A472" s="4"/>
      <c r="B472" s="4"/>
      <c r="C472" s="63"/>
      <c r="D472" s="101"/>
      <c r="E472" s="63"/>
      <c r="F472" s="63"/>
      <c r="G472" s="101"/>
      <c r="H472" s="101">
        <f>+SQRT(E471*E473)</f>
        <v>0.15273360632159511</v>
      </c>
      <c r="I472" s="101">
        <f>+H472*F471</f>
        <v>0</v>
      </c>
      <c r="J472" s="101">
        <f>+I472*$A$440</f>
        <v>0</v>
      </c>
      <c r="K472" s="61">
        <f>IF(AND(J472&lt;0, J470&lt;0), 0, J472)</f>
        <v>0</v>
      </c>
      <c r="L472" s="205"/>
      <c r="M472" s="205"/>
      <c r="N472" s="205"/>
      <c r="O472" s="205"/>
      <c r="P472" s="205"/>
      <c r="Q472" s="205"/>
      <c r="R472" s="205"/>
      <c r="S472" s="205"/>
      <c r="T472" s="205"/>
      <c r="U472" s="205"/>
      <c r="V472" s="205"/>
      <c r="W472" s="205"/>
      <c r="X472" s="205"/>
      <c r="Y472" s="205"/>
      <c r="Z472" s="205"/>
      <c r="AA472" s="4"/>
      <c r="AB472" s="4"/>
      <c r="AC472" s="4"/>
      <c r="AD472" s="4"/>
      <c r="AE472" s="4"/>
      <c r="AF472" s="81"/>
      <c r="AG472" s="81"/>
      <c r="AH472" s="81"/>
      <c r="AI472" s="81"/>
      <c r="AJ472" s="81"/>
      <c r="AK472" s="81"/>
      <c r="AL472" s="81"/>
      <c r="AM472" s="43">
        <v>456</v>
      </c>
      <c r="AN472">
        <v>52.329482448172506</v>
      </c>
      <c r="AO472">
        <v>1.136485168948286</v>
      </c>
      <c r="AP472">
        <v>23.628463291237672</v>
      </c>
      <c r="AQ472">
        <v>9.2403492995631034</v>
      </c>
      <c r="AR472">
        <v>1.0331683354075325</v>
      </c>
      <c r="AS472">
        <v>4.028275326870812</v>
      </c>
      <c r="AT472" t="e">
        <v>#DIV/0!</v>
      </c>
      <c r="AU472" t="e">
        <v>#DIV/0!</v>
      </c>
      <c r="AV472"/>
      <c r="AW472"/>
      <c r="FY472" s="211">
        <v>467</v>
      </c>
      <c r="FZ472">
        <v>0.49226168266665482</v>
      </c>
      <c r="GA472">
        <v>0.8532674040105046</v>
      </c>
      <c r="GB472">
        <v>0.69686035757422737</v>
      </c>
      <c r="GC472">
        <v>0.39153653017642809</v>
      </c>
      <c r="GD472">
        <v>0.12256129856251607</v>
      </c>
      <c r="GE472">
        <v>8.1904075710074992E-2</v>
      </c>
      <c r="GF472">
        <v>0.15986193049181252</v>
      </c>
      <c r="GG472">
        <v>0.13862439864731252</v>
      </c>
      <c r="GH472">
        <v>2.2985735835423678E-2</v>
      </c>
      <c r="GI472">
        <v>0.34506547795772524</v>
      </c>
      <c r="GJ472"/>
      <c r="GK472">
        <v>0.49054687500000005</v>
      </c>
      <c r="GL472">
        <v>0.71864062500000003</v>
      </c>
      <c r="GM472">
        <v>1.1436015625000002</v>
      </c>
      <c r="GN472">
        <v>1.1484095982142857</v>
      </c>
      <c r="GO472">
        <v>0.46638616071428574</v>
      </c>
      <c r="GP472">
        <v>0.153796875</v>
      </c>
      <c r="GQ472">
        <v>0.19312499999999999</v>
      </c>
      <c r="GR472">
        <v>0.19312499999999999</v>
      </c>
      <c r="GS472">
        <v>2.4293870192307693E-2</v>
      </c>
      <c r="GT472">
        <v>0.46359069368131867</v>
      </c>
      <c r="GU472"/>
      <c r="GV472"/>
      <c r="GW472"/>
      <c r="GX472"/>
      <c r="GY472"/>
      <c r="GZ472"/>
      <c r="HA472"/>
      <c r="HB472"/>
      <c r="HC472"/>
    </row>
    <row r="473" spans="1:211" s="7" customFormat="1">
      <c r="A473" s="4"/>
      <c r="B473" s="16"/>
      <c r="C473" s="63">
        <v>8</v>
      </c>
      <c r="D473" s="101">
        <f>SUM($M$228:$M$347)/$A$438</f>
        <v>0</v>
      </c>
      <c r="E473" s="97">
        <f>O36</f>
        <v>0.16353000000000001</v>
      </c>
      <c r="F473" s="102">
        <f>+D473-D475</f>
        <v>0</v>
      </c>
      <c r="G473" s="101">
        <f>+D473*E473</f>
        <v>0</v>
      </c>
      <c r="H473" s="101"/>
      <c r="I473" s="101"/>
      <c r="J473" s="101"/>
      <c r="K473" s="101"/>
      <c r="L473" s="205"/>
      <c r="M473" s="205"/>
      <c r="N473" s="205"/>
      <c r="O473" s="205"/>
      <c r="P473" s="205"/>
      <c r="Q473" s="205"/>
      <c r="R473" s="205"/>
      <c r="S473" s="205"/>
      <c r="T473" s="205"/>
      <c r="U473" s="205"/>
      <c r="V473" s="205"/>
      <c r="W473" s="205"/>
      <c r="X473" s="205"/>
      <c r="Y473" s="205"/>
      <c r="Z473" s="205"/>
      <c r="AA473" s="4"/>
      <c r="AB473" s="4"/>
      <c r="AC473" s="4"/>
      <c r="AD473" s="4"/>
      <c r="AE473" s="4"/>
      <c r="AF473" s="81"/>
      <c r="AG473" s="81"/>
      <c r="AH473" s="81"/>
      <c r="AI473" s="81"/>
      <c r="AJ473" s="81"/>
      <c r="AK473" s="81"/>
      <c r="AL473" s="81"/>
      <c r="AM473" s="43">
        <v>457</v>
      </c>
      <c r="AN473">
        <v>44.735045176329535</v>
      </c>
      <c r="AO473">
        <v>1.0120208088078668</v>
      </c>
      <c r="AP473">
        <v>6.8900218327343952</v>
      </c>
      <c r="AQ473">
        <v>6.992290929975626</v>
      </c>
      <c r="AR473">
        <v>0.94254677986029844</v>
      </c>
      <c r="AS473">
        <v>3.5395590693331385</v>
      </c>
      <c r="AT473" t="e">
        <v>#DIV/0!</v>
      </c>
      <c r="AU473" t="e">
        <v>#DIV/0!</v>
      </c>
      <c r="AV473"/>
      <c r="AW473"/>
      <c r="FY473" s="211">
        <v>468</v>
      </c>
      <c r="FZ473">
        <v>1.4745901685187996</v>
      </c>
      <c r="GA473">
        <v>1.8849821109129552</v>
      </c>
      <c r="GB473">
        <v>1.433418089797283</v>
      </c>
      <c r="GC473">
        <v>0.91462177332152406</v>
      </c>
      <c r="GD473">
        <v>0.24543804944564676</v>
      </c>
      <c r="GE473">
        <v>8.8593614384399985E-2</v>
      </c>
      <c r="GF473">
        <v>0.49395954912409079</v>
      </c>
      <c r="GG473">
        <v>0.4281665527876255</v>
      </c>
      <c r="GH473">
        <v>2.2985735835423678E-2</v>
      </c>
      <c r="GI473">
        <v>0.80033012942931658</v>
      </c>
      <c r="GJ473"/>
      <c r="GK473">
        <v>1.469495588235294</v>
      </c>
      <c r="GL473">
        <v>1.5874448069852942</v>
      </c>
      <c r="GM473">
        <v>2.3532120028409089</v>
      </c>
      <c r="GN473">
        <v>2.6834105519480516</v>
      </c>
      <c r="GO473">
        <v>0.9333977678571429</v>
      </c>
      <c r="GP473">
        <v>0.16649999999999998</v>
      </c>
      <c r="GQ473">
        <v>0.59590760869565207</v>
      </c>
      <c r="GR473">
        <v>0.59590760869565207</v>
      </c>
      <c r="GS473">
        <v>2.4293870192307693E-2</v>
      </c>
      <c r="GT473">
        <v>1.0752613675642613</v>
      </c>
      <c r="GU473"/>
      <c r="GV473"/>
      <c r="GW473"/>
      <c r="GX473"/>
      <c r="GY473"/>
      <c r="GZ473"/>
      <c r="HA473"/>
      <c r="HB473"/>
      <c r="HC473"/>
    </row>
    <row r="474" spans="1:211" s="7" customFormat="1">
      <c r="A474" s="4"/>
      <c r="B474" s="16"/>
      <c r="C474" s="63"/>
      <c r="D474" s="101"/>
      <c r="E474" s="63"/>
      <c r="F474" s="63"/>
      <c r="G474" s="101"/>
      <c r="H474" s="101">
        <f>+SQRT(E473*E475)</f>
        <v>0.17365646345587024</v>
      </c>
      <c r="I474" s="101">
        <f>+H474*F473</f>
        <v>0</v>
      </c>
      <c r="J474" s="101">
        <f>+I474*$A$440</f>
        <v>0</v>
      </c>
      <c r="K474" s="61">
        <f>IF(AND(J474&lt;0, J472&lt;0), 0, J474)</f>
        <v>0</v>
      </c>
      <c r="L474" s="205"/>
      <c r="M474" s="205"/>
      <c r="N474" s="205"/>
      <c r="O474" s="205"/>
      <c r="P474" s="205"/>
      <c r="Q474" s="205"/>
      <c r="R474" s="205"/>
      <c r="S474" s="205"/>
      <c r="T474" s="205"/>
      <c r="U474" s="205"/>
      <c r="V474" s="205"/>
      <c r="W474" s="205"/>
      <c r="X474" s="205"/>
      <c r="Y474" s="205"/>
      <c r="Z474" s="205"/>
      <c r="AA474" s="4"/>
      <c r="AB474" s="4"/>
      <c r="AC474" s="4"/>
      <c r="AD474" s="4"/>
      <c r="AE474" s="4"/>
      <c r="AF474" s="81"/>
      <c r="AG474" s="81"/>
      <c r="AH474" s="81"/>
      <c r="AI474" s="81"/>
      <c r="AJ474" s="81"/>
      <c r="AK474" s="81"/>
      <c r="AL474" s="81"/>
      <c r="AM474" s="43">
        <v>458</v>
      </c>
      <c r="AN474">
        <v>51.974368280850044</v>
      </c>
      <c r="AO474">
        <v>1.2894732809976415</v>
      </c>
      <c r="AP474">
        <v>12.657767065431342</v>
      </c>
      <c r="AQ474">
        <v>9.5944536226032451</v>
      </c>
      <c r="AR474">
        <v>1.1817012891062473</v>
      </c>
      <c r="AS474">
        <v>4.257591476448078</v>
      </c>
      <c r="AT474" t="e">
        <v>#DIV/0!</v>
      </c>
      <c r="AU474" t="e">
        <v>#DIV/0!</v>
      </c>
      <c r="AV474"/>
      <c r="AW474"/>
      <c r="FY474" s="211">
        <v>469</v>
      </c>
      <c r="FZ474">
        <v>0.58496607707077686</v>
      </c>
      <c r="GA474">
        <v>0.64267529666796652</v>
      </c>
      <c r="GB474">
        <v>1.3716003867303443</v>
      </c>
      <c r="GC474">
        <v>0.96724531311715722</v>
      </c>
      <c r="GD474">
        <v>0.23926278390830996</v>
      </c>
      <c r="GE474">
        <v>8.8593614384399985E-2</v>
      </c>
      <c r="GF474">
        <v>0.82805716775636906</v>
      </c>
      <c r="GG474">
        <v>0.71770870692793864</v>
      </c>
      <c r="GH474">
        <v>0</v>
      </c>
      <c r="GI474">
        <v>0.70620727992408994</v>
      </c>
      <c r="GJ474"/>
      <c r="GK474">
        <v>0.58291874999999993</v>
      </c>
      <c r="GL474">
        <v>0.54124687500000002</v>
      </c>
      <c r="GM474">
        <v>2.2521455965909087</v>
      </c>
      <c r="GN474">
        <v>2.8382987215909088</v>
      </c>
      <c r="GO474">
        <v>0.91019999999999979</v>
      </c>
      <c r="GP474">
        <v>0.16649999999999998</v>
      </c>
      <c r="GQ474">
        <v>0.99869021739130437</v>
      </c>
      <c r="GR474">
        <v>0.99869021739130437</v>
      </c>
      <c r="GS474">
        <v>0</v>
      </c>
      <c r="GT474">
        <v>0.94879091279644268</v>
      </c>
      <c r="GU474"/>
      <c r="GV474"/>
      <c r="GW474"/>
      <c r="GX474"/>
      <c r="GY474"/>
      <c r="GZ474"/>
      <c r="HA474"/>
      <c r="HB474"/>
      <c r="HC474"/>
    </row>
    <row r="475" spans="1:211" s="7" customFormat="1">
      <c r="A475" s="4"/>
      <c r="B475" s="16"/>
      <c r="C475" s="63">
        <v>9</v>
      </c>
      <c r="D475" s="101">
        <f>SUM($N$228:$N$347)/$A$438</f>
        <v>0</v>
      </c>
      <c r="E475" s="97">
        <f>P36</f>
        <v>0.18440999999999999</v>
      </c>
      <c r="F475" s="102">
        <f>+D475-D477</f>
        <v>0</v>
      </c>
      <c r="G475" s="101">
        <f>+D475*E475</f>
        <v>0</v>
      </c>
      <c r="H475" s="101"/>
      <c r="I475" s="101"/>
      <c r="J475" s="101"/>
      <c r="K475" s="101"/>
      <c r="L475" s="205"/>
      <c r="M475" s="205"/>
      <c r="N475" s="205"/>
      <c r="O475" s="205"/>
      <c r="P475" s="205"/>
      <c r="Q475" s="205"/>
      <c r="R475" s="205"/>
      <c r="S475" s="205"/>
      <c r="T475" s="205"/>
      <c r="U475" s="205"/>
      <c r="V475" s="205"/>
      <c r="W475" s="205"/>
      <c r="X475" s="205"/>
      <c r="Y475" s="205"/>
      <c r="Z475" s="205"/>
      <c r="AA475" s="4"/>
      <c r="AB475" s="4"/>
      <c r="AC475" s="4"/>
      <c r="AD475" s="4"/>
      <c r="AE475" s="4"/>
      <c r="AF475" s="81"/>
      <c r="AG475" s="81"/>
      <c r="AH475" s="81"/>
      <c r="AI475" s="4"/>
      <c r="AJ475" s="81"/>
      <c r="AK475" s="81"/>
      <c r="AL475" s="81"/>
      <c r="AM475" s="43">
        <v>459</v>
      </c>
      <c r="AN475">
        <v>44.179663942639479</v>
      </c>
      <c r="AO475">
        <v>0.91178590691441708</v>
      </c>
      <c r="AP475">
        <v>1.8103748125403554</v>
      </c>
      <c r="AQ475">
        <v>5.3235548494709217</v>
      </c>
      <c r="AR475">
        <v>0.84276619815646292</v>
      </c>
      <c r="AS475">
        <v>3.5774602037214729</v>
      </c>
      <c r="AT475" t="e">
        <v>#DIV/0!</v>
      </c>
      <c r="AU475" t="e">
        <v>#DIV/0!</v>
      </c>
      <c r="AV475"/>
      <c r="AW475"/>
      <c r="FY475" s="211">
        <v>470</v>
      </c>
      <c r="FZ475">
        <v>1.6756301206560744</v>
      </c>
      <c r="GA475">
        <v>2.7374515183891166</v>
      </c>
      <c r="GB475">
        <v>1.8201117283088375</v>
      </c>
      <c r="GC475">
        <v>1.0389852051859978</v>
      </c>
      <c r="GD475">
        <v>0.2668505066676225</v>
      </c>
      <c r="GE475">
        <v>0.15315172346204997</v>
      </c>
      <c r="GF475">
        <v>0.36024295839505316</v>
      </c>
      <c r="GG475">
        <v>0.37841261417090627</v>
      </c>
      <c r="GH475">
        <v>0.15603164258923619</v>
      </c>
      <c r="GI475">
        <v>0.93377804575589096</v>
      </c>
      <c r="GJ475"/>
      <c r="GK475">
        <v>1.670019301470588</v>
      </c>
      <c r="GL475">
        <v>2.3059372702205883</v>
      </c>
      <c r="GM475">
        <v>2.9882901278409086</v>
      </c>
      <c r="GN475">
        <v>3.048962784090909</v>
      </c>
      <c r="GO475">
        <v>1.0151531249999999</v>
      </c>
      <c r="GP475">
        <v>0.28771875000000002</v>
      </c>
      <c r="GQ475">
        <v>0.43509375</v>
      </c>
      <c r="GR475">
        <v>0.52697916666666667</v>
      </c>
      <c r="GS475">
        <v>0.16502303685897435</v>
      </c>
      <c r="GT475">
        <v>1.2547158682340944</v>
      </c>
      <c r="GU475"/>
      <c r="GV475"/>
      <c r="GW475"/>
      <c r="GX475"/>
      <c r="GY475"/>
      <c r="GZ475"/>
      <c r="HA475"/>
      <c r="HB475"/>
      <c r="HC475"/>
    </row>
    <row r="476" spans="1:211" s="7" customFormat="1">
      <c r="A476" s="4"/>
      <c r="B476" s="16"/>
      <c r="C476" s="63"/>
      <c r="D476" s="101"/>
      <c r="E476" s="63"/>
      <c r="F476" s="63"/>
      <c r="G476" s="101"/>
      <c r="H476" s="101">
        <f>+SQRT(E475*E477)</f>
        <v>0.19457011306981348</v>
      </c>
      <c r="I476" s="101">
        <f>+H476*F475</f>
        <v>0</v>
      </c>
      <c r="J476" s="101">
        <f>+I476*$A$440</f>
        <v>0</v>
      </c>
      <c r="K476" s="61">
        <f>IF(AND(J476&lt;0, J474&lt;0), 0, J476)</f>
        <v>0</v>
      </c>
      <c r="L476" s="205"/>
      <c r="M476" s="205"/>
      <c r="N476" s="205"/>
      <c r="O476" s="205"/>
      <c r="P476" s="205"/>
      <c r="Q476" s="205"/>
      <c r="R476" s="205"/>
      <c r="S476" s="205"/>
      <c r="T476" s="205"/>
      <c r="U476" s="205"/>
      <c r="V476" s="205"/>
      <c r="W476" s="205"/>
      <c r="X476" s="205"/>
      <c r="Y476" s="205"/>
      <c r="Z476" s="205"/>
      <c r="AA476" s="4"/>
      <c r="AB476" s="4"/>
      <c r="AC476" s="4"/>
      <c r="AD476" s="4"/>
      <c r="AE476" s="4"/>
      <c r="AF476" s="81"/>
      <c r="AG476" s="81"/>
      <c r="AH476" s="81"/>
      <c r="AI476" s="4"/>
      <c r="AJ476" s="81"/>
      <c r="AK476" s="81"/>
      <c r="AL476" s="81"/>
      <c r="AM476" s="43">
        <v>460</v>
      </c>
      <c r="AN476">
        <v>50.652050087268272</v>
      </c>
      <c r="AO476">
        <v>1.2212827389751257</v>
      </c>
      <c r="AP476">
        <v>1.4658267530654796</v>
      </c>
      <c r="AQ476">
        <v>8.6438160587427788</v>
      </c>
      <c r="AR476">
        <v>1.1269542054494153</v>
      </c>
      <c r="AS476">
        <v>4.1941773005855341</v>
      </c>
      <c r="AT476">
        <v>0.81414056491563214</v>
      </c>
      <c r="AU476">
        <v>9.586933986413626E-2</v>
      </c>
      <c r="AV476"/>
      <c r="AW476"/>
      <c r="FY476" s="211">
        <v>471</v>
      </c>
      <c r="FZ476">
        <v>1.129432175389429</v>
      </c>
      <c r="GA476">
        <v>1.3997827042271735</v>
      </c>
      <c r="GB476">
        <v>1.1423221811357975</v>
      </c>
      <c r="GC476">
        <v>0.74121759040572321</v>
      </c>
      <c r="GD476">
        <v>0.19792733020728745</v>
      </c>
      <c r="GE476">
        <v>4.3360981258274998E-2</v>
      </c>
      <c r="GF476">
        <v>0.49395954912409079</v>
      </c>
      <c r="GG476">
        <v>0.4281665527876255</v>
      </c>
      <c r="GH476">
        <v>2.2985735835423678E-2</v>
      </c>
      <c r="GI476">
        <v>0.65106133688066192</v>
      </c>
      <c r="GJ476"/>
      <c r="GK476">
        <v>1.1256393382352941</v>
      </c>
      <c r="GL476">
        <v>1.1787721507352942</v>
      </c>
      <c r="GM476">
        <v>1.8747876420454546</v>
      </c>
      <c r="GN476">
        <v>2.1741548295454542</v>
      </c>
      <c r="GO476">
        <v>0.75267187499999999</v>
      </c>
      <c r="GP476">
        <v>8.1421875000000005E-2</v>
      </c>
      <c r="GQ476">
        <v>0.59590760869565207</v>
      </c>
      <c r="GR476">
        <v>0.59590760869565207</v>
      </c>
      <c r="GS476">
        <v>2.4293870192307693E-2</v>
      </c>
      <c r="GT476">
        <v>0.87466006683374165</v>
      </c>
      <c r="GU476"/>
      <c r="GV476"/>
      <c r="GW476"/>
      <c r="GX476"/>
      <c r="GY476"/>
      <c r="GZ476"/>
      <c r="HA476"/>
      <c r="HB476"/>
      <c r="HC476"/>
    </row>
    <row r="477" spans="1:211" s="7" customFormat="1">
      <c r="A477" s="4"/>
      <c r="B477" s="16"/>
      <c r="C477" s="63">
        <v>10</v>
      </c>
      <c r="D477" s="101">
        <f>SUM($O$228:$O$347)/$A$438</f>
        <v>0</v>
      </c>
      <c r="E477" s="97">
        <f>Q36</f>
        <v>0.20529</v>
      </c>
      <c r="F477" s="102">
        <f>+D477-D479</f>
        <v>0</v>
      </c>
      <c r="G477" s="101">
        <f>+D477*E477</f>
        <v>0</v>
      </c>
      <c r="H477" s="101"/>
      <c r="I477" s="101"/>
      <c r="J477" s="101"/>
      <c r="K477" s="101"/>
      <c r="L477" s="205"/>
      <c r="M477" s="205"/>
      <c r="N477" s="205"/>
      <c r="O477" s="205"/>
      <c r="P477" s="205"/>
      <c r="Q477" s="205"/>
      <c r="R477" s="205"/>
      <c r="S477" s="205"/>
      <c r="T477" s="205"/>
      <c r="U477" s="205"/>
      <c r="V477" s="205"/>
      <c r="W477" s="205"/>
      <c r="X477" s="205"/>
      <c r="Y477" s="205"/>
      <c r="Z477" s="205"/>
      <c r="AA477" s="4"/>
      <c r="AB477" s="4"/>
      <c r="AC477" s="4"/>
      <c r="AD477" s="4"/>
      <c r="AE477" s="4"/>
      <c r="AF477" s="81"/>
      <c r="AG477" s="81"/>
      <c r="AH477" s="81"/>
      <c r="AI477" s="4"/>
      <c r="AJ477" s="81"/>
      <c r="AK477" s="81"/>
      <c r="AL477" s="81"/>
      <c r="AM477" s="43">
        <v>461</v>
      </c>
      <c r="AN477">
        <v>55.337050214455893</v>
      </c>
      <c r="AO477">
        <v>1.2725862392612981</v>
      </c>
      <c r="AP477">
        <v>8.919946958242555</v>
      </c>
      <c r="AQ477">
        <v>8.7688172496722032</v>
      </c>
      <c r="AR477">
        <v>1.1866687620906906</v>
      </c>
      <c r="AS477">
        <v>4.3258744039574353</v>
      </c>
      <c r="AT477" t="e">
        <v>#DIV/0!</v>
      </c>
      <c r="AU477" t="e">
        <v>#DIV/0!</v>
      </c>
      <c r="AV477"/>
      <c r="AW477"/>
      <c r="FY477" s="211">
        <v>472</v>
      </c>
      <c r="FZ477">
        <v>1.1929707419105786</v>
      </c>
      <c r="GA477">
        <v>1.7703890563196842</v>
      </c>
      <c r="GB477">
        <v>1.3807826020940344</v>
      </c>
      <c r="GC477">
        <v>1.0337071948529652</v>
      </c>
      <c r="GD477">
        <v>0.33303990819644996</v>
      </c>
      <c r="GE477">
        <v>2.6015014625850003E-2</v>
      </c>
      <c r="GF477">
        <v>0.20038102790324064</v>
      </c>
      <c r="GG477">
        <v>0.18920630708545313</v>
      </c>
      <c r="GH477">
        <v>0.13548016088317727</v>
      </c>
      <c r="GI477">
        <v>0.76034627700462087</v>
      </c>
      <c r="GJ477"/>
      <c r="GK477">
        <v>1.188986213235294</v>
      </c>
      <c r="GL477">
        <v>1.4912830882352941</v>
      </c>
      <c r="GM477">
        <v>2.2672471590909091</v>
      </c>
      <c r="GN477">
        <v>3.032294034090909</v>
      </c>
      <c r="GO477">
        <v>1.2665625</v>
      </c>
      <c r="GP477">
        <v>4.8843750000000005E-2</v>
      </c>
      <c r="GQ477">
        <v>0.24196875000000001</v>
      </c>
      <c r="GR477">
        <v>0.26348958333333333</v>
      </c>
      <c r="GS477">
        <v>0.14324619391025639</v>
      </c>
      <c r="GT477">
        <v>1.021602163247292</v>
      </c>
      <c r="GU477"/>
      <c r="GV477"/>
      <c r="GW477"/>
      <c r="GX477"/>
      <c r="GY477"/>
      <c r="GZ477"/>
      <c r="HA477"/>
      <c r="HB477"/>
      <c r="HC477"/>
    </row>
    <row r="478" spans="1:211" s="7" customFormat="1">
      <c r="A478" s="4"/>
      <c r="B478" s="4"/>
      <c r="C478" s="63"/>
      <c r="D478" s="101"/>
      <c r="E478" s="63"/>
      <c r="F478" s="63"/>
      <c r="G478" s="101"/>
      <c r="H478" s="101">
        <f>+SQRT(E477*E479)</f>
        <v>0.21547723615268502</v>
      </c>
      <c r="I478" s="101">
        <f>+H478*F477</f>
        <v>0</v>
      </c>
      <c r="J478" s="101">
        <f>+I478*$A$440</f>
        <v>0</v>
      </c>
      <c r="K478" s="61">
        <f>IF(AND(J478&lt;0, J476&lt;0), 0, J478)</f>
        <v>0</v>
      </c>
      <c r="L478" s="205"/>
      <c r="M478" s="205"/>
      <c r="N478" s="205"/>
      <c r="O478" s="205"/>
      <c r="P478" s="205"/>
      <c r="Q478" s="205"/>
      <c r="R478" s="205"/>
      <c r="S478" s="205"/>
      <c r="T478" s="205"/>
      <c r="U478" s="205"/>
      <c r="V478" s="205"/>
      <c r="W478" s="205"/>
      <c r="X478" s="205"/>
      <c r="Y478" s="205"/>
      <c r="Z478" s="205"/>
      <c r="AA478" s="4"/>
      <c r="AB478" s="4"/>
      <c r="AC478" s="4"/>
      <c r="AD478" s="4"/>
      <c r="AE478" s="4"/>
      <c r="AF478" s="81"/>
      <c r="AG478" s="81"/>
      <c r="AH478" s="81"/>
      <c r="AI478" s="4"/>
      <c r="AJ478" s="81"/>
      <c r="AK478" s="81"/>
      <c r="AL478" s="81"/>
      <c r="AM478" s="43">
        <v>462</v>
      </c>
      <c r="AN478">
        <v>24.487843378943918</v>
      </c>
      <c r="AO478">
        <v>0.56254893564610209</v>
      </c>
      <c r="AP478">
        <v>0.75241765118146364</v>
      </c>
      <c r="AQ478">
        <v>3.6993340404824897</v>
      </c>
      <c r="AR478">
        <v>0.51944734971323947</v>
      </c>
      <c r="AS478">
        <v>1.9578126289778512</v>
      </c>
      <c r="AT478">
        <v>0.40036239957304254</v>
      </c>
      <c r="AU478">
        <v>-0.10428310600543253</v>
      </c>
      <c r="AV478"/>
      <c r="AW478"/>
      <c r="FY478" s="211">
        <v>473</v>
      </c>
      <c r="FZ478">
        <v>1.5708409573887483</v>
      </c>
      <c r="GA478">
        <v>2.2288712867311955</v>
      </c>
      <c r="GB478">
        <v>1.4569274617539922</v>
      </c>
      <c r="GC478">
        <v>1.0718480351810364</v>
      </c>
      <c r="GD478">
        <v>0.3872650594108949</v>
      </c>
      <c r="GE478">
        <v>0.1685103101298</v>
      </c>
      <c r="GF478">
        <v>0.45565491086656262</v>
      </c>
      <c r="GG478">
        <v>0.39070597101659427</v>
      </c>
      <c r="GH478">
        <v>0.15603164258923619</v>
      </c>
      <c r="GI478">
        <v>0.91475778394704199</v>
      </c>
      <c r="GJ478"/>
      <c r="GK478">
        <v>1.5653549632352941</v>
      </c>
      <c r="GL478">
        <v>1.8770385569852941</v>
      </c>
      <c r="GM478">
        <v>2.3918682528409088</v>
      </c>
      <c r="GN478">
        <v>3.143834659090909</v>
      </c>
      <c r="GO478">
        <v>1.4728687499999999</v>
      </c>
      <c r="GP478">
        <v>0.31668750000000001</v>
      </c>
      <c r="GQ478">
        <v>0.54931385869565208</v>
      </c>
      <c r="GR478">
        <v>0.54351177536231876</v>
      </c>
      <c r="GS478">
        <v>0.16502303685897435</v>
      </c>
      <c r="GT478">
        <v>1.2288857723261657</v>
      </c>
      <c r="GU478"/>
      <c r="GV478"/>
      <c r="GW478"/>
      <c r="GX478"/>
      <c r="GY478"/>
      <c r="GZ478"/>
      <c r="HA478"/>
      <c r="HB478"/>
      <c r="HC478"/>
    </row>
    <row r="479" spans="1:211" s="7" customFormat="1">
      <c r="A479" s="4"/>
      <c r="B479" s="4"/>
      <c r="C479" s="100">
        <v>11</v>
      </c>
      <c r="D479" s="101">
        <f>SUM($P$228:$P$347)/$A$438</f>
        <v>0</v>
      </c>
      <c r="E479" s="97">
        <f>R36</f>
        <v>0.22616999999999998</v>
      </c>
      <c r="F479" s="102">
        <f>+D479-D481</f>
        <v>0</v>
      </c>
      <c r="G479" s="101">
        <f>+D479*E479</f>
        <v>0</v>
      </c>
      <c r="H479" s="101"/>
      <c r="I479" s="101"/>
      <c r="J479" s="101"/>
      <c r="K479" s="101"/>
      <c r="L479" s="205"/>
      <c r="M479" s="205"/>
      <c r="N479" s="205"/>
      <c r="O479" s="205"/>
      <c r="P479" s="205"/>
      <c r="Q479" s="205"/>
      <c r="R479" s="205"/>
      <c r="S479" s="205"/>
      <c r="T479" s="205"/>
      <c r="U479" s="205"/>
      <c r="V479" s="205"/>
      <c r="W479" s="205"/>
      <c r="X479" s="205"/>
      <c r="Y479" s="205"/>
      <c r="Z479" s="205"/>
      <c r="AA479" s="4"/>
      <c r="AB479" s="4"/>
      <c r="AC479" s="4"/>
      <c r="AD479" s="4"/>
      <c r="AE479" s="4"/>
      <c r="AF479" s="81"/>
      <c r="AG479" s="81"/>
      <c r="AH479" s="81"/>
      <c r="AI479" s="4"/>
      <c r="AJ479" s="81"/>
      <c r="AK479" s="81"/>
      <c r="AL479" s="81"/>
      <c r="AM479" s="43">
        <v>463</v>
      </c>
      <c r="AN479">
        <v>35.65533234126984</v>
      </c>
      <c r="AO479">
        <v>0.8872931227678571</v>
      </c>
      <c r="AP479">
        <v>2.8481122619502752</v>
      </c>
      <c r="AQ479">
        <v>6.137173887824817</v>
      </c>
      <c r="AR479">
        <v>0.84285170251623365</v>
      </c>
      <c r="AS479">
        <v>2.9922058740530604</v>
      </c>
      <c r="AT479" t="e">
        <v>#DIV/0!</v>
      </c>
      <c r="AU479" t="e">
        <v>#DIV/0!</v>
      </c>
      <c r="AV479"/>
      <c r="AW479"/>
      <c r="FY479" s="211">
        <v>474</v>
      </c>
      <c r="FZ479">
        <v>1.7555661486365433</v>
      </c>
      <c r="GA479">
        <v>2.4150340567953132</v>
      </c>
      <c r="GB479">
        <v>0.36256653093077229</v>
      </c>
      <c r="GC479">
        <v>0.35649296856272505</v>
      </c>
      <c r="GD479">
        <v>0.29672434222302857</v>
      </c>
      <c r="GE479">
        <v>0.17729508622005</v>
      </c>
      <c r="GF479">
        <v>0.5606239862982938</v>
      </c>
      <c r="GG479">
        <v>0.4158731959419375</v>
      </c>
      <c r="GH479">
        <v>2.2985735835423678E-2</v>
      </c>
      <c r="GI479">
        <v>0.62146052011121777</v>
      </c>
      <c r="GJ479"/>
      <c r="GK479">
        <v>1.7497068014705879</v>
      </c>
      <c r="GL479">
        <v>2.0343435202205877</v>
      </c>
      <c r="GM479">
        <v>0.59479296874999998</v>
      </c>
      <c r="GN479">
        <v>1.0441517857142857</v>
      </c>
      <c r="GO479">
        <v>1.1285892857142856</v>
      </c>
      <c r="GP479">
        <v>0.33290625000000001</v>
      </c>
      <c r="GQ479">
        <v>0.6770624999999999</v>
      </c>
      <c r="GR479">
        <v>0.57937499999999997</v>
      </c>
      <c r="GS479">
        <v>2.4293870192307693E-2</v>
      </c>
      <c r="GT479">
        <v>0.83488908522543626</v>
      </c>
      <c r="GU479"/>
      <c r="GV479"/>
      <c r="GW479"/>
      <c r="GX479"/>
      <c r="GY479"/>
      <c r="GZ479"/>
      <c r="HA479"/>
      <c r="HB479"/>
      <c r="HC479"/>
    </row>
    <row r="480" spans="1:211" s="7" customFormat="1">
      <c r="A480" s="4"/>
      <c r="B480" s="4"/>
      <c r="C480" s="104"/>
      <c r="D480" s="101"/>
      <c r="E480" s="63"/>
      <c r="F480" s="63"/>
      <c r="G480" s="101"/>
      <c r="H480" s="101">
        <f>+SQRT(E479*E481)</f>
        <v>0.23637956447205835</v>
      </c>
      <c r="I480" s="101">
        <f>+H480*F479</f>
        <v>0</v>
      </c>
      <c r="J480" s="101">
        <f>+I480*$A$440</f>
        <v>0</v>
      </c>
      <c r="K480" s="61">
        <f>IF(AND(J480&lt;0, J478&lt;0), 0, J480)</f>
        <v>0</v>
      </c>
      <c r="L480" s="205"/>
      <c r="M480" s="205"/>
      <c r="N480" s="205"/>
      <c r="O480" s="205"/>
      <c r="P480" s="205"/>
      <c r="Q480" s="205"/>
      <c r="R480" s="205"/>
      <c r="S480" s="205"/>
      <c r="T480" s="205"/>
      <c r="U480" s="205"/>
      <c r="V480" s="205"/>
      <c r="W480" s="205"/>
      <c r="X480" s="205"/>
      <c r="Y480" s="205"/>
      <c r="Z480" s="205"/>
      <c r="AA480" s="4"/>
      <c r="AB480" s="4"/>
      <c r="AC480" s="4"/>
      <c r="AD480" s="4"/>
      <c r="AE480" s="4"/>
      <c r="AF480" s="81"/>
      <c r="AG480" s="81"/>
      <c r="AH480" s="81"/>
      <c r="AI480" s="4"/>
      <c r="AJ480" s="81"/>
      <c r="AK480" s="81"/>
      <c r="AL480" s="81"/>
      <c r="AM480" s="43">
        <v>464</v>
      </c>
      <c r="AN480">
        <v>27.51518935472739</v>
      </c>
      <c r="AO480">
        <v>0.60798571409161473</v>
      </c>
      <c r="AP480">
        <v>8.1214526498356623</v>
      </c>
      <c r="AQ480">
        <v>4.5286045051445747</v>
      </c>
      <c r="AR480">
        <v>0.56358076281055891</v>
      </c>
      <c r="AS480">
        <v>2.4340237615579383</v>
      </c>
      <c r="AT480" t="e">
        <v>#DIV/0!</v>
      </c>
      <c r="AU480" t="e">
        <v>#DIV/0!</v>
      </c>
      <c r="AV480"/>
      <c r="AW480"/>
      <c r="FY480" s="211">
        <v>475</v>
      </c>
      <c r="FZ480">
        <v>1.3782566790790116</v>
      </c>
      <c r="GA480">
        <v>2.1219031530027479</v>
      </c>
      <c r="GB480">
        <v>0.39270966922030082</v>
      </c>
      <c r="GC480">
        <v>0.11189655976815624</v>
      </c>
      <c r="GD480">
        <v>0.1283284625246518</v>
      </c>
      <c r="GE480">
        <v>0.21770983253970005</v>
      </c>
      <c r="GF480">
        <v>0.57499774394694703</v>
      </c>
      <c r="GG480">
        <v>0.4281665527876255</v>
      </c>
      <c r="GH480">
        <v>4.5971471670847357E-2</v>
      </c>
      <c r="GI480">
        <v>0.48361362827806065</v>
      </c>
      <c r="GJ480"/>
      <c r="GK480">
        <v>1.3734674632352939</v>
      </c>
      <c r="GL480">
        <v>1.7870221507352939</v>
      </c>
      <c r="GM480">
        <v>0.64402343750000013</v>
      </c>
      <c r="GN480">
        <v>0.32793526785714283</v>
      </c>
      <c r="GO480">
        <v>0.48840401785714282</v>
      </c>
      <c r="GP480">
        <v>0.40893750000000006</v>
      </c>
      <c r="GQ480">
        <v>0.69359510869565222</v>
      </c>
      <c r="GR480">
        <v>0.59590760869565207</v>
      </c>
      <c r="GS480">
        <v>4.8587740384615385E-2</v>
      </c>
      <c r="GT480">
        <v>0.64961555353454081</v>
      </c>
      <c r="GU480"/>
      <c r="GV480"/>
      <c r="GW480"/>
      <c r="GX480"/>
      <c r="GY480"/>
      <c r="GZ480"/>
      <c r="HA480"/>
      <c r="HB480"/>
      <c r="HC480"/>
    </row>
    <row r="481" spans="1:211" s="7" customFormat="1">
      <c r="A481" s="4"/>
      <c r="B481" s="4"/>
      <c r="C481" s="63">
        <v>12</v>
      </c>
      <c r="D481" s="101">
        <f>SUM($Q$228:$Q$347)/$A$438</f>
        <v>0</v>
      </c>
      <c r="E481" s="97">
        <f>+S36</f>
        <v>0.24704999999999996</v>
      </c>
      <c r="F481" s="102">
        <f>+D481-D483</f>
        <v>0</v>
      </c>
      <c r="G481" s="101">
        <f>+D481*E481</f>
        <v>0</v>
      </c>
      <c r="H481" s="101"/>
      <c r="I481" s="101"/>
      <c r="J481" s="101"/>
      <c r="K481" s="101"/>
      <c r="L481" s="205"/>
      <c r="M481" s="205"/>
      <c r="N481" s="205"/>
      <c r="O481" s="205"/>
      <c r="P481" s="205"/>
      <c r="Q481" s="205"/>
      <c r="R481" s="205"/>
      <c r="S481" s="205"/>
      <c r="T481" s="205"/>
      <c r="U481" s="205"/>
      <c r="V481" s="205"/>
      <c r="W481" s="205"/>
      <c r="X481" s="205"/>
      <c r="Y481" s="205"/>
      <c r="Z481" s="205"/>
      <c r="AA481" s="4"/>
      <c r="AB481" s="4"/>
      <c r="AC481" s="4"/>
      <c r="AD481" s="4"/>
      <c r="AE481" s="4"/>
      <c r="AF481" s="81"/>
      <c r="AG481" s="81"/>
      <c r="AH481" s="81"/>
      <c r="AI481" s="4"/>
      <c r="AJ481" s="81"/>
      <c r="AK481" s="81"/>
      <c r="AL481" s="81"/>
      <c r="AM481" s="43">
        <v>465</v>
      </c>
      <c r="AN481">
        <v>53.184746846527538</v>
      </c>
      <c r="AO481">
        <v>1.301543806683459</v>
      </c>
      <c r="AP481">
        <v>1.2432525818767659</v>
      </c>
      <c r="AQ481">
        <v>9.0329895946882548</v>
      </c>
      <c r="AR481">
        <v>1.1962966533660817</v>
      </c>
      <c r="AS481">
        <v>4.5138627020151567</v>
      </c>
      <c r="AT481">
        <v>0.85263781669248784</v>
      </c>
      <c r="AU481">
        <v>5.2293361471122693E-2</v>
      </c>
      <c r="AV481"/>
      <c r="AW481"/>
      <c r="FY481" s="211">
        <v>476</v>
      </c>
      <c r="FZ481">
        <v>0.9404769921153584</v>
      </c>
      <c r="GA481">
        <v>1.2572779873127033</v>
      </c>
      <c r="GB481">
        <v>0.33612755193467225</v>
      </c>
      <c r="GC481">
        <v>0.11557746620779374</v>
      </c>
      <c r="GD481">
        <v>0.13117088884434105</v>
      </c>
      <c r="GE481">
        <v>0.19169481791385001</v>
      </c>
      <c r="GF481">
        <v>1.0428119533082629</v>
      </c>
      <c r="GG481">
        <v>0.8686264624209391</v>
      </c>
      <c r="GH481">
        <v>6.8957207506271032E-2</v>
      </c>
      <c r="GI481">
        <v>0.49404514027085905</v>
      </c>
      <c r="GJ481"/>
      <c r="GK481">
        <v>0.93740808823529398</v>
      </c>
      <c r="GL481">
        <v>1.0590135569852941</v>
      </c>
      <c r="GM481">
        <v>0.55129296875</v>
      </c>
      <c r="GN481">
        <v>0.3384486607142857</v>
      </c>
      <c r="GO481">
        <v>0.49891741071428569</v>
      </c>
      <c r="GP481">
        <v>0.36009375000000005</v>
      </c>
      <c r="GQ481">
        <v>1.2571915760869565</v>
      </c>
      <c r="GR481">
        <v>1.2083478260869565</v>
      </c>
      <c r="GS481">
        <v>7.2881610576923078E-2</v>
      </c>
      <c r="GT481">
        <v>0.66353833087269187</v>
      </c>
      <c r="GU481"/>
      <c r="GV481"/>
      <c r="GW481"/>
      <c r="GX481"/>
      <c r="GY481"/>
      <c r="GZ481"/>
      <c r="HA481"/>
      <c r="HB481"/>
      <c r="HC481"/>
    </row>
    <row r="482" spans="1:211" s="7" customFormat="1">
      <c r="A482" s="4"/>
      <c r="B482" s="4"/>
      <c r="C482" s="63" t="s">
        <v>99</v>
      </c>
      <c r="D482" s="101"/>
      <c r="E482" s="63"/>
      <c r="F482" s="63"/>
      <c r="G482" s="101"/>
      <c r="H482" s="101">
        <f>+SQRT(E481*E483)</f>
        <v>0.25727826666860143</v>
      </c>
      <c r="I482" s="101">
        <f>+H482*F481</f>
        <v>0</v>
      </c>
      <c r="J482" s="101">
        <f>+I482*$A$440</f>
        <v>0</v>
      </c>
      <c r="K482" s="61">
        <f>IF(AND(J482&lt;0, J480&lt;0), 0, J482)</f>
        <v>0</v>
      </c>
      <c r="L482" s="205"/>
      <c r="M482" s="205"/>
      <c r="N482" s="205"/>
      <c r="O482" s="205"/>
      <c r="P482" s="205"/>
      <c r="Q482" s="205"/>
      <c r="R482" s="205"/>
      <c r="S482" s="205"/>
      <c r="T482" s="205"/>
      <c r="U482" s="205"/>
      <c r="V482" s="205"/>
      <c r="W482" s="205"/>
      <c r="X482" s="205"/>
      <c r="Y482" s="205"/>
      <c r="Z482" s="205"/>
      <c r="AA482" s="4"/>
      <c r="AB482" s="4"/>
      <c r="AC482" s="4"/>
      <c r="AD482" s="4"/>
      <c r="AE482" s="4"/>
      <c r="AF482" s="81"/>
      <c r="AG482" s="81"/>
      <c r="AH482" s="81"/>
      <c r="AI482" s="4"/>
      <c r="AJ482" s="81"/>
      <c r="AK482" s="81"/>
      <c r="AL482" s="81"/>
      <c r="AM482" s="43">
        <v>466</v>
      </c>
      <c r="AN482">
        <v>45.49864197281476</v>
      </c>
      <c r="AO482">
        <v>1.0687164959094215</v>
      </c>
      <c r="AP482">
        <v>2.587260671175605</v>
      </c>
      <c r="AQ482">
        <v>8.7127854231813515</v>
      </c>
      <c r="AR482">
        <v>0.98101330266241082</v>
      </c>
      <c r="AS482">
        <v>3.260016488888541</v>
      </c>
      <c r="AT482" t="e">
        <v>#DIV/0!</v>
      </c>
      <c r="AU482" t="e">
        <v>#DIV/0!</v>
      </c>
      <c r="AV482"/>
      <c r="AW482"/>
      <c r="FY482" s="211">
        <v>477</v>
      </c>
      <c r="FZ482">
        <v>1.7537114500487383</v>
      </c>
      <c r="GA482">
        <v>2.2575287486298383</v>
      </c>
      <c r="GB482">
        <v>1.2392423315562795</v>
      </c>
      <c r="GC482">
        <v>0.91108617422245519</v>
      </c>
      <c r="GD482">
        <v>0.25685822569207173</v>
      </c>
      <c r="GE482">
        <v>0.10310120352945001</v>
      </c>
      <c r="GF482">
        <v>4.0519097411428125E-2</v>
      </c>
      <c r="GG482">
        <v>5.0581908438140623E-2</v>
      </c>
      <c r="GH482">
        <v>8.9508689212329934E-2</v>
      </c>
      <c r="GI482">
        <v>0.72979195016909038</v>
      </c>
      <c r="GJ482"/>
      <c r="GK482">
        <v>1.7477849264705878</v>
      </c>
      <c r="GL482">
        <v>1.9016755514705881</v>
      </c>
      <c r="GM482">
        <v>2.0348565340909088</v>
      </c>
      <c r="GN482">
        <v>2.6731761769480515</v>
      </c>
      <c r="GO482">
        <v>0.97680401785714266</v>
      </c>
      <c r="GP482">
        <v>0.19359375000000001</v>
      </c>
      <c r="GQ482">
        <v>4.8843750000000005E-2</v>
      </c>
      <c r="GR482">
        <v>7.0364583333333328E-2</v>
      </c>
      <c r="GS482">
        <v>9.465845352564102E-2</v>
      </c>
      <c r="GT482">
        <v>0.98058953638885615</v>
      </c>
      <c r="GU482"/>
      <c r="GV482"/>
      <c r="GW482"/>
      <c r="GX482"/>
      <c r="GY482"/>
      <c r="GZ482"/>
      <c r="HA482"/>
      <c r="HB482"/>
      <c r="HC482"/>
    </row>
    <row r="483" spans="1:211" s="7" customFormat="1">
      <c r="A483" s="4"/>
      <c r="B483" s="4"/>
      <c r="C483" s="63">
        <v>13</v>
      </c>
      <c r="D483" s="101">
        <f>SUM($R$228:$R$347)/$A$438</f>
        <v>0</v>
      </c>
      <c r="E483" s="97">
        <f>+T36</f>
        <v>0.26793</v>
      </c>
      <c r="F483" s="102">
        <f>+D483-D485</f>
        <v>0</v>
      </c>
      <c r="G483" s="101">
        <f>+D483*E483</f>
        <v>0</v>
      </c>
      <c r="H483" s="101"/>
      <c r="I483" s="101"/>
      <c r="J483" s="101"/>
      <c r="K483" s="101"/>
      <c r="L483" s="205"/>
      <c r="M483" s="205"/>
      <c r="N483" s="205"/>
      <c r="O483" s="205"/>
      <c r="P483" s="205"/>
      <c r="Q483" s="205"/>
      <c r="R483" s="205"/>
      <c r="S483" s="205"/>
      <c r="T483" s="205"/>
      <c r="U483" s="205"/>
      <c r="V483" s="205"/>
      <c r="W483" s="205"/>
      <c r="X483" s="205"/>
      <c r="Y483" s="205"/>
      <c r="Z483" s="205"/>
      <c r="AA483" s="4"/>
      <c r="AB483" s="4"/>
      <c r="AC483" s="4"/>
      <c r="AD483" s="4"/>
      <c r="AE483" s="4"/>
      <c r="AF483" s="81"/>
      <c r="AG483" s="81"/>
      <c r="AH483" s="81"/>
      <c r="AI483" s="4"/>
      <c r="AJ483" s="81"/>
      <c r="AK483" s="81"/>
      <c r="AL483" s="81"/>
      <c r="AM483" s="43">
        <v>467</v>
      </c>
      <c r="AN483">
        <v>21.216556013431017</v>
      </c>
      <c r="AO483">
        <v>0.49955162603021985</v>
      </c>
      <c r="AP483">
        <v>2.3571387866279911</v>
      </c>
      <c r="AQ483">
        <v>3.30492889163268</v>
      </c>
      <c r="AR483">
        <v>0.46359069368131861</v>
      </c>
      <c r="AS483">
        <v>1.7263919541375223</v>
      </c>
      <c r="AT483" t="e">
        <v>#DIV/0!</v>
      </c>
      <c r="AU483" t="e">
        <v>#DIV/0!</v>
      </c>
      <c r="AV483"/>
      <c r="AW483"/>
      <c r="FY483" s="211">
        <v>478</v>
      </c>
      <c r="FZ483">
        <v>0.37602688680158908</v>
      </c>
      <c r="GA483">
        <v>0.73135751539763327</v>
      </c>
      <c r="GB483">
        <v>0.80472982568142992</v>
      </c>
      <c r="GC483">
        <v>0.60806834039865199</v>
      </c>
      <c r="GD483">
        <v>0.27298641592650857</v>
      </c>
      <c r="GE483">
        <v>0.11942651581672502</v>
      </c>
      <c r="GF483">
        <v>0.86857626516779707</v>
      </c>
      <c r="GG483">
        <v>0.81887252380421982</v>
      </c>
      <c r="GH483">
        <v>0.1330459067538125</v>
      </c>
      <c r="GI483">
        <v>0.58400072099283007</v>
      </c>
      <c r="GJ483"/>
      <c r="GK483">
        <v>0.37476562499999999</v>
      </c>
      <c r="GL483">
        <v>0.61590234375000008</v>
      </c>
      <c r="GM483">
        <v>1.3210727982954544</v>
      </c>
      <c r="GN483">
        <v>1.7830784902597401</v>
      </c>
      <c r="GO483">
        <v>1.0380642857142857</v>
      </c>
      <c r="GP483">
        <v>0.22439062500000001</v>
      </c>
      <c r="GQ483">
        <v>1.0475339673913044</v>
      </c>
      <c r="GR483">
        <v>1.1394193840579709</v>
      </c>
      <c r="GS483">
        <v>0.14072916666666666</v>
      </c>
      <c r="GT483">
        <v>0.78443316861354229</v>
      </c>
      <c r="GU483"/>
      <c r="GV483"/>
      <c r="GW483"/>
      <c r="GX483"/>
      <c r="GY483"/>
      <c r="GZ483"/>
      <c r="HA483"/>
      <c r="HB483"/>
      <c r="HC483"/>
    </row>
    <row r="484" spans="1:211" s="7" customFormat="1">
      <c r="A484" s="4"/>
      <c r="B484" s="4"/>
      <c r="C484" s="63"/>
      <c r="D484" s="101"/>
      <c r="E484" s="63"/>
      <c r="F484" s="63"/>
      <c r="G484" s="101"/>
      <c r="H484" s="101">
        <f>+SQRT(E483*E485)</f>
        <v>0.27817416001490863</v>
      </c>
      <c r="I484" s="101">
        <f>+H484*F483</f>
        <v>0</v>
      </c>
      <c r="J484" s="101">
        <f>+I484*$A$440</f>
        <v>0</v>
      </c>
      <c r="K484" s="61">
        <f>IF(AND(J484&lt;0, J482&lt;0), 0, J484)</f>
        <v>0</v>
      </c>
      <c r="L484" s="205"/>
      <c r="M484" s="205"/>
      <c r="N484" s="205"/>
      <c r="O484" s="205"/>
      <c r="P484" s="205"/>
      <c r="Q484" s="205"/>
      <c r="R484" s="205"/>
      <c r="S484" s="205"/>
      <c r="T484" s="205"/>
      <c r="U484" s="205"/>
      <c r="V484" s="205"/>
      <c r="W484" s="205"/>
      <c r="X484" s="205"/>
      <c r="Y484" s="205"/>
      <c r="Z484" s="205"/>
      <c r="AA484" s="4"/>
      <c r="AB484" s="4"/>
      <c r="AC484" s="4"/>
      <c r="AD484" s="4"/>
      <c r="AE484" s="4"/>
      <c r="AF484" s="81"/>
      <c r="AG484" s="81"/>
      <c r="AH484" s="81"/>
      <c r="AI484" s="4"/>
      <c r="AJ484" s="81"/>
      <c r="AK484" s="81"/>
      <c r="AL484" s="81"/>
      <c r="AM484" s="43">
        <v>468</v>
      </c>
      <c r="AN484">
        <v>47.524904506813868</v>
      </c>
      <c r="AO484">
        <v>1.1484831173014565</v>
      </c>
      <c r="AP484">
        <v>7.1401936641467554</v>
      </c>
      <c r="AQ484">
        <v>7.7870857735570658</v>
      </c>
      <c r="AR484">
        <v>1.0752613675642611</v>
      </c>
      <c r="AS484">
        <v>4.1284052091896708</v>
      </c>
      <c r="AT484" t="e">
        <v>#DIV/0!</v>
      </c>
      <c r="AU484" t="e">
        <v>#DIV/0!</v>
      </c>
      <c r="AV484"/>
      <c r="AW484"/>
      <c r="FY484" s="211">
        <v>479</v>
      </c>
      <c r="FZ484">
        <v>1.8827146123374576</v>
      </c>
      <c r="GA484">
        <v>3.1410262415432264</v>
      </c>
      <c r="GB484">
        <v>1.1457240416258905</v>
      </c>
      <c r="GC484">
        <v>0.79928547335902933</v>
      </c>
      <c r="GD484">
        <v>0.35823738602200167</v>
      </c>
      <c r="GE484">
        <v>7.4193882690599997E-2</v>
      </c>
      <c r="GF484">
        <v>0.52010488888686557</v>
      </c>
      <c r="GG484">
        <v>0.4158731959419375</v>
      </c>
      <c r="GH484">
        <v>4.5971471670847357E-2</v>
      </c>
      <c r="GI484">
        <v>0.86282438501443526</v>
      </c>
      <c r="GJ484"/>
      <c r="GK484">
        <v>1.8762505514705878</v>
      </c>
      <c r="GL484">
        <v>2.6457036764705881</v>
      </c>
      <c r="GM484">
        <v>1.8806392045454543</v>
      </c>
      <c r="GN484">
        <v>2.3430275974025969</v>
      </c>
      <c r="GO484">
        <v>1.3621540178571425</v>
      </c>
      <c r="GP484">
        <v>0.13931250000000001</v>
      </c>
      <c r="GQ484">
        <v>0.62821874999999994</v>
      </c>
      <c r="GR484">
        <v>0.57937499999999997</v>
      </c>
      <c r="GS484">
        <v>4.8587740384615385E-2</v>
      </c>
      <c r="GT484">
        <v>1.1591700528515601</v>
      </c>
      <c r="GU484"/>
      <c r="GV484"/>
      <c r="GW484"/>
      <c r="GX484"/>
      <c r="GY484"/>
      <c r="GZ484"/>
      <c r="HA484"/>
      <c r="HB484"/>
      <c r="HC484"/>
    </row>
    <row r="485" spans="1:211" s="7" customFormat="1">
      <c r="A485" s="4"/>
      <c r="B485" s="4"/>
      <c r="C485" s="63">
        <v>14</v>
      </c>
      <c r="D485" s="101">
        <f>SUM($S$228:$S$347)/$A$438</f>
        <v>0</v>
      </c>
      <c r="E485" s="97">
        <f>+U36</f>
        <v>0.28880999999999996</v>
      </c>
      <c r="F485" s="102">
        <f>+D485-D487</f>
        <v>0</v>
      </c>
      <c r="G485" s="101">
        <f>+D485*E485</f>
        <v>0</v>
      </c>
      <c r="H485" s="101"/>
      <c r="I485" s="101"/>
      <c r="J485" s="101"/>
      <c r="K485" s="101"/>
      <c r="L485" s="205"/>
      <c r="M485" s="205"/>
      <c r="N485" s="205"/>
      <c r="O485" s="205"/>
      <c r="P485" s="205"/>
      <c r="Q485" s="205"/>
      <c r="R485" s="205"/>
      <c r="S485" s="205"/>
      <c r="T485" s="205"/>
      <c r="U485" s="205"/>
      <c r="V485" s="205"/>
      <c r="W485" s="205"/>
      <c r="X485" s="205"/>
      <c r="Y485" s="205"/>
      <c r="Z485" s="205"/>
      <c r="AA485" s="4"/>
      <c r="AB485" s="4"/>
      <c r="AC485" s="4"/>
      <c r="AD485" s="4"/>
      <c r="AE485" s="4"/>
      <c r="AF485" s="81"/>
      <c r="AG485" s="81"/>
      <c r="AH485" s="81"/>
      <c r="AI485" s="4"/>
      <c r="AJ485" s="81"/>
      <c r="AK485" s="81"/>
      <c r="AL485" s="81"/>
      <c r="AM485" s="43">
        <v>469</v>
      </c>
      <c r="AN485">
        <v>41.965745772946853</v>
      </c>
      <c r="AO485">
        <v>1.0237481290760868</v>
      </c>
      <c r="AP485">
        <v>10.186967317322116</v>
      </c>
      <c r="AQ485">
        <v>6.1463166264873532</v>
      </c>
      <c r="AR485">
        <v>0.94879091279644256</v>
      </c>
      <c r="AS485">
        <v>3.6583605032518003</v>
      </c>
      <c r="AT485" t="e">
        <v>#DIV/0!</v>
      </c>
      <c r="AU485" t="e">
        <v>#DIV/0!</v>
      </c>
      <c r="AV485"/>
      <c r="AW485"/>
      <c r="FY485" s="211">
        <v>480</v>
      </c>
      <c r="FZ485">
        <v>1.6102770066170922</v>
      </c>
      <c r="GA485">
        <v>2.1400380767517095</v>
      </c>
      <c r="GB485">
        <v>0.88672800674677132</v>
      </c>
      <c r="GC485">
        <v>0.63602016002061634</v>
      </c>
      <c r="GD485">
        <v>0.20882133604315928</v>
      </c>
      <c r="GE485">
        <v>1.4453660419425E-2</v>
      </c>
      <c r="GF485">
        <v>0.15986193049181252</v>
      </c>
      <c r="GG485">
        <v>0.18920630708545313</v>
      </c>
      <c r="GH485">
        <v>6.6522953376906252E-2</v>
      </c>
      <c r="GI485">
        <v>0.61299093642406888</v>
      </c>
      <c r="GJ485"/>
      <c r="GK485">
        <v>1.6048443014705882</v>
      </c>
      <c r="GL485">
        <v>1.8024810202205881</v>
      </c>
      <c r="GM485">
        <v>1.4556587357954545</v>
      </c>
      <c r="GN485">
        <v>1.8655447849025975</v>
      </c>
      <c r="GO485">
        <v>0.79403839285714295</v>
      </c>
      <c r="GP485">
        <v>2.7140625000000002E-2</v>
      </c>
      <c r="GQ485">
        <v>0.19312499999999999</v>
      </c>
      <c r="GR485">
        <v>0.26348958333333333</v>
      </c>
      <c r="GS485">
        <v>7.0364583333333328E-2</v>
      </c>
      <c r="GT485">
        <v>0.82360620269130369</v>
      </c>
      <c r="GU485"/>
      <c r="GV485"/>
      <c r="GW485"/>
      <c r="GX485"/>
      <c r="GY485"/>
      <c r="GZ485"/>
      <c r="HA485"/>
      <c r="HB485"/>
      <c r="HC485"/>
    </row>
    <row r="486" spans="1:211" s="7" customFormat="1">
      <c r="A486" s="4"/>
      <c r="B486" s="4"/>
      <c r="C486" s="63"/>
      <c r="D486" s="101"/>
      <c r="E486" s="63"/>
      <c r="F486" s="63"/>
      <c r="G486" s="101"/>
      <c r="H486" s="101">
        <f>+SQRT(E485*E487)</f>
        <v>0.29906783327532899</v>
      </c>
      <c r="I486" s="101">
        <f>+H486*F485</f>
        <v>0</v>
      </c>
      <c r="J486" s="101">
        <f>+I486*$A$440</f>
        <v>0</v>
      </c>
      <c r="K486" s="61">
        <f>IF(AND(J486&lt;0, J484&lt;0), 0, J486)</f>
        <v>0</v>
      </c>
      <c r="L486" s="205"/>
      <c r="M486" s="205"/>
      <c r="N486" s="205"/>
      <c r="O486" s="205"/>
      <c r="P486" s="205"/>
      <c r="Q486" s="205"/>
      <c r="R486" s="205"/>
      <c r="S486" s="205"/>
      <c r="T486" s="205"/>
      <c r="U486" s="205"/>
      <c r="V486" s="205"/>
      <c r="W486" s="205"/>
      <c r="X486" s="205"/>
      <c r="Y486" s="205"/>
      <c r="Z486" s="205"/>
      <c r="AA486" s="4"/>
      <c r="AB486" s="4"/>
      <c r="AC486" s="4"/>
      <c r="AD486" s="4"/>
      <c r="AE486" s="4"/>
      <c r="AF486" s="81"/>
      <c r="AG486" s="81"/>
      <c r="AH486" s="81"/>
      <c r="AI486" s="4"/>
      <c r="AJ486" s="81"/>
      <c r="AK486" s="81"/>
      <c r="AL486" s="81"/>
      <c r="AM486" s="43">
        <v>470</v>
      </c>
      <c r="AN486">
        <v>52.454602134657286</v>
      </c>
      <c r="AO486">
        <v>1.3697893180382728</v>
      </c>
      <c r="AP486">
        <v>1.1069578946215941</v>
      </c>
      <c r="AQ486">
        <v>9.5206460635807861</v>
      </c>
      <c r="AR486">
        <v>1.2547158682340942</v>
      </c>
      <c r="AS486">
        <v>4.3990893536596074</v>
      </c>
      <c r="AT486">
        <v>0.83962333853134774</v>
      </c>
      <c r="AU486">
        <v>8.6188524193421684E-3</v>
      </c>
      <c r="AV486"/>
      <c r="AW486"/>
      <c r="FY486" s="211">
        <v>481</v>
      </c>
      <c r="FZ486">
        <v>1.3600872196017273</v>
      </c>
      <c r="GA486">
        <v>2.2927177262176439</v>
      </c>
      <c r="GB486">
        <v>1.138648386989763</v>
      </c>
      <c r="GC486">
        <v>0.65867215057688266</v>
      </c>
      <c r="GD486">
        <v>0.24304138373756243</v>
      </c>
      <c r="GE486">
        <v>8.8593614384399985E-2</v>
      </c>
      <c r="GF486">
        <v>0.33409761863227821</v>
      </c>
      <c r="GG486">
        <v>0.39070597101659427</v>
      </c>
      <c r="GH486">
        <v>0.17901737842465987</v>
      </c>
      <c r="GI486">
        <v>0.70585413403466002</v>
      </c>
      <c r="GJ486"/>
      <c r="GK486">
        <v>1.3553737132352939</v>
      </c>
      <c r="GL486">
        <v>1.9310924632352939</v>
      </c>
      <c r="GM486">
        <v>1.8692876420454543</v>
      </c>
      <c r="GN486">
        <v>1.9322407670454542</v>
      </c>
      <c r="GO486">
        <v>0.92470312499999974</v>
      </c>
      <c r="GP486">
        <v>0.16649999999999998</v>
      </c>
      <c r="GQ486">
        <v>0.40278260869565213</v>
      </c>
      <c r="GR486">
        <v>0.54351177536231876</v>
      </c>
      <c r="GS486">
        <v>0.18931690705128204</v>
      </c>
      <c r="GT486">
        <v>0.94829279920553655</v>
      </c>
      <c r="GU486"/>
      <c r="GV486"/>
      <c r="GW486"/>
      <c r="GX486"/>
      <c r="GY486"/>
      <c r="GZ486"/>
      <c r="HA486"/>
      <c r="HB486"/>
      <c r="HC486"/>
    </row>
    <row r="487" spans="1:211" s="7" customFormat="1">
      <c r="A487" s="4"/>
      <c r="B487" s="4"/>
      <c r="C487" s="63">
        <v>15</v>
      </c>
      <c r="D487" s="101">
        <f>SUM($T$228:$T$347)/$A$438</f>
        <v>0</v>
      </c>
      <c r="E487" s="97">
        <f>V36</f>
        <v>0.30968999999999997</v>
      </c>
      <c r="F487" s="102">
        <f>+D487-D489</f>
        <v>0</v>
      </c>
      <c r="G487" s="101">
        <f>+D487*E487</f>
        <v>0</v>
      </c>
      <c r="H487" s="101"/>
      <c r="I487" s="101"/>
      <c r="J487" s="101"/>
      <c r="K487" s="101"/>
      <c r="L487" s="205"/>
      <c r="M487" s="205"/>
      <c r="N487" s="205"/>
      <c r="O487" s="205"/>
      <c r="P487" s="205"/>
      <c r="Q487" s="205"/>
      <c r="R487" s="205"/>
      <c r="S487" s="205"/>
      <c r="T487" s="205"/>
      <c r="U487" s="205"/>
      <c r="V487" s="205"/>
      <c r="W487" s="205"/>
      <c r="X487" s="205"/>
      <c r="Y487" s="205"/>
      <c r="Z487" s="205"/>
      <c r="AA487" s="4"/>
      <c r="AB487" s="4"/>
      <c r="AC487" s="4"/>
      <c r="AD487" s="4"/>
      <c r="AE487" s="4"/>
      <c r="AF487" s="81"/>
      <c r="AG487" s="81"/>
      <c r="AH487" s="81"/>
      <c r="AI487" s="4"/>
      <c r="AJ487" s="81"/>
      <c r="AK487" s="81"/>
      <c r="AL487" s="81"/>
      <c r="AM487" s="43">
        <v>471</v>
      </c>
      <c r="AN487">
        <v>40.113768594115456</v>
      </c>
      <c r="AO487">
        <v>0.92782168649788521</v>
      </c>
      <c r="AP487">
        <v>7.0213986052360955</v>
      </c>
      <c r="AQ487">
        <v>6.2502161372514866</v>
      </c>
      <c r="AR487">
        <v>0.87466006683374165</v>
      </c>
      <c r="AS487">
        <v>3.4331676950126986</v>
      </c>
      <c r="AT487" t="e">
        <v>#DIV/0!</v>
      </c>
      <c r="AU487" t="e">
        <v>#DIV/0!</v>
      </c>
      <c r="AV487"/>
      <c r="AW487"/>
      <c r="FY487" s="211">
        <v>482</v>
      </c>
      <c r="FZ487">
        <v>0.70675359878803212</v>
      </c>
      <c r="GA487">
        <v>0.9524504034012965</v>
      </c>
      <c r="GB487">
        <v>0.22959708369623436</v>
      </c>
      <c r="GC487">
        <v>0.21811458071014495</v>
      </c>
      <c r="GD487">
        <v>0.17034187716564753</v>
      </c>
      <c r="GE487">
        <v>5.6847916058175005E-2</v>
      </c>
      <c r="GF487">
        <v>0.9090953625792253</v>
      </c>
      <c r="GG487">
        <v>0.81887252380421982</v>
      </c>
      <c r="GH487">
        <v>0.17901737842465987</v>
      </c>
      <c r="GI487">
        <v>0.44889901889111894</v>
      </c>
      <c r="GJ487"/>
      <c r="GK487">
        <v>0.70414687499999995</v>
      </c>
      <c r="GL487">
        <v>0.80164687500000009</v>
      </c>
      <c r="GM487">
        <v>0.37640625</v>
      </c>
      <c r="GN487">
        <v>0.63869999999999993</v>
      </c>
      <c r="GO487">
        <v>0.64774687500000006</v>
      </c>
      <c r="GP487">
        <v>0.10673437500000001</v>
      </c>
      <c r="GQ487">
        <v>1.0963777173913045</v>
      </c>
      <c r="GR487">
        <v>1.1394193840579709</v>
      </c>
      <c r="GS487">
        <v>0.18931690705128204</v>
      </c>
      <c r="GT487">
        <v>0.60279892488851727</v>
      </c>
      <c r="GU487"/>
      <c r="GV487"/>
      <c r="GW487"/>
      <c r="GX487"/>
      <c r="GY487"/>
      <c r="GZ487"/>
      <c r="HA487"/>
      <c r="HB487"/>
      <c r="HC487"/>
    </row>
    <row r="488" spans="1:211" s="7" customFormat="1">
      <c r="A488" s="4"/>
      <c r="B488" s="4"/>
      <c r="C488" s="63"/>
      <c r="D488" s="101"/>
      <c r="E488" s="63"/>
      <c r="F488" s="63"/>
      <c r="G488" s="101"/>
      <c r="H488" s="101">
        <f>+SQRT(E487*E489)</f>
        <v>0.31995972137130008</v>
      </c>
      <c r="I488" s="101">
        <f>+H488*F487</f>
        <v>0</v>
      </c>
      <c r="J488" s="101">
        <f>+I488*$A$440</f>
        <v>0</v>
      </c>
      <c r="K488" s="61">
        <f>IF(AND(J488&lt;0, J486&lt;0), 0, J488)</f>
        <v>0</v>
      </c>
      <c r="L488" s="205"/>
      <c r="M488" s="205"/>
      <c r="N488" s="205"/>
      <c r="O488" s="205"/>
      <c r="P488" s="205"/>
      <c r="Q488" s="205"/>
      <c r="R488" s="205"/>
      <c r="S488" s="205"/>
      <c r="T488" s="205"/>
      <c r="U488" s="205"/>
      <c r="V488" s="205"/>
      <c r="W488" s="205"/>
      <c r="X488" s="205"/>
      <c r="Y488" s="205"/>
      <c r="Z488" s="205"/>
      <c r="AA488" s="4"/>
      <c r="AB488" s="4"/>
      <c r="AC488" s="4"/>
      <c r="AD488" s="4"/>
      <c r="AE488" s="4"/>
      <c r="AF488" s="81"/>
      <c r="AG488" s="81"/>
      <c r="AH488" s="81"/>
      <c r="AI488" s="4"/>
      <c r="AJ488" s="81"/>
      <c r="AK488" s="81"/>
      <c r="AL488" s="81"/>
      <c r="AM488" s="43">
        <v>472</v>
      </c>
      <c r="AN488">
        <v>44.320910842969667</v>
      </c>
      <c r="AO488">
        <v>1.0965523435143287</v>
      </c>
      <c r="AP488">
        <v>1.3682766295523392</v>
      </c>
      <c r="AQ488">
        <v>7.0223182908760551</v>
      </c>
      <c r="AR488">
        <v>1.0216021632472918</v>
      </c>
      <c r="AS488">
        <v>3.5245996519980163</v>
      </c>
      <c r="AT488" t="e">
        <v>#DIV/0!</v>
      </c>
      <c r="AU488" t="e">
        <v>#DIV/0!</v>
      </c>
      <c r="AV488"/>
      <c r="AW488"/>
      <c r="FY488" s="211">
        <v>483</v>
      </c>
      <c r="FZ488">
        <v>0.13807350144798747</v>
      </c>
      <c r="GA488">
        <v>0.36168688559454254</v>
      </c>
      <c r="GB488">
        <v>0.48097269484693939</v>
      </c>
      <c r="GC488">
        <v>0.2725300334318187</v>
      </c>
      <c r="GD488">
        <v>0.10311553485629998</v>
      </c>
      <c r="GE488">
        <v>0.11942651581672496</v>
      </c>
      <c r="GF488">
        <v>0.37461671604370633</v>
      </c>
      <c r="GG488">
        <v>0.28954215414031298</v>
      </c>
      <c r="GH488">
        <v>0</v>
      </c>
      <c r="GI488">
        <v>0.26371424667275434</v>
      </c>
      <c r="GJ488"/>
      <c r="GK488">
        <v>0.13762499999999997</v>
      </c>
      <c r="GL488">
        <v>0.30455859375</v>
      </c>
      <c r="GM488">
        <v>0.78912109374999995</v>
      </c>
      <c r="GN488">
        <v>0.79960937499999996</v>
      </c>
      <c r="GO488">
        <v>0.39281249999999995</v>
      </c>
      <c r="GP488">
        <v>0.22439062499999993</v>
      </c>
      <c r="GQ488">
        <v>0.45162635869565215</v>
      </c>
      <c r="GR488">
        <v>0.40278260869565213</v>
      </c>
      <c r="GS488">
        <v>0</v>
      </c>
      <c r="GT488">
        <v>0.35423699048913038</v>
      </c>
      <c r="GU488"/>
      <c r="GV488"/>
      <c r="GW488"/>
      <c r="GX488"/>
      <c r="GY488"/>
      <c r="GZ488"/>
      <c r="HA488"/>
      <c r="HB488"/>
      <c r="HC488"/>
    </row>
    <row r="489" spans="1:211" s="7" customFormat="1">
      <c r="A489" s="4"/>
      <c r="B489" s="4"/>
      <c r="C489" s="63">
        <v>16</v>
      </c>
      <c r="D489" s="101">
        <f>SUM($U$228:$U$347)/$A$438</f>
        <v>0</v>
      </c>
      <c r="E489" s="97">
        <f>W36</f>
        <v>0.33056999999999997</v>
      </c>
      <c r="F489" s="102">
        <f>+D489-D491</f>
        <v>0</v>
      </c>
      <c r="G489" s="101">
        <f>+D489*E489</f>
        <v>0</v>
      </c>
      <c r="H489" s="101"/>
      <c r="I489" s="101"/>
      <c r="J489" s="101"/>
      <c r="K489" s="101"/>
      <c r="L489" s="205"/>
      <c r="M489" s="205"/>
      <c r="N489" s="205"/>
      <c r="O489" s="205"/>
      <c r="P489" s="205"/>
      <c r="Q489" s="205"/>
      <c r="R489" s="205"/>
      <c r="S489" s="205"/>
      <c r="T489" s="205"/>
      <c r="U489" s="205"/>
      <c r="V489" s="205"/>
      <c r="W489" s="205"/>
      <c r="X489" s="205"/>
      <c r="Y489" s="205"/>
      <c r="Z489" s="205"/>
      <c r="AA489" s="4"/>
      <c r="AB489" s="4"/>
      <c r="AC489" s="4"/>
      <c r="AD489" s="4"/>
      <c r="AE489" s="4"/>
      <c r="AF489" s="81"/>
      <c r="AG489" s="81"/>
      <c r="AH489" s="81"/>
      <c r="AI489" s="4"/>
      <c r="AJ489" s="81"/>
      <c r="AK489" s="81"/>
      <c r="AL489" s="81"/>
      <c r="AM489" s="43">
        <v>473</v>
      </c>
      <c r="AN489">
        <v>58.311280168189533</v>
      </c>
      <c r="AO489">
        <v>1.3254387125395515</v>
      </c>
      <c r="AP489">
        <v>1.5466681266546538</v>
      </c>
      <c r="AQ489">
        <v>8.8014134190151037</v>
      </c>
      <c r="AR489">
        <v>1.2288857723261661</v>
      </c>
      <c r="AS489">
        <v>4.7544427560003193</v>
      </c>
      <c r="AT489">
        <v>0.93852744584654246</v>
      </c>
      <c r="AU489">
        <v>0.18300229585093675</v>
      </c>
      <c r="AV489"/>
      <c r="AW489"/>
      <c r="FY489" s="211">
        <v>484</v>
      </c>
      <c r="FZ489">
        <v>1.5884784521041417</v>
      </c>
      <c r="GA489">
        <v>2.1061439358529022</v>
      </c>
      <c r="GB489">
        <v>0.87999725229837167</v>
      </c>
      <c r="GC489">
        <v>1.0270780754737352</v>
      </c>
      <c r="GD489">
        <v>0.5115550122946575</v>
      </c>
      <c r="GE489">
        <v>5.78146416777E-2</v>
      </c>
      <c r="GF489">
        <v>0.49395954912409079</v>
      </c>
      <c r="GG489">
        <v>0.4281665527876255</v>
      </c>
      <c r="GH489">
        <v>4.5971471670847357E-2</v>
      </c>
      <c r="GI489">
        <v>0.83633647845801495</v>
      </c>
      <c r="GJ489"/>
      <c r="GK489">
        <v>1.5830943014705878</v>
      </c>
      <c r="GL489">
        <v>1.7740396139705878</v>
      </c>
      <c r="GM489">
        <v>1.4446704545454543</v>
      </c>
      <c r="GN489">
        <v>3.0104220170454545</v>
      </c>
      <c r="GO489">
        <v>1.9449468750000001</v>
      </c>
      <c r="GP489">
        <v>0.10856250000000001</v>
      </c>
      <c r="GQ489">
        <v>0.59590760869565207</v>
      </c>
      <c r="GR489">
        <v>0.59590760869565207</v>
      </c>
      <c r="GS489">
        <v>4.8587740384615385E-2</v>
      </c>
      <c r="GT489">
        <v>1.123441396019262</v>
      </c>
      <c r="GU489"/>
      <c r="GV489"/>
      <c r="GW489"/>
      <c r="GX489"/>
      <c r="GY489"/>
      <c r="GZ489"/>
      <c r="HA489"/>
      <c r="HB489"/>
      <c r="HC489"/>
    </row>
    <row r="490" spans="1:211" s="7" customFormat="1">
      <c r="A490" s="4"/>
      <c r="B490" s="4"/>
      <c r="C490" s="63"/>
      <c r="D490" s="101"/>
      <c r="E490" s="63"/>
      <c r="F490" s="63"/>
      <c r="G490" s="101"/>
      <c r="H490" s="101">
        <f>+SQRT(E489*E491)</f>
        <v>0.34085015255974288</v>
      </c>
      <c r="I490" s="101">
        <f>+H490*F489</f>
        <v>0</v>
      </c>
      <c r="J490" s="101">
        <f>+I490*$A$440</f>
        <v>0</v>
      </c>
      <c r="K490" s="61">
        <f>IF(AND(J490&lt;0, J488&lt;0), 0, J490)</f>
        <v>0</v>
      </c>
      <c r="L490" s="205"/>
      <c r="M490" s="205"/>
      <c r="N490" s="205"/>
      <c r="O490" s="205"/>
      <c r="P490" s="205"/>
      <c r="Q490" s="205"/>
      <c r="R490" s="205"/>
      <c r="S490" s="205"/>
      <c r="T490" s="205"/>
      <c r="U490" s="205"/>
      <c r="V490" s="205"/>
      <c r="W490" s="205"/>
      <c r="X490" s="205"/>
      <c r="Y490" s="205"/>
      <c r="Z490" s="205"/>
      <c r="AA490" s="4"/>
      <c r="AB490" s="4"/>
      <c r="AC490" s="4"/>
      <c r="AD490" s="4"/>
      <c r="AE490" s="4"/>
      <c r="AF490" s="81"/>
      <c r="AG490" s="81"/>
      <c r="AH490" s="81"/>
      <c r="AI490" s="4"/>
      <c r="AJ490" s="81"/>
      <c r="AK490" s="81"/>
      <c r="AL490" s="81"/>
      <c r="AM490" s="43">
        <v>474</v>
      </c>
      <c r="AN490">
        <v>40.009397108202243</v>
      </c>
      <c r="AO490">
        <v>0.90001110672874918</v>
      </c>
      <c r="AP490">
        <v>0.7056957873970483</v>
      </c>
      <c r="AQ490">
        <v>6.9846225715553061</v>
      </c>
      <c r="AR490">
        <v>0.83488908522543592</v>
      </c>
      <c r="AS490">
        <v>3.1641204830556831</v>
      </c>
      <c r="AT490" t="e">
        <v>#DIV/0!</v>
      </c>
      <c r="AU490" t="e">
        <v>#DIV/0!</v>
      </c>
      <c r="AV490"/>
      <c r="AW490"/>
      <c r="FY490" s="211">
        <v>485</v>
      </c>
      <c r="FZ490">
        <v>0.99547718423913001</v>
      </c>
      <c r="GA490">
        <v>1.6722320815174179</v>
      </c>
      <c r="GB490">
        <v>1.4962954167916029</v>
      </c>
      <c r="GC490">
        <v>0.90494769334711156</v>
      </c>
      <c r="GD490">
        <v>0.32152368821134492</v>
      </c>
      <c r="GE490">
        <v>0.24361698971429996</v>
      </c>
      <c r="GF490">
        <v>4.0519097411428125E-2</v>
      </c>
      <c r="GG490">
        <v>0</v>
      </c>
      <c r="GH490">
        <v>2.2985735835423678E-2</v>
      </c>
      <c r="GI490">
        <v>0.70632677179740866</v>
      </c>
      <c r="GJ490"/>
      <c r="GK490">
        <v>0.99195</v>
      </c>
      <c r="GL490">
        <v>1.4082937499999999</v>
      </c>
      <c r="GM490">
        <v>2.4566846590909086</v>
      </c>
      <c r="GN490">
        <v>2.6553971590909087</v>
      </c>
      <c r="GO490">
        <v>1.2233062499999998</v>
      </c>
      <c r="GP490">
        <v>0.45787499999999998</v>
      </c>
      <c r="GQ490">
        <v>4.8843750000000005E-2</v>
      </c>
      <c r="GR490">
        <v>0</v>
      </c>
      <c r="GS490">
        <v>2.4293870192307693E-2</v>
      </c>
      <c r="GT490">
        <v>0.94901570585664319</v>
      </c>
      <c r="GU490"/>
      <c r="GV490"/>
      <c r="GW490"/>
      <c r="GX490"/>
      <c r="GY490"/>
      <c r="GZ490"/>
      <c r="HA490"/>
      <c r="HB490"/>
      <c r="HC490"/>
    </row>
    <row r="491" spans="1:211" s="7" customFormat="1">
      <c r="A491" s="4"/>
      <c r="B491" s="4"/>
      <c r="C491" s="63">
        <v>17</v>
      </c>
      <c r="D491" s="101">
        <f>SUM($V$228:$V$347)/$A$438</f>
        <v>0</v>
      </c>
      <c r="E491" s="97">
        <f>X36</f>
        <v>0.35144999999999998</v>
      </c>
      <c r="F491" s="102">
        <f>+D491-D493</f>
        <v>0</v>
      </c>
      <c r="G491" s="101">
        <f>+D491*E491</f>
        <v>0</v>
      </c>
      <c r="H491" s="101"/>
      <c r="I491" s="101"/>
      <c r="J491" s="101"/>
      <c r="K491" s="101"/>
      <c r="L491" s="205"/>
      <c r="M491" s="205"/>
      <c r="N491" s="205"/>
      <c r="O491" s="205"/>
      <c r="P491" s="205"/>
      <c r="Q491" s="205"/>
      <c r="R491" s="205"/>
      <c r="S491" s="205"/>
      <c r="T491" s="205"/>
      <c r="U491" s="205"/>
      <c r="V491" s="205"/>
      <c r="W491" s="205"/>
      <c r="X491" s="205"/>
      <c r="Y491" s="205"/>
      <c r="Z491" s="205"/>
      <c r="AA491" s="4"/>
      <c r="AB491" s="4"/>
      <c r="AC491" s="4"/>
      <c r="AD491" s="4"/>
      <c r="AE491" s="4"/>
      <c r="AF491" s="81"/>
      <c r="AG491" s="81"/>
      <c r="AH491" s="81"/>
      <c r="AI491" s="4"/>
      <c r="AJ491" s="81"/>
      <c r="AK491" s="81"/>
      <c r="AL491" s="81"/>
      <c r="AM491" s="43">
        <v>475</v>
      </c>
      <c r="AN491">
        <v>33.270056750403612</v>
      </c>
      <c r="AO491">
        <v>0.70174958484953343</v>
      </c>
      <c r="AP491">
        <v>0.71311064243821742</v>
      </c>
      <c r="AQ491">
        <v>5.8835537528180497</v>
      </c>
      <c r="AR491">
        <v>0.6496155535345407</v>
      </c>
      <c r="AS491">
        <v>2.6294503789444019</v>
      </c>
      <c r="AT491" t="e">
        <v>#DIV/0!</v>
      </c>
      <c r="AU491" t="e">
        <v>#DIV/0!</v>
      </c>
      <c r="AV491"/>
      <c r="AW491"/>
      <c r="FY491" s="211">
        <v>486</v>
      </c>
      <c r="FZ491">
        <v>0.60132098903022846</v>
      </c>
      <c r="GA491">
        <v>1.0832992242432149</v>
      </c>
      <c r="GB491">
        <v>0.80245421208690459</v>
      </c>
      <c r="GC491">
        <v>0.37840888118521199</v>
      </c>
      <c r="GD491">
        <v>0.13829154105664929</v>
      </c>
      <c r="GE491">
        <v>0.13864413431700001</v>
      </c>
      <c r="GF491">
        <v>0.82805716775636906</v>
      </c>
      <c r="GG491">
        <v>0.76829061536607923</v>
      </c>
      <c r="GH491">
        <v>0.11249442504775362</v>
      </c>
      <c r="GI491">
        <v>0.53013154381280292</v>
      </c>
      <c r="GJ491"/>
      <c r="GK491">
        <v>0.59918437499999999</v>
      </c>
      <c r="GL491">
        <v>0.91244999999999998</v>
      </c>
      <c r="GM491">
        <v>1.3178110795454545</v>
      </c>
      <c r="GN491">
        <v>1.1109463474025971</v>
      </c>
      <c r="GO491">
        <v>0.52640089285714287</v>
      </c>
      <c r="GP491">
        <v>0.260625</v>
      </c>
      <c r="GQ491">
        <v>0.99869021739130437</v>
      </c>
      <c r="GR491">
        <v>1.0690548007246377</v>
      </c>
      <c r="GS491">
        <v>0.11895232371794871</v>
      </c>
      <c r="GT491">
        <v>0.71220777770237009</v>
      </c>
      <c r="GU491"/>
      <c r="GV491"/>
      <c r="GW491"/>
      <c r="GX491"/>
      <c r="GY491"/>
      <c r="GZ491"/>
      <c r="HA491"/>
      <c r="HB491"/>
      <c r="HC491"/>
    </row>
    <row r="492" spans="1:211" s="7" customFormat="1">
      <c r="A492" s="4"/>
      <c r="B492" s="4"/>
      <c r="C492" s="63"/>
      <c r="D492" s="101"/>
      <c r="E492" s="63"/>
      <c r="F492" s="63"/>
      <c r="G492" s="101"/>
      <c r="H492" s="101">
        <f>+SQRT(E491*E493)</f>
        <v>0.36173937924975763</v>
      </c>
      <c r="I492" s="101">
        <f>+H492*F491</f>
        <v>0</v>
      </c>
      <c r="J492" s="101">
        <f>+I492*$A$440</f>
        <v>0</v>
      </c>
      <c r="K492" s="61">
        <f>IF(AND(J492&lt;0, J490&lt;0), 0, J492)</f>
        <v>0</v>
      </c>
      <c r="L492" s="205"/>
      <c r="M492" s="205"/>
      <c r="N492" s="205"/>
      <c r="O492" s="205"/>
      <c r="P492" s="205"/>
      <c r="Q492" s="205"/>
      <c r="R492" s="205"/>
      <c r="S492" s="205"/>
      <c r="T492" s="205"/>
      <c r="U492" s="205"/>
      <c r="V492" s="205"/>
      <c r="W492" s="205"/>
      <c r="X492" s="205"/>
      <c r="Y492" s="205"/>
      <c r="Z492" s="205"/>
      <c r="AA492" s="4"/>
      <c r="AB492" s="4"/>
      <c r="AC492" s="4"/>
      <c r="AD492" s="4"/>
      <c r="AE492" s="4"/>
      <c r="AF492" s="81"/>
      <c r="AG492" s="81"/>
      <c r="AH492" s="81"/>
      <c r="AI492" s="4"/>
      <c r="AJ492" s="81"/>
      <c r="AK492" s="81"/>
      <c r="AL492" s="81"/>
      <c r="AM492" s="43">
        <v>476</v>
      </c>
      <c r="AN492">
        <v>35.213097624083069</v>
      </c>
      <c r="AO492">
        <v>0.69471337790226872</v>
      </c>
      <c r="AP492">
        <v>0.80866056650618878</v>
      </c>
      <c r="AQ492">
        <v>5.4467664678350509</v>
      </c>
      <c r="AR492">
        <v>0.66353833087269187</v>
      </c>
      <c r="AS492">
        <v>3.0715548586825214</v>
      </c>
      <c r="AT492" t="e">
        <v>#DIV/0!</v>
      </c>
      <c r="AU492" t="e">
        <v>#DIV/0!</v>
      </c>
      <c r="AV492"/>
      <c r="AW492"/>
      <c r="FY492" s="211">
        <v>487</v>
      </c>
      <c r="FZ492">
        <v>0.41418035327399072</v>
      </c>
      <c r="GA492">
        <v>0.92372298328131663</v>
      </c>
      <c r="GB492">
        <v>1.5250526107666205</v>
      </c>
      <c r="GC492">
        <v>0.73577208306102093</v>
      </c>
      <c r="GD492">
        <v>7.7542920577057486E-2</v>
      </c>
      <c r="GE492">
        <v>0.10791909033592499</v>
      </c>
      <c r="GF492">
        <v>0.52010488888686557</v>
      </c>
      <c r="GG492">
        <v>0.4158731959419375</v>
      </c>
      <c r="GH492">
        <v>6.8957207506271032E-2</v>
      </c>
      <c r="GI492">
        <v>0.58234642440858952</v>
      </c>
      <c r="GJ492"/>
      <c r="GK492">
        <v>0.41278125000000004</v>
      </c>
      <c r="GL492">
        <v>0.77797265625000001</v>
      </c>
      <c r="GM492">
        <v>2.5039307528409087</v>
      </c>
      <c r="GN492">
        <v>2.160358096590909</v>
      </c>
      <c r="GO492">
        <v>0.294946875</v>
      </c>
      <c r="GP492">
        <v>0.20264062499999999</v>
      </c>
      <c r="GQ492">
        <v>0.62821874999999994</v>
      </c>
      <c r="GR492">
        <v>0.57937499999999997</v>
      </c>
      <c r="GS492">
        <v>7.2881610576923078E-2</v>
      </c>
      <c r="GT492">
        <v>0.78255184768356634</v>
      </c>
      <c r="GU492"/>
      <c r="GV492"/>
      <c r="GW492"/>
      <c r="GX492"/>
      <c r="GY492"/>
      <c r="GZ492"/>
      <c r="HA492"/>
      <c r="HB492"/>
      <c r="HC492"/>
    </row>
    <row r="493" spans="1:211" s="7" customFormat="1">
      <c r="A493" s="4"/>
      <c r="B493" s="4"/>
      <c r="C493" s="63">
        <v>18</v>
      </c>
      <c r="D493" s="101">
        <f>SUM($W$228:$W$347)/$A$438</f>
        <v>0</v>
      </c>
      <c r="E493" s="97">
        <f>+Y36</f>
        <v>0.37232999999999999</v>
      </c>
      <c r="F493" s="102">
        <f>+D493-D495</f>
        <v>0</v>
      </c>
      <c r="G493" s="101">
        <f>+D493*E493</f>
        <v>0</v>
      </c>
      <c r="H493" s="101"/>
      <c r="I493" s="101"/>
      <c r="J493" s="101"/>
      <c r="K493" s="101"/>
      <c r="L493" s="205"/>
      <c r="M493" s="205"/>
      <c r="N493" s="205"/>
      <c r="O493" s="205"/>
      <c r="P493" s="205"/>
      <c r="Q493" s="205"/>
      <c r="R493" s="205"/>
      <c r="S493" s="205"/>
      <c r="T493" s="205"/>
      <c r="U493" s="205"/>
      <c r="V493" s="205"/>
      <c r="W493" s="205"/>
      <c r="X493" s="205"/>
      <c r="Y493" s="205"/>
      <c r="Z493" s="205"/>
      <c r="AA493" s="4"/>
      <c r="AB493" s="4"/>
      <c r="AC493" s="4"/>
      <c r="AD493" s="4"/>
      <c r="AE493" s="4"/>
      <c r="AF493" s="81"/>
      <c r="AG493" s="81"/>
      <c r="AH493" s="81"/>
      <c r="AI493" s="4"/>
      <c r="AJ493" s="81"/>
      <c r="AK493" s="81"/>
      <c r="AL493" s="81"/>
      <c r="AM493" s="43">
        <v>477</v>
      </c>
      <c r="AN493">
        <v>42.751617676985312</v>
      </c>
      <c r="AO493">
        <v>1.0722347280085109</v>
      </c>
      <c r="AP493">
        <v>1.3563770934470545</v>
      </c>
      <c r="AQ493">
        <v>7.4319297789098222</v>
      </c>
      <c r="AR493">
        <v>0.98058953638885615</v>
      </c>
      <c r="AS493">
        <v>3.3545200648717888</v>
      </c>
      <c r="AT493" t="e">
        <v>#DIV/0!</v>
      </c>
      <c r="AU493" t="e">
        <v>#DIV/0!</v>
      </c>
      <c r="AV493"/>
      <c r="AW493"/>
      <c r="FY493" s="211">
        <v>488</v>
      </c>
      <c r="FZ493">
        <v>1.8427465983472233</v>
      </c>
      <c r="GA493">
        <v>3.0126664523813815</v>
      </c>
      <c r="GB493">
        <v>1.2967914277150627</v>
      </c>
      <c r="GC493">
        <v>0.5387444534878445</v>
      </c>
      <c r="GD493">
        <v>6.75203123915325E-2</v>
      </c>
      <c r="GE493">
        <v>5.486840673907499E-2</v>
      </c>
      <c r="GF493">
        <v>0.98791909824818158</v>
      </c>
      <c r="GG493">
        <v>1.0080788308896727</v>
      </c>
      <c r="GH493">
        <v>0.19956886013071873</v>
      </c>
      <c r="GI493">
        <v>0.83733795450205073</v>
      </c>
      <c r="GJ493"/>
      <c r="GK493">
        <v>1.8364068014705879</v>
      </c>
      <c r="GL493">
        <v>2.537387270220588</v>
      </c>
      <c r="GM493">
        <v>2.1284946732954544</v>
      </c>
      <c r="GN493">
        <v>1.5813204545454544</v>
      </c>
      <c r="GO493">
        <v>0.256978125</v>
      </c>
      <c r="GP493">
        <v>0.103171875</v>
      </c>
      <c r="GQ493">
        <v>1.1918152173913041</v>
      </c>
      <c r="GR493">
        <v>1.402908967391304</v>
      </c>
      <c r="GS493">
        <v>0.21109375</v>
      </c>
      <c r="GT493">
        <v>1.1249577134314692</v>
      </c>
      <c r="GU493"/>
      <c r="GV493"/>
      <c r="GW493"/>
      <c r="GX493"/>
      <c r="GY493"/>
      <c r="GZ493"/>
      <c r="HA493"/>
      <c r="HB493"/>
      <c r="HC493"/>
    </row>
    <row r="494" spans="1:211" s="7" customFormat="1">
      <c r="A494" s="4"/>
      <c r="B494" s="4"/>
      <c r="C494" s="63"/>
      <c r="D494" s="101"/>
      <c r="E494" s="63"/>
      <c r="F494" s="63"/>
      <c r="G494" s="101"/>
      <c r="H494" s="101">
        <f>+SQRT(E493*E495)</f>
        <v>0.38262759871708157</v>
      </c>
      <c r="I494" s="101">
        <f>+H494*F493</f>
        <v>0</v>
      </c>
      <c r="J494" s="101">
        <f>+I494*$A$440</f>
        <v>0</v>
      </c>
      <c r="K494" s="61">
        <f>IF(AND(J494&lt;0, J492&lt;0), 0, J494)</f>
        <v>0</v>
      </c>
      <c r="L494" s="205"/>
      <c r="M494" s="205"/>
      <c r="N494" s="205"/>
      <c r="O494" s="205"/>
      <c r="P494" s="205"/>
      <c r="Q494" s="205"/>
      <c r="R494" s="205"/>
      <c r="S494" s="205"/>
      <c r="T494" s="205"/>
      <c r="U494" s="205"/>
      <c r="V494" s="205"/>
      <c r="W494" s="205"/>
      <c r="X494" s="205"/>
      <c r="Y494" s="205"/>
      <c r="Z494" s="205"/>
      <c r="AA494" s="4"/>
      <c r="AB494" s="4"/>
      <c r="AC494" s="4"/>
      <c r="AD494" s="4"/>
      <c r="AE494" s="4"/>
      <c r="AF494" s="81"/>
      <c r="AG494" s="81"/>
      <c r="AH494" s="81"/>
      <c r="AI494" s="4"/>
      <c r="AJ494" s="81"/>
      <c r="AK494" s="81"/>
      <c r="AL494" s="81"/>
      <c r="AM494" s="43">
        <v>478</v>
      </c>
      <c r="AN494">
        <v>39.536570839084426</v>
      </c>
      <c r="AO494">
        <v>0.84693898547489643</v>
      </c>
      <c r="AP494">
        <v>0.90914140903858676</v>
      </c>
      <c r="AQ494">
        <v>5.3170909167411979</v>
      </c>
      <c r="AR494">
        <v>0.78443316861354218</v>
      </c>
      <c r="AS494">
        <v>3.4195790742313252</v>
      </c>
      <c r="AT494" t="e">
        <v>#DIV/0!</v>
      </c>
      <c r="AU494" t="e">
        <v>#DIV/0!</v>
      </c>
      <c r="AV494"/>
      <c r="AW494"/>
      <c r="FY494" s="211">
        <v>489</v>
      </c>
      <c r="FZ494">
        <v>1.0948652544528257</v>
      </c>
      <c r="GA494">
        <v>2.1384964242799094</v>
      </c>
      <c r="GB494">
        <v>0.59753878990828935</v>
      </c>
      <c r="GC494">
        <v>0.49386350822174507</v>
      </c>
      <c r="GD494">
        <v>0.4257863283814618</v>
      </c>
      <c r="GE494">
        <v>0.17236934196232498</v>
      </c>
      <c r="GF494">
        <v>0.98791909824818158</v>
      </c>
      <c r="GG494">
        <v>0.856333105575251</v>
      </c>
      <c r="GH494">
        <v>6.8957207506271032E-2</v>
      </c>
      <c r="GI494">
        <v>0.73789379395713683</v>
      </c>
      <c r="GJ494"/>
      <c r="GK494">
        <v>1.091204963235294</v>
      </c>
      <c r="GL494">
        <v>1.8013260569852942</v>
      </c>
      <c r="GM494">
        <v>0.98043359374999994</v>
      </c>
      <c r="GN494">
        <v>1.4459321428571432</v>
      </c>
      <c r="GO494">
        <v>1.619104017857143</v>
      </c>
      <c r="GP494">
        <v>0.32395312500000001</v>
      </c>
      <c r="GQ494">
        <v>1.1918152173913041</v>
      </c>
      <c r="GR494">
        <v>1.1918152173913041</v>
      </c>
      <c r="GS494">
        <v>7.2881610576923078E-2</v>
      </c>
      <c r="GT494">
        <v>0.99108788056213282</v>
      </c>
      <c r="GU494"/>
      <c r="GV494"/>
      <c r="GW494"/>
      <c r="GX494"/>
      <c r="GY494"/>
      <c r="GZ494"/>
      <c r="HA494"/>
      <c r="HB494"/>
      <c r="HC494"/>
    </row>
    <row r="495" spans="1:211" s="7" customFormat="1">
      <c r="A495" s="4"/>
      <c r="B495" s="4"/>
      <c r="C495" s="63">
        <v>19</v>
      </c>
      <c r="D495" s="101">
        <f>SUM($X$228:$X$347)/$A$438</f>
        <v>0</v>
      </c>
      <c r="E495" s="97">
        <f>Z36</f>
        <v>0.39320999999999995</v>
      </c>
      <c r="F495" s="102">
        <f>+D495-D497</f>
        <v>0</v>
      </c>
      <c r="G495" s="101">
        <f>+D495*E495</f>
        <v>0</v>
      </c>
      <c r="H495" s="101"/>
      <c r="I495" s="101"/>
      <c r="J495" s="101"/>
      <c r="K495" s="101"/>
      <c r="L495" s="205"/>
      <c r="M495" s="205"/>
      <c r="N495" s="205"/>
      <c r="O495" s="205"/>
      <c r="P495" s="205"/>
      <c r="Q495" s="205"/>
      <c r="R495" s="205"/>
      <c r="S495" s="205"/>
      <c r="T495" s="205"/>
      <c r="U495" s="205"/>
      <c r="V495" s="205"/>
      <c r="W495" s="205"/>
      <c r="X495" s="205"/>
      <c r="Y495" s="205"/>
      <c r="Z495" s="205"/>
      <c r="AA495" s="4"/>
      <c r="AB495" s="4"/>
      <c r="AC495" s="4"/>
      <c r="AD495" s="4"/>
      <c r="AE495" s="4"/>
      <c r="AF495" s="81"/>
      <c r="AG495" s="81"/>
      <c r="AH495" s="81"/>
      <c r="AI495" s="4"/>
      <c r="AJ495" s="81"/>
      <c r="AK495" s="81"/>
      <c r="AL495" s="81"/>
      <c r="AM495" s="43">
        <v>479</v>
      </c>
      <c r="AN495">
        <v>54.851920383538015</v>
      </c>
      <c r="AO495">
        <v>1.2662439090982549</v>
      </c>
      <c r="AP495">
        <v>1.3577320066417511</v>
      </c>
      <c r="AQ495">
        <v>9.2459555790922927</v>
      </c>
      <c r="AR495">
        <v>1.1591700528515598</v>
      </c>
      <c r="AS495">
        <v>4.2725354894577885</v>
      </c>
      <c r="AT495" t="e">
        <v>#DIV/0!</v>
      </c>
      <c r="AU495" t="e">
        <v>#DIV/0!</v>
      </c>
      <c r="AV495"/>
      <c r="AW495"/>
      <c r="FY495" s="211">
        <v>490</v>
      </c>
      <c r="FZ495">
        <v>1.6684144800846106</v>
      </c>
      <c r="GA495">
        <v>2.6086831436224878</v>
      </c>
      <c r="GB495">
        <v>1.2924332749767691</v>
      </c>
      <c r="GC495">
        <v>0.80171014846611199</v>
      </c>
      <c r="GD495">
        <v>0.27240071586242781</v>
      </c>
      <c r="GE495">
        <v>0.13773133742310001</v>
      </c>
      <c r="GF495">
        <v>0.45565491086656262</v>
      </c>
      <c r="GG495">
        <v>0.28954215414031298</v>
      </c>
      <c r="GH495">
        <v>2.2985735835423678E-2</v>
      </c>
      <c r="GI495">
        <v>0.80296695941015472</v>
      </c>
      <c r="GJ495"/>
      <c r="GK495">
        <v>1.6627818014705877</v>
      </c>
      <c r="GL495">
        <v>2.1970747702205879</v>
      </c>
      <c r="GM495">
        <v>2.1211821732954546</v>
      </c>
      <c r="GN495">
        <v>2.3513481331168826</v>
      </c>
      <c r="GO495">
        <v>1.0360526785714284</v>
      </c>
      <c r="GP495">
        <v>0.25875000000000004</v>
      </c>
      <c r="GQ495">
        <v>0.54931385869565208</v>
      </c>
      <c r="GR495">
        <v>0.40278260869565213</v>
      </c>
      <c r="GS495">
        <v>2.4293870192307693E-2</v>
      </c>
      <c r="GT495">
        <v>1.0787248764450861</v>
      </c>
      <c r="GU495"/>
      <c r="GV495"/>
      <c r="GW495"/>
      <c r="GX495"/>
      <c r="GY495"/>
      <c r="GZ495"/>
      <c r="HA495"/>
      <c r="HB495"/>
      <c r="HC495"/>
    </row>
    <row r="496" spans="1:211" s="7" customFormat="1">
      <c r="A496" s="4"/>
      <c r="B496" s="4"/>
      <c r="C496" s="63"/>
      <c r="D496" s="101"/>
      <c r="E496" s="63"/>
      <c r="F496" s="63"/>
      <c r="G496" s="101"/>
      <c r="H496" s="101">
        <f>+SQRT(E495*E497)</f>
        <v>0.40351496738039339</v>
      </c>
      <c r="I496" s="101">
        <f>+H496*F495</f>
        <v>0</v>
      </c>
      <c r="J496" s="101">
        <f>+I496*$A$440</f>
        <v>0</v>
      </c>
      <c r="K496" s="61">
        <f>IF(AND(J496&lt;0, J494&lt;0), 0, J496)</f>
        <v>0</v>
      </c>
      <c r="L496" s="205"/>
      <c r="M496" s="205"/>
      <c r="N496" s="205"/>
      <c r="O496" s="205"/>
      <c r="P496" s="205"/>
      <c r="Q496" s="205"/>
      <c r="R496" s="205"/>
      <c r="S496" s="205"/>
      <c r="T496" s="205"/>
      <c r="U496" s="205"/>
      <c r="V496" s="205"/>
      <c r="W496" s="205"/>
      <c r="X496" s="205"/>
      <c r="Y496" s="205"/>
      <c r="Z496" s="205"/>
      <c r="AA496" s="4"/>
      <c r="AB496" s="4"/>
      <c r="AC496" s="4"/>
      <c r="AD496" s="4"/>
      <c r="AE496" s="4"/>
      <c r="AF496" s="81"/>
      <c r="AG496" s="81"/>
      <c r="AH496" s="81"/>
      <c r="AI496" s="4"/>
      <c r="AJ496" s="81"/>
      <c r="AK496" s="81"/>
      <c r="AL496" s="81"/>
      <c r="AM496" s="43">
        <v>480</v>
      </c>
      <c r="AN496">
        <v>36.311326544506692</v>
      </c>
      <c r="AO496">
        <v>0.89002932296043402</v>
      </c>
      <c r="AP496">
        <v>2.7218422776520219</v>
      </c>
      <c r="AQ496">
        <v>6.5249203739770154</v>
      </c>
      <c r="AR496">
        <v>0.8236062026913038</v>
      </c>
      <c r="AS496">
        <v>2.8137688978523703</v>
      </c>
      <c r="AT496" t="e">
        <v>#DIV/0!</v>
      </c>
      <c r="AU496" t="e">
        <v>#DIV/0!</v>
      </c>
      <c r="AV496"/>
      <c r="AW496"/>
      <c r="FY496" s="211">
        <v>491</v>
      </c>
      <c r="FZ496">
        <v>0.91561008848738068</v>
      </c>
      <c r="GA496">
        <v>1.9657320521617736</v>
      </c>
      <c r="GB496">
        <v>1.9966148567001629</v>
      </c>
      <c r="GC496">
        <v>1.2772162204144899</v>
      </c>
      <c r="GD496">
        <v>0.40064686706432245</v>
      </c>
      <c r="GE496">
        <v>0.19169481791385001</v>
      </c>
      <c r="GF496">
        <v>0.37461671604370633</v>
      </c>
      <c r="GG496">
        <v>0.28954215414031298</v>
      </c>
      <c r="GH496">
        <v>2.2985735835423678E-2</v>
      </c>
      <c r="GI496">
        <v>0.92151797358934562</v>
      </c>
      <c r="GJ496"/>
      <c r="GK496">
        <v>0.91213125000000006</v>
      </c>
      <c r="GL496">
        <v>1.6554046874999999</v>
      </c>
      <c r="GM496">
        <v>3.2787848011363629</v>
      </c>
      <c r="GN496">
        <v>3.7477269886363631</v>
      </c>
      <c r="GO496">
        <v>1.5234656249999998</v>
      </c>
      <c r="GP496">
        <v>0.36009375000000005</v>
      </c>
      <c r="GQ496">
        <v>0.45162635869565215</v>
      </c>
      <c r="GR496">
        <v>0.40278260869565213</v>
      </c>
      <c r="GS496">
        <v>2.4293870192307693E-2</v>
      </c>
      <c r="GT496">
        <v>1.2380603810048647</v>
      </c>
      <c r="GU496"/>
      <c r="GV496"/>
      <c r="GW496"/>
      <c r="GX496"/>
      <c r="GY496"/>
      <c r="GZ496"/>
      <c r="HA496"/>
      <c r="HB496"/>
      <c r="HC496"/>
    </row>
    <row r="497" spans="1:211" s="7" customFormat="1">
      <c r="A497" s="4"/>
      <c r="B497" s="4"/>
      <c r="C497" s="63">
        <v>20</v>
      </c>
      <c r="D497" s="101">
        <f>SUM($Y$228:$Y$347)/$A$438</f>
        <v>0</v>
      </c>
      <c r="E497" s="97">
        <f>AA36</f>
        <v>0.41408999999999996</v>
      </c>
      <c r="F497" s="102">
        <f>+D497-D499</f>
        <v>0</v>
      </c>
      <c r="G497" s="101">
        <f>+D497*E497</f>
        <v>0</v>
      </c>
      <c r="H497" s="101"/>
      <c r="I497" s="101"/>
      <c r="J497" s="101"/>
      <c r="K497" s="101"/>
      <c r="L497" s="205"/>
      <c r="M497" s="205"/>
      <c r="N497" s="205"/>
      <c r="O497" s="205"/>
      <c r="P497" s="205"/>
      <c r="Q497" s="205"/>
      <c r="R497" s="205"/>
      <c r="S497" s="205"/>
      <c r="T497" s="205"/>
      <c r="U497" s="205"/>
      <c r="V497" s="205"/>
      <c r="W497" s="205"/>
      <c r="X497" s="205"/>
      <c r="Y497" s="205"/>
      <c r="Z497" s="205"/>
      <c r="AA497" s="4"/>
      <c r="AB497" s="4"/>
      <c r="AC497" s="4"/>
      <c r="AD497" s="4"/>
      <c r="AE497" s="4"/>
      <c r="AF497" s="81"/>
      <c r="AG497" s="81"/>
      <c r="AH497" s="81"/>
      <c r="AI497" s="4"/>
      <c r="AJ497" s="81"/>
      <c r="AK497" s="81"/>
      <c r="AL497" s="81"/>
      <c r="AM497" s="43">
        <v>481</v>
      </c>
      <c r="AN497">
        <v>44.021710189557055</v>
      </c>
      <c r="AO497">
        <v>1.0263101800876284</v>
      </c>
      <c r="AP497">
        <v>4.6774959695024521</v>
      </c>
      <c r="AQ497">
        <v>7.3914355836161709</v>
      </c>
      <c r="AR497">
        <v>0.94829279920553655</v>
      </c>
      <c r="AS497">
        <v>3.6215480253267418</v>
      </c>
      <c r="AT497" t="e">
        <v>#DIV/0!</v>
      </c>
      <c r="AU497" t="e">
        <v>#DIV/0!</v>
      </c>
      <c r="AV497"/>
      <c r="AW497"/>
      <c r="FY497" s="211">
        <v>492</v>
      </c>
      <c r="FZ497">
        <v>0.73882237464635381</v>
      </c>
      <c r="GA497">
        <v>1.2299038533016973</v>
      </c>
      <c r="GB497">
        <v>0.22867704926882573</v>
      </c>
      <c r="GC497">
        <v>0.10724447572561624</v>
      </c>
      <c r="GD497">
        <v>0.14127220958676751</v>
      </c>
      <c r="GE497">
        <v>0.21102029386537499</v>
      </c>
      <c r="GF497">
        <v>0.40076205580648128</v>
      </c>
      <c r="GG497">
        <v>0.27724879729462504</v>
      </c>
      <c r="GH497">
        <v>4.5971471670847357E-2</v>
      </c>
      <c r="GI497">
        <v>0.32475639670105538</v>
      </c>
      <c r="GJ497"/>
      <c r="GK497">
        <v>0.73636121323529402</v>
      </c>
      <c r="GL497">
        <v>1.035869025735294</v>
      </c>
      <c r="GM497">
        <v>0.37489843749999996</v>
      </c>
      <c r="GN497">
        <v>0.31430312499999996</v>
      </c>
      <c r="GO497">
        <v>0.53745937499999996</v>
      </c>
      <c r="GP497">
        <v>0.39623437500000003</v>
      </c>
      <c r="GQ497">
        <v>0.48393750000000002</v>
      </c>
      <c r="GR497">
        <v>0.38624999999999998</v>
      </c>
      <c r="GS497">
        <v>4.8587740384615385E-2</v>
      </c>
      <c r="GT497">
        <v>0.43624885322398188</v>
      </c>
      <c r="GU497"/>
      <c r="GV497"/>
      <c r="GW497"/>
      <c r="GX497"/>
      <c r="GY497"/>
      <c r="GZ497"/>
      <c r="HA497"/>
      <c r="HB497"/>
      <c r="HC497"/>
    </row>
    <row r="498" spans="1:211" s="7" customFormat="1">
      <c r="A498" s="4"/>
      <c r="B498" s="4"/>
      <c r="C498" s="63"/>
      <c r="D498" s="101"/>
      <c r="E498" s="63"/>
      <c r="F498" s="63"/>
      <c r="G498" s="101"/>
      <c r="H498" s="101">
        <f>+SQRT(E497*E499)</f>
        <v>0.42440161085933681</v>
      </c>
      <c r="I498" s="101">
        <f>+H498*F497</f>
        <v>0</v>
      </c>
      <c r="J498" s="101">
        <f>+I498*$A$440</f>
        <v>0</v>
      </c>
      <c r="K498" s="61">
        <f>IF(AND(J498&lt;0, J496&lt;0), 0, J498)</f>
        <v>0</v>
      </c>
      <c r="L498" s="205"/>
      <c r="M498" s="205"/>
      <c r="N498" s="205"/>
      <c r="O498" s="205"/>
      <c r="P498" s="205"/>
      <c r="Q498" s="205"/>
      <c r="R498" s="205"/>
      <c r="S498" s="205"/>
      <c r="T498" s="205"/>
      <c r="U498" s="205"/>
      <c r="V498" s="205"/>
      <c r="W498" s="205"/>
      <c r="X498" s="205"/>
      <c r="Y498" s="205"/>
      <c r="Z498" s="205"/>
      <c r="AA498" s="4"/>
      <c r="AB498" s="4"/>
      <c r="AC498" s="4"/>
      <c r="AD498" s="4"/>
      <c r="AE498" s="4"/>
      <c r="AF498" s="81"/>
      <c r="AG498" s="81"/>
      <c r="AH498" s="81"/>
      <c r="AI498" s="4"/>
      <c r="AJ498" s="81"/>
      <c r="AK498" s="81"/>
      <c r="AL498" s="81"/>
      <c r="AM498" s="43">
        <v>482</v>
      </c>
      <c r="AN498">
        <v>34.341929889755974</v>
      </c>
      <c r="AO498">
        <v>0.63032941833890754</v>
      </c>
      <c r="AP498">
        <v>6.4643312738518262</v>
      </c>
      <c r="AQ498">
        <v>4.6899897435187539</v>
      </c>
      <c r="AR498">
        <v>0.60279892488851727</v>
      </c>
      <c r="AS498">
        <v>2.9752189798384707</v>
      </c>
      <c r="AT498" t="e">
        <v>#DIV/0!</v>
      </c>
      <c r="AU498" t="e">
        <v>#DIV/0!</v>
      </c>
      <c r="AV498"/>
      <c r="AW498"/>
      <c r="FY498" s="211">
        <v>493</v>
      </c>
      <c r="FZ498">
        <v>0.9282405904535953</v>
      </c>
      <c r="GA498">
        <v>1.2428464861951678</v>
      </c>
      <c r="GB498">
        <v>1.4277709808600589</v>
      </c>
      <c r="GC498">
        <v>0.76422386057256353</v>
      </c>
      <c r="GD498">
        <v>0.10353814560481175</v>
      </c>
      <c r="GE498">
        <v>0.1020805491843</v>
      </c>
      <c r="GF498">
        <v>0.9090953625792253</v>
      </c>
      <c r="GG498">
        <v>0.86945443224236063</v>
      </c>
      <c r="GH498">
        <v>0.22255459596614241</v>
      </c>
      <c r="GI498">
        <v>0.74361024489900207</v>
      </c>
      <c r="GJ498"/>
      <c r="GK498">
        <v>0.92507812499999997</v>
      </c>
      <c r="GL498">
        <v>1.0466835937500001</v>
      </c>
      <c r="GM498">
        <v>2.3443291903409094</v>
      </c>
      <c r="GN498">
        <v>2.2440464894480519</v>
      </c>
      <c r="GO498">
        <v>0.3943540178571428</v>
      </c>
      <c r="GP498">
        <v>0.1918125</v>
      </c>
      <c r="GQ498">
        <v>1.0963777173913045</v>
      </c>
      <c r="GR498">
        <v>1.2097839673913044</v>
      </c>
      <c r="GS498">
        <v>0.23538762019230769</v>
      </c>
      <c r="GT498">
        <v>0.99910533415633274</v>
      </c>
      <c r="GU498"/>
      <c r="GV498"/>
      <c r="GW498"/>
      <c r="GX498"/>
      <c r="GY498"/>
      <c r="GZ498"/>
      <c r="HA498"/>
      <c r="HB498"/>
      <c r="HC498"/>
    </row>
    <row r="499" spans="1:211" s="7" customFormat="1">
      <c r="A499" s="4"/>
      <c r="B499" s="4"/>
      <c r="C499" s="63">
        <v>21</v>
      </c>
      <c r="D499" s="101">
        <f>SUM($Z$228:$Z$347)/$A$438</f>
        <v>0</v>
      </c>
      <c r="E499" s="97">
        <f>AB36</f>
        <v>0.43496999999999997</v>
      </c>
      <c r="F499" s="102">
        <f>+D499-D501</f>
        <v>0</v>
      </c>
      <c r="G499" s="101">
        <f>+D499*E499</f>
        <v>0</v>
      </c>
      <c r="H499" s="101"/>
      <c r="I499" s="101"/>
      <c r="J499" s="101"/>
      <c r="K499" s="101"/>
      <c r="L499" s="205"/>
      <c r="M499" s="205"/>
      <c r="N499" s="205"/>
      <c r="O499" s="205"/>
      <c r="P499" s="205"/>
      <c r="Q499" s="205"/>
      <c r="R499" s="205"/>
      <c r="S499" s="205"/>
      <c r="T499" s="205"/>
      <c r="U499" s="205"/>
      <c r="V499" s="205"/>
      <c r="W499" s="205"/>
      <c r="X499" s="205"/>
      <c r="Y499" s="205"/>
      <c r="Z499" s="205"/>
      <c r="AA499" s="4"/>
      <c r="AB499" s="4"/>
      <c r="AC499" s="4"/>
      <c r="AD499" s="4"/>
      <c r="AE499" s="4"/>
      <c r="AF499" s="81"/>
      <c r="AG499" s="81"/>
      <c r="AH499" s="81"/>
      <c r="AI499" s="4"/>
      <c r="AJ499" s="81"/>
      <c r="AK499" s="81"/>
      <c r="AL499" s="81"/>
      <c r="AM499" s="43">
        <v>483</v>
      </c>
      <c r="AN499">
        <v>17.439122886473424</v>
      </c>
      <c r="AO499">
        <v>0.38567631453804341</v>
      </c>
      <c r="AP499">
        <v>0.28435520851523943</v>
      </c>
      <c r="AQ499">
        <v>2.4036782828510868</v>
      </c>
      <c r="AR499">
        <v>0.35423699048913043</v>
      </c>
      <c r="AS499">
        <v>1.501925602611021</v>
      </c>
      <c r="AT499" t="e">
        <v>#DIV/0!</v>
      </c>
      <c r="AU499" t="e">
        <v>#DIV/0!</v>
      </c>
      <c r="AV499"/>
      <c r="AW499"/>
      <c r="FY499" s="211">
        <v>494</v>
      </c>
      <c r="FZ499">
        <v>0.64850464359192661</v>
      </c>
      <c r="GA499">
        <v>1.338088082448138</v>
      </c>
      <c r="GB499">
        <v>2.2645506366540209</v>
      </c>
      <c r="GC499">
        <v>1.3858865994229723</v>
      </c>
      <c r="GD499">
        <v>0.29813811669928603</v>
      </c>
      <c r="GE499">
        <v>9.8229387997349982E-2</v>
      </c>
      <c r="GF499">
        <v>0.33409761863227821</v>
      </c>
      <c r="GG499">
        <v>0.39070597101659427</v>
      </c>
      <c r="GH499">
        <v>0.15603164258923619</v>
      </c>
      <c r="GI499">
        <v>0.90295813597468511</v>
      </c>
      <c r="GJ499"/>
      <c r="GK499">
        <v>0.64626562499999995</v>
      </c>
      <c r="GL499">
        <v>1.1267109375</v>
      </c>
      <c r="GM499">
        <v>3.7178316761363632</v>
      </c>
      <c r="GN499">
        <v>4.0672975243506491</v>
      </c>
      <c r="GO499">
        <v>1.1340361607142857</v>
      </c>
      <c r="GP499">
        <v>0.18459374999999997</v>
      </c>
      <c r="GQ499">
        <v>0.40278260869565213</v>
      </c>
      <c r="GR499">
        <v>0.54351177536231876</v>
      </c>
      <c r="GS499">
        <v>0.16502303685897435</v>
      </c>
      <c r="GT499">
        <v>1.2131878214810552</v>
      </c>
      <c r="GU499"/>
      <c r="GV499"/>
      <c r="GW499"/>
      <c r="GX499"/>
      <c r="GY499"/>
      <c r="GZ499"/>
      <c r="HA499"/>
      <c r="HB499"/>
      <c r="HC499"/>
    </row>
    <row r="500" spans="1:211" s="7" customFormat="1">
      <c r="A500" s="4"/>
      <c r="B500" s="4"/>
      <c r="C500" s="63"/>
      <c r="D500" s="101"/>
      <c r="E500" s="106"/>
      <c r="F500" s="63"/>
      <c r="G500" s="101"/>
      <c r="H500" s="101">
        <f>+SQRT(E499*E501)</f>
        <v>0.44528763120032877</v>
      </c>
      <c r="I500" s="101">
        <f>+H500*F499</f>
        <v>0</v>
      </c>
      <c r="J500" s="101">
        <f>+I500*$A$440</f>
        <v>0</v>
      </c>
      <c r="K500" s="61">
        <f>IF(AND(J500&lt;0, J498&lt;0), 0, J500)</f>
        <v>0</v>
      </c>
      <c r="L500" s="205"/>
      <c r="M500" s="205"/>
      <c r="N500" s="205"/>
      <c r="O500" s="205"/>
      <c r="P500" s="205"/>
      <c r="Q500" s="205"/>
      <c r="R500" s="205"/>
      <c r="S500" s="205"/>
      <c r="T500" s="205"/>
      <c r="U500" s="205"/>
      <c r="V500" s="205"/>
      <c r="W500" s="205"/>
      <c r="X500" s="205"/>
      <c r="Y500" s="205"/>
      <c r="Z500" s="205"/>
      <c r="AA500" s="4"/>
      <c r="AB500" s="4"/>
      <c r="AC500" s="4"/>
      <c r="AD500" s="4"/>
      <c r="AE500" s="4"/>
      <c r="AF500" s="81"/>
      <c r="AG500" s="81"/>
      <c r="AH500" s="81"/>
      <c r="AI500" s="4"/>
      <c r="AJ500" s="81"/>
      <c r="AK500" s="81"/>
      <c r="AL500" s="81"/>
      <c r="AM500" s="43">
        <v>484</v>
      </c>
      <c r="AN500">
        <v>56.697615690646373</v>
      </c>
      <c r="AO500">
        <v>1.2229580115827265</v>
      </c>
      <c r="AP500">
        <v>6.8545766143960511</v>
      </c>
      <c r="AQ500">
        <v>7.9755014217420861</v>
      </c>
      <c r="AR500">
        <v>1.123441396019262</v>
      </c>
      <c r="AS500">
        <v>4.3600236119379803</v>
      </c>
      <c r="AT500" t="e">
        <v>#DIV/0!</v>
      </c>
      <c r="AU500" t="e">
        <v>#DIV/0!</v>
      </c>
      <c r="AV500"/>
      <c r="AW500"/>
      <c r="FY500" s="211">
        <v>495</v>
      </c>
      <c r="FZ500">
        <v>0.55039915613417345</v>
      </c>
      <c r="GA500">
        <v>1.0322444264004176</v>
      </c>
      <c r="GB500">
        <v>1.1136075885451722</v>
      </c>
      <c r="GC500">
        <v>0.55850464853805204</v>
      </c>
      <c r="GD500">
        <v>0.1217315269082925</v>
      </c>
      <c r="GE500">
        <v>0.15984126213637501</v>
      </c>
      <c r="GF500">
        <v>0.85420250751914373</v>
      </c>
      <c r="GG500">
        <v>0.8065791669585316</v>
      </c>
      <c r="GH500">
        <v>0.1330459067538125</v>
      </c>
      <c r="GI500">
        <v>0.59716990772774137</v>
      </c>
      <c r="GJ500"/>
      <c r="GK500">
        <v>0.54848437499999991</v>
      </c>
      <c r="GL500">
        <v>0.86930859375000002</v>
      </c>
      <c r="GM500">
        <v>1.8280259232954545</v>
      </c>
      <c r="GN500">
        <v>1.6392392045454545</v>
      </c>
      <c r="GO500">
        <v>0.46330312500000004</v>
      </c>
      <c r="GP500">
        <v>0.300421875</v>
      </c>
      <c r="GQ500">
        <v>1.0310013586956519</v>
      </c>
      <c r="GR500">
        <v>1.1228867753623186</v>
      </c>
      <c r="GS500">
        <v>0.14072916666666666</v>
      </c>
      <c r="GT500">
        <v>0.80230878973155462</v>
      </c>
      <c r="GU500"/>
      <c r="GV500"/>
      <c r="GW500"/>
      <c r="GX500"/>
      <c r="GY500"/>
      <c r="GZ500"/>
      <c r="HA500"/>
      <c r="HB500"/>
      <c r="HC500"/>
    </row>
    <row r="501" spans="1:211" s="7" customFormat="1">
      <c r="A501" s="4"/>
      <c r="B501" s="4"/>
      <c r="C501" s="63">
        <v>22</v>
      </c>
      <c r="D501" s="101">
        <f>SUM($AA$228:$AA$347)/$A$438</f>
        <v>0</v>
      </c>
      <c r="E501" s="97">
        <f>AC36</f>
        <v>0.45584999999999998</v>
      </c>
      <c r="F501" s="102">
        <f>+D501-D503</f>
        <v>0</v>
      </c>
      <c r="G501" s="101">
        <f>+D501*E501</f>
        <v>0</v>
      </c>
      <c r="H501" s="101"/>
      <c r="I501" s="101"/>
      <c r="J501" s="101"/>
      <c r="K501" s="101"/>
      <c r="L501" s="205"/>
      <c r="M501" s="205"/>
      <c r="N501" s="205"/>
      <c r="O501" s="205"/>
      <c r="P501" s="205"/>
      <c r="Q501" s="205"/>
      <c r="R501" s="205"/>
      <c r="S501" s="205"/>
      <c r="T501" s="205"/>
      <c r="U501" s="205"/>
      <c r="V501" s="205"/>
      <c r="W501" s="205"/>
      <c r="X501" s="205"/>
      <c r="Y501" s="205"/>
      <c r="Z501" s="205"/>
      <c r="AA501" s="4"/>
      <c r="AB501" s="4"/>
      <c r="AC501" s="4"/>
      <c r="AD501" s="4"/>
      <c r="AE501" s="4"/>
      <c r="AF501" s="81"/>
      <c r="AG501" s="81"/>
      <c r="AH501" s="81"/>
      <c r="AI501" s="4"/>
      <c r="AJ501" s="81"/>
      <c r="AK501" s="81"/>
      <c r="AL501" s="81"/>
      <c r="AM501" s="43">
        <v>485</v>
      </c>
      <c r="AN501">
        <v>41.048450854700846</v>
      </c>
      <c r="AO501">
        <v>1.0215660144230767</v>
      </c>
      <c r="AP501">
        <v>1.375717172675389</v>
      </c>
      <c r="AQ501">
        <v>6.4039246588651677</v>
      </c>
      <c r="AR501">
        <v>0.9490157058566433</v>
      </c>
      <c r="AS501">
        <v>3.1996891346268788</v>
      </c>
      <c r="AT501" t="e">
        <v>#DIV/0!</v>
      </c>
      <c r="AU501" t="e">
        <v>#DIV/0!</v>
      </c>
      <c r="AV501"/>
      <c r="AW501"/>
      <c r="FY501" s="211">
        <v>496</v>
      </c>
      <c r="FZ501">
        <v>0.1398880489658203</v>
      </c>
      <c r="GA501">
        <v>0.49069368004091124</v>
      </c>
      <c r="GB501">
        <v>0.95481055437500739</v>
      </c>
      <c r="GC501">
        <v>0.54293260449695258</v>
      </c>
      <c r="GD501">
        <v>0.1795433745715618</v>
      </c>
      <c r="GE501">
        <v>0.16653080081070001</v>
      </c>
      <c r="GF501">
        <v>0.20038102790324064</v>
      </c>
      <c r="GG501">
        <v>0.23978821552359375</v>
      </c>
      <c r="GH501">
        <v>0.1330459067538125</v>
      </c>
      <c r="GI501">
        <v>0.41281752088205048</v>
      </c>
      <c r="GJ501"/>
      <c r="GK501">
        <v>0.13945312499999998</v>
      </c>
      <c r="GL501">
        <v>0.41312109374999995</v>
      </c>
      <c r="GM501">
        <v>1.5672368607954545</v>
      </c>
      <c r="GN501">
        <v>1.5937979099025974</v>
      </c>
      <c r="GO501">
        <v>0.68404151785714284</v>
      </c>
      <c r="GP501">
        <v>0.31312499999999999</v>
      </c>
      <c r="GQ501">
        <v>0.24196875000000001</v>
      </c>
      <c r="GR501">
        <v>0.33385416666666667</v>
      </c>
      <c r="GS501">
        <v>0.14072916666666666</v>
      </c>
      <c r="GT501">
        <v>0.55468588406385266</v>
      </c>
      <c r="GU501"/>
      <c r="GV501"/>
      <c r="GW501"/>
      <c r="GX501"/>
      <c r="GY501"/>
      <c r="GZ501"/>
      <c r="HA501"/>
      <c r="HB501"/>
      <c r="HC501"/>
    </row>
    <row r="502" spans="1:211" s="7" customFormat="1">
      <c r="A502" s="4"/>
      <c r="B502" s="4"/>
      <c r="C502" s="63"/>
      <c r="D502" s="101"/>
      <c r="E502" s="63"/>
      <c r="F502" s="63"/>
      <c r="G502" s="101"/>
      <c r="H502" s="101">
        <f>+SQRT(E501*E503)</f>
        <v>0.46617311215899188</v>
      </c>
      <c r="I502" s="101">
        <f>+H502*F501</f>
        <v>0</v>
      </c>
      <c r="J502" s="101">
        <f>+I502*$A$440</f>
        <v>0</v>
      </c>
      <c r="K502" s="61">
        <f>IF(AND(J502&lt;0, J500&lt;0), 0, J502)</f>
        <v>0</v>
      </c>
      <c r="L502" s="205"/>
      <c r="M502" s="205"/>
      <c r="N502" s="205"/>
      <c r="O502" s="205"/>
      <c r="P502" s="205"/>
      <c r="Q502" s="205"/>
      <c r="R502" s="205"/>
      <c r="S502" s="205"/>
      <c r="T502" s="205"/>
      <c r="U502" s="205"/>
      <c r="V502" s="205"/>
      <c r="W502" s="205"/>
      <c r="X502" s="205"/>
      <c r="Y502" s="205"/>
      <c r="Z502" s="205"/>
      <c r="AA502" s="4"/>
      <c r="AB502" s="4"/>
      <c r="AC502" s="4"/>
      <c r="AD502" s="4"/>
      <c r="AE502" s="4"/>
      <c r="AF502" s="81"/>
      <c r="AG502" s="81"/>
      <c r="AH502" s="81"/>
      <c r="AI502" s="4"/>
      <c r="AJ502" s="81"/>
      <c r="AK502" s="81"/>
      <c r="AL502" s="81"/>
      <c r="AM502" s="43">
        <v>486</v>
      </c>
      <c r="AN502">
        <v>32.22731348763957</v>
      </c>
      <c r="AO502">
        <v>0.76263228143414552</v>
      </c>
      <c r="AP502">
        <v>10.451456349630472</v>
      </c>
      <c r="AQ502">
        <v>5.3813927339022136</v>
      </c>
      <c r="AR502">
        <v>0.71220777770237009</v>
      </c>
      <c r="AS502">
        <v>2.5408526354064422</v>
      </c>
      <c r="AT502" t="e">
        <v>#DIV/0!</v>
      </c>
      <c r="AU502" t="e">
        <v>#DIV/0!</v>
      </c>
      <c r="AV502"/>
      <c r="AW502"/>
      <c r="FY502" s="211">
        <v>497</v>
      </c>
      <c r="FZ502">
        <v>1.5612098723088417</v>
      </c>
      <c r="GA502">
        <v>1.6063321794431307</v>
      </c>
      <c r="GB502">
        <v>1.5606071821582241</v>
      </c>
      <c r="GC502">
        <v>1.2947220617445683</v>
      </c>
      <c r="GD502">
        <v>0.4172315442208876</v>
      </c>
      <c r="GE502">
        <v>0.16755145515584996</v>
      </c>
      <c r="GF502">
        <v>0.82805716775636906</v>
      </c>
      <c r="GG502">
        <v>0.71770870692793864</v>
      </c>
      <c r="GH502">
        <v>4.5971471670847357E-2</v>
      </c>
      <c r="GI502">
        <v>1.0052193382665915</v>
      </c>
      <c r="GJ502"/>
      <c r="GK502">
        <v>1.5560661764705879</v>
      </c>
      <c r="GL502">
        <v>1.3531911764705882</v>
      </c>
      <c r="GM502">
        <v>2.5623487215909093</v>
      </c>
      <c r="GN502">
        <v>3.7981143465909089</v>
      </c>
      <c r="GO502">
        <v>1.5868593750000002</v>
      </c>
      <c r="GP502">
        <v>0.31490624999999994</v>
      </c>
      <c r="GQ502">
        <v>0.99869021739130437</v>
      </c>
      <c r="GR502">
        <v>0.99869021739130437</v>
      </c>
      <c r="GS502">
        <v>4.8587740384615385E-2</v>
      </c>
      <c r="GT502">
        <v>1.3505104461674833</v>
      </c>
      <c r="GU502"/>
      <c r="GV502"/>
      <c r="GW502"/>
      <c r="GX502"/>
      <c r="GY502"/>
      <c r="GZ502"/>
      <c r="HA502"/>
      <c r="HB502"/>
      <c r="HC502"/>
    </row>
    <row r="503" spans="1:211" s="7" customFormat="1">
      <c r="A503" s="4"/>
      <c r="B503" s="4"/>
      <c r="C503" s="100">
        <v>23</v>
      </c>
      <c r="D503" s="101">
        <f>SUM($AB$228:$AB$347)/$A$438</f>
        <v>0</v>
      </c>
      <c r="E503" s="97">
        <f>+AD36</f>
        <v>0.47672999999999999</v>
      </c>
      <c r="F503" s="102">
        <f>+D503-D505</f>
        <v>0</v>
      </c>
      <c r="G503" s="101">
        <f>+D503*E503</f>
        <v>0</v>
      </c>
      <c r="H503" s="101"/>
      <c r="I503" s="101"/>
      <c r="J503" s="101"/>
      <c r="K503" s="101"/>
      <c r="L503" s="205"/>
      <c r="M503" s="205"/>
      <c r="N503" s="205"/>
      <c r="O503" s="205"/>
      <c r="P503" s="205"/>
      <c r="Q503" s="205"/>
      <c r="R503" s="205"/>
      <c r="S503" s="205"/>
      <c r="T503" s="205"/>
      <c r="U503" s="205"/>
      <c r="V503" s="205"/>
      <c r="W503" s="205"/>
      <c r="X503" s="205"/>
      <c r="Y503" s="205"/>
      <c r="Z503" s="205"/>
      <c r="AA503" s="4"/>
      <c r="AB503" s="4"/>
      <c r="AC503" s="4"/>
      <c r="AD503" s="4"/>
      <c r="AE503" s="4"/>
      <c r="AF503" s="81"/>
      <c r="AG503" s="81"/>
      <c r="AH503" s="81"/>
      <c r="AI503" s="4"/>
      <c r="AJ503" s="81"/>
      <c r="AK503" s="81"/>
      <c r="AL503" s="81"/>
      <c r="AM503" s="43">
        <v>487</v>
      </c>
      <c r="AN503">
        <v>30.148998397435889</v>
      </c>
      <c r="AO503">
        <v>0.84156574639423065</v>
      </c>
      <c r="AP503">
        <v>1.8781890963934242</v>
      </c>
      <c r="AQ503">
        <v>5.3714717580395952</v>
      </c>
      <c r="AR503">
        <v>0.78255184768356623</v>
      </c>
      <c r="AS503">
        <v>2.8319659534566148</v>
      </c>
      <c r="AT503" t="e">
        <v>#DIV/0!</v>
      </c>
      <c r="AU503" t="e">
        <v>#DIV/0!</v>
      </c>
      <c r="AV503"/>
      <c r="AW503"/>
      <c r="FY503" s="211">
        <v>498</v>
      </c>
      <c r="FZ503">
        <v>1.0494961474089604</v>
      </c>
      <c r="GA503">
        <v>1.3567804394117173</v>
      </c>
      <c r="GB503">
        <v>1.4804064685633078</v>
      </c>
      <c r="GC503">
        <v>0.95116964825453842</v>
      </c>
      <c r="GD503">
        <v>0.20785634846873674</v>
      </c>
      <c r="GE503">
        <v>0.1020805491843</v>
      </c>
      <c r="GF503">
        <v>0.57499774394694703</v>
      </c>
      <c r="GG503">
        <v>0.4281665527876255</v>
      </c>
      <c r="GH503">
        <v>2.2985735835423678E-2</v>
      </c>
      <c r="GI503">
        <v>0.74201172900023571</v>
      </c>
      <c r="GJ503"/>
      <c r="GK503">
        <v>1.0459518382352941</v>
      </c>
      <c r="GL503">
        <v>1.1425846507352941</v>
      </c>
      <c r="GM503">
        <v>2.4302940340909092</v>
      </c>
      <c r="GN503">
        <v>2.7909214894480519</v>
      </c>
      <c r="GO503">
        <v>0.79044776785714266</v>
      </c>
      <c r="GP503">
        <v>0.1918125</v>
      </c>
      <c r="GQ503">
        <v>0.69359510869565222</v>
      </c>
      <c r="GR503">
        <v>0.59590760869565207</v>
      </c>
      <c r="GS503">
        <v>2.4293870192307693E-2</v>
      </c>
      <c r="GT503">
        <v>0.99691652381426121</v>
      </c>
      <c r="GU503"/>
      <c r="GV503"/>
      <c r="GW503"/>
      <c r="GX503"/>
      <c r="GY503"/>
      <c r="GZ503"/>
      <c r="HA503"/>
      <c r="HB503"/>
      <c r="HC503"/>
    </row>
    <row r="504" spans="1:211" s="7" customFormat="1">
      <c r="A504" s="4"/>
      <c r="B504" s="4"/>
      <c r="C504" s="104"/>
      <c r="D504" s="101"/>
      <c r="E504" s="63"/>
      <c r="F504" s="63"/>
      <c r="G504" s="101"/>
      <c r="H504" s="101">
        <f>+SQRT(E503*E505)</f>
        <v>0.48705812312289792</v>
      </c>
      <c r="I504" s="101">
        <f>+H504*F503</f>
        <v>0</v>
      </c>
      <c r="J504" s="101">
        <f>+I504*$A$440</f>
        <v>0</v>
      </c>
      <c r="K504" s="61">
        <f>IF(AND(J504&lt;0, J502&lt;0), 0, J504)</f>
        <v>0</v>
      </c>
      <c r="L504" s="205"/>
      <c r="M504" s="205"/>
      <c r="N504" s="205"/>
      <c r="O504" s="205"/>
      <c r="P504" s="205"/>
      <c r="Q504" s="205"/>
      <c r="R504" s="205"/>
      <c r="S504" s="205"/>
      <c r="T504" s="205"/>
      <c r="U504" s="205"/>
      <c r="V504" s="205"/>
      <c r="W504" s="205"/>
      <c r="X504" s="205"/>
      <c r="Y504" s="205"/>
      <c r="Z504" s="205"/>
      <c r="AA504" s="4"/>
      <c r="AB504" s="4"/>
      <c r="AC504" s="4"/>
      <c r="AD504" s="4"/>
      <c r="AE504" s="4"/>
      <c r="AF504" s="81"/>
      <c r="AG504" s="81"/>
      <c r="AH504" s="81"/>
      <c r="AI504" s="4"/>
      <c r="AJ504" s="81"/>
      <c r="AK504" s="81"/>
      <c r="AL504" s="81"/>
      <c r="AM504" s="43">
        <v>488</v>
      </c>
      <c r="AN504">
        <v>52.10442020105144</v>
      </c>
      <c r="AO504">
        <v>1.2374534847746159</v>
      </c>
      <c r="AP504">
        <v>31.061433552269897</v>
      </c>
      <c r="AQ504">
        <v>9.8462423948327427</v>
      </c>
      <c r="AR504">
        <v>1.1249577134314694</v>
      </c>
      <c r="AS504">
        <v>4.3370956613018281</v>
      </c>
      <c r="AT504" t="e">
        <v>#DIV/0!</v>
      </c>
      <c r="AU504" t="e">
        <v>#DIV/0!</v>
      </c>
      <c r="AV504"/>
      <c r="AW504"/>
      <c r="FY504" s="211">
        <v>499</v>
      </c>
      <c r="FZ504">
        <v>0.38516615818957689</v>
      </c>
      <c r="GA504">
        <v>1.2220905660740469</v>
      </c>
      <c r="GB504">
        <v>1.1187765513582959</v>
      </c>
      <c r="GC504">
        <v>0.84798507092936681</v>
      </c>
      <c r="GD504">
        <v>0.42045552776859102</v>
      </c>
      <c r="GE504">
        <v>0.12424440262320001</v>
      </c>
      <c r="GF504">
        <v>0.70871433467598444</v>
      </c>
      <c r="GG504">
        <v>0.62966621671876666</v>
      </c>
      <c r="GH504">
        <v>8.9508689212329934E-2</v>
      </c>
      <c r="GI504">
        <v>0.70999804457800331</v>
      </c>
      <c r="GJ504"/>
      <c r="GK504">
        <v>0.38379374999999999</v>
      </c>
      <c r="GL504">
        <v>1.0290984375000001</v>
      </c>
      <c r="GM504">
        <v>1.8361782670454545</v>
      </c>
      <c r="GN504">
        <v>2.4857284902597399</v>
      </c>
      <c r="GO504">
        <v>1.5989799107142855</v>
      </c>
      <c r="GP504">
        <v>0.23343749999999999</v>
      </c>
      <c r="GQ504">
        <v>0.85440896739130423</v>
      </c>
      <c r="GR504">
        <v>0.87592980072463755</v>
      </c>
      <c r="GS504">
        <v>9.465845352564102E-2</v>
      </c>
      <c r="GT504">
        <v>0.95360386973533706</v>
      </c>
      <c r="GU504"/>
      <c r="GV504"/>
      <c r="GW504"/>
      <c r="GX504"/>
      <c r="GY504"/>
      <c r="GZ504"/>
      <c r="HA504"/>
      <c r="HB504"/>
      <c r="HC504"/>
    </row>
    <row r="505" spans="1:211" s="7" customFormat="1">
      <c r="A505" s="4"/>
      <c r="B505" s="4"/>
      <c r="C505" s="63">
        <v>24</v>
      </c>
      <c r="D505" s="101">
        <f>SUM($AC$228:$AC$347)/$A$438</f>
        <v>0</v>
      </c>
      <c r="E505" s="97">
        <f>+AE36</f>
        <v>0.49760999999999994</v>
      </c>
      <c r="F505" s="102">
        <f>+D505-D507</f>
        <v>0</v>
      </c>
      <c r="G505" s="101">
        <f>+D505*E505</f>
        <v>0</v>
      </c>
      <c r="H505" s="101"/>
      <c r="I505" s="101"/>
      <c r="J505" s="101"/>
      <c r="K505" s="101"/>
      <c r="L505" s="205"/>
      <c r="M505" s="205"/>
      <c r="N505" s="205"/>
      <c r="O505" s="205"/>
      <c r="P505" s="205"/>
      <c r="Q505" s="205"/>
      <c r="R505" s="205"/>
      <c r="S505" s="205"/>
      <c r="T505" s="205"/>
      <c r="U505" s="205"/>
      <c r="V505" s="205"/>
      <c r="W505" s="205"/>
      <c r="X505" s="205"/>
      <c r="Y505" s="205"/>
      <c r="Z505" s="205"/>
      <c r="AA505" s="4"/>
      <c r="AB505" s="4"/>
      <c r="AC505" s="4"/>
      <c r="AD505" s="4"/>
      <c r="AE505" s="4"/>
      <c r="AF505" s="81"/>
      <c r="AG505" s="81"/>
      <c r="AH505" s="81"/>
      <c r="AI505" s="4"/>
      <c r="AJ505" s="81"/>
      <c r="AK505" s="81"/>
      <c r="AL505" s="81"/>
      <c r="AM505" s="43">
        <v>489</v>
      </c>
      <c r="AN505">
        <v>52.676727713800119</v>
      </c>
      <c r="AO505">
        <v>1.0709553825606537</v>
      </c>
      <c r="AP505">
        <v>12.833060691382476</v>
      </c>
      <c r="AQ505">
        <v>7.574022852493397</v>
      </c>
      <c r="AR505">
        <v>0.99108788056213282</v>
      </c>
      <c r="AS505">
        <v>4.3316567909432635</v>
      </c>
      <c r="AT505" t="e">
        <v>#DIV/0!</v>
      </c>
      <c r="AU505" t="e">
        <v>#DIV/0!</v>
      </c>
      <c r="AV505"/>
      <c r="AW505"/>
      <c r="FY505" s="211">
        <v>500</v>
      </c>
      <c r="FZ505">
        <v>1.4727756210009666</v>
      </c>
      <c r="GA505">
        <v>1.897375119404034</v>
      </c>
      <c r="GB505">
        <v>1.3706377509185435</v>
      </c>
      <c r="GC505">
        <v>1.1278632891883165</v>
      </c>
      <c r="GD505">
        <v>0.50323641560700094</v>
      </c>
      <c r="GE505">
        <v>0.23794810538512495</v>
      </c>
      <c r="GF505">
        <v>0.49395954912409079</v>
      </c>
      <c r="GG505">
        <v>0.57991227810204737</v>
      </c>
      <c r="GH505">
        <v>0.22255459596614241</v>
      </c>
      <c r="GI505">
        <v>0.96221465762425185</v>
      </c>
      <c r="GJ505"/>
      <c r="GK505">
        <v>1.4676674632352937</v>
      </c>
      <c r="GL505">
        <v>1.5977924632352938</v>
      </c>
      <c r="GM505">
        <v>2.2501534090909088</v>
      </c>
      <c r="GN505">
        <v>3.3080364448051949</v>
      </c>
      <c r="GO505">
        <v>1.9138674107142855</v>
      </c>
      <c r="GP505">
        <v>0.44695312499999995</v>
      </c>
      <c r="GQ505">
        <v>0.59590760869565207</v>
      </c>
      <c r="GR505">
        <v>0.80700135869565215</v>
      </c>
      <c r="GS505">
        <v>0.23538762019230769</v>
      </c>
      <c r="GT505">
        <v>1.2925967023856897</v>
      </c>
      <c r="GU505"/>
      <c r="GV505"/>
      <c r="GW505"/>
      <c r="GX505"/>
      <c r="GY505"/>
      <c r="GZ505"/>
      <c r="HA505"/>
      <c r="HB505"/>
      <c r="HC505"/>
    </row>
    <row r="506" spans="1:211" s="7" customFormat="1">
      <c r="A506" s="4"/>
      <c r="B506" s="4"/>
      <c r="C506" s="63" t="s">
        <v>99</v>
      </c>
      <c r="D506" s="101"/>
      <c r="E506" s="63"/>
      <c r="F506" s="63"/>
      <c r="G506" s="101"/>
      <c r="H506" s="101">
        <f>+SQRT(E505*E507)</f>
        <v>0.50794272206617941</v>
      </c>
      <c r="I506" s="101">
        <f>+H506*F505</f>
        <v>0</v>
      </c>
      <c r="J506" s="101">
        <f>+I506*$A$440</f>
        <v>0</v>
      </c>
      <c r="K506" s="61">
        <f>IF(AND(J506&lt;0, J504&lt;0), 0, J506)</f>
        <v>0</v>
      </c>
      <c r="L506" s="205"/>
      <c r="M506" s="205"/>
      <c r="N506" s="205"/>
      <c r="O506" s="205"/>
      <c r="P506" s="205"/>
      <c r="Q506" s="205"/>
      <c r="R506" s="205"/>
      <c r="S506" s="205"/>
      <c r="T506" s="205"/>
      <c r="U506" s="205"/>
      <c r="V506" s="205"/>
      <c r="W506" s="205"/>
      <c r="X506" s="205"/>
      <c r="Y506" s="205"/>
      <c r="Z506" s="205"/>
      <c r="AA506" s="4"/>
      <c r="AB506" s="4"/>
      <c r="AC506" s="4"/>
      <c r="AD506" s="4"/>
      <c r="AE506" s="4"/>
      <c r="AF506" s="81"/>
      <c r="AG506" s="81"/>
      <c r="AH506" s="81"/>
      <c r="AI506" s="4"/>
      <c r="AJ506" s="81"/>
      <c r="AK506" s="81"/>
      <c r="AL506" s="81"/>
      <c r="AM506" s="43">
        <v>490</v>
      </c>
      <c r="AN506">
        <v>50.847155907374081</v>
      </c>
      <c r="AO506">
        <v>1.168230477070364</v>
      </c>
      <c r="AP506">
        <v>1.3350669821657761</v>
      </c>
      <c r="AQ506">
        <v>8.3525228606879622</v>
      </c>
      <c r="AR506">
        <v>1.0787248764450861</v>
      </c>
      <c r="AS506">
        <v>4.2544458449110287</v>
      </c>
      <c r="AT506" t="e">
        <v>#DIV/0!</v>
      </c>
      <c r="AU506" t="e">
        <v>#DIV/0!</v>
      </c>
      <c r="AV506"/>
      <c r="AW506"/>
      <c r="FY506" s="211">
        <v>501</v>
      </c>
      <c r="FZ506">
        <v>1.2638652118905265</v>
      </c>
      <c r="GA506">
        <v>1.7253760125944213</v>
      </c>
      <c r="GB506">
        <v>0.47291038281521713</v>
      </c>
      <c r="GC506">
        <v>0.98455969224344375</v>
      </c>
      <c r="GD506">
        <v>0.69375267248343753</v>
      </c>
      <c r="GE506">
        <v>0.23108890988835001</v>
      </c>
      <c r="GF506">
        <v>0.41513581345513451</v>
      </c>
      <c r="GG506">
        <v>0.34012406257845362</v>
      </c>
      <c r="GH506">
        <v>6.6522953376906252E-2</v>
      </c>
      <c r="GI506">
        <v>0.78099575014164058</v>
      </c>
      <c r="GJ506"/>
      <c r="GK506">
        <v>1.2592893382352939</v>
      </c>
      <c r="GL506">
        <v>1.4530237132352939</v>
      </c>
      <c r="GM506">
        <v>0.77607812499999995</v>
      </c>
      <c r="GN506">
        <v>2.8836718750000001</v>
      </c>
      <c r="GO506">
        <v>2.6379843749999998</v>
      </c>
      <c r="GP506">
        <v>0.43434375000000003</v>
      </c>
      <c r="GQ506">
        <v>0.50047010869565223</v>
      </c>
      <c r="GR506">
        <v>0.47314719202898542</v>
      </c>
      <c r="GS506">
        <v>7.0364583333333328E-2</v>
      </c>
      <c r="GT506">
        <v>1.0488373060528557</v>
      </c>
      <c r="GU506"/>
      <c r="GV506"/>
      <c r="GW506"/>
      <c r="GX506"/>
      <c r="GY506"/>
      <c r="GZ506"/>
      <c r="HA506"/>
      <c r="HB506"/>
      <c r="HC506"/>
    </row>
    <row r="507" spans="1:211" s="7" customFormat="1">
      <c r="A507" s="4"/>
      <c r="B507" s="4"/>
      <c r="C507" s="63">
        <v>25</v>
      </c>
      <c r="D507" s="101">
        <f>SUM($AD$228:$AD$347)/$A$438</f>
        <v>0</v>
      </c>
      <c r="E507" s="97">
        <f>+AF36</f>
        <v>0.51849000000000001</v>
      </c>
      <c r="F507" s="102">
        <f>+D507-D509</f>
        <v>0</v>
      </c>
      <c r="G507" s="101">
        <f>+D507*E507</f>
        <v>0</v>
      </c>
      <c r="H507" s="101"/>
      <c r="I507" s="101"/>
      <c r="J507" s="101"/>
      <c r="K507" s="101"/>
      <c r="L507" s="205"/>
      <c r="M507" s="205"/>
      <c r="N507" s="205"/>
      <c r="O507" s="205"/>
      <c r="P507" s="205"/>
      <c r="Q507" s="205"/>
      <c r="R507" s="205"/>
      <c r="S507" s="205"/>
      <c r="T507" s="205"/>
      <c r="U507" s="205"/>
      <c r="V507" s="205"/>
      <c r="W507" s="205"/>
      <c r="X507" s="205"/>
      <c r="Y507" s="205"/>
      <c r="Z507" s="205"/>
      <c r="AA507" s="4"/>
      <c r="AB507" s="4"/>
      <c r="AC507" s="4"/>
      <c r="AD507" s="4"/>
      <c r="AE507" s="4"/>
      <c r="AF507" s="81"/>
      <c r="AG507" s="81"/>
      <c r="AH507" s="81"/>
      <c r="AI507" s="4"/>
      <c r="AJ507" s="81"/>
      <c r="AK507" s="81"/>
      <c r="AL507" s="81"/>
      <c r="AM507" s="43">
        <v>491</v>
      </c>
      <c r="AN507">
        <v>55.889830685618719</v>
      </c>
      <c r="AO507">
        <v>1.3594370320861204</v>
      </c>
      <c r="AP507">
        <v>10.952783441597573</v>
      </c>
      <c r="AQ507">
        <v>8.356177482350768</v>
      </c>
      <c r="AR507">
        <v>1.2380603810048649</v>
      </c>
      <c r="AS507">
        <v>4.7473993673834105</v>
      </c>
      <c r="AT507" t="e">
        <v>#DIV/0!</v>
      </c>
      <c r="AU507" t="e">
        <v>#DIV/0!</v>
      </c>
      <c r="AV507"/>
      <c r="AW507"/>
      <c r="FY507" s="211">
        <v>502</v>
      </c>
      <c r="FZ507">
        <v>1.4054563266455928</v>
      </c>
      <c r="GA507">
        <v>2.0911550015207494</v>
      </c>
      <c r="GB507">
        <v>0.64500531479841439</v>
      </c>
      <c r="GC507">
        <v>0.67213056107376246</v>
      </c>
      <c r="GD507">
        <v>0.4309391623115893</v>
      </c>
      <c r="GE507">
        <v>0.22627102308187499</v>
      </c>
      <c r="GF507">
        <v>8.1038194822856249E-2</v>
      </c>
      <c r="GG507">
        <v>5.0581908438140623E-2</v>
      </c>
      <c r="GH507">
        <v>0.11249442504775362</v>
      </c>
      <c r="GI507">
        <v>0.64243638932124436</v>
      </c>
      <c r="GJ507"/>
      <c r="GK507">
        <v>1.400626838235294</v>
      </c>
      <c r="GL507">
        <v>1.7612948069852938</v>
      </c>
      <c r="GM507">
        <v>1.05824609375</v>
      </c>
      <c r="GN507">
        <v>1.9692633928571428</v>
      </c>
      <c r="GO507">
        <v>1.6391383928571428</v>
      </c>
      <c r="GP507">
        <v>0.42529687499999996</v>
      </c>
      <c r="GQ507">
        <v>9.768750000000001E-2</v>
      </c>
      <c r="GR507">
        <v>7.0364583333333328E-2</v>
      </c>
      <c r="GS507">
        <v>0.11895232371794871</v>
      </c>
      <c r="GT507">
        <v>0.86293022971207711</v>
      </c>
      <c r="GU507"/>
      <c r="GV507"/>
      <c r="GW507"/>
      <c r="GX507"/>
      <c r="GY507"/>
      <c r="GZ507"/>
      <c r="HA507"/>
      <c r="HB507"/>
      <c r="HC507"/>
    </row>
    <row r="508" spans="1:211" s="7" customFormat="1">
      <c r="A508" s="4"/>
      <c r="B508" s="4"/>
      <c r="C508" s="63"/>
      <c r="D508" s="101"/>
      <c r="E508" s="63"/>
      <c r="F508" s="63"/>
      <c r="G508" s="101"/>
      <c r="H508" s="101">
        <f>+SQRT(E507*E509)</f>
        <v>0.52882695780377909</v>
      </c>
      <c r="I508" s="101">
        <f>+H508*F507</f>
        <v>0</v>
      </c>
      <c r="J508" s="101">
        <f>+I508*$A$440</f>
        <v>0</v>
      </c>
      <c r="K508" s="61">
        <f>IF(AND(J508&lt;0, J506&lt;0), 0, J508)</f>
        <v>0</v>
      </c>
      <c r="L508" s="205"/>
      <c r="M508" s="205"/>
      <c r="N508" s="205"/>
      <c r="O508" s="205"/>
      <c r="P508" s="205"/>
      <c r="Q508" s="205"/>
      <c r="R508" s="205"/>
      <c r="S508" s="205"/>
      <c r="T508" s="205"/>
      <c r="U508" s="205"/>
      <c r="V508" s="205"/>
      <c r="W508" s="205"/>
      <c r="X508" s="205"/>
      <c r="Y508" s="205"/>
      <c r="Z508" s="205"/>
      <c r="AA508" s="4"/>
      <c r="AB508" s="4"/>
      <c r="AC508" s="4"/>
      <c r="AD508" s="4"/>
      <c r="AE508" s="4"/>
      <c r="AF508" s="81"/>
      <c r="AG508" s="81"/>
      <c r="AH508" s="81"/>
      <c r="AI508" s="4"/>
      <c r="AJ508" s="81"/>
      <c r="AK508" s="81"/>
      <c r="AL508" s="81"/>
      <c r="AM508" s="43">
        <v>492</v>
      </c>
      <c r="AN508">
        <v>21.940631284565107</v>
      </c>
      <c r="AO508">
        <v>0.47501496450791858</v>
      </c>
      <c r="AP508">
        <v>8.2757954040028956</v>
      </c>
      <c r="AQ508">
        <v>3.7056789778676453</v>
      </c>
      <c r="AR508">
        <v>0.43624885322398188</v>
      </c>
      <c r="AS508">
        <v>1.7604094556017926</v>
      </c>
      <c r="AT508" t="e">
        <v>#DIV/0!</v>
      </c>
      <c r="AU508" t="e">
        <v>#DIV/0!</v>
      </c>
      <c r="AV508"/>
      <c r="AW508"/>
      <c r="FY508" s="211">
        <v>503</v>
      </c>
      <c r="FZ508">
        <v>1.1748012824332941</v>
      </c>
      <c r="GA508">
        <v>1.446378914699725</v>
      </c>
      <c r="GB508">
        <v>0.57549422147127527</v>
      </c>
      <c r="GC508">
        <v>0.32049754775476369</v>
      </c>
      <c r="GD508">
        <v>0.13449806386022245</v>
      </c>
      <c r="GE508">
        <v>0.14833383665557504</v>
      </c>
      <c r="GF508">
        <v>1.2026738838000754</v>
      </c>
      <c r="GG508">
        <v>1.108414677944533</v>
      </c>
      <c r="GH508">
        <v>0.1330459067538125</v>
      </c>
      <c r="GI508">
        <v>0.62807793384743338</v>
      </c>
      <c r="GJ508"/>
      <c r="GK508">
        <v>1.1708924632352939</v>
      </c>
      <c r="GL508">
        <v>1.2182948069852939</v>
      </c>
      <c r="GM508">
        <v>0.9441992187499999</v>
      </c>
      <c r="GN508">
        <v>0.94018437499999985</v>
      </c>
      <c r="GO508">
        <v>0.51227812499999992</v>
      </c>
      <c r="GP508">
        <v>0.27867187500000001</v>
      </c>
      <c r="GQ508">
        <v>1.4503165760869565</v>
      </c>
      <c r="GR508">
        <v>1.5422019927536232</v>
      </c>
      <c r="GS508">
        <v>0.14072916666666666</v>
      </c>
      <c r="GT508">
        <v>0.84368310994778328</v>
      </c>
      <c r="GU508"/>
      <c r="GV508"/>
      <c r="GW508"/>
      <c r="GX508"/>
      <c r="GY508"/>
      <c r="GZ508"/>
      <c r="HA508"/>
      <c r="HB508"/>
      <c r="HC508"/>
    </row>
    <row r="509" spans="1:211" s="7" customFormat="1">
      <c r="A509" s="4"/>
      <c r="B509" s="4"/>
      <c r="C509" s="63">
        <v>26</v>
      </c>
      <c r="D509" s="101">
        <f>SUM($AE$228:$AE$347)/$A$438</f>
        <v>0</v>
      </c>
      <c r="E509" s="97">
        <f>AG36</f>
        <v>0.53937000000000002</v>
      </c>
      <c r="F509" s="102">
        <f>+D509-D511</f>
        <v>0</v>
      </c>
      <c r="G509" s="101">
        <f>+D509*E509</f>
        <v>0</v>
      </c>
      <c r="H509" s="101"/>
      <c r="I509" s="119">
        <v>0</v>
      </c>
      <c r="J509" s="101"/>
      <c r="K509" s="101"/>
      <c r="L509" s="205"/>
      <c r="M509" s="205"/>
      <c r="N509" s="205"/>
      <c r="O509" s="205"/>
      <c r="P509" s="205"/>
      <c r="Q509" s="205"/>
      <c r="R509" s="205"/>
      <c r="S509" s="205"/>
      <c r="T509" s="205"/>
      <c r="U509" s="205"/>
      <c r="V509" s="205"/>
      <c r="W509" s="205"/>
      <c r="X509" s="205"/>
      <c r="Y509" s="205"/>
      <c r="Z509" s="205"/>
      <c r="AA509" s="4"/>
      <c r="AB509" s="4"/>
      <c r="AC509" s="4"/>
      <c r="AD509" s="4"/>
      <c r="AE509" s="4"/>
      <c r="AF509" s="81"/>
      <c r="AG509" s="81"/>
      <c r="AH509" s="81"/>
      <c r="AI509" s="4"/>
      <c r="AJ509" s="81"/>
      <c r="AK509" s="81"/>
      <c r="AL509" s="81"/>
      <c r="AM509" s="43">
        <v>493</v>
      </c>
      <c r="AN509">
        <v>42.784013095901685</v>
      </c>
      <c r="AO509">
        <v>1.0686958555527355</v>
      </c>
      <c r="AP509">
        <v>1.2896950553833559</v>
      </c>
      <c r="AQ509">
        <v>7.3134152485572272</v>
      </c>
      <c r="AR509">
        <v>0.99910533415633274</v>
      </c>
      <c r="AS509">
        <v>3.4801848523584193</v>
      </c>
      <c r="AT509">
        <v>0.69458396025715941</v>
      </c>
      <c r="AU509">
        <v>0.23032580458829255</v>
      </c>
      <c r="AV509"/>
      <c r="AW509"/>
      <c r="FY509" s="211">
        <v>504</v>
      </c>
      <c r="FZ509">
        <v>1.0676656068862447</v>
      </c>
      <c r="GA509">
        <v>1.4153113105095048</v>
      </c>
      <c r="GB509">
        <v>1.0229357033876356</v>
      </c>
      <c r="GC509">
        <v>0.76619079650438315</v>
      </c>
      <c r="GD509">
        <v>0.28153798969992105</v>
      </c>
      <c r="GE509">
        <v>0.11942651581672496</v>
      </c>
      <c r="GF509">
        <v>0.20038102790324064</v>
      </c>
      <c r="GG509">
        <v>0.13862439864731252</v>
      </c>
      <c r="GH509">
        <v>2.2985735835423678E-2</v>
      </c>
      <c r="GI509">
        <v>0.60740134968830339</v>
      </c>
      <c r="GJ509"/>
      <c r="GK509">
        <v>1.0640455882352939</v>
      </c>
      <c r="GL509">
        <v>1.1920026194852942</v>
      </c>
      <c r="GM509">
        <v>1.6792993607954545</v>
      </c>
      <c r="GN509">
        <v>2.2472191152597398</v>
      </c>
      <c r="GO509">
        <v>1.0706424107142856</v>
      </c>
      <c r="GP509">
        <v>0.22439062499999993</v>
      </c>
      <c r="GQ509">
        <v>0.24196875000000001</v>
      </c>
      <c r="GR509">
        <v>0.19312499999999999</v>
      </c>
      <c r="GS509">
        <v>2.4293870192307693E-2</v>
      </c>
      <c r="GT509">
        <v>0.8160499959874683</v>
      </c>
      <c r="GU509"/>
      <c r="GV509"/>
      <c r="GW509"/>
      <c r="GX509"/>
      <c r="GY509"/>
      <c r="GZ509"/>
      <c r="HA509"/>
      <c r="HB509"/>
      <c r="HC509"/>
    </row>
    <row r="510" spans="1:211" s="7" customFormat="1">
      <c r="A510" s="4"/>
      <c r="B510" s="4"/>
      <c r="C510" s="63"/>
      <c r="D510" s="101"/>
      <c r="E510" s="63"/>
      <c r="F510" s="63"/>
      <c r="G510" s="101"/>
      <c r="H510" s="101">
        <f>+SQRT(E509*E511)</f>
        <v>0.54971087173167676</v>
      </c>
      <c r="I510" s="101">
        <f>+H510*F509</f>
        <v>0</v>
      </c>
      <c r="J510" s="101">
        <f>+I510*$A$440</f>
        <v>0</v>
      </c>
      <c r="K510" s="61">
        <f>IF(AND(J510&lt;0, J508&lt;0), 0, J510)</f>
        <v>0</v>
      </c>
      <c r="L510" s="205"/>
      <c r="M510" s="205"/>
      <c r="N510" s="205"/>
      <c r="O510" s="205"/>
      <c r="P510" s="205"/>
      <c r="Q510" s="205"/>
      <c r="R510" s="205"/>
      <c r="S510" s="205"/>
      <c r="T510" s="205"/>
      <c r="U510" s="205"/>
      <c r="V510" s="205"/>
      <c r="W510" s="205"/>
      <c r="X510" s="205"/>
      <c r="Y510" s="205"/>
      <c r="Z510" s="205"/>
      <c r="AA510" s="4"/>
      <c r="AB510" s="4"/>
      <c r="AC510" s="4"/>
      <c r="AD510" s="4"/>
      <c r="AE510" s="4"/>
      <c r="AF510" s="81"/>
      <c r="AG510" s="81"/>
      <c r="AH510" s="81"/>
      <c r="AI510" s="4"/>
      <c r="AJ510" s="81"/>
      <c r="AK510" s="81"/>
      <c r="AL510" s="81"/>
      <c r="AM510" s="43">
        <v>494</v>
      </c>
      <c r="AN510">
        <v>52.555968251756283</v>
      </c>
      <c r="AO510">
        <v>1.3201240916099297</v>
      </c>
      <c r="AP510">
        <v>6.0000491125835591</v>
      </c>
      <c r="AQ510">
        <v>7.817190835026488</v>
      </c>
      <c r="AR510">
        <v>1.2131878214810552</v>
      </c>
      <c r="AS510">
        <v>4.2539589454508251</v>
      </c>
      <c r="AT510" t="e">
        <v>#DIV/0!</v>
      </c>
      <c r="AU510" t="e">
        <v>#DIV/0!</v>
      </c>
      <c r="AV510"/>
      <c r="AW510"/>
      <c r="FY510" s="211">
        <v>505</v>
      </c>
      <c r="FZ510">
        <v>1.7665487487011116</v>
      </c>
      <c r="GA510">
        <v>2.7285021945345131</v>
      </c>
      <c r="GB510">
        <v>1.511300588413282</v>
      </c>
      <c r="GC510">
        <v>0.91633259934991851</v>
      </c>
      <c r="GD510">
        <v>0.19595554496538747</v>
      </c>
      <c r="GE510">
        <v>2.6015014625850003E-2</v>
      </c>
      <c r="GF510">
        <v>0.37461671604370633</v>
      </c>
      <c r="GG510">
        <v>0.34012406257845362</v>
      </c>
      <c r="GH510">
        <v>0.11249442504775362</v>
      </c>
      <c r="GI510">
        <v>0.82733038954754234</v>
      </c>
      <c r="GJ510"/>
      <c r="GK510">
        <v>1.7603380514705882</v>
      </c>
      <c r="GL510">
        <v>2.2980411764705884</v>
      </c>
      <c r="GM510">
        <v>2.4815205965909088</v>
      </c>
      <c r="GN510">
        <v>2.6893643465909087</v>
      </c>
      <c r="GO510">
        <v>0.74554687499999983</v>
      </c>
      <c r="GP510">
        <v>4.8843750000000005E-2</v>
      </c>
      <c r="GQ510">
        <v>0.45162635869565215</v>
      </c>
      <c r="GR510">
        <v>0.47314719202898542</v>
      </c>
      <c r="GS510">
        <v>0.11895232371794871</v>
      </c>
      <c r="GT510">
        <v>1.1115968410950199</v>
      </c>
      <c r="GU510"/>
      <c r="GV510"/>
      <c r="GW510"/>
      <c r="GX510"/>
      <c r="GY510"/>
      <c r="GZ510"/>
      <c r="HA510"/>
      <c r="HB510"/>
      <c r="HC510"/>
    </row>
    <row r="511" spans="1:211" s="7" customFormat="1">
      <c r="A511" s="4"/>
      <c r="B511" s="4"/>
      <c r="C511" s="63">
        <v>27</v>
      </c>
      <c r="D511" s="101">
        <f>SUM($AF$228:$AF$347)/$A$438</f>
        <v>0</v>
      </c>
      <c r="E511" s="97">
        <f>+AH36</f>
        <v>0.56024999999999991</v>
      </c>
      <c r="F511" s="102">
        <f>+D511-D513</f>
        <v>0</v>
      </c>
      <c r="G511" s="101">
        <f>+D511*E511</f>
        <v>0</v>
      </c>
      <c r="H511" s="101"/>
      <c r="I511" s="101"/>
      <c r="J511" s="101"/>
      <c r="K511" s="101"/>
      <c r="L511" s="205"/>
      <c r="M511" s="205"/>
      <c r="N511" s="205"/>
      <c r="O511" s="205"/>
      <c r="P511" s="205"/>
      <c r="Q511" s="205"/>
      <c r="R511" s="205"/>
      <c r="S511" s="205"/>
      <c r="T511" s="205"/>
      <c r="U511" s="205"/>
      <c r="V511" s="205"/>
      <c r="W511" s="205"/>
      <c r="X511" s="205"/>
      <c r="Y511" s="205"/>
      <c r="Z511" s="205"/>
      <c r="AA511" s="4"/>
      <c r="AB511" s="4"/>
      <c r="AC511" s="4"/>
      <c r="AD511" s="4"/>
      <c r="AE511" s="4"/>
      <c r="AF511" s="81"/>
      <c r="AG511" s="81"/>
      <c r="AH511" s="81"/>
      <c r="AI511" s="4"/>
      <c r="AJ511" s="81"/>
      <c r="AK511" s="81"/>
      <c r="AL511" s="81"/>
      <c r="AM511" s="43">
        <v>495</v>
      </c>
      <c r="AN511">
        <v>35.734724738325276</v>
      </c>
      <c r="AO511">
        <v>0.87457091870470993</v>
      </c>
      <c r="AP511">
        <v>1.0250481400619811</v>
      </c>
      <c r="AQ511">
        <v>5.9273260976217115</v>
      </c>
      <c r="AR511">
        <v>0.80230878973155439</v>
      </c>
      <c r="AS511">
        <v>2.961307642960525</v>
      </c>
      <c r="AT511" t="e">
        <v>#DIV/0!</v>
      </c>
      <c r="AU511" t="e">
        <v>#DIV/0!</v>
      </c>
      <c r="AV511"/>
      <c r="AW511"/>
      <c r="FY511" s="211">
        <v>506</v>
      </c>
      <c r="FZ511">
        <v>1.1639163957561931</v>
      </c>
      <c r="GA511">
        <v>1.9134412539965588</v>
      </c>
      <c r="GB511">
        <v>0.90874221003639144</v>
      </c>
      <c r="GC511">
        <v>0.36469530279200452</v>
      </c>
      <c r="GD511">
        <v>6.6525938276624993E-2</v>
      </c>
      <c r="GE511">
        <v>8.088342136492499E-2</v>
      </c>
      <c r="GF511">
        <v>0.86857626516779707</v>
      </c>
      <c r="GG511">
        <v>0.71770870692793864</v>
      </c>
      <c r="GH511">
        <v>2.2985735835423678E-2</v>
      </c>
      <c r="GI511">
        <v>0.59201992980324691</v>
      </c>
      <c r="GJ511"/>
      <c r="GK511">
        <v>1.159904963235294</v>
      </c>
      <c r="GL511">
        <v>1.6114752757352939</v>
      </c>
      <c r="GM511">
        <v>1.4916626420454544</v>
      </c>
      <c r="GN511">
        <v>1.0707954545454543</v>
      </c>
      <c r="GO511">
        <v>0.25340624999999994</v>
      </c>
      <c r="GP511">
        <v>0.15201562499999999</v>
      </c>
      <c r="GQ511">
        <v>1.0475339673913044</v>
      </c>
      <c r="GR511">
        <v>0.99869021739130437</v>
      </c>
      <c r="GS511">
        <v>2.4293870192307693E-2</v>
      </c>
      <c r="GT511">
        <v>0.79536033857287203</v>
      </c>
      <c r="GU511"/>
      <c r="GV511"/>
      <c r="GW511"/>
      <c r="GX511"/>
      <c r="GY511"/>
      <c r="GZ511"/>
      <c r="HA511"/>
      <c r="HB511"/>
      <c r="HC511"/>
    </row>
    <row r="512" spans="1:211" s="7" customFormat="1">
      <c r="A512" s="4"/>
      <c r="B512" s="4"/>
      <c r="C512" s="63"/>
      <c r="D512" s="101"/>
      <c r="E512" s="63"/>
      <c r="F512" s="63"/>
      <c r="G512" s="101"/>
      <c r="H512" s="101">
        <f>+SQRT(E511*E513)</f>
        <v>0.5705944991848414</v>
      </c>
      <c r="I512" s="101">
        <f>+H512*F511</f>
        <v>0</v>
      </c>
      <c r="J512" s="101">
        <f>+I512*$A$440</f>
        <v>0</v>
      </c>
      <c r="K512" s="61">
        <f>IF(AND(J512&lt;0, J510&lt;0), 0, J512)</f>
        <v>0</v>
      </c>
      <c r="L512" s="205"/>
      <c r="M512" s="205"/>
      <c r="N512" s="205"/>
      <c r="O512" s="205"/>
      <c r="P512" s="205"/>
      <c r="Q512" s="205"/>
      <c r="R512" s="205"/>
      <c r="S512" s="205"/>
      <c r="T512" s="205"/>
      <c r="U512" s="205"/>
      <c r="V512" s="205"/>
      <c r="W512" s="205"/>
      <c r="X512" s="205"/>
      <c r="Y512" s="205"/>
      <c r="Z512" s="205"/>
      <c r="AA512" s="4"/>
      <c r="AB512" s="4"/>
      <c r="AC512" s="4"/>
      <c r="AD512" s="4"/>
      <c r="AE512" s="4"/>
      <c r="AF512" s="81"/>
      <c r="AG512" s="81"/>
      <c r="AH512" s="81"/>
      <c r="AI512" s="4"/>
      <c r="AJ512" s="81"/>
      <c r="AK512" s="81"/>
      <c r="AL512" s="81"/>
      <c r="AM512" s="43">
        <v>496</v>
      </c>
      <c r="AN512">
        <v>22.508821097883605</v>
      </c>
      <c r="AO512">
        <v>0.59820134747023812</v>
      </c>
      <c r="AP512">
        <v>0.86197995786288417</v>
      </c>
      <c r="AQ512">
        <v>3.460431734323651</v>
      </c>
      <c r="AR512">
        <v>0.55468588406385277</v>
      </c>
      <c r="AS512">
        <v>1.9766230204123041</v>
      </c>
      <c r="AT512" t="e">
        <v>#DIV/0!</v>
      </c>
      <c r="AU512" t="e">
        <v>#DIV/0!</v>
      </c>
      <c r="AV512"/>
      <c r="AW512"/>
      <c r="FY512" s="211">
        <v>507</v>
      </c>
      <c r="FZ512">
        <v>0.84055695713977241</v>
      </c>
      <c r="GA512">
        <v>1.0352987001073339</v>
      </c>
      <c r="GB512">
        <v>0.11803089858104532</v>
      </c>
      <c r="GC512">
        <v>0.42938614714981865</v>
      </c>
      <c r="GD512">
        <v>0.39437668255472674</v>
      </c>
      <c r="GE512">
        <v>0.12900836070404997</v>
      </c>
      <c r="GF512">
        <v>0.6538214796159032</v>
      </c>
      <c r="GG512">
        <v>0.71853667674935984</v>
      </c>
      <c r="GH512">
        <v>0.19956886013071873</v>
      </c>
      <c r="GI512">
        <v>0.52584233766834632</v>
      </c>
      <c r="GJ512"/>
      <c r="GK512">
        <v>0.83779871323529398</v>
      </c>
      <c r="GL512">
        <v>0.87215808823529406</v>
      </c>
      <c r="GM512">
        <v>0.19373437500000001</v>
      </c>
      <c r="GN512">
        <v>1.2571540178571428</v>
      </c>
      <c r="GO512">
        <v>1.4996852678571428</v>
      </c>
      <c r="GP512">
        <v>0.24253124999999998</v>
      </c>
      <c r="GQ512">
        <v>0.78903260869565206</v>
      </c>
      <c r="GR512">
        <v>1.0001263586956521</v>
      </c>
      <c r="GS512">
        <v>0.21109375</v>
      </c>
      <c r="GT512">
        <v>0.70626894295761766</v>
      </c>
      <c r="GU512"/>
      <c r="GV512"/>
      <c r="GW512"/>
      <c r="GX512"/>
      <c r="GY512"/>
      <c r="GZ512"/>
      <c r="HA512"/>
      <c r="HB512"/>
      <c r="HC512"/>
    </row>
    <row r="513" spans="1:211" s="7" customFormat="1">
      <c r="A513" s="4"/>
      <c r="B513" s="4"/>
      <c r="C513" s="63">
        <v>28</v>
      </c>
      <c r="D513" s="101">
        <f>SUM($AG$228:$AG$347)/$A$438</f>
        <v>0</v>
      </c>
      <c r="E513" s="97">
        <f>AI36</f>
        <v>0.58112999999999992</v>
      </c>
      <c r="F513" s="102">
        <f>+D513-D515</f>
        <v>0</v>
      </c>
      <c r="G513" s="101">
        <f>+D513*E513</f>
        <v>0</v>
      </c>
      <c r="H513" s="101"/>
      <c r="I513" s="101"/>
      <c r="J513" s="101"/>
      <c r="K513" s="101"/>
      <c r="L513" s="205"/>
      <c r="M513" s="205"/>
      <c r="N513" s="205"/>
      <c r="O513" s="205"/>
      <c r="P513" s="205"/>
      <c r="Q513" s="205"/>
      <c r="R513" s="205"/>
      <c r="S513" s="205"/>
      <c r="T513" s="205"/>
      <c r="U513" s="205"/>
      <c r="V513" s="205"/>
      <c r="W513" s="205"/>
      <c r="X513" s="205"/>
      <c r="Y513" s="205"/>
      <c r="Z513" s="205"/>
      <c r="AA513" s="4"/>
      <c r="AB513" s="4"/>
      <c r="AC513" s="4"/>
      <c r="AD513" s="4"/>
      <c r="AE513" s="4"/>
      <c r="AF513" s="81"/>
      <c r="AG513" s="81"/>
      <c r="AH513" s="81"/>
      <c r="AI513" s="4"/>
      <c r="AJ513" s="81"/>
      <c r="AK513" s="81"/>
      <c r="AL513" s="81"/>
      <c r="AM513" s="43">
        <v>497</v>
      </c>
      <c r="AN513">
        <v>61.30496774378647</v>
      </c>
      <c r="AO513">
        <v>1.4567964667457702</v>
      </c>
      <c r="AP513">
        <v>12.184570097742894</v>
      </c>
      <c r="AQ513">
        <v>9.2046109796532516</v>
      </c>
      <c r="AR513">
        <v>1.3505104461674833</v>
      </c>
      <c r="AS513">
        <v>5.0560028124858416</v>
      </c>
      <c r="AT513" t="e">
        <v>#DIV/0!</v>
      </c>
      <c r="AU513" t="e">
        <v>#DIV/0!</v>
      </c>
      <c r="AV513"/>
      <c r="AW513"/>
      <c r="FY513" s="211">
        <v>508</v>
      </c>
      <c r="FZ513">
        <v>1.3818857741146775</v>
      </c>
      <c r="GA513">
        <v>2.4410854922831802</v>
      </c>
      <c r="GB513">
        <v>1.6944844275831723</v>
      </c>
      <c r="GC513">
        <v>0.7433471805788846</v>
      </c>
      <c r="GD513">
        <v>0.10412384566889249</v>
      </c>
      <c r="GE513">
        <v>0.10979074220377499</v>
      </c>
      <c r="GF513">
        <v>1.2026738838000754</v>
      </c>
      <c r="GG513">
        <v>1.1589965863826734</v>
      </c>
      <c r="GH513">
        <v>0.22255459596614241</v>
      </c>
      <c r="GI513">
        <v>0.92908636158744418</v>
      </c>
      <c r="GJ513"/>
      <c r="GK513">
        <v>1.377123713235294</v>
      </c>
      <c r="GL513">
        <v>2.0559205882352942</v>
      </c>
      <c r="GM513">
        <v>2.7819893465909091</v>
      </c>
      <c r="GN513">
        <v>2.1827299715909088</v>
      </c>
      <c r="GO513">
        <v>0.39636562499999994</v>
      </c>
      <c r="GP513">
        <v>0.20629687499999999</v>
      </c>
      <c r="GQ513">
        <v>1.4503165760869565</v>
      </c>
      <c r="GR513">
        <v>1.6125665760869565</v>
      </c>
      <c r="GS513">
        <v>0.23538762019230769</v>
      </c>
      <c r="GT513">
        <v>1.2482365762210934</v>
      </c>
      <c r="GU513"/>
      <c r="GV513"/>
      <c r="GW513"/>
      <c r="GX513"/>
      <c r="GY513"/>
      <c r="GZ513"/>
      <c r="HA513"/>
      <c r="HB513"/>
      <c r="HC513"/>
    </row>
    <row r="514" spans="1:211" s="7" customFormat="1">
      <c r="A514" s="4"/>
      <c r="B514" s="4"/>
      <c r="C514" s="63"/>
      <c r="D514" s="101"/>
      <c r="E514" s="63"/>
      <c r="F514" s="63"/>
      <c r="G514" s="101"/>
      <c r="H514" s="101">
        <f>+SQRT(E513*E515)</f>
        <v>0.5914778705074264</v>
      </c>
      <c r="I514" s="101">
        <f>+H514*F513</f>
        <v>0</v>
      </c>
      <c r="J514" s="101">
        <f>+I514*$A$440</f>
        <v>0</v>
      </c>
      <c r="K514" s="61">
        <f>IF(AND(J514&lt;0, J512&lt;0), 0, J514)</f>
        <v>0</v>
      </c>
      <c r="L514" s="205"/>
      <c r="M514" s="205"/>
      <c r="N514" s="205"/>
      <c r="O514" s="205"/>
      <c r="P514" s="205"/>
      <c r="Q514" s="205"/>
      <c r="R514" s="205"/>
      <c r="S514" s="205"/>
      <c r="T514" s="205"/>
      <c r="U514" s="205"/>
      <c r="V514" s="205"/>
      <c r="W514" s="205"/>
      <c r="X514" s="205"/>
      <c r="Y514" s="205"/>
      <c r="Z514" s="205"/>
      <c r="AA514" s="4"/>
      <c r="AB514" s="4"/>
      <c r="AC514" s="4"/>
      <c r="AD514" s="4"/>
      <c r="AE514" s="4"/>
      <c r="AF514" s="81"/>
      <c r="AG514" s="81"/>
      <c r="AH514" s="81"/>
      <c r="AI514" s="4"/>
      <c r="AJ514" s="81"/>
      <c r="AK514" s="81"/>
      <c r="AL514" s="81"/>
      <c r="AM514" s="43">
        <v>498</v>
      </c>
      <c r="AN514">
        <v>43.839314229036091</v>
      </c>
      <c r="AO514">
        <v>1.0702725391764565</v>
      </c>
      <c r="AP514">
        <v>1.9727981317953518</v>
      </c>
      <c r="AQ514">
        <v>6.9159513628617928</v>
      </c>
      <c r="AR514">
        <v>0.99691652381426099</v>
      </c>
      <c r="AS514">
        <v>3.5748178507726647</v>
      </c>
      <c r="AT514" t="e">
        <v>#DIV/0!</v>
      </c>
      <c r="AU514" t="e">
        <v>#DIV/0!</v>
      </c>
      <c r="AV514"/>
      <c r="AW514"/>
      <c r="FY514" s="211">
        <v>509</v>
      </c>
      <c r="FZ514">
        <v>1.6289784308562669</v>
      </c>
      <c r="GA514">
        <v>2.2304639667573518</v>
      </c>
      <c r="GB514">
        <v>1.0162593356704241</v>
      </c>
      <c r="GC514">
        <v>0.6723472686899814</v>
      </c>
      <c r="GD514">
        <v>0.21458547371506495</v>
      </c>
      <c r="GE514">
        <v>3.5650788238799996E-2</v>
      </c>
      <c r="GF514">
        <v>0.69434057702733132</v>
      </c>
      <c r="GG514">
        <v>0.61737285987307855</v>
      </c>
      <c r="GH514">
        <v>6.6522953376906252E-2</v>
      </c>
      <c r="GI514">
        <v>0.74670765728655897</v>
      </c>
      <c r="GJ514"/>
      <c r="GK514">
        <v>1.6232924632352941</v>
      </c>
      <c r="GL514">
        <v>1.8784330882352942</v>
      </c>
      <c r="GM514">
        <v>1.6682407670454544</v>
      </c>
      <c r="GN514">
        <v>1.9719626420454544</v>
      </c>
      <c r="GO514">
        <v>0.8160187499999999</v>
      </c>
      <c r="GP514">
        <v>6.6937499999999997E-2</v>
      </c>
      <c r="GQ514">
        <v>0.83787635869565202</v>
      </c>
      <c r="GR514">
        <v>0.85939719202898535</v>
      </c>
      <c r="GS514">
        <v>7.0364583333333328E-2</v>
      </c>
      <c r="GT514">
        <v>1.0031585844619466</v>
      </c>
      <c r="GU514"/>
      <c r="GV514"/>
      <c r="GW514"/>
      <c r="GX514"/>
      <c r="GY514"/>
      <c r="GZ514"/>
      <c r="HA514"/>
      <c r="HB514"/>
      <c r="HC514"/>
    </row>
    <row r="515" spans="1:211" s="7" customFormat="1">
      <c r="A515" s="4"/>
      <c r="B515" s="4"/>
      <c r="C515" s="63">
        <v>29</v>
      </c>
      <c r="D515" s="101">
        <f>SUM($AH$228:$AH$347)/$A$438</f>
        <v>0</v>
      </c>
      <c r="E515" s="97">
        <f>AJ36</f>
        <v>0.60200999999999993</v>
      </c>
      <c r="F515" s="102">
        <f>+D515-D517</f>
        <v>0</v>
      </c>
      <c r="G515" s="101">
        <f>+D515*E515</f>
        <v>0</v>
      </c>
      <c r="H515" s="101"/>
      <c r="I515" s="101"/>
      <c r="J515" s="101"/>
      <c r="K515" s="101"/>
      <c r="L515" s="205"/>
      <c r="M515" s="205"/>
      <c r="N515" s="205"/>
      <c r="O515" s="205"/>
      <c r="P515" s="205"/>
      <c r="Q515" s="205"/>
      <c r="R515" s="205"/>
      <c r="S515" s="205"/>
      <c r="T515" s="205"/>
      <c r="U515" s="205"/>
      <c r="V515" s="205"/>
      <c r="W515" s="205"/>
      <c r="X515" s="205"/>
      <c r="Y515" s="205"/>
      <c r="Z515" s="205"/>
      <c r="AA515" s="4"/>
      <c r="AB515" s="4"/>
      <c r="AC515" s="4"/>
      <c r="AD515" s="4"/>
      <c r="AE515" s="4"/>
      <c r="AF515" s="81"/>
      <c r="AG515" s="81"/>
      <c r="AH515" s="81"/>
      <c r="AI515" s="4"/>
      <c r="AJ515" s="81"/>
      <c r="AK515" s="81"/>
      <c r="AL515" s="81"/>
      <c r="AM515" s="43">
        <v>499</v>
      </c>
      <c r="AN515">
        <v>50.076630490081563</v>
      </c>
      <c r="AO515">
        <v>1.0345817446896399</v>
      </c>
      <c r="AP515">
        <v>0.83607233419246696</v>
      </c>
      <c r="AQ515">
        <v>6.2566055621281622</v>
      </c>
      <c r="AR515">
        <v>0.95360386973533717</v>
      </c>
      <c r="AS515">
        <v>4.6440342226587266</v>
      </c>
      <c r="AT515">
        <v>0.80299231659974302</v>
      </c>
      <c r="AU515">
        <v>5.4479782916857095E-2</v>
      </c>
      <c r="AV515"/>
      <c r="AW515"/>
      <c r="FY515" s="211">
        <v>510</v>
      </c>
      <c r="FZ515">
        <v>0.19439642739767343</v>
      </c>
      <c r="GA515">
        <v>0.51861529481432223</v>
      </c>
      <c r="GB515">
        <v>0.33218092235229257</v>
      </c>
      <c r="GC515">
        <v>0.19372998457680873</v>
      </c>
      <c r="GD515">
        <v>0.115992052244595</v>
      </c>
      <c r="GE515">
        <v>9.3411501190874976E-2</v>
      </c>
      <c r="GF515">
        <v>0.31972386098362504</v>
      </c>
      <c r="GG515">
        <v>0.37841261417090627</v>
      </c>
      <c r="GH515">
        <v>0.15603164258923619</v>
      </c>
      <c r="GI515">
        <v>0.25777253832639135</v>
      </c>
      <c r="GJ515"/>
      <c r="GK515">
        <v>0.19373437499999999</v>
      </c>
      <c r="GL515">
        <v>0.43669921874999995</v>
      </c>
      <c r="GM515">
        <v>0.54452734375</v>
      </c>
      <c r="GN515">
        <v>0.56763437499999991</v>
      </c>
      <c r="GO515">
        <v>0.44161874999999995</v>
      </c>
      <c r="GP515">
        <v>0.17554687499999996</v>
      </c>
      <c r="GQ515">
        <v>0.38624999999999998</v>
      </c>
      <c r="GR515">
        <v>0.52697916666666667</v>
      </c>
      <c r="GS515">
        <v>0.16502303685897435</v>
      </c>
      <c r="GT515">
        <v>0.34623070112179488</v>
      </c>
      <c r="GU515"/>
      <c r="GV515"/>
      <c r="GW515"/>
      <c r="GX515"/>
      <c r="GY515"/>
      <c r="GZ515"/>
      <c r="HA515"/>
      <c r="HB515"/>
      <c r="HC515"/>
    </row>
    <row r="516" spans="1:211" s="7" customFormat="1">
      <c r="A516" s="4"/>
      <c r="B516" s="4"/>
      <c r="C516" s="63"/>
      <c r="D516" s="101"/>
      <c r="E516" s="63"/>
      <c r="F516" s="63"/>
      <c r="G516" s="101"/>
      <c r="H516" s="101">
        <f>+SQRT(E515*E517)</f>
        <v>0.61236101190392578</v>
      </c>
      <c r="I516" s="101">
        <f>+H516*F515</f>
        <v>0</v>
      </c>
      <c r="J516" s="101">
        <f>+I516*$A$440</f>
        <v>0</v>
      </c>
      <c r="K516" s="61">
        <f>IF(AND(J516&lt;0, J514&lt;0), 0, J516)</f>
        <v>0</v>
      </c>
      <c r="L516" s="205"/>
      <c r="M516" s="205"/>
      <c r="N516" s="205"/>
      <c r="O516" s="205"/>
      <c r="P516" s="205"/>
      <c r="Q516" s="205"/>
      <c r="R516" s="205"/>
      <c r="S516" s="205"/>
      <c r="T516" s="205"/>
      <c r="U516" s="205"/>
      <c r="V516" s="205"/>
      <c r="W516" s="205"/>
      <c r="X516" s="205"/>
      <c r="Y516" s="205"/>
      <c r="Z516" s="205"/>
      <c r="AA516" s="4"/>
      <c r="AB516" s="4"/>
      <c r="AC516" s="4"/>
      <c r="AD516" s="4"/>
      <c r="AE516" s="4"/>
      <c r="AF516" s="81"/>
      <c r="AG516" s="81"/>
      <c r="AH516" s="81"/>
      <c r="AI516" s="4"/>
      <c r="AJ516" s="81"/>
      <c r="AK516" s="81"/>
      <c r="AL516" s="81"/>
      <c r="AM516" s="43">
        <v>500</v>
      </c>
      <c r="AN516">
        <v>61.736734863956727</v>
      </c>
      <c r="AO516">
        <v>1.3915363606050277</v>
      </c>
      <c r="AP516">
        <v>7.1428701892617816</v>
      </c>
      <c r="AQ516">
        <v>8.8684773823205187</v>
      </c>
      <c r="AR516">
        <v>1.2925967023856899</v>
      </c>
      <c r="AS516">
        <v>5.107999746078085</v>
      </c>
      <c r="AT516" t="e">
        <v>#DIV/0!</v>
      </c>
      <c r="AU516" t="e">
        <v>#DIV/0!</v>
      </c>
      <c r="AV516"/>
      <c r="AW516"/>
      <c r="FY516" s="211">
        <v>511</v>
      </c>
      <c r="FZ516">
        <v>1.8282865360455482</v>
      </c>
      <c r="GA516">
        <v>2.3862061379157735</v>
      </c>
      <c r="GB516">
        <v>0.64721430542475356</v>
      </c>
      <c r="GC516">
        <v>0.28923831296139685</v>
      </c>
      <c r="GD516">
        <v>0.14060383000606608</v>
      </c>
      <c r="GE516">
        <v>0.12900836070404997</v>
      </c>
      <c r="GF516">
        <v>0.82805716775636906</v>
      </c>
      <c r="GG516">
        <v>0.76829061536607923</v>
      </c>
      <c r="GH516">
        <v>8.9508689212329934E-2</v>
      </c>
      <c r="GI516">
        <v>0.67178215360932225</v>
      </c>
      <c r="GJ516"/>
      <c r="GK516">
        <v>1.822156801470588</v>
      </c>
      <c r="GL516">
        <v>2.0096919577205883</v>
      </c>
      <c r="GM516">
        <v>1.06132421875</v>
      </c>
      <c r="GN516">
        <v>0.84770647321428561</v>
      </c>
      <c r="GO516">
        <v>0.53519866071428568</v>
      </c>
      <c r="GP516">
        <v>0.24253124999999998</v>
      </c>
      <c r="GQ516">
        <v>0.99869021739130437</v>
      </c>
      <c r="GR516">
        <v>1.0690548007246377</v>
      </c>
      <c r="GS516">
        <v>9.465845352564102E-2</v>
      </c>
      <c r="GT516">
        <v>0.90240567037036379</v>
      </c>
      <c r="GU516"/>
      <c r="GV516"/>
      <c r="GW516"/>
      <c r="GX516"/>
      <c r="GY516"/>
      <c r="GZ516"/>
      <c r="HA516"/>
      <c r="HB516"/>
      <c r="HC516"/>
    </row>
    <row r="517" spans="1:211" s="7" customFormat="1">
      <c r="A517" s="4"/>
      <c r="B517" s="4"/>
      <c r="C517" s="63">
        <v>30</v>
      </c>
      <c r="D517" s="101">
        <f>SUM($AI$228:$AI$347)/$A$438</f>
        <v>0</v>
      </c>
      <c r="E517" s="97">
        <f>AK36</f>
        <v>0.62288999999999994</v>
      </c>
      <c r="F517" s="102">
        <f>+D517-D517</f>
        <v>0</v>
      </c>
      <c r="G517" s="101">
        <f>+D517*E517</f>
        <v>0</v>
      </c>
      <c r="H517" s="101"/>
      <c r="I517" s="101"/>
      <c r="J517" s="101"/>
      <c r="K517" s="101"/>
      <c r="L517" s="205"/>
      <c r="M517" s="205"/>
      <c r="N517" s="205"/>
      <c r="O517" s="205"/>
      <c r="P517" s="205"/>
      <c r="Q517" s="205"/>
      <c r="R517" s="205"/>
      <c r="S517" s="205"/>
      <c r="T517" s="205"/>
      <c r="U517" s="205"/>
      <c r="V517" s="205"/>
      <c r="W517" s="205"/>
      <c r="X517" s="205"/>
      <c r="Y517" s="205"/>
      <c r="Z517" s="205"/>
      <c r="AA517" s="4"/>
      <c r="AB517" s="4"/>
      <c r="AC517" s="4"/>
      <c r="AD517" s="4"/>
      <c r="AE517" s="4"/>
      <c r="AF517" s="81"/>
      <c r="AG517" s="81"/>
      <c r="AH517" s="81"/>
      <c r="AI517" s="4"/>
      <c r="AJ517" s="81"/>
      <c r="AK517" s="81"/>
      <c r="AL517" s="81"/>
      <c r="AM517" s="43">
        <v>501</v>
      </c>
      <c r="AN517">
        <v>60.416590887562755</v>
      </c>
      <c r="AO517">
        <v>1.1537210366581412</v>
      </c>
      <c r="AP517">
        <v>13.721717977271034</v>
      </c>
      <c r="AQ517">
        <v>6.9743314614675311</v>
      </c>
      <c r="AR517">
        <v>1.048837306052856</v>
      </c>
      <c r="AS517">
        <v>5.1814274892109609</v>
      </c>
      <c r="AT517" t="e">
        <v>#DIV/0!</v>
      </c>
      <c r="AU517" t="e">
        <v>#DIV/0!</v>
      </c>
      <c r="AV517"/>
      <c r="AW517"/>
      <c r="FY517" s="211">
        <v>512</v>
      </c>
      <c r="FZ517">
        <v>1.6974286751690244</v>
      </c>
      <c r="GA517">
        <v>2.6729481211659323</v>
      </c>
      <c r="GB517">
        <v>1.3294286283042738</v>
      </c>
      <c r="GC517">
        <v>0.56636499685375818</v>
      </c>
      <c r="GD517">
        <v>8.5619347198379991E-2</v>
      </c>
      <c r="GE517">
        <v>8.8593614384399985E-2</v>
      </c>
      <c r="GF517">
        <v>0</v>
      </c>
      <c r="GG517">
        <v>5.0581908438140623E-2</v>
      </c>
      <c r="GH517">
        <v>8.9508689212329934E-2</v>
      </c>
      <c r="GI517">
        <v>0.63917298352482133</v>
      </c>
      <c r="GJ517"/>
      <c r="GK517">
        <v>1.6917693014705879</v>
      </c>
      <c r="GL517">
        <v>2.251656020220588</v>
      </c>
      <c r="GM517">
        <v>2.1823227982954547</v>
      </c>
      <c r="GN517">
        <v>1.6621298295454545</v>
      </c>
      <c r="GO517">
        <v>0.32572499999999999</v>
      </c>
      <c r="GP517">
        <v>0.16649999999999998</v>
      </c>
      <c r="GQ517">
        <v>0</v>
      </c>
      <c r="GR517">
        <v>7.0364583333333328E-2</v>
      </c>
      <c r="GS517">
        <v>9.465845352564102E-2</v>
      </c>
      <c r="GT517">
        <v>0.85889511065833679</v>
      </c>
      <c r="GU517"/>
      <c r="GV517"/>
      <c r="GW517"/>
      <c r="GX517"/>
      <c r="GY517"/>
      <c r="GZ517"/>
      <c r="HA517"/>
      <c r="HB517"/>
      <c r="HC517"/>
    </row>
    <row r="518" spans="1:211" s="7" customFormat="1">
      <c r="A518" s="4"/>
      <c r="B518" s="4"/>
      <c r="C518" s="63"/>
      <c r="D518" s="63"/>
      <c r="E518" s="63"/>
      <c r="F518" s="63"/>
      <c r="G518" s="101"/>
      <c r="H518" s="101">
        <f>+SQRT(E517*E517)</f>
        <v>0.62288999999999994</v>
      </c>
      <c r="I518" s="101">
        <f>+H518*F517</f>
        <v>0</v>
      </c>
      <c r="J518" s="101">
        <f>+I518*$A$440</f>
        <v>0</v>
      </c>
      <c r="K518" s="61">
        <f>IF(AND(J518&lt;0, J516&lt;0), 0, J518)</f>
        <v>0</v>
      </c>
      <c r="L518" s="205"/>
      <c r="M518" s="205"/>
      <c r="N518" s="205"/>
      <c r="O518" s="205"/>
      <c r="P518" s="205"/>
      <c r="Q518" s="205"/>
      <c r="R518" s="205"/>
      <c r="S518" s="205"/>
      <c r="T518" s="205"/>
      <c r="U518" s="205"/>
      <c r="V518" s="205"/>
      <c r="W518" s="205"/>
      <c r="X518" s="205"/>
      <c r="Y518" s="205"/>
      <c r="Z518" s="205"/>
      <c r="AA518" s="4"/>
      <c r="AB518" s="4"/>
      <c r="AC518" s="4"/>
      <c r="AD518" s="4"/>
      <c r="AE518" s="4"/>
      <c r="AF518" s="81"/>
      <c r="AG518" s="81"/>
      <c r="AH518" s="81"/>
      <c r="AI518" s="4"/>
      <c r="AJ518" s="81"/>
      <c r="AK518" s="81"/>
      <c r="AL518" s="81"/>
      <c r="AM518" s="43">
        <v>502</v>
      </c>
      <c r="AN518">
        <v>45.459637567633898</v>
      </c>
      <c r="AO518">
        <v>0.94038010364482327</v>
      </c>
      <c r="AP518">
        <v>1.0914641160535583</v>
      </c>
      <c r="AQ518">
        <v>6.3575083070619787</v>
      </c>
      <c r="AR518">
        <v>0.86293022971207733</v>
      </c>
      <c r="AS518">
        <v>3.5732816605511442</v>
      </c>
      <c r="AT518" t="e">
        <v>#DIV/0!</v>
      </c>
      <c r="AU518" t="e">
        <v>#DIV/0!</v>
      </c>
      <c r="AV518"/>
      <c r="AW518"/>
      <c r="FY518" s="211">
        <v>513</v>
      </c>
      <c r="FZ518">
        <v>0.77392126034484743</v>
      </c>
      <c r="GA518">
        <v>1.146319418414574</v>
      </c>
      <c r="GB518">
        <v>0.68916696731402682</v>
      </c>
      <c r="GC518">
        <v>0.37276754177233751</v>
      </c>
      <c r="GD518">
        <v>0.15572540666995716</v>
      </c>
      <c r="GE518">
        <v>0.13580575682962504</v>
      </c>
      <c r="GF518">
        <v>0.24090012531466881</v>
      </c>
      <c r="GG518">
        <v>0.23978821552359375</v>
      </c>
      <c r="GH518">
        <v>0.15603164258923619</v>
      </c>
      <c r="GI518">
        <v>0.43925432944993098</v>
      </c>
      <c r="GJ518"/>
      <c r="GK518">
        <v>0.77114999999999989</v>
      </c>
      <c r="GL518">
        <v>0.96513046874999997</v>
      </c>
      <c r="GM518">
        <v>1.1306210937499999</v>
      </c>
      <c r="GN518">
        <v>1.0928348214285715</v>
      </c>
      <c r="GO518">
        <v>0.59255357142857146</v>
      </c>
      <c r="GP518">
        <v>0.25514062500000001</v>
      </c>
      <c r="GQ518">
        <v>0.29081250000000003</v>
      </c>
      <c r="GR518">
        <v>0.33385416666666667</v>
      </c>
      <c r="GS518">
        <v>0.16502303685897435</v>
      </c>
      <c r="GT518">
        <v>0.59003204040750912</v>
      </c>
      <c r="GU518"/>
      <c r="GV518"/>
      <c r="GW518"/>
      <c r="GX518"/>
      <c r="GY518"/>
      <c r="GZ518"/>
      <c r="HA518"/>
      <c r="HB518"/>
      <c r="HC518"/>
    </row>
    <row r="519" spans="1:211" s="7" customFormat="1">
      <c r="A519" s="4"/>
      <c r="B519" s="4"/>
      <c r="C519" s="8"/>
      <c r="D519" s="8"/>
      <c r="E519" s="8"/>
      <c r="F519" s="8"/>
      <c r="G519" s="8"/>
      <c r="H519" s="8"/>
      <c r="I519" s="8"/>
      <c r="J519" s="8"/>
      <c r="K519" s="19"/>
      <c r="L519" s="205"/>
      <c r="M519" s="205"/>
      <c r="N519" s="205"/>
      <c r="O519" s="205"/>
      <c r="P519" s="205"/>
      <c r="Q519" s="205"/>
      <c r="R519" s="205"/>
      <c r="S519" s="205"/>
      <c r="T519" s="205"/>
      <c r="U519" s="205"/>
      <c r="V519" s="205"/>
      <c r="W519" s="205"/>
      <c r="X519" s="205"/>
      <c r="Y519" s="205"/>
      <c r="Z519" s="205"/>
      <c r="AA519" s="4"/>
      <c r="AB519" s="4"/>
      <c r="AC519" s="4"/>
      <c r="AD519" s="4"/>
      <c r="AE519" s="4"/>
      <c r="AF519" s="81"/>
      <c r="AG519" s="81"/>
      <c r="AH519" s="81"/>
      <c r="AI519" s="4"/>
      <c r="AJ519" s="81"/>
      <c r="AK519" s="81"/>
      <c r="AL519" s="81"/>
      <c r="AM519" s="43">
        <v>503</v>
      </c>
      <c r="AN519">
        <v>41.611561197546656</v>
      </c>
      <c r="AO519">
        <v>0.90414517094256153</v>
      </c>
      <c r="AP519">
        <v>0.39692907365360375</v>
      </c>
      <c r="AQ519">
        <v>6.8722162692207105</v>
      </c>
      <c r="AR519">
        <v>0.8436831099477835</v>
      </c>
      <c r="AS519">
        <v>3.7928157362487331</v>
      </c>
      <c r="AT519" t="e">
        <v>#DIV/0!</v>
      </c>
      <c r="AU519" t="e">
        <v>#DIV/0!</v>
      </c>
      <c r="AV519"/>
      <c r="AW519"/>
      <c r="FY519" s="211">
        <v>514</v>
      </c>
      <c r="FZ519">
        <v>1.1167327411944949</v>
      </c>
      <c r="GA519">
        <v>1.5878280407248873</v>
      </c>
      <c r="GB519">
        <v>0.81623025602403732</v>
      </c>
      <c r="GC519">
        <v>0.63685881183026194</v>
      </c>
      <c r="GD519">
        <v>0.25628646232567603</v>
      </c>
      <c r="GE519">
        <v>8.088342136492499E-2</v>
      </c>
      <c r="GF519">
        <v>0.86857626516779707</v>
      </c>
      <c r="GG519">
        <v>0.71770870692793864</v>
      </c>
      <c r="GH519">
        <v>2.2985735835423678E-2</v>
      </c>
      <c r="GI519">
        <v>0.66989687082920824</v>
      </c>
      <c r="GJ519"/>
      <c r="GK519">
        <v>1.1128237132352941</v>
      </c>
      <c r="GL519">
        <v>1.3372612132352941</v>
      </c>
      <c r="GM519">
        <v>1.3399204545454544</v>
      </c>
      <c r="GN519">
        <v>1.8675534902597399</v>
      </c>
      <c r="GO519">
        <v>0.97477366071428562</v>
      </c>
      <c r="GP519">
        <v>0.15201562499999999</v>
      </c>
      <c r="GQ519">
        <v>1.0475339673913044</v>
      </c>
      <c r="GR519">
        <v>0.99869021739130437</v>
      </c>
      <c r="GS519">
        <v>2.4293870192307693E-2</v>
      </c>
      <c r="GT519">
        <v>0.89986913321572914</v>
      </c>
      <c r="GU519"/>
      <c r="GV519"/>
      <c r="GW519"/>
      <c r="GX519"/>
      <c r="GY519"/>
      <c r="GZ519"/>
      <c r="HA519"/>
      <c r="HB519"/>
      <c r="HC519"/>
    </row>
    <row r="520" spans="1:211" s="7" customFormat="1">
      <c r="A520" s="4"/>
      <c r="B520" s="4"/>
      <c r="C520" s="63"/>
      <c r="D520" s="63"/>
      <c r="E520" s="63" t="s">
        <v>24</v>
      </c>
      <c r="F520" s="18"/>
      <c r="G520" s="123">
        <f>SUM(G457:G517)</f>
        <v>0.90714913456854307</v>
      </c>
      <c r="H520" s="63" t="s">
        <v>30</v>
      </c>
      <c r="I520" s="101">
        <f>SUM(K458:K518)</f>
        <v>3.8894671610674214</v>
      </c>
      <c r="J520" s="63"/>
      <c r="K520" s="19"/>
      <c r="L520" s="205"/>
      <c r="M520" s="205"/>
      <c r="N520" s="205"/>
      <c r="O520" s="205"/>
      <c r="P520" s="205"/>
      <c r="Q520" s="205"/>
      <c r="R520" s="205"/>
      <c r="S520" s="205"/>
      <c r="T520" s="205"/>
      <c r="U520" s="205"/>
      <c r="V520" s="205"/>
      <c r="W520" s="205"/>
      <c r="X520" s="205"/>
      <c r="Y520" s="205"/>
      <c r="Z520" s="205"/>
      <c r="AA520" s="4"/>
      <c r="AB520" s="4"/>
      <c r="AC520" s="4"/>
      <c r="AD520" s="4"/>
      <c r="AE520" s="4"/>
      <c r="AF520" s="81"/>
      <c r="AG520" s="81"/>
      <c r="AH520" s="81"/>
      <c r="AI520" s="4"/>
      <c r="AJ520" s="81"/>
      <c r="AK520" s="81"/>
      <c r="AL520" s="81"/>
      <c r="AM520" s="43">
        <v>504</v>
      </c>
      <c r="AN520">
        <v>36.508028644149967</v>
      </c>
      <c r="AO520">
        <v>0.87530373356698432</v>
      </c>
      <c r="AP520">
        <v>1.1749687077539908</v>
      </c>
      <c r="AQ520">
        <v>5.6424604348786955</v>
      </c>
      <c r="AR520">
        <v>0.8160499959874683</v>
      </c>
      <c r="AS520">
        <v>2.9292374281259566</v>
      </c>
      <c r="AT520" t="e">
        <v>#DIV/0!</v>
      </c>
      <c r="AU520" t="e">
        <v>#DIV/0!</v>
      </c>
      <c r="AV520"/>
      <c r="AW520"/>
      <c r="FY520" s="211">
        <v>515</v>
      </c>
      <c r="FZ520">
        <v>0.78060493615442084</v>
      </c>
      <c r="GA520">
        <v>0.89185826090344389</v>
      </c>
      <c r="GB520">
        <v>0.77162671520511661</v>
      </c>
      <c r="GC520">
        <v>0.48680321674932009</v>
      </c>
      <c r="GD520">
        <v>0.13210554920878928</v>
      </c>
      <c r="GE520">
        <v>0.13195459564267498</v>
      </c>
      <c r="GF520">
        <v>0.15986193049181252</v>
      </c>
      <c r="GG520">
        <v>0.29037012396173439</v>
      </c>
      <c r="GH520">
        <v>0.22255459596614241</v>
      </c>
      <c r="GI520">
        <v>0.44299602276506367</v>
      </c>
      <c r="GJ520"/>
      <c r="GK520">
        <v>0.77803308823529393</v>
      </c>
      <c r="GL520">
        <v>0.75123230698529408</v>
      </c>
      <c r="GM520">
        <v>1.2667681107954543</v>
      </c>
      <c r="GN520">
        <v>1.4290041599025973</v>
      </c>
      <c r="GO520">
        <v>0.50288839285714282</v>
      </c>
      <c r="GP520">
        <v>0.24792187499999999</v>
      </c>
      <c r="GQ520">
        <v>0.19312499999999999</v>
      </c>
      <c r="GR520">
        <v>0.40421875000000002</v>
      </c>
      <c r="GS520">
        <v>0.23538762019230769</v>
      </c>
      <c r="GT520">
        <v>0.59524044241603979</v>
      </c>
      <c r="GU520"/>
      <c r="GV520"/>
      <c r="GW520"/>
      <c r="GX520"/>
      <c r="GY520"/>
      <c r="GZ520"/>
      <c r="HA520"/>
      <c r="HB520"/>
      <c r="HC520"/>
    </row>
    <row r="521" spans="1:211" s="7" customFormat="1">
      <c r="A521" s="4"/>
      <c r="B521" s="4"/>
      <c r="C521" s="63"/>
      <c r="D521" s="63"/>
      <c r="E521" s="63"/>
      <c r="F521" s="63"/>
      <c r="G521" s="63"/>
      <c r="H521" s="8"/>
      <c r="I521"/>
      <c r="J521" s="19"/>
      <c r="K521" s="19"/>
      <c r="L521" s="205"/>
      <c r="M521" s="205"/>
      <c r="N521" s="205"/>
      <c r="O521" s="205"/>
      <c r="P521" s="205"/>
      <c r="Q521" s="205"/>
      <c r="R521" s="205"/>
      <c r="S521" s="205"/>
      <c r="T521" s="205"/>
      <c r="U521" s="205"/>
      <c r="V521" s="205"/>
      <c r="W521" s="205"/>
      <c r="X521" s="205"/>
      <c r="Y521" s="205"/>
      <c r="Z521" s="205"/>
      <c r="AA521" s="4"/>
      <c r="AB521" s="4"/>
      <c r="AC521" s="4"/>
      <c r="AD521" s="4"/>
      <c r="AE521" s="4"/>
      <c r="AF521" s="81"/>
      <c r="AG521" s="81"/>
      <c r="AH521" s="81"/>
      <c r="AI521" s="4"/>
      <c r="AJ521" s="81"/>
      <c r="AK521" s="81"/>
      <c r="AL521" s="81"/>
      <c r="AM521" s="43">
        <v>505</v>
      </c>
      <c r="AN521">
        <v>48.889166616572304</v>
      </c>
      <c r="AO521">
        <v>1.21789775116606</v>
      </c>
      <c r="AP521">
        <v>19.300836695838761</v>
      </c>
      <c r="AQ521">
        <v>8.799220283807518</v>
      </c>
      <c r="AR521">
        <v>1.1115968410950199</v>
      </c>
      <c r="AS521">
        <v>3.7637282876157014</v>
      </c>
      <c r="AT521" t="e">
        <v>#DIV/0!</v>
      </c>
      <c r="AU521" t="e">
        <v>#DIV/0!</v>
      </c>
      <c r="AV521"/>
      <c r="AW521"/>
      <c r="FY521" s="211">
        <v>516</v>
      </c>
      <c r="FZ521">
        <v>1.6647853850489449</v>
      </c>
      <c r="GA521">
        <v>2.4779841446278441</v>
      </c>
      <c r="GB521">
        <v>0.30690444807255235</v>
      </c>
      <c r="GC521">
        <v>0.51921749226853242</v>
      </c>
      <c r="GD521">
        <v>0.40472604184701527</v>
      </c>
      <c r="GE521">
        <v>7.6065534558449999E-2</v>
      </c>
      <c r="GF521">
        <v>0.5344786465355188</v>
      </c>
      <c r="GG521">
        <v>0.47874846122576609</v>
      </c>
      <c r="GH521">
        <v>0.11249442504775362</v>
      </c>
      <c r="GI521">
        <v>0.66489685700953838</v>
      </c>
      <c r="GJ521"/>
      <c r="GK521">
        <v>1.6591255514705878</v>
      </c>
      <c r="GL521">
        <v>2.087305238970588</v>
      </c>
      <c r="GM521">
        <v>0.50357031250000006</v>
      </c>
      <c r="GN521">
        <v>1.5202401785714281</v>
      </c>
      <c r="GO521">
        <v>1.5389745535714283</v>
      </c>
      <c r="GP521">
        <v>0.14296875000000001</v>
      </c>
      <c r="GQ521">
        <v>0.64475135869565214</v>
      </c>
      <c r="GR521">
        <v>0.66627219202898535</v>
      </c>
      <c r="GS521">
        <v>0.11895232371794871</v>
      </c>
      <c r="GT521">
        <v>0.89307481999112337</v>
      </c>
      <c r="GU521"/>
      <c r="GV521"/>
      <c r="GW521"/>
      <c r="GX521"/>
      <c r="GY521"/>
      <c r="GZ521"/>
      <c r="HA521"/>
      <c r="HB521"/>
      <c r="HC521"/>
    </row>
    <row r="522" spans="1:211" s="7" customFormat="1">
      <c r="A522" s="4"/>
      <c r="B522" s="4"/>
      <c r="C522" s="63"/>
      <c r="D522" s="63"/>
      <c r="E522" s="63" t="s">
        <v>100</v>
      </c>
      <c r="F522" s="101">
        <f>+I520/G520</f>
        <v>4.2875719248933901</v>
      </c>
      <c r="G522" s="63"/>
      <c r="H522" s="63" t="s">
        <v>101</v>
      </c>
      <c r="I522">
        <v>376.45852661132812</v>
      </c>
      <c r="J522" s="19"/>
      <c r="K522" s="19"/>
      <c r="L522" s="205"/>
      <c r="M522" s="205"/>
      <c r="N522" s="205"/>
      <c r="O522" s="205"/>
      <c r="P522" s="205"/>
      <c r="Q522" s="205"/>
      <c r="R522" s="205"/>
      <c r="S522" s="205"/>
      <c r="T522">
        <v>0</v>
      </c>
      <c r="U522" s="205"/>
      <c r="V522" s="205"/>
      <c r="W522" s="205"/>
      <c r="X522" s="205"/>
      <c r="Y522" s="205"/>
      <c r="Z522" s="205"/>
      <c r="AA522" s="4"/>
      <c r="AB522">
        <v>0</v>
      </c>
      <c r="AC522" s="4"/>
      <c r="AD522" s="4"/>
      <c r="AE522" s="4"/>
      <c r="AF522" s="81"/>
      <c r="AG522" s="81"/>
      <c r="AH522" s="81"/>
      <c r="AI522" s="4"/>
      <c r="AJ522" s="81"/>
      <c r="AK522" s="81"/>
      <c r="AL522" s="81"/>
      <c r="AM522" s="43">
        <v>506</v>
      </c>
      <c r="AN522">
        <v>36.645773425033333</v>
      </c>
      <c r="AO522">
        <v>0.86051386041092859</v>
      </c>
      <c r="AP522">
        <v>1.0175631186209977</v>
      </c>
      <c r="AQ522">
        <v>6.6994951599571042</v>
      </c>
      <c r="AR522">
        <v>0.79536033857287203</v>
      </c>
      <c r="AS522">
        <v>3.0025220970590158</v>
      </c>
      <c r="AT522" t="e">
        <v>#DIV/0!</v>
      </c>
      <c r="AU522" t="e">
        <v>#DIV/0!</v>
      </c>
      <c r="AV522"/>
      <c r="AW522"/>
      <c r="FY522" s="211">
        <v>517</v>
      </c>
      <c r="FZ522">
        <v>1.2129145978357241</v>
      </c>
      <c r="GA522">
        <v>1.6677813029593984</v>
      </c>
      <c r="GB522">
        <v>0.63921861636121746</v>
      </c>
      <c r="GC522">
        <v>0.32344274719905747</v>
      </c>
      <c r="GD522">
        <v>9.7908467280547487E-2</v>
      </c>
      <c r="GE522">
        <v>8.377572757792498E-2</v>
      </c>
      <c r="GF522">
        <v>0.6538214796159032</v>
      </c>
      <c r="GG522">
        <v>0.66795476831121925</v>
      </c>
      <c r="GH522">
        <v>0.15603164258923619</v>
      </c>
      <c r="GI522">
        <v>0.53361265197922403</v>
      </c>
      <c r="GJ522"/>
      <c r="GK522">
        <v>1.2088143382352941</v>
      </c>
      <c r="GL522">
        <v>1.4046229319852941</v>
      </c>
      <c r="GM522">
        <v>1.0484648437499997</v>
      </c>
      <c r="GN522">
        <v>0.94854375000000002</v>
      </c>
      <c r="GO522">
        <v>0.37287187499999996</v>
      </c>
      <c r="GP522">
        <v>0.15745312499999997</v>
      </c>
      <c r="GQ522">
        <v>0.78903260869565206</v>
      </c>
      <c r="GR522">
        <v>0.92976177536231885</v>
      </c>
      <c r="GS522">
        <v>0.16502303685897435</v>
      </c>
      <c r="GT522">
        <v>0.71684134050798409</v>
      </c>
      <c r="GU522"/>
      <c r="GV522"/>
      <c r="GW522"/>
      <c r="GX522"/>
      <c r="GY522"/>
      <c r="GZ522"/>
      <c r="HA522"/>
      <c r="HB522"/>
      <c r="HC522"/>
    </row>
    <row r="523" spans="1:211" s="7" customFormat="1">
      <c r="A523" s="4"/>
      <c r="B523" s="4"/>
      <c r="C523" s="63"/>
      <c r="D523" s="63"/>
      <c r="E523" s="63" t="s">
        <v>102</v>
      </c>
      <c r="F523" s="101">
        <f>+I523/G520</f>
        <v>4.1570681548191439</v>
      </c>
      <c r="G523" s="63"/>
      <c r="H523" s="63" t="s">
        <v>103</v>
      </c>
      <c r="I523" s="123">
        <f>+I520*(365/I522)</f>
        <v>3.771080778986637</v>
      </c>
      <c r="J523" s="19"/>
      <c r="K523" s="19"/>
      <c r="L523" s="205"/>
      <c r="M523" s="205"/>
      <c r="N523" s="205"/>
      <c r="O523" s="205"/>
      <c r="P523" s="205"/>
      <c r="Q523" s="205"/>
      <c r="R523" s="205"/>
      <c r="S523" s="205"/>
      <c r="T523" s="205"/>
      <c r="U523" s="205"/>
      <c r="V523" s="205"/>
      <c r="W523" s="205"/>
      <c r="X523" s="205"/>
      <c r="Y523" s="205"/>
      <c r="Z523" s="205"/>
      <c r="AA523" s="4"/>
      <c r="AB523" s="4"/>
      <c r="AC523" s="4"/>
      <c r="AD523" s="4"/>
      <c r="AE523" s="4"/>
      <c r="AF523" s="81"/>
      <c r="AG523" s="81"/>
      <c r="AH523" s="81"/>
      <c r="AI523" s="4"/>
      <c r="AJ523" s="81"/>
      <c r="AK523" s="81"/>
      <c r="AL523" s="81"/>
      <c r="AM523" s="43">
        <v>507</v>
      </c>
      <c r="AN523">
        <v>37.640168929890798</v>
      </c>
      <c r="AO523">
        <v>0.76095833725337947</v>
      </c>
      <c r="AP523">
        <v>20.508707275115821</v>
      </c>
      <c r="AQ523">
        <v>5.0444271004010757</v>
      </c>
      <c r="AR523">
        <v>0.70626894295761777</v>
      </c>
      <c r="AS523">
        <v>2.9981192533402989</v>
      </c>
      <c r="AT523" t="e">
        <v>#DIV/0!</v>
      </c>
      <c r="AU523" t="e">
        <v>#DIV/0!</v>
      </c>
      <c r="AV523"/>
      <c r="AW523"/>
      <c r="FY523" s="211">
        <v>518</v>
      </c>
      <c r="FZ523">
        <v>0.74123781915479636</v>
      </c>
      <c r="GA523">
        <v>1.0281229048853406</v>
      </c>
      <c r="GB523">
        <v>1.3393080863288611</v>
      </c>
      <c r="GC523">
        <v>1.1566153003398179</v>
      </c>
      <c r="GD523">
        <v>0.38961840188080932</v>
      </c>
      <c r="GE523">
        <v>4.3360981258274998E-2</v>
      </c>
      <c r="GF523">
        <v>0.15986193049181252</v>
      </c>
      <c r="GG523">
        <v>0.29037012396173439</v>
      </c>
      <c r="GH523">
        <v>0.19956886013071873</v>
      </c>
      <c r="GI523">
        <v>0.71805353235815583</v>
      </c>
      <c r="GJ523"/>
      <c r="GK523">
        <v>0.73841249999999992</v>
      </c>
      <c r="GL523">
        <v>0.86550234375000001</v>
      </c>
      <c r="GM523">
        <v>2.1986807528409087</v>
      </c>
      <c r="GN523">
        <v>3.3920824269480514</v>
      </c>
      <c r="GO523">
        <v>1.4816008928571429</v>
      </c>
      <c r="GP523">
        <v>8.1421875000000005E-2</v>
      </c>
      <c r="GQ523">
        <v>0.19312499999999999</v>
      </c>
      <c r="GR523">
        <v>0.40421875000000002</v>
      </c>
      <c r="GS523">
        <v>0.21109375</v>
      </c>
      <c r="GT523">
        <v>0.96458257913961032</v>
      </c>
      <c r="GU523"/>
      <c r="GV523"/>
      <c r="GW523"/>
      <c r="GX523"/>
      <c r="GY523"/>
      <c r="GZ523"/>
      <c r="HA523"/>
      <c r="HB523"/>
      <c r="HC523"/>
    </row>
    <row r="524" spans="1:211" s="7" customFormat="1">
      <c r="A524" s="4"/>
      <c r="B524" s="4"/>
      <c r="C524" s="83"/>
      <c r="D524" s="83"/>
      <c r="E524" s="83"/>
      <c r="F524" s="4"/>
      <c r="G524" s="4"/>
      <c r="H524" s="4"/>
      <c r="I524" s="4"/>
      <c r="J524" s="4"/>
      <c r="K524" s="4"/>
      <c r="L524" s="205"/>
      <c r="M524" s="205"/>
      <c r="N524" s="205"/>
      <c r="O524" s="205"/>
      <c r="P524" s="205"/>
      <c r="Q524" s="205"/>
      <c r="R524" s="205"/>
      <c r="S524" s="205"/>
      <c r="T524" s="205"/>
      <c r="U524" s="205"/>
      <c r="V524" s="205"/>
      <c r="W524" s="205"/>
      <c r="X524" s="205"/>
      <c r="Y524" s="205"/>
      <c r="Z524" s="205"/>
      <c r="AA524" s="4"/>
      <c r="AB524" s="4"/>
      <c r="AC524" s="4"/>
      <c r="AD524" s="4"/>
      <c r="AE524" s="4"/>
      <c r="AF524" s="81"/>
      <c r="AG524" s="81"/>
      <c r="AH524" s="81"/>
      <c r="AI524" s="4"/>
      <c r="AJ524" s="81"/>
      <c r="AK524" s="81"/>
      <c r="AL524" s="81"/>
      <c r="AM524" s="43">
        <v>508</v>
      </c>
      <c r="AN524">
        <v>55.968750478173433</v>
      </c>
      <c r="AO524">
        <v>1.3546933468239721</v>
      </c>
      <c r="AP524">
        <v>1.4298864388509407</v>
      </c>
      <c r="AQ524">
        <v>9.988028890168918</v>
      </c>
      <c r="AR524">
        <v>1.2482365762210934</v>
      </c>
      <c r="AS524">
        <v>4.7805417412353304</v>
      </c>
      <c r="AT524">
        <v>0.89833557712410383</v>
      </c>
      <c r="AU524">
        <v>9.9132005484816405E-2</v>
      </c>
      <c r="AV524"/>
      <c r="AW524"/>
      <c r="FY524" s="211">
        <v>519</v>
      </c>
      <c r="FZ524">
        <v>0.95497720548700527</v>
      </c>
      <c r="GA524">
        <v>1.712405665984301</v>
      </c>
      <c r="GB524">
        <v>2.0511144348420229</v>
      </c>
      <c r="GC524">
        <v>1.0235565275798024</v>
      </c>
      <c r="GD524">
        <v>8.4614246772949278E-2</v>
      </c>
      <c r="GE524">
        <v>0.13393410496177499</v>
      </c>
      <c r="GF524">
        <v>8.1038194822856249E-2</v>
      </c>
      <c r="GG524">
        <v>0.10116381687628125</v>
      </c>
      <c r="GH524">
        <v>0.17901737842465987</v>
      </c>
      <c r="GI524">
        <v>0.73346981837921532</v>
      </c>
      <c r="GJ524"/>
      <c r="GK524">
        <v>0.95175183823529408</v>
      </c>
      <c r="GL524">
        <v>1.442298713235294</v>
      </c>
      <c r="GM524">
        <v>3.3674644886363634</v>
      </c>
      <c r="GN524">
        <v>3.0051153814935065</v>
      </c>
      <c r="GO524">
        <v>0.32183839285714289</v>
      </c>
      <c r="GP524">
        <v>0.25148437500000004</v>
      </c>
      <c r="GQ524">
        <v>9.768750000000001E-2</v>
      </c>
      <c r="GR524">
        <v>0.14072916666666666</v>
      </c>
      <c r="GS524">
        <v>0.18931690705128204</v>
      </c>
      <c r="GT524">
        <v>0.98561182535601655</v>
      </c>
      <c r="GU524"/>
      <c r="GV524"/>
      <c r="GW524"/>
      <c r="GX524"/>
      <c r="GY524"/>
      <c r="GZ524"/>
      <c r="HA524"/>
      <c r="HB524"/>
      <c r="HC524"/>
    </row>
    <row r="525" spans="1:211" s="7" customFormat="1">
      <c r="A525" s="4"/>
      <c r="B525" s="4"/>
      <c r="C525" s="83"/>
      <c r="D525" s="83"/>
      <c r="E525" s="83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81"/>
      <c r="AG525" s="81"/>
      <c r="AH525" s="81"/>
      <c r="AI525" s="4"/>
      <c r="AJ525" s="81"/>
      <c r="AK525" s="81"/>
      <c r="AL525" s="81"/>
      <c r="AM525" s="43">
        <v>509</v>
      </c>
      <c r="AN525">
        <v>46.636382554229428</v>
      </c>
      <c r="AO525">
        <v>1.0795681929081415</v>
      </c>
      <c r="AP525">
        <v>0.90982918864495543</v>
      </c>
      <c r="AQ525">
        <v>7.9232293114917649</v>
      </c>
      <c r="AR525">
        <v>1.0031585844619468</v>
      </c>
      <c r="AS525">
        <v>3.9035965017391114</v>
      </c>
      <c r="AT525" t="e">
        <v>#DIV/0!</v>
      </c>
      <c r="AU525" t="e">
        <v>#DIV/0!</v>
      </c>
      <c r="AV525"/>
      <c r="AW525"/>
      <c r="FY525" s="211">
        <v>520</v>
      </c>
      <c r="FZ525">
        <v>1.9354509927513455</v>
      </c>
      <c r="GA525">
        <v>2.9261538126235664</v>
      </c>
      <c r="GB525">
        <v>1.5559633099149468</v>
      </c>
      <c r="GC525">
        <v>0.87418070132919834</v>
      </c>
      <c r="GD525">
        <v>0.2102326567048125</v>
      </c>
      <c r="GE525">
        <v>5.0050519932599999E-2</v>
      </c>
      <c r="GF525">
        <v>0.49395954912409079</v>
      </c>
      <c r="GG525">
        <v>0.47874846122576609</v>
      </c>
      <c r="GH525">
        <v>6.6522953376906252E-2</v>
      </c>
      <c r="GI525">
        <v>0.88557215559565949</v>
      </c>
      <c r="GJ525"/>
      <c r="GK525">
        <v>1.9287786764705881</v>
      </c>
      <c r="GL525">
        <v>2.4646536764705882</v>
      </c>
      <c r="GM525">
        <v>2.5543267045454545</v>
      </c>
      <c r="GN525">
        <v>2.5647798295454542</v>
      </c>
      <c r="GO525">
        <v>0.799828125</v>
      </c>
      <c r="GP525">
        <v>9.4124999999999986E-2</v>
      </c>
      <c r="GQ525">
        <v>0.59590760869565207</v>
      </c>
      <c r="GR525">
        <v>0.66627219202898535</v>
      </c>
      <c r="GS525">
        <v>7.0364583333333328E-2</v>
      </c>
      <c r="GT525">
        <v>1.1898411396090056</v>
      </c>
      <c r="GU525"/>
      <c r="GV525"/>
      <c r="GW525"/>
      <c r="GX525"/>
      <c r="GY525"/>
      <c r="GZ525"/>
      <c r="HA525"/>
      <c r="HB525"/>
      <c r="HC525"/>
    </row>
    <row r="526" spans="1:211" s="7" customFormat="1">
      <c r="A526" s="4"/>
      <c r="B526" s="4"/>
      <c r="C526" s="83"/>
      <c r="D526" s="83"/>
      <c r="E526" s="83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81"/>
      <c r="AG526" s="81"/>
      <c r="AH526" s="81"/>
      <c r="AI526" s="4"/>
      <c r="AJ526" s="81"/>
      <c r="AK526" s="81"/>
      <c r="AL526" s="81"/>
      <c r="AM526" s="43">
        <v>510</v>
      </c>
      <c r="AN526">
        <v>17.860892984330484</v>
      </c>
      <c r="AO526">
        <v>0.37842438421474356</v>
      </c>
      <c r="AP526">
        <v>6.0703504190625033</v>
      </c>
      <c r="AQ526">
        <v>2.5602668386467258</v>
      </c>
      <c r="AR526">
        <v>0.34623070112179477</v>
      </c>
      <c r="AS526">
        <v>1.5177082513718365</v>
      </c>
      <c r="AT526" t="e">
        <v>#DIV/0!</v>
      </c>
      <c r="AU526" t="e">
        <v>#DIV/0!</v>
      </c>
      <c r="AV526"/>
      <c r="AW526"/>
      <c r="FY526" s="211">
        <v>521</v>
      </c>
      <c r="FZ526">
        <v>0.94776156491554153</v>
      </c>
      <c r="GA526">
        <v>1.4351700006300177</v>
      </c>
      <c r="GB526">
        <v>0.51850058102973273</v>
      </c>
      <c r="GC526">
        <v>0.46916617539934502</v>
      </c>
      <c r="GD526">
        <v>0.23061535049314932</v>
      </c>
      <c r="GE526">
        <v>4.8178868064749992E-3</v>
      </c>
      <c r="GF526">
        <v>0.31972386098362504</v>
      </c>
      <c r="GG526">
        <v>0.37841261417090627</v>
      </c>
      <c r="GH526">
        <v>0.15603164258923619</v>
      </c>
      <c r="GI526">
        <v>0.47998843575614097</v>
      </c>
      <c r="GJ526"/>
      <c r="GK526">
        <v>0.94451433823529407</v>
      </c>
      <c r="GL526">
        <v>1.2087955882352941</v>
      </c>
      <c r="GM526">
        <v>0.85092187499999994</v>
      </c>
      <c r="GN526">
        <v>1.3753071428571428</v>
      </c>
      <c r="GO526">
        <v>0.87740089285714307</v>
      </c>
      <c r="GP526">
        <v>9.0468749999999994E-3</v>
      </c>
      <c r="GQ526">
        <v>0.38624999999999998</v>
      </c>
      <c r="GR526">
        <v>0.52697916666666667</v>
      </c>
      <c r="GS526">
        <v>0.16502303685897435</v>
      </c>
      <c r="GT526">
        <v>0.64482202859028237</v>
      </c>
      <c r="GU526"/>
      <c r="GV526"/>
      <c r="GW526"/>
      <c r="GX526"/>
      <c r="GY526"/>
      <c r="GZ526"/>
      <c r="HA526"/>
      <c r="HB526"/>
      <c r="HC526"/>
    </row>
    <row r="527" spans="1:211" s="7" customFormat="1">
      <c r="A527" s="4"/>
      <c r="B527" s="4"/>
      <c r="C527" s="83"/>
      <c r="D527" s="83"/>
      <c r="E527" s="83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81"/>
      <c r="AG527" s="81"/>
      <c r="AH527" s="81"/>
      <c r="AI527" s="4"/>
      <c r="AJ527" s="81"/>
      <c r="AK527" s="81"/>
      <c r="AL527" s="81"/>
      <c r="AM527" s="43">
        <v>511</v>
      </c>
      <c r="AN527">
        <v>44.293082695963918</v>
      </c>
      <c r="AO527">
        <v>0.95834185038816955</v>
      </c>
      <c r="AP527">
        <v>9.9093686199789914</v>
      </c>
      <c r="AQ527">
        <v>7.7781961090016898</v>
      </c>
      <c r="AR527">
        <v>0.90240567037036379</v>
      </c>
      <c r="AS527">
        <v>3.6341063644621507</v>
      </c>
      <c r="AT527" t="e">
        <v>#DIV/0!</v>
      </c>
      <c r="AU527" t="e">
        <v>#DIV/0!</v>
      </c>
      <c r="AV527"/>
      <c r="AW527"/>
      <c r="FY527" s="211">
        <v>522</v>
      </c>
      <c r="FZ527">
        <v>1.3219739041992975</v>
      </c>
      <c r="GA527">
        <v>1.9816774920344602</v>
      </c>
      <c r="GB527">
        <v>2.5485708906793789</v>
      </c>
      <c r="GC527">
        <v>1.2835643584783401</v>
      </c>
      <c r="GD527">
        <v>4.2747142556539275E-2</v>
      </c>
      <c r="GE527">
        <v>4.0468675045275002E-2</v>
      </c>
      <c r="GF527">
        <v>0.36024295839505316</v>
      </c>
      <c r="GG527">
        <v>0.27724879729462504</v>
      </c>
      <c r="GH527">
        <v>4.5971471670847357E-2</v>
      </c>
      <c r="GI527">
        <v>0.91501567558340202</v>
      </c>
      <c r="GJ527"/>
      <c r="GK527">
        <v>1.317451838235294</v>
      </c>
      <c r="GL527">
        <v>1.6689791819852939</v>
      </c>
      <c r="GM527">
        <v>4.1849044744318178</v>
      </c>
      <c r="GN527">
        <v>3.7695936485389607</v>
      </c>
      <c r="GO527">
        <v>0.16257589285714286</v>
      </c>
      <c r="GP527">
        <v>7.5984375000000007E-2</v>
      </c>
      <c r="GQ527">
        <v>0.43509375</v>
      </c>
      <c r="GR527">
        <v>0.38624999999999998</v>
      </c>
      <c r="GS527">
        <v>4.8587740384615385E-2</v>
      </c>
      <c r="GT527">
        <v>1.229722739181774</v>
      </c>
      <c r="GU527"/>
      <c r="GV527"/>
      <c r="GW527"/>
      <c r="GX527"/>
      <c r="GY527"/>
      <c r="GZ527"/>
      <c r="HA527"/>
      <c r="HB527"/>
      <c r="HC527"/>
    </row>
    <row r="528" spans="1:211" s="7" customFormat="1">
      <c r="A528" s="4"/>
      <c r="B528" s="4"/>
      <c r="C528" s="83"/>
      <c r="F528" s="28"/>
      <c r="G528" s="28"/>
      <c r="H528" s="83"/>
      <c r="I528" s="4"/>
      <c r="J528" s="98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81"/>
      <c r="AG528" s="81"/>
      <c r="AH528" s="81"/>
      <c r="AI528" s="4"/>
      <c r="AJ528" s="81"/>
      <c r="AK528" s="81"/>
      <c r="AL528" s="81"/>
      <c r="AM528" s="43">
        <v>512</v>
      </c>
      <c r="AN528">
        <v>35.032842875398018</v>
      </c>
      <c r="AO528">
        <v>0.93040210970493953</v>
      </c>
      <c r="AP528">
        <v>1.117349558896781</v>
      </c>
      <c r="AQ528">
        <v>7.2196469642510595</v>
      </c>
      <c r="AR528">
        <v>0.85889511065833657</v>
      </c>
      <c r="AS528">
        <v>2.9753132036817571</v>
      </c>
      <c r="AT528" t="e">
        <v>#DIV/0!</v>
      </c>
      <c r="AU528" t="e">
        <v>#DIV/0!</v>
      </c>
      <c r="AV528"/>
      <c r="AW528"/>
      <c r="FY528" s="211">
        <v>523</v>
      </c>
      <c r="FZ528">
        <v>1.2275376628471819</v>
      </c>
      <c r="GA528">
        <v>1.4867329085997176</v>
      </c>
      <c r="GB528">
        <v>0.79666751364970767</v>
      </c>
      <c r="GC528">
        <v>0.57843169116328697</v>
      </c>
      <c r="GD528">
        <v>0.28677274657411178</v>
      </c>
      <c r="GE528">
        <v>0.16755145515584996</v>
      </c>
      <c r="GF528">
        <v>0.33409761863227821</v>
      </c>
      <c r="GG528">
        <v>0.34012406257845362</v>
      </c>
      <c r="GH528">
        <v>0.13548016088317727</v>
      </c>
      <c r="GI528">
        <v>0.62055177144603801</v>
      </c>
      <c r="GJ528"/>
      <c r="GK528">
        <v>1.223420588235294</v>
      </c>
      <c r="GL528">
        <v>1.252295588235294</v>
      </c>
      <c r="GM528">
        <v>1.3080298295454544</v>
      </c>
      <c r="GN528">
        <v>1.6965713474025972</v>
      </c>
      <c r="GO528">
        <v>1.0909165178571427</v>
      </c>
      <c r="GP528">
        <v>0.31490624999999994</v>
      </c>
      <c r="GQ528">
        <v>0.40278260869565213</v>
      </c>
      <c r="GR528">
        <v>0.47314719202898542</v>
      </c>
      <c r="GS528">
        <v>0.14324619391025639</v>
      </c>
      <c r="GT528">
        <v>0.83367914764875994</v>
      </c>
      <c r="GU528"/>
      <c r="GV528"/>
      <c r="GW528"/>
      <c r="GX528"/>
      <c r="GY528"/>
      <c r="GZ528"/>
      <c r="HA528"/>
      <c r="HB528"/>
      <c r="HC528"/>
    </row>
    <row r="529" spans="1:211" s="7" customFormat="1" ht="15.75">
      <c r="A529" s="4"/>
      <c r="B529" s="4"/>
      <c r="C529" s="125" t="s">
        <v>138</v>
      </c>
      <c r="D529" s="126"/>
      <c r="E529" s="81"/>
      <c r="F529" s="81"/>
      <c r="G529" s="81"/>
      <c r="H529" s="81"/>
      <c r="I529" s="81"/>
      <c r="J529" s="81"/>
      <c r="K529" s="98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81"/>
      <c r="AG529" s="81"/>
      <c r="AH529" s="81"/>
      <c r="AI529" s="4"/>
      <c r="AJ529" s="81"/>
      <c r="AK529" s="81"/>
      <c r="AL529" s="81"/>
      <c r="AM529" s="43">
        <v>513</v>
      </c>
      <c r="AN529">
        <v>28.737381079568582</v>
      </c>
      <c r="AO529">
        <v>0.61871523242902937</v>
      </c>
      <c r="AP529">
        <v>0.42320338807367508</v>
      </c>
      <c r="AQ529">
        <v>4.3496806642227979</v>
      </c>
      <c r="AR529">
        <v>0.59003204040750901</v>
      </c>
      <c r="AS529">
        <v>2.6133075632134237</v>
      </c>
      <c r="AT529">
        <v>0.47196278924976087</v>
      </c>
      <c r="AU529">
        <v>0.22989197819843055</v>
      </c>
      <c r="AV529"/>
      <c r="AW529"/>
      <c r="FY529" s="211">
        <v>524</v>
      </c>
      <c r="FZ529">
        <v>1.8845693109252624</v>
      </c>
      <c r="GA529">
        <v>2.3376996472929754</v>
      </c>
      <c r="GB529">
        <v>0.71313790609648464</v>
      </c>
      <c r="GC529">
        <v>0.75398153143048696</v>
      </c>
      <c r="GD529">
        <v>0.37728747170558669</v>
      </c>
      <c r="GE529">
        <v>0.10310120352945001</v>
      </c>
      <c r="GF529">
        <v>0.70871433467598444</v>
      </c>
      <c r="GG529">
        <v>0.68024812515690725</v>
      </c>
      <c r="GH529">
        <v>0.15603164258923619</v>
      </c>
      <c r="GI529">
        <v>0.81933038478318099</v>
      </c>
      <c r="GJ529"/>
      <c r="GK529">
        <v>1.8781724264705879</v>
      </c>
      <c r="GL529">
        <v>1.969074770220588</v>
      </c>
      <c r="GM529">
        <v>1.1708384232954543</v>
      </c>
      <c r="GN529">
        <v>2.2103213474025973</v>
      </c>
      <c r="GO529">
        <v>1.4345102678571426</v>
      </c>
      <c r="GP529">
        <v>0.19359375000000001</v>
      </c>
      <c r="GQ529">
        <v>0.85440896739130423</v>
      </c>
      <c r="GR529">
        <v>0.94629438405797084</v>
      </c>
      <c r="GS529">
        <v>0.16502303685897435</v>
      </c>
      <c r="GT529">
        <v>1.1005906243746928</v>
      </c>
      <c r="GU529"/>
      <c r="GV529"/>
      <c r="GW529"/>
      <c r="GX529"/>
      <c r="GY529"/>
      <c r="GZ529"/>
      <c r="HA529"/>
      <c r="HB529"/>
      <c r="HC529"/>
    </row>
    <row r="530" spans="1:211" s="7" customFormat="1">
      <c r="A530" s="4"/>
      <c r="B530" s="4"/>
      <c r="C530" s="99" t="s">
        <v>139</v>
      </c>
      <c r="D530" s="99" t="s">
        <v>23</v>
      </c>
      <c r="E530" s="99" t="s">
        <v>80</v>
      </c>
      <c r="F530" s="99"/>
      <c r="G530" s="99" t="s">
        <v>82</v>
      </c>
      <c r="H530" s="99" t="s">
        <v>140</v>
      </c>
      <c r="I530" s="99" t="s">
        <v>0</v>
      </c>
      <c r="J530" s="99" t="s">
        <v>1</v>
      </c>
      <c r="K530" s="106" t="s">
        <v>2</v>
      </c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81"/>
      <c r="AG530" s="81"/>
      <c r="AH530" s="81"/>
      <c r="AI530" s="4"/>
      <c r="AJ530" s="81"/>
      <c r="AK530" s="81"/>
      <c r="AL530" s="81"/>
      <c r="AM530" s="43">
        <v>514</v>
      </c>
      <c r="AN530">
        <v>44.365961917096818</v>
      </c>
      <c r="AO530">
        <v>0.97547353451807128</v>
      </c>
      <c r="AP530">
        <v>1.0683284629077099</v>
      </c>
      <c r="AQ530">
        <v>6.7739873122246506</v>
      </c>
      <c r="AR530">
        <v>0.89986913321572914</v>
      </c>
      <c r="AS530">
        <v>3.7041063121828763</v>
      </c>
      <c r="AT530" t="e">
        <v>#DIV/0!</v>
      </c>
      <c r="AU530" t="e">
        <v>#DIV/0!</v>
      </c>
      <c r="AV530"/>
      <c r="AW530"/>
      <c r="FY530" s="211">
        <v>525</v>
      </c>
      <c r="FZ530">
        <v>0.79209071982213186</v>
      </c>
      <c r="GA530">
        <v>1.2645258843960194</v>
      </c>
      <c r="GB530">
        <v>1.4972820741871977</v>
      </c>
      <c r="GC530">
        <v>0.91510198066609461</v>
      </c>
      <c r="GD530">
        <v>0.26679721369148673</v>
      </c>
      <c r="GE530">
        <v>0.14533367299132499</v>
      </c>
      <c r="GF530">
        <v>0.31972386098362504</v>
      </c>
      <c r="GG530">
        <v>0.27724879729462504</v>
      </c>
      <c r="GH530">
        <v>2.2985735835423678E-2</v>
      </c>
      <c r="GI530">
        <v>0.69558761241008615</v>
      </c>
      <c r="GJ530"/>
      <c r="GK530">
        <v>0.78924374999999991</v>
      </c>
      <c r="GL530">
        <v>1.06473984375</v>
      </c>
      <c r="GM530">
        <v>2.458376065340909</v>
      </c>
      <c r="GN530">
        <v>2.6853746144480515</v>
      </c>
      <c r="GO530">
        <v>1.0148852678571427</v>
      </c>
      <c r="GP530">
        <v>0.27332812500000003</v>
      </c>
      <c r="GQ530">
        <v>0.38624999999999998</v>
      </c>
      <c r="GR530">
        <v>0.38624999999999998</v>
      </c>
      <c r="GS530">
        <v>2.4293870192307693E-2</v>
      </c>
      <c r="GT530">
        <v>0.93460979067807182</v>
      </c>
      <c r="GU530"/>
      <c r="GV530"/>
      <c r="GW530"/>
      <c r="GX530"/>
      <c r="GY530"/>
      <c r="GZ530"/>
      <c r="HA530"/>
      <c r="HB530"/>
      <c r="HC530"/>
    </row>
    <row r="531" spans="1:211" s="7" customFormat="1">
      <c r="A531" s="4"/>
      <c r="B531" s="4"/>
      <c r="C531" s="116">
        <f>C4</f>
        <v>39646</v>
      </c>
      <c r="D531" s="101">
        <f>D70</f>
        <v>8.3333333333333321</v>
      </c>
      <c r="E531" s="108">
        <f>E405</f>
        <v>2.0936520722287327E-2</v>
      </c>
      <c r="F531" s="102"/>
      <c r="G531" s="101">
        <f>D531*E531</f>
        <v>0.17447100601906104</v>
      </c>
      <c r="H531" s="101"/>
      <c r="I531" s="101"/>
      <c r="J531" s="101"/>
      <c r="K531" s="101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81"/>
      <c r="AG531" s="81"/>
      <c r="AH531" s="81"/>
      <c r="AI531" s="4"/>
      <c r="AJ531" s="81"/>
      <c r="AK531" s="81"/>
      <c r="AL531" s="81"/>
      <c r="AM531" s="43">
        <v>515</v>
      </c>
      <c r="AN531">
        <v>24.833524675896001</v>
      </c>
      <c r="AO531">
        <v>0.64038197463841295</v>
      </c>
      <c r="AP531">
        <v>2.7901710257281218</v>
      </c>
      <c r="AQ531">
        <v>4.3107359470485189</v>
      </c>
      <c r="AR531">
        <v>0.59524044241603968</v>
      </c>
      <c r="AS531">
        <v>1.9777819013898246</v>
      </c>
      <c r="AT531" t="e">
        <v>#DIV/0!</v>
      </c>
      <c r="AU531" t="e">
        <v>#DIV/0!</v>
      </c>
      <c r="AV531"/>
      <c r="AW531"/>
      <c r="FY531" s="211">
        <v>526</v>
      </c>
      <c r="FZ531">
        <v>1.6574606611787901</v>
      </c>
      <c r="GA531">
        <v>2.6171048916191104</v>
      </c>
      <c r="GB531">
        <v>1.9993989815661828</v>
      </c>
      <c r="GC531">
        <v>1.1095231047150447</v>
      </c>
      <c r="GD531">
        <v>0.16985052359820002</v>
      </c>
      <c r="GE531">
        <v>2.6015014625850003E-2</v>
      </c>
      <c r="GF531">
        <v>0.5344786465355188</v>
      </c>
      <c r="GG531">
        <v>0.57991227810204737</v>
      </c>
      <c r="GH531">
        <v>0.24554033180156609</v>
      </c>
      <c r="GI531">
        <v>0.96528948613265808</v>
      </c>
      <c r="GJ531"/>
      <c r="GK531">
        <v>1.6519255514705879</v>
      </c>
      <c r="GL531">
        <v>2.204499770220588</v>
      </c>
      <c r="GM531">
        <v>3.2830074573863635</v>
      </c>
      <c r="GN531">
        <v>3.2568394886363632</v>
      </c>
      <c r="GO531">
        <v>0.64593750000000005</v>
      </c>
      <c r="GP531">
        <v>4.8843750000000005E-2</v>
      </c>
      <c r="GQ531">
        <v>0.64475135869565214</v>
      </c>
      <c r="GR531">
        <v>0.80700135869565215</v>
      </c>
      <c r="GS531">
        <v>0.25968149038461541</v>
      </c>
      <c r="GT531">
        <v>1.2970606715874438</v>
      </c>
      <c r="GU531"/>
      <c r="GV531"/>
      <c r="GW531"/>
      <c r="GX531"/>
      <c r="GY531"/>
      <c r="GZ531"/>
      <c r="HA531"/>
      <c r="HB531"/>
      <c r="HC531"/>
    </row>
    <row r="532" spans="1:211" s="7" customFormat="1">
      <c r="A532" s="4"/>
      <c r="B532" s="4"/>
      <c r="C532" s="63"/>
      <c r="D532" s="101"/>
      <c r="E532" s="63"/>
      <c r="F532" s="63"/>
      <c r="G532" s="101"/>
      <c r="H532" s="101">
        <f>E533-E531</f>
        <v>-3.4355381500646848E-5</v>
      </c>
      <c r="I532" s="101">
        <f>AVERAGE(D531:D533)</f>
        <v>50.124591503267972</v>
      </c>
      <c r="J532" s="101">
        <f>I532*H532</f>
        <v>-1.7220494636588527E-3</v>
      </c>
      <c r="K532" s="61">
        <f>J532/(C533-C531)</f>
        <v>-6.3779609765142689E-5</v>
      </c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81"/>
      <c r="AG532" s="81"/>
      <c r="AH532" s="81"/>
      <c r="AI532" s="4"/>
      <c r="AJ532" s="81"/>
      <c r="AK532" s="81"/>
      <c r="AL532" s="81"/>
      <c r="AM532" s="43">
        <v>516</v>
      </c>
      <c r="AN532">
        <v>47.437678521334206</v>
      </c>
      <c r="AO532">
        <v>0.97752352795177411</v>
      </c>
      <c r="AP532">
        <v>17.543860688552066</v>
      </c>
      <c r="AQ532">
        <v>7.240301436241916</v>
      </c>
      <c r="AR532">
        <v>0.89307481999112337</v>
      </c>
      <c r="AS532">
        <v>3.7515055673079063</v>
      </c>
      <c r="AT532" t="e">
        <v>#DIV/0!</v>
      </c>
      <c r="AU532" t="e">
        <v>#DIV/0!</v>
      </c>
      <c r="AV532"/>
      <c r="AW532"/>
      <c r="FY532" s="211">
        <v>527</v>
      </c>
      <c r="FZ532">
        <v>1.2238684167415443</v>
      </c>
      <c r="GA532">
        <v>1.7586530055653404</v>
      </c>
      <c r="GB532">
        <v>0.45698517676612971</v>
      </c>
      <c r="GC532">
        <v>0.22988209871957935</v>
      </c>
      <c r="GD532">
        <v>0.17341482675648853</v>
      </c>
      <c r="GE532">
        <v>0.24559649903339995</v>
      </c>
      <c r="GF532">
        <v>0.61551684135837503</v>
      </c>
      <c r="GG532">
        <v>0.4281665527876255</v>
      </c>
      <c r="GH532">
        <v>0</v>
      </c>
      <c r="GI532">
        <v>0.50202352570479469</v>
      </c>
      <c r="GJ532"/>
      <c r="GK532">
        <v>1.2196705882352938</v>
      </c>
      <c r="GL532">
        <v>1.4811627757352941</v>
      </c>
      <c r="GM532">
        <v>0.74973437500000006</v>
      </c>
      <c r="GN532">
        <v>0.67406272321428573</v>
      </c>
      <c r="GO532">
        <v>0.66010178571428568</v>
      </c>
      <c r="GP532">
        <v>0.46143749999999994</v>
      </c>
      <c r="GQ532">
        <v>0.74243885869565207</v>
      </c>
      <c r="GR532">
        <v>0.59590760869565207</v>
      </c>
      <c r="GS532">
        <v>0</v>
      </c>
      <c r="GT532">
        <v>0.67438912152904629</v>
      </c>
      <c r="GU532"/>
      <c r="GV532"/>
      <c r="GW532"/>
      <c r="GX532"/>
      <c r="GY532"/>
      <c r="GZ532"/>
      <c r="HA532"/>
      <c r="HB532"/>
      <c r="HC532"/>
    </row>
    <row r="533" spans="1:211" s="7" customFormat="1">
      <c r="A533" s="4"/>
      <c r="B533" s="4"/>
      <c r="C533" s="117">
        <f>C5</f>
        <v>39673</v>
      </c>
      <c r="D533" s="101">
        <f>D71</f>
        <v>91.915849673202615</v>
      </c>
      <c r="E533" s="108">
        <f>E406</f>
        <v>2.090216534078668E-2</v>
      </c>
      <c r="F533" s="102"/>
      <c r="G533" s="101">
        <f>D533*E533</f>
        <v>1.9212402873081744</v>
      </c>
      <c r="H533" s="101"/>
      <c r="I533" s="101"/>
      <c r="J533" s="101"/>
      <c r="K533" s="101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81"/>
      <c r="AG533" s="81"/>
      <c r="AH533" s="81"/>
      <c r="AI533" s="4"/>
      <c r="AJ533" s="81"/>
      <c r="AK533" s="81"/>
      <c r="AL533" s="81"/>
      <c r="AM533" s="43">
        <v>517</v>
      </c>
      <c r="AN533">
        <v>34.739057945967311</v>
      </c>
      <c r="AO533">
        <v>0.77414296253955162</v>
      </c>
      <c r="AP533">
        <v>8.0871953743188172</v>
      </c>
      <c r="AQ533">
        <v>6.0364620017094524</v>
      </c>
      <c r="AR533">
        <v>0.71684134050798409</v>
      </c>
      <c r="AS533">
        <v>2.8773615652871021</v>
      </c>
      <c r="AT533" t="e">
        <v>#DIV/0!</v>
      </c>
      <c r="AU533" t="e">
        <v>#DIV/0!</v>
      </c>
      <c r="AV533"/>
      <c r="AW533"/>
      <c r="FY533" s="211">
        <v>528</v>
      </c>
      <c r="FZ533">
        <v>0.90462748842281226</v>
      </c>
      <c r="GA533">
        <v>1.4239636693736415</v>
      </c>
      <c r="GB533">
        <v>0.43306428165350619</v>
      </c>
      <c r="GC533">
        <v>0.11351185864626562</v>
      </c>
      <c r="GD533">
        <v>8.60549539750875E-2</v>
      </c>
      <c r="GE533">
        <v>0.15796961026852496</v>
      </c>
      <c r="GF533">
        <v>0.36024295839505316</v>
      </c>
      <c r="GG533">
        <v>0.27724879729462504</v>
      </c>
      <c r="GH533">
        <v>2.2985735835423678E-2</v>
      </c>
      <c r="GI533">
        <v>0.35712887561371287</v>
      </c>
      <c r="GJ533"/>
      <c r="GK533">
        <v>0.90149999999999986</v>
      </c>
      <c r="GL533">
        <v>1.1991796875</v>
      </c>
      <c r="GM533">
        <v>0.71053124999999995</v>
      </c>
      <c r="GN533">
        <v>0.33316406249999997</v>
      </c>
      <c r="GO533">
        <v>0.32760937499999998</v>
      </c>
      <c r="GP533">
        <v>0.29676562500000003</v>
      </c>
      <c r="GQ533">
        <v>0.43509375</v>
      </c>
      <c r="GR533">
        <v>0.38624999999999998</v>
      </c>
      <c r="GS533">
        <v>2.4293870192307693E-2</v>
      </c>
      <c r="GT533">
        <v>0.47980564903846146</v>
      </c>
      <c r="GU533"/>
      <c r="GV533"/>
      <c r="GW533"/>
      <c r="GX533"/>
      <c r="GY533"/>
      <c r="GZ533"/>
      <c r="HA533"/>
      <c r="HB533"/>
      <c r="HC533"/>
    </row>
    <row r="534" spans="1:211" s="7" customFormat="1">
      <c r="A534" s="4"/>
      <c r="B534" s="4"/>
      <c r="C534" s="63" t="s">
        <v>99</v>
      </c>
      <c r="D534" s="101"/>
      <c r="E534" s="63"/>
      <c r="F534" s="63"/>
      <c r="G534" s="101"/>
      <c r="H534" s="101">
        <f>E535-E533</f>
        <v>9.4350703347817477E-6</v>
      </c>
      <c r="I534" s="101">
        <f>AVERAGE(D533:D535)</f>
        <v>75.645424836601308</v>
      </c>
      <c r="J534" s="101">
        <f>I534*H534</f>
        <v>7.1371990383777939E-4</v>
      </c>
      <c r="K534" s="61">
        <f>J534/(C535-C533)</f>
        <v>1.7407802532628766E-5</v>
      </c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81"/>
      <c r="AG534" s="81"/>
      <c r="AH534" s="81"/>
      <c r="AI534" s="4"/>
      <c r="AJ534" s="81"/>
      <c r="AK534" s="81"/>
      <c r="AL534" s="81"/>
      <c r="AM534" s="43">
        <v>518</v>
      </c>
      <c r="AN534">
        <v>46.618427579365076</v>
      </c>
      <c r="AO534">
        <v>1.0530720870535712</v>
      </c>
      <c r="AP534">
        <v>3.0365600309752381</v>
      </c>
      <c r="AQ534">
        <v>6.0661179407903223</v>
      </c>
      <c r="AR534">
        <v>0.96458257913961043</v>
      </c>
      <c r="AS534">
        <v>3.956098092942177</v>
      </c>
      <c r="AT534" t="e">
        <v>#DIV/0!</v>
      </c>
      <c r="AU534" t="e">
        <v>#DIV/0!</v>
      </c>
      <c r="AV534"/>
      <c r="AW534"/>
      <c r="FY534" s="211">
        <v>529</v>
      </c>
      <c r="FZ534">
        <v>1.9808200997952106</v>
      </c>
      <c r="GA534">
        <v>2.6236054327758329</v>
      </c>
      <c r="GB534">
        <v>1.221543679620561</v>
      </c>
      <c r="GC534">
        <v>0.71239309464245038</v>
      </c>
      <c r="GD534">
        <v>0.14918554689252106</v>
      </c>
      <c r="GE534">
        <v>0.11460862901025</v>
      </c>
      <c r="GF534">
        <v>4.0519097411428125E-2</v>
      </c>
      <c r="GG534">
        <v>5.0581908438140623E-2</v>
      </c>
      <c r="GH534">
        <v>0.11249442504775362</v>
      </c>
      <c r="GI534">
        <v>0.70181921604702335</v>
      </c>
      <c r="GJ534"/>
      <c r="GK534">
        <v>1.974031801470588</v>
      </c>
      <c r="GL534">
        <v>2.2096841452205878</v>
      </c>
      <c r="GM534">
        <v>2.0056807528409086</v>
      </c>
      <c r="GN534">
        <v>2.0916083198051947</v>
      </c>
      <c r="GO534">
        <v>0.56776741071428571</v>
      </c>
      <c r="GP534">
        <v>0.21534374999999997</v>
      </c>
      <c r="GQ534">
        <v>4.8843750000000005E-2</v>
      </c>
      <c r="GR534">
        <v>7.0364583333333328E-2</v>
      </c>
      <c r="GS534">
        <v>0.11895232371794871</v>
      </c>
      <c r="GT534">
        <v>0.94305520774874618</v>
      </c>
      <c r="GU534"/>
      <c r="GV534"/>
      <c r="GW534"/>
      <c r="GX534"/>
      <c r="GY534"/>
      <c r="GZ534"/>
      <c r="HA534"/>
      <c r="HB534"/>
      <c r="HC534"/>
    </row>
    <row r="535" spans="1:211" s="7" customFormat="1">
      <c r="A535" s="4"/>
      <c r="B535" s="4"/>
      <c r="C535" s="117">
        <f>C6</f>
        <v>39714</v>
      </c>
      <c r="D535" s="101">
        <f>D72</f>
        <v>59.375</v>
      </c>
      <c r="E535" s="108">
        <f>E407</f>
        <v>2.0911600411121462E-2</v>
      </c>
      <c r="F535" s="102"/>
      <c r="G535" s="101">
        <f>D535*E535</f>
        <v>1.2416262744103368</v>
      </c>
      <c r="H535" s="101"/>
      <c r="I535" s="101"/>
      <c r="J535" s="101"/>
      <c r="K535" s="101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81"/>
      <c r="AG535" s="81"/>
      <c r="AH535" s="81"/>
      <c r="AI535" s="4"/>
      <c r="AJ535" s="81"/>
      <c r="AK535" s="81"/>
      <c r="AL535" s="81"/>
      <c r="AM535" s="43">
        <v>519</v>
      </c>
      <c r="AN535">
        <v>39.348584326893146</v>
      </c>
      <c r="AO535">
        <v>1.0753298588531568</v>
      </c>
      <c r="AP535">
        <v>2.5833279736871422</v>
      </c>
      <c r="AQ535">
        <v>7.0552913941308679</v>
      </c>
      <c r="AR535">
        <v>0.98561182535601644</v>
      </c>
      <c r="AS535">
        <v>3.6906542519642289</v>
      </c>
      <c r="AT535" t="e">
        <v>#DIV/0!</v>
      </c>
      <c r="AU535" t="e">
        <v>#DIV/0!</v>
      </c>
      <c r="AV535"/>
      <c r="AW535"/>
      <c r="FY535" s="211">
        <v>530</v>
      </c>
      <c r="FZ535">
        <v>1.0863268800554473</v>
      </c>
      <c r="GA535">
        <v>1.0446279216126297</v>
      </c>
      <c r="GB535">
        <v>1.0460031870410367</v>
      </c>
      <c r="GC535">
        <v>0.801854033353534</v>
      </c>
      <c r="GD535">
        <v>0.19555008130172244</v>
      </c>
      <c r="GE535">
        <v>3.8543094451799993E-2</v>
      </c>
      <c r="GF535">
        <v>0</v>
      </c>
      <c r="GG535">
        <v>0</v>
      </c>
      <c r="GH535">
        <v>2.2985735835423678E-2</v>
      </c>
      <c r="GI535">
        <v>0.53108301146282888</v>
      </c>
      <c r="GJ535"/>
      <c r="GK535">
        <v>1.0823999999999998</v>
      </c>
      <c r="GL535">
        <v>0.87952499999999989</v>
      </c>
      <c r="GM535">
        <v>1.7171782670454545</v>
      </c>
      <c r="GN535">
        <v>2.3522688920454549</v>
      </c>
      <c r="GO535">
        <v>0.74365312499999991</v>
      </c>
      <c r="GP535">
        <v>7.2374999999999995E-2</v>
      </c>
      <c r="GQ535">
        <v>0</v>
      </c>
      <c r="GR535">
        <v>0</v>
      </c>
      <c r="GS535">
        <v>2.4293870192307693E-2</v>
      </c>
      <c r="GT535">
        <v>0.71350505244755247</v>
      </c>
      <c r="GU535"/>
      <c r="GV535"/>
      <c r="GW535"/>
      <c r="GX535"/>
      <c r="GY535"/>
      <c r="GZ535"/>
      <c r="HA535"/>
      <c r="HB535"/>
      <c r="HC535"/>
    </row>
    <row r="536" spans="1:211" s="7" customFormat="1">
      <c r="A536" s="4"/>
      <c r="B536" s="4"/>
      <c r="C536" s="63"/>
      <c r="D536" s="101"/>
      <c r="E536" s="63"/>
      <c r="F536" s="63"/>
      <c r="G536" s="101"/>
      <c r="H536" s="101">
        <f>E537-E535</f>
        <v>-1.3024864078156617E-5</v>
      </c>
      <c r="I536" s="101">
        <f>AVERAGE(D535:D537)</f>
        <v>47.482638888888886</v>
      </c>
      <c r="J536" s="101">
        <f>I536*H536</f>
        <v>-6.1845491759997132E-4</v>
      </c>
      <c r="K536" s="61">
        <f>J536/(C537-C535)</f>
        <v>-1.8741058109090038E-5</v>
      </c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81"/>
      <c r="AG536" s="81"/>
      <c r="AH536" s="81"/>
      <c r="AI536" s="4"/>
      <c r="AJ536" s="81"/>
      <c r="AK536" s="81"/>
      <c r="AL536" s="81"/>
      <c r="AM536" s="43">
        <v>520</v>
      </c>
      <c r="AN536">
        <v>52.238445462726169</v>
      </c>
      <c r="AO536">
        <v>1.2928877535699062</v>
      </c>
      <c r="AP536">
        <v>6.7912242389897832</v>
      </c>
      <c r="AQ536">
        <v>9.4768351125788914</v>
      </c>
      <c r="AR536">
        <v>1.1898411396090056</v>
      </c>
      <c r="AS536">
        <v>4.262437518269806</v>
      </c>
      <c r="AT536" t="e">
        <v>#DIV/0!</v>
      </c>
      <c r="AU536" t="e">
        <v>#DIV/0!</v>
      </c>
      <c r="AV536"/>
      <c r="AW536"/>
      <c r="FY536" s="211">
        <v>531</v>
      </c>
      <c r="FZ536">
        <v>1.1548460565969245</v>
      </c>
      <c r="GA536">
        <v>1.6265205657799311</v>
      </c>
      <c r="GB536">
        <v>0.51271388259253592</v>
      </c>
      <c r="GC536">
        <v>0.27562778771258367</v>
      </c>
      <c r="GD536">
        <v>9.9829229263984284E-2</v>
      </c>
      <c r="GE536">
        <v>0.10791909033592499</v>
      </c>
      <c r="GF536">
        <v>4.0519097411428125E-2</v>
      </c>
      <c r="GG536">
        <v>5.0581908438140623E-2</v>
      </c>
      <c r="GH536">
        <v>6.6522953376906252E-2</v>
      </c>
      <c r="GI536">
        <v>0.37084850496675947</v>
      </c>
      <c r="GJ536"/>
      <c r="GK536">
        <v>1.1507455882352939</v>
      </c>
      <c r="GL536">
        <v>1.369698713235294</v>
      </c>
      <c r="GM536">
        <v>0.84114062499999998</v>
      </c>
      <c r="GN536">
        <v>0.80830401785714279</v>
      </c>
      <c r="GO536">
        <v>0.3797571428571429</v>
      </c>
      <c r="GP536">
        <v>0.20264062499999999</v>
      </c>
      <c r="GQ536">
        <v>4.8843750000000005E-2</v>
      </c>
      <c r="GR536">
        <v>7.0364583333333328E-2</v>
      </c>
      <c r="GS536">
        <v>7.0364583333333328E-2</v>
      </c>
      <c r="GT536">
        <v>0.49817033788515408</v>
      </c>
      <c r="GU536"/>
      <c r="GV536"/>
      <c r="GW536"/>
      <c r="GX536"/>
      <c r="GY536"/>
      <c r="GZ536"/>
      <c r="HA536"/>
      <c r="HB536"/>
      <c r="HC536"/>
    </row>
    <row r="537" spans="1:211" s="7" customFormat="1">
      <c r="A537" s="4"/>
      <c r="B537" s="4"/>
      <c r="C537" s="117">
        <f>C7</f>
        <v>39747</v>
      </c>
      <c r="D537" s="101">
        <f>D73</f>
        <v>35.590277777777779</v>
      </c>
      <c r="E537" s="108">
        <f>E408</f>
        <v>2.0898575547043306E-2</v>
      </c>
      <c r="F537" s="102"/>
      <c r="G537" s="101">
        <f>D537*E537</f>
        <v>0.74378610887914542</v>
      </c>
      <c r="H537" s="101"/>
      <c r="I537" s="101"/>
      <c r="J537" s="101"/>
      <c r="K537" s="101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81"/>
      <c r="AG537" s="81"/>
      <c r="AH537" s="81"/>
      <c r="AI537" s="4"/>
      <c r="AJ537" s="81"/>
      <c r="AK537" s="81"/>
      <c r="AL537" s="81"/>
      <c r="AM537" s="43">
        <v>521</v>
      </c>
      <c r="AN537">
        <v>30.489022361081187</v>
      </c>
      <c r="AO537">
        <v>0.69890609443007967</v>
      </c>
      <c r="AP537">
        <v>4.0637276822647657</v>
      </c>
      <c r="AQ537">
        <v>4.9401881127741696</v>
      </c>
      <c r="AR537">
        <v>0.64482202859028215</v>
      </c>
      <c r="AS537">
        <v>2.3898982324632732</v>
      </c>
      <c r="AT537" t="e">
        <v>#DIV/0!</v>
      </c>
      <c r="AU537" t="e">
        <v>#DIV/0!</v>
      </c>
      <c r="AV537"/>
      <c r="AW537"/>
      <c r="FY537" s="211">
        <v>532</v>
      </c>
      <c r="FZ537">
        <v>1.6393601339302253</v>
      </c>
      <c r="GA537">
        <v>2.2324730412005174</v>
      </c>
      <c r="GB537">
        <v>1.0440964952180332</v>
      </c>
      <c r="GC537">
        <v>0.5614919320104057</v>
      </c>
      <c r="GD537">
        <v>0.13645912279159925</v>
      </c>
      <c r="GE537">
        <v>0.18500527923952501</v>
      </c>
      <c r="GF537">
        <v>4.0519097411428125E-2</v>
      </c>
      <c r="GG537">
        <v>5.0581908438140623E-2</v>
      </c>
      <c r="GH537">
        <v>6.6522953376906252E-2</v>
      </c>
      <c r="GI537">
        <v>0.59331733732345504</v>
      </c>
      <c r="GJ537"/>
      <c r="GK537">
        <v>1.6337005514705882</v>
      </c>
      <c r="GL537">
        <v>1.8803216452205882</v>
      </c>
      <c r="GM537">
        <v>1.7139790482954544</v>
      </c>
      <c r="GN537">
        <v>1.6480557224025973</v>
      </c>
      <c r="GO537">
        <v>0.51908839285714281</v>
      </c>
      <c r="GP537">
        <v>0.34739062500000001</v>
      </c>
      <c r="GQ537">
        <v>4.8843750000000005E-2</v>
      </c>
      <c r="GR537">
        <v>7.0364583333333328E-2</v>
      </c>
      <c r="GS537">
        <v>7.0364583333333328E-2</v>
      </c>
      <c r="GT537">
        <v>0.79719526519130368</v>
      </c>
      <c r="GU537"/>
      <c r="GV537"/>
      <c r="GW537"/>
      <c r="GX537"/>
      <c r="GY537"/>
      <c r="GZ537"/>
      <c r="HA537"/>
      <c r="HB537"/>
      <c r="HC537"/>
    </row>
    <row r="538" spans="1:211" s="7" customFormat="1">
      <c r="A538" s="4"/>
      <c r="B538" s="4"/>
      <c r="C538" s="63"/>
      <c r="D538" s="101"/>
      <c r="E538" s="63"/>
      <c r="F538" s="63"/>
      <c r="G538" s="101"/>
      <c r="H538" s="101">
        <f>E539-E537</f>
        <v>-2.0928521299416747E-5</v>
      </c>
      <c r="I538" s="101">
        <f>AVERAGE(D537:D539)</f>
        <v>63.509424603174594</v>
      </c>
      <c r="J538" s="101">
        <f>I538*H538</f>
        <v>-1.3291583455212414E-3</v>
      </c>
      <c r="K538" s="61">
        <f>J538/(C539-C537)</f>
        <v>-4.7469940911472904E-5</v>
      </c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81"/>
      <c r="AG538" s="81"/>
      <c r="AH538" s="81"/>
      <c r="AI538" s="4"/>
      <c r="AJ538" s="81"/>
      <c r="AK538" s="81"/>
      <c r="AL538" s="81"/>
      <c r="AM538" s="43">
        <v>522</v>
      </c>
      <c r="AN538">
        <v>44.197253308374641</v>
      </c>
      <c r="AO538">
        <v>1.3279143640614899</v>
      </c>
      <c r="AP538">
        <v>2.6407262233134392</v>
      </c>
      <c r="AQ538">
        <v>8.8174813659372191</v>
      </c>
      <c r="AR538">
        <v>1.2297227391817735</v>
      </c>
      <c r="AS538">
        <v>4.9657408913634171</v>
      </c>
      <c r="AT538" t="e">
        <v>#DIV/0!</v>
      </c>
      <c r="AU538" t="e">
        <v>#DIV/0!</v>
      </c>
      <c r="AV538"/>
      <c r="AW538"/>
      <c r="FY538" s="211">
        <v>533</v>
      </c>
      <c r="FZ538">
        <v>0.93680774600972105</v>
      </c>
      <c r="GA538">
        <v>1.0610507359088934</v>
      </c>
      <c r="GB538">
        <v>0.15443888143187107</v>
      </c>
      <c r="GC538">
        <v>0.32671129048499808</v>
      </c>
      <c r="GD538">
        <v>0.22313780406103501</v>
      </c>
      <c r="GE538">
        <v>0.15513123278114999</v>
      </c>
      <c r="GF538">
        <v>0.45565491086656262</v>
      </c>
      <c r="GG538">
        <v>0.34012406257845362</v>
      </c>
      <c r="GH538">
        <v>0.11249442504775362</v>
      </c>
      <c r="GI538">
        <v>0.40264273686808388</v>
      </c>
      <c r="GJ538"/>
      <c r="GK538">
        <v>0.93365808823529417</v>
      </c>
      <c r="GL538">
        <v>0.8938143382352941</v>
      </c>
      <c r="GM538">
        <v>0.25347656249999995</v>
      </c>
      <c r="GN538">
        <v>0.9573328124999998</v>
      </c>
      <c r="GO538">
        <v>0.84860625000000001</v>
      </c>
      <c r="GP538">
        <v>0.29128124999999999</v>
      </c>
      <c r="GQ538">
        <v>0.54931385869565208</v>
      </c>
      <c r="GR538">
        <v>0.47314719202898542</v>
      </c>
      <c r="GS538">
        <v>0.11895232371794871</v>
      </c>
      <c r="GT538">
        <v>0.54080141662977899</v>
      </c>
      <c r="GU538"/>
      <c r="GV538"/>
      <c r="GW538"/>
      <c r="GX538"/>
      <c r="GY538"/>
      <c r="GZ538"/>
      <c r="HA538"/>
      <c r="HB538"/>
      <c r="HC538"/>
    </row>
    <row r="539" spans="1:211" s="7" customFormat="1">
      <c r="A539" s="4"/>
      <c r="B539" s="4"/>
      <c r="C539" s="117">
        <f>C8</f>
        <v>39775</v>
      </c>
      <c r="D539" s="101">
        <f>D74</f>
        <v>91.428571428571402</v>
      </c>
      <c r="E539" s="108">
        <f>E409</f>
        <v>2.0877647025743889E-2</v>
      </c>
      <c r="F539" s="102"/>
      <c r="G539" s="101">
        <f>D539*E539</f>
        <v>1.9088134423537264</v>
      </c>
      <c r="H539" s="101"/>
      <c r="I539" s="101"/>
      <c r="J539" s="101"/>
      <c r="K539" s="101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81"/>
      <c r="AG539" s="81"/>
      <c r="AH539" s="81"/>
      <c r="AI539" s="4"/>
      <c r="AJ539" s="81"/>
      <c r="AK539" s="81"/>
      <c r="AL539" s="81"/>
      <c r="AM539" s="43">
        <v>523</v>
      </c>
      <c r="AN539">
        <v>37.801030753252618</v>
      </c>
      <c r="AO539">
        <v>0.8738995263559437</v>
      </c>
      <c r="AP539">
        <v>4.4967294799974908</v>
      </c>
      <c r="AQ539">
        <v>5.9739475915298037</v>
      </c>
      <c r="AR539">
        <v>0.83367914764875994</v>
      </c>
      <c r="AS539">
        <v>3.1075625649015497</v>
      </c>
      <c r="AT539" t="e">
        <v>#DIV/0!</v>
      </c>
      <c r="AU539" t="e">
        <v>#DIV/0!</v>
      </c>
      <c r="AV539"/>
      <c r="AW539"/>
      <c r="FY539" s="211">
        <v>534</v>
      </c>
      <c r="FZ539">
        <v>0.9174246360052134</v>
      </c>
      <c r="GA539">
        <v>1.3709668814398306</v>
      </c>
      <c r="GB539">
        <v>1.7849094993904038</v>
      </c>
      <c r="GC539">
        <v>0.9616856720321022</v>
      </c>
      <c r="GD539">
        <v>9.8838065536238556E-2</v>
      </c>
      <c r="GE539">
        <v>0.11273697714240002</v>
      </c>
      <c r="GF539">
        <v>0.36024295839505316</v>
      </c>
      <c r="GG539">
        <v>0.27724879729462504</v>
      </c>
      <c r="GH539">
        <v>0</v>
      </c>
      <c r="GI539">
        <v>0.69294855781250053</v>
      </c>
      <c r="GJ539"/>
      <c r="GK539">
        <v>0.91395937499999991</v>
      </c>
      <c r="GL539">
        <v>1.1541351562500002</v>
      </c>
      <c r="GM539">
        <v>2.9307652698863631</v>
      </c>
      <c r="GN539">
        <v>2.8239100243506488</v>
      </c>
      <c r="GO539">
        <v>0.37585178571428568</v>
      </c>
      <c r="GP539">
        <v>0.21168750000000003</v>
      </c>
      <c r="GQ539">
        <v>0.43509375</v>
      </c>
      <c r="GR539">
        <v>0.38624999999999998</v>
      </c>
      <c r="GS539">
        <v>0</v>
      </c>
      <c r="GT539">
        <v>0.93113403612012979</v>
      </c>
      <c r="GU539"/>
      <c r="GV539"/>
      <c r="GW539"/>
      <c r="GX539"/>
      <c r="GY539"/>
      <c r="GZ539"/>
      <c r="HA539"/>
      <c r="HB539"/>
      <c r="HC539"/>
    </row>
    <row r="540" spans="1:211" s="7" customFormat="1">
      <c r="A540" s="4"/>
      <c r="B540" s="4"/>
      <c r="C540" s="63"/>
      <c r="D540" s="101"/>
      <c r="E540" s="63"/>
      <c r="F540" s="63"/>
      <c r="G540" s="101"/>
      <c r="H540" s="101">
        <f>E541-E539</f>
        <v>2.2828043217255206E-5</v>
      </c>
      <c r="I540" s="101">
        <f>AVERAGE(D539:D541)</f>
        <v>49.360119047619037</v>
      </c>
      <c r="J540" s="101">
        <f>I540*H540</f>
        <v>1.1267949308279093E-3</v>
      </c>
      <c r="K540" s="61">
        <f>J540/(C541-C539)</f>
        <v>4.6949788784496223E-5</v>
      </c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81"/>
      <c r="AG540" s="81"/>
      <c r="AH540" s="81"/>
      <c r="AI540" s="4"/>
      <c r="AJ540" s="81"/>
      <c r="AK540" s="81"/>
      <c r="AL540" s="81"/>
      <c r="AM540" s="43">
        <v>524</v>
      </c>
      <c r="AN540">
        <v>55.53756020919144</v>
      </c>
      <c r="AO540">
        <v>1.1922827997929313</v>
      </c>
      <c r="AP540">
        <v>0.53762301692711256</v>
      </c>
      <c r="AQ540">
        <v>8.5341015581855544</v>
      </c>
      <c r="AR540">
        <v>1.100590624374693</v>
      </c>
      <c r="AS540">
        <v>4.4189357897168753</v>
      </c>
      <c r="AT540">
        <v>0.89116307583383503</v>
      </c>
      <c r="AU540">
        <v>9.4544179866204725E-2</v>
      </c>
      <c r="AV540"/>
      <c r="AW540"/>
      <c r="FY540" s="211">
        <v>535</v>
      </c>
      <c r="FZ540">
        <v>0.8501880422196787</v>
      </c>
      <c r="GA540">
        <v>1.3439809889558396</v>
      </c>
      <c r="GB540">
        <v>0.62544257242408474</v>
      </c>
      <c r="GC540">
        <v>0.32123325475010744</v>
      </c>
      <c r="GD540">
        <v>0.17723353943674924</v>
      </c>
      <c r="GE540">
        <v>0.21958148440754999</v>
      </c>
      <c r="GF540">
        <v>0.57499774394694703</v>
      </c>
      <c r="GG540">
        <v>0.47874846122576609</v>
      </c>
      <c r="GH540">
        <v>8.9508689212329934E-2</v>
      </c>
      <c r="GI540">
        <v>0.49677886097821755</v>
      </c>
      <c r="GJ540"/>
      <c r="GK540">
        <v>0.84708749999999988</v>
      </c>
      <c r="GL540">
        <v>1.1317242187500001</v>
      </c>
      <c r="GM540">
        <v>1.0263554687500001</v>
      </c>
      <c r="GN540">
        <v>0.94233839285714271</v>
      </c>
      <c r="GO540">
        <v>0.67490089285714272</v>
      </c>
      <c r="GP540">
        <v>0.41259374999999998</v>
      </c>
      <c r="GQ540">
        <v>0.69359510869565222</v>
      </c>
      <c r="GR540">
        <v>0.66627219202898535</v>
      </c>
      <c r="GS540">
        <v>9.465845352564102E-2</v>
      </c>
      <c r="GT540">
        <v>0.66731948476568714</v>
      </c>
      <c r="GU540"/>
      <c r="GV540"/>
      <c r="GW540"/>
      <c r="GX540"/>
      <c r="GY540"/>
      <c r="GZ540"/>
      <c r="HA540"/>
      <c r="HB540"/>
      <c r="HC540"/>
    </row>
    <row r="541" spans="1:211" s="7" customFormat="1">
      <c r="A541" s="4"/>
      <c r="B541" s="4"/>
      <c r="C541" s="117">
        <f>C9</f>
        <v>39799</v>
      </c>
      <c r="D541" s="101">
        <f>D75</f>
        <v>7.291666666666667</v>
      </c>
      <c r="E541" s="108">
        <f>E410</f>
        <v>2.0900475068961144E-2</v>
      </c>
      <c r="F541" s="102"/>
      <c r="G541" s="101">
        <f>D541*E541</f>
        <v>0.15239929737784169</v>
      </c>
      <c r="H541" s="101"/>
      <c r="I541" s="101"/>
      <c r="J541" s="101"/>
      <c r="K541" s="101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81"/>
      <c r="AG541" s="81"/>
      <c r="AH541" s="81"/>
      <c r="AI541" s="4"/>
      <c r="AJ541" s="81"/>
      <c r="AK541" s="81"/>
      <c r="AL541" s="81"/>
      <c r="AM541" s="43">
        <v>525</v>
      </c>
      <c r="AN541">
        <v>38.91861454517705</v>
      </c>
      <c r="AO541">
        <v>1.0017351327266484</v>
      </c>
      <c r="AP541">
        <v>5.6831964715866654</v>
      </c>
      <c r="AQ541">
        <v>6.1966775522780164</v>
      </c>
      <c r="AR541">
        <v>0.93460979067807171</v>
      </c>
      <c r="AS541">
        <v>3.1303534703562215</v>
      </c>
      <c r="AT541" t="e">
        <v>#DIV/0!</v>
      </c>
      <c r="AU541" t="e">
        <v>#DIV/0!</v>
      </c>
      <c r="AV541"/>
      <c r="AW541"/>
      <c r="FY541" s="211">
        <v>536</v>
      </c>
      <c r="FZ541">
        <v>0.59406519738879282</v>
      </c>
      <c r="GA541">
        <v>0.87387218476431494</v>
      </c>
      <c r="GB541">
        <v>1.0760797023623789</v>
      </c>
      <c r="GC541">
        <v>0.80102788459299323</v>
      </c>
      <c r="GD541">
        <v>0.24398019515866176</v>
      </c>
      <c r="GE541">
        <v>9.5391010509975005E-2</v>
      </c>
      <c r="GF541">
        <v>0.5606239862982938</v>
      </c>
      <c r="GG541">
        <v>0.46645510438007809</v>
      </c>
      <c r="GH541">
        <v>0.11249442504775362</v>
      </c>
      <c r="GI541">
        <v>0.60773430135717854</v>
      </c>
      <c r="GJ541"/>
      <c r="GK541">
        <v>0.59185312499999998</v>
      </c>
      <c r="GL541">
        <v>0.73564218749999999</v>
      </c>
      <c r="GM541">
        <v>1.7662251420454544</v>
      </c>
      <c r="GN541">
        <v>2.3494619724025974</v>
      </c>
      <c r="GO541">
        <v>0.92797901785714276</v>
      </c>
      <c r="GP541">
        <v>0.17910937500000002</v>
      </c>
      <c r="GQ541">
        <v>0.6770624999999999</v>
      </c>
      <c r="GR541">
        <v>0.64973958333333326</v>
      </c>
      <c r="GS541">
        <v>0.11895232371794871</v>
      </c>
      <c r="GT541">
        <v>0.81641442172410916</v>
      </c>
      <c r="GU541"/>
      <c r="GV541"/>
      <c r="GW541"/>
      <c r="GX541"/>
      <c r="GY541"/>
      <c r="GZ541"/>
      <c r="HA541"/>
      <c r="HB541"/>
      <c r="HC541"/>
    </row>
    <row r="542" spans="1:211" s="7" customFormat="1">
      <c r="A542" s="4"/>
      <c r="B542" s="4"/>
      <c r="C542" s="63"/>
      <c r="D542" s="101"/>
      <c r="E542" s="63"/>
      <c r="F542" s="63"/>
      <c r="G542" s="101"/>
      <c r="H542" s="101">
        <f>E543-E541</f>
        <v>-2.7559377334097912E-5</v>
      </c>
      <c r="I542" s="101">
        <f>AVERAGE(D541:D543)</f>
        <v>6.7708333333333339</v>
      </c>
      <c r="J542" s="101">
        <f>I542*H542</f>
        <v>-1.8659995069962129E-4</v>
      </c>
      <c r="K542" s="61">
        <f>J542/(C543-C541)</f>
        <v>-3.8874989729087771E-6</v>
      </c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81"/>
      <c r="AG542" s="81"/>
      <c r="AH542" s="81"/>
      <c r="AI542" s="4"/>
      <c r="AJ542" s="81"/>
      <c r="AK542" s="81"/>
      <c r="AL542" s="81"/>
      <c r="AM542" s="43">
        <v>526</v>
      </c>
      <c r="AN542">
        <v>53.938761523979714</v>
      </c>
      <c r="AO542">
        <v>1.4099548397077266</v>
      </c>
      <c r="AP542">
        <v>1.829121373270437</v>
      </c>
      <c r="AQ542">
        <v>9.9045739198749683</v>
      </c>
      <c r="AR542">
        <v>1.2970606715874435</v>
      </c>
      <c r="AS542">
        <v>4.5996943419013032</v>
      </c>
      <c r="AT542" t="e">
        <v>#DIV/0!</v>
      </c>
      <c r="AU542" t="e">
        <v>#DIV/0!</v>
      </c>
      <c r="AV542"/>
      <c r="AW542"/>
      <c r="FY542" s="211">
        <v>537</v>
      </c>
      <c r="FZ542">
        <v>1.0639963607806071</v>
      </c>
      <c r="GA542">
        <v>1.2588512016077802</v>
      </c>
      <c r="GB542">
        <v>0.56060571648761703</v>
      </c>
      <c r="GC542">
        <v>0.54457351602379322</v>
      </c>
      <c r="GD542">
        <v>0.26400902101742246</v>
      </c>
      <c r="GE542">
        <v>0.17424099383017502</v>
      </c>
      <c r="GF542">
        <v>0.82805716775636906</v>
      </c>
      <c r="GG542">
        <v>0.71770870692793864</v>
      </c>
      <c r="GH542">
        <v>2.2985735835423678E-2</v>
      </c>
      <c r="GI542">
        <v>0.59675044628130758</v>
      </c>
      <c r="GJ542"/>
      <c r="GK542">
        <v>1.060295588235294</v>
      </c>
      <c r="GL542">
        <v>1.060295588235294</v>
      </c>
      <c r="GM542">
        <v>0.92056107954545441</v>
      </c>
      <c r="GN542">
        <v>1.5972298295454543</v>
      </c>
      <c r="GO542">
        <v>1.0042781249999999</v>
      </c>
      <c r="GP542">
        <v>0.32760937500000004</v>
      </c>
      <c r="GQ542">
        <v>0.99869021739130437</v>
      </c>
      <c r="GR542">
        <v>0.99869021739130437</v>
      </c>
      <c r="GS542">
        <v>2.4293870192307693E-2</v>
      </c>
      <c r="GT542">
        <v>0.80162377607287194</v>
      </c>
      <c r="GU542"/>
      <c r="GV542"/>
      <c r="GW542"/>
      <c r="GX542"/>
      <c r="GY542"/>
      <c r="GZ542"/>
      <c r="HA542"/>
      <c r="HB542"/>
      <c r="HC542"/>
    </row>
    <row r="543" spans="1:211" s="7" customFormat="1">
      <c r="A543" s="4"/>
      <c r="B543" s="4"/>
      <c r="C543" s="117">
        <f>C10</f>
        <v>39847</v>
      </c>
      <c r="D543" s="101">
        <f>D76</f>
        <v>6.25</v>
      </c>
      <c r="E543" s="108">
        <f>E411</f>
        <v>2.0872915691627046E-2</v>
      </c>
      <c r="F543" s="102"/>
      <c r="G543" s="101">
        <f>D543*E543</f>
        <v>0.13045572307266903</v>
      </c>
      <c r="H543" s="101"/>
      <c r="I543" s="101"/>
      <c r="J543" s="101"/>
      <c r="K543" s="101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81"/>
      <c r="AG543" s="81"/>
      <c r="AH543" s="81"/>
      <c r="AI543" s="4"/>
      <c r="AJ543" s="81"/>
      <c r="AK543" s="81"/>
      <c r="AL543" s="81"/>
      <c r="AM543" s="43">
        <v>527</v>
      </c>
      <c r="AN543">
        <v>32.786200675922537</v>
      </c>
      <c r="AO543">
        <v>0.725890533681951</v>
      </c>
      <c r="AP543">
        <v>0.20664062724841853</v>
      </c>
      <c r="AQ543">
        <v>5.6341069434332782</v>
      </c>
      <c r="AR543">
        <v>0.67438912152904629</v>
      </c>
      <c r="AS543">
        <v>2.8052952717200452</v>
      </c>
      <c r="AT543" t="e">
        <v>#DIV/0!</v>
      </c>
      <c r="AU543" t="e">
        <v>#DIV/0!</v>
      </c>
      <c r="AV543"/>
      <c r="AW543"/>
      <c r="FY543" s="211">
        <v>538</v>
      </c>
      <c r="FZ543">
        <v>0.61216572463735786</v>
      </c>
      <c r="GA543">
        <v>1.265969716812342</v>
      </c>
      <c r="GB543">
        <v>1.5587308554826147</v>
      </c>
      <c r="GC543">
        <v>0.71552063925427467</v>
      </c>
      <c r="GD543">
        <v>7.939003211234999E-2</v>
      </c>
      <c r="GE543">
        <v>7.7086188903599986E-2</v>
      </c>
      <c r="GF543">
        <v>0.97354534059952824</v>
      </c>
      <c r="GG543">
        <v>0.844039748729563</v>
      </c>
      <c r="GH543">
        <v>2.2985735835423678E-2</v>
      </c>
      <c r="GI543">
        <v>0.69525249817580148</v>
      </c>
      <c r="GJ543"/>
      <c r="GK543">
        <v>0.61007812500000003</v>
      </c>
      <c r="GL543">
        <v>1.066265625</v>
      </c>
      <c r="GM543">
        <v>2.5593799715909089</v>
      </c>
      <c r="GN543">
        <v>2.1013174715909089</v>
      </c>
      <c r="GO543">
        <v>0.30224999999999996</v>
      </c>
      <c r="GP543">
        <v>0.14474999999999999</v>
      </c>
      <c r="GQ543">
        <v>1.1752826086956523</v>
      </c>
      <c r="GR543">
        <v>1.1752826086956523</v>
      </c>
      <c r="GS543">
        <v>2.4293870192307693E-2</v>
      </c>
      <c r="GT543">
        <v>0.9342569150957738</v>
      </c>
      <c r="GU543"/>
      <c r="GV543"/>
      <c r="GW543"/>
      <c r="GX543"/>
      <c r="GY543"/>
      <c r="GZ543"/>
      <c r="HA543"/>
      <c r="HB543"/>
      <c r="HC543"/>
    </row>
    <row r="544" spans="1:211" s="7" customFormat="1">
      <c r="A544" s="4"/>
      <c r="B544" s="4"/>
      <c r="C544" s="63"/>
      <c r="D544" s="101"/>
      <c r="E544" s="63"/>
      <c r="F544" s="63"/>
      <c r="G544" s="101"/>
      <c r="H544" s="101">
        <f>E545-E543</f>
        <v>1.2222196047351197E-5</v>
      </c>
      <c r="I544" s="101">
        <f>AVERAGE(D543:D545)</f>
        <v>56.446256038647341</v>
      </c>
      <c r="J544" s="101">
        <f>I544*H544</f>
        <v>6.898972074433292E-4</v>
      </c>
      <c r="K544" s="61">
        <f>J544/(C545-C543)</f>
        <v>1.0950749324497289E-5</v>
      </c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81"/>
      <c r="AG544" s="81"/>
      <c r="AH544" s="81"/>
      <c r="AI544" s="4"/>
      <c r="AJ544" s="81"/>
      <c r="AK544" s="81"/>
      <c r="AL544" s="81"/>
      <c r="AM544" s="43">
        <v>528</v>
      </c>
      <c r="AN544">
        <v>21.736645299145295</v>
      </c>
      <c r="AO544">
        <v>0.50941932692307679</v>
      </c>
      <c r="AP544">
        <v>0.74127939276650356</v>
      </c>
      <c r="AQ544">
        <v>4.1367982294786527</v>
      </c>
      <c r="AR544">
        <v>0.47980564903846162</v>
      </c>
      <c r="AS544">
        <v>1.7352631126683014</v>
      </c>
      <c r="AT544" t="e">
        <v>#DIV/0!</v>
      </c>
      <c r="AU544" t="e">
        <v>#DIV/0!</v>
      </c>
      <c r="AV544"/>
      <c r="AW544"/>
      <c r="FY544" s="211">
        <v>539</v>
      </c>
      <c r="FZ544">
        <v>2.0802081700089063</v>
      </c>
      <c r="GA544">
        <v>2.8694831683591113</v>
      </c>
      <c r="GB544">
        <v>0.30162626090685002</v>
      </c>
      <c r="GC544">
        <v>0.2603741722961575</v>
      </c>
      <c r="GD544">
        <v>0.18940514297435995</v>
      </c>
      <c r="GE544">
        <v>8.3829656303550007E-2</v>
      </c>
      <c r="GF544">
        <v>0.86857626516779707</v>
      </c>
      <c r="GG544">
        <v>0.71770870692793864</v>
      </c>
      <c r="GH544">
        <v>2.2985735835423678E-2</v>
      </c>
      <c r="GI544">
        <v>0.64913259719889149</v>
      </c>
      <c r="GJ544"/>
      <c r="GK544">
        <v>2.0732867647058821</v>
      </c>
      <c r="GL544">
        <v>2.4172555147058823</v>
      </c>
      <c r="GM544">
        <v>0.49475000000000002</v>
      </c>
      <c r="GN544">
        <v>0.76229374999999999</v>
      </c>
      <c r="GO544">
        <v>0.72007499999999991</v>
      </c>
      <c r="GP544">
        <v>0.15740625000000003</v>
      </c>
      <c r="GQ544">
        <v>1.0475339673913044</v>
      </c>
      <c r="GR544">
        <v>0.99869021739130437</v>
      </c>
      <c r="GS544">
        <v>2.4293870192307693E-2</v>
      </c>
      <c r="GT544">
        <v>0.87198792045789886</v>
      </c>
      <c r="GU544"/>
      <c r="GV544"/>
      <c r="GW544"/>
      <c r="GX544"/>
      <c r="GY544"/>
      <c r="GZ544"/>
      <c r="HA544"/>
      <c r="HB544"/>
      <c r="HC544"/>
    </row>
    <row r="545" spans="1:211" s="7" customFormat="1">
      <c r="A545" s="4"/>
      <c r="B545" s="4"/>
      <c r="C545" s="117">
        <f>C11</f>
        <v>39910</v>
      </c>
      <c r="D545" s="101">
        <f>D77</f>
        <v>106.64251207729468</v>
      </c>
      <c r="E545" s="108">
        <f>E412</f>
        <v>2.0885137887674397E-2</v>
      </c>
      <c r="F545" s="102"/>
      <c r="G545" s="101">
        <f>D545*E545</f>
        <v>2.2272435694222819</v>
      </c>
      <c r="H545" s="101"/>
      <c r="I545" s="101"/>
      <c r="J545" s="101"/>
      <c r="K545" s="101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81"/>
      <c r="AG545" s="81"/>
      <c r="AH545" s="81"/>
      <c r="AI545" s="4"/>
      <c r="AJ545" s="81"/>
      <c r="AK545" s="81"/>
      <c r="AL545" s="81"/>
      <c r="AM545" s="43">
        <v>529</v>
      </c>
      <c r="AN545">
        <v>39.350440555495702</v>
      </c>
      <c r="AO545">
        <v>1.0245332044851592</v>
      </c>
      <c r="AP545">
        <v>2.051171856326131</v>
      </c>
      <c r="AQ545">
        <v>7.7075711296811704</v>
      </c>
      <c r="AR545">
        <v>0.94305520774874618</v>
      </c>
      <c r="AS545">
        <v>3.3083034410479093</v>
      </c>
      <c r="AT545" t="e">
        <v>#DIV/0!</v>
      </c>
      <c r="AU545" t="e">
        <v>#DIV/0!</v>
      </c>
      <c r="AV545"/>
      <c r="AW545"/>
      <c r="FY545" s="211">
        <v>540</v>
      </c>
      <c r="FZ545">
        <v>1.146278901040799</v>
      </c>
      <c r="GA545">
        <v>1.7561064028119815</v>
      </c>
      <c r="GB545">
        <v>0.52952286524823988</v>
      </c>
      <c r="GC545">
        <v>0.34454724388409808</v>
      </c>
      <c r="GD545">
        <v>0.22497494585836172</v>
      </c>
      <c r="GE545">
        <v>0.10502678412292502</v>
      </c>
      <c r="GF545">
        <v>0.24090012531466881</v>
      </c>
      <c r="GG545">
        <v>0.29037012396173439</v>
      </c>
      <c r="GH545">
        <v>0.26852606763698977</v>
      </c>
      <c r="GI545">
        <v>0.51243869671464792</v>
      </c>
      <c r="GJ545"/>
      <c r="GK545">
        <v>1.1421656249999999</v>
      </c>
      <c r="GL545">
        <v>1.478821875</v>
      </c>
      <c r="GM545">
        <v>0.86903906249999996</v>
      </c>
      <c r="GN545">
        <v>1.0095649553571426</v>
      </c>
      <c r="GO545">
        <v>0.8556040178571428</v>
      </c>
      <c r="GP545">
        <v>0.19720312500000001</v>
      </c>
      <c r="GQ545">
        <v>0.29081250000000003</v>
      </c>
      <c r="GR545">
        <v>0.40421875000000002</v>
      </c>
      <c r="GS545">
        <v>0.28397536057692307</v>
      </c>
      <c r="GT545">
        <v>0.68831931318681316</v>
      </c>
      <c r="GU545"/>
      <c r="GV545"/>
      <c r="GW545"/>
      <c r="GX545"/>
      <c r="GY545"/>
      <c r="GZ545"/>
      <c r="HA545"/>
      <c r="HB545"/>
      <c r="HC545"/>
    </row>
    <row r="546" spans="1:211" s="7" customFormat="1">
      <c r="A546" s="4"/>
      <c r="B546" s="4"/>
      <c r="C546" s="63"/>
      <c r="D546" s="101"/>
      <c r="E546" s="63"/>
      <c r="F546" s="63"/>
      <c r="G546" s="101"/>
      <c r="H546" s="101">
        <f>E547-E545</f>
        <v>-5.1378876743980728E-6</v>
      </c>
      <c r="I546" s="101">
        <f>AVERAGE(D545:D547)</f>
        <v>61.423107890499196</v>
      </c>
      <c r="J546" s="101">
        <f>I546*H546</f>
        <v>-3.1558502895381884E-4</v>
      </c>
      <c r="K546" s="61">
        <f>J546/(C547-C545)</f>
        <v>-8.0919238193286891E-6</v>
      </c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81"/>
      <c r="AG546" s="81"/>
      <c r="AH546" s="81"/>
      <c r="AI546" s="4"/>
      <c r="AJ546" s="81"/>
      <c r="AK546" s="81"/>
      <c r="AL546" s="81"/>
      <c r="AM546" s="43">
        <v>530</v>
      </c>
      <c r="AN546">
        <v>32.321020299145296</v>
      </c>
      <c r="AO546">
        <v>0.75851992067307683</v>
      </c>
      <c r="AP546">
        <v>1.2236752383318374</v>
      </c>
      <c r="AQ546">
        <v>4.7669739451144224</v>
      </c>
      <c r="AR546">
        <v>0.71350505244755236</v>
      </c>
      <c r="AS546">
        <v>2.5990142686703765</v>
      </c>
      <c r="AT546" t="e">
        <v>#DIV/0!</v>
      </c>
      <c r="AU546" t="e">
        <v>#DIV/0!</v>
      </c>
      <c r="AV546"/>
      <c r="AW546"/>
      <c r="FY546" s="211">
        <v>541</v>
      </c>
      <c r="FZ546">
        <v>1.0131146789545238</v>
      </c>
      <c r="GA546">
        <v>1.7623758939278451</v>
      </c>
      <c r="GB546">
        <v>0.60607924806411217</v>
      </c>
      <c r="GC546">
        <v>0.45453092109531179</v>
      </c>
      <c r="GD546">
        <v>0.26538268264267179</v>
      </c>
      <c r="GE546">
        <v>8.377572757792498E-2</v>
      </c>
      <c r="GF546">
        <v>0.6538214796159032</v>
      </c>
      <c r="GG546">
        <v>0.61737285987307855</v>
      </c>
      <c r="GH546">
        <v>8.9508689212329934E-2</v>
      </c>
      <c r="GI546">
        <v>0.58024476896230892</v>
      </c>
      <c r="GJ546"/>
      <c r="GK546">
        <v>1.0096893382352938</v>
      </c>
      <c r="GL546">
        <v>1.484404181985294</v>
      </c>
      <c r="GM546">
        <v>0.99420703124999998</v>
      </c>
      <c r="GN546">
        <v>1.3316243303571427</v>
      </c>
      <c r="GO546">
        <v>1.0094290178571428</v>
      </c>
      <c r="GP546">
        <v>0.15745312499999997</v>
      </c>
      <c r="GQ546">
        <v>0.78903260869565206</v>
      </c>
      <c r="GR546">
        <v>0.85939719202898535</v>
      </c>
      <c r="GS546">
        <v>9.465845352564102E-2</v>
      </c>
      <c r="GT546">
        <v>0.77940328991274588</v>
      </c>
      <c r="GU546"/>
      <c r="GV546"/>
      <c r="GW546"/>
      <c r="GX546"/>
      <c r="GY546"/>
      <c r="GZ546"/>
      <c r="HA546"/>
      <c r="HB546"/>
      <c r="HC546"/>
    </row>
    <row r="547" spans="1:211" s="7" customFormat="1">
      <c r="A547" s="4"/>
      <c r="B547" s="4"/>
      <c r="C547" s="117">
        <f>C12</f>
        <v>39949</v>
      </c>
      <c r="D547" s="101">
        <f>D78</f>
        <v>16.203703703703702</v>
      </c>
      <c r="E547" s="108">
        <f>E413</f>
        <v>2.0879999999999999E-2</v>
      </c>
      <c r="F547" s="102"/>
      <c r="G547" s="101">
        <f>D547*E547</f>
        <v>0.33833333333333332</v>
      </c>
      <c r="H547" s="101"/>
      <c r="I547" s="101"/>
      <c r="J547" s="101"/>
      <c r="K547" s="101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81"/>
      <c r="AG547" s="81"/>
      <c r="AH547" s="81"/>
      <c r="AI547" s="4"/>
      <c r="AJ547" s="81"/>
      <c r="AK547" s="81"/>
      <c r="AL547" s="81"/>
      <c r="AM547" s="43">
        <v>531</v>
      </c>
      <c r="AN547">
        <v>24.820201136009953</v>
      </c>
      <c r="AO547">
        <v>0.54400299667366936</v>
      </c>
      <c r="AP547">
        <v>0.90644761609575775</v>
      </c>
      <c r="AQ547">
        <v>4.3059290764751186</v>
      </c>
      <c r="AR547">
        <v>0.49817033788515397</v>
      </c>
      <c r="AS547">
        <v>1.9961151636310064</v>
      </c>
      <c r="AT547" t="e">
        <v>#DIV/0!</v>
      </c>
      <c r="AU547" t="e">
        <v>#DIV/0!</v>
      </c>
      <c r="AV547"/>
      <c r="AW547"/>
      <c r="FY547" s="211">
        <v>542</v>
      </c>
      <c r="FZ547">
        <v>0.72485412603659727</v>
      </c>
      <c r="GA547">
        <v>0.74913575944285637</v>
      </c>
      <c r="GB547">
        <v>0.38747408343899065</v>
      </c>
      <c r="GC547">
        <v>0.35000346088632311</v>
      </c>
      <c r="GD547">
        <v>0.26923002529086004</v>
      </c>
      <c r="GE547">
        <v>0.20025600845602504</v>
      </c>
      <c r="GF547">
        <v>4.0519097411428125E-2</v>
      </c>
      <c r="GG547">
        <v>0</v>
      </c>
      <c r="GH547">
        <v>4.5971471670847357E-2</v>
      </c>
      <c r="GI547">
        <v>0.36921912139963242</v>
      </c>
      <c r="GJ547"/>
      <c r="GK547">
        <v>0.72237187500000011</v>
      </c>
      <c r="GL547">
        <v>0.63075468750000008</v>
      </c>
      <c r="GM547">
        <v>0.63568750000000007</v>
      </c>
      <c r="GN547">
        <v>1.0254578125</v>
      </c>
      <c r="GO547">
        <v>1.0242</v>
      </c>
      <c r="GP547">
        <v>0.37645312500000006</v>
      </c>
      <c r="GQ547">
        <v>4.8843750000000005E-2</v>
      </c>
      <c r="GR547">
        <v>0</v>
      </c>
      <c r="GS547">
        <v>4.8587740384615385E-2</v>
      </c>
      <c r="GT547">
        <v>0.49593817307692312</v>
      </c>
      <c r="GU547"/>
      <c r="GV547"/>
      <c r="GW547"/>
      <c r="GX547"/>
      <c r="GY547"/>
      <c r="GZ547"/>
      <c r="HA547"/>
      <c r="HB547"/>
      <c r="HC547"/>
    </row>
    <row r="548" spans="1:211" s="7" customFormat="1">
      <c r="A548" s="4"/>
      <c r="B548" s="4"/>
      <c r="C548" s="63"/>
      <c r="D548" s="101"/>
      <c r="E548" s="63"/>
      <c r="F548" s="63"/>
      <c r="G548" s="101"/>
      <c r="H548" s="101">
        <f>E549-E547</f>
        <v>-5.6368137620072672E-5</v>
      </c>
      <c r="I548" s="101">
        <f>AVERAGE(D547:D549)</f>
        <v>11.607460826210826</v>
      </c>
      <c r="J548" s="101">
        <f>I548*H548</f>
        <v>-6.5429094927145427E-4</v>
      </c>
      <c r="K548" s="61">
        <f>J548/(C549-C547)</f>
        <v>-1.7218182875564586E-5</v>
      </c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81"/>
      <c r="AG548" s="81"/>
      <c r="AH548" s="81"/>
      <c r="AI548" s="4"/>
      <c r="AJ548" s="81"/>
      <c r="AK548" s="81"/>
      <c r="AL548" s="81"/>
      <c r="AM548" s="43">
        <v>532</v>
      </c>
      <c r="AN548">
        <v>34.733201544506684</v>
      </c>
      <c r="AO548">
        <v>0.87293041671043403</v>
      </c>
      <c r="AP548">
        <v>1.2025930171648862</v>
      </c>
      <c r="AQ548">
        <v>6.5498273009402368</v>
      </c>
      <c r="AR548">
        <v>0.79719526519130368</v>
      </c>
      <c r="AS548">
        <v>2.8022305632074755</v>
      </c>
      <c r="AT548" t="e">
        <v>#DIV/0!</v>
      </c>
      <c r="AU548" t="e">
        <v>#DIV/0!</v>
      </c>
      <c r="AV548"/>
      <c r="AW548"/>
      <c r="FY548" s="211">
        <v>543</v>
      </c>
      <c r="FZ548">
        <v>0.83379058076035972</v>
      </c>
      <c r="GA548">
        <v>1.9646872920713681</v>
      </c>
      <c r="GB548">
        <v>0.74856357461306944</v>
      </c>
      <c r="GC548">
        <v>0.44164491391579186</v>
      </c>
      <c r="GD548">
        <v>0.25533635211842787</v>
      </c>
      <c r="GE548">
        <v>0.121406025135825</v>
      </c>
      <c r="GF548">
        <v>0.61551684135837503</v>
      </c>
      <c r="GG548">
        <v>0.4281665527876255</v>
      </c>
      <c r="GH548">
        <v>0</v>
      </c>
      <c r="GI548">
        <v>0.56169441945772802</v>
      </c>
      <c r="GJ548"/>
      <c r="GK548">
        <v>0.830746875</v>
      </c>
      <c r="GL548">
        <v>1.6542937500000001</v>
      </c>
      <c r="GM548">
        <v>1.2278046874999999</v>
      </c>
      <c r="GN548">
        <v>1.2936386160714284</v>
      </c>
      <c r="GO548">
        <v>0.97080267857142855</v>
      </c>
      <c r="GP548">
        <v>0.22795312500000001</v>
      </c>
      <c r="GQ548">
        <v>0.74243885869565207</v>
      </c>
      <c r="GR548">
        <v>0.59590760869565207</v>
      </c>
      <c r="GS548">
        <v>0</v>
      </c>
      <c r="GT548">
        <v>0.75435861995341602</v>
      </c>
      <c r="GU548"/>
      <c r="GV548"/>
      <c r="GW548"/>
      <c r="GX548"/>
      <c r="GY548"/>
      <c r="GZ548"/>
      <c r="HA548"/>
      <c r="HB548"/>
      <c r="HC548"/>
    </row>
    <row r="549" spans="1:211" s="7" customFormat="1">
      <c r="A549" s="4"/>
      <c r="B549" s="4"/>
      <c r="C549" s="117">
        <f>C13</f>
        <v>39987</v>
      </c>
      <c r="D549" s="101">
        <f>D79</f>
        <v>7.0112179487179489</v>
      </c>
      <c r="E549" s="108">
        <f>E414</f>
        <v>2.0823631862379927E-2</v>
      </c>
      <c r="F549" s="102"/>
      <c r="G549" s="101">
        <f>D549*E549</f>
        <v>0.14599902147101312</v>
      </c>
      <c r="H549" s="101"/>
      <c r="I549" s="101"/>
      <c r="J549" s="101"/>
      <c r="K549" s="101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81"/>
      <c r="AG549" s="81"/>
      <c r="AH549" s="81"/>
      <c r="AI549" s="4"/>
      <c r="AJ549" s="81"/>
      <c r="AK549" s="81"/>
      <c r="AL549" s="81"/>
      <c r="AM549" s="43">
        <v>533</v>
      </c>
      <c r="AN549">
        <v>29.502034263631135</v>
      </c>
      <c r="AO549">
        <v>0.5860384092542954</v>
      </c>
      <c r="AP549">
        <v>2.6518453414617795</v>
      </c>
      <c r="AQ549">
        <v>4.1681938260385225</v>
      </c>
      <c r="AR549">
        <v>0.54080141662977887</v>
      </c>
      <c r="AS549">
        <v>2.3929899073915202</v>
      </c>
      <c r="AT549" t="e">
        <v>#DIV/0!</v>
      </c>
      <c r="AU549" t="e">
        <v>#DIV/0!</v>
      </c>
      <c r="AV549"/>
      <c r="AW549"/>
      <c r="FY549" s="211">
        <v>544</v>
      </c>
      <c r="FZ549">
        <v>1.6798313315236024</v>
      </c>
      <c r="GA549">
        <v>1.8999238657973789</v>
      </c>
      <c r="GB549">
        <v>0.4684856071087371</v>
      </c>
      <c r="GC549">
        <v>0.28217436225916187</v>
      </c>
      <c r="GD549">
        <v>0.13251497983217356</v>
      </c>
      <c r="GE549">
        <v>6.9375995884124991E-2</v>
      </c>
      <c r="GF549">
        <v>0.37461671604370633</v>
      </c>
      <c r="GG549">
        <v>0.34012406257845362</v>
      </c>
      <c r="GH549">
        <v>8.9508689212329934E-2</v>
      </c>
      <c r="GI549">
        <v>0.52008856559133532</v>
      </c>
      <c r="GJ549"/>
      <c r="GK549">
        <v>1.674123713235294</v>
      </c>
      <c r="GL549">
        <v>1.6001666819852942</v>
      </c>
      <c r="GM549">
        <v>0.76858203125000002</v>
      </c>
      <c r="GN549">
        <v>0.82729397321428577</v>
      </c>
      <c r="GO549">
        <v>0.50445803571428571</v>
      </c>
      <c r="GP549">
        <v>0.130265625</v>
      </c>
      <c r="GQ549">
        <v>0.45162635869565215</v>
      </c>
      <c r="GR549">
        <v>0.47314719202898542</v>
      </c>
      <c r="GS549">
        <v>9.465845352564102E-2</v>
      </c>
      <c r="GT549">
        <v>0.69868971848417449</v>
      </c>
      <c r="GU549"/>
      <c r="GV549"/>
      <c r="GW549"/>
      <c r="GX549"/>
      <c r="GY549"/>
      <c r="GZ549"/>
      <c r="HA549"/>
      <c r="HB549"/>
      <c r="HC549"/>
    </row>
    <row r="550" spans="1:211" s="7" customFormat="1">
      <c r="A550" s="4"/>
      <c r="B550" s="4"/>
      <c r="C550" s="63"/>
      <c r="D550" s="101"/>
      <c r="E550" s="63"/>
      <c r="F550" s="63"/>
      <c r="G550" s="101"/>
      <c r="H550" s="101">
        <f>E551-E549</f>
        <v>-2.0823631862379927E-2</v>
      </c>
      <c r="I550" s="101">
        <f>AVERAGE(D549:D551)</f>
        <v>3.5056089743589745</v>
      </c>
      <c r="J550" s="101">
        <f>I550*H550</f>
        <v>-7.2999510735506562E-2</v>
      </c>
      <c r="K550" s="61">
        <f>J550/(C551-C549)</f>
        <v>1.8255810822393918E-6</v>
      </c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81"/>
      <c r="AG550" s="81"/>
      <c r="AH550" s="81"/>
      <c r="AI550" s="4"/>
      <c r="AJ550" s="81"/>
      <c r="AK550" s="81"/>
      <c r="AL550" s="81"/>
      <c r="AM550" s="43">
        <v>534</v>
      </c>
      <c r="AN550">
        <v>37.25647321428572</v>
      </c>
      <c r="AO550">
        <v>1.0162786897321427</v>
      </c>
      <c r="AP550">
        <v>2.1489475757231671</v>
      </c>
      <c r="AQ550">
        <v>6.5770020450483671</v>
      </c>
      <c r="AR550">
        <v>0.93113403612012968</v>
      </c>
      <c r="AS550">
        <v>3.2002338375108548</v>
      </c>
      <c r="AT550" t="e">
        <v>#DIV/0!</v>
      </c>
      <c r="AU550" t="e">
        <v>#DIV/0!</v>
      </c>
      <c r="AV550"/>
      <c r="AW550"/>
      <c r="FY550" s="211">
        <v>545</v>
      </c>
      <c r="FZ550">
        <v>1.1494161823845461</v>
      </c>
      <c r="GA550">
        <v>1.0246078486167414</v>
      </c>
      <c r="GB550">
        <v>2.2080826257806246E-2</v>
      </c>
      <c r="GC550">
        <v>5.7349096003612487E-2</v>
      </c>
      <c r="GD550">
        <v>8.7915429732439279E-2</v>
      </c>
      <c r="GE550">
        <v>0.11460862901025</v>
      </c>
      <c r="GF550">
        <v>0.20038102790324064</v>
      </c>
      <c r="GG550">
        <v>0.23978821552359375</v>
      </c>
      <c r="GH550">
        <v>0.1330459067538125</v>
      </c>
      <c r="GI550">
        <v>0.28268374591644346</v>
      </c>
      <c r="GJ550"/>
      <c r="GK550">
        <v>1.1455612132352939</v>
      </c>
      <c r="GL550">
        <v>0.86299871323529409</v>
      </c>
      <c r="GM550">
        <v>3.6187499999999997E-2</v>
      </c>
      <c r="GN550">
        <v>0.16801339285714281</v>
      </c>
      <c r="GO550">
        <v>0.33451339285714282</v>
      </c>
      <c r="GP550">
        <v>0.21534375</v>
      </c>
      <c r="GQ550">
        <v>0.24196875000000001</v>
      </c>
      <c r="GR550">
        <v>0.33385416666666667</v>
      </c>
      <c r="GS550">
        <v>0.14072916666666666</v>
      </c>
      <c r="GT550">
        <v>0.37979200455182072</v>
      </c>
      <c r="GU550"/>
      <c r="GV550"/>
      <c r="GW550"/>
      <c r="GX550"/>
      <c r="GY550"/>
      <c r="GZ550"/>
      <c r="HA550"/>
      <c r="HB550"/>
      <c r="HC550"/>
    </row>
    <row r="551" spans="1:211" s="7" customFormat="1">
      <c r="A551" s="4"/>
      <c r="B551" s="4"/>
      <c r="C551" s="117">
        <f>C14</f>
        <v>0</v>
      </c>
      <c r="D551" s="101">
        <f>D80</f>
        <v>0</v>
      </c>
      <c r="E551" s="108">
        <f>E415</f>
        <v>0</v>
      </c>
      <c r="F551" s="102"/>
      <c r="G551" s="101">
        <f>D551*E551</f>
        <v>0</v>
      </c>
      <c r="H551" s="101"/>
      <c r="I551" s="101"/>
      <c r="J551" s="101"/>
      <c r="K551" s="101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81"/>
      <c r="AG551" s="81"/>
      <c r="AH551" s="81"/>
      <c r="AI551" s="4"/>
      <c r="AJ551" s="81"/>
      <c r="AK551" s="81"/>
      <c r="AL551" s="81"/>
      <c r="AM551" s="43">
        <v>535</v>
      </c>
      <c r="AN551">
        <v>32.704670302020837</v>
      </c>
      <c r="AO551">
        <v>0.71568454622302524</v>
      </c>
      <c r="AP551">
        <v>0.48534294757003982</v>
      </c>
      <c r="AQ551">
        <v>5.1776936375572706</v>
      </c>
      <c r="AR551">
        <v>0.66731948476568714</v>
      </c>
      <c r="AS551">
        <v>2.8182768664778388</v>
      </c>
      <c r="AT551">
        <v>0.52983470462403515</v>
      </c>
      <c r="AU551">
        <v>9.9535867387025814E-2</v>
      </c>
      <c r="AV551"/>
      <c r="AW551"/>
      <c r="FY551" s="211">
        <v>546</v>
      </c>
      <c r="FZ551">
        <v>1.9335675130047933</v>
      </c>
      <c r="GA551">
        <v>2.2967981726305777</v>
      </c>
      <c r="GB551">
        <v>1.3097400822790137</v>
      </c>
      <c r="GC551">
        <v>1.1042200919859333</v>
      </c>
      <c r="GD551">
        <v>0.36775621708750922</v>
      </c>
      <c r="GE551">
        <v>5.486840673907499E-2</v>
      </c>
      <c r="GF551">
        <v>0.49395954912409079</v>
      </c>
      <c r="GG551">
        <v>0.47874846122576609</v>
      </c>
      <c r="GH551">
        <v>8.9508689212329934E-2</v>
      </c>
      <c r="GI551">
        <v>0.91796503985010336</v>
      </c>
      <c r="GJ551"/>
      <c r="GK551">
        <v>1.9270818014705882</v>
      </c>
      <c r="GL551">
        <v>1.9346403952205882</v>
      </c>
      <c r="GM551">
        <v>2.1505948153409089</v>
      </c>
      <c r="GN551">
        <v>3.2389964894480521</v>
      </c>
      <c r="GO551">
        <v>1.3983508928571426</v>
      </c>
      <c r="GP551">
        <v>0.103171875</v>
      </c>
      <c r="GQ551">
        <v>0.59590760869565207</v>
      </c>
      <c r="GR551">
        <v>0.66627219202898535</v>
      </c>
      <c r="GS551">
        <v>9.465845352564102E-2</v>
      </c>
      <c r="GT551">
        <v>1.2333187143779867</v>
      </c>
      <c r="GU551"/>
      <c r="GV551"/>
      <c r="GW551"/>
      <c r="GX551"/>
      <c r="GY551"/>
      <c r="GZ551"/>
      <c r="HA551"/>
      <c r="HB551"/>
      <c r="HC551"/>
    </row>
    <row r="552" spans="1:211" s="7" customFormat="1">
      <c r="A552" s="4"/>
      <c r="B552" s="4"/>
      <c r="C552" s="63"/>
      <c r="D552" s="101"/>
      <c r="E552" s="63"/>
      <c r="F552" s="63"/>
      <c r="G552" s="101"/>
      <c r="H552" s="101">
        <f>E553-E551</f>
        <v>0</v>
      </c>
      <c r="I552" s="101">
        <f>AVERAGE(D551:D553)</f>
        <v>0</v>
      </c>
      <c r="J552" s="101">
        <f>I552*H552</f>
        <v>0</v>
      </c>
      <c r="K552" s="61" t="e">
        <f>J552/(C553-C551)</f>
        <v>#DIV/0!</v>
      </c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81"/>
      <c r="AG552" s="81"/>
      <c r="AH552" s="81"/>
      <c r="AI552" s="4"/>
      <c r="AJ552" s="81"/>
      <c r="AK552" s="81"/>
      <c r="AL552" s="81"/>
      <c r="AM552" s="43">
        <v>536</v>
      </c>
      <c r="AN552">
        <v>38.746984381359376</v>
      </c>
      <c r="AO552">
        <v>0.88124396485805856</v>
      </c>
      <c r="AP552">
        <v>1.186783557796441</v>
      </c>
      <c r="AQ552">
        <v>5.4317239918604194</v>
      </c>
      <c r="AR552">
        <v>0.81641442172410916</v>
      </c>
      <c r="AS552">
        <v>3.2034922912527404</v>
      </c>
      <c r="AT552">
        <v>0.62939721607122678</v>
      </c>
      <c r="AU552">
        <v>-1.8769494706322554E-2</v>
      </c>
      <c r="AV552"/>
      <c r="AW552"/>
      <c r="FY552" s="211">
        <v>547</v>
      </c>
      <c r="FZ552">
        <v>1.2402233287009961</v>
      </c>
      <c r="GA552">
        <v>1.6699608343834618</v>
      </c>
      <c r="GB552">
        <v>0.30697107104073867</v>
      </c>
      <c r="GC552">
        <v>0.51582940180483694</v>
      </c>
      <c r="GD552">
        <v>0.37538291613750752</v>
      </c>
      <c r="GE552">
        <v>9.0465266252250001E-2</v>
      </c>
      <c r="GF552">
        <v>0</v>
      </c>
      <c r="GG552">
        <v>0</v>
      </c>
      <c r="GH552">
        <v>9.1942943341694713E-2</v>
      </c>
      <c r="GI552">
        <v>0.48608389292696819</v>
      </c>
      <c r="GJ552"/>
      <c r="GK552">
        <v>1.235936213235294</v>
      </c>
      <c r="GL552">
        <v>1.4065260569852938</v>
      </c>
      <c r="GM552">
        <v>0.50375390625000005</v>
      </c>
      <c r="GN552">
        <v>1.5109546875000002</v>
      </c>
      <c r="GO552">
        <v>1.427634375</v>
      </c>
      <c r="GP552">
        <v>0.17015625000000001</v>
      </c>
      <c r="GQ552">
        <v>0</v>
      </c>
      <c r="GR552">
        <v>0</v>
      </c>
      <c r="GS552">
        <v>9.7175480769230771E-2</v>
      </c>
      <c r="GT552">
        <v>0.6528999950509049</v>
      </c>
      <c r="GU552"/>
      <c r="GV552"/>
      <c r="GW552"/>
      <c r="GX552"/>
      <c r="GY552"/>
      <c r="GZ552"/>
      <c r="HA552"/>
      <c r="HB552"/>
      <c r="HC552"/>
    </row>
    <row r="553" spans="1:211" s="7" customFormat="1">
      <c r="A553" s="4"/>
      <c r="B553" s="4"/>
      <c r="C553" s="116">
        <f>C15</f>
        <v>0</v>
      </c>
      <c r="D553" s="101">
        <f>D81</f>
        <v>0</v>
      </c>
      <c r="E553" s="108">
        <f>E416</f>
        <v>0</v>
      </c>
      <c r="F553" s="102"/>
      <c r="G553" s="101">
        <f>D553*E553</f>
        <v>0</v>
      </c>
      <c r="H553" s="101"/>
      <c r="I553" s="101"/>
      <c r="J553" s="101"/>
      <c r="K553" s="101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81"/>
      <c r="AG553" s="81"/>
      <c r="AH553" s="81"/>
      <c r="AI553" s="4"/>
      <c r="AJ553" s="81"/>
      <c r="AK553" s="81"/>
      <c r="AL553" s="81"/>
      <c r="AM553" s="43">
        <v>537</v>
      </c>
      <c r="AN553">
        <v>39.903065091699993</v>
      </c>
      <c r="AO553">
        <v>0.87935676666092844</v>
      </c>
      <c r="AP553">
        <v>30.610641769057299</v>
      </c>
      <c r="AQ553">
        <v>6.031778866548434</v>
      </c>
      <c r="AR553">
        <v>0.80162377607287216</v>
      </c>
      <c r="AS553">
        <v>3.2196683059082916</v>
      </c>
      <c r="AT553" t="e">
        <v>#DIV/0!</v>
      </c>
      <c r="AU553" t="e">
        <v>#DIV/0!</v>
      </c>
      <c r="AV553"/>
      <c r="AW553"/>
      <c r="FY553" s="211">
        <v>548</v>
      </c>
      <c r="FZ553">
        <v>0.2361789889057406</v>
      </c>
      <c r="GA553">
        <v>0.73362661889160341</v>
      </c>
      <c r="GB553">
        <v>1.4272198682041721</v>
      </c>
      <c r="GC553">
        <v>0.88758800586243414</v>
      </c>
      <c r="GD553">
        <v>0.28343990735646429</v>
      </c>
      <c r="GE553">
        <v>0.19356646978169997</v>
      </c>
      <c r="GF553">
        <v>0.37461671604370633</v>
      </c>
      <c r="GG553">
        <v>0.44128787945473491</v>
      </c>
      <c r="GH553">
        <v>0.22255459596614241</v>
      </c>
      <c r="GI553">
        <v>0.64664947652480387</v>
      </c>
      <c r="GJ553"/>
      <c r="GK553">
        <v>0.23540624999999998</v>
      </c>
      <c r="GL553">
        <v>0.61763671875000004</v>
      </c>
      <c r="GM553">
        <v>2.3428838778409089</v>
      </c>
      <c r="GN553">
        <v>2.6044480519480517</v>
      </c>
      <c r="GO553">
        <v>1.0782321428571429</v>
      </c>
      <c r="GP553">
        <v>0.36374999999999996</v>
      </c>
      <c r="GQ553">
        <v>0.45162635869565215</v>
      </c>
      <c r="GR553">
        <v>0.61387635869565216</v>
      </c>
      <c r="GS553">
        <v>0.23538762019230769</v>
      </c>
      <c r="GT553">
        <v>0.86870724991720216</v>
      </c>
      <c r="GU553"/>
      <c r="GV553"/>
      <c r="GW553"/>
      <c r="GX553"/>
      <c r="GY553"/>
      <c r="GZ553"/>
      <c r="HA553"/>
      <c r="HB553"/>
      <c r="HC553"/>
    </row>
    <row r="554" spans="1:211" s="7" customFormat="1">
      <c r="A554" s="4"/>
      <c r="B554" s="4"/>
      <c r="C554" s="104"/>
      <c r="D554" s="101"/>
      <c r="E554" s="63"/>
      <c r="F554" s="63"/>
      <c r="G554" s="63"/>
      <c r="H554" s="63"/>
      <c r="I554" s="63"/>
      <c r="J554" s="63"/>
      <c r="K554" s="19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81"/>
      <c r="AG554" s="81"/>
      <c r="AH554" s="81"/>
      <c r="AI554" s="4"/>
      <c r="AJ554" s="81"/>
      <c r="AK554" s="81"/>
      <c r="AL554" s="81"/>
      <c r="AM554" s="43">
        <v>538</v>
      </c>
      <c r="AN554">
        <v>36.579414018952058</v>
      </c>
      <c r="AO554">
        <v>1.0093157195861207</v>
      </c>
      <c r="AP554">
        <v>13.007677467409332</v>
      </c>
      <c r="AQ554">
        <v>6.8446864805428564</v>
      </c>
      <c r="AR554">
        <v>0.93425691509577358</v>
      </c>
      <c r="AS554">
        <v>3.2699814361619608</v>
      </c>
      <c r="AT554" t="e">
        <v>#DIV/0!</v>
      </c>
      <c r="AU554" t="e">
        <v>#DIV/0!</v>
      </c>
      <c r="AV554"/>
      <c r="AW554"/>
      <c r="FY554" s="211">
        <v>549</v>
      </c>
      <c r="FZ554">
        <v>1.8446012969350276</v>
      </c>
      <c r="GA554">
        <v>2.3291390041387317</v>
      </c>
      <c r="GB554">
        <v>0.86321863479006211</v>
      </c>
      <c r="GC554">
        <v>0.88164481328826383</v>
      </c>
      <c r="GD554">
        <v>0.43378064796178928</v>
      </c>
      <c r="GE554">
        <v>0.17916673808789996</v>
      </c>
      <c r="GF554">
        <v>0.89472160493057196</v>
      </c>
      <c r="GG554">
        <v>0.70541535008225043</v>
      </c>
      <c r="GH554">
        <v>0</v>
      </c>
      <c r="GI554">
        <v>0.89104387968711241</v>
      </c>
      <c r="GJ554"/>
      <c r="GK554">
        <v>1.838328676470588</v>
      </c>
      <c r="GL554">
        <v>1.9617622702205879</v>
      </c>
      <c r="GM554">
        <v>1.4170024857954544</v>
      </c>
      <c r="GN554">
        <v>2.585176034902597</v>
      </c>
      <c r="GO554">
        <v>1.6500133928571428</v>
      </c>
      <c r="GP554">
        <v>0.33656249999999999</v>
      </c>
      <c r="GQ554">
        <v>1.0798451086956522</v>
      </c>
      <c r="GR554">
        <v>0.98215760869565205</v>
      </c>
      <c r="GS554">
        <v>0</v>
      </c>
      <c r="GT554">
        <v>1.1970379327637675</v>
      </c>
      <c r="GU554"/>
      <c r="GV554"/>
      <c r="GW554"/>
      <c r="GX554"/>
      <c r="GY554"/>
      <c r="GZ554"/>
      <c r="HA554"/>
      <c r="HB554"/>
      <c r="HC554"/>
    </row>
    <row r="555" spans="1:211" s="7" customFormat="1">
      <c r="A555" s="4"/>
      <c r="B555" s="4"/>
      <c r="C555" s="8"/>
      <c r="D555" s="8"/>
      <c r="E555" s="8"/>
      <c r="F555" s="8"/>
      <c r="G555" s="8"/>
      <c r="H555" s="8"/>
      <c r="I555" s="8"/>
      <c r="J555" s="8"/>
      <c r="K555" s="19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81"/>
      <c r="AG555" s="81"/>
      <c r="AH555" s="81"/>
      <c r="AI555" s="4"/>
      <c r="AJ555" s="81"/>
      <c r="AK555" s="81"/>
      <c r="AL555" s="81"/>
      <c r="AM555" s="43">
        <v>539</v>
      </c>
      <c r="AN555">
        <v>44.462052019804574</v>
      </c>
      <c r="AO555">
        <v>0.95675732548445791</v>
      </c>
      <c r="AP555">
        <v>21.559359333449304</v>
      </c>
      <c r="AQ555">
        <v>8.0433298759789853</v>
      </c>
      <c r="AR555">
        <v>0.87198792045789875</v>
      </c>
      <c r="AS555">
        <v>3.4554505690832711</v>
      </c>
      <c r="AT555" t="e">
        <v>#DIV/0!</v>
      </c>
      <c r="AU555" t="e">
        <v>#DIV/0!</v>
      </c>
      <c r="AV555"/>
      <c r="AW555"/>
      <c r="FY555" s="211">
        <v>550</v>
      </c>
      <c r="FZ555">
        <v>1.432738674782013</v>
      </c>
      <c r="GA555">
        <v>1.760753795718399</v>
      </c>
      <c r="GB555">
        <v>0.56106418408927738</v>
      </c>
      <c r="GC555">
        <v>0.63793369201420114</v>
      </c>
      <c r="GD555">
        <v>0.40196402532627429</v>
      </c>
      <c r="GE555">
        <v>0.16663865826195001</v>
      </c>
      <c r="GF555">
        <v>0.28141922272609687</v>
      </c>
      <c r="GG555">
        <v>0.18920630708545313</v>
      </c>
      <c r="GH555">
        <v>0.11249442504775362</v>
      </c>
      <c r="GI555">
        <v>0.64555726549888059</v>
      </c>
      <c r="GJ555"/>
      <c r="GK555">
        <v>1.4279549632352939</v>
      </c>
      <c r="GL555">
        <v>1.4829159007352941</v>
      </c>
      <c r="GM555">
        <v>0.92050781249999991</v>
      </c>
      <c r="GN555">
        <v>1.8691352678571429</v>
      </c>
      <c r="GO555">
        <v>1.5286821428571429</v>
      </c>
      <c r="GP555">
        <v>0.31303125000000004</v>
      </c>
      <c r="GQ555">
        <v>0.33965624999999999</v>
      </c>
      <c r="GR555">
        <v>0.26348958333333333</v>
      </c>
      <c r="GS555">
        <v>0.11895232371794871</v>
      </c>
      <c r="GT555">
        <v>0.86715069846207715</v>
      </c>
      <c r="GU555"/>
      <c r="GV555"/>
      <c r="GW555"/>
      <c r="GX555"/>
      <c r="GY555"/>
      <c r="GZ555"/>
      <c r="HA555"/>
      <c r="HB555"/>
      <c r="HC555"/>
    </row>
    <row r="556" spans="1:211" s="7" customFormat="1">
      <c r="A556" s="4"/>
      <c r="B556" s="4"/>
      <c r="C556" s="63"/>
      <c r="D556" s="63"/>
      <c r="E556" s="63" t="s">
        <v>24</v>
      </c>
      <c r="F556" s="18"/>
      <c r="G556" s="123">
        <f>AVERAGE(G531:G553)</f>
        <v>0.74869733863729859</v>
      </c>
      <c r="H556" s="63" t="s">
        <v>103</v>
      </c>
      <c r="I556" s="123">
        <f>SUM(J532:J552)+G531</f>
        <v>9.9175768669958544E-2</v>
      </c>
      <c r="J556" s="63"/>
      <c r="K556" s="19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81"/>
      <c r="AG556" s="81"/>
      <c r="AH556" s="81"/>
      <c r="AI556" s="4"/>
      <c r="AJ556" s="81"/>
      <c r="AK556" s="81"/>
      <c r="AL556" s="81"/>
      <c r="AM556" s="43">
        <v>540</v>
      </c>
      <c r="AN556">
        <v>34.946592643467639</v>
      </c>
      <c r="AO556">
        <v>0.72197245844780222</v>
      </c>
      <c r="AP556">
        <v>0.64328277988570481</v>
      </c>
      <c r="AQ556">
        <v>5.4186921565944468</v>
      </c>
      <c r="AR556">
        <v>0.68831931318681328</v>
      </c>
      <c r="AS556">
        <v>2.857472712061194</v>
      </c>
      <c r="AT556">
        <v>0.58120621115011672</v>
      </c>
      <c r="AU556">
        <v>8.2253052578275226E-2</v>
      </c>
      <c r="AV556"/>
      <c r="AW556"/>
      <c r="FY556" s="211">
        <v>551</v>
      </c>
      <c r="FZ556">
        <v>0.98954412642360867</v>
      </c>
      <c r="GA556">
        <v>1.1987570686671272</v>
      </c>
      <c r="GB556">
        <v>0.33619417490285858</v>
      </c>
      <c r="GC556">
        <v>0.4479359888115968</v>
      </c>
      <c r="GD556">
        <v>0.30233857070449277</v>
      </c>
      <c r="GE556">
        <v>0.16663865826195001</v>
      </c>
      <c r="GF556">
        <v>0.28141922272609687</v>
      </c>
      <c r="GG556">
        <v>0.13862439864731252</v>
      </c>
      <c r="GH556">
        <v>0</v>
      </c>
      <c r="GI556">
        <v>0.45075601831218826</v>
      </c>
      <c r="GJ556"/>
      <c r="GK556">
        <v>0.9861862132352941</v>
      </c>
      <c r="GL556">
        <v>1.0095768382352941</v>
      </c>
      <c r="GM556">
        <v>0.55147656249999999</v>
      </c>
      <c r="GN556">
        <v>1.3124386160714283</v>
      </c>
      <c r="GO556">
        <v>1.1500714285714284</v>
      </c>
      <c r="GP556">
        <v>0.31303125000000004</v>
      </c>
      <c r="GQ556">
        <v>0.33965624999999999</v>
      </c>
      <c r="GR556">
        <v>0.19312499999999999</v>
      </c>
      <c r="GS556">
        <v>0</v>
      </c>
      <c r="GT556">
        <v>0.60547809086134452</v>
      </c>
      <c r="GU556"/>
      <c r="GV556"/>
      <c r="GW556"/>
      <c r="GX556"/>
      <c r="GY556"/>
      <c r="GZ556"/>
      <c r="HA556"/>
      <c r="HB556"/>
      <c r="HC556"/>
    </row>
    <row r="557" spans="1:211" s="7" customFormat="1">
      <c r="A557" s="4"/>
      <c r="B557" s="4"/>
      <c r="C557" s="63"/>
      <c r="D557" s="63"/>
      <c r="E557" s="63"/>
      <c r="F557" s="63"/>
      <c r="G557" s="63"/>
      <c r="H557" s="8"/>
      <c r="I557" s="8"/>
      <c r="J557" s="19"/>
      <c r="K557" s="19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81"/>
      <c r="AG557" s="81"/>
      <c r="AH557" s="81"/>
      <c r="AI557" s="4"/>
      <c r="AJ557" s="81"/>
      <c r="AK557" s="81"/>
      <c r="AL557" s="81"/>
      <c r="AM557" s="43">
        <v>541</v>
      </c>
      <c r="AN557">
        <v>40.045622099406458</v>
      </c>
      <c r="AO557">
        <v>0.85092985688478984</v>
      </c>
      <c r="AP557">
        <v>8.0002425016982457</v>
      </c>
      <c r="AQ557">
        <v>6.1262069499260114</v>
      </c>
      <c r="AR557">
        <v>0.77940328991274588</v>
      </c>
      <c r="AS557">
        <v>3.2632093650393736</v>
      </c>
      <c r="AT557" t="e">
        <v>#DIV/0!</v>
      </c>
      <c r="AU557" t="e">
        <v>#DIV/0!</v>
      </c>
      <c r="AV557"/>
      <c r="AW557"/>
      <c r="FY557" s="211">
        <v>552</v>
      </c>
      <c r="FZ557">
        <v>1.8064478304626266</v>
      </c>
      <c r="GA557">
        <v>2.7176525429818756</v>
      </c>
      <c r="GB557">
        <v>1.1317721503679929</v>
      </c>
      <c r="GC557">
        <v>0.52125952688980259</v>
      </c>
      <c r="GD557">
        <v>0.14303418779083499</v>
      </c>
      <c r="GE557">
        <v>0.14051578618485</v>
      </c>
      <c r="GF557">
        <v>0.66819523726455643</v>
      </c>
      <c r="GG557">
        <v>0.62966621671876666</v>
      </c>
      <c r="GH557">
        <v>8.9508689212329934E-2</v>
      </c>
      <c r="GI557">
        <v>0.7596526496260112</v>
      </c>
      <c r="GJ557"/>
      <c r="GK557">
        <v>1.8003130514705881</v>
      </c>
      <c r="GL557">
        <v>2.2890318014705882</v>
      </c>
      <c r="GM557">
        <v>1.8576782670454546</v>
      </c>
      <c r="GN557">
        <v>1.5300032670454544</v>
      </c>
      <c r="GO557">
        <v>0.54485625000000004</v>
      </c>
      <c r="GP557">
        <v>0.26428125000000002</v>
      </c>
      <c r="GQ557">
        <v>0.80556521739130427</v>
      </c>
      <c r="GR557">
        <v>0.87592980072463755</v>
      </c>
      <c r="GS557">
        <v>9.465845352564102E-2</v>
      </c>
      <c r="GT557">
        <v>1.0206142478865976</v>
      </c>
      <c r="GU557"/>
      <c r="GV557"/>
      <c r="GW557"/>
      <c r="GX557"/>
      <c r="GY557"/>
      <c r="GZ557"/>
      <c r="HA557"/>
      <c r="HB557"/>
      <c r="HC557"/>
    </row>
    <row r="558" spans="1:211" s="7" customFormat="1">
      <c r="A558" s="4"/>
      <c r="B558" s="4"/>
      <c r="C558" s="63"/>
      <c r="D558" s="63"/>
      <c r="E558" s="63"/>
      <c r="F558" s="101"/>
      <c r="G558" s="63"/>
      <c r="H558" s="63"/>
      <c r="I558" s="119"/>
      <c r="J558" s="19"/>
      <c r="K558" s="19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81"/>
      <c r="AG558" s="81"/>
      <c r="AH558" s="81"/>
      <c r="AI558" s="4"/>
      <c r="AJ558" s="81"/>
      <c r="AK558" s="81"/>
      <c r="AL558" s="81"/>
      <c r="AM558" s="43">
        <v>542</v>
      </c>
      <c r="AN558">
        <v>24.633707264957266</v>
      </c>
      <c r="AO558">
        <v>0.50082946634615388</v>
      </c>
      <c r="AP558">
        <v>0.82180564555532953</v>
      </c>
      <c r="AQ558">
        <v>3.1366631540335606</v>
      </c>
      <c r="AR558">
        <v>0.49593817307692301</v>
      </c>
      <c r="AS558">
        <v>2.1110596367470049</v>
      </c>
      <c r="AT558" t="e">
        <v>#DIV/0!</v>
      </c>
      <c r="AU558" t="e">
        <v>#DIV/0!</v>
      </c>
      <c r="AV558"/>
      <c r="AW558"/>
      <c r="FY558" s="211">
        <v>553</v>
      </c>
      <c r="FZ558">
        <v>0.58855262260657493</v>
      </c>
      <c r="GA558">
        <v>1.0574783996228625</v>
      </c>
      <c r="GB558">
        <v>0.87866569471504907</v>
      </c>
      <c r="GC558">
        <v>1.0037859050724101</v>
      </c>
      <c r="GD558">
        <v>0.53432946416186988</v>
      </c>
      <c r="GE558">
        <v>0.12611605449105001</v>
      </c>
      <c r="GF558">
        <v>4.0519097411428125E-2</v>
      </c>
      <c r="GG558">
        <v>0</v>
      </c>
      <c r="GH558">
        <v>0</v>
      </c>
      <c r="GI558">
        <v>0.6119255369649188</v>
      </c>
      <c r="GJ558"/>
      <c r="GK558">
        <v>0.58649999999999991</v>
      </c>
      <c r="GL558">
        <v>0.890625</v>
      </c>
      <c r="GM558">
        <v>1.4426157670454542</v>
      </c>
      <c r="GN558">
        <v>2.9422970170454548</v>
      </c>
      <c r="GO558">
        <v>2.0318999999999998</v>
      </c>
      <c r="GP558">
        <v>0.23709374999999999</v>
      </c>
      <c r="GQ558">
        <v>4.8843750000000005E-2</v>
      </c>
      <c r="GR558">
        <v>0</v>
      </c>
      <c r="GS558">
        <v>0</v>
      </c>
      <c r="GT558">
        <v>0.82197190340909088</v>
      </c>
      <c r="GU558"/>
      <c r="GV558"/>
      <c r="GW558"/>
      <c r="GX558"/>
      <c r="GY558"/>
      <c r="GZ558"/>
      <c r="HA558"/>
      <c r="HB558"/>
      <c r="HC558"/>
    </row>
    <row r="559" spans="1:211" s="7" customFormat="1">
      <c r="A559" s="4"/>
      <c r="B559" s="4"/>
      <c r="C559" s="63"/>
      <c r="D559" s="63"/>
      <c r="E559" s="63" t="s">
        <v>102</v>
      </c>
      <c r="F559" s="101">
        <f>I556/G556</f>
        <v>0.13246443329218721</v>
      </c>
      <c r="G559" s="63"/>
      <c r="H559" s="63"/>
      <c r="I559" s="101"/>
      <c r="J559" s="19"/>
      <c r="K559" s="19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81"/>
      <c r="AG559" s="81"/>
      <c r="AH559" s="81"/>
      <c r="AI559" s="4"/>
      <c r="AJ559" s="81"/>
      <c r="AK559" s="81"/>
      <c r="AL559" s="81"/>
      <c r="AM559" s="43">
        <v>543</v>
      </c>
      <c r="AN559">
        <v>42.411419513457567</v>
      </c>
      <c r="AO559">
        <v>0.82979448194875771</v>
      </c>
      <c r="AP559">
        <v>8.5898573365294784</v>
      </c>
      <c r="AQ559">
        <v>5.9708065522185709</v>
      </c>
      <c r="AR559">
        <v>0.75435861995341602</v>
      </c>
      <c r="AS559">
        <v>3.6127471838061287</v>
      </c>
      <c r="AT559" t="e">
        <v>#DIV/0!</v>
      </c>
      <c r="AU559" t="e">
        <v>#DIV/0!</v>
      </c>
      <c r="AV559"/>
      <c r="AW559"/>
      <c r="FY559" s="211">
        <v>554</v>
      </c>
      <c r="FZ559">
        <v>0.55228263588072557</v>
      </c>
      <c r="GA559">
        <v>1.2172432980034411</v>
      </c>
      <c r="GB559">
        <v>1.3888449141257564</v>
      </c>
      <c r="GC559">
        <v>0.87422935651644285</v>
      </c>
      <c r="GD559">
        <v>0.24830665191865928</v>
      </c>
      <c r="GE559">
        <v>0.10310120352945001</v>
      </c>
      <c r="GF559">
        <v>0.86857626516779707</v>
      </c>
      <c r="GG559">
        <v>0.71770870692793864</v>
      </c>
      <c r="GH559">
        <v>2.2985735835423678E-2</v>
      </c>
      <c r="GI559">
        <v>0.72155312176199682</v>
      </c>
      <c r="GJ559"/>
      <c r="GK559">
        <v>0.55018124999999984</v>
      </c>
      <c r="GL559">
        <v>1.02489609375</v>
      </c>
      <c r="GM559">
        <v>2.2802901278409089</v>
      </c>
      <c r="GN559">
        <v>2.5652074269480516</v>
      </c>
      <c r="GO559">
        <v>0.94422589285714298</v>
      </c>
      <c r="GP559">
        <v>0.19359375000000001</v>
      </c>
      <c r="GQ559">
        <v>1.0475339673913044</v>
      </c>
      <c r="GR559">
        <v>0.99869021739130437</v>
      </c>
      <c r="GS559">
        <v>2.4293870192307693E-2</v>
      </c>
      <c r="GT559">
        <v>0.9693050216563327</v>
      </c>
      <c r="GU559"/>
      <c r="GV559"/>
      <c r="GW559"/>
      <c r="GX559"/>
      <c r="GY559"/>
      <c r="GZ559"/>
      <c r="HA559"/>
      <c r="HB559"/>
      <c r="HC559"/>
    </row>
    <row r="560" spans="1:211" s="7" customForma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81"/>
      <c r="AG560" s="81"/>
      <c r="AH560" s="81"/>
      <c r="AI560" s="4"/>
      <c r="AJ560" s="81"/>
      <c r="AK560" s="81"/>
      <c r="AL560" s="81"/>
      <c r="AM560" s="43">
        <v>544</v>
      </c>
      <c r="AN560">
        <v>32.561098289882658</v>
      </c>
      <c r="AO560">
        <v>0.72230117831336127</v>
      </c>
      <c r="AP560">
        <v>0.15129364946418872</v>
      </c>
      <c r="AQ560">
        <v>5.8566441758310042</v>
      </c>
      <c r="AR560">
        <v>0.6986897184841746</v>
      </c>
      <c r="AS560">
        <v>2.6300993021251502</v>
      </c>
      <c r="AT560">
        <v>0.53914688979477199</v>
      </c>
      <c r="AU560">
        <v>0.40379668636740274</v>
      </c>
      <c r="AV560"/>
      <c r="AW560"/>
      <c r="FY560" s="211">
        <v>555</v>
      </c>
      <c r="FZ560">
        <v>2.0116889934674287</v>
      </c>
      <c r="GA560">
        <v>2.3167066250121495</v>
      </c>
      <c r="GB560">
        <v>0.35960655874398745</v>
      </c>
      <c r="GC560">
        <v>0.56540102607984066</v>
      </c>
      <c r="GD560">
        <v>0.36729349348798923</v>
      </c>
      <c r="GE560">
        <v>7.7086188903599986E-2</v>
      </c>
      <c r="GF560">
        <v>0.49395954912409079</v>
      </c>
      <c r="GG560">
        <v>0.4281665527876255</v>
      </c>
      <c r="GH560">
        <v>0</v>
      </c>
      <c r="GI560">
        <v>0.68298618139101852</v>
      </c>
      <c r="GJ560"/>
      <c r="GK560">
        <v>2.004941176470588</v>
      </c>
      <c r="GL560">
        <v>1.9513396139705879</v>
      </c>
      <c r="GM560">
        <v>0.58971874999999996</v>
      </c>
      <c r="GN560">
        <v>1.656021205357143</v>
      </c>
      <c r="GO560">
        <v>1.3965133928571427</v>
      </c>
      <c r="GP560">
        <v>0.14474999999999999</v>
      </c>
      <c r="GQ560">
        <v>0.59590760869565207</v>
      </c>
      <c r="GR560">
        <v>0.59590760869565207</v>
      </c>
      <c r="GS560">
        <v>0</v>
      </c>
      <c r="GT560">
        <v>0.91741618560467653</v>
      </c>
      <c r="GU560"/>
      <c r="GV560"/>
      <c r="GW560"/>
      <c r="GX560"/>
      <c r="GY560"/>
      <c r="GZ560"/>
      <c r="HA560"/>
      <c r="HB560"/>
      <c r="HC560"/>
    </row>
    <row r="561" spans="1:211" s="7" customForma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81"/>
      <c r="AG561" s="81"/>
      <c r="AH561" s="81"/>
      <c r="AI561" s="4"/>
      <c r="AJ561" s="81"/>
      <c r="AK561" s="81"/>
      <c r="AL561" s="81"/>
      <c r="AM561" s="43">
        <v>545</v>
      </c>
      <c r="AN561">
        <v>16.778071506380329</v>
      </c>
      <c r="AO561">
        <v>0.38589620500700283</v>
      </c>
      <c r="AP561">
        <v>1.8264815613960501</v>
      </c>
      <c r="AQ561">
        <v>3.3118769081024859</v>
      </c>
      <c r="AR561">
        <v>0.37979200455182077</v>
      </c>
      <c r="AS561">
        <v>1.3849654021839175</v>
      </c>
      <c r="AT561" t="e">
        <v>#DIV/0!</v>
      </c>
      <c r="AU561" t="e">
        <v>#DIV/0!</v>
      </c>
      <c r="AV561"/>
      <c r="AW561"/>
      <c r="FY561" s="211">
        <v>556</v>
      </c>
      <c r="FZ561">
        <v>0.97681591106992705</v>
      </c>
      <c r="GA561">
        <v>1.2636984696783857</v>
      </c>
      <c r="GB561">
        <v>1.1817401798432425</v>
      </c>
      <c r="GC561">
        <v>0.99439280271124653</v>
      </c>
      <c r="GD561">
        <v>0.36542923486784989</v>
      </c>
      <c r="GE561">
        <v>8.6721962516549997E-2</v>
      </c>
      <c r="GF561">
        <v>0.66819523726455643</v>
      </c>
      <c r="GG561">
        <v>0.57908430828062596</v>
      </c>
      <c r="GH561">
        <v>2.2985735835423678E-2</v>
      </c>
      <c r="GI561">
        <v>0.76425345225840657</v>
      </c>
      <c r="GJ561"/>
      <c r="GK561">
        <v>0.97359558823529391</v>
      </c>
      <c r="GL561">
        <v>1.0644979319852939</v>
      </c>
      <c r="GM561">
        <v>1.9406182528409088</v>
      </c>
      <c r="GN561">
        <v>2.917059659090909</v>
      </c>
      <c r="GO561">
        <v>1.3895624999999998</v>
      </c>
      <c r="GP561">
        <v>0.16284374999999998</v>
      </c>
      <c r="GQ561">
        <v>0.80556521739130427</v>
      </c>
      <c r="GR561">
        <v>0.80556521739130427</v>
      </c>
      <c r="GS561">
        <v>2.4293870192307693E-2</v>
      </c>
      <c r="GT561">
        <v>1.0267270857319628</v>
      </c>
      <c r="GU561"/>
      <c r="GV561"/>
      <c r="GW561"/>
      <c r="GX561"/>
      <c r="GY561"/>
      <c r="GZ561"/>
      <c r="HA561"/>
      <c r="HB561"/>
      <c r="HC561"/>
    </row>
    <row r="562" spans="1:211" s="7" customForma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81"/>
      <c r="AG562" s="81"/>
      <c r="AH562" s="81"/>
      <c r="AI562" s="4"/>
      <c r="AJ562" s="81"/>
      <c r="AK562" s="81"/>
      <c r="AL562" s="81"/>
      <c r="AM562" s="43">
        <v>546</v>
      </c>
      <c r="AN562">
        <v>55.734143341236518</v>
      </c>
      <c r="AO562">
        <v>1.3342993237965544</v>
      </c>
      <c r="AP562">
        <v>7.4977198248834211</v>
      </c>
      <c r="AQ562">
        <v>9.0471322231391937</v>
      </c>
      <c r="AR562">
        <v>1.2333187143779865</v>
      </c>
      <c r="AS562">
        <v>4.4909365712982128</v>
      </c>
      <c r="AT562" t="e">
        <v>#DIV/0!</v>
      </c>
      <c r="AU562" t="e">
        <v>#DIV/0!</v>
      </c>
      <c r="AV562"/>
      <c r="AW562"/>
      <c r="FY562" s="211">
        <v>557</v>
      </c>
      <c r="FZ562">
        <v>1.8318730815813464</v>
      </c>
      <c r="GA562">
        <v>2.381239440418625</v>
      </c>
      <c r="GB562">
        <v>1.4123239209350718</v>
      </c>
      <c r="GC562">
        <v>1.1305566127297884</v>
      </c>
      <c r="GD562">
        <v>0.45095574871471178</v>
      </c>
      <c r="GE562">
        <v>0.24843487652077501</v>
      </c>
      <c r="GF562">
        <v>0.36024295839505316</v>
      </c>
      <c r="GG562">
        <v>0.37841261417090627</v>
      </c>
      <c r="GH562">
        <v>0.1330459067538125</v>
      </c>
      <c r="GI562">
        <v>0.95796971921983787</v>
      </c>
      <c r="GJ562"/>
      <c r="GK562">
        <v>1.8257380514705881</v>
      </c>
      <c r="GL562">
        <v>2.0057146139705879</v>
      </c>
      <c r="GM562">
        <v>2.3187159090909089</v>
      </c>
      <c r="GN562">
        <v>3.3162339894480519</v>
      </c>
      <c r="GO562">
        <v>1.7151040178571426</v>
      </c>
      <c r="GP562">
        <v>0.46692187500000004</v>
      </c>
      <c r="GQ562">
        <v>0.43509375</v>
      </c>
      <c r="GR562">
        <v>0.52697916666666667</v>
      </c>
      <c r="GS562">
        <v>0.14072916666666666</v>
      </c>
      <c r="GT562">
        <v>1.2870761790170611</v>
      </c>
      <c r="GU562"/>
      <c r="GV562"/>
      <c r="GW562"/>
      <c r="GX562"/>
      <c r="GY562"/>
      <c r="GZ562"/>
      <c r="HA562"/>
      <c r="HB562"/>
      <c r="HC562"/>
    </row>
    <row r="563" spans="1:211" s="7" customForma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81"/>
      <c r="AG563" s="81"/>
      <c r="AH563" s="81"/>
      <c r="AI563" s="4"/>
      <c r="AJ563" s="81"/>
      <c r="AK563" s="81"/>
      <c r="AL563" s="81"/>
      <c r="AM563" s="43">
        <v>547</v>
      </c>
      <c r="AN563">
        <v>34.518956605077932</v>
      </c>
      <c r="AO563">
        <v>0.7005036964790724</v>
      </c>
      <c r="AP563">
        <v>1.4111204856965505</v>
      </c>
      <c r="AQ563">
        <v>4.7768596545884545</v>
      </c>
      <c r="AR563">
        <v>0.6528999950509049</v>
      </c>
      <c r="AS563">
        <v>2.6691004022303755</v>
      </c>
      <c r="AT563" t="e">
        <v>#DIV/0!</v>
      </c>
      <c r="AU563" t="e">
        <v>#DIV/0!</v>
      </c>
      <c r="AV563"/>
      <c r="AW563"/>
      <c r="FY563" s="211">
        <v>558</v>
      </c>
      <c r="FZ563">
        <v>0.19984006995117182</v>
      </c>
      <c r="GA563">
        <v>0.63413411924480145</v>
      </c>
      <c r="GB563">
        <v>0.455653619182807</v>
      </c>
      <c r="GC563">
        <v>0.57318212155640058</v>
      </c>
      <c r="GD563">
        <v>0.41769747820756919</v>
      </c>
      <c r="GE563">
        <v>8.6721962516549997E-2</v>
      </c>
      <c r="GF563">
        <v>0.66819523726455643</v>
      </c>
      <c r="GG563">
        <v>0.57908430828062596</v>
      </c>
      <c r="GH563">
        <v>0</v>
      </c>
      <c r="GI563">
        <v>0.49754991197047393</v>
      </c>
      <c r="GJ563"/>
      <c r="GK563">
        <v>0.19921874999999994</v>
      </c>
      <c r="GL563">
        <v>0.53404687500000003</v>
      </c>
      <c r="GM563">
        <v>0.74767968750000002</v>
      </c>
      <c r="GN563">
        <v>1.6789962053571428</v>
      </c>
      <c r="GO563">
        <v>1.5883633928571426</v>
      </c>
      <c r="GP563">
        <v>0.16284374999999998</v>
      </c>
      <c r="GQ563">
        <v>0.80556521739130427</v>
      </c>
      <c r="GR563">
        <v>0.80556521739130427</v>
      </c>
      <c r="GS563">
        <v>0</v>
      </c>
      <c r="GT563">
        <v>0.66816540954968939</v>
      </c>
      <c r="GU563"/>
      <c r="GV563"/>
      <c r="GW563"/>
      <c r="GX563"/>
      <c r="GY563"/>
      <c r="GZ563"/>
      <c r="HA563"/>
      <c r="HB563"/>
      <c r="HC563"/>
    </row>
    <row r="564" spans="1:211" s="7" customForma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81"/>
      <c r="AG564" s="81"/>
      <c r="AH564" s="81"/>
      <c r="AI564" s="4"/>
      <c r="AJ564" s="81"/>
      <c r="AK564" s="81"/>
      <c r="AL564" s="81"/>
      <c r="AM564" s="43">
        <v>548</v>
      </c>
      <c r="AN564">
        <v>40.234299931650476</v>
      </c>
      <c r="AO564">
        <v>0.94119546288969169</v>
      </c>
      <c r="AP564">
        <v>1.4877619054874474</v>
      </c>
      <c r="AQ564">
        <v>5.4467285269915022</v>
      </c>
      <c r="AR564">
        <v>0.86870724991720238</v>
      </c>
      <c r="AS564">
        <v>3.3988663859467434</v>
      </c>
      <c r="AT564">
        <v>0.64745113647949126</v>
      </c>
      <c r="AU564">
        <v>5.4996283736004875E-2</v>
      </c>
      <c r="AV564"/>
      <c r="AW564"/>
      <c r="FY564" s="211">
        <v>559</v>
      </c>
      <c r="FZ564">
        <v>1.6356621066658399</v>
      </c>
      <c r="GA564">
        <v>1.9308603836422038</v>
      </c>
      <c r="GB564">
        <v>0.62868826411585299</v>
      </c>
      <c r="GC564">
        <v>0.43786787007321698</v>
      </c>
      <c r="GD564">
        <v>9.973167238018929E-2</v>
      </c>
      <c r="GE564">
        <v>4.8178868064750011E-2</v>
      </c>
      <c r="GF564">
        <v>0.49395954912409079</v>
      </c>
      <c r="GG564">
        <v>0.4281665527876255</v>
      </c>
      <c r="GH564">
        <v>2.2985735835423678E-2</v>
      </c>
      <c r="GI564">
        <v>0.54513281837547523</v>
      </c>
      <c r="GJ564"/>
      <c r="GK564">
        <v>1.6301755514705878</v>
      </c>
      <c r="GL564">
        <v>1.6265193014705879</v>
      </c>
      <c r="GM564">
        <v>1.0321392045454543</v>
      </c>
      <c r="GN564">
        <v>1.2853713474025972</v>
      </c>
      <c r="GO564">
        <v>0.37988839285714293</v>
      </c>
      <c r="GP564">
        <v>9.0468750000000014E-2</v>
      </c>
      <c r="GQ564">
        <v>0.59590760869565207</v>
      </c>
      <c r="GR564">
        <v>0.59590760869565207</v>
      </c>
      <c r="GS564">
        <v>2.4293870192307693E-2</v>
      </c>
      <c r="GT564">
        <v>0.73248092555222888</v>
      </c>
      <c r="GU564"/>
      <c r="GV564"/>
      <c r="GW564"/>
      <c r="GX564"/>
      <c r="GY564"/>
      <c r="GZ564"/>
      <c r="HA564"/>
      <c r="HB564"/>
      <c r="HC564"/>
    </row>
    <row r="565" spans="1:211" s="7" customForma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81"/>
      <c r="AG565" s="81"/>
      <c r="AH565" s="81"/>
      <c r="AI565" s="4"/>
      <c r="AJ565" s="81"/>
      <c r="AK565" s="81"/>
      <c r="AL565" s="81"/>
      <c r="AM565" s="43">
        <v>549</v>
      </c>
      <c r="AN565">
        <v>57.194488782831968</v>
      </c>
      <c r="AO565">
        <v>1.3047886010401442</v>
      </c>
      <c r="AP565">
        <v>1.1896738598303549</v>
      </c>
      <c r="AQ565">
        <v>9.0227319699017094</v>
      </c>
      <c r="AR565">
        <v>1.1970379327637675</v>
      </c>
      <c r="AS565">
        <v>4.6368352447829189</v>
      </c>
      <c r="AT565" t="e">
        <v>#DIV/0!</v>
      </c>
      <c r="AU565" t="e">
        <v>#DIV/0!</v>
      </c>
      <c r="AV565"/>
      <c r="AW565"/>
      <c r="FY565" s="211">
        <v>560</v>
      </c>
      <c r="FZ565">
        <v>1.9263518724333295</v>
      </c>
      <c r="GA565">
        <v>2.4795474064707097</v>
      </c>
      <c r="GB565">
        <v>1.4321291335983524</v>
      </c>
      <c r="GC565">
        <v>0.98836278841769964</v>
      </c>
      <c r="GD565">
        <v>0.27522920548443214</v>
      </c>
      <c r="GE565">
        <v>7.4193882690599997E-2</v>
      </c>
      <c r="GF565">
        <v>4.0519097411428125E-2</v>
      </c>
      <c r="GG565">
        <v>0</v>
      </c>
      <c r="GH565">
        <v>2.2985735835423678E-2</v>
      </c>
      <c r="GI565">
        <v>0.80244772500151174</v>
      </c>
      <c r="GJ565"/>
      <c r="GK565">
        <v>1.9198443014705882</v>
      </c>
      <c r="GL565">
        <v>2.0886060202205883</v>
      </c>
      <c r="GM565">
        <v>2.3516416903409088</v>
      </c>
      <c r="GN565">
        <v>2.8999335430194804</v>
      </c>
      <c r="GO565">
        <v>1.0465848214285713</v>
      </c>
      <c r="GP565">
        <v>0.13931250000000001</v>
      </c>
      <c r="GQ565">
        <v>4.8843750000000005E-2</v>
      </c>
      <c r="GR565">
        <v>0</v>
      </c>
      <c r="GS565">
        <v>2.4293870192307693E-2</v>
      </c>
      <c r="GT565">
        <v>1.078241686686475</v>
      </c>
      <c r="GU565"/>
      <c r="GV565"/>
      <c r="GW565"/>
      <c r="GX565"/>
      <c r="GY565"/>
      <c r="GZ565"/>
      <c r="HA565"/>
      <c r="HB565"/>
      <c r="HC565"/>
    </row>
    <row r="566" spans="1:211" s="7" customForma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81"/>
      <c r="AG566" s="81"/>
      <c r="AH566" s="81"/>
      <c r="AI566" s="4"/>
      <c r="AJ566" s="81"/>
      <c r="AK566" s="81"/>
      <c r="AL566" s="81"/>
      <c r="AM566" s="43">
        <v>550</v>
      </c>
      <c r="AN566">
        <v>43.837588956522779</v>
      </c>
      <c r="AO566">
        <v>0.91314761926982335</v>
      </c>
      <c r="AP566">
        <v>0.69703849720431899</v>
      </c>
      <c r="AQ566">
        <v>6.1897702505502981</v>
      </c>
      <c r="AR566">
        <v>0.86715069846207737</v>
      </c>
      <c r="AS566">
        <v>3.5425486784673392</v>
      </c>
      <c r="AT566">
        <v>0.71971563553102158</v>
      </c>
      <c r="AU566">
        <v>0.24184668757067301</v>
      </c>
      <c r="AV566"/>
      <c r="AW566"/>
      <c r="FY566" s="211">
        <v>561</v>
      </c>
      <c r="FZ566">
        <v>1.4000552335919618</v>
      </c>
      <c r="GA566">
        <v>1.7875904014192112</v>
      </c>
      <c r="GB566">
        <v>1.3697603178755273</v>
      </c>
      <c r="GC566">
        <v>0.97909171672943329</v>
      </c>
      <c r="GD566">
        <v>0.22683675066389677</v>
      </c>
      <c r="GE566">
        <v>5.6847916058175005E-2</v>
      </c>
      <c r="GF566">
        <v>1.4030549117033158</v>
      </c>
      <c r="GG566">
        <v>1.1458752597155641</v>
      </c>
      <c r="GH566">
        <v>2.2985735835423678E-2</v>
      </c>
      <c r="GI566">
        <v>0.92653704730716391</v>
      </c>
      <c r="GJ566"/>
      <c r="GK566">
        <v>1.3952174632352941</v>
      </c>
      <c r="GL566">
        <v>1.5056080882352938</v>
      </c>
      <c r="GM566">
        <v>2.249129971590909</v>
      </c>
      <c r="GN566">
        <v>2.8730589894480518</v>
      </c>
      <c r="GO566">
        <v>0.86289776785714278</v>
      </c>
      <c r="GP566">
        <v>0.10673437500000001</v>
      </c>
      <c r="GQ566">
        <v>1.6922853260869564</v>
      </c>
      <c r="GR566">
        <v>1.5945978260869564</v>
      </c>
      <c r="GS566">
        <v>2.4293870192307693E-2</v>
      </c>
      <c r="GT566">
        <v>1.2447648797925219</v>
      </c>
      <c r="GU566"/>
      <c r="GV566"/>
      <c r="GW566"/>
      <c r="GX566"/>
      <c r="GY566"/>
      <c r="GZ566"/>
      <c r="HA566"/>
      <c r="HB566"/>
      <c r="HC566"/>
    </row>
    <row r="567" spans="1:211" s="7" customForma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81"/>
      <c r="AG567" s="81"/>
      <c r="AH567" s="81"/>
      <c r="AI567" s="4"/>
      <c r="AJ567" s="81"/>
      <c r="AK567" s="81"/>
      <c r="AL567" s="81"/>
      <c r="AM567" s="43">
        <v>551</v>
      </c>
      <c r="AN567">
        <v>30.659602591036418</v>
      </c>
      <c r="AO567">
        <v>0.64610402494747898</v>
      </c>
      <c r="AP567">
        <v>0.42544000968743878</v>
      </c>
      <c r="AQ567">
        <v>4.3122082274572318</v>
      </c>
      <c r="AR567">
        <v>0.60547809086134441</v>
      </c>
      <c r="AS567">
        <v>2.5845557130860395</v>
      </c>
      <c r="AT567" t="e">
        <v>#DIV/0!</v>
      </c>
      <c r="AU567" t="e">
        <v>#DIV/0!</v>
      </c>
      <c r="AV567"/>
      <c r="AW567"/>
      <c r="FY567" s="211">
        <v>562</v>
      </c>
      <c r="FZ567">
        <v>0.35611181203519121</v>
      </c>
      <c r="GA567">
        <v>0.83408469818446118</v>
      </c>
      <c r="GB567">
        <v>0.39050067859396165</v>
      </c>
      <c r="GC567">
        <v>0.15489579977966061</v>
      </c>
      <c r="GD567">
        <v>7.6547033317034996E-2</v>
      </c>
      <c r="GE567">
        <v>0.12622391194229998</v>
      </c>
      <c r="GF567">
        <v>0.45565491086656262</v>
      </c>
      <c r="GG567">
        <v>0.39070597101659427</v>
      </c>
      <c r="GH567">
        <v>0.17901737842465987</v>
      </c>
      <c r="GI567">
        <v>0.30164894147230314</v>
      </c>
      <c r="GJ567"/>
      <c r="GK567">
        <v>0.35471249999999993</v>
      </c>
      <c r="GL567">
        <v>0.70233750000000006</v>
      </c>
      <c r="GM567">
        <v>0.64094531249999998</v>
      </c>
      <c r="GN567">
        <v>0.45436406249999994</v>
      </c>
      <c r="GO567">
        <v>0.29135624999999998</v>
      </c>
      <c r="GP567">
        <v>0.23699999999999996</v>
      </c>
      <c r="GQ567">
        <v>0.54931385869565208</v>
      </c>
      <c r="GR567">
        <v>0.54351177536231876</v>
      </c>
      <c r="GS567">
        <v>0.18931690705128204</v>
      </c>
      <c r="GT567">
        <v>0.40512896564938683</v>
      </c>
      <c r="GU567"/>
      <c r="GV567"/>
      <c r="GW567"/>
      <c r="GX567"/>
      <c r="GY567"/>
      <c r="GZ567"/>
      <c r="HA567"/>
      <c r="HB567"/>
      <c r="HC567"/>
    </row>
    <row r="568" spans="1:211" s="7" customForma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81"/>
      <c r="AG568" s="81"/>
      <c r="AH568" s="81"/>
      <c r="AI568" s="4"/>
      <c r="AJ568" s="81"/>
      <c r="AK568" s="81"/>
      <c r="AL568" s="81"/>
      <c r="AM568" s="43">
        <v>552</v>
      </c>
      <c r="AN568">
        <v>46.272720592789327</v>
      </c>
      <c r="AO568">
        <v>1.1082931606560265</v>
      </c>
      <c r="AP568">
        <v>8.3335389439249745</v>
      </c>
      <c r="AQ568">
        <v>8.6077048174996484</v>
      </c>
      <c r="AR568">
        <v>1.0206142478865976</v>
      </c>
      <c r="AS568">
        <v>3.6464871816151629</v>
      </c>
      <c r="AT568" t="e">
        <v>#DIV/0!</v>
      </c>
      <c r="AU568" t="e">
        <v>#DIV/0!</v>
      </c>
      <c r="AV568"/>
      <c r="AW568"/>
      <c r="FY568" s="211">
        <v>563</v>
      </c>
      <c r="FZ568">
        <v>0.934993198491888</v>
      </c>
      <c r="GA568">
        <v>1.5135699534738751</v>
      </c>
      <c r="GB568">
        <v>1.1870349463072969</v>
      </c>
      <c r="GC568">
        <v>0.69298505139634026</v>
      </c>
      <c r="GD568">
        <v>0.16101364061721535</v>
      </c>
      <c r="GE568">
        <v>0.15025941724905001</v>
      </c>
      <c r="GF568">
        <v>1.2431929812115032</v>
      </c>
      <c r="GG568">
        <v>1.0072508610682513</v>
      </c>
      <c r="GH568">
        <v>0</v>
      </c>
      <c r="GI568">
        <v>0.74323904158099818</v>
      </c>
      <c r="GJ568"/>
      <c r="GK568">
        <v>0.93182996323529399</v>
      </c>
      <c r="GL568">
        <v>1.274837775735294</v>
      </c>
      <c r="GM568">
        <v>1.9486079545454547</v>
      </c>
      <c r="GN568">
        <v>2.0337309456168833</v>
      </c>
      <c r="GO568">
        <v>0.61272455357142852</v>
      </c>
      <c r="GP568">
        <v>0.28228125000000004</v>
      </c>
      <c r="GQ568">
        <v>1.4991603260869564</v>
      </c>
      <c r="GR568">
        <v>1.4014728260869562</v>
      </c>
      <c r="GS568">
        <v>0</v>
      </c>
      <c r="GT568">
        <v>0.99846455948782675</v>
      </c>
      <c r="GU568"/>
      <c r="GV568"/>
      <c r="GW568"/>
      <c r="GX568"/>
      <c r="GY568"/>
      <c r="GZ568"/>
      <c r="HA568"/>
      <c r="HB568"/>
      <c r="HC568"/>
    </row>
    <row r="569" spans="1:211" s="7" customForma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81"/>
      <c r="AG569" s="81"/>
      <c r="AH569" s="81"/>
      <c r="AI569" s="4"/>
      <c r="AJ569" s="81"/>
      <c r="AK569" s="81"/>
      <c r="AL569" s="81"/>
      <c r="AM569" s="43">
        <v>553</v>
      </c>
      <c r="AN569">
        <v>41.870486111111106</v>
      </c>
      <c r="AO569">
        <v>0.90018471874999995</v>
      </c>
      <c r="AP569">
        <v>1.1650474599012517</v>
      </c>
      <c r="AQ569">
        <v>4.841372775046163</v>
      </c>
      <c r="AR569">
        <v>0.82197190340909088</v>
      </c>
      <c r="AS569">
        <v>3.5172391362453865</v>
      </c>
      <c r="AT569" t="e">
        <v>#DIV/0!</v>
      </c>
      <c r="AU569" t="e">
        <v>#DIV/0!</v>
      </c>
      <c r="AV569"/>
      <c r="AW569"/>
      <c r="FY569" s="211">
        <v>564</v>
      </c>
      <c r="FZ569">
        <v>0.69765447847001627</v>
      </c>
      <c r="GA569">
        <v>0.64445663411280296</v>
      </c>
      <c r="GB569">
        <v>1.2007944109460775</v>
      </c>
      <c r="GC569">
        <v>0.69429407641447782</v>
      </c>
      <c r="GD569">
        <v>0.13538282573262855</v>
      </c>
      <c r="GE569">
        <v>0.15502337532990002</v>
      </c>
      <c r="GF569">
        <v>0.5344786465355188</v>
      </c>
      <c r="GG569">
        <v>0.4281665527876255</v>
      </c>
      <c r="GH569">
        <v>0</v>
      </c>
      <c r="GI569">
        <v>0.56962159960166781</v>
      </c>
      <c r="GJ569"/>
      <c r="GK569">
        <v>0.69521250000000001</v>
      </c>
      <c r="GL569">
        <v>0.54243515625000005</v>
      </c>
      <c r="GM569">
        <v>1.9715479403409089</v>
      </c>
      <c r="GN569">
        <v>2.0384770698051948</v>
      </c>
      <c r="GO569">
        <v>0.5152767857142857</v>
      </c>
      <c r="GP569">
        <v>0.291375</v>
      </c>
      <c r="GQ569">
        <v>0.64475135869565214</v>
      </c>
      <c r="GR569">
        <v>0.59590760869565207</v>
      </c>
      <c r="GS569">
        <v>0</v>
      </c>
      <c r="GT569">
        <v>0.7653577169501693</v>
      </c>
      <c r="GU569"/>
      <c r="GV569"/>
      <c r="GW569"/>
      <c r="GX569"/>
      <c r="GY569"/>
      <c r="GZ569"/>
      <c r="HA569"/>
      <c r="HB569"/>
      <c r="HC569"/>
    </row>
    <row r="570" spans="1:211" s="7" customForma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81"/>
      <c r="AG570" s="81"/>
      <c r="AH570" s="81"/>
      <c r="AI570" s="4"/>
      <c r="AJ570" s="81"/>
      <c r="AK570" s="81"/>
      <c r="AL570" s="81"/>
      <c r="AM570" s="43">
        <v>554</v>
      </c>
      <c r="AN570">
        <v>46.170471429235008</v>
      </c>
      <c r="AO570">
        <v>1.0598217618027352</v>
      </c>
      <c r="AP570">
        <v>1.5779437990113583</v>
      </c>
      <c r="AQ570">
        <v>6.7148318896676313</v>
      </c>
      <c r="AR570">
        <v>0.96930502165633259</v>
      </c>
      <c r="AS570">
        <v>3.9015256568849614</v>
      </c>
      <c r="AT570" t="e">
        <v>#DIV/0!</v>
      </c>
      <c r="AU570" t="e">
        <v>#DIV/0!</v>
      </c>
      <c r="AV570"/>
      <c r="AW570"/>
      <c r="FY570" s="211">
        <v>565</v>
      </c>
      <c r="FZ570">
        <v>1.7464958094772745</v>
      </c>
      <c r="GA570">
        <v>2.4516257916972988</v>
      </c>
      <c r="GB570">
        <v>0.78264899942362365</v>
      </c>
      <c r="GC570">
        <v>0.79344485466072567</v>
      </c>
      <c r="GD570">
        <v>0.41098077651381099</v>
      </c>
      <c r="GE570">
        <v>8.377572757792498E-2</v>
      </c>
      <c r="GF570">
        <v>0.47958579147543745</v>
      </c>
      <c r="GG570">
        <v>0.4158731959419375</v>
      </c>
      <c r="GH570">
        <v>0</v>
      </c>
      <c r="GI570">
        <v>0.76929273798112929</v>
      </c>
      <c r="GJ570"/>
      <c r="GK570">
        <v>1.7405474264705878</v>
      </c>
      <c r="GL570">
        <v>2.0650278952205881</v>
      </c>
      <c r="GM570">
        <v>1.2848852982954544</v>
      </c>
      <c r="GN570">
        <v>2.3258628652597397</v>
      </c>
      <c r="GO570">
        <v>1.5627549107142855</v>
      </c>
      <c r="GP570">
        <v>0.15745312499999997</v>
      </c>
      <c r="GQ570">
        <v>0.57937499999999997</v>
      </c>
      <c r="GR570">
        <v>0.57937499999999997</v>
      </c>
      <c r="GS570">
        <v>0</v>
      </c>
      <c r="GT570">
        <v>1.0335125270960654</v>
      </c>
      <c r="GU570"/>
      <c r="GV570"/>
      <c r="GW570"/>
      <c r="GX570"/>
      <c r="GY570"/>
      <c r="GZ570"/>
      <c r="HA570"/>
      <c r="HB570"/>
      <c r="HC570"/>
    </row>
    <row r="571" spans="1:211" s="7" customForma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81"/>
      <c r="AG571" s="81"/>
      <c r="AH571" s="81"/>
      <c r="AI571" s="4"/>
      <c r="AJ571" s="81"/>
      <c r="AK571" s="81"/>
      <c r="AL571" s="81"/>
      <c r="AM571" s="43">
        <v>555</v>
      </c>
      <c r="AN571">
        <v>47.405079060609751</v>
      </c>
      <c r="AO571">
        <v>0.98525155416514421</v>
      </c>
      <c r="AP571">
        <v>6.0949536873440371</v>
      </c>
      <c r="AQ571">
        <v>7.3028951689977299</v>
      </c>
      <c r="AR571">
        <v>0.91741618560467653</v>
      </c>
      <c r="AS571">
        <v>3.7031725209869726</v>
      </c>
      <c r="AT571" t="e">
        <v>#DIV/0!</v>
      </c>
      <c r="AU571" t="e">
        <v>#DIV/0!</v>
      </c>
      <c r="AV571"/>
      <c r="AW571"/>
      <c r="FY571" s="211">
        <v>566</v>
      </c>
      <c r="FZ571">
        <v>2.9098802404715776</v>
      </c>
      <c r="GA571">
        <v>3.9484410910186378</v>
      </c>
      <c r="GB571">
        <v>1.3591373205759361</v>
      </c>
      <c r="GC571">
        <v>1.2135817843368026</v>
      </c>
      <c r="GD571">
        <v>0.53673534303536263</v>
      </c>
      <c r="GE571">
        <v>0.13195459564267498</v>
      </c>
      <c r="GF571">
        <v>0.66819523726455643</v>
      </c>
      <c r="GG571">
        <v>0.62966621671876666</v>
      </c>
      <c r="GH571">
        <v>6.6522953376906252E-2</v>
      </c>
      <c r="GI571">
        <v>1.1981749152348122</v>
      </c>
      <c r="GJ571"/>
      <c r="GK571">
        <v>2.9000979779411757</v>
      </c>
      <c r="GL571">
        <v>3.3258284466911765</v>
      </c>
      <c r="GM571">
        <v>2.231305752840909</v>
      </c>
      <c r="GN571">
        <v>3.558700284090909</v>
      </c>
      <c r="GO571">
        <v>2.0408906250000003</v>
      </c>
      <c r="GP571">
        <v>0.24792187499999999</v>
      </c>
      <c r="GQ571">
        <v>0.80556521739130427</v>
      </c>
      <c r="GR571">
        <v>0.87592980072463755</v>
      </c>
      <c r="GS571">
        <v>7.0364583333333328E-2</v>
      </c>
      <c r="GT571">
        <v>1.6096448313013445</v>
      </c>
      <c r="GU571"/>
      <c r="GV571"/>
      <c r="GW571"/>
      <c r="GX571"/>
      <c r="GY571"/>
      <c r="GZ571"/>
      <c r="HA571"/>
      <c r="HB571"/>
      <c r="HC571"/>
    </row>
    <row r="572" spans="1:211" s="7" customForma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81"/>
      <c r="AG572" s="81"/>
      <c r="AH572" s="81"/>
      <c r="AI572" s="4"/>
      <c r="AJ572" s="81"/>
      <c r="AK572" s="81"/>
      <c r="AL572" s="81"/>
      <c r="AM572" s="43">
        <v>556</v>
      </c>
      <c r="AN572">
        <v>47.576849813922209</v>
      </c>
      <c r="AO572">
        <v>1.1110329072859286</v>
      </c>
      <c r="AP572">
        <v>8.9317751246499331</v>
      </c>
      <c r="AQ572">
        <v>6.9033172943262153</v>
      </c>
      <c r="AR572">
        <v>1.026727085731963</v>
      </c>
      <c r="AS572">
        <v>3.9657905149671033</v>
      </c>
      <c r="AT572" t="e">
        <v>#DIV/0!</v>
      </c>
      <c r="AU572" t="e">
        <v>#DIV/0!</v>
      </c>
      <c r="AV572"/>
      <c r="AW572"/>
      <c r="FY572" s="211">
        <v>567</v>
      </c>
      <c r="FZ572">
        <v>2.0735244941993329</v>
      </c>
      <c r="GA572">
        <v>2.3227284742252614</v>
      </c>
      <c r="GB572">
        <v>1.2623098152096808</v>
      </c>
      <c r="GC572">
        <v>0.89107047952147456</v>
      </c>
      <c r="GD572">
        <v>0.21934299781642494</v>
      </c>
      <c r="GE572">
        <v>0.13875199176824998</v>
      </c>
      <c r="GF572">
        <v>8.1038194822856249E-2</v>
      </c>
      <c r="GG572">
        <v>5.0581908438140623E-2</v>
      </c>
      <c r="GH572">
        <v>8.9508689212329934E-2</v>
      </c>
      <c r="GI572">
        <v>0.76888941494699925</v>
      </c>
      <c r="GJ572"/>
      <c r="GK572">
        <v>2.0664036764705882</v>
      </c>
      <c r="GL572">
        <v>1.9562591452205882</v>
      </c>
      <c r="GM572">
        <v>2.0727354403409088</v>
      </c>
      <c r="GN572">
        <v>2.6150674715909088</v>
      </c>
      <c r="GO572">
        <v>0.83409374999999997</v>
      </c>
      <c r="GP572">
        <v>0.26053124999999999</v>
      </c>
      <c r="GQ572">
        <v>9.768750000000001E-2</v>
      </c>
      <c r="GR572">
        <v>7.0364583333333328E-2</v>
      </c>
      <c r="GS572">
        <v>9.465845352564102E-2</v>
      </c>
      <c r="GT572">
        <v>1.0331157640674276</v>
      </c>
      <c r="GU572"/>
      <c r="GV572"/>
      <c r="GW572"/>
      <c r="GX572"/>
      <c r="GY572"/>
      <c r="GZ572"/>
      <c r="HA572"/>
      <c r="HB572"/>
      <c r="HC572"/>
    </row>
    <row r="573" spans="1:211" s="7" customForma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81"/>
      <c r="AG573" s="81"/>
      <c r="AH573" s="81"/>
      <c r="AI573" s="4"/>
      <c r="AJ573" s="81"/>
      <c r="AK573" s="81"/>
      <c r="AL573" s="81"/>
      <c r="AM573" s="43">
        <v>557</v>
      </c>
      <c r="AN573">
        <v>57.69575941487706</v>
      </c>
      <c r="AO573">
        <v>1.4038306719187674</v>
      </c>
      <c r="AP573">
        <v>1.9291416600334432</v>
      </c>
      <c r="AQ573">
        <v>9.2850548794399277</v>
      </c>
      <c r="AR573">
        <v>1.2870761790170615</v>
      </c>
      <c r="AS573">
        <v>4.7123226986601923</v>
      </c>
      <c r="AT573" t="e">
        <v>#DIV/0!</v>
      </c>
      <c r="AU573" t="e">
        <v>#DIV/0!</v>
      </c>
      <c r="AV573"/>
      <c r="AW573"/>
      <c r="FY573" s="211">
        <v>568</v>
      </c>
      <c r="FZ573">
        <v>1.0168127062189092</v>
      </c>
      <c r="GA573">
        <v>1.4486679230981192</v>
      </c>
      <c r="GB573">
        <v>0.48097269484693939</v>
      </c>
      <c r="GC573">
        <v>0.28790841239521248</v>
      </c>
      <c r="GD573">
        <v>7.1204565724151778E-2</v>
      </c>
      <c r="GE573">
        <v>4.8178868064749992E-3</v>
      </c>
      <c r="GF573">
        <v>0.15986193049181252</v>
      </c>
      <c r="GG573">
        <v>0.18920630708545313</v>
      </c>
      <c r="GH573">
        <v>8.9508689212329934E-2</v>
      </c>
      <c r="GI573">
        <v>0.35153502195486036</v>
      </c>
      <c r="GJ573"/>
      <c r="GK573">
        <v>1.0132143382352941</v>
      </c>
      <c r="GL573">
        <v>1.2199916819852941</v>
      </c>
      <c r="GM573">
        <v>0.78912109374999995</v>
      </c>
      <c r="GN573">
        <v>0.84457589285714274</v>
      </c>
      <c r="GO573">
        <v>0.27127901785714281</v>
      </c>
      <c r="GP573">
        <v>9.0468749999999994E-3</v>
      </c>
      <c r="GQ573">
        <v>0.19312499999999999</v>
      </c>
      <c r="GR573">
        <v>0.26348958333333333</v>
      </c>
      <c r="GS573">
        <v>9.465845352564102E-2</v>
      </c>
      <c r="GT573">
        <v>0.47227958067361558</v>
      </c>
      <c r="GU573"/>
      <c r="GV573"/>
      <c r="GW573"/>
      <c r="GX573"/>
      <c r="GY573"/>
      <c r="GZ573"/>
      <c r="HA573"/>
      <c r="HB573"/>
      <c r="HC573"/>
    </row>
    <row r="574" spans="1:211" s="7" customForma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81"/>
      <c r="AG574" s="81"/>
      <c r="AH574" s="81"/>
      <c r="AI574" s="4"/>
      <c r="AJ574" s="81"/>
      <c r="AK574" s="81"/>
      <c r="AL574" s="81"/>
      <c r="AM574" s="43">
        <v>558</v>
      </c>
      <c r="AN574">
        <v>37.592333074534153</v>
      </c>
      <c r="AO574">
        <v>0.71904445050465848</v>
      </c>
      <c r="AP574">
        <v>7.970331388014384</v>
      </c>
      <c r="AQ574">
        <v>4.1120588281749555</v>
      </c>
      <c r="AR574">
        <v>0.6681654095496895</v>
      </c>
      <c r="AS574">
        <v>3.4024363045766735</v>
      </c>
      <c r="AT574" t="e">
        <v>#DIV/0!</v>
      </c>
      <c r="AU574" t="e">
        <v>#DIV/0!</v>
      </c>
      <c r="AV574"/>
      <c r="AW574"/>
      <c r="FY574" s="211">
        <v>569</v>
      </c>
      <c r="FZ574">
        <v>1.4400232475821961</v>
      </c>
      <c r="GA574">
        <v>2.2987400146041002</v>
      </c>
      <c r="GB574">
        <v>0.94140343220939648</v>
      </c>
      <c r="GC574">
        <v>0.58413599015226825</v>
      </c>
      <c r="GD574">
        <v>0.27199110114211178</v>
      </c>
      <c r="GE574">
        <v>8.8593614384399985E-2</v>
      </c>
      <c r="GF574">
        <v>0.49395954912409079</v>
      </c>
      <c r="GG574">
        <v>0.47874846122576609</v>
      </c>
      <c r="GH574">
        <v>0.13548016088317727</v>
      </c>
      <c r="GI574">
        <v>0.70779233671758623</v>
      </c>
      <c r="GJ574"/>
      <c r="GK574">
        <v>1.435061213235294</v>
      </c>
      <c r="GL574">
        <v>1.9358619944852942</v>
      </c>
      <c r="GM574">
        <v>1.5451899857954545</v>
      </c>
      <c r="GN574">
        <v>1.7135244724025971</v>
      </c>
      <c r="GO574">
        <v>1.034854017857143</v>
      </c>
      <c r="GP574">
        <v>0.16649999999999998</v>
      </c>
      <c r="GQ574">
        <v>0.59590760869565207</v>
      </c>
      <c r="GR574">
        <v>0.66627219202898535</v>
      </c>
      <c r="GS574">
        <v>0.14324619391025639</v>
      </c>
      <c r="GT574">
        <v>0.95085180389876001</v>
      </c>
      <c r="GU574"/>
      <c r="GV574"/>
      <c r="GW574"/>
      <c r="GX574"/>
      <c r="GY574"/>
      <c r="GZ574"/>
      <c r="HA574"/>
      <c r="HB574"/>
      <c r="HC574"/>
    </row>
    <row r="575" spans="1:211" s="7" customForma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81"/>
      <c r="AG575" s="81"/>
      <c r="AH575" s="81"/>
      <c r="AI575" s="4"/>
      <c r="AJ575" s="81"/>
      <c r="AK575" s="81"/>
      <c r="AL575" s="81"/>
      <c r="AM575" s="43">
        <v>559</v>
      </c>
      <c r="AN575">
        <v>31.551446581977263</v>
      </c>
      <c r="AO575">
        <v>0.79931525608822118</v>
      </c>
      <c r="AP575">
        <v>6.7518971317252845</v>
      </c>
      <c r="AQ575">
        <v>6.2712338210646683</v>
      </c>
      <c r="AR575">
        <v>0.7324809255522291</v>
      </c>
      <c r="AS575">
        <v>2.5577651049683414</v>
      </c>
      <c r="AT575" t="e">
        <v>#DIV/0!</v>
      </c>
      <c r="AU575" t="e">
        <v>#DIV/0!</v>
      </c>
      <c r="AV575"/>
      <c r="AW575"/>
      <c r="FY575" s="211">
        <v>570</v>
      </c>
      <c r="FZ575">
        <v>0.77879038863658812</v>
      </c>
      <c r="GA575">
        <v>1.3582636424635419</v>
      </c>
      <c r="GB575">
        <v>0.96352685985159481</v>
      </c>
      <c r="GC575">
        <v>0.5262094731093826</v>
      </c>
      <c r="GD575">
        <v>0.13866010225646785</v>
      </c>
      <c r="GE575">
        <v>8.377572757792498E-2</v>
      </c>
      <c r="GF575">
        <v>0.33409761863227821</v>
      </c>
      <c r="GG575">
        <v>0.28954215414031298</v>
      </c>
      <c r="GH575">
        <v>4.5971471670847357E-2</v>
      </c>
      <c r="GI575">
        <v>0.49674546245367013</v>
      </c>
      <c r="GJ575"/>
      <c r="GK575">
        <v>0.77620496323529398</v>
      </c>
      <c r="GL575">
        <v>1.144185431985294</v>
      </c>
      <c r="GM575">
        <v>1.5818618607954544</v>
      </c>
      <c r="GN575">
        <v>1.544249695616883</v>
      </c>
      <c r="GO575">
        <v>0.52766517857142858</v>
      </c>
      <c r="GP575">
        <v>0.15745312499999997</v>
      </c>
      <c r="GQ575">
        <v>0.40278260869565213</v>
      </c>
      <c r="GR575">
        <v>0.40278260869565213</v>
      </c>
      <c r="GS575">
        <v>4.8587740384615385E-2</v>
      </c>
      <c r="GT575">
        <v>0.66742047033648877</v>
      </c>
      <c r="GU575"/>
      <c r="GV575"/>
      <c r="GW575"/>
      <c r="GX575"/>
      <c r="GY575"/>
      <c r="GZ575"/>
      <c r="HA575"/>
      <c r="HB575"/>
      <c r="HC575"/>
    </row>
    <row r="576" spans="1:211" s="7" customForma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81"/>
      <c r="AG576" s="81"/>
      <c r="AH576" s="81"/>
      <c r="AI576" s="4"/>
      <c r="AJ576" s="81"/>
      <c r="AK576" s="81"/>
      <c r="AL576" s="81"/>
      <c r="AM576" s="43">
        <v>560</v>
      </c>
      <c r="AN576">
        <v>45.074724489154633</v>
      </c>
      <c r="AO576">
        <v>1.159730218335892</v>
      </c>
      <c r="AP576">
        <v>1.100559966194735</v>
      </c>
      <c r="AQ576">
        <v>8.0417668473434869</v>
      </c>
      <c r="AR576">
        <v>1.0782416866864752</v>
      </c>
      <c r="AS576">
        <v>3.6877126624637091</v>
      </c>
      <c r="AT576" t="e">
        <v>#DIV/0!</v>
      </c>
      <c r="AU576" t="e">
        <v>#DIV/0!</v>
      </c>
      <c r="AV576"/>
      <c r="AW576"/>
      <c r="FY576" s="211">
        <v>571</v>
      </c>
      <c r="FZ576">
        <v>1.352940511258983</v>
      </c>
      <c r="GA576">
        <v>1.994677256827871</v>
      </c>
      <c r="GB576">
        <v>0.94144603359378853</v>
      </c>
      <c r="GC576">
        <v>0.6487884097118326</v>
      </c>
      <c r="GD576">
        <v>0.23213834883321421</v>
      </c>
      <c r="GE576">
        <v>0.10791909033592499</v>
      </c>
      <c r="GF576">
        <v>4.0519097411428125E-2</v>
      </c>
      <c r="GG576">
        <v>0.15174572531442188</v>
      </c>
      <c r="GH576">
        <v>0.19956886013071873</v>
      </c>
      <c r="GI576">
        <v>0.60091241493001379</v>
      </c>
      <c r="GJ576"/>
      <c r="GK576">
        <v>1.3480049632352942</v>
      </c>
      <c r="GL576">
        <v>1.679797931985294</v>
      </c>
      <c r="GM576">
        <v>1.5456743607954544</v>
      </c>
      <c r="GN576">
        <v>1.9029104099025973</v>
      </c>
      <c r="GO576">
        <v>0.88266964285714267</v>
      </c>
      <c r="GP576">
        <v>0.20264062499999999</v>
      </c>
      <c r="GQ576">
        <v>4.8843750000000005E-2</v>
      </c>
      <c r="GR576">
        <v>0.21109375</v>
      </c>
      <c r="GS576">
        <v>0.21109375</v>
      </c>
      <c r="GT576">
        <v>0.80725729337757834</v>
      </c>
      <c r="GU576"/>
      <c r="GV576"/>
      <c r="GW576"/>
      <c r="GX576"/>
      <c r="GY576"/>
      <c r="GZ576"/>
      <c r="HA576"/>
      <c r="HB576"/>
      <c r="HC576"/>
    </row>
    <row r="577" spans="1:211" s="7" customForma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81"/>
      <c r="AG577" s="81"/>
      <c r="AH577" s="81"/>
      <c r="AI577" s="4"/>
      <c r="AJ577" s="81"/>
      <c r="AK577" s="81"/>
      <c r="AL577" s="81"/>
      <c r="AM577" s="43">
        <v>561</v>
      </c>
      <c r="AN577">
        <v>57.41408777976072</v>
      </c>
      <c r="AO577">
        <v>1.3548588557525434</v>
      </c>
      <c r="AP577">
        <v>1.3784366015664933</v>
      </c>
      <c r="AQ577">
        <v>9.3186352908996728</v>
      </c>
      <c r="AR577">
        <v>1.2447648797925219</v>
      </c>
      <c r="AS577">
        <v>4.7652093523276431</v>
      </c>
      <c r="AT577" t="e">
        <v>#DIV/0!</v>
      </c>
      <c r="AU577" t="e">
        <v>#DIV/0!</v>
      </c>
      <c r="AV577"/>
      <c r="AW577"/>
      <c r="FY577" s="211">
        <v>572</v>
      </c>
      <c r="FZ577">
        <v>1.1167327411944949</v>
      </c>
      <c r="GA577">
        <v>1.9592700555206024</v>
      </c>
      <c r="GB577">
        <v>2.6592170413671599</v>
      </c>
      <c r="GC577">
        <v>1.3912851001183788</v>
      </c>
      <c r="GD577">
        <v>0.15913865568655283</v>
      </c>
      <c r="GE577">
        <v>0.14833383665557504</v>
      </c>
      <c r="GF577">
        <v>1.0428119533082629</v>
      </c>
      <c r="GG577">
        <v>0.96979027929722028</v>
      </c>
      <c r="GH577">
        <v>0.17901737842465987</v>
      </c>
      <c r="GI577">
        <v>1.1210190467035035</v>
      </c>
      <c r="GJ577"/>
      <c r="GK577">
        <v>1.1128237132352941</v>
      </c>
      <c r="GL577">
        <v>1.6498119944852938</v>
      </c>
      <c r="GM577">
        <v>4.3660685369318184</v>
      </c>
      <c r="GN577">
        <v>4.0851798092532468</v>
      </c>
      <c r="GO577">
        <v>0.60545892857142847</v>
      </c>
      <c r="GP577">
        <v>0.27867187500000001</v>
      </c>
      <c r="GQ577">
        <v>1.2571915760869565</v>
      </c>
      <c r="GR577">
        <v>1.349076992753623</v>
      </c>
      <c r="GS577">
        <v>0.18931690705128204</v>
      </c>
      <c r="GT577">
        <v>1.506171932375356</v>
      </c>
      <c r="GU577"/>
      <c r="GV577"/>
      <c r="GW577"/>
      <c r="GX577"/>
      <c r="GY577"/>
      <c r="GZ577"/>
      <c r="HA577"/>
      <c r="HB577"/>
      <c r="HC577"/>
    </row>
    <row r="578" spans="1:211" s="7" customForma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81"/>
      <c r="AG578" s="81"/>
      <c r="AH578" s="81"/>
      <c r="AI578" s="4"/>
      <c r="AJ578" s="81"/>
      <c r="AK578" s="81"/>
      <c r="AL578" s="81"/>
      <c r="AM578" s="43">
        <v>562</v>
      </c>
      <c r="AN578">
        <v>21.955411169949208</v>
      </c>
      <c r="AO578">
        <v>0.436798713175864</v>
      </c>
      <c r="AP578">
        <v>0.35825963324874088</v>
      </c>
      <c r="AQ578">
        <v>3.2653911356327292</v>
      </c>
      <c r="AR578">
        <v>0.40512896564938683</v>
      </c>
      <c r="AS578">
        <v>1.8128349352673934</v>
      </c>
      <c r="AT578">
        <v>0.36012553258238822</v>
      </c>
      <c r="AU578">
        <v>-0.10375099383839032</v>
      </c>
      <c r="AV578"/>
      <c r="AW578"/>
      <c r="FY578" s="211">
        <v>573</v>
      </c>
      <c r="FZ578">
        <v>1.4794592968105404</v>
      </c>
      <c r="GA578">
        <v>2.4967876830323954</v>
      </c>
      <c r="GB578">
        <v>1.4608740913363718</v>
      </c>
      <c r="GC578">
        <v>0.63287604852719781</v>
      </c>
      <c r="GD578">
        <v>6.8919393597547493E-2</v>
      </c>
      <c r="GE578">
        <v>5.0050519932599999E-2</v>
      </c>
      <c r="GF578">
        <v>0.6538214796159032</v>
      </c>
      <c r="GG578">
        <v>0.61737285987307855</v>
      </c>
      <c r="GH578">
        <v>6.6522953376906252E-2</v>
      </c>
      <c r="GI578">
        <v>0.74341880006845551</v>
      </c>
      <c r="GJ578"/>
      <c r="GK578">
        <v>1.4745505514705883</v>
      </c>
      <c r="GL578">
        <v>2.1031560202205881</v>
      </c>
      <c r="GM578">
        <v>2.3986338778409086</v>
      </c>
      <c r="GN578">
        <v>1.8586502840909089</v>
      </c>
      <c r="GO578">
        <v>0.262434375</v>
      </c>
      <c r="GP578">
        <v>9.4124999999999986E-2</v>
      </c>
      <c r="GQ578">
        <v>0.78903260869565206</v>
      </c>
      <c r="GR578">
        <v>0.85939719202898535</v>
      </c>
      <c r="GS578">
        <v>7.0364583333333328E-2</v>
      </c>
      <c r="GT578">
        <v>0.99900319926809655</v>
      </c>
      <c r="GU578"/>
      <c r="GV578"/>
      <c r="GW578"/>
      <c r="GX578"/>
      <c r="GY578"/>
      <c r="GZ578"/>
      <c r="HA578"/>
      <c r="HB578"/>
      <c r="HC578"/>
    </row>
    <row r="579" spans="1:211" s="7" customForma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81"/>
      <c r="AG579" s="81"/>
      <c r="AH579" s="81"/>
      <c r="AI579" s="4"/>
      <c r="AJ579" s="81"/>
      <c r="AK579" s="81"/>
      <c r="AL579" s="81"/>
      <c r="AM579" s="43">
        <v>563</v>
      </c>
      <c r="AN579">
        <v>47.469158750456707</v>
      </c>
      <c r="AO579">
        <v>1.0983110154366094</v>
      </c>
      <c r="AP579">
        <v>10.41383536308747</v>
      </c>
      <c r="AQ579">
        <v>7.6335390913964183</v>
      </c>
      <c r="AR579">
        <v>0.99846455948782664</v>
      </c>
      <c r="AS579">
        <v>3.9374424896131268</v>
      </c>
      <c r="AT579" t="e">
        <v>#DIV/0!</v>
      </c>
      <c r="AU579" t="e">
        <v>#DIV/0!</v>
      </c>
      <c r="AV579"/>
      <c r="AW579"/>
      <c r="FY579" s="211">
        <v>574</v>
      </c>
      <c r="FZ579">
        <v>2.1026076215124658</v>
      </c>
      <c r="GA579">
        <v>2.8811208639938801</v>
      </c>
      <c r="GB579">
        <v>1.9105911868472576</v>
      </c>
      <c r="GC579">
        <v>1.0090130065099885</v>
      </c>
      <c r="GD579">
        <v>7.7364953894314289E-2</v>
      </c>
      <c r="GE579">
        <v>3.5650788238799996E-2</v>
      </c>
      <c r="GF579">
        <v>1.0284381956596096</v>
      </c>
      <c r="GG579">
        <v>1.0080788308896727</v>
      </c>
      <c r="GH579">
        <v>0.19956886013071873</v>
      </c>
      <c r="GI579">
        <v>1.038791107139823</v>
      </c>
      <c r="GJ579"/>
      <c r="GK579">
        <v>2.0952599264705878</v>
      </c>
      <c r="GL579">
        <v>2.4264318014705881</v>
      </c>
      <c r="GM579">
        <v>3.1369957386363634</v>
      </c>
      <c r="GN579">
        <v>2.9630560064935061</v>
      </c>
      <c r="GO579">
        <v>0.29485714285714287</v>
      </c>
      <c r="GP579">
        <v>6.6937499999999997E-2</v>
      </c>
      <c r="GQ579">
        <v>1.2406589673913042</v>
      </c>
      <c r="GR579">
        <v>1.402908967391304</v>
      </c>
      <c r="GS579">
        <v>0.21109375</v>
      </c>
      <c r="GT579">
        <v>1.3957731050710798</v>
      </c>
      <c r="GU579"/>
      <c r="GV579"/>
      <c r="GW579"/>
      <c r="GX579"/>
      <c r="GY579"/>
      <c r="GZ579"/>
      <c r="HA579"/>
      <c r="HB579"/>
      <c r="HC579"/>
    </row>
    <row r="580" spans="1:211" s="7" customForma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81"/>
      <c r="AG580" s="81"/>
      <c r="AH580" s="81"/>
      <c r="AI580" s="4"/>
      <c r="AJ580" s="81"/>
      <c r="AK580" s="81"/>
      <c r="AL580" s="81"/>
      <c r="AM580" s="43">
        <v>564</v>
      </c>
      <c r="AN580">
        <v>31.069033600759145</v>
      </c>
      <c r="AO580">
        <v>0.8060341136451864</v>
      </c>
      <c r="AP580">
        <v>1.65710318844899</v>
      </c>
      <c r="AQ580">
        <v>5.0598725999307144</v>
      </c>
      <c r="AR580">
        <v>0.7653577169501693</v>
      </c>
      <c r="AS580">
        <v>2.7060273667054662</v>
      </c>
      <c r="AT580" t="e">
        <v>#DIV/0!</v>
      </c>
      <c r="AU580" t="e">
        <v>#DIV/0!</v>
      </c>
      <c r="AV580"/>
      <c r="AW580"/>
      <c r="FY580" s="211">
        <v>575</v>
      </c>
      <c r="FZ580">
        <v>2.1661599563747358</v>
      </c>
      <c r="GA580">
        <v>2.1254754892887791</v>
      </c>
      <c r="GB580">
        <v>0.76012628486250922</v>
      </c>
      <c r="GC580">
        <v>0.46233749453434758</v>
      </c>
      <c r="GD580">
        <v>0.10838080303739675</v>
      </c>
      <c r="GE580">
        <v>8.1904075710074992E-2</v>
      </c>
      <c r="GF580">
        <v>0.31972386098362504</v>
      </c>
      <c r="GG580">
        <v>0.27724879729462504</v>
      </c>
      <c r="GH580">
        <v>4.5971471670847357E-2</v>
      </c>
      <c r="GI580">
        <v>0.63315100450652417</v>
      </c>
      <c r="GJ580"/>
      <c r="GK580">
        <v>2.1589068014705881</v>
      </c>
      <c r="GL580">
        <v>1.790211488970588</v>
      </c>
      <c r="GM580">
        <v>1.2479204545454543</v>
      </c>
      <c r="GN580">
        <v>1.3571854099025971</v>
      </c>
      <c r="GO580">
        <v>0.41233526785714275</v>
      </c>
      <c r="GP580">
        <v>0.153796875</v>
      </c>
      <c r="GQ580">
        <v>0.38624999999999998</v>
      </c>
      <c r="GR580">
        <v>0.38624999999999998</v>
      </c>
      <c r="GS580">
        <v>4.8587740384615385E-2</v>
      </c>
      <c r="GT580">
        <v>0.85080005285156013</v>
      </c>
      <c r="GU580"/>
      <c r="GV580"/>
      <c r="GW580"/>
      <c r="GX580"/>
      <c r="GY580"/>
      <c r="GZ580"/>
      <c r="HA580"/>
      <c r="HB580"/>
      <c r="HC580"/>
    </row>
    <row r="581" spans="1:211" s="7" customForma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81"/>
      <c r="AG581" s="81"/>
      <c r="AH581" s="81"/>
      <c r="AI581" s="4"/>
      <c r="AJ581" s="81"/>
      <c r="AK581" s="81"/>
      <c r="AL581" s="81"/>
      <c r="AM581" s="43">
        <v>565</v>
      </c>
      <c r="AN581">
        <v>48.803307364612508</v>
      </c>
      <c r="AO581">
        <v>1.1328794048056721</v>
      </c>
      <c r="AP581">
        <v>6.6410217829995828</v>
      </c>
      <c r="AQ581">
        <v>7.9337236847491637</v>
      </c>
      <c r="AR581">
        <v>1.0335125270960654</v>
      </c>
      <c r="AS581">
        <v>3.8712683366734568</v>
      </c>
      <c r="AT581" t="e">
        <v>#DIV/0!</v>
      </c>
      <c r="AU581" t="e">
        <v>#DIV/0!</v>
      </c>
      <c r="AV581"/>
      <c r="AW581"/>
      <c r="FY581" s="211">
        <v>576</v>
      </c>
      <c r="FZ581">
        <v>1.0948652544528255</v>
      </c>
      <c r="GA581">
        <v>1.4356781107569203</v>
      </c>
      <c r="GB581">
        <v>0.49978490655102537</v>
      </c>
      <c r="GC581">
        <v>1.169349430598694</v>
      </c>
      <c r="GD581">
        <v>0.75000308601285004</v>
      </c>
      <c r="GE581">
        <v>8.2862930684025005E-2</v>
      </c>
      <c r="GF581">
        <v>0.45565491086656262</v>
      </c>
      <c r="GG581">
        <v>0.39070597101659427</v>
      </c>
      <c r="GH581">
        <v>0.15603164258923619</v>
      </c>
      <c r="GI581">
        <v>0.8156496643682194</v>
      </c>
      <c r="GJ581"/>
      <c r="GK581">
        <v>1.091204963235294</v>
      </c>
      <c r="GL581">
        <v>1.209154181985294</v>
      </c>
      <c r="GM581">
        <v>0.81982421875</v>
      </c>
      <c r="GN581">
        <v>3.4246093749999997</v>
      </c>
      <c r="GO581">
        <v>2.8513125000000001</v>
      </c>
      <c r="GP581">
        <v>0.15557812500000001</v>
      </c>
      <c r="GQ581">
        <v>0.54931385869565208</v>
      </c>
      <c r="GR581">
        <v>0.54351177536231876</v>
      </c>
      <c r="GS581">
        <v>0.16502303685897435</v>
      </c>
      <c r="GT581">
        <v>1.0953357155079839</v>
      </c>
      <c r="GU581"/>
      <c r="GV581"/>
      <c r="GW581"/>
      <c r="GX581"/>
      <c r="GY581"/>
      <c r="GZ581"/>
      <c r="HA581"/>
      <c r="HB581"/>
      <c r="HC581"/>
    </row>
    <row r="582" spans="1:211" s="7" customForma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81"/>
      <c r="AG582" s="81"/>
      <c r="AH582" s="81"/>
      <c r="AI582" s="4"/>
      <c r="AJ582" s="81"/>
      <c r="AK582" s="81"/>
      <c r="AL582" s="81"/>
      <c r="AM582" s="43">
        <v>566</v>
      </c>
      <c r="AN582">
        <v>77.767805277304163</v>
      </c>
      <c r="AO582">
        <v>1.766624939431479</v>
      </c>
      <c r="AP582">
        <v>9.4434301917770966</v>
      </c>
      <c r="AQ582">
        <v>12.662289697676032</v>
      </c>
      <c r="AR582">
        <v>1.6096448313013441</v>
      </c>
      <c r="AS582">
        <v>6.039266357038148</v>
      </c>
      <c r="AT582" t="e">
        <v>#DIV/0!</v>
      </c>
      <c r="AU582" t="e">
        <v>#DIV/0!</v>
      </c>
      <c r="AV582"/>
      <c r="AW582"/>
      <c r="FY582" s="211">
        <v>577</v>
      </c>
      <c r="FZ582">
        <v>1.2401831776310244</v>
      </c>
      <c r="GA582">
        <v>1.7129336810156275</v>
      </c>
      <c r="GB582">
        <v>1.4017435250198731</v>
      </c>
      <c r="GC582">
        <v>0.80712729493557589</v>
      </c>
      <c r="GD582">
        <v>0.11026802742369748</v>
      </c>
      <c r="GE582">
        <v>0.10310120352945001</v>
      </c>
      <c r="GF582">
        <v>0.37461671604370633</v>
      </c>
      <c r="GG582">
        <v>0.28954215414031298</v>
      </c>
      <c r="GH582">
        <v>0</v>
      </c>
      <c r="GI582">
        <v>0.65622973194456635</v>
      </c>
      <c r="GJ582"/>
      <c r="GK582">
        <v>1.235842463235294</v>
      </c>
      <c r="GL582">
        <v>1.4426198069852942</v>
      </c>
      <c r="GM582">
        <v>2.301376065340909</v>
      </c>
      <c r="GN582">
        <v>2.369783096590909</v>
      </c>
      <c r="GO582">
        <v>0.41993437499999997</v>
      </c>
      <c r="GP582">
        <v>0.19359375000000001</v>
      </c>
      <c r="GQ582">
        <v>0.45162635869565215</v>
      </c>
      <c r="GR582">
        <v>0.40278260869565213</v>
      </c>
      <c r="GS582">
        <v>0</v>
      </c>
      <c r="GT582">
        <v>0.88175585245437094</v>
      </c>
      <c r="GU582"/>
      <c r="GV582"/>
      <c r="GW582"/>
      <c r="GX582"/>
      <c r="GY582"/>
      <c r="GZ582"/>
      <c r="HA582"/>
      <c r="HB582"/>
      <c r="HC582"/>
    </row>
    <row r="583" spans="1:211" s="7" customForma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81"/>
      <c r="AG583" s="81"/>
      <c r="AH583" s="81"/>
      <c r="AI583" s="4"/>
      <c r="AJ583" s="81"/>
      <c r="AK583" s="81"/>
      <c r="AL583" s="81"/>
      <c r="AM583" s="43">
        <v>567</v>
      </c>
      <c r="AN583">
        <v>44.351940097620236</v>
      </c>
      <c r="AO583">
        <v>1.1100917034549393</v>
      </c>
      <c r="AP583">
        <v>2.2441151559275805</v>
      </c>
      <c r="AQ583">
        <v>7.897746460160751</v>
      </c>
      <c r="AR583">
        <v>1.0331157640674276</v>
      </c>
      <c r="AS583">
        <v>3.3782347983157699</v>
      </c>
      <c r="AT583" t="e">
        <v>#DIV/0!</v>
      </c>
      <c r="AU583" t="e">
        <v>#DIV/0!</v>
      </c>
      <c r="AV583"/>
      <c r="AW583"/>
      <c r="FY583" s="211">
        <v>578</v>
      </c>
      <c r="FZ583">
        <v>1.3746701335432137</v>
      </c>
      <c r="GA583">
        <v>1.5201098652661007</v>
      </c>
      <c r="GB583">
        <v>1.1150057690966813</v>
      </c>
      <c r="GC583">
        <v>1.0316053959693077</v>
      </c>
      <c r="GD583">
        <v>0.35581530073315171</v>
      </c>
      <c r="GE583">
        <v>5.6847916058175005E-2</v>
      </c>
      <c r="GF583">
        <v>0.57499774394694703</v>
      </c>
      <c r="GG583">
        <v>0.68107609497832866</v>
      </c>
      <c r="GH583">
        <v>0.33261476688453123</v>
      </c>
      <c r="GI583">
        <v>0.83357403436184163</v>
      </c>
      <c r="GJ583"/>
      <c r="GK583">
        <v>1.369886213235294</v>
      </c>
      <c r="GL583">
        <v>1.2800971507352941</v>
      </c>
      <c r="GM583">
        <v>1.8302642045454545</v>
      </c>
      <c r="GN583">
        <v>3.0250979099025974</v>
      </c>
      <c r="GO583">
        <v>1.3531540178571428</v>
      </c>
      <c r="GP583">
        <v>0.10673437500000001</v>
      </c>
      <c r="GQ583">
        <v>0.69359510869565222</v>
      </c>
      <c r="GR583">
        <v>0.94773052536231883</v>
      </c>
      <c r="GS583">
        <v>0.35182291666666665</v>
      </c>
      <c r="GT583">
        <v>1.1197444922000419</v>
      </c>
      <c r="GU583"/>
      <c r="GV583"/>
      <c r="GW583"/>
      <c r="GX583"/>
      <c r="GY583"/>
      <c r="GZ583"/>
      <c r="HA583"/>
      <c r="HB583"/>
      <c r="HC583"/>
    </row>
    <row r="584" spans="1:211" s="7" customForma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81"/>
      <c r="AG584" s="81"/>
      <c r="AH584" s="81"/>
      <c r="AI584" s="4"/>
      <c r="AJ584" s="81"/>
      <c r="AK584" s="81"/>
      <c r="AL584" s="81"/>
      <c r="AM584" s="43">
        <v>568</v>
      </c>
      <c r="AN584">
        <v>21.928547824044148</v>
      </c>
      <c r="AO584">
        <v>0.51707815172174632</v>
      </c>
      <c r="AP584">
        <v>12.355002278071632</v>
      </c>
      <c r="AQ584">
        <v>4.1004961378342628</v>
      </c>
      <c r="AR584">
        <v>0.47227958067361553</v>
      </c>
      <c r="AS584">
        <v>1.6789676399185216</v>
      </c>
      <c r="AT584" t="e">
        <v>#DIV/0!</v>
      </c>
      <c r="AU584" t="e">
        <v>#DIV/0!</v>
      </c>
      <c r="AV584"/>
      <c r="AW584"/>
      <c r="FY584" s="211">
        <v>579</v>
      </c>
      <c r="FZ584">
        <v>1.2274549622773425</v>
      </c>
      <c r="GA584">
        <v>1.7064037216756138</v>
      </c>
      <c r="GB584">
        <v>0.53133256895566283</v>
      </c>
      <c r="GC584">
        <v>0.45348264757901868</v>
      </c>
      <c r="GD584">
        <v>0.23837914680232494</v>
      </c>
      <c r="GE584">
        <v>0.12526505696834997</v>
      </c>
      <c r="GF584">
        <v>0.82805716775636906</v>
      </c>
      <c r="GG584">
        <v>0.71770870692793864</v>
      </c>
      <c r="GH584">
        <v>2.2985735835423678E-2</v>
      </c>
      <c r="GI584">
        <v>0.59924999350435715</v>
      </c>
      <c r="GJ584"/>
      <c r="GK584">
        <v>1.2232518382352939</v>
      </c>
      <c r="GL584">
        <v>1.437341681985294</v>
      </c>
      <c r="GM584">
        <v>0.87182421875000005</v>
      </c>
      <c r="GN584">
        <v>1.3289843749999997</v>
      </c>
      <c r="GO584">
        <v>0.90646874999999993</v>
      </c>
      <c r="GP584">
        <v>0.23521874999999998</v>
      </c>
      <c r="GQ584">
        <v>0.99869021739130437</v>
      </c>
      <c r="GR584">
        <v>0.99869021739130437</v>
      </c>
      <c r="GS584">
        <v>2.4293870192307693E-2</v>
      </c>
      <c r="GT584">
        <v>0.80490577891378123</v>
      </c>
      <c r="GU584"/>
      <c r="GV584"/>
      <c r="GW584"/>
      <c r="GX584"/>
      <c r="GY584"/>
      <c r="GZ584"/>
      <c r="HA584"/>
      <c r="HB584"/>
      <c r="HC584"/>
    </row>
    <row r="585" spans="1:211" s="7" customForma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81"/>
      <c r="AG585" s="81"/>
      <c r="AH585" s="81"/>
      <c r="AI585" s="4"/>
      <c r="AJ585" s="81"/>
      <c r="AK585" s="81"/>
      <c r="AL585" s="81"/>
      <c r="AM585" s="43">
        <v>569</v>
      </c>
      <c r="AN585">
        <v>45.064051586585954</v>
      </c>
      <c r="AO585">
        <v>1.0187269482309436</v>
      </c>
      <c r="AP585">
        <v>6.8300650302557226</v>
      </c>
      <c r="AQ585">
        <v>7.4408679080250923</v>
      </c>
      <c r="AR585">
        <v>0.9508518038987599</v>
      </c>
      <c r="AS585">
        <v>3.5960994044868442</v>
      </c>
      <c r="AT585" t="e">
        <v>#DIV/0!</v>
      </c>
      <c r="AU585" t="e">
        <v>#DIV/0!</v>
      </c>
      <c r="AV585"/>
      <c r="AW585"/>
      <c r="FY585" s="211">
        <v>580</v>
      </c>
      <c r="FZ585">
        <v>1.298320651098543</v>
      </c>
      <c r="GA585">
        <v>1.900471346559784</v>
      </c>
      <c r="GB585">
        <v>1.4166820736733656</v>
      </c>
      <c r="GC585">
        <v>0.76716906001685725</v>
      </c>
      <c r="GD585">
        <v>0.10264132837369927</v>
      </c>
      <c r="GE585">
        <v>0.10979074220377499</v>
      </c>
      <c r="GF585">
        <v>1.0428119533082629</v>
      </c>
      <c r="GG585">
        <v>1.0203721877353609</v>
      </c>
      <c r="GH585">
        <v>0.22255459596614241</v>
      </c>
      <c r="GI585">
        <v>0.81923687737798812</v>
      </c>
      <c r="GJ585"/>
      <c r="GK585">
        <v>1.293779963235294</v>
      </c>
      <c r="GL585">
        <v>1.600600275735294</v>
      </c>
      <c r="GM585">
        <v>2.3260284090909091</v>
      </c>
      <c r="GN585">
        <v>2.2524058644480518</v>
      </c>
      <c r="GO585">
        <v>0.39065089285714283</v>
      </c>
      <c r="GP585">
        <v>0.20629687499999999</v>
      </c>
      <c r="GQ585">
        <v>1.2571915760869565</v>
      </c>
      <c r="GR585">
        <v>1.4194415760869563</v>
      </c>
      <c r="GS585">
        <v>0.23538762019230769</v>
      </c>
      <c r="GT585">
        <v>1.1006076922925221</v>
      </c>
      <c r="GU585"/>
      <c r="GV585"/>
      <c r="GW585"/>
      <c r="GX585"/>
      <c r="GY585"/>
      <c r="GZ585"/>
      <c r="HA585"/>
      <c r="HB585"/>
      <c r="HC585"/>
    </row>
    <row r="586" spans="1:211" s="7" customForma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81"/>
      <c r="AG586" s="81"/>
      <c r="AH586" s="81"/>
      <c r="AI586" s="4"/>
      <c r="AJ586" s="81"/>
      <c r="AK586" s="81"/>
      <c r="AL586" s="81"/>
      <c r="AM586" s="43">
        <v>570</v>
      </c>
      <c r="AN586">
        <v>29.128960520244885</v>
      </c>
      <c r="AO586">
        <v>0.72531936833167632</v>
      </c>
      <c r="AP586">
        <v>4.7048352340035509</v>
      </c>
      <c r="AQ586">
        <v>5.0155829007926087</v>
      </c>
      <c r="AR586">
        <v>0.66742047033648899</v>
      </c>
      <c r="AS586">
        <v>2.3476124270856773</v>
      </c>
      <c r="AT586" t="e">
        <v>#DIV/0!</v>
      </c>
      <c r="AU586" t="e">
        <v>#DIV/0!</v>
      </c>
      <c r="AV586"/>
      <c r="AW586"/>
      <c r="FY586" s="211">
        <v>581</v>
      </c>
      <c r="FZ586">
        <v>1.3546861265480963</v>
      </c>
      <c r="GA586">
        <v>1.7367138693695376</v>
      </c>
      <c r="GB586">
        <v>1.5525022687421095</v>
      </c>
      <c r="GC586">
        <v>1.0236452473187228</v>
      </c>
      <c r="GD586">
        <v>0.21684371311578854</v>
      </c>
      <c r="GE586">
        <v>9.6357736129499983E-3</v>
      </c>
      <c r="GF586">
        <v>0.66819523726455643</v>
      </c>
      <c r="GG586">
        <v>0.73083003359504783</v>
      </c>
      <c r="GH586">
        <v>0.24554033180156609</v>
      </c>
      <c r="GI586">
        <v>0.86176347756249427</v>
      </c>
      <c r="GJ586"/>
      <c r="GK586">
        <v>1.3499643382352939</v>
      </c>
      <c r="GL586">
        <v>1.4624291819852939</v>
      </c>
      <c r="GM586">
        <v>2.548821377840909</v>
      </c>
      <c r="GN586">
        <v>3.0037395698051945</v>
      </c>
      <c r="GO586">
        <v>0.82453928571428559</v>
      </c>
      <c r="GP586">
        <v>1.8093749999999999E-2</v>
      </c>
      <c r="GQ586">
        <v>0.80556521739130427</v>
      </c>
      <c r="GR586">
        <v>1.0166589673913042</v>
      </c>
      <c r="GS586">
        <v>0.25968149038461541</v>
      </c>
      <c r="GT586">
        <v>1.1577143419132816</v>
      </c>
      <c r="GU586"/>
      <c r="GV586"/>
      <c r="GW586"/>
      <c r="GX586"/>
      <c r="GY586"/>
      <c r="GZ586"/>
      <c r="HA586"/>
      <c r="HB586"/>
      <c r="HC586"/>
    </row>
    <row r="587" spans="1:211" s="7" customForma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81"/>
      <c r="AG587" s="81"/>
      <c r="AH587" s="81"/>
      <c r="AI587" s="4"/>
      <c r="AJ587" s="81"/>
      <c r="AK587" s="81"/>
      <c r="AL587" s="81"/>
      <c r="AM587" s="43">
        <v>571</v>
      </c>
      <c r="AN587">
        <v>38.653823821195139</v>
      </c>
      <c r="AO587">
        <v>0.88399864771533598</v>
      </c>
      <c r="AP587">
        <v>2.755152189535452</v>
      </c>
      <c r="AQ587">
        <v>6.2706557483481964</v>
      </c>
      <c r="AR587">
        <v>0.80725729337757834</v>
      </c>
      <c r="AS587">
        <v>3.1218062285900774</v>
      </c>
      <c r="AT587" t="e">
        <v>#DIV/0!</v>
      </c>
      <c r="AU587" t="e">
        <v>#DIV/0!</v>
      </c>
      <c r="AV587"/>
      <c r="AW587"/>
      <c r="FY587" s="211">
        <v>582</v>
      </c>
      <c r="FZ587">
        <v>0.45421729949294426</v>
      </c>
      <c r="GA587">
        <v>0.5960790861954145</v>
      </c>
      <c r="GB587">
        <v>0.79370754146292288</v>
      </c>
      <c r="GC587">
        <v>0.65563142398230378</v>
      </c>
      <c r="GD587">
        <v>0.30204102204128247</v>
      </c>
      <c r="GE587">
        <v>0.23879910290782499</v>
      </c>
      <c r="GF587">
        <v>0.5344786465355188</v>
      </c>
      <c r="GG587">
        <v>0.47874846122576609</v>
      </c>
      <c r="GH587">
        <v>8.9508689212329934E-2</v>
      </c>
      <c r="GI587">
        <v>0.54255777983966014</v>
      </c>
      <c r="GJ587"/>
      <c r="GK587">
        <v>0.45249374999999992</v>
      </c>
      <c r="GL587">
        <v>0.50172421874999995</v>
      </c>
      <c r="GM587">
        <v>1.3029556107954543</v>
      </c>
      <c r="GN587">
        <v>1.9231563920454544</v>
      </c>
      <c r="GO587">
        <v>1.1491031249999999</v>
      </c>
      <c r="GP587">
        <v>0.44882812500000002</v>
      </c>
      <c r="GQ587">
        <v>0.64475135869565214</v>
      </c>
      <c r="GR587">
        <v>0.66627219202898535</v>
      </c>
      <c r="GS587">
        <v>9.465845352564102E-2</v>
      </c>
      <c r="GT587">
        <v>0.72879245960334949</v>
      </c>
      <c r="GU587"/>
      <c r="GV587"/>
      <c r="GW587"/>
      <c r="GX587"/>
      <c r="GY587"/>
      <c r="GZ587"/>
      <c r="HA587"/>
      <c r="HB587"/>
      <c r="HC587"/>
    </row>
    <row r="588" spans="1:211" s="7" customForma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81"/>
      <c r="AG588" s="81"/>
      <c r="AH588" s="81"/>
      <c r="AI588" s="4"/>
      <c r="AJ588" s="81"/>
      <c r="AK588" s="81"/>
      <c r="AL588" s="81"/>
      <c r="AM588" s="43">
        <v>572</v>
      </c>
      <c r="AN588">
        <v>64.781974811710256</v>
      </c>
      <c r="AO588">
        <v>1.6399772265744299</v>
      </c>
      <c r="AP588">
        <v>2.6662358642554822</v>
      </c>
      <c r="AQ588">
        <v>10.746616088276411</v>
      </c>
      <c r="AR588">
        <v>1.5061719323753557</v>
      </c>
      <c r="AS588">
        <v>5.2068996734413631</v>
      </c>
      <c r="AT588">
        <v>1.0418639025204939</v>
      </c>
      <c r="AU588">
        <v>-1.8097425209210094E-2</v>
      </c>
      <c r="AV588"/>
      <c r="AW588"/>
      <c r="FY588" s="211">
        <v>583</v>
      </c>
      <c r="FZ588">
        <v>0.81747581987088003</v>
      </c>
      <c r="GA588">
        <v>0.84526419407087783</v>
      </c>
      <c r="GB588">
        <v>1.0637092812621969</v>
      </c>
      <c r="GC588">
        <v>0.67538372209996655</v>
      </c>
      <c r="GD588">
        <v>0.10072377677742428</v>
      </c>
      <c r="GE588">
        <v>7.4193882690599997E-2</v>
      </c>
      <c r="GF588">
        <v>1.1883001261514219</v>
      </c>
      <c r="GG588">
        <v>0.99495750422256357</v>
      </c>
      <c r="GH588">
        <v>0</v>
      </c>
      <c r="GI588">
        <v>0.65178265847018735</v>
      </c>
      <c r="GJ588"/>
      <c r="GK588">
        <v>0.81457500000000005</v>
      </c>
      <c r="GL588">
        <v>0.71174296875000009</v>
      </c>
      <c r="GM588">
        <v>1.7468838778409088</v>
      </c>
      <c r="GN588">
        <v>1.9833043019480516</v>
      </c>
      <c r="GO588">
        <v>0.38343214285714278</v>
      </c>
      <c r="GP588">
        <v>0.13931250000000001</v>
      </c>
      <c r="GQ588">
        <v>1.4337839673913042</v>
      </c>
      <c r="GR588">
        <v>1.3849402173913044</v>
      </c>
      <c r="GS588">
        <v>0</v>
      </c>
      <c r="GT588">
        <v>0.87573499761787121</v>
      </c>
      <c r="GU588"/>
      <c r="GV588"/>
      <c r="GW588"/>
      <c r="GX588"/>
      <c r="GY588"/>
      <c r="GZ588"/>
      <c r="HA588"/>
      <c r="HB588"/>
      <c r="HC588"/>
    </row>
    <row r="589" spans="1:211" s="7" customForma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81"/>
      <c r="AG589" s="81"/>
      <c r="AH589" s="81"/>
      <c r="AI589" s="4"/>
      <c r="AJ589" s="81"/>
      <c r="AK589" s="81"/>
      <c r="AL589" s="81"/>
      <c r="AM589" s="43">
        <v>573</v>
      </c>
      <c r="AN589">
        <v>39.591396851615045</v>
      </c>
      <c r="AO589">
        <v>1.0909347691949063</v>
      </c>
      <c r="AP589">
        <v>8.9093697184814253</v>
      </c>
      <c r="AQ589">
        <v>8.2701031261709961</v>
      </c>
      <c r="AR589">
        <v>0.99900319926809655</v>
      </c>
      <c r="AS589">
        <v>3.6976895390602484</v>
      </c>
      <c r="AT589" t="e">
        <v>#DIV/0!</v>
      </c>
      <c r="AU589" t="e">
        <v>#DIV/0!</v>
      </c>
      <c r="AV589"/>
      <c r="AW589"/>
      <c r="FY589" s="211">
        <v>584</v>
      </c>
      <c r="FZ589">
        <v>1.7507659525735222</v>
      </c>
      <c r="GA589">
        <v>2.1730773802720877</v>
      </c>
      <c r="GB589">
        <v>2.0582993138307288</v>
      </c>
      <c r="GC589">
        <v>1.1538226912138541</v>
      </c>
      <c r="GD589">
        <v>0.12011209645085355</v>
      </c>
      <c r="GE589">
        <v>7.1247647751975007E-2</v>
      </c>
      <c r="GF589">
        <v>0.69434057702733132</v>
      </c>
      <c r="GG589">
        <v>0.61737285987307855</v>
      </c>
      <c r="GH589">
        <v>6.6522953376906252E-2</v>
      </c>
      <c r="GI589">
        <v>0.96594205544118761</v>
      </c>
      <c r="GJ589"/>
      <c r="GK589">
        <v>1.7445205882352939</v>
      </c>
      <c r="GL589">
        <v>1.8299385569852937</v>
      </c>
      <c r="GM589">
        <v>3.3794840198863629</v>
      </c>
      <c r="GN589">
        <v>3.3875147118506486</v>
      </c>
      <c r="GO589">
        <v>0.45743303571428567</v>
      </c>
      <c r="GP589">
        <v>0.133921875</v>
      </c>
      <c r="GQ589">
        <v>0.83787635869565202</v>
      </c>
      <c r="GR589">
        <v>0.85939719202898535</v>
      </c>
      <c r="GS589">
        <v>7.0364583333333328E-2</v>
      </c>
      <c r="GT589">
        <v>1.2979357171729857</v>
      </c>
      <c r="GU589"/>
      <c r="GV589"/>
      <c r="GW589"/>
      <c r="GX589"/>
      <c r="GY589"/>
      <c r="GZ589"/>
      <c r="HA589"/>
      <c r="HB589"/>
      <c r="HC589"/>
    </row>
    <row r="590" spans="1:211" s="7" customForma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81"/>
      <c r="AG590" s="81"/>
      <c r="AH590" s="81"/>
      <c r="AI590" s="4"/>
      <c r="AJ590" s="81"/>
      <c r="AK590" s="81"/>
      <c r="AL590" s="81"/>
      <c r="AM590" s="43">
        <v>574</v>
      </c>
      <c r="AN590">
        <v>58.839167224860965</v>
      </c>
      <c r="AO590">
        <v>1.5233972905781876</v>
      </c>
      <c r="AP590">
        <v>1.7953914824580774</v>
      </c>
      <c r="AQ590">
        <v>11.29122541481653</v>
      </c>
      <c r="AR590">
        <v>1.3957731050710795</v>
      </c>
      <c r="AS590">
        <v>4.8442478038586634</v>
      </c>
      <c r="AT590" t="e">
        <v>#DIV/0!</v>
      </c>
      <c r="AU590" t="e">
        <v>#DIV/0!</v>
      </c>
      <c r="AV590"/>
      <c r="AW590"/>
      <c r="FY590" s="211">
        <v>585</v>
      </c>
      <c r="FZ590">
        <v>2.2582496854471281</v>
      </c>
      <c r="GA590">
        <v>3.0339270214693839</v>
      </c>
      <c r="GB590">
        <v>1.6210693060580457</v>
      </c>
      <c r="GC590">
        <v>0.87404752609929903</v>
      </c>
      <c r="GD590">
        <v>0.13970776934751106</v>
      </c>
      <c r="GE590">
        <v>0.11273697714240002</v>
      </c>
      <c r="GF590">
        <v>0.5344786465355188</v>
      </c>
      <c r="GG590">
        <v>0.52933036966390667</v>
      </c>
      <c r="GH590">
        <v>0.15603164258923619</v>
      </c>
      <c r="GI590">
        <v>0.93079512350565818</v>
      </c>
      <c r="GJ590"/>
      <c r="GK590">
        <v>2.2507555147058822</v>
      </c>
      <c r="GL590">
        <v>2.5557477022058821</v>
      </c>
      <c r="GM590">
        <v>2.6616612215909088</v>
      </c>
      <c r="GN590">
        <v>2.5659551948051944</v>
      </c>
      <c r="GO590">
        <v>0.53150491071428563</v>
      </c>
      <c r="GP590">
        <v>0.21168750000000003</v>
      </c>
      <c r="GQ590">
        <v>0.64475135869565214</v>
      </c>
      <c r="GR590">
        <v>0.73663677536231864</v>
      </c>
      <c r="GS590">
        <v>0.16502303685897435</v>
      </c>
      <c r="GT590">
        <v>1.2507392085131408</v>
      </c>
      <c r="GU590"/>
      <c r="GV590"/>
      <c r="GW590"/>
      <c r="GX590"/>
      <c r="GY590"/>
      <c r="GZ590"/>
      <c r="HA590"/>
      <c r="HB590"/>
      <c r="HC590"/>
    </row>
    <row r="591" spans="1:211" s="7" customForma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81"/>
      <c r="AG591" s="81"/>
      <c r="AH591" s="81"/>
      <c r="AI591" s="4"/>
      <c r="AJ591" s="81"/>
      <c r="AK591" s="81"/>
      <c r="AL591" s="81"/>
      <c r="AM591" s="43">
        <v>575</v>
      </c>
      <c r="AN591">
        <v>33.786642605760264</v>
      </c>
      <c r="AO591">
        <v>0.87922440909825483</v>
      </c>
      <c r="AP591">
        <v>5.2636947045362152</v>
      </c>
      <c r="AQ591">
        <v>6.9804792382634648</v>
      </c>
      <c r="AR591">
        <v>0.85080005285156013</v>
      </c>
      <c r="AS591">
        <v>3.1666039898735145</v>
      </c>
      <c r="AT591" t="e">
        <v>#DIV/0!</v>
      </c>
      <c r="AU591" t="e">
        <v>#DIV/0!</v>
      </c>
      <c r="AV591"/>
      <c r="AW591"/>
      <c r="FY591" s="211">
        <v>586</v>
      </c>
      <c r="FZ591">
        <v>1.6156780996707227</v>
      </c>
      <c r="GA591">
        <v>2.5182593972568323</v>
      </c>
      <c r="GB591">
        <v>1.0967623480686763</v>
      </c>
      <c r="GC591">
        <v>0.73733935595643896</v>
      </c>
      <c r="GD591">
        <v>0.28379528843115531</v>
      </c>
      <c r="GE591">
        <v>8.8593614384399985E-2</v>
      </c>
      <c r="GF591">
        <v>0.49395954912409079</v>
      </c>
      <c r="GG591">
        <v>0.4281665527876255</v>
      </c>
      <c r="GH591">
        <v>2.2985735835423678E-2</v>
      </c>
      <c r="GI591">
        <v>0.76073545630053452</v>
      </c>
      <c r="GJ591"/>
      <c r="GK591">
        <v>1.6102536764705877</v>
      </c>
      <c r="GL591">
        <v>2.1211560202205879</v>
      </c>
      <c r="GM591">
        <v>1.8001743607954546</v>
      </c>
      <c r="GN591">
        <v>2.1624528206168829</v>
      </c>
      <c r="GO591">
        <v>1.0795245535714286</v>
      </c>
      <c r="GP591">
        <v>0.16649999999999998</v>
      </c>
      <c r="GQ591">
        <v>0.59590760869565207</v>
      </c>
      <c r="GR591">
        <v>0.59590760869565207</v>
      </c>
      <c r="GS591">
        <v>2.4293870192307693E-2</v>
      </c>
      <c r="GT591">
        <v>1.0220308139450862</v>
      </c>
      <c r="GU591"/>
      <c r="GV591"/>
      <c r="GW591"/>
      <c r="GX591"/>
      <c r="GY591"/>
      <c r="GZ591"/>
      <c r="HA591"/>
      <c r="HB591"/>
      <c r="HC591"/>
    </row>
    <row r="592" spans="1:211" s="7" customForma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81"/>
      <c r="AG592" s="81"/>
      <c r="AH592" s="81"/>
      <c r="AI592" s="4"/>
      <c r="AJ592" s="81"/>
      <c r="AK592" s="81"/>
      <c r="AL592" s="81"/>
      <c r="AM592" s="43">
        <v>576</v>
      </c>
      <c r="AN592">
        <v>64.125863501522886</v>
      </c>
      <c r="AO592">
        <v>1.1904867750395518</v>
      </c>
      <c r="AP592">
        <v>0.53118606628336518</v>
      </c>
      <c r="AQ592">
        <v>6.8505859078969529</v>
      </c>
      <c r="AR592">
        <v>1.0953357155079839</v>
      </c>
      <c r="AS592">
        <v>5.1422878327438672</v>
      </c>
      <c r="AT592">
        <v>1.0250019387919063</v>
      </c>
      <c r="AU592">
        <v>5.0284490557506417E-2</v>
      </c>
      <c r="AV592"/>
      <c r="AW592"/>
      <c r="FY592" s="211">
        <v>587</v>
      </c>
      <c r="FZ592">
        <v>0.40515016518469404</v>
      </c>
      <c r="GA592">
        <v>0.63041123088229667</v>
      </c>
      <c r="GB592">
        <v>0.88965761378616193</v>
      </c>
      <c r="GC592">
        <v>0.70673152911817139</v>
      </c>
      <c r="GD592">
        <v>0.28097846578916358</v>
      </c>
      <c r="GE592">
        <v>0.11648028087809999</v>
      </c>
      <c r="GF592">
        <v>4.0519097411428125E-2</v>
      </c>
      <c r="GG592">
        <v>0</v>
      </c>
      <c r="GH592">
        <v>4.5971471670847357E-2</v>
      </c>
      <c r="GI592">
        <v>0.45117420198283775</v>
      </c>
      <c r="GJ592"/>
      <c r="GK592">
        <v>0.40371562499999997</v>
      </c>
      <c r="GL592">
        <v>0.53080546875000001</v>
      </c>
      <c r="GM592">
        <v>1.4605024857954545</v>
      </c>
      <c r="GN592">
        <v>2.0728269277597402</v>
      </c>
      <c r="GO592">
        <v>1.0689455357142856</v>
      </c>
      <c r="GP592">
        <v>0.21899999999999997</v>
      </c>
      <c r="GQ592">
        <v>4.8843750000000005E-2</v>
      </c>
      <c r="GR592">
        <v>0</v>
      </c>
      <c r="GS592">
        <v>4.8587740384615385E-2</v>
      </c>
      <c r="GT592">
        <v>0.60611902737887102</v>
      </c>
      <c r="GU592"/>
      <c r="GV592"/>
      <c r="GW592"/>
      <c r="GX592"/>
      <c r="GY592"/>
      <c r="GZ592"/>
      <c r="HA592"/>
      <c r="HB592"/>
      <c r="HC592"/>
    </row>
    <row r="593" spans="1:211" s="7" customForma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81"/>
      <c r="AG593" s="81"/>
      <c r="AH593" s="81"/>
      <c r="AI593" s="4"/>
      <c r="AJ593" s="81"/>
      <c r="AK593" s="81"/>
      <c r="AL593" s="81"/>
      <c r="AM593" s="43">
        <v>577</v>
      </c>
      <c r="AN593">
        <v>37.494658017192378</v>
      </c>
      <c r="AO593">
        <v>0.96993143769980816</v>
      </c>
      <c r="AP593">
        <v>13.606966266050735</v>
      </c>
      <c r="AQ593">
        <v>6.6957455116838336</v>
      </c>
      <c r="AR593">
        <v>0.88175585245437116</v>
      </c>
      <c r="AS593">
        <v>2.9622311537022368</v>
      </c>
      <c r="AT593" t="e">
        <v>#DIV/0!</v>
      </c>
      <c r="AU593" t="e">
        <v>#DIV/0!</v>
      </c>
      <c r="AV593"/>
      <c r="AW593"/>
      <c r="FY593" s="211">
        <v>588</v>
      </c>
      <c r="FZ593">
        <v>1.8555149647708769</v>
      </c>
      <c r="GA593">
        <v>2.7349330685257529</v>
      </c>
      <c r="GB593">
        <v>1.6636329091175903</v>
      </c>
      <c r="GC593">
        <v>1.4098907885466165</v>
      </c>
      <c r="GD593">
        <v>0.5699278970137992</v>
      </c>
      <c r="GE593">
        <v>0.17434885128142502</v>
      </c>
      <c r="GF593">
        <v>0.41513581345513451</v>
      </c>
      <c r="GG593">
        <v>0.28954215414031298</v>
      </c>
      <c r="GH593">
        <v>0</v>
      </c>
      <c r="GI593">
        <v>1.0790841115561167</v>
      </c>
      <c r="GJ593"/>
      <c r="GK593">
        <v>1.849091176470588</v>
      </c>
      <c r="GL593">
        <v>2.3033568014705881</v>
      </c>
      <c r="GM593">
        <v>2.7312471590909086</v>
      </c>
      <c r="GN593">
        <v>4.1348668019480517</v>
      </c>
      <c r="GO593">
        <v>2.1674008928571427</v>
      </c>
      <c r="GP593">
        <v>0.32751562500000003</v>
      </c>
      <c r="GQ593">
        <v>0.50047010869565223</v>
      </c>
      <c r="GR593">
        <v>0.40278260869565213</v>
      </c>
      <c r="GS593">
        <v>0</v>
      </c>
      <c r="GT593">
        <v>1.4496418674228584</v>
      </c>
      <c r="GU593"/>
      <c r="GV593"/>
      <c r="GW593"/>
      <c r="GX593"/>
      <c r="GY593"/>
      <c r="GZ593"/>
      <c r="HA593"/>
      <c r="HB593"/>
      <c r="HC593"/>
    </row>
    <row r="594" spans="1:211" s="7" customForma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81"/>
      <c r="AG594" s="81"/>
      <c r="AH594" s="81"/>
      <c r="AI594" s="4"/>
      <c r="AJ594" s="81"/>
      <c r="AK594" s="81"/>
      <c r="AL594" s="81"/>
      <c r="AM594" s="43">
        <v>578</v>
      </c>
      <c r="AN594">
        <v>55.00660411507598</v>
      </c>
      <c r="AO594">
        <v>1.2078126914200462</v>
      </c>
      <c r="AP594">
        <v>1.2384541120301975</v>
      </c>
      <c r="AQ594">
        <v>7.8763170208382798</v>
      </c>
      <c r="AR594">
        <v>1.1197444922000424</v>
      </c>
      <c r="AS594">
        <v>4.5400156605906785</v>
      </c>
      <c r="AT594" t="e">
        <v>#DIV/0!</v>
      </c>
      <c r="AU594" t="e">
        <v>#DIV/0!</v>
      </c>
      <c r="AV594"/>
      <c r="AW594"/>
      <c r="FY594" s="211">
        <v>589</v>
      </c>
      <c r="FZ594">
        <v>1.5090054566568443</v>
      </c>
      <c r="GA594">
        <v>2.1798471727026283</v>
      </c>
      <c r="GB594">
        <v>0.65701425641251632</v>
      </c>
      <c r="GC594">
        <v>0.25852754130882744</v>
      </c>
      <c r="GD594">
        <v>0.15447302426722179</v>
      </c>
      <c r="GE594">
        <v>0.2050738952625</v>
      </c>
      <c r="GF594">
        <v>1.362535814291888</v>
      </c>
      <c r="GG594">
        <v>1.2470390765918453</v>
      </c>
      <c r="GH594">
        <v>0.17901737842465987</v>
      </c>
      <c r="GI594">
        <v>0.7448420867854425</v>
      </c>
      <c r="GJ594"/>
      <c r="GK594">
        <v>1.5038924632352939</v>
      </c>
      <c r="GL594">
        <v>1.8359315257352939</v>
      </c>
      <c r="GM594">
        <v>1.0780546874999999</v>
      </c>
      <c r="GN594">
        <v>0.75822589285714281</v>
      </c>
      <c r="GO594">
        <v>0.5879290178571428</v>
      </c>
      <c r="GP594">
        <v>0.38550000000000001</v>
      </c>
      <c r="GQ594">
        <v>1.6434415760869565</v>
      </c>
      <c r="GR594">
        <v>1.735326992753623</v>
      </c>
      <c r="GS594">
        <v>0.18931690705128204</v>
      </c>
      <c r="GT594">
        <v>1.000526930346135</v>
      </c>
      <c r="GU594"/>
      <c r="GV594"/>
      <c r="GW594"/>
      <c r="GX594"/>
      <c r="GY594"/>
      <c r="GZ594"/>
      <c r="HA594"/>
      <c r="HB594"/>
      <c r="HC594"/>
    </row>
    <row r="595" spans="1:211" s="7" customForma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81"/>
      <c r="AG595" s="81"/>
      <c r="AH595" s="81"/>
      <c r="AI595" s="4"/>
      <c r="AJ595" s="81"/>
      <c r="AK595" s="81"/>
      <c r="AL595" s="81"/>
      <c r="AM595" s="43">
        <v>579</v>
      </c>
      <c r="AN595">
        <v>42.510877591699995</v>
      </c>
      <c r="AO595">
        <v>0.88296696978592859</v>
      </c>
      <c r="AP595">
        <v>22.561911230180929</v>
      </c>
      <c r="AQ595">
        <v>6.4503197082824011</v>
      </c>
      <c r="AR595">
        <v>0.80490577891378112</v>
      </c>
      <c r="AS595">
        <v>3.5115140500777584</v>
      </c>
      <c r="AT595" t="e">
        <v>#DIV/0!</v>
      </c>
      <c r="AU595" t="e">
        <v>#DIV/0!</v>
      </c>
      <c r="AV595"/>
      <c r="AW595"/>
      <c r="FY595" s="211">
        <v>590</v>
      </c>
      <c r="FZ595">
        <v>0.80833654848289216</v>
      </c>
      <c r="GA595">
        <v>1.4540254449356131</v>
      </c>
      <c r="GB595">
        <v>1.0675392442065563</v>
      </c>
      <c r="GC595">
        <v>0.67773143597991392</v>
      </c>
      <c r="GD595">
        <v>0.26103156287446605</v>
      </c>
      <c r="GE595">
        <v>0.12129816768457499</v>
      </c>
      <c r="GF595">
        <v>0.70871433467598444</v>
      </c>
      <c r="GG595">
        <v>0.68024812515690725</v>
      </c>
      <c r="GH595">
        <v>0.15603164258923619</v>
      </c>
      <c r="GI595">
        <v>0.68046099884353273</v>
      </c>
      <c r="GJ595"/>
      <c r="GK595">
        <v>0.80554687499999988</v>
      </c>
      <c r="GL595">
        <v>1.2245859375000001</v>
      </c>
      <c r="GM595">
        <v>1.7524517045454546</v>
      </c>
      <c r="GN595">
        <v>1.98772067775974</v>
      </c>
      <c r="GO595">
        <v>0.99288616071428548</v>
      </c>
      <c r="GP595">
        <v>0.22804687499999998</v>
      </c>
      <c r="GQ595">
        <v>0.85440896739130423</v>
      </c>
      <c r="GR595">
        <v>0.94629438405797084</v>
      </c>
      <c r="GS595">
        <v>0.16502303685897435</v>
      </c>
      <c r="GT595">
        <v>0.9140633489020038</v>
      </c>
      <c r="GU595"/>
      <c r="GV595"/>
      <c r="GW595"/>
      <c r="GX595"/>
      <c r="GY595"/>
      <c r="GZ595"/>
      <c r="HA595"/>
      <c r="HB595"/>
      <c r="HC595"/>
    </row>
    <row r="596" spans="1:211" s="7" customForma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81"/>
      <c r="AG596" s="81"/>
      <c r="AH596" s="81"/>
      <c r="AI596" s="4"/>
      <c r="AJ596" s="81"/>
      <c r="AK596" s="81"/>
      <c r="AL596" s="81"/>
      <c r="AM596" s="43">
        <v>580</v>
      </c>
      <c r="AN596">
        <v>51.191518335316289</v>
      </c>
      <c r="AO596">
        <v>1.2082390745025435</v>
      </c>
      <c r="AP596">
        <v>14.125532860177639</v>
      </c>
      <c r="AQ596">
        <v>8.7000508163137784</v>
      </c>
      <c r="AR596">
        <v>1.1006076922925221</v>
      </c>
      <c r="AS596">
        <v>4.2235520272225857</v>
      </c>
      <c r="AT596" t="e">
        <v>#DIV/0!</v>
      </c>
      <c r="AU596" t="e">
        <v>#DIV/0!</v>
      </c>
      <c r="AV596"/>
      <c r="AW596"/>
      <c r="FY596" s="211">
        <v>591</v>
      </c>
      <c r="FZ596">
        <v>1.3600872196017275</v>
      </c>
      <c r="GA596">
        <v>2.0869140505791304</v>
      </c>
      <c r="GB596">
        <v>0.56443567943197626</v>
      </c>
      <c r="GC596">
        <v>0.23160034241199062</v>
      </c>
      <c r="GD596">
        <v>0.13970607210546426</v>
      </c>
      <c r="GE596">
        <v>0.18880251170085</v>
      </c>
      <c r="GF596">
        <v>0.9090953625792253</v>
      </c>
      <c r="GG596">
        <v>0.86945443224236063</v>
      </c>
      <c r="GH596">
        <v>0.22255459596614241</v>
      </c>
      <c r="GI596">
        <v>0.61717522872394448</v>
      </c>
      <c r="GJ596"/>
      <c r="GK596">
        <v>1.3553737132352941</v>
      </c>
      <c r="GL596">
        <v>1.757713556985294</v>
      </c>
      <c r="GM596">
        <v>0.92612890624999999</v>
      </c>
      <c r="GN596">
        <v>0.67914620535714287</v>
      </c>
      <c r="GO596">
        <v>0.53185714285714281</v>
      </c>
      <c r="GP596">
        <v>0.35465625000000001</v>
      </c>
      <c r="GQ596">
        <v>1.0963777173913045</v>
      </c>
      <c r="GR596">
        <v>1.2097839673913044</v>
      </c>
      <c r="GS596">
        <v>0.23538762019230769</v>
      </c>
      <c r="GT596">
        <v>0.82902501998520972</v>
      </c>
      <c r="GU596"/>
      <c r="GV596"/>
      <c r="GW596"/>
      <c r="GX596"/>
      <c r="GY596"/>
      <c r="GZ596"/>
      <c r="HA596"/>
      <c r="HB596"/>
      <c r="HC596"/>
    </row>
    <row r="597" spans="1:211" s="7" customForma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81"/>
      <c r="AG597" s="81"/>
      <c r="AH597" s="81"/>
      <c r="AI597" s="4"/>
      <c r="AJ597" s="81"/>
      <c r="AK597" s="81"/>
      <c r="AL597" s="81"/>
      <c r="AM597" s="43">
        <v>581</v>
      </c>
      <c r="AN597">
        <v>53.641669716242106</v>
      </c>
      <c r="AO597">
        <v>1.2447207520661485</v>
      </c>
      <c r="AP597">
        <v>9.4274329156333625</v>
      </c>
      <c r="AQ597">
        <v>8.4003560789308693</v>
      </c>
      <c r="AR597">
        <v>1.1577143419132818</v>
      </c>
      <c r="AS597">
        <v>4.3208768931288031</v>
      </c>
      <c r="AT597" t="e">
        <v>#DIV/0!</v>
      </c>
      <c r="AU597" t="e">
        <v>#DIV/0!</v>
      </c>
      <c r="AV597"/>
      <c r="AW597"/>
      <c r="FY597" s="211">
        <v>592</v>
      </c>
      <c r="FZ597">
        <v>0.25979209093652345</v>
      </c>
      <c r="GA597">
        <v>0.49069368004091124</v>
      </c>
      <c r="GB597">
        <v>1.5154162708626246</v>
      </c>
      <c r="GC597">
        <v>0.98262006833259963</v>
      </c>
      <c r="GD597">
        <v>0.31151671396555175</v>
      </c>
      <c r="GE597">
        <v>0.21091243641412494</v>
      </c>
      <c r="GF597">
        <v>0.6538214796159032</v>
      </c>
      <c r="GG597">
        <v>0.61737285987307855</v>
      </c>
      <c r="GH597">
        <v>8.9508689212329934E-2</v>
      </c>
      <c r="GI597">
        <v>0.71685490661087004</v>
      </c>
      <c r="GJ597"/>
      <c r="GK597">
        <v>0.25898437499999999</v>
      </c>
      <c r="GL597">
        <v>0.41312109374999995</v>
      </c>
      <c r="GM597">
        <v>2.4877979403409087</v>
      </c>
      <c r="GN597">
        <v>2.8832371144480513</v>
      </c>
      <c r="GO597">
        <v>1.1849665178571427</v>
      </c>
      <c r="GP597">
        <v>0.39632812499999992</v>
      </c>
      <c r="GQ597">
        <v>0.78903260869565206</v>
      </c>
      <c r="GR597">
        <v>0.85939719202898535</v>
      </c>
      <c r="GS597">
        <v>9.465845352564102E-2</v>
      </c>
      <c r="GT597">
        <v>0.96308797908386889</v>
      </c>
      <c r="GU597"/>
      <c r="GV597"/>
      <c r="GW597"/>
      <c r="GX597"/>
      <c r="GY597"/>
      <c r="GZ597"/>
      <c r="HA597"/>
      <c r="HB597"/>
      <c r="HC597"/>
    </row>
    <row r="598" spans="1:211" s="7" customForma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81"/>
      <c r="AG598" s="81"/>
      <c r="AH598" s="81"/>
      <c r="AI598" s="4"/>
      <c r="AJ598" s="81"/>
      <c r="AK598" s="81"/>
      <c r="AL598" s="81"/>
      <c r="AM598" s="43">
        <v>582</v>
      </c>
      <c r="AN598">
        <v>35.955513555989093</v>
      </c>
      <c r="AO598">
        <v>0.79127356854445363</v>
      </c>
      <c r="AP598">
        <v>1.159624167578345</v>
      </c>
      <c r="AQ598">
        <v>4.6857690528959681</v>
      </c>
      <c r="AR598">
        <v>0.72879245960334949</v>
      </c>
      <c r="AS598">
        <v>3.0702717287871737</v>
      </c>
      <c r="AT598">
        <v>0.57796949876983539</v>
      </c>
      <c r="AU598">
        <v>1.1579754317314797E-2</v>
      </c>
      <c r="AV598"/>
      <c r="AW598"/>
      <c r="FY598" s="211">
        <v>593</v>
      </c>
      <c r="FZ598">
        <v>1.6484304730894934</v>
      </c>
      <c r="GA598">
        <v>2.275465353563761</v>
      </c>
      <c r="GB598">
        <v>0.54864371931926126</v>
      </c>
      <c r="GC598">
        <v>0.45004616019419619</v>
      </c>
      <c r="GD598">
        <v>0.23824620059979859</v>
      </c>
      <c r="GE598">
        <v>5.0050519932599999E-2</v>
      </c>
      <c r="GF598">
        <v>1.0022928558968347</v>
      </c>
      <c r="GG598">
        <v>0.96979027929722028</v>
      </c>
      <c r="GH598">
        <v>0.1330459067538125</v>
      </c>
      <c r="GI598">
        <v>0.71444233400932333</v>
      </c>
      <c r="GJ598"/>
      <c r="GK598">
        <v>1.6428599264705879</v>
      </c>
      <c r="GL598">
        <v>1.9165278952205878</v>
      </c>
      <c r="GM598">
        <v>0.90015234374999986</v>
      </c>
      <c r="GN598">
        <v>1.3188174107142858</v>
      </c>
      <c r="GO598">
        <v>0.90598928571428572</v>
      </c>
      <c r="GP598">
        <v>9.4124999999999986E-2</v>
      </c>
      <c r="GQ598">
        <v>1.2083478260869565</v>
      </c>
      <c r="GR598">
        <v>1.349076992753623</v>
      </c>
      <c r="GS598">
        <v>0.14072916666666666</v>
      </c>
      <c r="GT598">
        <v>0.95961570973769938</v>
      </c>
      <c r="GU598"/>
      <c r="GV598"/>
      <c r="GW598"/>
      <c r="GX598"/>
      <c r="GY598"/>
      <c r="GZ598"/>
      <c r="HA598"/>
      <c r="HB598"/>
      <c r="HC598"/>
    </row>
    <row r="599" spans="1:211" s="7" customForma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81"/>
      <c r="AG599" s="81"/>
      <c r="AH599" s="81"/>
      <c r="AI599" s="4"/>
      <c r="AJ599" s="81"/>
      <c r="AK599" s="81"/>
      <c r="AL599" s="81"/>
      <c r="AM599" s="43">
        <v>583</v>
      </c>
      <c r="AN599">
        <v>37.294242796756386</v>
      </c>
      <c r="AO599">
        <v>0.94737099737965824</v>
      </c>
      <c r="AP599">
        <v>1.7752803709152778</v>
      </c>
      <c r="AQ599">
        <v>6.4117909656161185</v>
      </c>
      <c r="AR599">
        <v>0.87573499761787121</v>
      </c>
      <c r="AS599">
        <v>3.10431147867794</v>
      </c>
      <c r="AT599" t="e">
        <v>#DIV/0!</v>
      </c>
      <c r="AU599" t="e">
        <v>#DIV/0!</v>
      </c>
      <c r="AV599"/>
      <c r="AW599"/>
      <c r="FY599" s="211">
        <v>594</v>
      </c>
      <c r="FZ599">
        <v>1.3800712265968444</v>
      </c>
      <c r="GA599">
        <v>1.7639491082229222</v>
      </c>
      <c r="GB599">
        <v>0.96359348281978119</v>
      </c>
      <c r="GC599">
        <v>0.76736434831803069</v>
      </c>
      <c r="GD599">
        <v>0.29340770942073852</v>
      </c>
      <c r="GE599">
        <v>0.21968934185880004</v>
      </c>
      <c r="GF599">
        <v>0.1620763896457125</v>
      </c>
      <c r="GG599">
        <v>0</v>
      </c>
      <c r="GH599">
        <v>4.5971471670847357E-2</v>
      </c>
      <c r="GI599">
        <v>0.64269746537270178</v>
      </c>
      <c r="GJ599"/>
      <c r="GK599">
        <v>1.375295588235294</v>
      </c>
      <c r="GL599">
        <v>1.4856862132352939</v>
      </c>
      <c r="GM599">
        <v>1.5820454545454545</v>
      </c>
      <c r="GN599">
        <v>2.2509128652597399</v>
      </c>
      <c r="GO599">
        <v>1.1159142857142856</v>
      </c>
      <c r="GP599">
        <v>0.41250000000000003</v>
      </c>
      <c r="GQ599">
        <v>0.19537500000000002</v>
      </c>
      <c r="GR599">
        <v>0</v>
      </c>
      <c r="GS599">
        <v>4.8587740384615385E-2</v>
      </c>
      <c r="GT599">
        <v>0.86344361377592982</v>
      </c>
      <c r="GU599"/>
      <c r="GV599"/>
      <c r="GW599"/>
      <c r="GX599"/>
      <c r="GY599"/>
      <c r="GZ599"/>
      <c r="HA599"/>
      <c r="HB599"/>
      <c r="HC599"/>
    </row>
    <row r="600" spans="1:211" s="7" customForma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81"/>
      <c r="AG600" s="81"/>
      <c r="AH600" s="81"/>
      <c r="AI600" s="4"/>
      <c r="AJ600" s="81"/>
      <c r="AK600" s="81"/>
      <c r="AL600" s="81"/>
      <c r="AM600" s="43">
        <v>584</v>
      </c>
      <c r="AN600">
        <v>52.548758546292916</v>
      </c>
      <c r="AO600">
        <v>1.3998386638902844</v>
      </c>
      <c r="AP600">
        <v>1.5915914841372927</v>
      </c>
      <c r="AQ600">
        <v>9.6715035278115256</v>
      </c>
      <c r="AR600">
        <v>1.2979357171729855</v>
      </c>
      <c r="AS600">
        <v>4.1876038743106578</v>
      </c>
      <c r="AT600" t="e">
        <v>#DIV/0!</v>
      </c>
      <c r="AU600" t="e">
        <v>#DIV/0!</v>
      </c>
      <c r="AV600"/>
      <c r="AW600"/>
      <c r="FY600" s="211">
        <v>595</v>
      </c>
      <c r="FZ600">
        <v>1.6738155731382416</v>
      </c>
      <c r="GA600">
        <v>2.4086135744296313</v>
      </c>
      <c r="GB600">
        <v>0.69100703616884407</v>
      </c>
      <c r="GC600">
        <v>0.70220505512743125</v>
      </c>
      <c r="GD600">
        <v>0.41430964877173926</v>
      </c>
      <c r="GE600">
        <v>0.15984126213637501</v>
      </c>
      <c r="GF600">
        <v>0.20038102790324064</v>
      </c>
      <c r="GG600">
        <v>0.23978821552359375</v>
      </c>
      <c r="GH600">
        <v>0.15603164258923619</v>
      </c>
      <c r="GI600">
        <v>0.71236477722997604</v>
      </c>
      <c r="GJ600"/>
      <c r="GK600">
        <v>1.6681911764705879</v>
      </c>
      <c r="GL600">
        <v>2.0288591452205882</v>
      </c>
      <c r="GM600">
        <v>1.13363671875</v>
      </c>
      <c r="GN600">
        <v>2.0573102678571424</v>
      </c>
      <c r="GO600">
        <v>1.5757633928571428</v>
      </c>
      <c r="GP600">
        <v>0.300421875</v>
      </c>
      <c r="GQ600">
        <v>0.24196875000000001</v>
      </c>
      <c r="GR600">
        <v>0.33385416666666667</v>
      </c>
      <c r="GS600">
        <v>0.16502303685897435</v>
      </c>
      <c r="GT600">
        <v>0.95691661498734115</v>
      </c>
      <c r="GU600"/>
      <c r="GV600"/>
      <c r="GW600"/>
      <c r="GX600"/>
      <c r="GY600"/>
      <c r="GZ600"/>
      <c r="HA600"/>
      <c r="HB600"/>
      <c r="HC600"/>
    </row>
    <row r="601" spans="1:211" s="7" customForma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81"/>
      <c r="AG601" s="81"/>
      <c r="AH601" s="81"/>
      <c r="AI601" s="4"/>
      <c r="AJ601" s="81"/>
      <c r="AK601" s="81"/>
      <c r="AL601" s="81"/>
      <c r="AM601" s="43">
        <v>585</v>
      </c>
      <c r="AN601">
        <v>51.38542086613537</v>
      </c>
      <c r="AO601">
        <v>1.3574462423452238</v>
      </c>
      <c r="AP601">
        <v>0.97424814462570253</v>
      </c>
      <c r="AQ601">
        <v>10.190374067858089</v>
      </c>
      <c r="AR601">
        <v>1.2507392085131406</v>
      </c>
      <c r="AS601">
        <v>4.275741346599637</v>
      </c>
      <c r="AT601">
        <v>0.8260243076589765</v>
      </c>
      <c r="AU601">
        <v>9.6610493661572039E-2</v>
      </c>
      <c r="AV601"/>
      <c r="AW601"/>
      <c r="FY601" s="211">
        <v>596</v>
      </c>
      <c r="FZ601">
        <v>1.2038844097464274</v>
      </c>
      <c r="GA601">
        <v>1.8167359204228422</v>
      </c>
      <c r="GB601">
        <v>0.78887124260052877</v>
      </c>
      <c r="GC601">
        <v>0.51941054709358569</v>
      </c>
      <c r="GD601">
        <v>0.19743824635751245</v>
      </c>
      <c r="GE601">
        <v>3.8543094451799993E-2</v>
      </c>
      <c r="GF601">
        <v>0.6538214796159032</v>
      </c>
      <c r="GG601">
        <v>0.61737285987307855</v>
      </c>
      <c r="GH601">
        <v>6.6522953376906252E-2</v>
      </c>
      <c r="GI601">
        <v>0.6111138861536789</v>
      </c>
      <c r="GJ601"/>
      <c r="GK601">
        <v>1.199748713235294</v>
      </c>
      <c r="GL601">
        <v>1.5299596507352939</v>
      </c>
      <c r="GM601">
        <v>1.2949126420454544</v>
      </c>
      <c r="GN601">
        <v>1.5236860795454541</v>
      </c>
      <c r="GO601">
        <v>0.75089062499999981</v>
      </c>
      <c r="GP601">
        <v>7.2374999999999995E-2</v>
      </c>
      <c r="GQ601">
        <v>0.78903260869565206</v>
      </c>
      <c r="GR601">
        <v>0.85939719202898535</v>
      </c>
      <c r="GS601">
        <v>7.0364583333333328E-2</v>
      </c>
      <c r="GT601">
        <v>0.82098983446194673</v>
      </c>
      <c r="GU601"/>
      <c r="GV601"/>
      <c r="GW601"/>
      <c r="GX601"/>
      <c r="GY601"/>
      <c r="GZ601"/>
      <c r="HA601"/>
      <c r="HB601"/>
      <c r="HC601"/>
    </row>
    <row r="602" spans="1:211" s="7" customForma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81"/>
      <c r="AG602" s="81"/>
      <c r="AH602" s="81"/>
      <c r="AI602" s="4"/>
      <c r="AJ602" s="81"/>
      <c r="AK602" s="81"/>
      <c r="AL602" s="81"/>
      <c r="AM602" s="43">
        <v>586</v>
      </c>
      <c r="AN602">
        <v>47.580836462929639</v>
      </c>
      <c r="AO602">
        <v>1.1178201333203641</v>
      </c>
      <c r="AP602">
        <v>6.7421049616542144</v>
      </c>
      <c r="AQ602">
        <v>8.046275397815899</v>
      </c>
      <c r="AR602">
        <v>1.022030813945086</v>
      </c>
      <c r="AS602">
        <v>3.7982715235028697</v>
      </c>
      <c r="AT602" t="e">
        <v>#DIV/0!</v>
      </c>
      <c r="AU602" t="e">
        <v>#DIV/0!</v>
      </c>
      <c r="AV602"/>
      <c r="AW602"/>
      <c r="FY602" s="211">
        <v>597</v>
      </c>
      <c r="FZ602">
        <v>1.9335675130047938</v>
      </c>
      <c r="GA602">
        <v>2.3398004374460344</v>
      </c>
      <c r="GB602">
        <v>0.14817403687057382</v>
      </c>
      <c r="GC602">
        <v>0.25570710541150127</v>
      </c>
      <c r="GD602">
        <v>0.24396852817864928</v>
      </c>
      <c r="GE602">
        <v>0.12129816768457499</v>
      </c>
      <c r="GF602">
        <v>0.86857626516779707</v>
      </c>
      <c r="GG602">
        <v>0.76829061536607923</v>
      </c>
      <c r="GH602">
        <v>0.11249442504775362</v>
      </c>
      <c r="GI602">
        <v>0.6349572734751785</v>
      </c>
      <c r="GJ602"/>
      <c r="GK602">
        <v>1.9270818014705884</v>
      </c>
      <c r="GL602">
        <v>1.9708278952205882</v>
      </c>
      <c r="GM602">
        <v>0.24296484374999999</v>
      </c>
      <c r="GN602">
        <v>0.74882276785714297</v>
      </c>
      <c r="GO602">
        <v>0.92802589285714288</v>
      </c>
      <c r="GP602">
        <v>0.22804687499999998</v>
      </c>
      <c r="GQ602">
        <v>1.0475339673913044</v>
      </c>
      <c r="GR602">
        <v>1.0690548007246377</v>
      </c>
      <c r="GS602">
        <v>0.11895232371794871</v>
      </c>
      <c r="GT602">
        <v>0.85291176583739681</v>
      </c>
      <c r="GU602"/>
      <c r="GV602"/>
      <c r="GW602"/>
      <c r="GX602"/>
      <c r="GY602"/>
      <c r="GZ602"/>
      <c r="HA602"/>
      <c r="HB602"/>
      <c r="HC602"/>
    </row>
    <row r="603" spans="1:211" s="7" customForma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81"/>
      <c r="AG603" s="81"/>
      <c r="AH603" s="81"/>
      <c r="AI603" s="4"/>
      <c r="AJ603" s="81"/>
      <c r="AK603" s="81"/>
      <c r="AL603" s="81"/>
      <c r="AM603" s="43">
        <v>587</v>
      </c>
      <c r="AN603">
        <v>27.701291590354096</v>
      </c>
      <c r="AO603">
        <v>0.6459346560782967</v>
      </c>
      <c r="AP603">
        <v>1.2595802904884832</v>
      </c>
      <c r="AQ603">
        <v>3.5670740567037011</v>
      </c>
      <c r="AR603">
        <v>0.60611902737887102</v>
      </c>
      <c r="AS603">
        <v>2.4056685941667713</v>
      </c>
      <c r="AT603" t="e">
        <v>#DIV/0!</v>
      </c>
      <c r="AU603" t="e">
        <v>#DIV/0!</v>
      </c>
      <c r="AV603"/>
      <c r="AW603"/>
      <c r="FY603" s="211">
        <v>598</v>
      </c>
      <c r="FZ603">
        <v>1.9626907913878984</v>
      </c>
      <c r="GA603">
        <v>2.6370232964528948</v>
      </c>
      <c r="GB603">
        <v>1.3581932645647334</v>
      </c>
      <c r="GC603">
        <v>0.6931812152189577</v>
      </c>
      <c r="GD603">
        <v>9.222946293986678E-2</v>
      </c>
      <c r="GE603">
        <v>6.9375995884124991E-2</v>
      </c>
      <c r="GF603">
        <v>0.37461671604370633</v>
      </c>
      <c r="GG603">
        <v>0.39070597101659427</v>
      </c>
      <c r="GH603">
        <v>0.17901737842465987</v>
      </c>
      <c r="GI603">
        <v>0.77070351492883304</v>
      </c>
      <c r="GJ603"/>
      <c r="GK603">
        <v>1.9560318014705882</v>
      </c>
      <c r="GL603">
        <v>2.2211802389705877</v>
      </c>
      <c r="GM603">
        <v>2.2300987215909087</v>
      </c>
      <c r="GN603">
        <v>2.0351074269480516</v>
      </c>
      <c r="GO603">
        <v>0.35079776785714289</v>
      </c>
      <c r="GP603">
        <v>0.130265625</v>
      </c>
      <c r="GQ603">
        <v>0.45162635869565215</v>
      </c>
      <c r="GR603">
        <v>0.54351177536231876</v>
      </c>
      <c r="GS603">
        <v>0.18931690705128204</v>
      </c>
      <c r="GT603">
        <v>1.0355743113331148</v>
      </c>
      <c r="GU603"/>
      <c r="GV603"/>
      <c r="GW603"/>
      <c r="GX603"/>
      <c r="GY603"/>
      <c r="GZ603"/>
      <c r="HA603"/>
      <c r="HB603"/>
      <c r="HC603"/>
    </row>
    <row r="604" spans="1:211" s="7" customForma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81"/>
      <c r="AG604" s="81"/>
      <c r="AH604" s="81"/>
      <c r="AI604" s="4"/>
      <c r="AJ604" s="81"/>
      <c r="AK604" s="81"/>
      <c r="AL604" s="81"/>
      <c r="AM604" s="43">
        <v>588</v>
      </c>
      <c r="AN604">
        <v>69.414801282831974</v>
      </c>
      <c r="AO604">
        <v>1.5866373041651443</v>
      </c>
      <c r="AP604">
        <v>1.5815348732544707</v>
      </c>
      <c r="AQ604">
        <v>10.192010558407624</v>
      </c>
      <c r="AR604">
        <v>1.4496418674228584</v>
      </c>
      <c r="AS604">
        <v>5.8266991170983315</v>
      </c>
      <c r="AT604" t="e">
        <v>#DIV/0!</v>
      </c>
      <c r="AU604" t="e">
        <v>#DIV/0!</v>
      </c>
      <c r="AV604"/>
      <c r="AW604"/>
      <c r="FY604" s="211">
        <v>599</v>
      </c>
      <c r="FZ604">
        <v>1.5684944451090248</v>
      </c>
      <c r="GA604">
        <v>2.2840259967180048</v>
      </c>
      <c r="GB604">
        <v>1.1136075885451722</v>
      </c>
      <c r="GC604">
        <v>0.75978925080016713</v>
      </c>
      <c r="GD604">
        <v>0.24871456939692857</v>
      </c>
      <c r="GE604">
        <v>7.7086188903599986E-2</v>
      </c>
      <c r="GF604">
        <v>0.31972386098362504</v>
      </c>
      <c r="GG604">
        <v>0.32783070573276563</v>
      </c>
      <c r="GH604">
        <v>6.6522953376906252E-2</v>
      </c>
      <c r="GI604">
        <v>0.7135639036585304</v>
      </c>
      <c r="GJ604"/>
      <c r="GK604">
        <v>1.563172426470588</v>
      </c>
      <c r="GL604">
        <v>1.9238403952205878</v>
      </c>
      <c r="GM604">
        <v>1.8280259232954545</v>
      </c>
      <c r="GN604">
        <v>2.2285409902597402</v>
      </c>
      <c r="GO604">
        <v>0.94577678571428581</v>
      </c>
      <c r="GP604">
        <v>0.14474999999999999</v>
      </c>
      <c r="GQ604">
        <v>0.38624999999999998</v>
      </c>
      <c r="GR604">
        <v>0.45661458333333332</v>
      </c>
      <c r="GS604">
        <v>7.0364583333333328E-2</v>
      </c>
      <c r="GT604">
        <v>0.95871794376273223</v>
      </c>
      <c r="GU604"/>
      <c r="GV604"/>
      <c r="GW604"/>
      <c r="GX604"/>
      <c r="GY604"/>
      <c r="GZ604"/>
      <c r="HA604"/>
      <c r="HB604"/>
      <c r="HC604"/>
    </row>
    <row r="605" spans="1:211" s="7" customForma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81"/>
      <c r="AG605" s="81"/>
      <c r="AH605" s="81"/>
      <c r="AI605" s="4"/>
      <c r="AJ605" s="81"/>
      <c r="AK605" s="81"/>
      <c r="AL605" s="81"/>
      <c r="AM605" s="43">
        <v>589</v>
      </c>
      <c r="AN605">
        <v>50.094251597424545</v>
      </c>
      <c r="AO605">
        <v>1.0718145993422872</v>
      </c>
      <c r="AP605">
        <v>0.61812029466252649</v>
      </c>
      <c r="AQ605">
        <v>8.4973757027043728</v>
      </c>
      <c r="AR605">
        <v>1.000526930346135</v>
      </c>
      <c r="AS605">
        <v>4.3708516774703474</v>
      </c>
      <c r="AT605">
        <v>0.81387675595813525</v>
      </c>
      <c r="AU605">
        <v>0.11276095498190808</v>
      </c>
      <c r="AV605"/>
      <c r="AW605"/>
      <c r="FY605" s="211">
        <v>600</v>
      </c>
      <c r="FZ605">
        <v>1.1529625768503726</v>
      </c>
      <c r="GA605">
        <v>1.359797486123117</v>
      </c>
      <c r="GB605">
        <v>0.37696031049197809</v>
      </c>
      <c r="GC605">
        <v>0.49175743615349377</v>
      </c>
      <c r="GD605">
        <v>0.29283594605434282</v>
      </c>
      <c r="GE605">
        <v>0.13569789937837501</v>
      </c>
      <c r="GF605">
        <v>1.1477810287399937</v>
      </c>
      <c r="GG605">
        <v>1.0961213210988445</v>
      </c>
      <c r="GH605">
        <v>0.1330459067538125</v>
      </c>
      <c r="GI605">
        <v>0.65620479842062496</v>
      </c>
      <c r="GJ605"/>
      <c r="GK605">
        <v>1.1490487132352942</v>
      </c>
      <c r="GL605">
        <v>1.1453924632352941</v>
      </c>
      <c r="GM605">
        <v>0.61853124999999998</v>
      </c>
      <c r="GN605">
        <v>1.4409933035714286</v>
      </c>
      <c r="GO605">
        <v>1.1138839285714286</v>
      </c>
      <c r="GP605">
        <v>0.25523437500000001</v>
      </c>
      <c r="GQ605">
        <v>1.3849402173913039</v>
      </c>
      <c r="GR605">
        <v>1.5256693840579707</v>
      </c>
      <c r="GS605">
        <v>0.14072916666666666</v>
      </c>
      <c r="GT605">
        <v>0.88142665517293872</v>
      </c>
      <c r="GU605"/>
      <c r="GV605"/>
      <c r="GW605"/>
      <c r="GX605"/>
      <c r="GY605"/>
      <c r="GZ605"/>
      <c r="HA605"/>
      <c r="HB605"/>
      <c r="HC605"/>
    </row>
    <row r="606" spans="1:211" s="7" customForma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81"/>
      <c r="AG606" s="81"/>
      <c r="AH606" s="81"/>
      <c r="AI606" s="4"/>
      <c r="AJ606" s="81"/>
      <c r="AK606" s="81"/>
      <c r="AL606" s="81"/>
      <c r="AM606" s="43">
        <v>590</v>
      </c>
      <c r="AN606">
        <v>45.092486971563048</v>
      </c>
      <c r="AO606">
        <v>0.98710279677297341</v>
      </c>
      <c r="AP606">
        <v>1.025836596993728</v>
      </c>
      <c r="AQ606">
        <v>6.6154175054296767</v>
      </c>
      <c r="AR606">
        <v>0.9140633489020038</v>
      </c>
      <c r="AS606">
        <v>3.7960493404102356</v>
      </c>
      <c r="AT606">
        <v>0.72588663767757999</v>
      </c>
      <c r="AU606">
        <v>9.8428967806106965E-2</v>
      </c>
      <c r="AV606"/>
      <c r="AW606"/>
      <c r="FY606" s="211">
        <v>601</v>
      </c>
      <c r="FZ606">
        <v>0.4922616826666546</v>
      </c>
      <c r="GA606">
        <v>1.0220911032200177</v>
      </c>
      <c r="GB606">
        <v>0.41227241159463046</v>
      </c>
      <c r="GC606">
        <v>0.18266499573588749</v>
      </c>
      <c r="GD606">
        <v>0.16628851034241426</v>
      </c>
      <c r="GE606">
        <v>0.19838435658817499</v>
      </c>
      <c r="GF606">
        <v>0.86857626516779707</v>
      </c>
      <c r="GG606">
        <v>0.76829061536607923</v>
      </c>
      <c r="GH606">
        <v>6.6522953376906252E-2</v>
      </c>
      <c r="GI606">
        <v>0.43448076162099791</v>
      </c>
      <c r="GJ606"/>
      <c r="GK606">
        <v>0.49054687499999994</v>
      </c>
      <c r="GL606">
        <v>0.86060156249999997</v>
      </c>
      <c r="GM606">
        <v>0.67591406249999997</v>
      </c>
      <c r="GN606">
        <v>0.53551339285714283</v>
      </c>
      <c r="GO606">
        <v>0.63329464285714288</v>
      </c>
      <c r="GP606">
        <v>0.37279687500000003</v>
      </c>
      <c r="GQ606">
        <v>1.0475339673913044</v>
      </c>
      <c r="GR606">
        <v>1.0690548007246377</v>
      </c>
      <c r="GS606">
        <v>7.0364583333333328E-2</v>
      </c>
      <c r="GT606">
        <v>0.58353082621635599</v>
      </c>
      <c r="GU606"/>
      <c r="GV606"/>
      <c r="GW606"/>
      <c r="GX606"/>
      <c r="GY606"/>
      <c r="GZ606"/>
      <c r="HA606"/>
      <c r="HB606"/>
      <c r="HC606"/>
    </row>
    <row r="607" spans="1:211" s="7" customForma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81"/>
      <c r="AG607" s="81"/>
      <c r="AH607" s="81"/>
      <c r="AI607" s="4"/>
      <c r="AJ607" s="81"/>
      <c r="AK607" s="81"/>
      <c r="AL607" s="81"/>
      <c r="AM607" s="43">
        <v>591</v>
      </c>
      <c r="AN607">
        <v>42.038506559953973</v>
      </c>
      <c r="AO607">
        <v>0.89754500996450004</v>
      </c>
      <c r="AP607">
        <v>0.47736222309410059</v>
      </c>
      <c r="AQ607">
        <v>7.1898254953428111</v>
      </c>
      <c r="AR607">
        <v>0.82902501998520983</v>
      </c>
      <c r="AS607">
        <v>3.6171638620240145</v>
      </c>
      <c r="AT607">
        <v>0.67588239732888633</v>
      </c>
      <c r="AU607">
        <v>5.5058466671737985E-2</v>
      </c>
      <c r="AV607"/>
      <c r="AW607"/>
      <c r="FY607" s="211">
        <v>602</v>
      </c>
      <c r="FZ607">
        <v>1.1748300635920419</v>
      </c>
      <c r="GA607">
        <v>1.5727179724995515</v>
      </c>
      <c r="GB607">
        <v>1.2963921407961467</v>
      </c>
      <c r="GC607">
        <v>0.7077679845038608</v>
      </c>
      <c r="GD607">
        <v>0.10363173552888746</v>
      </c>
      <c r="GE607">
        <v>0.21187129138807498</v>
      </c>
      <c r="GF607">
        <v>0.45565491086656262</v>
      </c>
      <c r="GG607">
        <v>0.34012406257845362</v>
      </c>
      <c r="GH607">
        <v>8.9508689212329934E-2</v>
      </c>
      <c r="GI607">
        <v>0.64566856386002269</v>
      </c>
      <c r="GJ607"/>
      <c r="GK607">
        <v>1.170667463235294</v>
      </c>
      <c r="GL607">
        <v>1.3245580882352939</v>
      </c>
      <c r="GM607">
        <v>2.1282017045454547</v>
      </c>
      <c r="GN607">
        <v>2.0774360795454547</v>
      </c>
      <c r="GO607">
        <v>0.39454687499999991</v>
      </c>
      <c r="GP607">
        <v>0.39810937499999999</v>
      </c>
      <c r="GQ607">
        <v>0.54931385869565208</v>
      </c>
      <c r="GR607">
        <v>0.47314719202898542</v>
      </c>
      <c r="GS607">
        <v>9.465845352564102E-2</v>
      </c>
      <c r="GT607">
        <v>0.86747767100040829</v>
      </c>
      <c r="GU607"/>
      <c r="GV607"/>
      <c r="GW607"/>
      <c r="GX607"/>
      <c r="GY607"/>
      <c r="GZ607"/>
      <c r="HA607"/>
      <c r="HB607"/>
      <c r="HC607"/>
    </row>
    <row r="608" spans="1:211" s="7" customForma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81"/>
      <c r="AG608" s="81"/>
      <c r="AH608" s="81"/>
      <c r="AI608" s="4"/>
      <c r="AJ608" s="81"/>
      <c r="AK608" s="81"/>
      <c r="AL608" s="81"/>
      <c r="AM608" s="43">
        <v>592</v>
      </c>
      <c r="AN608">
        <v>42.512656413131957</v>
      </c>
      <c r="AO608">
        <v>1.0330611399730252</v>
      </c>
      <c r="AP608">
        <v>9.1967857865720983</v>
      </c>
      <c r="AQ608">
        <v>5.8485091958645175</v>
      </c>
      <c r="AR608">
        <v>0.96308797908386889</v>
      </c>
      <c r="AS608">
        <v>3.7283273705117663</v>
      </c>
      <c r="AT608" t="e">
        <v>#DIV/0!</v>
      </c>
      <c r="AU608" t="e">
        <v>#DIV/0!</v>
      </c>
      <c r="AV608"/>
      <c r="AW608"/>
      <c r="FY608" s="211">
        <v>603</v>
      </c>
      <c r="FZ608">
        <v>1.051759959118844</v>
      </c>
      <c r="GA608">
        <v>1.6254675577039543</v>
      </c>
      <c r="GB608">
        <v>1.0051704284837308</v>
      </c>
      <c r="GC608">
        <v>0.48484051481810386</v>
      </c>
      <c r="GD608">
        <v>6.7944436285159282E-2</v>
      </c>
      <c r="GE608">
        <v>7.1247647751975007E-2</v>
      </c>
      <c r="GF608">
        <v>0.20038102790324064</v>
      </c>
      <c r="GG608">
        <v>0.23978821552359375</v>
      </c>
      <c r="GH608">
        <v>0.17901737842465987</v>
      </c>
      <c r="GI608">
        <v>0.5043045497763855</v>
      </c>
      <c r="GJ608"/>
      <c r="GK608">
        <v>1.047965625</v>
      </c>
      <c r="GL608">
        <v>1.3687898437500001</v>
      </c>
      <c r="GM608">
        <v>1.6499399857954544</v>
      </c>
      <c r="GN608">
        <v>1.4228885349025973</v>
      </c>
      <c r="GO608">
        <v>0.25853839285714286</v>
      </c>
      <c r="GP608">
        <v>0.133921875</v>
      </c>
      <c r="GQ608">
        <v>0.24196875000000001</v>
      </c>
      <c r="GR608">
        <v>0.33385416666666667</v>
      </c>
      <c r="GS608">
        <v>0.18931690705128204</v>
      </c>
      <c r="GT608">
        <v>0.67754593214077596</v>
      </c>
      <c r="GU608"/>
      <c r="GV608"/>
      <c r="GW608"/>
      <c r="GX608"/>
      <c r="GY608"/>
      <c r="GZ608"/>
      <c r="HA608"/>
      <c r="HB608"/>
      <c r="HC608"/>
    </row>
    <row r="609" spans="1:211" s="7" customForma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81"/>
      <c r="AG609" s="81"/>
      <c r="AH609" s="81"/>
      <c r="AI609" s="4"/>
      <c r="AJ609" s="81"/>
      <c r="AK609" s="81"/>
      <c r="AL609" s="81"/>
      <c r="AM609" s="43">
        <v>593</v>
      </c>
      <c r="AN609">
        <v>50.240757042551323</v>
      </c>
      <c r="AO609">
        <v>1.0436241557114694</v>
      </c>
      <c r="AP609">
        <v>12.31289714425654</v>
      </c>
      <c r="AQ609">
        <v>8.0304538026563002</v>
      </c>
      <c r="AR609">
        <v>0.9596157097376995</v>
      </c>
      <c r="AS609">
        <v>4.234278865681901</v>
      </c>
      <c r="AT609" t="e">
        <v>#DIV/0!</v>
      </c>
      <c r="AU609" t="e">
        <v>#DIV/0!</v>
      </c>
      <c r="AV609"/>
      <c r="AW609"/>
      <c r="FY609" s="211">
        <v>604</v>
      </c>
      <c r="FZ609">
        <v>0.53045530020902798</v>
      </c>
      <c r="GA609">
        <v>1.0924969202297705</v>
      </c>
      <c r="GB609">
        <v>1.4680755496234301</v>
      </c>
      <c r="GC609">
        <v>0.90867543256579952</v>
      </c>
      <c r="GD609">
        <v>0.23587986210168854</v>
      </c>
      <c r="GE609">
        <v>7.4193882690599997E-2</v>
      </c>
      <c r="GF609">
        <v>1.0284381956596096</v>
      </c>
      <c r="GG609">
        <v>0.856333105575251</v>
      </c>
      <c r="GH609">
        <v>0</v>
      </c>
      <c r="GI609">
        <v>0.75571216641503836</v>
      </c>
      <c r="GJ609"/>
      <c r="GK609">
        <v>0.52865624999999983</v>
      </c>
      <c r="GL609">
        <v>0.92002734374999995</v>
      </c>
      <c r="GM609">
        <v>2.4098227982954548</v>
      </c>
      <c r="GN609">
        <v>2.6655222402597403</v>
      </c>
      <c r="GO609">
        <v>0.89691428571428566</v>
      </c>
      <c r="GP609">
        <v>0.13931250000000001</v>
      </c>
      <c r="GQ609">
        <v>1.2406589673913042</v>
      </c>
      <c r="GR609">
        <v>1.1918152173913041</v>
      </c>
      <c r="GS609">
        <v>0</v>
      </c>
      <c r="GT609">
        <v>1.0152104602802088</v>
      </c>
      <c r="GU609"/>
      <c r="GV609"/>
      <c r="GW609"/>
      <c r="GX609"/>
      <c r="GY609"/>
      <c r="GZ609"/>
      <c r="HA609"/>
      <c r="HB609"/>
      <c r="HC609"/>
    </row>
    <row r="610" spans="1:211" s="7" customForma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81"/>
      <c r="AG610" s="81"/>
      <c r="AH610" s="81"/>
      <c r="AI610" s="4"/>
      <c r="AJ610" s="81"/>
      <c r="AK610" s="81"/>
      <c r="AL610" s="81"/>
      <c r="AM610" s="43">
        <v>594</v>
      </c>
      <c r="AN610">
        <v>40.404569776628598</v>
      </c>
      <c r="AO610">
        <v>0.93297607611506128</v>
      </c>
      <c r="AP610">
        <v>0.99166539298282741</v>
      </c>
      <c r="AQ610">
        <v>6.2388205439263782</v>
      </c>
      <c r="AR610">
        <v>0.86344361377592971</v>
      </c>
      <c r="AS610">
        <v>3.2531379010247474</v>
      </c>
      <c r="AT610" t="e">
        <v>#DIV/0!</v>
      </c>
      <c r="AU610" t="e">
        <v>#DIV/0!</v>
      </c>
      <c r="AV610"/>
      <c r="AW610"/>
      <c r="FY610" s="211">
        <v>605</v>
      </c>
      <c r="FZ610">
        <v>0.60128083796025655</v>
      </c>
      <c r="GA610">
        <v>0.90976759129406215</v>
      </c>
      <c r="GB610">
        <v>0.26409837472405662</v>
      </c>
      <c r="GC610">
        <v>0.38159887062275633</v>
      </c>
      <c r="GD610">
        <v>0.27574446548753034</v>
      </c>
      <c r="GE610">
        <v>0.10979074220377499</v>
      </c>
      <c r="GF610">
        <v>0.86857626516779707</v>
      </c>
      <c r="GG610">
        <v>0.81887252380421982</v>
      </c>
      <c r="GH610">
        <v>0.1330459067538125</v>
      </c>
      <c r="GI610">
        <v>0.48687375623842161</v>
      </c>
      <c r="GJ610"/>
      <c r="GK610">
        <v>0.59909062499999999</v>
      </c>
      <c r="GL610">
        <v>0.76602421875000004</v>
      </c>
      <c r="GM610">
        <v>0.43294921874999998</v>
      </c>
      <c r="GN610">
        <v>1.1173995535714287</v>
      </c>
      <c r="GO610">
        <v>1.0486808035714286</v>
      </c>
      <c r="GP610">
        <v>0.20629687499999999</v>
      </c>
      <c r="GQ610">
        <v>1.0475339673913044</v>
      </c>
      <c r="GR610">
        <v>1.1394193840579709</v>
      </c>
      <c r="GS610">
        <v>0.14072916666666666</v>
      </c>
      <c r="GT610">
        <v>0.65379675627587985</v>
      </c>
      <c r="GU610"/>
      <c r="GV610"/>
      <c r="GW610"/>
      <c r="GX610"/>
      <c r="GY610"/>
      <c r="GZ610"/>
      <c r="HA610"/>
      <c r="HB610"/>
      <c r="HC610"/>
    </row>
    <row r="611" spans="1:211" s="7" customForma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81"/>
      <c r="AG611" s="81"/>
      <c r="AH611" s="81"/>
      <c r="AI611" s="4"/>
      <c r="AJ611" s="81"/>
      <c r="AK611" s="81"/>
      <c r="AL611" s="81"/>
      <c r="AM611" s="43">
        <v>595</v>
      </c>
      <c r="AN611">
        <v>48.646467214022366</v>
      </c>
      <c r="AO611">
        <v>1.0461945144668443</v>
      </c>
      <c r="AP611">
        <v>0.45145437631013174</v>
      </c>
      <c r="AQ611">
        <v>7.3583578130183094</v>
      </c>
      <c r="AR611">
        <v>0.95691661498734093</v>
      </c>
      <c r="AS611">
        <v>3.8105749990734514</v>
      </c>
      <c r="AT611">
        <v>0.77717947915557684</v>
      </c>
      <c r="AU611">
        <v>-3.3904351363497058E-2</v>
      </c>
      <c r="AV611"/>
      <c r="AW611"/>
      <c r="FY611" s="211">
        <v>606</v>
      </c>
      <c r="FZ611">
        <v>1.6302610136122095</v>
      </c>
      <c r="GA611">
        <v>2.1394905959893054</v>
      </c>
      <c r="GB611">
        <v>0.45170698960042732</v>
      </c>
      <c r="GC611">
        <v>0.21622558719654811</v>
      </c>
      <c r="GD611">
        <v>0.12640845711377247</v>
      </c>
      <c r="GE611">
        <v>0.21187129138807498</v>
      </c>
      <c r="GF611">
        <v>0.61551684135837503</v>
      </c>
      <c r="GG611">
        <v>0.4281665527876255</v>
      </c>
      <c r="GH611">
        <v>2.2985735835423678E-2</v>
      </c>
      <c r="GI611">
        <v>0.53801281325252259</v>
      </c>
      <c r="GJ611"/>
      <c r="GK611">
        <v>1.6247661764705883</v>
      </c>
      <c r="GL611">
        <v>1.8020474264705884</v>
      </c>
      <c r="GM611">
        <v>0.74091406249999991</v>
      </c>
      <c r="GN611">
        <v>0.63420781250000002</v>
      </c>
      <c r="GO611">
        <v>0.48152812499999997</v>
      </c>
      <c r="GP611">
        <v>0.39810937499999999</v>
      </c>
      <c r="GQ611">
        <v>0.74243885869565207</v>
      </c>
      <c r="GR611">
        <v>0.59590760869565207</v>
      </c>
      <c r="GS611">
        <v>2.4293870192307693E-2</v>
      </c>
      <c r="GT611">
        <v>0.72278821857170961</v>
      </c>
      <c r="GU611"/>
      <c r="GV611"/>
      <c r="GW611"/>
      <c r="GX611"/>
      <c r="GY611"/>
      <c r="GZ611"/>
      <c r="HA611"/>
      <c r="HB611"/>
      <c r="HC611"/>
    </row>
    <row r="612" spans="1:211" s="7" customForma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81"/>
      <c r="AG612" s="81"/>
      <c r="AH612" s="81"/>
      <c r="AI612" s="4"/>
      <c r="AJ612" s="81"/>
      <c r="AK612" s="81"/>
      <c r="AL612" s="81"/>
      <c r="AM612" s="43">
        <v>596</v>
      </c>
      <c r="AN612">
        <v>38.546104776451642</v>
      </c>
      <c r="AO612">
        <v>0.89113569290814154</v>
      </c>
      <c r="AP612">
        <v>8.682374169504433</v>
      </c>
      <c r="AQ612">
        <v>6.5137146396922638</v>
      </c>
      <c r="AR612">
        <v>0.82098983446194684</v>
      </c>
      <c r="AS612">
        <v>3.2249075934074622</v>
      </c>
      <c r="AT612" t="e">
        <v>#DIV/0!</v>
      </c>
      <c r="AU612" t="e">
        <v>#DIV/0!</v>
      </c>
      <c r="AV612"/>
      <c r="AW612"/>
      <c r="FY612" s="211">
        <v>607</v>
      </c>
      <c r="FZ612">
        <v>2.1044221690302987</v>
      </c>
      <c r="GA612">
        <v>2.7418612218449931</v>
      </c>
      <c r="GB612">
        <v>0.22640143567430041</v>
      </c>
      <c r="GC612">
        <v>0.14055071149044374</v>
      </c>
      <c r="GD612">
        <v>0.15527322528402857</v>
      </c>
      <c r="GE612">
        <v>0.14731318231042501</v>
      </c>
      <c r="GF612">
        <v>0.41513581345513451</v>
      </c>
      <c r="GG612">
        <v>0.34012406257845362</v>
      </c>
      <c r="GH612">
        <v>8.9508689212329934E-2</v>
      </c>
      <c r="GI612">
        <v>0.54416380418941879</v>
      </c>
      <c r="GJ612"/>
      <c r="GK612">
        <v>2.0970880514705881</v>
      </c>
      <c r="GL612">
        <v>2.3093497702205883</v>
      </c>
      <c r="GM612">
        <v>0.37163671875000004</v>
      </c>
      <c r="GN612">
        <v>0.41219866071428568</v>
      </c>
      <c r="GO612">
        <v>0.5914017857142857</v>
      </c>
      <c r="GP612">
        <v>0.276890625</v>
      </c>
      <c r="GQ612">
        <v>0.50047010869565223</v>
      </c>
      <c r="GR612">
        <v>0.47314719202898542</v>
      </c>
      <c r="GS612">
        <v>9.465845352564102E-2</v>
      </c>
      <c r="GT612">
        <v>0.73105102363123331</v>
      </c>
      <c r="GU612"/>
      <c r="GV612"/>
      <c r="GW612"/>
      <c r="GX612"/>
      <c r="GY612"/>
      <c r="GZ612"/>
      <c r="HA612"/>
      <c r="HB612"/>
      <c r="HC612"/>
    </row>
    <row r="613" spans="1:211" s="7" customForma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81"/>
      <c r="AG613" s="81"/>
      <c r="AH613" s="81"/>
      <c r="AI613" s="4"/>
      <c r="AJ613" s="81"/>
      <c r="AK613" s="81"/>
      <c r="AL613" s="81"/>
      <c r="AM613" s="43">
        <v>597</v>
      </c>
      <c r="AN613">
        <v>43.891335137966372</v>
      </c>
      <c r="AO613">
        <v>0.91342229338267489</v>
      </c>
      <c r="AP613">
        <v>7.7579372498151926</v>
      </c>
      <c r="AQ613">
        <v>7.4268343676529351</v>
      </c>
      <c r="AR613">
        <v>0.85291176583739681</v>
      </c>
      <c r="AS613">
        <v>3.332032433976519</v>
      </c>
      <c r="AT613" t="e">
        <v>#DIV/0!</v>
      </c>
      <c r="AU613" t="e">
        <v>#DIV/0!</v>
      </c>
      <c r="AV613"/>
      <c r="AW613"/>
      <c r="FY613" s="211">
        <v>608</v>
      </c>
      <c r="FZ613">
        <v>0.50503004909030813</v>
      </c>
      <c r="GA613">
        <v>1.0194428323045543</v>
      </c>
      <c r="GB613">
        <v>0.62251296538469414</v>
      </c>
      <c r="GC613">
        <v>0.27700371373697619</v>
      </c>
      <c r="GD613">
        <v>0.12401442931722426</v>
      </c>
      <c r="GE613">
        <v>8.8593614384399985E-2</v>
      </c>
      <c r="GF613">
        <v>0.66819523726455643</v>
      </c>
      <c r="GG613">
        <v>0.68024812515690725</v>
      </c>
      <c r="GH613">
        <v>0.15603164258923619</v>
      </c>
      <c r="GI613">
        <v>0.44186283423039563</v>
      </c>
      <c r="GJ613"/>
      <c r="GK613">
        <v>0.50323125000000002</v>
      </c>
      <c r="GL613">
        <v>0.8584148437500001</v>
      </c>
      <c r="GM613">
        <v>1.0215117187499998</v>
      </c>
      <c r="GN613">
        <v>0.81257276785714272</v>
      </c>
      <c r="GO613">
        <v>0.47211964285714281</v>
      </c>
      <c r="GP613">
        <v>0.16649999999999998</v>
      </c>
      <c r="GQ613">
        <v>0.80556521739130427</v>
      </c>
      <c r="GR613">
        <v>0.94629438405797084</v>
      </c>
      <c r="GS613">
        <v>0.16502303685897435</v>
      </c>
      <c r="GT613">
        <v>0.59349017317148423</v>
      </c>
      <c r="GU613"/>
      <c r="GV613"/>
      <c r="GW613"/>
      <c r="GX613"/>
      <c r="GY613"/>
      <c r="GZ613"/>
      <c r="HA613"/>
      <c r="HB613"/>
      <c r="HC613"/>
    </row>
    <row r="614" spans="1:211" s="7" customForma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81"/>
      <c r="AG614" s="81"/>
      <c r="AH614" s="81"/>
      <c r="AI614" s="4"/>
      <c r="AJ614" s="81"/>
      <c r="AK614" s="81"/>
      <c r="AL614" s="81"/>
      <c r="AM614" s="43">
        <v>598</v>
      </c>
      <c r="AN614">
        <v>43.450707621863309</v>
      </c>
      <c r="AO614">
        <v>1.1143510934279646</v>
      </c>
      <c r="AP614">
        <v>0.90634420012404893</v>
      </c>
      <c r="AQ614">
        <v>8.527737606862269</v>
      </c>
      <c r="AR614">
        <v>1.0355743113331148</v>
      </c>
      <c r="AS614">
        <v>3.5330255349806952</v>
      </c>
      <c r="AT614">
        <v>0.70743531428526474</v>
      </c>
      <c r="AU614">
        <v>6.7818843370833826E-2</v>
      </c>
      <c r="AV614"/>
      <c r="AW614"/>
      <c r="FY614" s="211">
        <v>609</v>
      </c>
      <c r="FZ614">
        <v>0.95497720548700527</v>
      </c>
      <c r="GA614">
        <v>1.6694034011688448</v>
      </c>
      <c r="GB614">
        <v>1.3764244493557403</v>
      </c>
      <c r="GC614">
        <v>0.68458153615995654</v>
      </c>
      <c r="GD614">
        <v>0.15262270234476749</v>
      </c>
      <c r="GE614">
        <v>0.2050738952625</v>
      </c>
      <c r="GF614">
        <v>0.20038102790324064</v>
      </c>
      <c r="GG614">
        <v>0.18920630708545313</v>
      </c>
      <c r="GH614">
        <v>6.6522953376906252E-2</v>
      </c>
      <c r="GI614">
        <v>0.61095598177155541</v>
      </c>
      <c r="GJ614"/>
      <c r="GK614">
        <v>0.95175183823529408</v>
      </c>
      <c r="GL614">
        <v>1.406111213235294</v>
      </c>
      <c r="GM614">
        <v>2.2599346590909088</v>
      </c>
      <c r="GN614">
        <v>2.0100346590909091</v>
      </c>
      <c r="GO614">
        <v>0.58095937499999994</v>
      </c>
      <c r="GP614">
        <v>0.38550000000000001</v>
      </c>
      <c r="GQ614">
        <v>0.24196875000000001</v>
      </c>
      <c r="GR614">
        <v>0.26348958333333333</v>
      </c>
      <c r="GS614">
        <v>7.0364583333333328E-2</v>
      </c>
      <c r="GT614">
        <v>0.82099584113190727</v>
      </c>
      <c r="GU614"/>
      <c r="GV614"/>
      <c r="GW614"/>
      <c r="GX614"/>
      <c r="GY614"/>
      <c r="GZ614"/>
      <c r="HA614"/>
      <c r="HB614"/>
      <c r="HC614"/>
    </row>
    <row r="615" spans="1:211" s="7" customForma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81"/>
      <c r="AG615" s="81"/>
      <c r="AH615" s="81"/>
      <c r="AI615" s="4"/>
      <c r="AJ615" s="81"/>
      <c r="AK615" s="81"/>
      <c r="AL615" s="81"/>
      <c r="AM615" s="43">
        <v>599</v>
      </c>
      <c r="AN615">
        <v>42.850066623871768</v>
      </c>
      <c r="AO615">
        <v>1.0506053631390055</v>
      </c>
      <c r="AP615">
        <v>4.4944557387939739</v>
      </c>
      <c r="AQ615">
        <v>7.4793594632247249</v>
      </c>
      <c r="AR615">
        <v>0.95871794376273212</v>
      </c>
      <c r="AS615">
        <v>3.315931885844019</v>
      </c>
      <c r="AT615" t="e">
        <v>#DIV/0!</v>
      </c>
      <c r="AU615" t="e">
        <v>#DIV/0!</v>
      </c>
      <c r="AV615"/>
      <c r="AW615"/>
      <c r="FY615" s="211">
        <v>610</v>
      </c>
      <c r="FZ615">
        <v>0.92959210543825721</v>
      </c>
      <c r="GA615">
        <v>1.5861258837244008</v>
      </c>
      <c r="GB615">
        <v>1.34627386878077</v>
      </c>
      <c r="GC615">
        <v>0.68558115448900525</v>
      </c>
      <c r="GD615">
        <v>0.1340214035630175</v>
      </c>
      <c r="GE615">
        <v>9.5283153058725006E-2</v>
      </c>
      <c r="GF615">
        <v>0.15986193049181252</v>
      </c>
      <c r="GG615">
        <v>0.18920630708545313</v>
      </c>
      <c r="GH615">
        <v>6.6522953376906252E-2</v>
      </c>
      <c r="GI615">
        <v>0.58201896103976447</v>
      </c>
      <c r="GJ615"/>
      <c r="GK615">
        <v>0.92642058823529405</v>
      </c>
      <c r="GL615">
        <v>1.336072931985294</v>
      </c>
      <c r="GM615">
        <v>2.2101743607954547</v>
      </c>
      <c r="GN615">
        <v>2.0122470170454547</v>
      </c>
      <c r="GO615">
        <v>0.51045937499999994</v>
      </c>
      <c r="GP615">
        <v>0.17920312499999999</v>
      </c>
      <c r="GQ615">
        <v>0.19312499999999999</v>
      </c>
      <c r="GR615">
        <v>0.26348958333333333</v>
      </c>
      <c r="GS615">
        <v>7.0364583333333328E-2</v>
      </c>
      <c r="GT615">
        <v>0.78210878147281648</v>
      </c>
      <c r="GU615"/>
      <c r="GV615"/>
      <c r="GW615"/>
      <c r="GX615"/>
      <c r="GY615"/>
      <c r="GZ615"/>
      <c r="HA615"/>
      <c r="HB615"/>
      <c r="HC615"/>
    </row>
    <row r="616" spans="1:211" s="7" customForma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81"/>
      <c r="AG616" s="81"/>
      <c r="AH616" s="81"/>
      <c r="AI616" s="4"/>
      <c r="AJ616" s="81"/>
      <c r="AK616" s="81"/>
      <c r="AL616" s="81"/>
      <c r="AM616" s="43">
        <v>600</v>
      </c>
      <c r="AN616">
        <v>45.57858910472401</v>
      </c>
      <c r="AO616">
        <v>0.96558494569023257</v>
      </c>
      <c r="AP616">
        <v>14.351677908568528</v>
      </c>
      <c r="AQ616">
        <v>6.8431647100649542</v>
      </c>
      <c r="AR616">
        <v>0.88142665517293883</v>
      </c>
      <c r="AS616">
        <v>3.772071838127991</v>
      </c>
      <c r="AT616" t="e">
        <v>#DIV/0!</v>
      </c>
      <c r="AU616" t="e">
        <v>#DIV/0!</v>
      </c>
      <c r="AV616"/>
      <c r="AW616"/>
      <c r="FY616" s="211">
        <v>611</v>
      </c>
      <c r="FZ616">
        <v>1.6302610136122091</v>
      </c>
      <c r="GA616">
        <v>2.5010779570617285</v>
      </c>
      <c r="GB616">
        <v>0.56695376331545266</v>
      </c>
      <c r="GC616">
        <v>0.36105709063307934</v>
      </c>
      <c r="GD616">
        <v>0.21786350681146177</v>
      </c>
      <c r="GE616">
        <v>0.13104179874877503</v>
      </c>
      <c r="GF616">
        <v>0.45565491086656262</v>
      </c>
      <c r="GG616">
        <v>0.34012406257845362</v>
      </c>
      <c r="GH616">
        <v>8.9508689212329934E-2</v>
      </c>
      <c r="GI616">
        <v>0.59964471738347869</v>
      </c>
      <c r="GJ616"/>
      <c r="GK616">
        <v>1.6247661764705879</v>
      </c>
      <c r="GL616">
        <v>2.1067935202205881</v>
      </c>
      <c r="GM616">
        <v>0.93042578124999997</v>
      </c>
      <c r="GN616">
        <v>1.0577680803571428</v>
      </c>
      <c r="GO616">
        <v>0.82841651785714276</v>
      </c>
      <c r="GP616">
        <v>0.24604687500000003</v>
      </c>
      <c r="GQ616">
        <v>0.54931385869565208</v>
      </c>
      <c r="GR616">
        <v>0.47314719202898542</v>
      </c>
      <c r="GS616">
        <v>9.465845352564102E-2</v>
      </c>
      <c r="GT616">
        <v>0.80551615755980488</v>
      </c>
      <c r="GU616"/>
      <c r="GV616"/>
      <c r="GW616"/>
      <c r="GX616"/>
      <c r="GY616"/>
      <c r="GZ616"/>
      <c r="HA616"/>
      <c r="HB616"/>
      <c r="HC616"/>
    </row>
    <row r="617" spans="1:211" s="7" customForma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81"/>
      <c r="AG617" s="81"/>
      <c r="AH617" s="81"/>
      <c r="AI617" s="4"/>
      <c r="AJ617" s="81"/>
      <c r="AK617" s="81"/>
      <c r="AL617" s="81"/>
      <c r="AM617" s="43">
        <v>601</v>
      </c>
      <c r="AN617">
        <v>31.557147889348972</v>
      </c>
      <c r="AO617">
        <v>0.63391515883799177</v>
      </c>
      <c r="AP617">
        <v>0.43620506238342038</v>
      </c>
      <c r="AQ617">
        <v>4.6118336556795603</v>
      </c>
      <c r="AR617">
        <v>0.5835308262163561</v>
      </c>
      <c r="AS617">
        <v>2.7513963254854881</v>
      </c>
      <c r="AT617" t="e">
        <v>#DIV/0!</v>
      </c>
      <c r="AU617" t="e">
        <v>#DIV/0!</v>
      </c>
      <c r="AV617"/>
      <c r="AW617"/>
      <c r="FY617" s="211">
        <v>612</v>
      </c>
      <c r="FZ617">
        <v>0.24709265674158937</v>
      </c>
      <c r="GA617">
        <v>0.66913317412063089</v>
      </c>
      <c r="GB617">
        <v>0.37212401162958392</v>
      </c>
      <c r="GC617">
        <v>0.16963762264594684</v>
      </c>
      <c r="GD617">
        <v>0.12120063296546246</v>
      </c>
      <c r="GE617">
        <v>0.14164429798125</v>
      </c>
      <c r="GF617">
        <v>0.5344786465355188</v>
      </c>
      <c r="GG617">
        <v>0.4281665527876255</v>
      </c>
      <c r="GH617">
        <v>2.2985735835423678E-2</v>
      </c>
      <c r="GI617">
        <v>0.29590837509858808</v>
      </c>
      <c r="GJ617"/>
      <c r="GK617">
        <v>0.24616874999999999</v>
      </c>
      <c r="GL617">
        <v>0.56333671875000002</v>
      </c>
      <c r="GM617">
        <v>0.61048828124999988</v>
      </c>
      <c r="GN617">
        <v>0.49792968749999988</v>
      </c>
      <c r="GO617">
        <v>0.46157812499999995</v>
      </c>
      <c r="GP617">
        <v>0.26596875000000003</v>
      </c>
      <c r="GQ617">
        <v>0.64475135869565214</v>
      </c>
      <c r="GR617">
        <v>0.59590760869565207</v>
      </c>
      <c r="GS617">
        <v>2.4293870192307693E-2</v>
      </c>
      <c r="GT617">
        <v>0.39745607702759195</v>
      </c>
      <c r="GU617"/>
      <c r="GV617"/>
      <c r="GW617"/>
      <c r="GX617"/>
      <c r="GY617"/>
      <c r="GZ617"/>
      <c r="HA617"/>
      <c r="HB617"/>
      <c r="HC617"/>
    </row>
    <row r="618" spans="1:211" s="7" customForma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81"/>
      <c r="AG618" s="81"/>
      <c r="AH618" s="81"/>
      <c r="AI618" s="4"/>
      <c r="AJ618" s="81"/>
      <c r="AK618" s="81"/>
      <c r="AL618" s="81"/>
      <c r="AM618" s="43">
        <v>602</v>
      </c>
      <c r="AN618">
        <v>39.102541742263611</v>
      </c>
      <c r="AO618">
        <v>0.9478116760812183</v>
      </c>
      <c r="AP618">
        <v>0.54263102454377898</v>
      </c>
      <c r="AQ618">
        <v>6.5981674148259328</v>
      </c>
      <c r="AR618">
        <v>0.86747767100040818</v>
      </c>
      <c r="AS618">
        <v>3.1487962073943336</v>
      </c>
      <c r="AT618">
        <v>0.6263436596516696</v>
      </c>
      <c r="AU618">
        <v>-3.2792816160765396E-2</v>
      </c>
      <c r="AV618"/>
      <c r="AW618"/>
      <c r="FY618" s="211">
        <v>613</v>
      </c>
      <c r="FZ618">
        <v>0.92457134434795796</v>
      </c>
      <c r="GA618">
        <v>1.614657276786819</v>
      </c>
      <c r="GB618">
        <v>0.94668161937509876</v>
      </c>
      <c r="GC618">
        <v>0.39722737128137947</v>
      </c>
      <c r="GD618">
        <v>9.4086544213124984E-2</v>
      </c>
      <c r="GE618">
        <v>0.1001010398652</v>
      </c>
      <c r="GF618">
        <v>0</v>
      </c>
      <c r="GG618">
        <v>5.0581908438140623E-2</v>
      </c>
      <c r="GH618">
        <v>6.6522953376906252E-2</v>
      </c>
      <c r="GI618">
        <v>0.43225734955212047</v>
      </c>
      <c r="GJ618"/>
      <c r="GK618">
        <v>0.92132812500000005</v>
      </c>
      <c r="GL618">
        <v>1.35985546875</v>
      </c>
      <c r="GM618">
        <v>1.5540102982954545</v>
      </c>
      <c r="GN618">
        <v>1.1661079545454545</v>
      </c>
      <c r="GO618">
        <v>0.35840624999999993</v>
      </c>
      <c r="GP618">
        <v>0.18824999999999997</v>
      </c>
      <c r="GQ618">
        <v>0</v>
      </c>
      <c r="GR618">
        <v>7.0364583333333328E-2</v>
      </c>
      <c r="GS618">
        <v>7.0364583333333328E-2</v>
      </c>
      <c r="GT618">
        <v>0.58082185132575759</v>
      </c>
      <c r="GU618"/>
      <c r="GV618"/>
      <c r="GW618"/>
      <c r="GX618"/>
      <c r="GY618"/>
      <c r="GZ618"/>
      <c r="HA618"/>
      <c r="HB618"/>
      <c r="HC618"/>
    </row>
    <row r="619" spans="1:211" s="7" customForma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81"/>
      <c r="AG619" s="81"/>
      <c r="AH619" s="81"/>
      <c r="AI619" s="4"/>
      <c r="AJ619" s="81"/>
      <c r="AK619" s="81"/>
      <c r="AL619" s="81"/>
      <c r="AM619" s="43">
        <v>603</v>
      </c>
      <c r="AN619">
        <v>30.757111696174196</v>
      </c>
      <c r="AO619">
        <v>0.73247300131639204</v>
      </c>
      <c r="AP619">
        <v>0.84849683197270953</v>
      </c>
      <c r="AQ619">
        <v>5.4299217157896464</v>
      </c>
      <c r="AR619">
        <v>0.67754593214077585</v>
      </c>
      <c r="AS619">
        <v>2.3448189657665202</v>
      </c>
      <c r="AT619">
        <v>0.50134608981532691</v>
      </c>
      <c r="AU619">
        <v>-6.1948786961037464E-2</v>
      </c>
      <c r="AV619"/>
      <c r="AW619"/>
      <c r="FY619" s="211">
        <v>614</v>
      </c>
      <c r="FZ619">
        <v>2.634305353407465</v>
      </c>
      <c r="GA619">
        <v>3.2392732275887446</v>
      </c>
      <c r="GB619">
        <v>0.80479644864961641</v>
      </c>
      <c r="GC619">
        <v>0.46906275131651515</v>
      </c>
      <c r="GD619">
        <v>8.0248433734501051E-2</v>
      </c>
      <c r="GE619">
        <v>1.4453660419425E-2</v>
      </c>
      <c r="GF619">
        <v>1.1477810287399937</v>
      </c>
      <c r="GG619">
        <v>1.0961213210988445</v>
      </c>
      <c r="GH619">
        <v>0.15603164258923619</v>
      </c>
      <c r="GI619">
        <v>0.86366090902745141</v>
      </c>
      <c r="GJ619"/>
      <c r="GK619">
        <v>2.625296139705882</v>
      </c>
      <c r="GL619">
        <v>2.7283742647058822</v>
      </c>
      <c r="GM619">
        <v>1.3212563920454543</v>
      </c>
      <c r="GN619">
        <v>1.37681130275974</v>
      </c>
      <c r="GO619">
        <v>0.30530491071428567</v>
      </c>
      <c r="GP619">
        <v>2.7140625000000002E-2</v>
      </c>
      <c r="GQ619">
        <v>1.3849402173913039</v>
      </c>
      <c r="GR619">
        <v>1.5256693840579707</v>
      </c>
      <c r="GS619">
        <v>0.16502303685897435</v>
      </c>
      <c r="GT619">
        <v>1.1603641393431801</v>
      </c>
      <c r="GU619"/>
      <c r="GV619"/>
      <c r="GW619"/>
      <c r="GX619"/>
      <c r="GY619"/>
      <c r="GZ619"/>
      <c r="HA619"/>
      <c r="HB619"/>
      <c r="HC619"/>
    </row>
    <row r="620" spans="1:211" s="7" customForma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81"/>
      <c r="AG620" s="81"/>
      <c r="AH620" s="81"/>
      <c r="AI620" s="4"/>
      <c r="AJ620" s="81"/>
      <c r="AK620" s="81"/>
      <c r="AL620" s="81"/>
      <c r="AM620" s="43">
        <v>604</v>
      </c>
      <c r="AN620">
        <v>47.447913431677016</v>
      </c>
      <c r="AO620">
        <v>1.1007940063082298</v>
      </c>
      <c r="AP620">
        <v>1.0424865201035871</v>
      </c>
      <c r="AQ620">
        <v>6.9502604150702156</v>
      </c>
      <c r="AR620">
        <v>1.0152104602802088</v>
      </c>
      <c r="AS620">
        <v>4.2568421761911193</v>
      </c>
      <c r="AT620" t="e">
        <v>#DIV/0!</v>
      </c>
      <c r="AU620" t="e">
        <v>#DIV/0!</v>
      </c>
      <c r="AV620"/>
      <c r="AW620"/>
      <c r="FY620" s="211">
        <v>615</v>
      </c>
      <c r="FZ620">
        <v>0.52689753583197751</v>
      </c>
      <c r="GA620">
        <v>0.72723599388255622</v>
      </c>
      <c r="GB620">
        <v>0.6866989271003846</v>
      </c>
      <c r="GC620">
        <v>0.59573431177778835</v>
      </c>
      <c r="GD620">
        <v>0.23968539465682179</v>
      </c>
      <c r="GE620">
        <v>0.12327767700367502</v>
      </c>
      <c r="GF620">
        <v>0.45565491086656262</v>
      </c>
      <c r="GG620">
        <v>0.39070597101659427</v>
      </c>
      <c r="GH620">
        <v>0.15603164258923619</v>
      </c>
      <c r="GI620">
        <v>0.48814633522762774</v>
      </c>
      <c r="GJ620"/>
      <c r="GK620">
        <v>0.52485000000000004</v>
      </c>
      <c r="GL620">
        <v>0.61209609375000007</v>
      </c>
      <c r="GM620">
        <v>1.1273384232954544</v>
      </c>
      <c r="GN620">
        <v>1.7472244724025974</v>
      </c>
      <c r="GO620">
        <v>0.91174151785714286</v>
      </c>
      <c r="GP620">
        <v>0.23160937500000001</v>
      </c>
      <c r="GQ620">
        <v>0.54931385869565208</v>
      </c>
      <c r="GR620">
        <v>0.54351177536231876</v>
      </c>
      <c r="GS620">
        <v>0.16502303685897435</v>
      </c>
      <c r="GT620">
        <v>0.65565336734144475</v>
      </c>
      <c r="GU620"/>
      <c r="GV620"/>
      <c r="GW620"/>
      <c r="GX620"/>
      <c r="GY620"/>
      <c r="GZ620"/>
      <c r="HA620"/>
      <c r="HB620"/>
      <c r="HC620"/>
    </row>
    <row r="621" spans="1:211" s="7" customForma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81"/>
      <c r="AG621" s="81"/>
      <c r="AH621" s="81"/>
      <c r="AI621" s="4"/>
      <c r="AJ621" s="81"/>
      <c r="AK621" s="81"/>
      <c r="AL621" s="81"/>
      <c r="AM621" s="43">
        <v>605</v>
      </c>
      <c r="AN621">
        <v>38.52149147400506</v>
      </c>
      <c r="AO621">
        <v>0.71519205690346788</v>
      </c>
      <c r="AP621">
        <v>0.36014029168231687</v>
      </c>
      <c r="AQ621">
        <v>4.8496493342566884</v>
      </c>
      <c r="AR621">
        <v>0.65379675627587985</v>
      </c>
      <c r="AS621">
        <v>3.375320710204206</v>
      </c>
      <c r="AT621" t="e">
        <v>#DIV/0!</v>
      </c>
      <c r="AU621" t="e">
        <v>#DIV/0!</v>
      </c>
      <c r="AV621"/>
      <c r="AW621"/>
      <c r="FY621" s="211">
        <v>616</v>
      </c>
      <c r="FZ621">
        <v>0.92777755792042438</v>
      </c>
      <c r="GA621">
        <v>1.3233840170142552</v>
      </c>
      <c r="GB621">
        <v>0.74671916269689831</v>
      </c>
      <c r="GC621">
        <v>0.80440299644118696</v>
      </c>
      <c r="GD621">
        <v>0.36058827467731175</v>
      </c>
      <c r="GE621">
        <v>4.8178868064749992E-3</v>
      </c>
      <c r="GF621">
        <v>0.81368341010771561</v>
      </c>
      <c r="GG621">
        <v>0.70541535008225043</v>
      </c>
      <c r="GH621">
        <v>6.8957207506271032E-2</v>
      </c>
      <c r="GI621">
        <v>0.68140722246709551</v>
      </c>
      <c r="GJ621"/>
      <c r="GK621">
        <v>0.92459246323529409</v>
      </c>
      <c r="GL621">
        <v>1.1146705882352941</v>
      </c>
      <c r="GM621">
        <v>1.2258735795454543</v>
      </c>
      <c r="GN621">
        <v>2.3581338474025975</v>
      </c>
      <c r="GO621">
        <v>1.3712290178571429</v>
      </c>
      <c r="GP621">
        <v>9.0468749999999994E-3</v>
      </c>
      <c r="GQ621">
        <v>0.98215760869565205</v>
      </c>
      <c r="GR621">
        <v>0.98215760869565205</v>
      </c>
      <c r="GS621">
        <v>7.2881610576923078E-2</v>
      </c>
      <c r="GT621">
        <v>0.9153468559820932</v>
      </c>
      <c r="GU621"/>
      <c r="GV621"/>
      <c r="GW621"/>
      <c r="GX621"/>
      <c r="GY621"/>
      <c r="GZ621"/>
      <c r="HA621"/>
      <c r="HB621"/>
      <c r="HC621"/>
    </row>
    <row r="622" spans="1:211" s="7" customForma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81"/>
      <c r="AG622" s="81"/>
      <c r="AH622" s="81"/>
      <c r="AI622" s="4"/>
      <c r="AJ622" s="81"/>
      <c r="AK622" s="81"/>
      <c r="AL622" s="81"/>
      <c r="AM622" s="43">
        <v>606</v>
      </c>
      <c r="AN622">
        <v>34.092567613723304</v>
      </c>
      <c r="AO622">
        <v>0.77670015340964971</v>
      </c>
      <c r="AP622">
        <v>0.58461237583804826</v>
      </c>
      <c r="AQ622">
        <v>6.3806458781342847</v>
      </c>
      <c r="AR622">
        <v>0.72278821857170938</v>
      </c>
      <c r="AS622">
        <v>2.6502668713199231</v>
      </c>
      <c r="AT622" t="e">
        <v>#DIV/0!</v>
      </c>
      <c r="AU622" t="e">
        <v>#DIV/0!</v>
      </c>
      <c r="AV622"/>
      <c r="AW622"/>
      <c r="FY622" s="211">
        <v>617</v>
      </c>
      <c r="FZ622">
        <v>0.3742123392837563</v>
      </c>
      <c r="GA622">
        <v>0.83234317054847207</v>
      </c>
      <c r="GB622">
        <v>0.44892286473440735</v>
      </c>
      <c r="GC622">
        <v>0.34813628610539182</v>
      </c>
      <c r="GD622">
        <v>0.226414139915385</v>
      </c>
      <c r="GE622">
        <v>0.11648028087809999</v>
      </c>
      <c r="GF622">
        <v>0.5344786465355188</v>
      </c>
      <c r="GG622">
        <v>0.52933036966390667</v>
      </c>
      <c r="GH622">
        <v>0.1330459067538125</v>
      </c>
      <c r="GI622">
        <v>0.41044261596307752</v>
      </c>
      <c r="GJ622"/>
      <c r="GK622">
        <v>0.37293750000000003</v>
      </c>
      <c r="GL622">
        <v>0.70107421874999998</v>
      </c>
      <c r="GM622">
        <v>0.73669140624999996</v>
      </c>
      <c r="GN622">
        <v>1.0200671874999998</v>
      </c>
      <c r="GO622">
        <v>0.86135624999999993</v>
      </c>
      <c r="GP622">
        <v>0.21899999999999997</v>
      </c>
      <c r="GQ622">
        <v>0.64475135869565214</v>
      </c>
      <c r="GR622">
        <v>0.73663677536231864</v>
      </c>
      <c r="GS622">
        <v>0.14072916666666666</v>
      </c>
      <c r="GT622">
        <v>0.55129313632246368</v>
      </c>
      <c r="GU622"/>
      <c r="GV622"/>
      <c r="GW622"/>
      <c r="GX622"/>
      <c r="GY622"/>
      <c r="GZ622"/>
      <c r="HA622"/>
      <c r="HB622"/>
      <c r="HC622"/>
    </row>
    <row r="623" spans="1:211" s="7" customForma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81"/>
      <c r="AG623" s="81"/>
      <c r="AH623" s="81"/>
      <c r="AI623" s="4"/>
      <c r="AJ623" s="81"/>
      <c r="AK623" s="81"/>
      <c r="AL623" s="81"/>
      <c r="AM623" s="43">
        <v>607</v>
      </c>
      <c r="AN623">
        <v>34.879827865046053</v>
      </c>
      <c r="AO623">
        <v>0.78578923897512598</v>
      </c>
      <c r="AP623">
        <v>4.7203386881819158</v>
      </c>
      <c r="AQ623">
        <v>6.9047543150698267</v>
      </c>
      <c r="AR623">
        <v>0.7310510236312332</v>
      </c>
      <c r="AS623">
        <v>2.5855450153079862</v>
      </c>
      <c r="AT623" t="e">
        <v>#DIV/0!</v>
      </c>
      <c r="AU623" t="e">
        <v>#DIV/0!</v>
      </c>
      <c r="AV623"/>
      <c r="AW623"/>
      <c r="FY623" s="211">
        <v>618</v>
      </c>
      <c r="FZ623">
        <v>1.701547185466713</v>
      </c>
      <c r="GA623">
        <v>2.2598497580248535</v>
      </c>
      <c r="GB623">
        <v>0.76005966189432295</v>
      </c>
      <c r="GC623">
        <v>0.60689845151694577</v>
      </c>
      <c r="GD623">
        <v>0.2929562846073675</v>
      </c>
      <c r="GE623">
        <v>0.13569789937837501</v>
      </c>
      <c r="GF623">
        <v>0.33409761863227821</v>
      </c>
      <c r="GG623">
        <v>0.34012406257845362</v>
      </c>
      <c r="GH623">
        <v>8.9508689212329934E-2</v>
      </c>
      <c r="GI623">
        <v>0.67820096232437521</v>
      </c>
      <c r="GJ623"/>
      <c r="GK623">
        <v>1.6957049632352941</v>
      </c>
      <c r="GL623">
        <v>1.903349494485294</v>
      </c>
      <c r="GM623">
        <v>1.2477368607954544</v>
      </c>
      <c r="GN623">
        <v>1.780098579545454</v>
      </c>
      <c r="GO623">
        <v>1.114771875</v>
      </c>
      <c r="GP623">
        <v>0.25523437500000001</v>
      </c>
      <c r="GQ623">
        <v>0.40278260869565213</v>
      </c>
      <c r="GR623">
        <v>0.47314719202898542</v>
      </c>
      <c r="GS623">
        <v>9.465845352564102E-2</v>
      </c>
      <c r="GT623">
        <v>0.9111309522504083</v>
      </c>
      <c r="GU623"/>
      <c r="GV623"/>
      <c r="GW623"/>
      <c r="GX623"/>
      <c r="GY623"/>
      <c r="GZ623"/>
      <c r="HA623"/>
      <c r="HB623"/>
      <c r="HC623"/>
    </row>
    <row r="624" spans="1:211" s="7" customForma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81"/>
      <c r="AG624" s="81"/>
      <c r="AH624" s="81"/>
      <c r="AI624" s="4"/>
      <c r="AJ624" s="81"/>
      <c r="AK624" s="81"/>
      <c r="AL624" s="81"/>
      <c r="AM624" s="43">
        <v>608</v>
      </c>
      <c r="AN624">
        <v>30.462601058864646</v>
      </c>
      <c r="AO624">
        <v>0.63447230346940198</v>
      </c>
      <c r="AP624">
        <v>8.1766084546282674</v>
      </c>
      <c r="AQ624">
        <v>4.5829354434592524</v>
      </c>
      <c r="AR624">
        <v>0.59349017317148411</v>
      </c>
      <c r="AS624">
        <v>2.6574934413146307</v>
      </c>
      <c r="AT624" t="e">
        <v>#DIV/0!</v>
      </c>
      <c r="AU624" t="e">
        <v>#DIV/0!</v>
      </c>
      <c r="AV624"/>
      <c r="AW624"/>
      <c r="FY624" s="211">
        <v>619</v>
      </c>
      <c r="FZ624">
        <v>0.53226984772686092</v>
      </c>
      <c r="GA624">
        <v>1.1913424145920488</v>
      </c>
      <c r="GB624">
        <v>1.7936727493127376</v>
      </c>
      <c r="GC624">
        <v>0.83689284621624638</v>
      </c>
      <c r="GD624">
        <v>0.11505569463809998</v>
      </c>
      <c r="GE624">
        <v>0.13490083058129998</v>
      </c>
      <c r="GF624">
        <v>0.98791909824818158</v>
      </c>
      <c r="GG624">
        <v>0.856333105575251</v>
      </c>
      <c r="GH624">
        <v>2.2985735835423678E-2</v>
      </c>
      <c r="GI624">
        <v>0.76351066220816688</v>
      </c>
      <c r="GJ624"/>
      <c r="GK624">
        <v>0.53048437500000001</v>
      </c>
      <c r="GL624">
        <v>1.0033710937500002</v>
      </c>
      <c r="GM624">
        <v>2.9447901278409088</v>
      </c>
      <c r="GN624">
        <v>2.4573721590909083</v>
      </c>
      <c r="GO624">
        <v>0.43799999999999994</v>
      </c>
      <c r="GP624">
        <v>0.2533125</v>
      </c>
      <c r="GQ624">
        <v>1.1918152173913041</v>
      </c>
      <c r="GR624">
        <v>1.1918152173913041</v>
      </c>
      <c r="GS624">
        <v>2.4293870192307693E-2</v>
      </c>
      <c r="GT624">
        <v>1.025876718084904</v>
      </c>
      <c r="GU624"/>
      <c r="GV624"/>
      <c r="GW624"/>
      <c r="GX624"/>
      <c r="GY624"/>
      <c r="GZ624"/>
      <c r="HA624"/>
      <c r="HB624"/>
      <c r="HC624"/>
    </row>
    <row r="625" spans="1:211" s="7" customForma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81"/>
      <c r="AG625" s="81"/>
      <c r="AH625" s="81"/>
      <c r="AI625" s="4"/>
      <c r="AJ625" s="81"/>
      <c r="AK625" s="81"/>
      <c r="AL625" s="81"/>
      <c r="AM625" s="43">
        <v>609</v>
      </c>
      <c r="AN625">
        <v>32.658891612200435</v>
      </c>
      <c r="AO625">
        <v>0.89911105024509796</v>
      </c>
      <c r="AP625">
        <v>1.1197762006501508</v>
      </c>
      <c r="AQ625">
        <v>6.11014945991597</v>
      </c>
      <c r="AR625">
        <v>0.82099584113190716</v>
      </c>
      <c r="AS625">
        <v>3.1356653415442519</v>
      </c>
      <c r="AT625" t="e">
        <v>#DIV/0!</v>
      </c>
      <c r="AU625" t="e">
        <v>#DIV/0!</v>
      </c>
      <c r="AV625"/>
      <c r="AW625"/>
      <c r="FY625" s="211">
        <v>620</v>
      </c>
      <c r="FZ625">
        <v>3.0388834027602969</v>
      </c>
      <c r="GA625">
        <v>4.2315990810639121</v>
      </c>
      <c r="GB625">
        <v>0.42108570518679844</v>
      </c>
      <c r="GC625">
        <v>0.28764877424610125</v>
      </c>
      <c r="GD625">
        <v>0.26447192871387426</v>
      </c>
      <c r="GE625">
        <v>0.20518175271374994</v>
      </c>
      <c r="GF625">
        <v>0.12155729223428439</v>
      </c>
      <c r="GG625">
        <v>0.10116381687628125</v>
      </c>
      <c r="GH625">
        <v>0.15603164258923619</v>
      </c>
      <c r="GI625">
        <v>0.74983478316417207</v>
      </c>
      <c r="GJ625"/>
      <c r="GK625">
        <v>3.0285636029411762</v>
      </c>
      <c r="GL625">
        <v>3.5644386029411761</v>
      </c>
      <c r="GM625">
        <v>0.69095312500000006</v>
      </c>
      <c r="GN625">
        <v>0.84226026785714281</v>
      </c>
      <c r="GO625">
        <v>1.0057446428571428</v>
      </c>
      <c r="GP625">
        <v>0.38540625000000001</v>
      </c>
      <c r="GQ625">
        <v>0.14653125</v>
      </c>
      <c r="GR625">
        <v>0.14072916666666666</v>
      </c>
      <c r="GS625">
        <v>0.16502303685897435</v>
      </c>
      <c r="GT625">
        <v>1.0073631315314588</v>
      </c>
      <c r="GU625"/>
      <c r="GV625"/>
      <c r="GW625"/>
      <c r="GX625"/>
      <c r="GY625"/>
      <c r="GZ625"/>
      <c r="HA625"/>
      <c r="HB625"/>
      <c r="HC625"/>
    </row>
    <row r="626" spans="1:211" s="7" customForma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81"/>
      <c r="AG626" s="81"/>
      <c r="AH626" s="81"/>
      <c r="AI626" s="4"/>
      <c r="AJ626" s="81"/>
      <c r="AK626" s="81"/>
      <c r="AL626" s="81"/>
      <c r="AM626" s="43">
        <v>610</v>
      </c>
      <c r="AN626">
        <v>30.562884667755991</v>
      </c>
      <c r="AO626">
        <v>0.84836653462009814</v>
      </c>
      <c r="AP626">
        <v>2.3215937214668423</v>
      </c>
      <c r="AQ626">
        <v>5.7744877210481134</v>
      </c>
      <c r="AR626">
        <v>0.78210878147281648</v>
      </c>
      <c r="AS626">
        <v>2.8929908748235666</v>
      </c>
      <c r="AT626" t="e">
        <v>#DIV/0!</v>
      </c>
      <c r="AU626" t="e">
        <v>#DIV/0!</v>
      </c>
      <c r="AV626"/>
      <c r="AW626"/>
      <c r="FY626" s="211">
        <v>621</v>
      </c>
      <c r="FZ626">
        <v>1.1675856418618307</v>
      </c>
      <c r="GA626">
        <v>1.3045705261574931</v>
      </c>
      <c r="GB626">
        <v>1.09193828544328</v>
      </c>
      <c r="GC626">
        <v>0.76691389212052963</v>
      </c>
      <c r="GD626">
        <v>0.23688571909967679</v>
      </c>
      <c r="GE626">
        <v>0.17434885128142502</v>
      </c>
      <c r="GF626">
        <v>0.41513581345513451</v>
      </c>
      <c r="GG626">
        <v>0.34012406257845362</v>
      </c>
      <c r="GH626">
        <v>0.13548016088317727</v>
      </c>
      <c r="GI626">
        <v>0.67003084614630526</v>
      </c>
      <c r="GJ626"/>
      <c r="GK626">
        <v>1.1636549632352942</v>
      </c>
      <c r="GL626">
        <v>1.0988385569852941</v>
      </c>
      <c r="GM626">
        <v>1.7923852982954545</v>
      </c>
      <c r="GN626">
        <v>2.2492775974025974</v>
      </c>
      <c r="GO626">
        <v>0.90081026785714302</v>
      </c>
      <c r="GP626">
        <v>0.32751562500000003</v>
      </c>
      <c r="GQ626">
        <v>0.50047010869565223</v>
      </c>
      <c r="GR626">
        <v>0.47314719202898542</v>
      </c>
      <c r="GS626">
        <v>0.14324619391025639</v>
      </c>
      <c r="GT626">
        <v>0.90011336639875994</v>
      </c>
      <c r="GU626"/>
      <c r="GV626"/>
      <c r="GW626"/>
      <c r="GX626"/>
      <c r="GY626"/>
      <c r="GZ626"/>
      <c r="HA626"/>
      <c r="HB626"/>
      <c r="HC626"/>
    </row>
    <row r="627" spans="1:211" s="7" customForma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81"/>
      <c r="AG627" s="81"/>
      <c r="AH627" s="81"/>
      <c r="AI627" s="4"/>
      <c r="AJ627" s="81"/>
      <c r="AK627" s="81"/>
      <c r="AL627" s="81"/>
      <c r="AM627" s="43">
        <v>611</v>
      </c>
      <c r="AN627">
        <v>40.147337785680968</v>
      </c>
      <c r="AO627">
        <v>0.87168526129655444</v>
      </c>
      <c r="AP627">
        <v>0.26621821830861597</v>
      </c>
      <c r="AQ627">
        <v>6.8931875102235312</v>
      </c>
      <c r="AR627">
        <v>0.80551615755980488</v>
      </c>
      <c r="AS627">
        <v>3.2169773370654062</v>
      </c>
      <c r="AT627">
        <v>0.64596185781590243</v>
      </c>
      <c r="AU627">
        <v>5.456561317269322E-2</v>
      </c>
      <c r="AV627"/>
      <c r="AW627"/>
      <c r="FY627" s="211">
        <v>622</v>
      </c>
      <c r="FZ627">
        <v>1.7155981346463087</v>
      </c>
      <c r="GA627">
        <v>2.5778852298794304</v>
      </c>
      <c r="GB627">
        <v>0.99894818530682572</v>
      </c>
      <c r="GC627">
        <v>0.62490946340368381</v>
      </c>
      <c r="GD627">
        <v>0.21454460429149927</v>
      </c>
      <c r="GE627">
        <v>6.9375995884124991E-2</v>
      </c>
      <c r="GF627">
        <v>0.36024295839505316</v>
      </c>
      <c r="GG627">
        <v>0.27724879729462504</v>
      </c>
      <c r="GH627">
        <v>2.2985735835423678E-2</v>
      </c>
      <c r="GI627">
        <v>0.68842340516756095</v>
      </c>
      <c r="GJ627"/>
      <c r="GK627">
        <v>1.7098630514705879</v>
      </c>
      <c r="GL627">
        <v>2.1714411764705877</v>
      </c>
      <c r="GM627">
        <v>1.6399126420454546</v>
      </c>
      <c r="GN627">
        <v>1.8329385349025973</v>
      </c>
      <c r="GO627">
        <v>0.81571339285714273</v>
      </c>
      <c r="GP627">
        <v>0.130265625</v>
      </c>
      <c r="GQ627">
        <v>0.43509375</v>
      </c>
      <c r="GR627">
        <v>0.38624999999999998</v>
      </c>
      <c r="GS627">
        <v>2.4293870192307693E-2</v>
      </c>
      <c r="GT627">
        <v>0.92497534131309855</v>
      </c>
      <c r="GU627"/>
      <c r="GV627"/>
      <c r="GW627"/>
      <c r="GX627"/>
      <c r="GY627"/>
      <c r="GZ627"/>
      <c r="HA627"/>
      <c r="HB627"/>
      <c r="HC627"/>
    </row>
    <row r="628" spans="1:211" s="7" customForma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81"/>
      <c r="AG628" s="81"/>
      <c r="AH628" s="81"/>
      <c r="AI628" s="4"/>
      <c r="AJ628" s="81"/>
      <c r="AK628" s="81"/>
      <c r="AL628" s="81"/>
      <c r="AM628" s="43">
        <v>612</v>
      </c>
      <c r="AN628">
        <v>20.231670963396503</v>
      </c>
      <c r="AO628">
        <v>0.43078792271112032</v>
      </c>
      <c r="AP628">
        <v>0.60609565923339725</v>
      </c>
      <c r="AQ628">
        <v>3.0023717063416191</v>
      </c>
      <c r="AR628">
        <v>0.397456077027592</v>
      </c>
      <c r="AS628">
        <v>1.7001078696324774</v>
      </c>
      <c r="AT628" t="e">
        <v>#DIV/0!</v>
      </c>
      <c r="AU628" t="e">
        <v>#DIV/0!</v>
      </c>
      <c r="AV628"/>
      <c r="AW628"/>
      <c r="FY628" s="211">
        <v>623</v>
      </c>
      <c r="FZ628">
        <v>1.9935195339901446</v>
      </c>
      <c r="GA628">
        <v>2.3833501830238952</v>
      </c>
      <c r="GB628">
        <v>0.22867704926882573</v>
      </c>
      <c r="GC628">
        <v>0.30858252110995621</v>
      </c>
      <c r="GD628">
        <v>0.24489019251490177</v>
      </c>
      <c r="GE628">
        <v>5.486840673907499E-2</v>
      </c>
      <c r="GF628">
        <v>1.3363904745291129</v>
      </c>
      <c r="GG628">
        <v>1.2593324334375333</v>
      </c>
      <c r="GH628">
        <v>0.1330459067538125</v>
      </c>
      <c r="GI628">
        <v>0.75126104856019971</v>
      </c>
      <c r="GJ628"/>
      <c r="GK628">
        <v>1.9868474264705878</v>
      </c>
      <c r="GL628">
        <v>2.0074489889705882</v>
      </c>
      <c r="GM628">
        <v>0.37489843749999996</v>
      </c>
      <c r="GN628">
        <v>0.90387276785714277</v>
      </c>
      <c r="GO628">
        <v>0.93165401785714286</v>
      </c>
      <c r="GP628">
        <v>0.103171875</v>
      </c>
      <c r="GQ628">
        <v>1.6111304347826085</v>
      </c>
      <c r="GR628">
        <v>1.7518596014492751</v>
      </c>
      <c r="GS628">
        <v>0.14072916666666666</v>
      </c>
      <c r="GT628">
        <v>1.0090518966554012</v>
      </c>
      <c r="GU628"/>
      <c r="GV628"/>
      <c r="GW628"/>
      <c r="GX628"/>
      <c r="GY628"/>
      <c r="GZ628"/>
      <c r="HA628"/>
      <c r="HB628"/>
      <c r="HC628"/>
    </row>
    <row r="629" spans="1:211" s="7" customForma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81"/>
      <c r="AG629" s="81"/>
      <c r="AH629" s="81"/>
      <c r="AI629" s="4"/>
      <c r="AJ629" s="81"/>
      <c r="AK629" s="81"/>
      <c r="AL629" s="81"/>
      <c r="AM629" s="43">
        <v>613</v>
      </c>
      <c r="AN629">
        <v>24.56568287037037</v>
      </c>
      <c r="AO629">
        <v>0.62695091145833337</v>
      </c>
      <c r="AP629">
        <v>1.3119363968917435</v>
      </c>
      <c r="AQ629">
        <v>4.6266874072367479</v>
      </c>
      <c r="AR629">
        <v>0.58082185132575748</v>
      </c>
      <c r="AS629">
        <v>2.0389523307449036</v>
      </c>
      <c r="AT629" t="e">
        <v>#DIV/0!</v>
      </c>
      <c r="AU629" t="e">
        <v>#DIV/0!</v>
      </c>
      <c r="AV629"/>
      <c r="AW629"/>
      <c r="FY629" s="211">
        <v>624</v>
      </c>
      <c r="FZ629">
        <v>1.5303409786366236</v>
      </c>
      <c r="GA629">
        <v>2.1674122107627154</v>
      </c>
      <c r="GB629">
        <v>0.5865831286579688</v>
      </c>
      <c r="GC629">
        <v>0.25159628656796373</v>
      </c>
      <c r="GD629">
        <v>0.10458505612329749</v>
      </c>
      <c r="GE629">
        <v>0.12900836070404997</v>
      </c>
      <c r="GF629">
        <v>0.82805716775636906</v>
      </c>
      <c r="GG629">
        <v>0.71770870692793864</v>
      </c>
      <c r="GH629">
        <v>2.2985735835423678E-2</v>
      </c>
      <c r="GI629">
        <v>0.58193115020499375</v>
      </c>
      <c r="GJ629"/>
      <c r="GK629">
        <v>1.5251568014705881</v>
      </c>
      <c r="GL629">
        <v>1.8256255514705879</v>
      </c>
      <c r="GM629">
        <v>0.96250000000000002</v>
      </c>
      <c r="GN629">
        <v>0.73799687499999989</v>
      </c>
      <c r="GO629">
        <v>0.39818437499999992</v>
      </c>
      <c r="GP629">
        <v>0.24253124999999998</v>
      </c>
      <c r="GQ629">
        <v>0.99869021739130437</v>
      </c>
      <c r="GR629">
        <v>0.99869021739130437</v>
      </c>
      <c r="GS629">
        <v>2.4293870192307693E-2</v>
      </c>
      <c r="GT629">
        <v>0.78176505281083997</v>
      </c>
      <c r="GU629"/>
      <c r="GV629"/>
      <c r="GW629"/>
      <c r="GX629"/>
      <c r="GY629"/>
      <c r="GZ629"/>
      <c r="HA629"/>
      <c r="HB629"/>
      <c r="HC629"/>
    </row>
    <row r="630" spans="1:211" s="7" customForma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81"/>
      <c r="AG630" s="81"/>
      <c r="AH630" s="81"/>
      <c r="AI630" s="4"/>
      <c r="AJ630" s="81"/>
      <c r="AK630" s="81"/>
      <c r="AL630" s="81"/>
      <c r="AM630" s="43">
        <v>614</v>
      </c>
      <c r="AN630">
        <v>52.631314585942143</v>
      </c>
      <c r="AO630">
        <v>1.2620180412582671</v>
      </c>
      <c r="AP630">
        <v>14.480946845707901</v>
      </c>
      <c r="AQ630">
        <v>10.505734776571794</v>
      </c>
      <c r="AR630">
        <v>1.1603641393431801</v>
      </c>
      <c r="AS630">
        <v>4.0388484071412369</v>
      </c>
      <c r="AT630" t="e">
        <v>#DIV/0!</v>
      </c>
      <c r="AU630" t="e">
        <v>#DIV/0!</v>
      </c>
      <c r="AV630"/>
      <c r="AW630"/>
      <c r="FY630" s="211">
        <v>625</v>
      </c>
      <c r="FZ630">
        <v>1.3237884517171306</v>
      </c>
      <c r="GA630">
        <v>1.5238327536286056</v>
      </c>
      <c r="GB630">
        <v>0.28617920098186289</v>
      </c>
      <c r="GC630">
        <v>0.1912610510469375</v>
      </c>
      <c r="GD630">
        <v>0.14488923324556605</v>
      </c>
      <c r="GE630">
        <v>0.1156292833554</v>
      </c>
      <c r="GF630">
        <v>0.82805716775636906</v>
      </c>
      <c r="GG630">
        <v>0.71770870692793864</v>
      </c>
      <c r="GH630">
        <v>4.5971471670847357E-2</v>
      </c>
      <c r="GI630">
        <v>0.5043481936835531</v>
      </c>
      <c r="GJ630"/>
      <c r="GK630">
        <v>1.3192799632352941</v>
      </c>
      <c r="GL630">
        <v>1.283338556985294</v>
      </c>
      <c r="GM630">
        <v>0.46913671875000001</v>
      </c>
      <c r="GN630">
        <v>0.56055803571428564</v>
      </c>
      <c r="GO630">
        <v>0.55151116071428563</v>
      </c>
      <c r="GP630">
        <v>0.21712500000000001</v>
      </c>
      <c r="GQ630">
        <v>0.99869021739130437</v>
      </c>
      <c r="GR630">
        <v>0.99869021739130437</v>
      </c>
      <c r="GS630">
        <v>4.8587740384615385E-2</v>
      </c>
      <c r="GT630">
        <v>0.67744116009509991</v>
      </c>
      <c r="GU630"/>
      <c r="GV630"/>
      <c r="GW630"/>
      <c r="GX630"/>
      <c r="GY630"/>
      <c r="GZ630"/>
      <c r="HA630"/>
      <c r="HB630"/>
      <c r="HC630"/>
    </row>
    <row r="631" spans="1:211" s="7" customForma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81"/>
      <c r="AG631" s="81"/>
      <c r="AH631" s="81"/>
      <c r="AI631" s="4"/>
      <c r="AJ631" s="81"/>
      <c r="AK631" s="81"/>
      <c r="AL631" s="81"/>
      <c r="AM631" s="43">
        <v>615</v>
      </c>
      <c r="AN631">
        <v>33.756290672391216</v>
      </c>
      <c r="AO631">
        <v>0.70683619205635839</v>
      </c>
      <c r="AP631">
        <v>0.98180133199240338</v>
      </c>
      <c r="AQ631">
        <v>4.3900686999532237</v>
      </c>
      <c r="AR631">
        <v>0.65565336734144464</v>
      </c>
      <c r="AS631">
        <v>2.9383506764447098</v>
      </c>
      <c r="AT631">
        <v>0.54470834310746663</v>
      </c>
      <c r="AU631">
        <v>5.4820641967607248E-2</v>
      </c>
      <c r="AV631"/>
      <c r="AW631"/>
      <c r="FY631" s="211">
        <v>626</v>
      </c>
      <c r="FZ631">
        <v>1.2747500985676277</v>
      </c>
      <c r="GA631">
        <v>1.8704489416333145</v>
      </c>
      <c r="GB631">
        <v>1.3121915431943039</v>
      </c>
      <c r="GC631">
        <v>0.66053867592117133</v>
      </c>
      <c r="GD631">
        <v>0.10924974687313926</v>
      </c>
      <c r="GE631">
        <v>0.1406236436361</v>
      </c>
      <c r="GF631">
        <v>0.41513581345513451</v>
      </c>
      <c r="GG631">
        <v>0.4918697878928755</v>
      </c>
      <c r="GH631">
        <v>0.31206328517847237</v>
      </c>
      <c r="GI631">
        <v>0.69537257440564981</v>
      </c>
      <c r="GJ631"/>
      <c r="GK631">
        <v>1.270276838235294</v>
      </c>
      <c r="GL631">
        <v>1.5752690257352939</v>
      </c>
      <c r="GM631">
        <v>2.1547080965909085</v>
      </c>
      <c r="GN631">
        <v>1.9399168019480515</v>
      </c>
      <c r="GO631">
        <v>0.41607589285714275</v>
      </c>
      <c r="GP631">
        <v>0.26418750000000002</v>
      </c>
      <c r="GQ631">
        <v>0.50047010869565223</v>
      </c>
      <c r="GR631">
        <v>0.68424094202898544</v>
      </c>
      <c r="GS631">
        <v>0.3300460737179487</v>
      </c>
      <c r="GT631">
        <v>0.93431540201938934</v>
      </c>
      <c r="GU631"/>
      <c r="GV631"/>
      <c r="GW631"/>
      <c r="GX631"/>
      <c r="GY631"/>
      <c r="GZ631"/>
      <c r="HA631"/>
      <c r="HB631"/>
      <c r="HC631"/>
    </row>
    <row r="632" spans="1:211" s="7" customForma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81"/>
      <c r="AG632" s="81"/>
      <c r="AH632" s="81"/>
      <c r="AI632" s="4"/>
      <c r="AJ632" s="81"/>
      <c r="AK632" s="81"/>
      <c r="AL632" s="81"/>
      <c r="AM632" s="43">
        <v>616</v>
      </c>
      <c r="AN632">
        <v>45.114688160660016</v>
      </c>
      <c r="AO632">
        <v>0.99560900552261045</v>
      </c>
      <c r="AP632">
        <v>10.806506523823598</v>
      </c>
      <c r="AQ632">
        <v>6.4371530857198849</v>
      </c>
      <c r="AR632">
        <v>0.9153468559820932</v>
      </c>
      <c r="AS632">
        <v>3.6839809462631248</v>
      </c>
      <c r="AT632" t="e">
        <v>#DIV/0!</v>
      </c>
      <c r="AU632" t="e">
        <v>#DIV/0!</v>
      </c>
      <c r="AV632"/>
      <c r="AW632"/>
      <c r="FY632" s="211">
        <v>627</v>
      </c>
      <c r="FZ632">
        <v>1.2891813797105551</v>
      </c>
      <c r="GA632">
        <v>1.8337884179125361</v>
      </c>
      <c r="GB632">
        <v>0.2746787706392555</v>
      </c>
      <c r="GC632">
        <v>0.28066407638301255</v>
      </c>
      <c r="GD632">
        <v>0.22115302279093929</v>
      </c>
      <c r="GE632">
        <v>9.0465266252250001E-2</v>
      </c>
      <c r="GF632">
        <v>0.81368341010771561</v>
      </c>
      <c r="GG632">
        <v>0.70541535008225043</v>
      </c>
      <c r="GH632">
        <v>4.5971471670847357E-2</v>
      </c>
      <c r="GI632">
        <v>0.53705830960143608</v>
      </c>
      <c r="GJ632"/>
      <c r="GK632">
        <v>1.284751838235294</v>
      </c>
      <c r="GL632">
        <v>1.544415900735294</v>
      </c>
      <c r="GM632">
        <v>0.4502890625</v>
      </c>
      <c r="GN632">
        <v>0.82176339285714295</v>
      </c>
      <c r="GO632">
        <v>0.84113839285714298</v>
      </c>
      <c r="GP632">
        <v>0.17015625000000001</v>
      </c>
      <c r="GQ632">
        <v>0.98215760869565205</v>
      </c>
      <c r="GR632">
        <v>0.98215760869565205</v>
      </c>
      <c r="GS632">
        <v>4.8587740384615385E-2</v>
      </c>
      <c r="GT632">
        <v>0.72138492853454084</v>
      </c>
      <c r="GU632"/>
      <c r="GV632"/>
      <c r="GW632"/>
      <c r="GX632"/>
      <c r="GY632"/>
      <c r="GZ632"/>
      <c r="HA632"/>
      <c r="HB632"/>
      <c r="HC632"/>
    </row>
    <row r="633" spans="1:211" s="7" customForma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81"/>
      <c r="AG633" s="81"/>
      <c r="AH633" s="81"/>
      <c r="AI633" s="4"/>
      <c r="AJ633" s="81"/>
      <c r="AK633" s="81"/>
      <c r="AL633" s="81"/>
      <c r="AM633" s="43">
        <v>617</v>
      </c>
      <c r="AN633">
        <v>28.517016404991942</v>
      </c>
      <c r="AO633">
        <v>0.59845369995471009</v>
      </c>
      <c r="AP633">
        <v>0.50926173037298406</v>
      </c>
      <c r="AQ633">
        <v>3.9538066203818278</v>
      </c>
      <c r="AR633">
        <v>0.55129313632246368</v>
      </c>
      <c r="AS633">
        <v>2.4735496426137886</v>
      </c>
      <c r="AT633" t="e">
        <v>#DIV/0!</v>
      </c>
      <c r="AU633" t="e">
        <v>#DIV/0!</v>
      </c>
      <c r="AV633"/>
      <c r="AW633"/>
      <c r="FY633" s="211">
        <v>628</v>
      </c>
      <c r="FZ633">
        <v>0.5032155015724753</v>
      </c>
      <c r="GA633">
        <v>0.92059733794227627</v>
      </c>
      <c r="GB633">
        <v>0.9088088330045776</v>
      </c>
      <c r="GC633">
        <v>0.61503300921852633</v>
      </c>
      <c r="GD633">
        <v>0.22688928706747497</v>
      </c>
      <c r="GE633">
        <v>8.377572757792498E-2</v>
      </c>
      <c r="GF633">
        <v>0.49395954912409079</v>
      </c>
      <c r="GG633">
        <v>0.57991227810204737</v>
      </c>
      <c r="GH633">
        <v>0.19956886013071873</v>
      </c>
      <c r="GI633">
        <v>0.5454202503624912</v>
      </c>
      <c r="GJ633"/>
      <c r="GK633">
        <v>0.50140312499999995</v>
      </c>
      <c r="GL633">
        <v>0.77507109375000005</v>
      </c>
      <c r="GM633">
        <v>1.4918462357954545</v>
      </c>
      <c r="GN633">
        <v>1.8043501420454544</v>
      </c>
      <c r="GO633">
        <v>0.86315624999999985</v>
      </c>
      <c r="GP633">
        <v>0.15745312499999997</v>
      </c>
      <c r="GQ633">
        <v>0.59590760869565207</v>
      </c>
      <c r="GR633">
        <v>0.80700135869565215</v>
      </c>
      <c r="GS633">
        <v>0.21109375</v>
      </c>
      <c r="GT633">
        <v>0.73268139389822129</v>
      </c>
      <c r="GU633"/>
      <c r="GV633"/>
      <c r="GW633"/>
      <c r="GX633"/>
      <c r="GY633"/>
      <c r="GZ633"/>
      <c r="HA633"/>
      <c r="HB633"/>
      <c r="HC633"/>
    </row>
    <row r="634" spans="1:211" s="7" customForma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81"/>
      <c r="AG634" s="81"/>
      <c r="AH634" s="81"/>
      <c r="AI634" s="4"/>
      <c r="AJ634" s="81"/>
      <c r="AK634" s="81"/>
      <c r="AL634" s="81"/>
      <c r="AM634" s="43">
        <v>618</v>
      </c>
      <c r="AN634">
        <v>43.242645908930271</v>
      </c>
      <c r="AO634">
        <v>0.98786153545621824</v>
      </c>
      <c r="AP634">
        <v>4.7332944909319377</v>
      </c>
      <c r="AQ634">
        <v>7.1989405736360146</v>
      </c>
      <c r="AR634">
        <v>0.9111309522504083</v>
      </c>
      <c r="AS634">
        <v>3.4103119495121565</v>
      </c>
      <c r="AT634" t="e">
        <v>#DIV/0!</v>
      </c>
      <c r="AU634" t="e">
        <v>#DIV/0!</v>
      </c>
      <c r="AV634"/>
      <c r="AW634"/>
      <c r="FY634" s="211">
        <v>629</v>
      </c>
      <c r="FZ634">
        <v>1.2766047971554324</v>
      </c>
      <c r="GA634">
        <v>1.246597088274322</v>
      </c>
      <c r="GB634">
        <v>0.74954588894731045</v>
      </c>
      <c r="GC634">
        <v>0.89210804338024507</v>
      </c>
      <c r="GD634">
        <v>0.42042841094577849</v>
      </c>
      <c r="GE634">
        <v>8.377572757792498E-2</v>
      </c>
      <c r="GF634">
        <v>0.66819523726455643</v>
      </c>
      <c r="GG634">
        <v>0.62966621671876666</v>
      </c>
      <c r="GH634">
        <v>6.6522953376906252E-2</v>
      </c>
      <c r="GI634">
        <v>0.74115001654659896</v>
      </c>
      <c r="GJ634"/>
      <c r="GK634">
        <v>1.2721987132352939</v>
      </c>
      <c r="GL634">
        <v>1.0498354319852941</v>
      </c>
      <c r="GM634">
        <v>1.2305806107954544</v>
      </c>
      <c r="GN634">
        <v>2.6156113027597403</v>
      </c>
      <c r="GO634">
        <v>1.5990267857142855</v>
      </c>
      <c r="GP634">
        <v>0.15745312499999997</v>
      </c>
      <c r="GQ634">
        <v>0.80556521739130427</v>
      </c>
      <c r="GR634">
        <v>0.87592980072463755</v>
      </c>
      <c r="GS634">
        <v>7.0364583333333328E-2</v>
      </c>
      <c r="GT634">
        <v>0.99554718209393434</v>
      </c>
      <c r="GU634"/>
      <c r="GV634"/>
      <c r="GW634"/>
      <c r="GX634"/>
      <c r="GY634"/>
      <c r="GZ634"/>
      <c r="HA634"/>
      <c r="HB634"/>
      <c r="HC634"/>
    </row>
    <row r="635" spans="1:211" s="7" customForma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81"/>
      <c r="AG635" s="81"/>
      <c r="AH635" s="81"/>
      <c r="AI635" s="4"/>
      <c r="AJ635" s="81"/>
      <c r="AK635" s="81"/>
      <c r="AL635" s="81"/>
      <c r="AM635" s="43">
        <v>619</v>
      </c>
      <c r="AN635">
        <v>42.426523016536599</v>
      </c>
      <c r="AO635">
        <v>1.1061131278741638</v>
      </c>
      <c r="AP635">
        <v>12.921188257351849</v>
      </c>
      <c r="AQ635">
        <v>7.234882984934317</v>
      </c>
      <c r="AR635">
        <v>1.025876718084904</v>
      </c>
      <c r="AS635">
        <v>3.7823201835158109</v>
      </c>
      <c r="AT635" t="e">
        <v>#DIV/0!</v>
      </c>
      <c r="AU635" t="e">
        <v>#DIV/0!</v>
      </c>
      <c r="AV635"/>
      <c r="AW635"/>
      <c r="FY635" s="211">
        <v>630</v>
      </c>
      <c r="FZ635">
        <v>2.1043933878715513</v>
      </c>
      <c r="GA635">
        <v>2.4409249877544941</v>
      </c>
      <c r="GB635">
        <v>0.37212401162958392</v>
      </c>
      <c r="GC635">
        <v>0.34887199310073558</v>
      </c>
      <c r="GD635">
        <v>0.22354647811186174</v>
      </c>
      <c r="GE635">
        <v>4.3360981258274998E-2</v>
      </c>
      <c r="GF635">
        <v>1.3220167168804597</v>
      </c>
      <c r="GG635">
        <v>1.1964571681537048</v>
      </c>
      <c r="GH635">
        <v>8.9508689212329934E-2</v>
      </c>
      <c r="GI635">
        <v>0.78126372164240121</v>
      </c>
      <c r="GJ635"/>
      <c r="GK635">
        <v>2.0973130514705876</v>
      </c>
      <c r="GL635">
        <v>2.0558872702205879</v>
      </c>
      <c r="GM635">
        <v>0.61048828124999988</v>
      </c>
      <c r="GN635">
        <v>1.0222212053571427</v>
      </c>
      <c r="GO635">
        <v>0.85016651785714281</v>
      </c>
      <c r="GP635">
        <v>8.1421875000000005E-2</v>
      </c>
      <c r="GQ635">
        <v>1.5945978260869564</v>
      </c>
      <c r="GR635">
        <v>1.6649624094202897</v>
      </c>
      <c r="GS635">
        <v>9.465845352564102E-2</v>
      </c>
      <c r="GT635">
        <v>1.0494448260380658</v>
      </c>
      <c r="GU635"/>
      <c r="GV635"/>
      <c r="GW635"/>
      <c r="GX635"/>
      <c r="GY635"/>
      <c r="GZ635"/>
      <c r="HA635"/>
      <c r="HB635"/>
      <c r="HC635"/>
    </row>
    <row r="636" spans="1:211" s="7" customForma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81"/>
      <c r="AG636" s="81"/>
      <c r="AH636" s="81"/>
      <c r="AI636" s="4"/>
      <c r="AJ636" s="81"/>
      <c r="AK636" s="81"/>
      <c r="AL636" s="81"/>
      <c r="AM636" s="43">
        <v>620</v>
      </c>
      <c r="AN636">
        <v>49.049724975460272</v>
      </c>
      <c r="AO636">
        <v>1.0977013076653741</v>
      </c>
      <c r="AP636">
        <v>1.7305389959156714</v>
      </c>
      <c r="AQ636">
        <v>9.5774581795487066</v>
      </c>
      <c r="AR636">
        <v>1.0073631315314588</v>
      </c>
      <c r="AS636">
        <v>3.7801697367600737</v>
      </c>
      <c r="AT636" t="e">
        <v>#DIV/0!</v>
      </c>
      <c r="AU636" t="e">
        <v>#DIV/0!</v>
      </c>
      <c r="AV636"/>
      <c r="AW636"/>
      <c r="FY636" s="211">
        <v>631</v>
      </c>
      <c r="FZ636">
        <v>0.98772957890577584</v>
      </c>
      <c r="GA636">
        <v>1.4153113105095048</v>
      </c>
      <c r="GB636">
        <v>0.76005966189432295</v>
      </c>
      <c r="GC636">
        <v>0.56240946942289338</v>
      </c>
      <c r="GD636">
        <v>0.21402840361891179</v>
      </c>
      <c r="GE636">
        <v>9.7262662377824993E-2</v>
      </c>
      <c r="GF636">
        <v>0.41513581345513451</v>
      </c>
      <c r="GG636">
        <v>0.28954215414031298</v>
      </c>
      <c r="GH636">
        <v>2.2985735835423678E-2</v>
      </c>
      <c r="GI636">
        <v>0.53162025179024508</v>
      </c>
      <c r="GJ636"/>
      <c r="GK636">
        <v>0.98435808823529403</v>
      </c>
      <c r="GL636">
        <v>1.1920026194852942</v>
      </c>
      <c r="GM636">
        <v>1.2477368607954544</v>
      </c>
      <c r="GN636">
        <v>1.6494619724025974</v>
      </c>
      <c r="GO636">
        <v>0.81397901785714299</v>
      </c>
      <c r="GP636">
        <v>0.18276562499999999</v>
      </c>
      <c r="GQ636">
        <v>0.50047010869565223</v>
      </c>
      <c r="GR636">
        <v>0.40278260869565213</v>
      </c>
      <c r="GS636">
        <v>2.4293870192307693E-2</v>
      </c>
      <c r="GT636">
        <v>0.7141675891551702</v>
      </c>
      <c r="GU636"/>
      <c r="GV636"/>
      <c r="GW636"/>
      <c r="GX636"/>
      <c r="GY636"/>
      <c r="GZ636"/>
      <c r="HA636"/>
      <c r="HB636"/>
      <c r="HC636"/>
    </row>
    <row r="637" spans="1:211" s="7" customForma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81"/>
      <c r="AG637" s="81"/>
      <c r="AH637" s="81"/>
      <c r="AI637" s="4"/>
      <c r="AJ637" s="81"/>
      <c r="AK637" s="81"/>
      <c r="AL637" s="81"/>
      <c r="AM637" s="43">
        <v>621</v>
      </c>
      <c r="AN637">
        <v>42.216482142141508</v>
      </c>
      <c r="AO637">
        <v>0.95494591698094367</v>
      </c>
      <c r="AP637">
        <v>0.42549265839257594</v>
      </c>
      <c r="AQ637">
        <v>6.3030137990273065</v>
      </c>
      <c r="AR637">
        <v>0.90011336639875983</v>
      </c>
      <c r="AS637">
        <v>3.4501987579794218</v>
      </c>
      <c r="AT637">
        <v>0.69644260110828204</v>
      </c>
      <c r="AU637">
        <v>8.1538777413249774E-2</v>
      </c>
      <c r="AV637"/>
      <c r="AW637"/>
      <c r="FY637" s="211">
        <v>632</v>
      </c>
      <c r="FZ637">
        <v>2.2092113322976252</v>
      </c>
      <c r="GA637">
        <v>2.8550594760538015</v>
      </c>
      <c r="GB637">
        <v>0.1941757582410035</v>
      </c>
      <c r="GC637">
        <v>0.11760085875713752</v>
      </c>
      <c r="GD637">
        <v>0.1591499544727018</v>
      </c>
      <c r="GE637">
        <v>0.17905888063665001</v>
      </c>
      <c r="GF637">
        <v>0</v>
      </c>
      <c r="GG637">
        <v>0</v>
      </c>
      <c r="GH637">
        <v>4.5971471670847357E-2</v>
      </c>
      <c r="GI637">
        <v>0.47258431162985809</v>
      </c>
      <c r="GJ637"/>
      <c r="GK637">
        <v>2.2017523897058817</v>
      </c>
      <c r="GL637">
        <v>2.4048734834558818</v>
      </c>
      <c r="GM637">
        <v>0.31835546874999998</v>
      </c>
      <c r="GN637">
        <v>0.3448883928571429</v>
      </c>
      <c r="GO637">
        <v>0.60615401785714296</v>
      </c>
      <c r="GP637">
        <v>0.33665625000000005</v>
      </c>
      <c r="GQ637">
        <v>0</v>
      </c>
      <c r="GR637">
        <v>0</v>
      </c>
      <c r="GS637">
        <v>4.8587740384615385E-2</v>
      </c>
      <c r="GT637">
        <v>0.63496992333952795</v>
      </c>
      <c r="GU637"/>
      <c r="GV637"/>
      <c r="GW637"/>
      <c r="GX637"/>
      <c r="GY637"/>
      <c r="GZ637"/>
      <c r="HA637"/>
      <c r="HB637"/>
      <c r="HC637"/>
    </row>
    <row r="638" spans="1:211" s="7" customForma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81"/>
      <c r="AG638" s="81"/>
      <c r="AH638" s="81"/>
      <c r="AI638" s="4"/>
      <c r="AJ638" s="81"/>
      <c r="AK638" s="81"/>
      <c r="AL638" s="81"/>
      <c r="AM638" s="43">
        <v>622</v>
      </c>
      <c r="AN638">
        <v>40.825344528837178</v>
      </c>
      <c r="AO638">
        <v>1.0070747384251777</v>
      </c>
      <c r="AP638">
        <v>1.1176873185689371</v>
      </c>
      <c r="AQ638">
        <v>7.5501625101045375</v>
      </c>
      <c r="AR638">
        <v>0.92497534131309844</v>
      </c>
      <c r="AS638">
        <v>3.0503291619718373</v>
      </c>
      <c r="AT638" t="e">
        <v>#DIV/0!</v>
      </c>
      <c r="AU638" t="e">
        <v>#DIV/0!</v>
      </c>
      <c r="AV638"/>
      <c r="AW638"/>
      <c r="FY638" s="211">
        <v>633</v>
      </c>
      <c r="FZ638">
        <v>1.3091653867056723</v>
      </c>
      <c r="GA638">
        <v>1.9342265923009698</v>
      </c>
      <c r="GB638">
        <v>0.51448732847916678</v>
      </c>
      <c r="GC638">
        <v>0.29505308275878939</v>
      </c>
      <c r="GD638">
        <v>0.12592049803041858</v>
      </c>
      <c r="GE638">
        <v>7.6065534558449999E-2</v>
      </c>
      <c r="GF638">
        <v>1.2026738838000754</v>
      </c>
      <c r="GG638">
        <v>1.0578327695063923</v>
      </c>
      <c r="GH638">
        <v>6.6522953376906252E-2</v>
      </c>
      <c r="GI638">
        <v>0.61769911683117429</v>
      </c>
      <c r="GJ638"/>
      <c r="GK638">
        <v>1.3046737132352939</v>
      </c>
      <c r="GL638">
        <v>1.6291541819852937</v>
      </c>
      <c r="GM638">
        <v>0.84397265625000006</v>
      </c>
      <c r="GN638">
        <v>0.86453772321428568</v>
      </c>
      <c r="GO638">
        <v>0.47901428571428573</v>
      </c>
      <c r="GP638">
        <v>0.14296875000000001</v>
      </c>
      <c r="GQ638">
        <v>1.4503165760869565</v>
      </c>
      <c r="GR638">
        <v>1.47183740942029</v>
      </c>
      <c r="GS638">
        <v>7.0364583333333328E-2</v>
      </c>
      <c r="GT638">
        <v>0.82966836292397383</v>
      </c>
      <c r="GU638"/>
      <c r="GV638"/>
      <c r="GW638"/>
      <c r="GX638"/>
      <c r="GY638"/>
      <c r="GZ638"/>
      <c r="HA638"/>
      <c r="HB638"/>
      <c r="HC638"/>
    </row>
    <row r="639" spans="1:211" s="7" customForma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81"/>
      <c r="AG639" s="81"/>
      <c r="AH639" s="81"/>
      <c r="AI639" s="4"/>
      <c r="AJ639" s="81"/>
      <c r="AK639" s="81"/>
      <c r="AL639" s="81"/>
      <c r="AM639" s="43">
        <v>623</v>
      </c>
      <c r="AN639">
        <v>53.712320405215209</v>
      </c>
      <c r="AO639">
        <v>1.0820664613209414</v>
      </c>
      <c r="AP639">
        <v>15.948304923806296</v>
      </c>
      <c r="AQ639">
        <v>8.6939177499274578</v>
      </c>
      <c r="AR639">
        <v>1.0090518966554014</v>
      </c>
      <c r="AS639">
        <v>4.4497261972943862</v>
      </c>
      <c r="AT639" t="e">
        <v>#DIV/0!</v>
      </c>
      <c r="AU639" t="e">
        <v>#DIV/0!</v>
      </c>
      <c r="AV639"/>
      <c r="AW639"/>
      <c r="FY639" s="211">
        <v>634</v>
      </c>
      <c r="FZ639">
        <v>1.8773536703537985</v>
      </c>
      <c r="GA639">
        <v>2.4812789816544871</v>
      </c>
      <c r="GB639">
        <v>1.4003453444683638</v>
      </c>
      <c r="GC639">
        <v>0.67321139846210287</v>
      </c>
      <c r="GD639">
        <v>8.2667308636189263E-2</v>
      </c>
      <c r="GE639">
        <v>0.12129816768457499</v>
      </c>
      <c r="GF639">
        <v>4.0519097411428125E-2</v>
      </c>
      <c r="GG639">
        <v>5.0581908438140623E-2</v>
      </c>
      <c r="GH639">
        <v>6.6522953376906252E-2</v>
      </c>
      <c r="GI639">
        <v>0.68521102076444218</v>
      </c>
      <c r="GJ639"/>
      <c r="GK639">
        <v>1.8709349264705881</v>
      </c>
      <c r="GL639">
        <v>2.089888051470588</v>
      </c>
      <c r="GM639">
        <v>2.2991377840909086</v>
      </c>
      <c r="GN639">
        <v>1.9765574269480517</v>
      </c>
      <c r="GO639">
        <v>0.31463839285714279</v>
      </c>
      <c r="GP639">
        <v>0.22804687499999998</v>
      </c>
      <c r="GQ639">
        <v>4.8843750000000005E-2</v>
      </c>
      <c r="GR639">
        <v>7.0364583333333328E-2</v>
      </c>
      <c r="GS639">
        <v>7.0364583333333328E-2</v>
      </c>
      <c r="GT639">
        <v>0.9207838873503944</v>
      </c>
      <c r="GU639"/>
      <c r="GV639"/>
      <c r="GW639"/>
      <c r="GX639"/>
      <c r="GY639"/>
      <c r="GZ639"/>
      <c r="HA639"/>
      <c r="HB639"/>
      <c r="HC639"/>
    </row>
    <row r="640" spans="1:211" s="7" customForma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81"/>
      <c r="AG640" s="81"/>
      <c r="AH640" s="81"/>
      <c r="AI640" s="4"/>
      <c r="AJ640" s="81"/>
      <c r="AK640" s="81"/>
      <c r="AL640" s="81"/>
      <c r="AM640" s="43">
        <v>624</v>
      </c>
      <c r="AN640">
        <v>37.588114111307831</v>
      </c>
      <c r="AO640">
        <v>0.84954342107269321</v>
      </c>
      <c r="AP640">
        <v>10.098645240870301</v>
      </c>
      <c r="AQ640">
        <v>6.9202087821773439</v>
      </c>
      <c r="AR640">
        <v>0.78176505281084008</v>
      </c>
      <c r="AS640">
        <v>2.9260020499344392</v>
      </c>
      <c r="AT640" t="e">
        <v>#DIV/0!</v>
      </c>
      <c r="AU640" t="e">
        <v>#DIV/0!</v>
      </c>
      <c r="AV640"/>
      <c r="AW640"/>
      <c r="FY640" s="211">
        <v>635</v>
      </c>
      <c r="FZ640">
        <v>1.9826346473130441</v>
      </c>
      <c r="GA640">
        <v>2.6122576235485049</v>
      </c>
      <c r="GB640">
        <v>0.77022853465360763</v>
      </c>
      <c r="GC640">
        <v>0.76941335351610562</v>
      </c>
      <c r="GD640">
        <v>0.39154913360221172</v>
      </c>
      <c r="GE640">
        <v>0.10791909033592499</v>
      </c>
      <c r="GF640">
        <v>0.20038102790324064</v>
      </c>
      <c r="GG640">
        <v>0.18920630708545313</v>
      </c>
      <c r="GH640">
        <v>8.9508689212329934E-2</v>
      </c>
      <c r="GI640">
        <v>0.75416364281906179</v>
      </c>
      <c r="GJ640"/>
      <c r="GK640">
        <v>1.9758599264705883</v>
      </c>
      <c r="GL640">
        <v>2.2002974264705886</v>
      </c>
      <c r="GM640">
        <v>1.2645298295454543</v>
      </c>
      <c r="GN640">
        <v>2.2555557224025971</v>
      </c>
      <c r="GO640">
        <v>1.4887915178571429</v>
      </c>
      <c r="GP640">
        <v>0.20264062499999999</v>
      </c>
      <c r="GQ640">
        <v>0.24196875000000001</v>
      </c>
      <c r="GR640">
        <v>0.26348958333333333</v>
      </c>
      <c r="GS640">
        <v>9.465845352564102E-2</v>
      </c>
      <c r="GT640">
        <v>1.0131616954797655</v>
      </c>
      <c r="GU640"/>
      <c r="GV640"/>
      <c r="GW640"/>
      <c r="GX640"/>
      <c r="GY640"/>
      <c r="GZ640"/>
      <c r="HA640"/>
      <c r="HB640"/>
      <c r="HC640"/>
    </row>
    <row r="641" spans="1:211" s="7" customForma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81"/>
      <c r="AG641" s="81"/>
      <c r="AH641" s="81"/>
      <c r="AI641" s="4"/>
      <c r="AJ641" s="81"/>
      <c r="AK641" s="81"/>
      <c r="AL641" s="81"/>
      <c r="AM641" s="43">
        <v>625</v>
      </c>
      <c r="AN641">
        <v>34.373614160686571</v>
      </c>
      <c r="AO641">
        <v>0.71243587706614842</v>
      </c>
      <c r="AP641">
        <v>10.448792537708439</v>
      </c>
      <c r="AQ641">
        <v>5.6816655140142105</v>
      </c>
      <c r="AR641">
        <v>0.67744116009509969</v>
      </c>
      <c r="AS641">
        <v>2.971172299332459</v>
      </c>
      <c r="AT641" t="e">
        <v>#DIV/0!</v>
      </c>
      <c r="AU641" t="e">
        <v>#DIV/0!</v>
      </c>
      <c r="AV641"/>
      <c r="AW641"/>
      <c r="FY641" s="211">
        <v>636</v>
      </c>
      <c r="FZ641">
        <v>0.53412454631466555</v>
      </c>
      <c r="GA641">
        <v>0.81953162400039736</v>
      </c>
      <c r="GB641">
        <v>1.9644558022350525</v>
      </c>
      <c r="GC641">
        <v>1.2318370166310568</v>
      </c>
      <c r="GD641">
        <v>0.26348058088919679</v>
      </c>
      <c r="GE641">
        <v>0.14544153044257502</v>
      </c>
      <c r="GF641">
        <v>0.74923343208741267</v>
      </c>
      <c r="GG641">
        <v>0.62966621671876666</v>
      </c>
      <c r="GH641">
        <v>6.6522953376906252E-2</v>
      </c>
      <c r="GI641">
        <v>0.85352005415689469</v>
      </c>
      <c r="GJ641"/>
      <c r="GK641">
        <v>0.53240624999999997</v>
      </c>
      <c r="GL641">
        <v>0.69019921875000012</v>
      </c>
      <c r="GM641">
        <v>3.2256871448863635</v>
      </c>
      <c r="GN641">
        <v>3.6156513189935069</v>
      </c>
      <c r="GO641">
        <v>1.002210267857143</v>
      </c>
      <c r="GP641">
        <v>0.27323437500000003</v>
      </c>
      <c r="GQ641">
        <v>0.90325271739130431</v>
      </c>
      <c r="GR641">
        <v>0.87592980072463755</v>
      </c>
      <c r="GS641">
        <v>7.0364583333333328E-2</v>
      </c>
      <c r="GT641">
        <v>1.1467841926936289</v>
      </c>
      <c r="GU641"/>
      <c r="GV641"/>
      <c r="GW641"/>
      <c r="GX641"/>
      <c r="GY641"/>
      <c r="GZ641"/>
      <c r="HA641"/>
      <c r="HB641"/>
      <c r="HC641"/>
    </row>
    <row r="642" spans="1:211" s="7" customForma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81"/>
      <c r="AG642" s="81"/>
      <c r="AH642" s="81"/>
      <c r="AI642" s="4"/>
      <c r="AJ642" s="81"/>
      <c r="AK642" s="81"/>
      <c r="AL642" s="81"/>
      <c r="AM642" s="43">
        <v>626</v>
      </c>
      <c r="AN642">
        <v>39.840427120773981</v>
      </c>
      <c r="AO642">
        <v>1.0069506681828666</v>
      </c>
      <c r="AP642">
        <v>1.1099514314554819</v>
      </c>
      <c r="AQ642">
        <v>7.2822441107577891</v>
      </c>
      <c r="AR642">
        <v>0.93431540201938934</v>
      </c>
      <c r="AS642">
        <v>3.2750480350722966</v>
      </c>
      <c r="AT642">
        <v>0.64855670707719304</v>
      </c>
      <c r="AU642">
        <v>2.5633900653930869E-2</v>
      </c>
      <c r="AV642"/>
      <c r="AW642"/>
      <c r="FY642" s="211">
        <v>637</v>
      </c>
      <c r="FZ642">
        <v>0.43416436026910776</v>
      </c>
      <c r="GA642">
        <v>0.8243300081566336</v>
      </c>
      <c r="GB642">
        <v>0.56542233682757104</v>
      </c>
      <c r="GC642">
        <v>0.62682661914521998</v>
      </c>
      <c r="GD642">
        <v>0.39341245155286175</v>
      </c>
      <c r="GE642">
        <v>0.11460862901025</v>
      </c>
      <c r="GF642">
        <v>0.86857626516779707</v>
      </c>
      <c r="GG642">
        <v>0.76829061536607923</v>
      </c>
      <c r="GH642">
        <v>6.6522953376906252E-2</v>
      </c>
      <c r="GI642">
        <v>0.59187773987276759</v>
      </c>
      <c r="GJ642"/>
      <c r="GK642">
        <v>0.43270312499999997</v>
      </c>
      <c r="GL642">
        <v>0.69419531249999999</v>
      </c>
      <c r="GM642">
        <v>0.92782031249999997</v>
      </c>
      <c r="GN642">
        <v>1.8365571428571428</v>
      </c>
      <c r="GO642">
        <v>1.4961040178571428</v>
      </c>
      <c r="GP642">
        <v>0.21534375</v>
      </c>
      <c r="GQ642">
        <v>1.0475339673913044</v>
      </c>
      <c r="GR642">
        <v>1.0690548007246377</v>
      </c>
      <c r="GS642">
        <v>7.0364583333333328E-2</v>
      </c>
      <c r="GT642">
        <v>0.79490520121635622</v>
      </c>
      <c r="GU642"/>
      <c r="GV642"/>
      <c r="GW642"/>
      <c r="GX642"/>
      <c r="GY642"/>
      <c r="GZ642"/>
      <c r="HA642"/>
      <c r="HB642"/>
      <c r="HC642"/>
    </row>
    <row r="643" spans="1:211" s="7" customForma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81"/>
      <c r="AG643" s="81"/>
      <c r="AH643" s="81"/>
      <c r="AI643" s="4"/>
      <c r="AJ643" s="81"/>
      <c r="AK643" s="81"/>
      <c r="AL643" s="81"/>
      <c r="AM643" s="43">
        <v>627</v>
      </c>
      <c r="AN643">
        <v>38.011028972625837</v>
      </c>
      <c r="AO643">
        <v>0.7846802723495333</v>
      </c>
      <c r="AP643">
        <v>10.539033148284961</v>
      </c>
      <c r="AQ643">
        <v>6.0920594751507977</v>
      </c>
      <c r="AR643">
        <v>0.72138492853454084</v>
      </c>
      <c r="AS643">
        <v>2.9583624609916046</v>
      </c>
      <c r="AT643" t="e">
        <v>#DIV/0!</v>
      </c>
      <c r="AU643" t="e">
        <v>#DIV/0!</v>
      </c>
      <c r="AV643"/>
      <c r="AW643"/>
      <c r="FY643" s="211">
        <v>638</v>
      </c>
      <c r="FZ643">
        <v>0.23799353642357343</v>
      </c>
      <c r="GA643">
        <v>0.35685908325501559</v>
      </c>
      <c r="GB643">
        <v>1.1649615623349325</v>
      </c>
      <c r="GC643">
        <v>0.62796452340373654</v>
      </c>
      <c r="GD643">
        <v>6.5140793768294986E-2</v>
      </c>
      <c r="GE643">
        <v>0.1020805491843</v>
      </c>
      <c r="GF643">
        <v>0.57499774394694703</v>
      </c>
      <c r="GG643">
        <v>0.52933036966390667</v>
      </c>
      <c r="GH643">
        <v>0.17901737842465987</v>
      </c>
      <c r="GI643">
        <v>0.48836956306536206</v>
      </c>
      <c r="GJ643"/>
      <c r="GK643">
        <v>0.23723437499999997</v>
      </c>
      <c r="GL643">
        <v>0.30046875000000001</v>
      </c>
      <c r="GM643">
        <v>1.9129502840909087</v>
      </c>
      <c r="GN643">
        <v>1.8441471590909086</v>
      </c>
      <c r="GO643">
        <v>0.24793124999999999</v>
      </c>
      <c r="GP643">
        <v>0.1918125</v>
      </c>
      <c r="GQ643">
        <v>0.69359510869565222</v>
      </c>
      <c r="GR643">
        <v>0.73663677536231864</v>
      </c>
      <c r="GS643">
        <v>0.18931690705128204</v>
      </c>
      <c r="GT643">
        <v>0.65620558496756853</v>
      </c>
      <c r="GU643"/>
      <c r="GV643"/>
      <c r="GW643"/>
      <c r="GX643"/>
      <c r="GY643"/>
      <c r="GZ643"/>
      <c r="HA643"/>
      <c r="HB643"/>
      <c r="HC643"/>
    </row>
    <row r="644" spans="1:211" s="7" customForma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81"/>
      <c r="AG644" s="81"/>
      <c r="AH644" s="81"/>
      <c r="AI644" s="4"/>
      <c r="AJ644" s="81"/>
      <c r="AK644" s="81"/>
      <c r="AL644" s="81"/>
      <c r="AM644" s="43">
        <v>628</v>
      </c>
      <c r="AN644">
        <v>35.158220108695652</v>
      </c>
      <c r="AO644">
        <v>0.79399640828804341</v>
      </c>
      <c r="AP644">
        <v>6.7938780583615213</v>
      </c>
      <c r="AQ644">
        <v>5.0771806341026036</v>
      </c>
      <c r="AR644">
        <v>0.73268139389822129</v>
      </c>
      <c r="AS644">
        <v>3.0383706345314558</v>
      </c>
      <c r="AT644" t="e">
        <v>#DIV/0!</v>
      </c>
      <c r="AU644" t="e">
        <v>#DIV/0!</v>
      </c>
      <c r="AV644"/>
      <c r="AW644"/>
      <c r="FY644" s="211">
        <v>639</v>
      </c>
      <c r="FZ644">
        <v>1.4110090524977823</v>
      </c>
      <c r="GA644">
        <v>1.7774764488743138</v>
      </c>
      <c r="GB644">
        <v>1.3361790612751137</v>
      </c>
      <c r="GC644">
        <v>1.3032183204228709</v>
      </c>
      <c r="GD644">
        <v>0.55906403429097007</v>
      </c>
      <c r="GE644">
        <v>0.15796961026852502</v>
      </c>
      <c r="GF644">
        <v>0.6799668193786782</v>
      </c>
      <c r="GG644">
        <v>0.55449759458925008</v>
      </c>
      <c r="GH644">
        <v>0</v>
      </c>
      <c r="GI644">
        <v>0.97471668856433302</v>
      </c>
      <c r="GJ644"/>
      <c r="GK644">
        <v>1.4060737132352941</v>
      </c>
      <c r="GL644">
        <v>1.4969760569852939</v>
      </c>
      <c r="GM644">
        <v>2.1940948153409088</v>
      </c>
      <c r="GN644">
        <v>3.8219205965909087</v>
      </c>
      <c r="GO644">
        <v>2.1260250000000003</v>
      </c>
      <c r="GP644">
        <v>0.29676562500000009</v>
      </c>
      <c r="GQ644">
        <v>0.82134375000000004</v>
      </c>
      <c r="GR644">
        <v>0.77249999999999996</v>
      </c>
      <c r="GS644">
        <v>0</v>
      </c>
      <c r="GT644">
        <v>1.3095074557152406</v>
      </c>
      <c r="GU644"/>
      <c r="GV644"/>
      <c r="GW644"/>
      <c r="GX644"/>
      <c r="GY644"/>
      <c r="GZ644"/>
      <c r="HA644"/>
      <c r="HB644"/>
      <c r="HC644"/>
    </row>
    <row r="645" spans="1:211" s="7" customForma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81"/>
      <c r="AG645" s="81"/>
      <c r="AH645" s="81"/>
      <c r="AI645" s="4"/>
      <c r="AJ645" s="81"/>
      <c r="AK645" s="81"/>
      <c r="AL645" s="81"/>
      <c r="AM645" s="43">
        <v>629</v>
      </c>
      <c r="AN645">
        <v>49.677291154988559</v>
      </c>
      <c r="AO645">
        <v>1.0672112753033278</v>
      </c>
      <c r="AP645">
        <v>8.8805736496893637</v>
      </c>
      <c r="AQ645">
        <v>6.7745943801878417</v>
      </c>
      <c r="AR645">
        <v>0.99554718209393445</v>
      </c>
      <c r="AS645">
        <v>4.2763095373553179</v>
      </c>
      <c r="AT645" t="e">
        <v>#DIV/0!</v>
      </c>
      <c r="AU645" t="e">
        <v>#DIV/0!</v>
      </c>
      <c r="AV645"/>
      <c r="AW645"/>
      <c r="FY645" s="211">
        <v>640</v>
      </c>
      <c r="FZ645">
        <v>1.6193473457763605</v>
      </c>
      <c r="GA645">
        <v>2.1120069850039687</v>
      </c>
      <c r="GB645">
        <v>1.2972529945408109</v>
      </c>
      <c r="GC645">
        <v>1.0269248712006216</v>
      </c>
      <c r="GD645">
        <v>0.35015850558607498</v>
      </c>
      <c r="GE645">
        <v>4.5232633126125001E-2</v>
      </c>
      <c r="GF645">
        <v>1.1477810287399939</v>
      </c>
      <c r="GG645">
        <v>0.99495750422256357</v>
      </c>
      <c r="GH645">
        <v>2.2985735835423678E-2</v>
      </c>
      <c r="GI645">
        <v>0.96537178531735657</v>
      </c>
      <c r="GJ645"/>
      <c r="GK645">
        <v>1.6140036764705881</v>
      </c>
      <c r="GL645">
        <v>1.7791091452205881</v>
      </c>
      <c r="GM645">
        <v>2.1300557528409088</v>
      </c>
      <c r="GN645">
        <v>3.0123721590909085</v>
      </c>
      <c r="GO645">
        <v>1.3317187500000001</v>
      </c>
      <c r="GP645">
        <v>8.5078125000000004E-2</v>
      </c>
      <c r="GQ645">
        <v>1.3849402173913044</v>
      </c>
      <c r="GR645">
        <v>1.3849402173913044</v>
      </c>
      <c r="GS645">
        <v>2.4293870192307693E-2</v>
      </c>
      <c r="GT645">
        <v>1.2970024533790219</v>
      </c>
      <c r="GU645"/>
      <c r="GV645"/>
      <c r="GW645"/>
      <c r="GX645"/>
      <c r="GY645"/>
      <c r="GZ645"/>
      <c r="HA645"/>
      <c r="HB645"/>
      <c r="HC645"/>
    </row>
    <row r="646" spans="1:211" s="7" customForma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81"/>
      <c r="AG646" s="81"/>
      <c r="AH646" s="81"/>
      <c r="AI646" s="4"/>
      <c r="AJ646" s="81"/>
      <c r="AK646" s="81"/>
      <c r="AL646" s="81"/>
      <c r="AM646" s="43">
        <v>630</v>
      </c>
      <c r="AN646">
        <v>52.409264114183387</v>
      </c>
      <c r="AO646">
        <v>1.1121161716226413</v>
      </c>
      <c r="AP646">
        <v>15.88339408618673</v>
      </c>
      <c r="AQ646">
        <v>8.9224681356153983</v>
      </c>
      <c r="AR646">
        <v>1.0494448260380658</v>
      </c>
      <c r="AS646">
        <v>4.3748512362829155</v>
      </c>
      <c r="AT646" t="e">
        <v>#DIV/0!</v>
      </c>
      <c r="AU646" t="e">
        <v>#DIV/0!</v>
      </c>
      <c r="AV646"/>
      <c r="AW646"/>
      <c r="FY646" s="211">
        <v>641</v>
      </c>
      <c r="FZ646">
        <v>1.6266319185765437</v>
      </c>
      <c r="GA646">
        <v>2.1501913999321096</v>
      </c>
      <c r="GB646">
        <v>0.44898948770259361</v>
      </c>
      <c r="GC646">
        <v>0.19989442268315621</v>
      </c>
      <c r="GD646">
        <v>8.6978888029012491E-2</v>
      </c>
      <c r="GE646">
        <v>0.15984126213637501</v>
      </c>
      <c r="GF646">
        <v>0.69434057702733132</v>
      </c>
      <c r="GG646">
        <v>0.61737285987307855</v>
      </c>
      <c r="GH646">
        <v>0.11249442504775362</v>
      </c>
      <c r="GI646">
        <v>0.54276618969721979</v>
      </c>
      <c r="GJ646"/>
      <c r="GK646">
        <v>1.6211099264705882</v>
      </c>
      <c r="GL646">
        <v>1.8111880514705883</v>
      </c>
      <c r="GM646">
        <v>0.73687499999999995</v>
      </c>
      <c r="GN646">
        <v>0.58664062499999992</v>
      </c>
      <c r="GO646">
        <v>0.33126562499999995</v>
      </c>
      <c r="GP646">
        <v>0.300421875</v>
      </c>
      <c r="GQ646">
        <v>0.83787635869565202</v>
      </c>
      <c r="GR646">
        <v>0.85939719202898535</v>
      </c>
      <c r="GS646">
        <v>0.11895232371794871</v>
      </c>
      <c r="GT646">
        <v>0.72921584677683771</v>
      </c>
      <c r="GU646"/>
      <c r="GV646"/>
      <c r="GW646"/>
      <c r="GX646"/>
      <c r="GY646"/>
      <c r="GZ646"/>
      <c r="HA646"/>
      <c r="HB646"/>
      <c r="HC646"/>
    </row>
    <row r="647" spans="1:211" s="7" customForma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81"/>
      <c r="AG647" s="81"/>
      <c r="AH647" s="81"/>
      <c r="AI647" s="4"/>
      <c r="AJ647" s="81"/>
      <c r="AK647" s="81"/>
      <c r="AL647" s="81"/>
      <c r="AM647" s="43">
        <v>631</v>
      </c>
      <c r="AN647">
        <v>34.144001729036091</v>
      </c>
      <c r="AO647">
        <v>0.77120183605145665</v>
      </c>
      <c r="AP647">
        <v>1.057396875538676</v>
      </c>
      <c r="AQ647">
        <v>5.2960850419503505</v>
      </c>
      <c r="AR647">
        <v>0.7141675891551702</v>
      </c>
      <c r="AS647">
        <v>2.8957984327233541</v>
      </c>
      <c r="AT647" t="e">
        <v>#DIV/0!</v>
      </c>
      <c r="AU647" t="e">
        <v>#DIV/0!</v>
      </c>
      <c r="AV647"/>
      <c r="AW647"/>
      <c r="FY647" s="211">
        <v>642</v>
      </c>
      <c r="FZ647">
        <v>1.2656509782496117</v>
      </c>
      <c r="GA647">
        <v>1.5662875376816567</v>
      </c>
      <c r="GB647">
        <v>1.8410800935201186</v>
      </c>
      <c r="GC647">
        <v>1.5609817140102087</v>
      </c>
      <c r="GD647">
        <v>0.50005121586212242</v>
      </c>
      <c r="GE647">
        <v>3.0832901432324998E-2</v>
      </c>
      <c r="GF647">
        <v>1.0428119533082629</v>
      </c>
      <c r="GG647">
        <v>0.91920837085907969</v>
      </c>
      <c r="GH647">
        <v>0.11249442504775362</v>
      </c>
      <c r="GI647">
        <v>1.1258334166573603</v>
      </c>
      <c r="GJ647"/>
      <c r="GK647">
        <v>1.2613424632352941</v>
      </c>
      <c r="GL647">
        <v>1.3190924632352941</v>
      </c>
      <c r="GM647">
        <v>3.0229488636363633</v>
      </c>
      <c r="GN647">
        <v>4.578898863636363</v>
      </c>
      <c r="GO647">
        <v>1.9016531249999999</v>
      </c>
      <c r="GP647">
        <v>5.7890625000000001E-2</v>
      </c>
      <c r="GQ647">
        <v>1.2571915760869565</v>
      </c>
      <c r="GR647">
        <v>1.2787124094202897</v>
      </c>
      <c r="GS647">
        <v>0.11895232371794871</v>
      </c>
      <c r="GT647">
        <v>1.5124176703353125</v>
      </c>
      <c r="GU647"/>
      <c r="GV647"/>
      <c r="GW647"/>
      <c r="GX647"/>
      <c r="GY647"/>
      <c r="GZ647"/>
      <c r="HA647"/>
      <c r="HB647"/>
      <c r="HC647"/>
    </row>
    <row r="648" spans="1:211" s="7" customForma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81"/>
      <c r="AG648" s="81"/>
      <c r="AH648" s="81"/>
      <c r="AI648" s="4"/>
      <c r="AJ648" s="81"/>
      <c r="AK648" s="81"/>
      <c r="AL648" s="81"/>
      <c r="AM648" s="43">
        <v>632</v>
      </c>
      <c r="AN648">
        <v>28.864226347590311</v>
      </c>
      <c r="AO648">
        <v>0.68962376663501934</v>
      </c>
      <c r="AP648">
        <v>0.57456851954926857</v>
      </c>
      <c r="AQ648">
        <v>6.2328120437596262</v>
      </c>
      <c r="AR648">
        <v>0.63496992333952795</v>
      </c>
      <c r="AS648">
        <v>2.0033834328771283</v>
      </c>
      <c r="AT648" t="e">
        <v>#DIV/0!</v>
      </c>
      <c r="AU648" t="e">
        <v>#DIV/0!</v>
      </c>
      <c r="AV648"/>
      <c r="AW648"/>
      <c r="FY648" s="211">
        <v>643</v>
      </c>
      <c r="FZ648">
        <v>1.628446466094376</v>
      </c>
      <c r="GA648">
        <v>2.081955161894208</v>
      </c>
      <c r="GB648">
        <v>0.82157506615792597</v>
      </c>
      <c r="GC648">
        <v>0.83010323958614141</v>
      </c>
      <c r="GD648">
        <v>0.39727221775361998</v>
      </c>
      <c r="GE648">
        <v>0.11942651581672496</v>
      </c>
      <c r="GF648">
        <v>4.0519097411428125E-2</v>
      </c>
      <c r="GG648">
        <v>5.0581908438140623E-2</v>
      </c>
      <c r="GH648">
        <v>6.6522953376906252E-2</v>
      </c>
      <c r="GI648">
        <v>0.6850796431301921</v>
      </c>
      <c r="GJ648"/>
      <c r="GK648">
        <v>1.6229380514705878</v>
      </c>
      <c r="GL648">
        <v>1.7536841452205878</v>
      </c>
      <c r="GM648">
        <v>1.3489243607954544</v>
      </c>
      <c r="GN648">
        <v>2.4339376420454544</v>
      </c>
      <c r="GO648">
        <v>1.5108375000000001</v>
      </c>
      <c r="GP648">
        <v>0.22439062499999993</v>
      </c>
      <c r="GQ648">
        <v>4.8843750000000005E-2</v>
      </c>
      <c r="GR648">
        <v>7.0364583333333328E-2</v>
      </c>
      <c r="GS648">
        <v>7.0364583333333328E-2</v>
      </c>
      <c r="GT648">
        <v>0.92038164911987508</v>
      </c>
      <c r="GU648"/>
      <c r="GV648"/>
      <c r="GW648"/>
      <c r="GX648"/>
      <c r="GY648"/>
      <c r="GZ648"/>
      <c r="HA648"/>
      <c r="HB648"/>
      <c r="HC648"/>
    </row>
    <row r="649" spans="1:211" s="7" customForma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81"/>
      <c r="AG649" s="81"/>
      <c r="AH649" s="81"/>
      <c r="AI649" s="4"/>
      <c r="AJ649" s="81"/>
      <c r="AK649" s="81"/>
      <c r="AL649" s="81"/>
      <c r="AM649" s="43">
        <v>633</v>
      </c>
      <c r="AN649">
        <v>44.171795985906442</v>
      </c>
      <c r="AO649">
        <v>0.90865082421637111</v>
      </c>
      <c r="AP649">
        <v>0.4296001629708327</v>
      </c>
      <c r="AQ649">
        <v>7.1996471463480143</v>
      </c>
      <c r="AR649">
        <v>0.82966836292397406</v>
      </c>
      <c r="AS649">
        <v>3.5838906043434138</v>
      </c>
      <c r="AT649" t="e">
        <v>#DIV/0!</v>
      </c>
      <c r="AU649" t="e">
        <v>#DIV/0!</v>
      </c>
      <c r="AV649"/>
      <c r="AW649"/>
      <c r="FY649" s="211">
        <v>644</v>
      </c>
      <c r="FZ649">
        <v>2.24917934628786</v>
      </c>
      <c r="GA649">
        <v>3.4789407475960852</v>
      </c>
      <c r="GB649">
        <v>1.0046922823596303</v>
      </c>
      <c r="GC649">
        <v>0.61783794752334953</v>
      </c>
      <c r="GD649">
        <v>0.28142970650560284</v>
      </c>
      <c r="GE649">
        <v>0.14731318231042501</v>
      </c>
      <c r="GF649">
        <v>0.24090012531466881</v>
      </c>
      <c r="GG649">
        <v>0.18920630708545313</v>
      </c>
      <c r="GH649">
        <v>0.11249442504775362</v>
      </c>
      <c r="GI649">
        <v>0.79952570532522427</v>
      </c>
      <c r="GJ649"/>
      <c r="GK649">
        <v>2.2415961397058823</v>
      </c>
      <c r="GL649">
        <v>2.9304008272058821</v>
      </c>
      <c r="GM649">
        <v>1.6492095170454544</v>
      </c>
      <c r="GN649">
        <v>1.8118168831168828</v>
      </c>
      <c r="GO649">
        <v>1.0704589285714283</v>
      </c>
      <c r="GP649">
        <v>0.276890625</v>
      </c>
      <c r="GQ649">
        <v>0.29081250000000003</v>
      </c>
      <c r="GR649">
        <v>0.26348958333333333</v>
      </c>
      <c r="GS649">
        <v>0.11895232371794871</v>
      </c>
      <c r="GT649">
        <v>1.0742058818081428</v>
      </c>
      <c r="GU649"/>
      <c r="GV649"/>
      <c r="GW649"/>
      <c r="GX649"/>
      <c r="GY649"/>
      <c r="GZ649"/>
      <c r="HA649"/>
      <c r="HB649"/>
      <c r="HC649"/>
    </row>
    <row r="650" spans="1:211" s="7" customForma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81"/>
      <c r="AG650" s="81"/>
      <c r="AH650" s="81"/>
      <c r="AI650" s="4"/>
      <c r="AJ650" s="81"/>
      <c r="AK650" s="81"/>
      <c r="AL650" s="81"/>
      <c r="AM650" s="43">
        <v>634</v>
      </c>
      <c r="AN650">
        <v>36.195527933395581</v>
      </c>
      <c r="AO650">
        <v>0.98895602608543398</v>
      </c>
      <c r="AP650">
        <v>1.5995154543362735</v>
      </c>
      <c r="AQ650">
        <v>7.478989851250434</v>
      </c>
      <c r="AR650">
        <v>0.92078388735039451</v>
      </c>
      <c r="AS650">
        <v>3.4259016644762821</v>
      </c>
      <c r="AT650" t="e">
        <v>#DIV/0!</v>
      </c>
      <c r="AU650" t="e">
        <v>#DIV/0!</v>
      </c>
      <c r="AV650"/>
      <c r="AW650"/>
      <c r="FY650" s="211">
        <v>645</v>
      </c>
      <c r="FZ650">
        <v>0.37058324424809064</v>
      </c>
      <c r="GA650">
        <v>1.1778544445761592</v>
      </c>
      <c r="GB650">
        <v>1.7175278896527792</v>
      </c>
      <c r="GC650">
        <v>1.2484280179408589</v>
      </c>
      <c r="GD650">
        <v>0.40422396196904459</v>
      </c>
      <c r="GE650">
        <v>3.8543094451799993E-2</v>
      </c>
      <c r="GF650">
        <v>1.1621547863886474</v>
      </c>
      <c r="GG650">
        <v>1.0072508610682518</v>
      </c>
      <c r="GH650">
        <v>4.5971471670847357E-2</v>
      </c>
      <c r="GI650">
        <v>0.9195553236040902</v>
      </c>
      <c r="GJ650"/>
      <c r="GK650">
        <v>0.36928125000000001</v>
      </c>
      <c r="GL650">
        <v>0.99215624999999996</v>
      </c>
      <c r="GM650">
        <v>2.8201690340909087</v>
      </c>
      <c r="GN650">
        <v>3.6617694805194798</v>
      </c>
      <c r="GO650">
        <v>1.5368504464285713</v>
      </c>
      <c r="GP650">
        <v>7.2374999999999995E-2</v>
      </c>
      <c r="GQ650">
        <v>1.4014728260869567</v>
      </c>
      <c r="GR650">
        <v>1.4014728260869567</v>
      </c>
      <c r="GS650">
        <v>4.8587740384615385E-2</v>
      </c>
      <c r="GT650">
        <v>1.2352722593982102</v>
      </c>
      <c r="GU650"/>
      <c r="GV650"/>
      <c r="GW650"/>
      <c r="GX650"/>
      <c r="GY650"/>
      <c r="GZ650"/>
      <c r="HA650"/>
      <c r="HB650"/>
      <c r="HC650"/>
    </row>
    <row r="651" spans="1:211" s="7" customForma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81"/>
      <c r="AG651" s="81"/>
      <c r="AH651" s="81"/>
      <c r="AI651" s="4"/>
      <c r="AJ651" s="81"/>
      <c r="AK651" s="81"/>
      <c r="AL651" s="81"/>
      <c r="AM651" s="43">
        <v>635</v>
      </c>
      <c r="AN651">
        <v>48.911339899207547</v>
      </c>
      <c r="AO651">
        <v>1.1000953530085114</v>
      </c>
      <c r="AP651">
        <v>0.68674117513967592</v>
      </c>
      <c r="AQ651">
        <v>7.8672620499894856</v>
      </c>
      <c r="AR651">
        <v>1.0131616954797655</v>
      </c>
      <c r="AS651">
        <v>3.5859153366442356</v>
      </c>
      <c r="AT651">
        <v>0.78475577563572019</v>
      </c>
      <c r="AU651">
        <v>5.0686536436455418E-2</v>
      </c>
      <c r="AV651"/>
      <c r="AW651"/>
      <c r="FY651" s="211">
        <v>646</v>
      </c>
      <c r="FZ651">
        <v>1.7942114288008635</v>
      </c>
      <c r="GA651">
        <v>2.328195473037086</v>
      </c>
      <c r="GB651">
        <v>1.6109244548825552</v>
      </c>
      <c r="GC651">
        <v>1.074123779199599</v>
      </c>
      <c r="GD651">
        <v>0.28055661161320927</v>
      </c>
      <c r="GE651">
        <v>0.15213106911690003</v>
      </c>
      <c r="GF651">
        <v>0.74923343208741267</v>
      </c>
      <c r="GG651">
        <v>0.62966621671876666</v>
      </c>
      <c r="GH651">
        <v>6.6522953376906252E-2</v>
      </c>
      <c r="GI651">
        <v>0.96371418589724844</v>
      </c>
      <c r="GJ651"/>
      <c r="GK651">
        <v>1.7879830882352941</v>
      </c>
      <c r="GL651">
        <v>1.9606471507352943</v>
      </c>
      <c r="GM651">
        <v>2.6445674715909089</v>
      </c>
      <c r="GN651">
        <v>3.1518480519480518</v>
      </c>
      <c r="GO651">
        <v>1.0674133928571428</v>
      </c>
      <c r="GP651">
        <v>0.28593750000000001</v>
      </c>
      <c r="GQ651">
        <v>0.90325271739130431</v>
      </c>
      <c r="GR651">
        <v>0.87592980072463755</v>
      </c>
      <c r="GS651">
        <v>7.0364583333333328E-2</v>
      </c>
      <c r="GT651">
        <v>1.2947162506815966</v>
      </c>
      <c r="GU651"/>
      <c r="GV651"/>
      <c r="GW651"/>
      <c r="GX651"/>
      <c r="GY651"/>
      <c r="GZ651"/>
      <c r="HA651"/>
      <c r="HB651"/>
      <c r="HC651"/>
    </row>
    <row r="652" spans="1:211" s="7" customForma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81"/>
      <c r="AG652" s="81"/>
      <c r="AH652" s="81"/>
      <c r="AI652" s="4"/>
      <c r="AJ652" s="81"/>
      <c r="AK652" s="81"/>
      <c r="AL652" s="81"/>
      <c r="AM652" s="43">
        <v>636</v>
      </c>
      <c r="AN652">
        <v>48.062182611571203</v>
      </c>
      <c r="AO652">
        <v>1.2335719869629915</v>
      </c>
      <c r="AP652">
        <v>1.7155272823793617</v>
      </c>
      <c r="AQ652">
        <v>7.257813756852924</v>
      </c>
      <c r="AR652">
        <v>1.1467841926936286</v>
      </c>
      <c r="AS652">
        <v>4.1007527315471259</v>
      </c>
      <c r="AT652" t="e">
        <v>#DIV/0!</v>
      </c>
      <c r="AU652" t="e">
        <v>#DIV/0!</v>
      </c>
      <c r="AV652"/>
      <c r="AW652"/>
      <c r="FY652" s="211">
        <v>647</v>
      </c>
      <c r="FZ652">
        <v>1.4109689014278106</v>
      </c>
      <c r="GA652">
        <v>1.6178309799202779</v>
      </c>
      <c r="GB652">
        <v>2.2080826257806246E-2</v>
      </c>
      <c r="GC652">
        <v>0.30376648395279005</v>
      </c>
      <c r="GD652">
        <v>0.25626255589002533</v>
      </c>
      <c r="GE652">
        <v>7.1247647751975007E-2</v>
      </c>
      <c r="GF652">
        <v>1.0284381956596096</v>
      </c>
      <c r="GG652">
        <v>0.95749692245153217</v>
      </c>
      <c r="GH652">
        <v>0.1330459067538125</v>
      </c>
      <c r="GI652">
        <v>0.56557795810381051</v>
      </c>
      <c r="GJ652"/>
      <c r="GK652">
        <v>1.4059799632352941</v>
      </c>
      <c r="GL652">
        <v>1.362479963235294</v>
      </c>
      <c r="GM652">
        <v>3.6187499999999997E-2</v>
      </c>
      <c r="GN652">
        <v>0.88940892857142861</v>
      </c>
      <c r="GO652">
        <v>0.97448705357142851</v>
      </c>
      <c r="GP652">
        <v>0.133921875</v>
      </c>
      <c r="GQ652">
        <v>1.2406589673913042</v>
      </c>
      <c r="GR652">
        <v>1.3325443840579707</v>
      </c>
      <c r="GS652">
        <v>0.14072916666666666</v>
      </c>
      <c r="GT652">
        <v>0.75960853017293872</v>
      </c>
      <c r="GU652"/>
      <c r="GV652"/>
      <c r="GW652"/>
      <c r="GX652"/>
      <c r="GY652"/>
      <c r="GZ652"/>
      <c r="HA652"/>
      <c r="HB652"/>
      <c r="HC652"/>
    </row>
    <row r="653" spans="1:211" s="7" customForma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81"/>
      <c r="AG653" s="81"/>
      <c r="AH653" s="81"/>
      <c r="AI653" s="4"/>
      <c r="AJ653" s="81"/>
      <c r="AK653" s="81"/>
      <c r="AL653" s="81"/>
      <c r="AM653" s="43">
        <v>637</v>
      </c>
      <c r="AN653">
        <v>43.288397889348971</v>
      </c>
      <c r="AO653">
        <v>0.85845822133799154</v>
      </c>
      <c r="AP653">
        <v>0.59468794199807129</v>
      </c>
      <c r="AQ653">
        <v>5.2540319787451946</v>
      </c>
      <c r="AR653">
        <v>0.79490520121635622</v>
      </c>
      <c r="AS653">
        <v>3.8218540331105308</v>
      </c>
      <c r="AT653" t="e">
        <v>#DIV/0!</v>
      </c>
      <c r="AU653" t="e">
        <v>#DIV/0!</v>
      </c>
      <c r="AV653"/>
      <c r="AW653"/>
      <c r="FY653" s="211">
        <v>648</v>
      </c>
      <c r="FZ653">
        <v>0.66667410306921071</v>
      </c>
      <c r="GA653">
        <v>1.2128141288164862</v>
      </c>
      <c r="GB653">
        <v>1.0896866934325486</v>
      </c>
      <c r="GC653">
        <v>0.74456342667324438</v>
      </c>
      <c r="GD653">
        <v>0.25682038255873607</v>
      </c>
      <c r="GE653">
        <v>7.7086188903599986E-2</v>
      </c>
      <c r="GF653">
        <v>1.4818786473722718</v>
      </c>
      <c r="GG653">
        <v>1.2844996583628763</v>
      </c>
      <c r="GH653">
        <v>0</v>
      </c>
      <c r="GI653">
        <v>0.77681719089416545</v>
      </c>
      <c r="GJ653"/>
      <c r="GK653">
        <v>0.66435937499999986</v>
      </c>
      <c r="GL653">
        <v>1.02137109375</v>
      </c>
      <c r="GM653">
        <v>1.7888227982954545</v>
      </c>
      <c r="GN653">
        <v>2.1839097402597401</v>
      </c>
      <c r="GO653">
        <v>0.97653616071428562</v>
      </c>
      <c r="GP653">
        <v>0.14474999999999999</v>
      </c>
      <c r="GQ653">
        <v>1.7877228260869562</v>
      </c>
      <c r="GR653">
        <v>1.7877228260869562</v>
      </c>
      <c r="GS653">
        <v>0</v>
      </c>
      <c r="GT653">
        <v>1.0434882320193393</v>
      </c>
      <c r="GU653"/>
      <c r="GV653"/>
      <c r="GW653"/>
      <c r="GX653"/>
      <c r="GY653"/>
      <c r="GZ653"/>
      <c r="HA653"/>
      <c r="HB653"/>
      <c r="HC653"/>
    </row>
    <row r="654" spans="1:211" s="7" customForma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81"/>
      <c r="AG654" s="81"/>
      <c r="AH654" s="81"/>
      <c r="AI654" s="4"/>
      <c r="AJ654" s="81"/>
      <c r="AK654" s="81"/>
      <c r="AL654" s="81"/>
      <c r="AM654" s="43">
        <v>638</v>
      </c>
      <c r="AN654">
        <v>26.625202836615877</v>
      </c>
      <c r="AO654">
        <v>0.70102986942586398</v>
      </c>
      <c r="AP654">
        <v>1.426333583629666</v>
      </c>
      <c r="AQ654">
        <v>4.326715103470729</v>
      </c>
      <c r="AR654">
        <v>0.65620558496756853</v>
      </c>
      <c r="AS654">
        <v>2.2366461590177238</v>
      </c>
      <c r="AT654">
        <v>0.43932314798618483</v>
      </c>
      <c r="AU654">
        <v>2.6968152727982336E-2</v>
      </c>
      <c r="AV654"/>
      <c r="AW654"/>
      <c r="FY654" s="211">
        <v>649</v>
      </c>
      <c r="FZ654">
        <v>1.3491735517658789</v>
      </c>
      <c r="GA654">
        <v>1.8912537456688046</v>
      </c>
      <c r="GB654">
        <v>0.44892286473440735</v>
      </c>
      <c r="GC654">
        <v>0.44542497125366559</v>
      </c>
      <c r="GD654">
        <v>0.32512941308399457</v>
      </c>
      <c r="GE654">
        <v>0.16465914894285</v>
      </c>
      <c r="GF654">
        <v>0.5344786465355188</v>
      </c>
      <c r="GG654">
        <v>0.47874846122576609</v>
      </c>
      <c r="GH654">
        <v>6.6522953376906252E-2</v>
      </c>
      <c r="GI654">
        <v>0.60048275813467744</v>
      </c>
      <c r="GJ654"/>
      <c r="GK654">
        <v>1.3446112132352941</v>
      </c>
      <c r="GL654">
        <v>1.5930604319852939</v>
      </c>
      <c r="GM654">
        <v>0.73669140624999996</v>
      </c>
      <c r="GN654">
        <v>1.3049051339285713</v>
      </c>
      <c r="GO654">
        <v>1.2366629464285714</v>
      </c>
      <c r="GP654">
        <v>0.30946874999999996</v>
      </c>
      <c r="GQ654">
        <v>0.64475135869565214</v>
      </c>
      <c r="GR654">
        <v>0.66627219202898535</v>
      </c>
      <c r="GS654">
        <v>7.0364583333333328E-2</v>
      </c>
      <c r="GT654">
        <v>0.80661630158857023</v>
      </c>
      <c r="GU654"/>
      <c r="GV654"/>
      <c r="GW654"/>
      <c r="GX654"/>
      <c r="GY654"/>
      <c r="GZ654"/>
      <c r="HA654"/>
      <c r="HB654"/>
      <c r="HC654"/>
    </row>
    <row r="655" spans="1:211" s="7" customForma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81"/>
      <c r="AG655" s="81"/>
      <c r="AH655" s="81"/>
      <c r="AI655" s="4"/>
      <c r="AJ655" s="81"/>
      <c r="AK655" s="81"/>
      <c r="AL655" s="81"/>
      <c r="AM655" s="43">
        <v>639</v>
      </c>
      <c r="AN655">
        <v>59.942514297385628</v>
      </c>
      <c r="AO655">
        <v>1.4245207012867649</v>
      </c>
      <c r="AP655">
        <v>1.6317985820805774</v>
      </c>
      <c r="AQ655">
        <v>8.7540976301618372</v>
      </c>
      <c r="AR655">
        <v>1.3095074557152402</v>
      </c>
      <c r="AS655">
        <v>4.9227655992803543</v>
      </c>
      <c r="AT655" t="e">
        <v>#DIV/0!</v>
      </c>
      <c r="AU655" t="e">
        <v>#DIV/0!</v>
      </c>
      <c r="AV655"/>
      <c r="AW655"/>
      <c r="FY655" s="211">
        <v>650</v>
      </c>
      <c r="FZ655">
        <v>9.9920034975585909E-2</v>
      </c>
      <c r="GA655">
        <v>0.43206328442100467</v>
      </c>
      <c r="GB655">
        <v>0.92466741608547875</v>
      </c>
      <c r="GC655">
        <v>0.61365345944618266</v>
      </c>
      <c r="GD655">
        <v>0.18604518693390001</v>
      </c>
      <c r="GE655">
        <v>9.5391010509975005E-2</v>
      </c>
      <c r="GF655">
        <v>0.41513581345513451</v>
      </c>
      <c r="GG655">
        <v>0.28954215414031298</v>
      </c>
      <c r="GH655">
        <v>0</v>
      </c>
      <c r="GI655">
        <v>0.42066557352120981</v>
      </c>
      <c r="GJ655"/>
      <c r="GK655">
        <v>9.9609374999999972E-2</v>
      </c>
      <c r="GL655">
        <v>0.36389062500000002</v>
      </c>
      <c r="GM655">
        <v>1.5180063920454545</v>
      </c>
      <c r="GN655">
        <v>1.8000532670454545</v>
      </c>
      <c r="GO655">
        <v>0.70743750000000005</v>
      </c>
      <c r="GP655">
        <v>0.17910937500000002</v>
      </c>
      <c r="GQ655">
        <v>0.50047010869565223</v>
      </c>
      <c r="GR655">
        <v>0.40278260869565213</v>
      </c>
      <c r="GS655">
        <v>0</v>
      </c>
      <c r="GT655">
        <v>0.56510467514822127</v>
      </c>
      <c r="GU655"/>
      <c r="GV655"/>
      <c r="GW655"/>
      <c r="GX655"/>
      <c r="GY655"/>
      <c r="GZ655"/>
      <c r="HA655"/>
      <c r="HB655"/>
      <c r="HC655"/>
    </row>
    <row r="656" spans="1:211" s="7" customForma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81"/>
      <c r="AG656" s="81"/>
      <c r="AH656" s="81"/>
      <c r="AI656" s="4"/>
      <c r="AJ656" s="81"/>
      <c r="AK656" s="81"/>
      <c r="AL656" s="81"/>
      <c r="AM656" s="43">
        <v>640</v>
      </c>
      <c r="AN656">
        <v>58.171621055752283</v>
      </c>
      <c r="AO656">
        <v>1.404351436697693</v>
      </c>
      <c r="AP656">
        <v>15.196357972155836</v>
      </c>
      <c r="AQ656">
        <v>9.5820193893493002</v>
      </c>
      <c r="AR656">
        <v>1.2970024533790216</v>
      </c>
      <c r="AS656">
        <v>4.6137169510408107</v>
      </c>
      <c r="AT656" t="e">
        <v>#DIV/0!</v>
      </c>
      <c r="AU656" t="e">
        <v>#DIV/0!</v>
      </c>
      <c r="AV656"/>
      <c r="AW656"/>
      <c r="FY656" s="211">
        <v>651</v>
      </c>
      <c r="FZ656">
        <v>2.0153582395730667</v>
      </c>
      <c r="GA656">
        <v>2.2758739391685454</v>
      </c>
      <c r="GB656">
        <v>0.27903692337754921</v>
      </c>
      <c r="GC656">
        <v>0.51169583787289363</v>
      </c>
      <c r="GD656">
        <v>0.40144649560550349</v>
      </c>
      <c r="GE656">
        <v>0.12129816768457499</v>
      </c>
      <c r="GF656">
        <v>0.36024295839505316</v>
      </c>
      <c r="GG656">
        <v>0.32783070573276563</v>
      </c>
      <c r="GH656">
        <v>8.9508689212329934E-2</v>
      </c>
      <c r="GI656">
        <v>0.67333751357843963</v>
      </c>
      <c r="GJ656"/>
      <c r="GK656">
        <v>2.0086911764705881</v>
      </c>
      <c r="GL656">
        <v>1.9170739889705881</v>
      </c>
      <c r="GM656">
        <v>0.4576015625</v>
      </c>
      <c r="GN656">
        <v>1.4981361607142853</v>
      </c>
      <c r="GO656">
        <v>1.5265580357142854</v>
      </c>
      <c r="GP656">
        <v>0.22804687499999998</v>
      </c>
      <c r="GQ656">
        <v>0.43509375</v>
      </c>
      <c r="GR656">
        <v>0.45661458333333332</v>
      </c>
      <c r="GS656">
        <v>9.465845352564102E-2</v>
      </c>
      <c r="GT656">
        <v>0.90452059564210296</v>
      </c>
      <c r="GU656"/>
      <c r="GV656"/>
      <c r="GW656"/>
      <c r="GX656"/>
      <c r="GY656"/>
      <c r="GZ656"/>
      <c r="HA656"/>
      <c r="HB656"/>
      <c r="HC656"/>
    </row>
    <row r="657" spans="1:211" s="7" customForma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81"/>
      <c r="AG657" s="81"/>
      <c r="AH657" s="81"/>
      <c r="AI657" s="4"/>
      <c r="AJ657" s="81"/>
      <c r="AK657" s="81"/>
      <c r="AL657" s="81"/>
      <c r="AM657" s="43">
        <v>641</v>
      </c>
      <c r="AN657">
        <v>33.421458283238977</v>
      </c>
      <c r="AO657">
        <v>0.79329428241606004</v>
      </c>
      <c r="AP657">
        <v>0.53231048673558512</v>
      </c>
      <c r="AQ657">
        <v>6.6395014307051738</v>
      </c>
      <c r="AR657">
        <v>0.72921584677683782</v>
      </c>
      <c r="AS657">
        <v>2.5866300574301806</v>
      </c>
      <c r="AT657">
        <v>0.54189522744277707</v>
      </c>
      <c r="AU657">
        <v>-0.10482163391368571</v>
      </c>
      <c r="AV657"/>
      <c r="AW657"/>
      <c r="FY657" s="211">
        <v>652</v>
      </c>
      <c r="FZ657">
        <v>0.42327947359200657</v>
      </c>
      <c r="GA657">
        <v>0.96787992433485437</v>
      </c>
      <c r="GB657">
        <v>1.2176865958683201</v>
      </c>
      <c r="GC657">
        <v>0.7717795392998652</v>
      </c>
      <c r="GD657">
        <v>0.21693863208804748</v>
      </c>
      <c r="GE657">
        <v>8.8593614384399985E-2</v>
      </c>
      <c r="GF657">
        <v>0.82805716775636906</v>
      </c>
      <c r="GG657">
        <v>0.76829061536607923</v>
      </c>
      <c r="GH657">
        <v>8.9508689212329934E-2</v>
      </c>
      <c r="GI657">
        <v>0.64602355225534869</v>
      </c>
      <c r="GJ657"/>
      <c r="GK657">
        <v>0.42171562499999993</v>
      </c>
      <c r="GL657">
        <v>0.81491484375000001</v>
      </c>
      <c r="GM657">
        <v>1.9987993607954548</v>
      </c>
      <c r="GN657">
        <v>2.2642220170454546</v>
      </c>
      <c r="GO657">
        <v>0.825121875</v>
      </c>
      <c r="GP657">
        <v>0.16649999999999998</v>
      </c>
      <c r="GQ657">
        <v>0.99869021739130437</v>
      </c>
      <c r="GR657">
        <v>1.0690548007246377</v>
      </c>
      <c r="GS657">
        <v>9.465845352564102E-2</v>
      </c>
      <c r="GT657">
        <v>0.86779710634248008</v>
      </c>
      <c r="GU657"/>
      <c r="GV657"/>
      <c r="GW657"/>
      <c r="GX657"/>
      <c r="GY657"/>
      <c r="GZ657"/>
      <c r="HA657"/>
      <c r="HB657"/>
      <c r="HC657"/>
    </row>
    <row r="658" spans="1:211" s="7" customForma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81"/>
      <c r="AG658" s="81"/>
      <c r="AH658" s="81"/>
      <c r="AI658" s="4"/>
      <c r="AJ658" s="81"/>
      <c r="AK658" s="81"/>
      <c r="AL658" s="81"/>
      <c r="AM658" s="43">
        <v>642</v>
      </c>
      <c r="AN658">
        <v>71.809446703244646</v>
      </c>
      <c r="AO658">
        <v>1.6309100383303821</v>
      </c>
      <c r="AP658">
        <v>1.6703527339624757</v>
      </c>
      <c r="AQ658">
        <v>9.9652326066285006</v>
      </c>
      <c r="AR658">
        <v>1.5124176703353127</v>
      </c>
      <c r="AS658">
        <v>5.9596934956600265</v>
      </c>
      <c r="AT658">
        <v>1.1593488779557048</v>
      </c>
      <c r="AU658">
        <v>0.1509280668362821</v>
      </c>
      <c r="AV658"/>
      <c r="AW658"/>
      <c r="FY658" s="211">
        <v>653</v>
      </c>
      <c r="FZ658">
        <v>0.88838165976205208</v>
      </c>
      <c r="GA658">
        <v>1.369891385646099</v>
      </c>
      <c r="GB658">
        <v>1.1787605291340175</v>
      </c>
      <c r="GC658">
        <v>0.54985152635682577</v>
      </c>
      <c r="GD658">
        <v>7.2768433487782502E-2</v>
      </c>
      <c r="GE658">
        <v>0.10020889731645002</v>
      </c>
      <c r="GF658">
        <v>8.1038194822856249E-2</v>
      </c>
      <c r="GG658">
        <v>0</v>
      </c>
      <c r="GH658">
        <v>2.2985735835423678E-2</v>
      </c>
      <c r="GI658">
        <v>0.47914579984480643</v>
      </c>
      <c r="GJ658"/>
      <c r="GK658">
        <v>0.88519687499999988</v>
      </c>
      <c r="GL658">
        <v>1.15338046875</v>
      </c>
      <c r="GM658">
        <v>1.9347602982954544</v>
      </c>
      <c r="GN658">
        <v>1.6138985795454543</v>
      </c>
      <c r="GO658">
        <v>0.27685312500000003</v>
      </c>
      <c r="GP658">
        <v>0.18815625000000002</v>
      </c>
      <c r="GQ658">
        <v>9.768750000000001E-2</v>
      </c>
      <c r="GR658">
        <v>0</v>
      </c>
      <c r="GS658">
        <v>2.4293870192307693E-2</v>
      </c>
      <c r="GT658">
        <v>0.64375833369755231</v>
      </c>
      <c r="GU658"/>
      <c r="GV658"/>
      <c r="GW658"/>
      <c r="GX658"/>
      <c r="GY658"/>
      <c r="GZ658"/>
      <c r="HA658"/>
      <c r="HB658"/>
      <c r="HC658"/>
    </row>
    <row r="659" spans="1:211" s="7" customForma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81"/>
      <c r="AG659" s="81"/>
      <c r="AH659" s="81"/>
      <c r="AI659" s="4"/>
      <c r="AJ659" s="81"/>
      <c r="AK659" s="81"/>
      <c r="AL659" s="81"/>
      <c r="AM659" s="43">
        <v>643</v>
      </c>
      <c r="AN659">
        <v>43.186822576252723</v>
      </c>
      <c r="AO659">
        <v>1.0004666890318625</v>
      </c>
      <c r="AP659">
        <v>1.3687415268588632</v>
      </c>
      <c r="AQ659">
        <v>6.7214822696596626</v>
      </c>
      <c r="AR659">
        <v>0.92038164911987508</v>
      </c>
      <c r="AS659">
        <v>3.5371283477698725</v>
      </c>
      <c r="AT659" t="e">
        <v>#DIV/0!</v>
      </c>
      <c r="AU659" t="e">
        <v>#DIV/0!</v>
      </c>
      <c r="AV659"/>
      <c r="AW659"/>
      <c r="FY659" s="211">
        <v>654</v>
      </c>
      <c r="FZ659">
        <v>1.2475504510010469</v>
      </c>
      <c r="GA659">
        <v>1.7771176255305896</v>
      </c>
      <c r="GB659">
        <v>0.45211851275634146</v>
      </c>
      <c r="GC659">
        <v>0.43197445768933057</v>
      </c>
      <c r="GD659">
        <v>0.31146417756197353</v>
      </c>
      <c r="GE659">
        <v>0.13195459564267503</v>
      </c>
      <c r="GF659">
        <v>0.31972386098362504</v>
      </c>
      <c r="GG659">
        <v>0.32783070573276563</v>
      </c>
      <c r="GH659">
        <v>8.9508689212329934E-2</v>
      </c>
      <c r="GI659">
        <v>0.54351474353386997</v>
      </c>
      <c r="GJ659"/>
      <c r="GK659">
        <v>1.2431174632352939</v>
      </c>
      <c r="GL659">
        <v>1.4963362132352942</v>
      </c>
      <c r="GM659">
        <v>0.74146093750000008</v>
      </c>
      <c r="GN659">
        <v>1.2656533482142855</v>
      </c>
      <c r="GO659">
        <v>1.1847080357142858</v>
      </c>
      <c r="GP659">
        <v>0.24792187500000001</v>
      </c>
      <c r="GQ659">
        <v>0.38624999999999998</v>
      </c>
      <c r="GR659">
        <v>0.45661458333333332</v>
      </c>
      <c r="GS659">
        <v>9.465845352564102E-2</v>
      </c>
      <c r="GT659">
        <v>0.73003897799504425</v>
      </c>
      <c r="GU659"/>
      <c r="GV659"/>
      <c r="GW659"/>
      <c r="GX659"/>
      <c r="GY659"/>
      <c r="GZ659"/>
      <c r="HA659"/>
      <c r="HB659"/>
      <c r="HC659"/>
    </row>
    <row r="660" spans="1:211" s="7" customForma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81"/>
      <c r="AG660" s="81"/>
      <c r="AH660" s="81"/>
      <c r="AI660" s="4"/>
      <c r="AJ660" s="81"/>
      <c r="AK660" s="81"/>
      <c r="AL660" s="81"/>
      <c r="AM660" s="43">
        <v>644</v>
      </c>
      <c r="AN660">
        <v>48.816417154468624</v>
      </c>
      <c r="AO660">
        <v>1.1727833209504954</v>
      </c>
      <c r="AP660">
        <v>1.020991697454251</v>
      </c>
      <c r="AQ660">
        <v>9.1215197753560524</v>
      </c>
      <c r="AR660">
        <v>1.0742058818081428</v>
      </c>
      <c r="AS660">
        <v>3.6475884830004572</v>
      </c>
      <c r="AT660">
        <v>0.78565916656503276</v>
      </c>
      <c r="AU660">
        <v>-0.10735134892804321</v>
      </c>
      <c r="AV660"/>
      <c r="AW660"/>
      <c r="FY660" s="211">
        <v>655</v>
      </c>
      <c r="FZ660">
        <v>0.56135297503999393</v>
      </c>
      <c r="GA660">
        <v>1.4106440126986637</v>
      </c>
      <c r="GB660">
        <v>1.4555884618852277</v>
      </c>
      <c r="GC660">
        <v>1.0267509377160229</v>
      </c>
      <c r="GD660">
        <v>0.41671610012085747</v>
      </c>
      <c r="GE660">
        <v>0.16171291400422502</v>
      </c>
      <c r="GF660">
        <v>0.70871433467598444</v>
      </c>
      <c r="GG660">
        <v>0.62966621671876666</v>
      </c>
      <c r="GH660">
        <v>0.11249442504775362</v>
      </c>
      <c r="GI660">
        <v>0.81996914999779369</v>
      </c>
      <c r="GJ660"/>
      <c r="GK660">
        <v>0.55934062499999992</v>
      </c>
      <c r="GL660">
        <v>1.1879460937499999</v>
      </c>
      <c r="GM660">
        <v>2.3892837357954546</v>
      </c>
      <c r="GN660">
        <v>3.0108907670454546</v>
      </c>
      <c r="GO660">
        <v>1.5851343749999998</v>
      </c>
      <c r="GP660">
        <v>0.30407812500000003</v>
      </c>
      <c r="GQ660">
        <v>0.85440896739130423</v>
      </c>
      <c r="GR660">
        <v>0.87592980072463755</v>
      </c>
      <c r="GS660">
        <v>0.11895232371794871</v>
      </c>
      <c r="GT660">
        <v>1.1014240053809417</v>
      </c>
      <c r="GU660"/>
      <c r="GV660"/>
      <c r="GW660"/>
      <c r="GX660"/>
      <c r="GY660"/>
      <c r="GZ660"/>
      <c r="HA660"/>
      <c r="HB660"/>
      <c r="HC660"/>
    </row>
    <row r="661" spans="1:211" s="7" customForma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81"/>
      <c r="AG661" s="81"/>
      <c r="AH661" s="81"/>
      <c r="AI661" s="4"/>
      <c r="AJ661" s="81"/>
      <c r="AK661" s="81"/>
      <c r="AL661" s="81"/>
      <c r="AM661" s="43">
        <v>645</v>
      </c>
      <c r="AN661">
        <v>59.51176540850453</v>
      </c>
      <c r="AO661">
        <v>1.3539407112995698</v>
      </c>
      <c r="AP661">
        <v>18.64911252788368</v>
      </c>
      <c r="AQ661">
        <v>8.0920930955705703</v>
      </c>
      <c r="AR661">
        <v>1.2352722593982102</v>
      </c>
      <c r="AS661">
        <v>4.9952123491712328</v>
      </c>
      <c r="AT661" t="e">
        <v>#DIV/0!</v>
      </c>
      <c r="AU661" t="e">
        <v>#DIV/0!</v>
      </c>
      <c r="AV661"/>
      <c r="AW661"/>
      <c r="FY661" s="211">
        <v>656</v>
      </c>
      <c r="FZ661">
        <v>1.8046332829447933</v>
      </c>
      <c r="GA661">
        <v>2.4436126293054601</v>
      </c>
      <c r="GB661">
        <v>0.69727932301558349</v>
      </c>
      <c r="GC661">
        <v>0.76155662894835063</v>
      </c>
      <c r="GD661">
        <v>0.42436013035263426</v>
      </c>
      <c r="GE661">
        <v>0.14646218478772499</v>
      </c>
      <c r="GF661">
        <v>0.5344786465355188</v>
      </c>
      <c r="GG661">
        <v>0.47874846122576609</v>
      </c>
      <c r="GH661">
        <v>6.6522953376906252E-2</v>
      </c>
      <c r="GI661">
        <v>0.78491267519664942</v>
      </c>
      <c r="GJ661"/>
      <c r="GK661">
        <v>1.798484926470588</v>
      </c>
      <c r="GL661">
        <v>2.0581489889705882</v>
      </c>
      <c r="GM661">
        <v>1.1446782670454545</v>
      </c>
      <c r="GN661">
        <v>2.232693222402597</v>
      </c>
      <c r="GO661">
        <v>1.6136946428571426</v>
      </c>
      <c r="GP661">
        <v>0.27501562500000004</v>
      </c>
      <c r="GQ661">
        <v>0.64475135869565214</v>
      </c>
      <c r="GR661">
        <v>0.66627219202898535</v>
      </c>
      <c r="GS661">
        <v>7.0364583333333328E-2</v>
      </c>
      <c r="GT661">
        <v>1.0543947556804341</v>
      </c>
      <c r="GU661"/>
      <c r="GV661"/>
      <c r="GW661"/>
      <c r="GX661"/>
      <c r="GY661"/>
      <c r="GZ661"/>
      <c r="HA661"/>
      <c r="HB661"/>
      <c r="HC661"/>
    </row>
    <row r="662" spans="1:211" s="7" customForma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28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81"/>
      <c r="AG662" s="81"/>
      <c r="AH662" s="81"/>
      <c r="AI662" s="4"/>
      <c r="AJ662" s="81"/>
      <c r="AK662" s="81"/>
      <c r="AL662" s="81"/>
      <c r="AM662" s="43">
        <v>646</v>
      </c>
      <c r="AN662">
        <v>60.060946908956829</v>
      </c>
      <c r="AO662">
        <v>1.4042660007497563</v>
      </c>
      <c r="AP662">
        <v>1.8651459646991109</v>
      </c>
      <c r="AQ662">
        <v>9.6492796047305482</v>
      </c>
      <c r="AR662">
        <v>1.2947162506815968</v>
      </c>
      <c r="AS662">
        <v>4.9239211785662222</v>
      </c>
      <c r="AT662" t="e">
        <v>#DIV/0!</v>
      </c>
      <c r="AU662" t="e">
        <v>#DIV/0!</v>
      </c>
      <c r="AV662"/>
      <c r="AW662"/>
      <c r="FY662" s="211">
        <v>657</v>
      </c>
      <c r="FZ662">
        <v>1.1458158685076283</v>
      </c>
      <c r="GA662">
        <v>1.7754751832433748</v>
      </c>
      <c r="GB662">
        <v>1.4234128281217653</v>
      </c>
      <c r="GC662">
        <v>0.91697277919497722</v>
      </c>
      <c r="GD662">
        <v>0.21787744350914676</v>
      </c>
      <c r="GE662">
        <v>9.5391010509975005E-2</v>
      </c>
      <c r="GF662">
        <v>1.2431929812115035</v>
      </c>
      <c r="GG662">
        <v>1.0578327695063923</v>
      </c>
      <c r="GH662">
        <v>0.11249442504775362</v>
      </c>
      <c r="GI662">
        <v>0.88216990061097511</v>
      </c>
      <c r="GJ662"/>
      <c r="GK662">
        <v>1.1416799632352941</v>
      </c>
      <c r="GL662">
        <v>1.4950354319852941</v>
      </c>
      <c r="GM662">
        <v>2.3370166903409086</v>
      </c>
      <c r="GN662">
        <v>2.6907933644480519</v>
      </c>
      <c r="GO662">
        <v>0.82839776785714281</v>
      </c>
      <c r="GP662">
        <v>0.17910937500000002</v>
      </c>
      <c r="GQ662">
        <v>1.4991603260869566</v>
      </c>
      <c r="GR662">
        <v>1.47183740942029</v>
      </c>
      <c r="GS662">
        <v>0.11895232371794871</v>
      </c>
      <c r="GT662">
        <v>1.18504141424765</v>
      </c>
      <c r="GU662"/>
      <c r="GV662"/>
      <c r="GW662"/>
      <c r="GX662"/>
      <c r="GY662"/>
      <c r="GZ662"/>
      <c r="HA662"/>
      <c r="HB662"/>
      <c r="HC662"/>
    </row>
    <row r="663" spans="1:211" s="7" customForma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28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81"/>
      <c r="AG663" s="81"/>
      <c r="AH663" s="81"/>
      <c r="AI663" s="4"/>
      <c r="AJ663" s="81"/>
      <c r="AK663" s="81"/>
      <c r="AL663" s="81"/>
      <c r="AM663" s="43">
        <v>647</v>
      </c>
      <c r="AN663">
        <v>41.708450215835128</v>
      </c>
      <c r="AO663">
        <v>0.82760063319023269</v>
      </c>
      <c r="AP663">
        <v>9.264007958502873</v>
      </c>
      <c r="AQ663">
        <v>6.3667163781694498</v>
      </c>
      <c r="AR663">
        <v>0.75960853017293872</v>
      </c>
      <c r="AS663">
        <v>3.6202133264638836</v>
      </c>
      <c r="AT663" t="e">
        <v>#DIV/0!</v>
      </c>
      <c r="AU663" t="e">
        <v>#DIV/0!</v>
      </c>
      <c r="AV663"/>
      <c r="AW663"/>
      <c r="FY663" s="211">
        <v>658</v>
      </c>
      <c r="FZ663">
        <v>2.3999810630895286</v>
      </c>
      <c r="GA663">
        <v>3.1646459253684514</v>
      </c>
      <c r="GB663">
        <v>1.1552511571773081</v>
      </c>
      <c r="GC663">
        <v>0.62729177598449948</v>
      </c>
      <c r="GD663">
        <v>0.15817121429752604</v>
      </c>
      <c r="GE663">
        <v>0.19254581543654997</v>
      </c>
      <c r="GF663">
        <v>0.24090012531466881</v>
      </c>
      <c r="GG663">
        <v>0.13862439864731252</v>
      </c>
      <c r="GH663">
        <v>0</v>
      </c>
      <c r="GI663">
        <v>0.77116265271653917</v>
      </c>
      <c r="GJ663"/>
      <c r="GK663">
        <v>2.3918117647058823</v>
      </c>
      <c r="GL663">
        <v>2.6654797334558822</v>
      </c>
      <c r="GM663">
        <v>1.8961040482954545</v>
      </c>
      <c r="GN663">
        <v>1.8408347402597403</v>
      </c>
      <c r="GO663">
        <v>0.6022111607142856</v>
      </c>
      <c r="GP663">
        <v>0.36196874999999995</v>
      </c>
      <c r="GQ663">
        <v>0.29081250000000003</v>
      </c>
      <c r="GR663">
        <v>0.19312499999999999</v>
      </c>
      <c r="GS663">
        <v>0</v>
      </c>
      <c r="GT663">
        <v>1.0361878947431244</v>
      </c>
      <c r="GU663"/>
      <c r="GV663"/>
      <c r="GW663"/>
      <c r="GX663"/>
      <c r="GY663"/>
      <c r="GZ663"/>
      <c r="HA663"/>
      <c r="HB663"/>
      <c r="HC663"/>
    </row>
    <row r="664" spans="1:211" s="7" customForma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28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81"/>
      <c r="AG664" s="81"/>
      <c r="AH664" s="81"/>
      <c r="AI664" s="4"/>
      <c r="AJ664" s="81"/>
      <c r="AK664" s="81"/>
      <c r="AL664" s="81"/>
      <c r="AM664" s="43">
        <v>648</v>
      </c>
      <c r="AN664">
        <v>51.21464048481711</v>
      </c>
      <c r="AO664">
        <v>1.139868305221273</v>
      </c>
      <c r="AP664">
        <v>18.364935948144002</v>
      </c>
      <c r="AQ664">
        <v>7.5908404200831407</v>
      </c>
      <c r="AR664">
        <v>1.0434882320193393</v>
      </c>
      <c r="AS664">
        <v>4.55052855733316</v>
      </c>
      <c r="AT664" t="e">
        <v>#DIV/0!</v>
      </c>
      <c r="AU664" t="e">
        <v>#DIV/0!</v>
      </c>
      <c r="AV664"/>
      <c r="AW664"/>
      <c r="FY664" s="211">
        <v>659</v>
      </c>
      <c r="FZ664">
        <v>1.9045533179203797</v>
      </c>
      <c r="GA664">
        <v>2.1028793953562412</v>
      </c>
      <c r="GB664">
        <v>0.7592062504351007</v>
      </c>
      <c r="GC664">
        <v>0.46710371231724018</v>
      </c>
      <c r="GD664">
        <v>0.13121006102585997</v>
      </c>
      <c r="GE664">
        <v>0.18687693110737497</v>
      </c>
      <c r="GF664">
        <v>0.37461671604370633</v>
      </c>
      <c r="GG664">
        <v>0.34012406257845362</v>
      </c>
      <c r="GH664">
        <v>8.9508689212329934E-2</v>
      </c>
      <c r="GI664">
        <v>0.62374934807656379</v>
      </c>
      <c r="GJ664"/>
      <c r="GK664">
        <v>1.8980943014705882</v>
      </c>
      <c r="GL664">
        <v>1.7712505514705883</v>
      </c>
      <c r="GM664">
        <v>1.2464126420454544</v>
      </c>
      <c r="GN664">
        <v>1.3714095170454543</v>
      </c>
      <c r="GO664">
        <v>0.49957499999999988</v>
      </c>
      <c r="GP664">
        <v>0.35104687500000004</v>
      </c>
      <c r="GQ664">
        <v>0.45162635869565215</v>
      </c>
      <c r="GR664">
        <v>0.47314719202898542</v>
      </c>
      <c r="GS664">
        <v>9.465845352564102E-2</v>
      </c>
      <c r="GT664">
        <v>0.83807335114746717</v>
      </c>
      <c r="GU664"/>
      <c r="GV664"/>
      <c r="GW664"/>
      <c r="GX664"/>
      <c r="GY664"/>
      <c r="GZ664"/>
      <c r="HA664"/>
      <c r="HB664"/>
      <c r="HC664"/>
    </row>
    <row r="665" spans="1:211" s="7" customForma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28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81"/>
      <c r="AG665" s="81"/>
      <c r="AH665" s="81"/>
      <c r="AI665" s="4"/>
      <c r="AJ665" s="81"/>
      <c r="AK665" s="81"/>
      <c r="AL665" s="81"/>
      <c r="AM665" s="43">
        <v>649</v>
      </c>
      <c r="AN665">
        <v>40.608877593911963</v>
      </c>
      <c r="AO665">
        <v>0.87134043174742715</v>
      </c>
      <c r="AP665">
        <v>0.56985154015212447</v>
      </c>
      <c r="AQ665">
        <v>6.3047965147224696</v>
      </c>
      <c r="AR665">
        <v>0.80661630158857012</v>
      </c>
      <c r="AS665">
        <v>3.2477984823578954</v>
      </c>
      <c r="AT665" t="e">
        <v>#DIV/0!</v>
      </c>
      <c r="AU665" t="e">
        <v>#DIV/0!</v>
      </c>
      <c r="AV665"/>
      <c r="AW665"/>
      <c r="FY665" s="211">
        <v>660</v>
      </c>
      <c r="FZ665">
        <v>0.51231462189049115</v>
      </c>
      <c r="GA665">
        <v>1.3032478276343538</v>
      </c>
      <c r="GB665">
        <v>0.60423917920929493</v>
      </c>
      <c r="GC665">
        <v>0.58889919443986183</v>
      </c>
      <c r="GD665">
        <v>0.39437743912728429</v>
      </c>
      <c r="GE665">
        <v>0.14731318231042501</v>
      </c>
      <c r="GF665">
        <v>0.9090953625792253</v>
      </c>
      <c r="GG665">
        <v>0.71770870692793864</v>
      </c>
      <c r="GH665">
        <v>4.5971471670847357E-2</v>
      </c>
      <c r="GI665">
        <v>0.61751519186892878</v>
      </c>
      <c r="GJ665"/>
      <c r="GK665">
        <v>0.51033749999999989</v>
      </c>
      <c r="GL665">
        <v>1.0972710937500001</v>
      </c>
      <c r="GM665">
        <v>0.99119140625000002</v>
      </c>
      <c r="GN665">
        <v>1.7247493303571428</v>
      </c>
      <c r="GO665">
        <v>1.4996946428571429</v>
      </c>
      <c r="GP665">
        <v>0.276890625</v>
      </c>
      <c r="GQ665">
        <v>1.0963777173913045</v>
      </c>
      <c r="GR665">
        <v>0.99869021739130437</v>
      </c>
      <c r="GS665">
        <v>4.8587740384615385E-2</v>
      </c>
      <c r="GT665">
        <v>0.8292378013766124</v>
      </c>
      <c r="GU665"/>
      <c r="GV665"/>
      <c r="GW665"/>
      <c r="GX665"/>
      <c r="GY665"/>
      <c r="GZ665"/>
      <c r="HA665"/>
      <c r="HB665"/>
      <c r="HC665"/>
    </row>
    <row r="666" spans="1:211" s="7" customForma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28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81"/>
      <c r="AG666" s="81"/>
      <c r="AH666" s="81"/>
      <c r="AI666" s="4"/>
      <c r="AJ666" s="81"/>
      <c r="AK666" s="81"/>
      <c r="AL666" s="81"/>
      <c r="AM666" s="43">
        <v>650</v>
      </c>
      <c r="AN666">
        <v>26.808046497584542</v>
      </c>
      <c r="AO666">
        <v>0.61364639266304355</v>
      </c>
      <c r="AP666">
        <v>0.46944194540040723</v>
      </c>
      <c r="AQ666">
        <v>3.477083933488784</v>
      </c>
      <c r="AR666">
        <v>0.56510467514822127</v>
      </c>
      <c r="AS666">
        <v>2.1808140961736808</v>
      </c>
      <c r="AT666" t="e">
        <v>#DIV/0!</v>
      </c>
      <c r="AU666" t="e">
        <v>#DIV/0!</v>
      </c>
      <c r="AV666"/>
      <c r="AW666"/>
      <c r="FY666" s="211">
        <v>661</v>
      </c>
      <c r="FZ666">
        <v>0.19802552243333907</v>
      </c>
      <c r="GA666">
        <v>0.60078745910839926</v>
      </c>
      <c r="GB666">
        <v>0.77550672181931002</v>
      </c>
      <c r="GC666">
        <v>0.5440822672672545</v>
      </c>
      <c r="GD666">
        <v>0.19977519831513749</v>
      </c>
      <c r="GE666">
        <v>3.0832901432324998E-2</v>
      </c>
      <c r="GF666">
        <v>0.5344786465355188</v>
      </c>
      <c r="GG666">
        <v>0.52933036966390667</v>
      </c>
      <c r="GH666">
        <v>0.15603164258923619</v>
      </c>
      <c r="GI666">
        <v>0.45265213690479777</v>
      </c>
      <c r="GJ666"/>
      <c r="GK666">
        <v>0.19739062499999999</v>
      </c>
      <c r="GL666">
        <v>0.50603906250000008</v>
      </c>
      <c r="GM666">
        <v>1.2733501420454545</v>
      </c>
      <c r="GN666">
        <v>1.5961079545454542</v>
      </c>
      <c r="GO666">
        <v>0.75998437499999993</v>
      </c>
      <c r="GP666">
        <v>5.7890625000000001E-2</v>
      </c>
      <c r="GQ666">
        <v>0.64475135869565214</v>
      </c>
      <c r="GR666">
        <v>0.73663677536231864</v>
      </c>
      <c r="GS666">
        <v>0.16502303685897435</v>
      </c>
      <c r="GT666">
        <v>0.60809990752001619</v>
      </c>
      <c r="GU666"/>
      <c r="GV666"/>
      <c r="GW666"/>
      <c r="GX666"/>
      <c r="GY666"/>
      <c r="GZ666"/>
      <c r="HA666"/>
      <c r="HB666"/>
      <c r="HC666"/>
    </row>
    <row r="667" spans="1:211" s="7" customForma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28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81"/>
      <c r="AG667" s="81"/>
      <c r="AH667" s="81"/>
      <c r="AI667" s="4"/>
      <c r="AJ667" s="81"/>
      <c r="AK667" s="81"/>
      <c r="AL667" s="81"/>
      <c r="AM667" s="43">
        <v>651</v>
      </c>
      <c r="AN667">
        <v>44.505635534128182</v>
      </c>
      <c r="AO667">
        <v>0.95269951818708232</v>
      </c>
      <c r="AP667">
        <v>0.74735668789007992</v>
      </c>
      <c r="AQ667">
        <v>7.0556294702007216</v>
      </c>
      <c r="AR667">
        <v>0.90452059564210296</v>
      </c>
      <c r="AS667">
        <v>3.562232640693284</v>
      </c>
      <c r="AT667">
        <v>0.72647083020604775</v>
      </c>
      <c r="AU667">
        <v>0.36112975379007606</v>
      </c>
      <c r="AV667"/>
      <c r="AW667"/>
      <c r="FY667" s="211">
        <v>662</v>
      </c>
      <c r="FZ667">
        <v>1.2766047971554324</v>
      </c>
      <c r="GA667">
        <v>1.9618084102883904</v>
      </c>
      <c r="GB667">
        <v>1.0705658393615272</v>
      </c>
      <c r="GC667">
        <v>0.40498115103483268</v>
      </c>
      <c r="GD667">
        <v>6.8443489872899999E-2</v>
      </c>
      <c r="GE667">
        <v>0.14249529550395001</v>
      </c>
      <c r="GF667">
        <v>0.41513581345513451</v>
      </c>
      <c r="GG667">
        <v>0.39070597101659427</v>
      </c>
      <c r="GH667">
        <v>0.15603164258923619</v>
      </c>
      <c r="GI667">
        <v>0.58886639070413627</v>
      </c>
      <c r="GJ667"/>
      <c r="GK667">
        <v>1.2721987132352941</v>
      </c>
      <c r="GL667">
        <v>1.6523549632352941</v>
      </c>
      <c r="GM667">
        <v>1.7577095170454542</v>
      </c>
      <c r="GN667">
        <v>1.1891157670454544</v>
      </c>
      <c r="GO667">
        <v>0.260625</v>
      </c>
      <c r="GP667">
        <v>0.26784374999999999</v>
      </c>
      <c r="GQ667">
        <v>0.50047010869565223</v>
      </c>
      <c r="GR667">
        <v>0.54351177536231876</v>
      </c>
      <c r="GS667">
        <v>0.16502303685897435</v>
      </c>
      <c r="GT667">
        <v>0.79120527516707484</v>
      </c>
      <c r="GU667"/>
      <c r="GV667"/>
      <c r="GW667"/>
      <c r="GX667"/>
      <c r="GY667"/>
      <c r="GZ667"/>
      <c r="HA667"/>
      <c r="HB667"/>
      <c r="HC667"/>
    </row>
    <row r="668" spans="1:211" s="7" customForma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28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81"/>
      <c r="AG668" s="81"/>
      <c r="AH668" s="81"/>
      <c r="AI668" s="4"/>
      <c r="AJ668" s="81"/>
      <c r="AK668" s="81"/>
      <c r="AL668" s="81"/>
      <c r="AM668" s="43">
        <v>652</v>
      </c>
      <c r="AN668">
        <v>42.556268386906964</v>
      </c>
      <c r="AO668">
        <v>0.95214742995749724</v>
      </c>
      <c r="AP668">
        <v>15.022657875298984</v>
      </c>
      <c r="AQ668">
        <v>6.018037804157621</v>
      </c>
      <c r="AR668">
        <v>0.86779710634248008</v>
      </c>
      <c r="AS668">
        <v>3.7905645971042885</v>
      </c>
      <c r="AT668" t="e">
        <v>#DIV/0!</v>
      </c>
      <c r="AU668" t="e">
        <v>#DIV/0!</v>
      </c>
      <c r="AV668"/>
      <c r="AW668"/>
      <c r="FY668" s="211">
        <v>663</v>
      </c>
      <c r="FZ668">
        <v>3.4639486427113888</v>
      </c>
      <c r="GA668">
        <v>4.2836700991605152</v>
      </c>
      <c r="GB668">
        <v>1.3888449141257564</v>
      </c>
      <c r="GC668">
        <v>0.88662045200748285</v>
      </c>
      <c r="GD668">
        <v>0.24119596944431676</v>
      </c>
      <c r="GE668">
        <v>9.5391010509975005E-2</v>
      </c>
      <c r="GF668">
        <v>0.57499774394694703</v>
      </c>
      <c r="GG668">
        <v>0.47874846122576609</v>
      </c>
      <c r="GH668">
        <v>8.9508689212329934E-2</v>
      </c>
      <c r="GI668">
        <v>1.1071357990322799</v>
      </c>
      <c r="GJ668"/>
      <c r="GK668">
        <v>3.452332352941176</v>
      </c>
      <c r="GL668">
        <v>3.6082971966911757</v>
      </c>
      <c r="GM668">
        <v>2.2802901278409089</v>
      </c>
      <c r="GN668">
        <v>2.6013574269480517</v>
      </c>
      <c r="GO668">
        <v>0.91704776785714281</v>
      </c>
      <c r="GP668">
        <v>0.17910937500000002</v>
      </c>
      <c r="GQ668">
        <v>0.69359510869565222</v>
      </c>
      <c r="GR668">
        <v>0.66627219202898535</v>
      </c>
      <c r="GS668">
        <v>9.465845352564102E-2</v>
      </c>
      <c r="GT668">
        <v>1.4875847621721041</v>
      </c>
      <c r="GU668"/>
      <c r="GV668"/>
      <c r="GW668"/>
      <c r="GX668"/>
      <c r="GY668"/>
      <c r="GZ668"/>
      <c r="HA668"/>
      <c r="HB668"/>
      <c r="HC668"/>
    </row>
    <row r="669" spans="1:211" s="7" customForma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28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81"/>
      <c r="AG669" s="81"/>
      <c r="AH669" s="81"/>
      <c r="AI669" s="4"/>
      <c r="AJ669" s="81"/>
      <c r="AK669" s="81"/>
      <c r="AL669" s="81"/>
      <c r="AM669" s="43">
        <v>653</v>
      </c>
      <c r="AN669">
        <v>27.731957799145299</v>
      </c>
      <c r="AO669">
        <v>0.68179853004807689</v>
      </c>
      <c r="AP669">
        <v>1.0144894835928013</v>
      </c>
      <c r="AQ669">
        <v>4.7430321622063127</v>
      </c>
      <c r="AR669">
        <v>0.64375833369755231</v>
      </c>
      <c r="AS669">
        <v>2.3819948320140027</v>
      </c>
      <c r="AT669" t="e">
        <v>#DIV/0!</v>
      </c>
      <c r="AU669" t="e">
        <v>#DIV/0!</v>
      </c>
      <c r="AV669"/>
      <c r="AW669"/>
      <c r="FY669" s="211">
        <v>664</v>
      </c>
      <c r="FZ669">
        <v>1.4382087000643633</v>
      </c>
      <c r="GA669">
        <v>2.2991382085833267</v>
      </c>
      <c r="GB669">
        <v>1.763529611023209</v>
      </c>
      <c r="GC669">
        <v>1.6044651168686803</v>
      </c>
      <c r="GD669">
        <v>0.70324438672613232</v>
      </c>
      <c r="GE669">
        <v>0.15502337532990002</v>
      </c>
      <c r="GF669">
        <v>0.20038102790324064</v>
      </c>
      <c r="GG669">
        <v>0.13862439864731252</v>
      </c>
      <c r="GH669">
        <v>2.2985735835423678E-2</v>
      </c>
      <c r="GI669">
        <v>1.0822014532868507</v>
      </c>
      <c r="GJ669"/>
      <c r="GK669">
        <v>1.4332330882352939</v>
      </c>
      <c r="GL669">
        <v>1.9365768382352939</v>
      </c>
      <c r="GM669">
        <v>2.8955596590909085</v>
      </c>
      <c r="GN669">
        <v>4.7043815340909081</v>
      </c>
      <c r="GO669">
        <v>2.6742281249999995</v>
      </c>
      <c r="GP669">
        <v>0.291375</v>
      </c>
      <c r="GQ669">
        <v>0.24196875000000001</v>
      </c>
      <c r="GR669">
        <v>0.19312499999999999</v>
      </c>
      <c r="GS669">
        <v>2.4293870192307693E-2</v>
      </c>
      <c r="GT669">
        <v>1.453856698503702</v>
      </c>
      <c r="GU669"/>
      <c r="GV669"/>
      <c r="GW669"/>
      <c r="GX669"/>
      <c r="GY669"/>
      <c r="GZ669"/>
      <c r="HA669"/>
      <c r="HB669"/>
      <c r="HC669"/>
    </row>
    <row r="670" spans="1:211" s="7" customForma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28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81"/>
      <c r="AG670" s="81"/>
      <c r="AH670" s="81"/>
      <c r="AI670" s="4"/>
      <c r="AJ670" s="81"/>
      <c r="AK670" s="81"/>
      <c r="AL670" s="81"/>
      <c r="AM670" s="43">
        <v>654</v>
      </c>
      <c r="AN670">
        <v>37.640030958964786</v>
      </c>
      <c r="AO670">
        <v>0.78467598877531786</v>
      </c>
      <c r="AP670">
        <v>4.2186237051338722</v>
      </c>
      <c r="AQ670">
        <v>5.6327578196445485</v>
      </c>
      <c r="AR670">
        <v>0.73003897799504414</v>
      </c>
      <c r="AS670">
        <v>3.29978361912119</v>
      </c>
      <c r="AT670" t="e">
        <v>#DIV/0!</v>
      </c>
      <c r="AU670" t="e">
        <v>#DIV/0!</v>
      </c>
      <c r="AV670"/>
      <c r="AW670"/>
      <c r="FY670" s="211">
        <v>665</v>
      </c>
      <c r="FZ670">
        <v>0.62852063659680935</v>
      </c>
      <c r="GA670">
        <v>0.89039666722268307</v>
      </c>
      <c r="GB670">
        <v>0.80078319609905024</v>
      </c>
      <c r="GC670">
        <v>1.0506107626837169</v>
      </c>
      <c r="GD670">
        <v>0.61311234358909272</v>
      </c>
      <c r="GE670">
        <v>0.25041438583987502</v>
      </c>
      <c r="GF670">
        <v>0.93524070234199996</v>
      </c>
      <c r="GG670">
        <v>0.8065791669585316</v>
      </c>
      <c r="GH670">
        <v>0.15603164258923619</v>
      </c>
      <c r="GI670">
        <v>0.82880375955349861</v>
      </c>
      <c r="GJ670"/>
      <c r="GK670">
        <v>0.62634374999999998</v>
      </c>
      <c r="GL670">
        <v>0.74977734374999994</v>
      </c>
      <c r="GM670">
        <v>1.3143071732954543</v>
      </c>
      <c r="GN670">
        <v>3.0788981331168825</v>
      </c>
      <c r="GO670">
        <v>2.3315089285714281</v>
      </c>
      <c r="GP670">
        <v>0.47048437500000001</v>
      </c>
      <c r="GQ670">
        <v>1.1286888586956521</v>
      </c>
      <c r="GR670">
        <v>1.1228867753623186</v>
      </c>
      <c r="GS670">
        <v>0.16502303685897435</v>
      </c>
      <c r="GT670">
        <v>1.1131743494843018</v>
      </c>
      <c r="GU670"/>
      <c r="GV670"/>
      <c r="GW670"/>
      <c r="GX670"/>
      <c r="GY670"/>
      <c r="GZ670"/>
      <c r="HA670"/>
      <c r="HB670"/>
      <c r="HC670"/>
    </row>
    <row r="671" spans="1:211" s="7" customForma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28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81"/>
      <c r="AG671" s="81"/>
      <c r="AH671" s="81"/>
      <c r="AI671" s="4"/>
      <c r="AJ671" s="81"/>
      <c r="AK671" s="81"/>
      <c r="AL671" s="81"/>
      <c r="AM671" s="43">
        <v>655</v>
      </c>
      <c r="AN671">
        <v>54.937358130496719</v>
      </c>
      <c r="AO671">
        <v>1.198738881880574</v>
      </c>
      <c r="AP671">
        <v>1.2435624411654791</v>
      </c>
      <c r="AQ671">
        <v>7.3036095279052891</v>
      </c>
      <c r="AR671">
        <v>1.1014240053809417</v>
      </c>
      <c r="AS671">
        <v>4.923608407486082</v>
      </c>
      <c r="AT671">
        <v>0.88393660458994416</v>
      </c>
      <c r="AU671">
        <v>-6.2206990873807308E-2</v>
      </c>
      <c r="AV671"/>
      <c r="AW671"/>
      <c r="FY671" s="211">
        <v>666</v>
      </c>
      <c r="FZ671">
        <v>1.9123009232537338</v>
      </c>
      <c r="GA671">
        <v>2.5425597918298433</v>
      </c>
      <c r="GB671">
        <v>0.66851468675512371</v>
      </c>
      <c r="GC671">
        <v>0.66865202884486996</v>
      </c>
      <c r="GD671">
        <v>0.46051166634099744</v>
      </c>
      <c r="GE671">
        <v>0.19940501093332497</v>
      </c>
      <c r="GF671">
        <v>0.49395954912409079</v>
      </c>
      <c r="GG671">
        <v>0.52933036966390667</v>
      </c>
      <c r="GH671">
        <v>0.17901737842465987</v>
      </c>
      <c r="GI671">
        <v>0.82478898523064392</v>
      </c>
      <c r="GJ671"/>
      <c r="GK671">
        <v>1.9056862132352941</v>
      </c>
      <c r="GL671">
        <v>2.1413385569852941</v>
      </c>
      <c r="GM671">
        <v>1.0969023437500001</v>
      </c>
      <c r="GN671">
        <v>1.959325</v>
      </c>
      <c r="GO671">
        <v>1.7515593749999998</v>
      </c>
      <c r="GP671">
        <v>0.37457812499999998</v>
      </c>
      <c r="GQ671">
        <v>0.59590760869565207</v>
      </c>
      <c r="GR671">
        <v>0.73663677536231864</v>
      </c>
      <c r="GS671">
        <v>0.18931690705128204</v>
      </c>
      <c r="GT671">
        <v>1.1078744895464456</v>
      </c>
      <c r="GU671"/>
      <c r="GV671"/>
      <c r="GW671"/>
      <c r="GX671"/>
      <c r="GY671"/>
      <c r="GZ671"/>
      <c r="HA671"/>
      <c r="HB671"/>
      <c r="HC671"/>
    </row>
    <row r="672" spans="1:211" s="7" customForma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28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81"/>
      <c r="AG672" s="81"/>
      <c r="AH672" s="81"/>
      <c r="AI672" s="4"/>
      <c r="AJ672" s="81"/>
      <c r="AK672" s="81"/>
      <c r="AL672" s="81"/>
      <c r="AM672" s="43">
        <v>656</v>
      </c>
      <c r="AN672">
        <v>52.58204665320234</v>
      </c>
      <c r="AO672">
        <v>1.1558498562484776</v>
      </c>
      <c r="AP672">
        <v>0.92959813749005349</v>
      </c>
      <c r="AQ672">
        <v>8.1425669156893878</v>
      </c>
      <c r="AR672">
        <v>1.0543947556804343</v>
      </c>
      <c r="AS672">
        <v>4.0451702242506853</v>
      </c>
      <c r="AT672" t="e">
        <v>#DIV/0!</v>
      </c>
      <c r="AU672" t="e">
        <v>#DIV/0!</v>
      </c>
      <c r="AV672"/>
      <c r="AW672"/>
      <c r="FY672" s="211">
        <v>667</v>
      </c>
      <c r="FZ672">
        <v>0.81747581987088003</v>
      </c>
      <c r="GA672">
        <v>1.3891134621076451</v>
      </c>
      <c r="GB672">
        <v>1.0286798004404403</v>
      </c>
      <c r="GC672">
        <v>0.84779026189672135</v>
      </c>
      <c r="GD672">
        <v>0.40771573944560996</v>
      </c>
      <c r="GE672">
        <v>0.12713670883619999</v>
      </c>
      <c r="GF672">
        <v>0</v>
      </c>
      <c r="GG672">
        <v>0.10116381687628125</v>
      </c>
      <c r="GH672">
        <v>0.20200311426008355</v>
      </c>
      <c r="GI672">
        <v>0.63537341957432214</v>
      </c>
      <c r="GJ672"/>
      <c r="GK672">
        <v>0.81457499999999994</v>
      </c>
      <c r="GL672">
        <v>1.1697585937500001</v>
      </c>
      <c r="GM672">
        <v>1.6885962357954545</v>
      </c>
      <c r="GN672">
        <v>2.4858626420454542</v>
      </c>
      <c r="GO672">
        <v>1.5506999999999997</v>
      </c>
      <c r="GP672">
        <v>0.23887499999999998</v>
      </c>
      <c r="GQ672">
        <v>0</v>
      </c>
      <c r="GR672">
        <v>0.14072916666666666</v>
      </c>
      <c r="GS672">
        <v>0.21361077724358973</v>
      </c>
      <c r="GT672">
        <v>0.8534964026078089</v>
      </c>
      <c r="GU672"/>
      <c r="GV672"/>
      <c r="GW672"/>
      <c r="GX672"/>
      <c r="GY672"/>
      <c r="GZ672"/>
      <c r="HA672"/>
      <c r="HB672"/>
      <c r="HC672"/>
    </row>
    <row r="673" spans="1:211" s="7" customForma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28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81"/>
      <c r="AG673" s="81"/>
      <c r="AH673" s="81"/>
      <c r="AI673" s="4"/>
      <c r="AJ673" s="81"/>
      <c r="AK673" s="81"/>
      <c r="AL673" s="81"/>
      <c r="AM673" s="43">
        <v>657</v>
      </c>
      <c r="AN673">
        <v>57.557388171498623</v>
      </c>
      <c r="AO673">
        <v>1.2947024066339536</v>
      </c>
      <c r="AP673">
        <v>1.570724306183509</v>
      </c>
      <c r="AQ673">
        <v>8.8706351894634921</v>
      </c>
      <c r="AR673">
        <v>1.18504141424765</v>
      </c>
      <c r="AS673">
        <v>4.8789074563356278</v>
      </c>
      <c r="AT673">
        <v>0.92381275525470563</v>
      </c>
      <c r="AU673">
        <v>-0.10713211054492125</v>
      </c>
      <c r="AV673"/>
      <c r="AW673"/>
      <c r="FY673" s="211">
        <v>668</v>
      </c>
      <c r="FZ673">
        <v>0.76115289392119401</v>
      </c>
      <c r="GA673">
        <v>1.0167257725702976</v>
      </c>
      <c r="GB673">
        <v>1.4349132584643727</v>
      </c>
      <c r="GC673">
        <v>0.81400148280626339</v>
      </c>
      <c r="GD673">
        <v>0.12680262199128856</v>
      </c>
      <c r="GE673">
        <v>5.9686293545549995E-2</v>
      </c>
      <c r="GF673">
        <v>0.33409761863227821</v>
      </c>
      <c r="GG673">
        <v>0.28954215414031298</v>
      </c>
      <c r="GH673">
        <v>2.2985735835423678E-2</v>
      </c>
      <c r="GI673">
        <v>0.59898437678265148</v>
      </c>
      <c r="GJ673"/>
      <c r="GK673">
        <v>0.75846562499999992</v>
      </c>
      <c r="GL673">
        <v>0.85605937499999996</v>
      </c>
      <c r="GM673">
        <v>2.3558643465909088</v>
      </c>
      <c r="GN673">
        <v>2.3897161323051948</v>
      </c>
      <c r="GO673">
        <v>0.48272678571428573</v>
      </c>
      <c r="GP673">
        <v>0.11221875000000001</v>
      </c>
      <c r="GQ673">
        <v>0.40278260869565213</v>
      </c>
      <c r="GR673">
        <v>0.40278260869565213</v>
      </c>
      <c r="GS673">
        <v>2.4293870192307693E-2</v>
      </c>
      <c r="GT673">
        <v>0.80482664723863095</v>
      </c>
      <c r="GU673"/>
      <c r="GV673"/>
      <c r="GW673"/>
      <c r="GX673"/>
      <c r="GY673"/>
      <c r="GZ673"/>
      <c r="HA673"/>
      <c r="HB673"/>
      <c r="HC673"/>
    </row>
    <row r="674" spans="1:211" s="7" customForma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28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81"/>
      <c r="AG674" s="81"/>
      <c r="AH674" s="81"/>
      <c r="AI674" s="4"/>
      <c r="AJ674" s="81"/>
      <c r="AK674" s="81"/>
      <c r="AL674" s="81"/>
      <c r="AM674" s="43">
        <v>658</v>
      </c>
      <c r="AN674">
        <v>44.321689717553681</v>
      </c>
      <c r="AO674">
        <v>1.127853559217437</v>
      </c>
      <c r="AP674">
        <v>0.96650161377112997</v>
      </c>
      <c r="AQ674">
        <v>8.848574128032384</v>
      </c>
      <c r="AR674">
        <v>1.0361878947431244</v>
      </c>
      <c r="AS674">
        <v>3.5879180470598979</v>
      </c>
      <c r="AT674" t="e">
        <v>#DIV/0!</v>
      </c>
      <c r="AU674" t="e">
        <v>#DIV/0!</v>
      </c>
      <c r="AV674"/>
      <c r="AW674"/>
      <c r="FY674" s="211">
        <v>669</v>
      </c>
      <c r="FZ674">
        <v>2.2569269516212138</v>
      </c>
      <c r="GA674">
        <v>2.9566942801291507</v>
      </c>
      <c r="GB674">
        <v>1.0051704284837308</v>
      </c>
      <c r="GC674">
        <v>0.88704758716826393</v>
      </c>
      <c r="GD674">
        <v>0.39670196753233927</v>
      </c>
      <c r="GE674">
        <v>0.16182077145547497</v>
      </c>
      <c r="GF674">
        <v>0.45565491086656262</v>
      </c>
      <c r="GG674">
        <v>0.34012406257845362</v>
      </c>
      <c r="GH674">
        <v>6.6522953376906252E-2</v>
      </c>
      <c r="GI674">
        <v>0.89738235823407986</v>
      </c>
      <c r="GJ674"/>
      <c r="GK674">
        <v>2.249188051470588</v>
      </c>
      <c r="GL674">
        <v>2.490324770220588</v>
      </c>
      <c r="GM674">
        <v>1.6499399857954544</v>
      </c>
      <c r="GN674">
        <v>2.6008010349025974</v>
      </c>
      <c r="GO674">
        <v>1.5088258928571427</v>
      </c>
      <c r="GP674">
        <v>0.30398437500000003</v>
      </c>
      <c r="GQ674">
        <v>0.54931385869565208</v>
      </c>
      <c r="GR674">
        <v>0.47314719202898542</v>
      </c>
      <c r="GS674">
        <v>7.0364583333333328E-2</v>
      </c>
      <c r="GT674">
        <v>1.2055264744304341</v>
      </c>
      <c r="GU674"/>
      <c r="GV674"/>
      <c r="GW674"/>
      <c r="GX674"/>
      <c r="GY674"/>
      <c r="GZ674"/>
      <c r="HA674"/>
      <c r="HB674"/>
      <c r="HC674"/>
    </row>
    <row r="675" spans="1:211" s="7" customForma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28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81"/>
      <c r="AG675" s="81"/>
      <c r="AH675" s="81"/>
      <c r="AI675" s="4"/>
      <c r="AJ675" s="81"/>
      <c r="AK675" s="81"/>
      <c r="AL675" s="81"/>
      <c r="AM675" s="43">
        <v>659</v>
      </c>
      <c r="AN675">
        <v>36.570576872982556</v>
      </c>
      <c r="AO675">
        <v>0.89952942424298288</v>
      </c>
      <c r="AP675">
        <v>0.84848569913550498</v>
      </c>
      <c r="AQ675">
        <v>6.979828484073253</v>
      </c>
      <c r="AR675">
        <v>0.83807335114746717</v>
      </c>
      <c r="AS675">
        <v>2.8796547610523286</v>
      </c>
      <c r="AT675">
        <v>0.59288394707364001</v>
      </c>
      <c r="AU675">
        <v>0.14126449347349887</v>
      </c>
      <c r="AV675"/>
      <c r="AW675"/>
      <c r="FY675" s="211">
        <v>670</v>
      </c>
      <c r="FZ675">
        <v>0.80968806346755406</v>
      </c>
      <c r="GA675">
        <v>1.636195636190064</v>
      </c>
      <c r="GB675">
        <v>2.2928296845049378</v>
      </c>
      <c r="GC675">
        <v>1.3456341260751645</v>
      </c>
      <c r="GD675">
        <v>0.24017599165171177</v>
      </c>
      <c r="GE675">
        <v>0.13580575682962504</v>
      </c>
      <c r="GF675">
        <v>0.73485967443875966</v>
      </c>
      <c r="GG675">
        <v>0.61737285987307855</v>
      </c>
      <c r="GH675">
        <v>8.9508689212329934E-2</v>
      </c>
      <c r="GI675">
        <v>0.96250058760291546</v>
      </c>
      <c r="GJ675"/>
      <c r="GK675">
        <v>0.80688933823529407</v>
      </c>
      <c r="GL675">
        <v>1.3779909007352942</v>
      </c>
      <c r="GM675">
        <v>3.7643473011363628</v>
      </c>
      <c r="GN675">
        <v>3.9493341314935053</v>
      </c>
      <c r="GO675">
        <v>0.91354151785714277</v>
      </c>
      <c r="GP675">
        <v>0.25514062500000001</v>
      </c>
      <c r="GQ675">
        <v>0.88672010869565221</v>
      </c>
      <c r="GR675">
        <v>0.85939719202898535</v>
      </c>
      <c r="GS675">
        <v>9.465845352564102E-2</v>
      </c>
      <c r="GT675">
        <v>1.2932313438900187</v>
      </c>
      <c r="GU675"/>
      <c r="GV675"/>
      <c r="GW675"/>
      <c r="GX675"/>
      <c r="GY675"/>
      <c r="GZ675"/>
      <c r="HA675"/>
      <c r="HB675"/>
      <c r="HC675"/>
    </row>
    <row r="676" spans="1:211" s="7" customForma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28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81"/>
      <c r="AG676" s="81"/>
      <c r="AH676" s="81"/>
      <c r="AI676" s="4"/>
      <c r="AJ676" s="81"/>
      <c r="AK676" s="81"/>
      <c r="AL676" s="81"/>
      <c r="AM676" s="43">
        <v>660</v>
      </c>
      <c r="AN676">
        <v>48.412325061713645</v>
      </c>
      <c r="AO676">
        <v>0.90730280747581227</v>
      </c>
      <c r="AP676">
        <v>6.3239863536079861</v>
      </c>
      <c r="AQ676">
        <v>5.8406821776586506</v>
      </c>
      <c r="AR676">
        <v>0.82923780137661252</v>
      </c>
      <c r="AS676">
        <v>4.0081815201163371</v>
      </c>
      <c r="AT676" t="e">
        <v>#DIV/0!</v>
      </c>
      <c r="AU676" t="e">
        <v>#DIV/0!</v>
      </c>
      <c r="AV676"/>
      <c r="AW676"/>
      <c r="FY676" s="211">
        <v>671</v>
      </c>
      <c r="FZ676">
        <v>9.8105487457753104E-2</v>
      </c>
      <c r="GA676">
        <v>0.7996231716188249</v>
      </c>
      <c r="GB676">
        <v>0.51308914792765781</v>
      </c>
      <c r="GC676">
        <v>0.3533033108796263</v>
      </c>
      <c r="GD676">
        <v>0.21495233767283684</v>
      </c>
      <c r="GE676">
        <v>8.2862930684025005E-2</v>
      </c>
      <c r="GF676">
        <v>0.45565491086656262</v>
      </c>
      <c r="GG676">
        <v>0.28954215414031298</v>
      </c>
      <c r="GH676">
        <v>2.2985735835423678E-2</v>
      </c>
      <c r="GI676">
        <v>0.34710655515339672</v>
      </c>
      <c r="GJ676"/>
      <c r="GK676">
        <v>9.7781249999999986E-2</v>
      </c>
      <c r="GL676">
        <v>0.67349999999999999</v>
      </c>
      <c r="GM676">
        <v>0.84173437500000015</v>
      </c>
      <c r="GN676">
        <v>1.034760267857143</v>
      </c>
      <c r="GO676">
        <v>0.81763526785714302</v>
      </c>
      <c r="GP676">
        <v>0.15557812500000001</v>
      </c>
      <c r="GQ676">
        <v>0.54931385869565208</v>
      </c>
      <c r="GR676">
        <v>0.40278260869565213</v>
      </c>
      <c r="GS676">
        <v>2.4293870192307693E-2</v>
      </c>
      <c r="GT676">
        <v>0.46615172434902047</v>
      </c>
      <c r="GU676"/>
      <c r="GV676"/>
      <c r="GW676"/>
      <c r="GX676"/>
      <c r="GY676"/>
      <c r="GZ676"/>
      <c r="HA676"/>
      <c r="HB676"/>
      <c r="HC676"/>
    </row>
    <row r="677" spans="1:211" s="7" customForma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28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81"/>
      <c r="AG677" s="81"/>
      <c r="AH677" s="81"/>
      <c r="AI677" s="4"/>
      <c r="AJ677" s="81"/>
      <c r="AK677" s="81"/>
      <c r="AL677" s="81"/>
      <c r="AM677" s="43">
        <v>661</v>
      </c>
      <c r="AN677">
        <v>28.104876981915027</v>
      </c>
      <c r="AO677">
        <v>0.65452738625278695</v>
      </c>
      <c r="AP677">
        <v>0.59737076562917868</v>
      </c>
      <c r="AQ677">
        <v>4.0215028660692242</v>
      </c>
      <c r="AR677">
        <v>0.60809990752001608</v>
      </c>
      <c r="AS677">
        <v>2.3134713930893374</v>
      </c>
      <c r="AT677">
        <v>0.4554175777511888</v>
      </c>
      <c r="AU677">
        <v>5.4549219815578504E-2</v>
      </c>
      <c r="AV677"/>
      <c r="AW677"/>
      <c r="FY677" s="211">
        <v>672</v>
      </c>
      <c r="FZ677">
        <v>1.211100050317891</v>
      </c>
      <c r="GA677">
        <v>1.9923389253417625</v>
      </c>
      <c r="GB677">
        <v>1.0967623480686761</v>
      </c>
      <c r="GC677">
        <v>0.71646267596276014</v>
      </c>
      <c r="GD677">
        <v>0.26772435813257356</v>
      </c>
      <c r="GE677">
        <v>0.11460862901025</v>
      </c>
      <c r="GF677">
        <v>0.36024295839505316</v>
      </c>
      <c r="GG677">
        <v>0.27724879729462504</v>
      </c>
      <c r="GH677">
        <v>4.5971471670847357E-2</v>
      </c>
      <c r="GI677">
        <v>0.67124446183321995</v>
      </c>
      <c r="GJ677"/>
      <c r="GK677">
        <v>1.206986213235294</v>
      </c>
      <c r="GL677">
        <v>1.678044806985294</v>
      </c>
      <c r="GM677">
        <v>1.8001743607954543</v>
      </c>
      <c r="GN677">
        <v>2.1011363027597403</v>
      </c>
      <c r="GO677">
        <v>1.0182080357142855</v>
      </c>
      <c r="GP677">
        <v>0.21534374999999997</v>
      </c>
      <c r="GQ677">
        <v>0.43509375</v>
      </c>
      <c r="GR677">
        <v>0.38624999999999998</v>
      </c>
      <c r="GS677">
        <v>4.8587740384615385E-2</v>
      </c>
      <c r="GT677">
        <v>0.90181002002592991</v>
      </c>
      <c r="GU677"/>
      <c r="GV677"/>
      <c r="GW677"/>
      <c r="GX677"/>
      <c r="GY677"/>
      <c r="GZ677"/>
      <c r="HA677"/>
      <c r="HB677"/>
      <c r="HC677"/>
    </row>
    <row r="678" spans="1:211" s="7" customForma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28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81"/>
      <c r="AG678" s="81"/>
      <c r="AH678" s="81"/>
      <c r="AI678" s="4"/>
      <c r="AJ678" s="81"/>
      <c r="AK678" s="81"/>
      <c r="AL678" s="81"/>
      <c r="AM678" s="43">
        <v>662</v>
      </c>
      <c r="AN678">
        <v>33.544092668189535</v>
      </c>
      <c r="AO678">
        <v>0.84000579066455183</v>
      </c>
      <c r="AP678">
        <v>0.82454332847824652</v>
      </c>
      <c r="AQ678">
        <v>6.4756388009821331</v>
      </c>
      <c r="AR678">
        <v>0.79120527516707484</v>
      </c>
      <c r="AS678">
        <v>2.6460744157543594</v>
      </c>
      <c r="AT678">
        <v>0.54828296694163769</v>
      </c>
      <c r="AU678">
        <v>0.22991726531830831</v>
      </c>
      <c r="AV678"/>
      <c r="AW678"/>
      <c r="FY678" s="211">
        <v>673</v>
      </c>
      <c r="FZ678">
        <v>2.5434556575911471</v>
      </c>
      <c r="GA678">
        <v>3.1215047653953736</v>
      </c>
      <c r="GB678">
        <v>1.2516627963262956</v>
      </c>
      <c r="GC678">
        <v>0.68683311263696656</v>
      </c>
      <c r="GD678">
        <v>0.11456509764320999</v>
      </c>
      <c r="GE678">
        <v>0.16465914894285</v>
      </c>
      <c r="GF678">
        <v>0.5344786465355188</v>
      </c>
      <c r="GG678">
        <v>0.4281665527876255</v>
      </c>
      <c r="GH678">
        <v>2.2985735835423678E-2</v>
      </c>
      <c r="GI678">
        <v>0.84767537827553752</v>
      </c>
      <c r="GJ678"/>
      <c r="GK678">
        <v>2.5348461397058819</v>
      </c>
      <c r="GL678">
        <v>2.6294047334558819</v>
      </c>
      <c r="GM678">
        <v>2.0552120028409089</v>
      </c>
      <c r="GN678">
        <v>2.0166971590909086</v>
      </c>
      <c r="GO678">
        <v>0.43620000000000003</v>
      </c>
      <c r="GP678">
        <v>0.30946875000000001</v>
      </c>
      <c r="GQ678">
        <v>0.64475135869565214</v>
      </c>
      <c r="GR678">
        <v>0.59590760869565207</v>
      </c>
      <c r="GS678">
        <v>2.4293870192307693E-2</v>
      </c>
      <c r="GT678">
        <v>1.13906067428695</v>
      </c>
      <c r="GU678"/>
      <c r="GV678"/>
      <c r="GW678"/>
      <c r="GX678"/>
      <c r="GY678"/>
      <c r="GZ678"/>
      <c r="HA678"/>
      <c r="HB678"/>
      <c r="HC678"/>
    </row>
    <row r="679" spans="1:211" s="7" customForma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28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81"/>
      <c r="AG679" s="81"/>
      <c r="AH679" s="81"/>
      <c r="AI679" s="4"/>
      <c r="AJ679" s="81"/>
      <c r="AK679" s="81"/>
      <c r="AL679" s="81"/>
      <c r="AM679" s="43">
        <v>663</v>
      </c>
      <c r="AN679">
        <v>64.542783047118874</v>
      </c>
      <c r="AO679">
        <v>1.5980544763700837</v>
      </c>
      <c r="AP679">
        <v>1.1459596201581408</v>
      </c>
      <c r="AQ679">
        <v>12.610061781376757</v>
      </c>
      <c r="AR679">
        <v>1.4875847621721041</v>
      </c>
      <c r="AS679">
        <v>5.0603640195635258</v>
      </c>
      <c r="AT679">
        <v>1.0424460592607716</v>
      </c>
      <c r="AU679">
        <v>0.31165854631103196</v>
      </c>
      <c r="AV679"/>
      <c r="AW679"/>
      <c r="FY679" s="211">
        <v>674</v>
      </c>
      <c r="FZ679">
        <v>1.8118489235162576</v>
      </c>
      <c r="GA679">
        <v>2.6622178990398373</v>
      </c>
      <c r="GB679">
        <v>0.87281237330966588</v>
      </c>
      <c r="GC679">
        <v>0.60727922946507329</v>
      </c>
      <c r="GD679">
        <v>0.29721154473382499</v>
      </c>
      <c r="GE679">
        <v>0.18387676744312501</v>
      </c>
      <c r="GF679">
        <v>0.66819523726455643</v>
      </c>
      <c r="GG679">
        <v>0.62966621671876666</v>
      </c>
      <c r="GH679">
        <v>6.6522953376906252E-2</v>
      </c>
      <c r="GI679">
        <v>0.78089975574852488</v>
      </c>
      <c r="GJ679"/>
      <c r="GK679">
        <v>1.8057224264705882</v>
      </c>
      <c r="GL679">
        <v>2.2424216452205883</v>
      </c>
      <c r="GM679">
        <v>1.4326509232954545</v>
      </c>
      <c r="GN679">
        <v>1.7813423295454545</v>
      </c>
      <c r="GO679">
        <v>1.13109375</v>
      </c>
      <c r="GP679">
        <v>0.345703125</v>
      </c>
      <c r="GQ679">
        <v>0.80556521739130427</v>
      </c>
      <c r="GR679">
        <v>0.87592980072463755</v>
      </c>
      <c r="GS679">
        <v>7.0364583333333328E-2</v>
      </c>
      <c r="GT679">
        <v>1.0490793800981359</v>
      </c>
      <c r="GU679"/>
      <c r="GV679"/>
      <c r="GW679"/>
      <c r="GX679"/>
      <c r="GY679"/>
      <c r="GZ679"/>
      <c r="HA679"/>
      <c r="HB679"/>
      <c r="HC679"/>
    </row>
    <row r="680" spans="1:211" s="7" customFormat="1">
      <c r="A680" s="4"/>
      <c r="B680" s="4"/>
      <c r="C680" s="105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28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81"/>
      <c r="AG680" s="81"/>
      <c r="AH680" s="81"/>
      <c r="AI680" s="4"/>
      <c r="AJ680" s="81"/>
      <c r="AK680" s="81"/>
      <c r="AL680" s="81"/>
      <c r="AM680" s="43">
        <v>664</v>
      </c>
      <c r="AN680">
        <v>68.646694318753148</v>
      </c>
      <c r="AO680">
        <v>1.5848598563348415</v>
      </c>
      <c r="AP680">
        <v>1.7883402145281955</v>
      </c>
      <c r="AQ680">
        <v>9.4078020142684391</v>
      </c>
      <c r="AR680">
        <v>1.453856698503702</v>
      </c>
      <c r="AS680">
        <v>5.538186704551511</v>
      </c>
      <c r="AT680" t="e">
        <v>#DIV/0!</v>
      </c>
      <c r="AU680" t="e">
        <v>#DIV/0!</v>
      </c>
      <c r="AV680"/>
      <c r="AW680"/>
      <c r="FY680" s="211">
        <v>675</v>
      </c>
      <c r="FZ680">
        <v>1.9154669857562285</v>
      </c>
      <c r="GA680">
        <v>2.3700110606178395</v>
      </c>
      <c r="GB680">
        <v>0.84113780853225584</v>
      </c>
      <c r="GC680">
        <v>0.54234582859012881</v>
      </c>
      <c r="GD680">
        <v>0.17671582561904675</v>
      </c>
      <c r="GE680">
        <v>0.13569789937837501</v>
      </c>
      <c r="GF680">
        <v>0.15986193049181252</v>
      </c>
      <c r="GG680">
        <v>0.23978821552359375</v>
      </c>
      <c r="GH680">
        <v>0.1330459067538125</v>
      </c>
      <c r="GI680">
        <v>0.63953619613329848</v>
      </c>
      <c r="GJ680"/>
      <c r="GK680">
        <v>1.9088568014705882</v>
      </c>
      <c r="GL680">
        <v>1.9961028952205884</v>
      </c>
      <c r="GM680">
        <v>1.3808149857954546</v>
      </c>
      <c r="GN680">
        <v>1.5919510349025972</v>
      </c>
      <c r="GO680">
        <v>0.67314776785714281</v>
      </c>
      <c r="GP680">
        <v>0.25523437500000001</v>
      </c>
      <c r="GQ680">
        <v>0.19312499999999999</v>
      </c>
      <c r="GR680">
        <v>0.33385416666666667</v>
      </c>
      <c r="GS680">
        <v>0.14072916666666666</v>
      </c>
      <c r="GT680">
        <v>0.85933474435797041</v>
      </c>
      <c r="GU680"/>
      <c r="GV680"/>
      <c r="GW680"/>
      <c r="GX680"/>
      <c r="GY680"/>
      <c r="GZ680"/>
      <c r="HA680"/>
      <c r="HB680"/>
      <c r="HC680"/>
    </row>
    <row r="681" spans="1:211" s="7" customFormat="1">
      <c r="A681" s="4"/>
      <c r="B681" s="4"/>
      <c r="C681" s="105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28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81"/>
      <c r="AG681" s="81"/>
      <c r="AH681" s="81"/>
      <c r="AI681" s="4"/>
      <c r="AJ681" s="81"/>
      <c r="AK681" s="81"/>
      <c r="AL681" s="81"/>
      <c r="AM681" s="43">
        <v>665</v>
      </c>
      <c r="AN681">
        <v>59.286548608899146</v>
      </c>
      <c r="AO681">
        <v>1.2101092724135012</v>
      </c>
      <c r="AP681">
        <v>1.3386009908028753</v>
      </c>
      <c r="AQ681">
        <v>6.9604932634744943</v>
      </c>
      <c r="AR681">
        <v>1.1131743494843021</v>
      </c>
      <c r="AS681">
        <v>5.0842735137452806</v>
      </c>
      <c r="AT681">
        <v>0.94872080008353077</v>
      </c>
      <c r="AU681">
        <v>5.2507620340082217E-2</v>
      </c>
      <c r="AV681"/>
      <c r="AW681"/>
      <c r="FY681" s="211">
        <v>676</v>
      </c>
      <c r="FZ681">
        <v>0.62314832470192594</v>
      </c>
      <c r="GA681">
        <v>0.99154112243556725</v>
      </c>
      <c r="GB681">
        <v>0.33089196615336214</v>
      </c>
      <c r="GC681">
        <v>0.38754254246545439</v>
      </c>
      <c r="GD681">
        <v>0.21922323173902605</v>
      </c>
      <c r="GE681">
        <v>6.6483689671125015E-2</v>
      </c>
      <c r="GF681">
        <v>8.1038194822856249E-2</v>
      </c>
      <c r="GG681">
        <v>5.0581908438140623E-2</v>
      </c>
      <c r="GH681">
        <v>8.9508689212329934E-2</v>
      </c>
      <c r="GI681">
        <v>0.32609560494499512</v>
      </c>
      <c r="GJ681"/>
      <c r="GK681">
        <v>0.62070937500000001</v>
      </c>
      <c r="GL681">
        <v>0.83479921875000007</v>
      </c>
      <c r="GM681">
        <v>0.54295703125000006</v>
      </c>
      <c r="GN681">
        <v>1.1353127232142857</v>
      </c>
      <c r="GO681">
        <v>0.83358616071428571</v>
      </c>
      <c r="GP681">
        <v>0.12482812500000001</v>
      </c>
      <c r="GQ681">
        <v>9.768750000000001E-2</v>
      </c>
      <c r="GR681">
        <v>7.0364583333333328E-2</v>
      </c>
      <c r="GS681">
        <v>9.465845352564102E-2</v>
      </c>
      <c r="GT681">
        <v>0.43791970409798531</v>
      </c>
      <c r="GU681"/>
      <c r="GV681"/>
      <c r="GW681"/>
      <c r="GX681"/>
      <c r="GY681"/>
      <c r="GZ681"/>
      <c r="HA681"/>
      <c r="HB681"/>
      <c r="HC681"/>
    </row>
    <row r="682" spans="1:211" s="7" customFormat="1">
      <c r="A682" s="4"/>
      <c r="B682" s="4"/>
      <c r="C682" s="105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28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81"/>
      <c r="AG682" s="81"/>
      <c r="AH682" s="81"/>
      <c r="AI682" s="4"/>
      <c r="AJ682" s="81"/>
      <c r="AK682" s="81"/>
      <c r="AL682" s="81"/>
      <c r="AM682" s="43">
        <v>666</v>
      </c>
      <c r="AN682">
        <v>57.224314356223715</v>
      </c>
      <c r="AO682">
        <v>1.1859125394626286</v>
      </c>
      <c r="AP682">
        <v>6.1712080430169474</v>
      </c>
      <c r="AQ682">
        <v>8.4790403904011953</v>
      </c>
      <c r="AR682">
        <v>1.1078744895464459</v>
      </c>
      <c r="AS682">
        <v>4.5217477930698573</v>
      </c>
      <c r="AT682" t="e">
        <v>#DIV/0!</v>
      </c>
      <c r="AU682" t="e">
        <v>#DIV/0!</v>
      </c>
      <c r="AV682"/>
      <c r="AW682"/>
      <c r="FY682" s="211">
        <v>677</v>
      </c>
      <c r="FZ682">
        <v>0.49411638125445934</v>
      </c>
      <c r="GA682">
        <v>0.60832324707666086</v>
      </c>
      <c r="GB682">
        <v>0.31227327979023511</v>
      </c>
      <c r="GC682">
        <v>0.87243100711747301</v>
      </c>
      <c r="GD682">
        <v>0.64339276757458508</v>
      </c>
      <c r="GE682">
        <v>7.7086188903599986E-2</v>
      </c>
      <c r="GF682">
        <v>0.33409761863227821</v>
      </c>
      <c r="GG682">
        <v>0.28954215414031298</v>
      </c>
      <c r="GH682">
        <v>4.5971471670847357E-2</v>
      </c>
      <c r="GI682">
        <v>0.58120557083770152</v>
      </c>
      <c r="GJ682"/>
      <c r="GK682">
        <v>0.49246874999999996</v>
      </c>
      <c r="GL682">
        <v>0.51220312499999987</v>
      </c>
      <c r="GM682">
        <v>0.51227343749999998</v>
      </c>
      <c r="GN682">
        <v>2.5548328124999999</v>
      </c>
      <c r="GO682">
        <v>2.4461062500000001</v>
      </c>
      <c r="GP682">
        <v>0.14474999999999999</v>
      </c>
      <c r="GQ682">
        <v>0.40278260869565213</v>
      </c>
      <c r="GR682">
        <v>0.40278260869565213</v>
      </c>
      <c r="GS682">
        <v>4.8587740384615385E-2</v>
      </c>
      <c r="GT682">
        <v>0.78044375731605342</v>
      </c>
      <c r="GU682"/>
      <c r="GV682"/>
      <c r="GW682"/>
      <c r="GX682"/>
      <c r="GY682"/>
      <c r="GZ682"/>
      <c r="HA682"/>
      <c r="HB682"/>
      <c r="HC682"/>
    </row>
    <row r="683" spans="1:211" s="7" customFormat="1">
      <c r="A683" s="4"/>
      <c r="B683" s="4"/>
      <c r="C683" s="105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28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81"/>
      <c r="AG683" s="81"/>
      <c r="AH683" s="81"/>
      <c r="AI683" s="4"/>
      <c r="AJ683" s="81"/>
      <c r="AK683" s="81"/>
      <c r="AL683" s="81"/>
      <c r="AM683" s="43">
        <v>667</v>
      </c>
      <c r="AN683">
        <v>42.033836360398858</v>
      </c>
      <c r="AO683">
        <v>0.91562038181089744</v>
      </c>
      <c r="AP683">
        <v>2.1849286516090496</v>
      </c>
      <c r="AQ683">
        <v>5.5564521433081833</v>
      </c>
      <c r="AR683">
        <v>0.85349640260780901</v>
      </c>
      <c r="AS683">
        <v>3.417052853650234</v>
      </c>
      <c r="AT683" t="e">
        <v>#DIV/0!</v>
      </c>
      <c r="AU683" t="e">
        <v>#DIV/0!</v>
      </c>
      <c r="AV683"/>
      <c r="AW683"/>
      <c r="FY683" s="211">
        <v>678</v>
      </c>
      <c r="FZ683">
        <v>2.0026186543081606</v>
      </c>
      <c r="GA683">
        <v>3.302334496862247</v>
      </c>
      <c r="GB683">
        <v>2.1605185737766193</v>
      </c>
      <c r="GC683">
        <v>1.3364405851997683</v>
      </c>
      <c r="GD683">
        <v>0.40956606136806423</v>
      </c>
      <c r="GE683">
        <v>0.12713670883619999</v>
      </c>
      <c r="GF683">
        <v>0.31972386098362504</v>
      </c>
      <c r="GG683">
        <v>0.27724879729462504</v>
      </c>
      <c r="GH683">
        <v>0</v>
      </c>
      <c r="GI683">
        <v>1.1143687595934293</v>
      </c>
      <c r="GJ683"/>
      <c r="GK683">
        <v>1.9957818014705877</v>
      </c>
      <c r="GL683">
        <v>2.7813130514705882</v>
      </c>
      <c r="GM683">
        <v>3.5464580965909085</v>
      </c>
      <c r="GN683">
        <v>3.9203464894480513</v>
      </c>
      <c r="GO683">
        <v>1.5576696428571428</v>
      </c>
      <c r="GP683">
        <v>0.23887499999999998</v>
      </c>
      <c r="GQ683">
        <v>0.38624999999999998</v>
      </c>
      <c r="GR683">
        <v>0.38624999999999998</v>
      </c>
      <c r="GS683">
        <v>0</v>
      </c>
      <c r="GT683">
        <v>1.497231908183728</v>
      </c>
      <c r="GU683"/>
      <c r="GV683"/>
      <c r="GW683"/>
      <c r="GX683"/>
      <c r="GY683"/>
      <c r="GZ683"/>
      <c r="HA683"/>
      <c r="HB683"/>
      <c r="HC683"/>
    </row>
    <row r="684" spans="1:211" s="7" customFormat="1">
      <c r="A684" s="4"/>
      <c r="B684" s="4"/>
      <c r="C684" s="105"/>
      <c r="D684" s="4"/>
      <c r="E684" s="4"/>
      <c r="F684" s="28"/>
      <c r="G684" s="28"/>
      <c r="H684" s="83"/>
      <c r="I684" s="4"/>
      <c r="J684" s="4"/>
      <c r="K684" s="4"/>
      <c r="L684" s="4"/>
      <c r="M684" s="4"/>
      <c r="N684" s="28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81"/>
      <c r="AG684" s="81"/>
      <c r="AH684" s="81"/>
      <c r="AI684" s="4"/>
      <c r="AJ684" s="81"/>
      <c r="AK684" s="81"/>
      <c r="AL684" s="81"/>
      <c r="AM684" s="43">
        <v>668</v>
      </c>
      <c r="AN684">
        <v>33.224949733237771</v>
      </c>
      <c r="AO684">
        <v>0.85897367494326338</v>
      </c>
      <c r="AP684">
        <v>5.3803337790650581</v>
      </c>
      <c r="AQ684">
        <v>5.4588922086896332</v>
      </c>
      <c r="AR684">
        <v>0.80482664723863095</v>
      </c>
      <c r="AS684">
        <v>2.7378613841337733</v>
      </c>
      <c r="AT684" t="e">
        <v>#DIV/0!</v>
      </c>
      <c r="AU684" t="e">
        <v>#DIV/0!</v>
      </c>
      <c r="AV684"/>
      <c r="AW684"/>
      <c r="FY684" s="211">
        <v>679</v>
      </c>
      <c r="FZ684">
        <v>1.1257629292837916</v>
      </c>
      <c r="GA684">
        <v>1.632931095693402</v>
      </c>
      <c r="GB684">
        <v>0.73666385735154605</v>
      </c>
      <c r="GC684">
        <v>0.55790716297370557</v>
      </c>
      <c r="GD684">
        <v>0.27394970625888426</v>
      </c>
      <c r="GE684">
        <v>0.15502337532990002</v>
      </c>
      <c r="GF684">
        <v>0.20038102790324064</v>
      </c>
      <c r="GG684">
        <v>0.13862439864731252</v>
      </c>
      <c r="GH684">
        <v>6.8957207506271032E-2</v>
      </c>
      <c r="GI684">
        <v>0.54900607856398764</v>
      </c>
      <c r="GJ684"/>
      <c r="GK684">
        <v>1.1218893382352939</v>
      </c>
      <c r="GL684">
        <v>1.375201838235294</v>
      </c>
      <c r="GM684">
        <v>1.2086640625</v>
      </c>
      <c r="GN684">
        <v>1.6352962053571429</v>
      </c>
      <c r="GO684">
        <v>1.0420071428571427</v>
      </c>
      <c r="GP684">
        <v>0.291375</v>
      </c>
      <c r="GQ684">
        <v>0.24196875000000001</v>
      </c>
      <c r="GR684">
        <v>0.19312499999999999</v>
      </c>
      <c r="GS684">
        <v>7.2881610576923078E-2</v>
      </c>
      <c r="GT684">
        <v>0.73748218083387207</v>
      </c>
      <c r="GU684"/>
      <c r="GV684"/>
      <c r="GW684"/>
      <c r="GX684"/>
      <c r="GY684"/>
      <c r="GZ684"/>
      <c r="HA684"/>
      <c r="HB684"/>
      <c r="HC684"/>
    </row>
    <row r="685" spans="1:211" s="7" customFormat="1">
      <c r="A685" s="4"/>
      <c r="B685" s="4"/>
      <c r="C685" s="105"/>
      <c r="D685" s="4"/>
      <c r="E685" s="4"/>
      <c r="F685" s="28"/>
      <c r="G685" s="28"/>
      <c r="H685" s="83"/>
      <c r="I685" s="4"/>
      <c r="J685" s="4"/>
      <c r="K685" s="4"/>
      <c r="L685" s="4"/>
      <c r="M685" s="4"/>
      <c r="N685" s="28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81"/>
      <c r="AG685" s="81"/>
      <c r="AH685" s="81"/>
      <c r="AI685" s="4"/>
      <c r="AJ685" s="81"/>
      <c r="AK685" s="81"/>
      <c r="AL685" s="81"/>
      <c r="AM685" s="43">
        <v>669</v>
      </c>
      <c r="AN685">
        <v>58.93638693098012</v>
      </c>
      <c r="AO685">
        <v>1.3101416218734774</v>
      </c>
      <c r="AP685">
        <v>0.71399551460843036</v>
      </c>
      <c r="AQ685">
        <v>9.4240462714461746</v>
      </c>
      <c r="AR685">
        <v>1.2055264744304344</v>
      </c>
      <c r="AS685">
        <v>4.5525902904574256</v>
      </c>
      <c r="AT685" t="e">
        <v>#DIV/0!</v>
      </c>
      <c r="AU685" t="e">
        <v>#DIV/0!</v>
      </c>
      <c r="AV685"/>
      <c r="AW685"/>
      <c r="FY685" s="211">
        <v>680</v>
      </c>
      <c r="FZ685">
        <v>0.88780954393019007</v>
      </c>
      <c r="GA685">
        <v>1.4701591030536354</v>
      </c>
      <c r="GB685">
        <v>1.5154162708626246</v>
      </c>
      <c r="GC685">
        <v>1.1520350514724069</v>
      </c>
      <c r="GD685">
        <v>0.36491152105014746</v>
      </c>
      <c r="GE685">
        <v>0.158928465242475</v>
      </c>
      <c r="GF685">
        <v>0.49617400827799069</v>
      </c>
      <c r="GG685">
        <v>0.34012406257845362</v>
      </c>
      <c r="GH685">
        <v>8.9508689212329934E-2</v>
      </c>
      <c r="GI685">
        <v>0.81185354086714945</v>
      </c>
      <c r="GJ685"/>
      <c r="GK685">
        <v>0.88474871323529414</v>
      </c>
      <c r="GL685">
        <v>1.238104181985294</v>
      </c>
      <c r="GM685">
        <v>2.4877979403409087</v>
      </c>
      <c r="GN685">
        <v>3.3792362215909089</v>
      </c>
      <c r="GO685">
        <v>1.3878093749999998</v>
      </c>
      <c r="GP685">
        <v>0.29854687500000004</v>
      </c>
      <c r="GQ685">
        <v>0.59815760869565204</v>
      </c>
      <c r="GR685">
        <v>0.47314719202898542</v>
      </c>
      <c r="GS685">
        <v>9.465845352564102E-2</v>
      </c>
      <c r="GT685">
        <v>1.0906344181594991</v>
      </c>
      <c r="GU685"/>
      <c r="GV685"/>
      <c r="GW685"/>
      <c r="GX685"/>
      <c r="GY685"/>
      <c r="GZ685"/>
      <c r="HA685"/>
      <c r="HB685"/>
      <c r="HC685"/>
    </row>
    <row r="686" spans="1:211" s="7" customFormat="1">
      <c r="A686" s="4"/>
      <c r="B686" s="4"/>
      <c r="C686" s="105"/>
      <c r="D686" s="4"/>
      <c r="E686" s="4"/>
      <c r="F686" s="28"/>
      <c r="G686" s="28"/>
      <c r="H686" s="83"/>
      <c r="I686" s="4"/>
      <c r="J686" s="4"/>
      <c r="K686" s="4"/>
      <c r="L686" s="4"/>
      <c r="M686" s="4"/>
      <c r="N686" s="28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81"/>
      <c r="AG686" s="81"/>
      <c r="AH686" s="81"/>
      <c r="AI686" s="4"/>
      <c r="AJ686" s="81"/>
      <c r="AK686" s="81"/>
      <c r="AL686" s="81"/>
      <c r="AM686" s="43">
        <v>670</v>
      </c>
      <c r="AN686">
        <v>55.124615154962022</v>
      </c>
      <c r="AO686">
        <v>1.4201250912597898</v>
      </c>
      <c r="AP686">
        <v>10.030804690534913</v>
      </c>
      <c r="AQ686">
        <v>8.8645710698461428</v>
      </c>
      <c r="AR686">
        <v>1.2932313438900187</v>
      </c>
      <c r="AS686">
        <v>4.4807885741606572</v>
      </c>
      <c r="AT686" t="e">
        <v>#DIV/0!</v>
      </c>
      <c r="AU686" t="e">
        <v>#DIV/0!</v>
      </c>
      <c r="AV686"/>
      <c r="AW686"/>
      <c r="FY686" s="211">
        <v>681</v>
      </c>
      <c r="FZ686">
        <v>1.1711320363276569</v>
      </c>
      <c r="GA686">
        <v>1.9493366605263065</v>
      </c>
      <c r="GB686">
        <v>1.434846635496186</v>
      </c>
      <c r="GC686">
        <v>1.0723777442176841</v>
      </c>
      <c r="GD686">
        <v>0.40670912587506425</v>
      </c>
      <c r="GE686">
        <v>0.12900836070404997</v>
      </c>
      <c r="GF686">
        <v>0</v>
      </c>
      <c r="GG686">
        <v>0</v>
      </c>
      <c r="GH686">
        <v>4.5971471670847357E-2</v>
      </c>
      <c r="GI686">
        <v>0.76191220755807887</v>
      </c>
      <c r="GJ686"/>
      <c r="GK686">
        <v>1.167142463235294</v>
      </c>
      <c r="GL686">
        <v>1.6418573069852942</v>
      </c>
      <c r="GM686">
        <v>2.3556807528409087</v>
      </c>
      <c r="GN686">
        <v>3.1453855519480518</v>
      </c>
      <c r="GO686">
        <v>1.5467946428571431</v>
      </c>
      <c r="GP686">
        <v>0.24253124999999998</v>
      </c>
      <c r="GQ686">
        <v>0</v>
      </c>
      <c r="GR686">
        <v>0</v>
      </c>
      <c r="GS686">
        <v>4.8587740384615385E-2</v>
      </c>
      <c r="GT686">
        <v>1.023641119863592</v>
      </c>
      <c r="GU686"/>
      <c r="GV686"/>
      <c r="GW686"/>
      <c r="GX686"/>
      <c r="GY686"/>
      <c r="GZ686"/>
      <c r="HA686"/>
      <c r="HB686"/>
      <c r="HC686"/>
    </row>
    <row r="687" spans="1:211" s="7" customFormat="1">
      <c r="A687" s="4"/>
      <c r="B687" s="4"/>
      <c r="C687" s="105"/>
      <c r="D687" s="4"/>
      <c r="E687" s="4"/>
      <c r="F687" s="28"/>
      <c r="G687" s="28"/>
      <c r="H687" s="83"/>
      <c r="I687" s="4"/>
      <c r="J687" s="4"/>
      <c r="K687" s="4"/>
      <c r="L687" s="4"/>
      <c r="M687" s="4"/>
      <c r="N687" s="28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81"/>
      <c r="AG687" s="81"/>
      <c r="AH687" s="81"/>
      <c r="AI687" s="4"/>
      <c r="AJ687" s="81"/>
      <c r="AK687" s="81"/>
      <c r="AL687" s="81"/>
      <c r="AM687" s="43">
        <v>671</v>
      </c>
      <c r="AN687">
        <v>26.01676520942825</v>
      </c>
      <c r="AO687">
        <v>0.5063531347646919</v>
      </c>
      <c r="AP687">
        <v>0.3154433001936694</v>
      </c>
      <c r="AQ687">
        <v>3.1772257422364198</v>
      </c>
      <c r="AR687">
        <v>0.46615172434902052</v>
      </c>
      <c r="AS687">
        <v>2.1389788847531643</v>
      </c>
      <c r="AT687" t="e">
        <v>#DIV/0!</v>
      </c>
      <c r="AU687" t="e">
        <v>#DIV/0!</v>
      </c>
      <c r="AV687"/>
      <c r="AW687"/>
      <c r="FY687" s="211">
        <v>682</v>
      </c>
      <c r="FZ687">
        <v>0.36518215119445963</v>
      </c>
      <c r="GA687">
        <v>0.58740896606684045</v>
      </c>
      <c r="GB687">
        <v>0.35297279241116836</v>
      </c>
      <c r="GC687">
        <v>0.38701283342880688</v>
      </c>
      <c r="GD687">
        <v>0.27208865802590676</v>
      </c>
      <c r="GE687">
        <v>0.14833383665557504</v>
      </c>
      <c r="GF687">
        <v>0.37461671604370633</v>
      </c>
      <c r="GG687">
        <v>0.34012406257845362</v>
      </c>
      <c r="GH687">
        <v>6.6522953376906252E-2</v>
      </c>
      <c r="GI687">
        <v>0.3722762899649904</v>
      </c>
      <c r="GJ687"/>
      <c r="GK687">
        <v>0.36387187499999996</v>
      </c>
      <c r="GL687">
        <v>0.49461796875000003</v>
      </c>
      <c r="GM687">
        <v>0.57914453125000009</v>
      </c>
      <c r="GN687">
        <v>1.1337618303571428</v>
      </c>
      <c r="GO687">
        <v>1.0347227678571429</v>
      </c>
      <c r="GP687">
        <v>0.27867187500000001</v>
      </c>
      <c r="GQ687">
        <v>0.45162635869565215</v>
      </c>
      <c r="GR687">
        <v>0.47314719202898542</v>
      </c>
      <c r="GS687">
        <v>7.0364583333333328E-2</v>
      </c>
      <c r="GT687">
        <v>0.4999460232272257</v>
      </c>
      <c r="GU687"/>
      <c r="GV687"/>
      <c r="GW687"/>
      <c r="GX687"/>
      <c r="GY687"/>
      <c r="GZ687"/>
      <c r="HA687"/>
      <c r="HB687"/>
      <c r="HC687"/>
    </row>
    <row r="688" spans="1:211" s="7" customFormat="1">
      <c r="A688" s="4"/>
      <c r="B688" s="4"/>
      <c r="C688" s="105"/>
      <c r="D688" s="4"/>
      <c r="E688" s="4"/>
      <c r="F688" s="28"/>
      <c r="G688" s="28"/>
      <c r="H688" s="83"/>
      <c r="I688" s="4"/>
      <c r="J688" s="4"/>
      <c r="K688" s="4"/>
      <c r="L688" s="4"/>
      <c r="M688" s="4"/>
      <c r="N688" s="28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81"/>
      <c r="AG688" s="81"/>
      <c r="AH688" s="81"/>
      <c r="AI688" s="4"/>
      <c r="AJ688" s="81"/>
      <c r="AK688" s="81"/>
      <c r="AL688" s="81"/>
      <c r="AM688" s="43">
        <v>672</v>
      </c>
      <c r="AN688">
        <v>41.549535054406377</v>
      </c>
      <c r="AO688">
        <v>0.97916349799006142</v>
      </c>
      <c r="AP688">
        <v>1.3436647749410657</v>
      </c>
      <c r="AQ688">
        <v>6.7537046760276596</v>
      </c>
      <c r="AR688">
        <v>0.90181002002592958</v>
      </c>
      <c r="AS688">
        <v>3.2401856670073412</v>
      </c>
      <c r="AT688" t="e">
        <v>#DIV/0!</v>
      </c>
      <c r="AU688" t="e">
        <v>#DIV/0!</v>
      </c>
      <c r="AV688"/>
      <c r="AW688"/>
      <c r="FY688" s="211">
        <v>683</v>
      </c>
      <c r="FZ688">
        <v>0.94455535134307489</v>
      </c>
      <c r="GA688">
        <v>1.3841671086882656</v>
      </c>
      <c r="GB688">
        <v>0.38839411786639916</v>
      </c>
      <c r="GC688">
        <v>0.15922417274424938</v>
      </c>
      <c r="GD688">
        <v>0.12033168912971999</v>
      </c>
      <c r="GE688">
        <v>0.156097958400675</v>
      </c>
      <c r="GF688">
        <v>1.0284381956596096</v>
      </c>
      <c r="GG688">
        <v>0.856333105575251</v>
      </c>
      <c r="GH688">
        <v>2.2985735835423678E-2</v>
      </c>
      <c r="GI688">
        <v>0.49154937787634567</v>
      </c>
      <c r="GJ688"/>
      <c r="GK688">
        <v>0.94124999999999992</v>
      </c>
      <c r="GL688">
        <v>1.16559375</v>
      </c>
      <c r="GM688">
        <v>0.63719531249999994</v>
      </c>
      <c r="GN688">
        <v>0.46704843749999991</v>
      </c>
      <c r="GO688">
        <v>0.45783750000000001</v>
      </c>
      <c r="GP688">
        <v>0.29310937500000006</v>
      </c>
      <c r="GQ688">
        <v>1.2406589673913042</v>
      </c>
      <c r="GR688">
        <v>1.1918152173913041</v>
      </c>
      <c r="GS688">
        <v>2.4293870192307693E-2</v>
      </c>
      <c r="GT688">
        <v>0.66024713001672231</v>
      </c>
      <c r="GU688"/>
      <c r="GV688"/>
      <c r="GW688"/>
      <c r="GX688"/>
      <c r="GY688"/>
      <c r="GZ688"/>
      <c r="HA688"/>
      <c r="HB688"/>
      <c r="HC688"/>
    </row>
    <row r="689" spans="1:211" s="7" customFormat="1">
      <c r="A689" s="4"/>
      <c r="B689" s="4"/>
      <c r="C689" s="105"/>
      <c r="D689" s="4"/>
      <c r="E689" s="4"/>
      <c r="F689" s="28"/>
      <c r="G689" s="28"/>
      <c r="H689" s="83"/>
      <c r="I689" s="4"/>
      <c r="J689" s="4"/>
      <c r="K689" s="4"/>
      <c r="L689" s="4"/>
      <c r="M689" s="4"/>
      <c r="N689" s="28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81"/>
      <c r="AG689" s="81"/>
      <c r="AH689" s="81"/>
      <c r="AI689" s="4"/>
      <c r="AJ689" s="81"/>
      <c r="AK689" s="81"/>
      <c r="AL689" s="81"/>
      <c r="AM689" s="43">
        <v>673</v>
      </c>
      <c r="AN689">
        <v>47.103137466664478</v>
      </c>
      <c r="AO689">
        <v>1.2385842296964145</v>
      </c>
      <c r="AP689">
        <v>1.0740384625216162</v>
      </c>
      <c r="AQ689">
        <v>9.7159868919699495</v>
      </c>
      <c r="AR689">
        <v>1.1390606742869505</v>
      </c>
      <c r="AS689">
        <v>4.0363600801750019</v>
      </c>
      <c r="AT689" t="e">
        <v>#DIV/0!</v>
      </c>
      <c r="AU689" t="e">
        <v>#DIV/0!</v>
      </c>
      <c r="AV689"/>
      <c r="AW689"/>
      <c r="FY689" s="211">
        <v>684</v>
      </c>
      <c r="FZ689">
        <v>1.1148492614479426</v>
      </c>
      <c r="GA689">
        <v>1.844000577459517</v>
      </c>
      <c r="GB689">
        <v>0.67539092337689421</v>
      </c>
      <c r="GC689">
        <v>0.3933336594716812</v>
      </c>
      <c r="GD689">
        <v>0.24929857221896246</v>
      </c>
      <c r="GE689">
        <v>0.16086191648152498</v>
      </c>
      <c r="GF689">
        <v>0.6538214796159032</v>
      </c>
      <c r="GG689">
        <v>0.56679095143493796</v>
      </c>
      <c r="GH689">
        <v>2.2985735835423678E-2</v>
      </c>
      <c r="GI689">
        <v>0.59269293932681455</v>
      </c>
      <c r="GJ689"/>
      <c r="GK689">
        <v>1.1111268382352939</v>
      </c>
      <c r="GL689">
        <v>1.5533104319852939</v>
      </c>
      <c r="GM689">
        <v>1.10851171875</v>
      </c>
      <c r="GN689">
        <v>1.1528906249999999</v>
      </c>
      <c r="GO689">
        <v>0.94814062499999985</v>
      </c>
      <c r="GP689">
        <v>0.30220312500000002</v>
      </c>
      <c r="GQ689">
        <v>0.78903260869565206</v>
      </c>
      <c r="GR689">
        <v>0.78903260869565206</v>
      </c>
      <c r="GS689">
        <v>2.4293870192307693E-2</v>
      </c>
      <c r="GT689">
        <v>0.79622113217465074</v>
      </c>
      <c r="GU689"/>
      <c r="GV689"/>
      <c r="GW689"/>
      <c r="GX689"/>
      <c r="GY689"/>
      <c r="GZ689"/>
      <c r="HA689"/>
      <c r="HB689"/>
      <c r="HC689"/>
    </row>
    <row r="690" spans="1:211" s="7" customFormat="1">
      <c r="A690" s="4"/>
      <c r="B690" s="4"/>
      <c r="C690" s="105"/>
      <c r="D690" s="4"/>
      <c r="E690" s="4"/>
      <c r="F690" s="28"/>
      <c r="G690" s="28"/>
      <c r="H690" s="83"/>
      <c r="I690" s="4"/>
      <c r="J690" s="4"/>
      <c r="K690" s="4"/>
      <c r="L690" s="4"/>
      <c r="M690" s="4"/>
      <c r="N690" s="28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81"/>
      <c r="AG690" s="81"/>
      <c r="AH690" s="81"/>
      <c r="AI690" s="4"/>
      <c r="AJ690" s="81"/>
      <c r="AK690" s="81"/>
      <c r="AL690" s="81"/>
      <c r="AM690" s="43">
        <v>674</v>
      </c>
      <c r="AN690">
        <v>50.444235015866248</v>
      </c>
      <c r="AO690">
        <v>1.1539873181079496</v>
      </c>
      <c r="AP690">
        <v>26.769083294943382</v>
      </c>
      <c r="AQ690">
        <v>8.5805309006165373</v>
      </c>
      <c r="AR690">
        <v>1.0490793800981359</v>
      </c>
      <c r="AS690">
        <v>3.9220295698243026</v>
      </c>
      <c r="AT690" t="e">
        <v>#DIV/0!</v>
      </c>
      <c r="AU690" t="e">
        <v>#DIV/0!</v>
      </c>
      <c r="AV690"/>
      <c r="AW690"/>
      <c r="FY690" s="211">
        <v>685</v>
      </c>
      <c r="FZ690">
        <v>1.04401235378549</v>
      </c>
      <c r="GA690">
        <v>1.5668350184440618</v>
      </c>
      <c r="GB690">
        <v>0.41669718730111049</v>
      </c>
      <c r="GC690">
        <v>0.40165188164890558</v>
      </c>
      <c r="GD690">
        <v>0.24780211822608425</v>
      </c>
      <c r="GE690">
        <v>0.1685103101298</v>
      </c>
      <c r="GF690">
        <v>0.45565491086656262</v>
      </c>
      <c r="GG690">
        <v>0.28954215414031298</v>
      </c>
      <c r="GH690">
        <v>2.2985735835423678E-2</v>
      </c>
      <c r="GI690">
        <v>0.48245599343864354</v>
      </c>
      <c r="GJ690"/>
      <c r="GK690">
        <v>1.0403737132352942</v>
      </c>
      <c r="GL690">
        <v>1.319526056985294</v>
      </c>
      <c r="GM690">
        <v>0.68341015625000001</v>
      </c>
      <c r="GN690">
        <v>1.1765462053571427</v>
      </c>
      <c r="GO690">
        <v>0.9424446428571428</v>
      </c>
      <c r="GP690">
        <v>0.31668750000000001</v>
      </c>
      <c r="GQ690">
        <v>0.54931385869565208</v>
      </c>
      <c r="GR690">
        <v>0.40278260869565213</v>
      </c>
      <c r="GS690">
        <v>2.4293870192307693E-2</v>
      </c>
      <c r="GT690">
        <v>0.64796724824607943</v>
      </c>
      <c r="GU690"/>
      <c r="GV690"/>
      <c r="GW690"/>
      <c r="GX690"/>
      <c r="GY690"/>
      <c r="GZ690"/>
      <c r="HA690"/>
      <c r="HB690"/>
      <c r="HC690"/>
    </row>
    <row r="691" spans="1:211" s="7" customFormat="1">
      <c r="A691" s="4"/>
      <c r="B691" s="4"/>
      <c r="C691" s="105"/>
      <c r="D691" s="4"/>
      <c r="E691" s="4"/>
      <c r="F691" s="28"/>
      <c r="G691" s="28"/>
      <c r="H691" s="83"/>
      <c r="I691" s="4"/>
      <c r="J691" s="4"/>
      <c r="K691" s="4"/>
      <c r="L691" s="4"/>
      <c r="M691" s="4"/>
      <c r="N691" s="28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81"/>
      <c r="AG691" s="81"/>
      <c r="AH691" s="81"/>
      <c r="AI691" s="4"/>
      <c r="AJ691" s="81"/>
      <c r="AK691" s="81"/>
      <c r="AL691" s="81"/>
      <c r="AM691" s="43">
        <v>675</v>
      </c>
      <c r="AN691">
        <v>36.336558025988175</v>
      </c>
      <c r="AO691">
        <v>0.93331509379376743</v>
      </c>
      <c r="AP691">
        <v>2.6263430382538311</v>
      </c>
      <c r="AQ691">
        <v>7.1536076573963925</v>
      </c>
      <c r="AR691">
        <v>0.8593347443579703</v>
      </c>
      <c r="AS691">
        <v>2.9149222494995803</v>
      </c>
      <c r="AT691" t="e">
        <v>#DIV/0!</v>
      </c>
      <c r="AU691" t="e">
        <v>#DIV/0!</v>
      </c>
      <c r="AV691"/>
      <c r="AW691"/>
      <c r="FY691" s="211">
        <v>686</v>
      </c>
      <c r="FZ691">
        <v>1.0312841384318081</v>
      </c>
      <c r="GA691">
        <v>1.7661087347425619</v>
      </c>
      <c r="GB691">
        <v>1.5558737640848084</v>
      </c>
      <c r="GC691">
        <v>0.78800727973042717</v>
      </c>
      <c r="GD691">
        <v>9.8862728544446776E-2</v>
      </c>
      <c r="GE691">
        <v>0.21385080070717499</v>
      </c>
      <c r="GF691">
        <v>0.53669310568941886</v>
      </c>
      <c r="GG691">
        <v>0.28954215414031298</v>
      </c>
      <c r="GH691">
        <v>0</v>
      </c>
      <c r="GI691">
        <v>0.68550431332686901</v>
      </c>
      <c r="GJ691"/>
      <c r="GK691">
        <v>1.0277830882352941</v>
      </c>
      <c r="GL691">
        <v>1.487626838235294</v>
      </c>
      <c r="GM691">
        <v>2.5544424715909084</v>
      </c>
      <c r="GN691">
        <v>2.313293364448052</v>
      </c>
      <c r="GO691">
        <v>0.37614776785714282</v>
      </c>
      <c r="GP691">
        <v>0.40167187500000007</v>
      </c>
      <c r="GQ691">
        <v>0.64700135869565212</v>
      </c>
      <c r="GR691">
        <v>0.40278260869565213</v>
      </c>
      <c r="GS691">
        <v>0</v>
      </c>
      <c r="GT691">
        <v>0.92107493727579959</v>
      </c>
      <c r="GU691"/>
      <c r="GV691"/>
      <c r="GW691"/>
      <c r="GX691"/>
      <c r="GY691"/>
      <c r="GZ691"/>
      <c r="HA691"/>
      <c r="HB691"/>
      <c r="HC691"/>
    </row>
    <row r="692" spans="1:211" s="7" customFormat="1">
      <c r="A692" s="4"/>
      <c r="B692" s="4"/>
      <c r="C692" s="105"/>
      <c r="D692" s="4"/>
      <c r="E692" s="4"/>
      <c r="F692" s="28"/>
      <c r="G692" s="28"/>
      <c r="H692" s="83"/>
      <c r="I692" s="4"/>
      <c r="J692" s="4"/>
      <c r="K692" s="4"/>
      <c r="L692" s="4"/>
      <c r="M692" s="4"/>
      <c r="N692" s="28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81"/>
      <c r="AG692" s="81"/>
      <c r="AH692" s="81"/>
      <c r="AI692" s="4"/>
      <c r="AJ692" s="81"/>
      <c r="AK692" s="81"/>
      <c r="AL692" s="81"/>
      <c r="AM692" s="43">
        <v>676</v>
      </c>
      <c r="AN692">
        <v>25.262794439356934</v>
      </c>
      <c r="AO692">
        <v>0.47928228748855312</v>
      </c>
      <c r="AP692">
        <v>7.1049560583220561</v>
      </c>
      <c r="AQ692">
        <v>3.1660552745847821</v>
      </c>
      <c r="AR692">
        <v>0.43791970409798536</v>
      </c>
      <c r="AS692">
        <v>2.1252692604277863</v>
      </c>
      <c r="AT692" t="e">
        <v>#DIV/0!</v>
      </c>
      <c r="AU692" t="e">
        <v>#DIV/0!</v>
      </c>
      <c r="AV692"/>
      <c r="AW692"/>
      <c r="FY692" s="211">
        <v>687</v>
      </c>
      <c r="FZ692">
        <v>1.1439323887610757</v>
      </c>
      <c r="GA692">
        <v>1.7774664964221025</v>
      </c>
      <c r="GB692">
        <v>0.7755233011176621</v>
      </c>
      <c r="GC692">
        <v>0.91263796975745937</v>
      </c>
      <c r="GD692">
        <v>0.52478445694303921</v>
      </c>
      <c r="GE692">
        <v>8.377572757792498E-2</v>
      </c>
      <c r="GF692">
        <v>0.6538214796159032</v>
      </c>
      <c r="GG692">
        <v>0.56679095143493796</v>
      </c>
      <c r="GH692">
        <v>0</v>
      </c>
      <c r="GI692">
        <v>0.773846598544224</v>
      </c>
      <c r="GJ692"/>
      <c r="GK692">
        <v>1.1399830882352939</v>
      </c>
      <c r="GL692">
        <v>1.4969948069852941</v>
      </c>
      <c r="GM692">
        <v>1.2725195312500002</v>
      </c>
      <c r="GN692">
        <v>2.6737555803571427</v>
      </c>
      <c r="GO692">
        <v>1.9953883928571428</v>
      </c>
      <c r="GP692">
        <v>0.15745312499999997</v>
      </c>
      <c r="GQ692">
        <v>0.78903260869565206</v>
      </c>
      <c r="GR692">
        <v>0.78903260869565206</v>
      </c>
      <c r="GS692">
        <v>0</v>
      </c>
      <c r="GT692">
        <v>1.0393847242076177</v>
      </c>
      <c r="GU692"/>
      <c r="GV692"/>
      <c r="GW692"/>
      <c r="GX692"/>
      <c r="GY692"/>
      <c r="GZ692"/>
      <c r="HA692"/>
      <c r="HB692"/>
      <c r="HC692"/>
    </row>
    <row r="693" spans="1:211" s="7" customFormat="1">
      <c r="A693" s="4"/>
      <c r="B693" s="4"/>
      <c r="C693" s="105"/>
      <c r="D693" s="4"/>
      <c r="E693" s="4"/>
      <c r="F693" s="28"/>
      <c r="G693" s="28"/>
      <c r="H693" s="83"/>
      <c r="I693" s="4"/>
      <c r="J693" s="4"/>
      <c r="K693" s="4"/>
      <c r="L693" s="4"/>
      <c r="M693" s="4"/>
      <c r="N693" s="28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81"/>
      <c r="AG693" s="81"/>
      <c r="AH693" s="81"/>
      <c r="AI693" s="4"/>
      <c r="AJ693" s="81"/>
      <c r="AK693" s="81"/>
      <c r="AL693" s="81"/>
      <c r="AM693" s="43">
        <v>677</v>
      </c>
      <c r="AN693">
        <v>46.304253762541798</v>
      </c>
      <c r="AO693">
        <v>0.82972310900919732</v>
      </c>
      <c r="AP693">
        <v>4.6358102418261851</v>
      </c>
      <c r="AQ693">
        <v>4.2584396869981536</v>
      </c>
      <c r="AR693">
        <v>0.78044375731605364</v>
      </c>
      <c r="AS693">
        <v>4.1156377842394747</v>
      </c>
      <c r="AT693" t="e">
        <v>#DIV/0!</v>
      </c>
      <c r="AU693" t="e">
        <v>#DIV/0!</v>
      </c>
      <c r="AV693"/>
      <c r="AW693"/>
      <c r="FY693" s="211">
        <v>688</v>
      </c>
      <c r="FZ693">
        <v>0.32702868472205815</v>
      </c>
      <c r="GA693">
        <v>0.87493684975914454</v>
      </c>
      <c r="GB693">
        <v>0.94381863530389443</v>
      </c>
      <c r="GC693">
        <v>0.48999649818037017</v>
      </c>
      <c r="GD693">
        <v>0.11301610724675354</v>
      </c>
      <c r="GE693">
        <v>7.4193882690599997E-2</v>
      </c>
      <c r="GF693">
        <v>0.69434057702733132</v>
      </c>
      <c r="GG693">
        <v>0.56679095143493796</v>
      </c>
      <c r="GH693">
        <v>2.2985735835423678E-2</v>
      </c>
      <c r="GI693">
        <v>0.47154418738099335</v>
      </c>
      <c r="GJ693"/>
      <c r="GK693">
        <v>0.32585624999999996</v>
      </c>
      <c r="GL693">
        <v>0.73671562499999999</v>
      </c>
      <c r="GM693">
        <v>1.5493501420454545</v>
      </c>
      <c r="GN693">
        <v>1.43842380275974</v>
      </c>
      <c r="GO693">
        <v>0.4302455357142857</v>
      </c>
      <c r="GP693">
        <v>0.13931250000000001</v>
      </c>
      <c r="GQ693">
        <v>0.83787635869565202</v>
      </c>
      <c r="GR693">
        <v>0.78903260869565206</v>
      </c>
      <c r="GS693">
        <v>2.4293870192307693E-2</v>
      </c>
      <c r="GT693">
        <v>0.63352443132953984</v>
      </c>
      <c r="GU693"/>
      <c r="GV693"/>
      <c r="GW693"/>
      <c r="GX693"/>
      <c r="GY693"/>
      <c r="GZ693"/>
      <c r="HA693"/>
      <c r="HB693"/>
      <c r="HC693"/>
    </row>
    <row r="694" spans="1:211" s="7" customFormat="1">
      <c r="A694" s="4"/>
      <c r="B694" s="4"/>
      <c r="C694" s="105"/>
      <c r="D694" s="4"/>
      <c r="E694" s="4"/>
      <c r="F694" s="28"/>
      <c r="G694" s="28"/>
      <c r="H694" s="83"/>
      <c r="I694" s="4"/>
      <c r="J694" s="4"/>
      <c r="K694" s="4"/>
      <c r="L694" s="4"/>
      <c r="M694" s="4"/>
      <c r="N694" s="28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81"/>
      <c r="AG694" s="81"/>
      <c r="AH694" s="81"/>
      <c r="AI694" s="4"/>
      <c r="AJ694" s="81"/>
      <c r="AK694" s="81"/>
      <c r="AL694" s="81"/>
      <c r="AM694" s="43">
        <v>678</v>
      </c>
      <c r="AN694">
        <v>66.217171451914098</v>
      </c>
      <c r="AO694">
        <v>1.6310175990021007</v>
      </c>
      <c r="AP694">
        <v>5.2673315221662733</v>
      </c>
      <c r="AQ694">
        <v>11.049956498222738</v>
      </c>
      <c r="AR694">
        <v>1.4972319081837275</v>
      </c>
      <c r="AS694">
        <v>5.4274607560301682</v>
      </c>
      <c r="AT694" t="e">
        <v>#DIV/0!</v>
      </c>
      <c r="AU694" t="e">
        <v>#DIV/0!</v>
      </c>
      <c r="AV694"/>
      <c r="AW694"/>
      <c r="FY694" s="211">
        <v>689</v>
      </c>
      <c r="FZ694">
        <v>2.0516570074576639</v>
      </c>
      <c r="GA694">
        <v>2.4649748665555675</v>
      </c>
      <c r="GB694">
        <v>0.83399553092794199</v>
      </c>
      <c r="GC694">
        <v>0.62982461227509645</v>
      </c>
      <c r="GD694">
        <v>0.30530436186743681</v>
      </c>
      <c r="GE694">
        <v>0.29751867083384997</v>
      </c>
      <c r="GF694">
        <v>0.78975252949884067</v>
      </c>
      <c r="GG694">
        <v>0.68024812515690725</v>
      </c>
      <c r="GH694">
        <v>0.15603164258923619</v>
      </c>
      <c r="GI694">
        <v>0.84748879850963466</v>
      </c>
      <c r="GJ694"/>
      <c r="GK694">
        <v>2.0447849264705882</v>
      </c>
      <c r="GL694">
        <v>2.0763552389705886</v>
      </c>
      <c r="GM694">
        <v>1.3692798295454542</v>
      </c>
      <c r="GN694">
        <v>1.8474697849025974</v>
      </c>
      <c r="GO694">
        <v>1.161510267857143</v>
      </c>
      <c r="GP694">
        <v>0.55921874999999999</v>
      </c>
      <c r="GQ694">
        <v>0.95209646739130416</v>
      </c>
      <c r="GR694">
        <v>0.94629438405797084</v>
      </c>
      <c r="GS694">
        <v>0.16502303685897435</v>
      </c>
      <c r="GT694">
        <v>1.1385389056246928</v>
      </c>
      <c r="GU694"/>
      <c r="GV694"/>
      <c r="GW694"/>
      <c r="GX694"/>
      <c r="GY694"/>
      <c r="GZ694"/>
      <c r="HA694"/>
      <c r="HB694"/>
      <c r="HC694"/>
    </row>
    <row r="695" spans="1:211" s="7" customFormat="1">
      <c r="A695" s="4"/>
      <c r="B695" s="4"/>
      <c r="C695" s="105"/>
      <c r="D695" s="4"/>
      <c r="E695" s="4"/>
      <c r="F695" s="28"/>
      <c r="G695" s="28"/>
      <c r="H695" s="83"/>
      <c r="I695" s="4"/>
      <c r="J695" s="4"/>
      <c r="K695" s="4"/>
      <c r="L695" s="4"/>
      <c r="M695" s="4"/>
      <c r="N695" s="28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81"/>
      <c r="AG695" s="81"/>
      <c r="AH695" s="81"/>
      <c r="AI695" s="4"/>
      <c r="AJ695" s="81"/>
      <c r="AK695" s="81"/>
      <c r="AL695" s="81"/>
      <c r="AM695" s="43">
        <v>679</v>
      </c>
      <c r="AN695">
        <v>36.742752774186599</v>
      </c>
      <c r="AO695">
        <v>0.79198911285956686</v>
      </c>
      <c r="AP695">
        <v>1.2695211996346445</v>
      </c>
      <c r="AQ695">
        <v>5.4392068395120425</v>
      </c>
      <c r="AR695">
        <v>0.73748218083387207</v>
      </c>
      <c r="AS695">
        <v>2.8312195022399469</v>
      </c>
      <c r="AT695" t="e">
        <v>#DIV/0!</v>
      </c>
      <c r="AU695" t="e">
        <v>#DIV/0!</v>
      </c>
      <c r="AV695"/>
      <c r="AW695"/>
      <c r="FY695" s="211">
        <v>690</v>
      </c>
      <c r="FZ695">
        <v>1.3600872196017275</v>
      </c>
      <c r="GA695">
        <v>1.8757350918386848</v>
      </c>
      <c r="GB695">
        <v>0.25562453953642028</v>
      </c>
      <c r="GC695">
        <v>0.27461745972601254</v>
      </c>
      <c r="GD695">
        <v>0.19402820772807858</v>
      </c>
      <c r="GE695">
        <v>3.0832901432324998E-2</v>
      </c>
      <c r="GF695">
        <v>4.0519097411428125E-2</v>
      </c>
      <c r="GG695">
        <v>0.10116381687628125</v>
      </c>
      <c r="GH695">
        <v>0.15603164258923619</v>
      </c>
      <c r="GI695">
        <v>0.40592788931786072</v>
      </c>
      <c r="GJ695"/>
      <c r="GK695">
        <v>1.3553737132352941</v>
      </c>
      <c r="GL695">
        <v>1.5798112132352939</v>
      </c>
      <c r="GM695">
        <v>0.41935937500000003</v>
      </c>
      <c r="GN695">
        <v>0.80399553571428573</v>
      </c>
      <c r="GO695">
        <v>0.7376517857142858</v>
      </c>
      <c r="GP695">
        <v>5.7890625000000001E-2</v>
      </c>
      <c r="GQ695">
        <v>4.8843750000000005E-2</v>
      </c>
      <c r="GR695">
        <v>0.14072916666666666</v>
      </c>
      <c r="GS695">
        <v>0.16502303685897435</v>
      </c>
      <c r="GT695">
        <v>0.54525033216171082</v>
      </c>
      <c r="GU695"/>
      <c r="GV695"/>
      <c r="GW695"/>
      <c r="GX695"/>
      <c r="GY695"/>
      <c r="GZ695"/>
      <c r="HA695"/>
      <c r="HB695"/>
      <c r="HC695"/>
    </row>
    <row r="696" spans="1:211" s="7" customFormat="1">
      <c r="A696" s="4"/>
      <c r="B696" s="4"/>
      <c r="C696" s="105"/>
      <c r="D696" s="4"/>
      <c r="E696" s="4"/>
      <c r="F696" s="28"/>
      <c r="G696" s="28"/>
      <c r="H696" s="83"/>
      <c r="I696" s="4"/>
      <c r="J696" s="4"/>
      <c r="K696" s="4"/>
      <c r="L696" s="4"/>
      <c r="M696" s="4"/>
      <c r="N696" s="28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81"/>
      <c r="AG696" s="81"/>
      <c r="AH696" s="81"/>
      <c r="AI696" s="4"/>
      <c r="AJ696" s="81"/>
      <c r="AK696" s="81"/>
      <c r="AL696" s="81"/>
      <c r="AM696" s="43">
        <v>680</v>
      </c>
      <c r="AN696">
        <v>52.10861813115249</v>
      </c>
      <c r="AO696">
        <v>1.1932840979562183</v>
      </c>
      <c r="AP696">
        <v>1.6074709628027235</v>
      </c>
      <c r="AQ696">
        <v>7.2869202565474041</v>
      </c>
      <c r="AR696">
        <v>1.0906344181594996</v>
      </c>
      <c r="AS696">
        <v>4.2165385468950074</v>
      </c>
      <c r="AT696">
        <v>0.83208977332695344</v>
      </c>
      <c r="AU696">
        <v>-3.4107567777693894E-2</v>
      </c>
      <c r="AV696"/>
      <c r="AW696"/>
      <c r="FY696" s="211">
        <v>691</v>
      </c>
      <c r="FZ696">
        <v>0.67215789669268122</v>
      </c>
      <c r="GA696">
        <v>0.88724072535366194</v>
      </c>
      <c r="GB696">
        <v>0.26317834029664805</v>
      </c>
      <c r="GC696">
        <v>0.29753251511115131</v>
      </c>
      <c r="GD696">
        <v>0.24973190927799746</v>
      </c>
      <c r="GE696">
        <v>0.10791909033592499</v>
      </c>
      <c r="GF696">
        <v>0.20038102790324064</v>
      </c>
      <c r="GG696">
        <v>0.18920630708545313</v>
      </c>
      <c r="GH696">
        <v>0.11249442504775362</v>
      </c>
      <c r="GI696">
        <v>0.35919858159395107</v>
      </c>
      <c r="GJ696"/>
      <c r="GK696">
        <v>0.66993749999999996</v>
      </c>
      <c r="GL696">
        <v>0.74708203124999994</v>
      </c>
      <c r="GM696">
        <v>0.43144140625000005</v>
      </c>
      <c r="GN696">
        <v>0.87159062499999995</v>
      </c>
      <c r="GO696">
        <v>0.94999687499999985</v>
      </c>
      <c r="GP696">
        <v>0.20264062499999999</v>
      </c>
      <c r="GQ696">
        <v>0.24196875000000001</v>
      </c>
      <c r="GR696">
        <v>0.26348958333333333</v>
      </c>
      <c r="GS696">
        <v>0.11895232371794871</v>
      </c>
      <c r="GT696">
        <v>0.48245937099358976</v>
      </c>
      <c r="GU696"/>
      <c r="GV696"/>
      <c r="GW696"/>
      <c r="GX696"/>
      <c r="GY696"/>
      <c r="GZ696"/>
      <c r="HA696"/>
      <c r="HB696"/>
      <c r="HC696"/>
    </row>
    <row r="697" spans="1:211" s="7" customFormat="1">
      <c r="A697" s="4"/>
      <c r="B697" s="4"/>
      <c r="C697" s="105"/>
      <c r="D697" s="4"/>
      <c r="E697" s="4"/>
      <c r="F697" s="28"/>
      <c r="G697" s="28"/>
      <c r="H697" s="83"/>
      <c r="I697" s="4"/>
      <c r="J697" s="4"/>
      <c r="K697" s="4"/>
      <c r="L697" s="4"/>
      <c r="M697" s="4"/>
      <c r="N697" s="28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81"/>
      <c r="AG697" s="81"/>
      <c r="AH697" s="81"/>
      <c r="AI697" s="4"/>
      <c r="AJ697" s="81"/>
      <c r="AK697" s="81"/>
      <c r="AL697" s="81"/>
      <c r="AM697" s="43">
        <v>681</v>
      </c>
      <c r="AN697">
        <v>46.842739419485738</v>
      </c>
      <c r="AO697">
        <v>1.1171620828114901</v>
      </c>
      <c r="AP697">
        <v>1.6426728023489738</v>
      </c>
      <c r="AQ697">
        <v>6.9712942423758744</v>
      </c>
      <c r="AR697">
        <v>1.0236411198635922</v>
      </c>
      <c r="AS697">
        <v>3.5759134558736254</v>
      </c>
      <c r="AT697" t="e">
        <v>#DIV/0!</v>
      </c>
      <c r="AU697" t="e">
        <v>#DIV/0!</v>
      </c>
      <c r="AV697"/>
      <c r="AW697"/>
      <c r="FY697" s="211">
        <v>692</v>
      </c>
      <c r="FZ697">
        <v>1.289221530780527</v>
      </c>
      <c r="GA697">
        <v>2.228751857304653</v>
      </c>
      <c r="GB697">
        <v>1.7936727493127376</v>
      </c>
      <c r="GC697">
        <v>1.4516591313760903</v>
      </c>
      <c r="GD697">
        <v>0.54326183859073918</v>
      </c>
      <c r="GE697">
        <v>9.5391010509975005E-2</v>
      </c>
      <c r="GF697">
        <v>1.0833310507196909</v>
      </c>
      <c r="GG697">
        <v>0.91920837085907969</v>
      </c>
      <c r="GH697">
        <v>6.6522953376906252E-2</v>
      </c>
      <c r="GI697">
        <v>1.1422478907882878</v>
      </c>
      <c r="GJ697"/>
      <c r="GK697">
        <v>1.284845588235294</v>
      </c>
      <c r="GL697">
        <v>1.877263556985294</v>
      </c>
      <c r="GM697">
        <v>2.9447901278409088</v>
      </c>
      <c r="GN697">
        <v>4.2573386769480521</v>
      </c>
      <c r="GO697">
        <v>2.066075892857143</v>
      </c>
      <c r="GP697">
        <v>0.17910937500000002</v>
      </c>
      <c r="GQ697">
        <v>1.3060353260869564</v>
      </c>
      <c r="GR697">
        <v>1.2787124094202897</v>
      </c>
      <c r="GS697">
        <v>7.0364583333333328E-2</v>
      </c>
      <c r="GT697">
        <v>1.534422303670727</v>
      </c>
      <c r="GU697"/>
      <c r="GV697"/>
      <c r="GW697"/>
      <c r="GX697"/>
      <c r="GY697"/>
      <c r="GZ697"/>
      <c r="HA697"/>
      <c r="HB697"/>
      <c r="HC697"/>
    </row>
    <row r="698" spans="1:211" s="7" customFormat="1">
      <c r="A698" s="4"/>
      <c r="B698" s="4"/>
      <c r="C698" s="105"/>
      <c r="D698" s="4"/>
      <c r="E698" s="4"/>
      <c r="F698" s="28"/>
      <c r="G698" s="28"/>
      <c r="H698" s="83"/>
      <c r="I698" s="4"/>
      <c r="J698" s="4"/>
      <c r="K698" s="4"/>
      <c r="L698" s="4"/>
      <c r="M698" s="4"/>
      <c r="N698" s="28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81"/>
      <c r="AG698" s="81"/>
      <c r="AH698" s="81"/>
      <c r="AI698" s="4"/>
      <c r="AJ698" s="81"/>
      <c r="AK698" s="81"/>
      <c r="AL698" s="81"/>
      <c r="AM698" s="43">
        <v>682</v>
      </c>
      <c r="AN698">
        <v>27.732261113986652</v>
      </c>
      <c r="AO698">
        <v>0.53798750054994826</v>
      </c>
      <c r="AP698">
        <v>0.24682434261058617</v>
      </c>
      <c r="AQ698">
        <v>3.2665392597468137</v>
      </c>
      <c r="AR698">
        <v>0.4999460232272257</v>
      </c>
      <c r="AS698">
        <v>2.5464482521495535</v>
      </c>
      <c r="AT698" t="e">
        <v>#DIV/0!</v>
      </c>
      <c r="AU698" t="e">
        <v>#DIV/0!</v>
      </c>
      <c r="AV698"/>
      <c r="AW698"/>
      <c r="FY698" s="211">
        <v>693</v>
      </c>
      <c r="FZ698">
        <v>0.82657494018889599</v>
      </c>
      <c r="GA698">
        <v>1.5777062793677641</v>
      </c>
      <c r="GB698">
        <v>1.0010547460343879</v>
      </c>
      <c r="GC698">
        <v>0.63660331217948873</v>
      </c>
      <c r="GD698">
        <v>0.22116468977095172</v>
      </c>
      <c r="GE698">
        <v>6.4558109077649986E-2</v>
      </c>
      <c r="GF698">
        <v>0.5344786465355188</v>
      </c>
      <c r="GG698">
        <v>0.57991227810204737</v>
      </c>
      <c r="GH698">
        <v>0.22255459596614241</v>
      </c>
      <c r="GI698">
        <v>0.62357412282533098</v>
      </c>
      <c r="GJ698"/>
      <c r="GK698">
        <v>0.82350937499999999</v>
      </c>
      <c r="GL698">
        <v>1.3286812499999998</v>
      </c>
      <c r="GM698">
        <v>1.6436626420454541</v>
      </c>
      <c r="GN698">
        <v>1.867363534902597</v>
      </c>
      <c r="GO698">
        <v>0.84109151785714276</v>
      </c>
      <c r="GP698">
        <v>0.12121874999999999</v>
      </c>
      <c r="GQ698">
        <v>0.64475135869565214</v>
      </c>
      <c r="GR698">
        <v>0.80700135869565215</v>
      </c>
      <c r="GS698">
        <v>0.23538762019230769</v>
      </c>
      <c r="GT698">
        <v>0.83768050275811134</v>
      </c>
      <c r="GU698"/>
      <c r="GV698"/>
      <c r="GW698"/>
      <c r="GX698"/>
      <c r="GY698"/>
      <c r="GZ698"/>
      <c r="HA698"/>
      <c r="HB698"/>
      <c r="HC698"/>
    </row>
    <row r="699" spans="1:211" s="7" customFormat="1">
      <c r="A699" s="4"/>
      <c r="B699" s="4"/>
      <c r="C699" s="105"/>
      <c r="D699" s="4"/>
      <c r="E699" s="4"/>
      <c r="F699" s="28"/>
      <c r="G699" s="28"/>
      <c r="H699" s="83"/>
      <c r="I699" s="4"/>
      <c r="J699" s="4"/>
      <c r="K699" s="4"/>
      <c r="L699" s="4"/>
      <c r="M699" s="4"/>
      <c r="N699" s="28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81"/>
      <c r="AG699" s="81"/>
      <c r="AH699" s="81"/>
      <c r="AI699" s="4"/>
      <c r="AJ699" s="81"/>
      <c r="AK699" s="81"/>
      <c r="AL699" s="81"/>
      <c r="AM699" s="43">
        <v>683</v>
      </c>
      <c r="AN699">
        <v>34.334335516536598</v>
      </c>
      <c r="AO699">
        <v>0.70790495599916381</v>
      </c>
      <c r="AP699">
        <v>0.71063787864477967</v>
      </c>
      <c r="AQ699">
        <v>5.5520768131190144</v>
      </c>
      <c r="AR699">
        <v>0.66024713001672231</v>
      </c>
      <c r="AS699">
        <v>2.8336792405727262</v>
      </c>
      <c r="AT699" t="e">
        <v>#DIV/0!</v>
      </c>
      <c r="AU699" t="e">
        <v>#DIV/0!</v>
      </c>
      <c r="AV699"/>
      <c r="AW699"/>
      <c r="FY699" s="211">
        <v>694</v>
      </c>
      <c r="FZ699">
        <v>1.9063678654382126</v>
      </c>
      <c r="GA699">
        <v>2.812765196529436</v>
      </c>
      <c r="GB699">
        <v>2.1081976211137041</v>
      </c>
      <c r="GC699">
        <v>1.3738457185324959</v>
      </c>
      <c r="GD699">
        <v>0.33592471708481997</v>
      </c>
      <c r="GE699">
        <v>5.2030029251700007E-2</v>
      </c>
      <c r="GF699">
        <v>8.1038194822856249E-2</v>
      </c>
      <c r="GG699">
        <v>0.15174572531442188</v>
      </c>
      <c r="GH699">
        <v>0.22255459596614241</v>
      </c>
      <c r="GI699">
        <v>1.0377063430710636</v>
      </c>
      <c r="GJ699"/>
      <c r="GK699">
        <v>1.8999224264705881</v>
      </c>
      <c r="GL699">
        <v>2.369152895220588</v>
      </c>
      <c r="GM699">
        <v>3.4606260653409087</v>
      </c>
      <c r="GN699">
        <v>4.0297330965909097</v>
      </c>
      <c r="GO699">
        <v>1.2773999999999999</v>
      </c>
      <c r="GP699">
        <v>9.768750000000001E-2</v>
      </c>
      <c r="GQ699">
        <v>9.768750000000001E-2</v>
      </c>
      <c r="GR699">
        <v>0.21109375</v>
      </c>
      <c r="GS699">
        <v>0.23538762019230769</v>
      </c>
      <c r="GT699">
        <v>1.394204722400761</v>
      </c>
      <c r="GU699"/>
      <c r="GV699"/>
      <c r="GW699"/>
      <c r="GX699"/>
      <c r="GY699"/>
      <c r="GZ699"/>
      <c r="HA699"/>
      <c r="HB699"/>
      <c r="HC699"/>
    </row>
    <row r="700" spans="1:211" s="7" customFormat="1">
      <c r="A700" s="4"/>
      <c r="B700" s="4"/>
      <c r="C700" s="105"/>
      <c r="D700" s="4"/>
      <c r="E700" s="4"/>
      <c r="F700" s="28"/>
      <c r="G700" s="28"/>
      <c r="H700" s="83"/>
      <c r="I700" s="4"/>
      <c r="J700" s="4"/>
      <c r="K700" s="4"/>
      <c r="L700" s="4"/>
      <c r="M700" s="4"/>
      <c r="N700" s="28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81"/>
      <c r="AG700" s="81"/>
      <c r="AH700" s="81"/>
      <c r="AI700" s="4"/>
      <c r="AJ700" s="81"/>
      <c r="AK700" s="81"/>
      <c r="AL700" s="81"/>
      <c r="AM700" s="43">
        <v>684</v>
      </c>
      <c r="AN700">
        <v>37.871233871893239</v>
      </c>
      <c r="AO700">
        <v>0.85747635837288494</v>
      </c>
      <c r="AP700">
        <v>8.3101979532577683</v>
      </c>
      <c r="AQ700">
        <v>6.2740260166696018</v>
      </c>
      <c r="AR700">
        <v>0.79622113217465063</v>
      </c>
      <c r="AS700">
        <v>2.9817246302078853</v>
      </c>
      <c r="AT700" t="e">
        <v>#DIV/0!</v>
      </c>
      <c r="AU700" t="e">
        <v>#DIV/0!</v>
      </c>
      <c r="AV700"/>
      <c r="AW700"/>
      <c r="FY700" s="211">
        <v>695</v>
      </c>
      <c r="FZ700">
        <v>0.47783040152372713</v>
      </c>
      <c r="GA700">
        <v>0.85185298977747259</v>
      </c>
      <c r="GB700">
        <v>0.95916870711330104</v>
      </c>
      <c r="GC700">
        <v>0.4646425141335826</v>
      </c>
      <c r="GD700">
        <v>9.6928029863324994E-2</v>
      </c>
      <c r="GE700">
        <v>0.12129816768457499</v>
      </c>
      <c r="GF700">
        <v>0.37461671604370633</v>
      </c>
      <c r="GG700">
        <v>0.39070597101659427</v>
      </c>
      <c r="GH700">
        <v>0.1330459067538125</v>
      </c>
      <c r="GI700">
        <v>0.44842556194292071</v>
      </c>
      <c r="GJ700"/>
      <c r="GK700">
        <v>0.47607187499999998</v>
      </c>
      <c r="GL700">
        <v>0.71720859375000012</v>
      </c>
      <c r="GM700">
        <v>1.5745493607954544</v>
      </c>
      <c r="GN700">
        <v>1.3641157670454542</v>
      </c>
      <c r="GO700">
        <v>0.36928125000000001</v>
      </c>
      <c r="GP700">
        <v>0.22804687499999998</v>
      </c>
      <c r="GQ700">
        <v>0.45162635869565215</v>
      </c>
      <c r="GR700">
        <v>0.54351177536231876</v>
      </c>
      <c r="GS700">
        <v>0.14072916666666666</v>
      </c>
      <c r="GT700">
        <v>0.60245160223155469</v>
      </c>
      <c r="GU700"/>
      <c r="GV700"/>
      <c r="GW700"/>
      <c r="GX700"/>
      <c r="GY700"/>
      <c r="GZ700"/>
      <c r="HA700"/>
      <c r="HB700"/>
      <c r="HC700"/>
    </row>
    <row r="701" spans="1:211" s="7" customFormat="1">
      <c r="A701" s="4"/>
      <c r="B701" s="4"/>
      <c r="C701" s="105"/>
      <c r="D701" s="4"/>
      <c r="E701" s="4"/>
      <c r="F701" s="28"/>
      <c r="G701" s="28"/>
      <c r="H701" s="83"/>
      <c r="I701" s="4"/>
      <c r="J701" s="4"/>
      <c r="K701" s="4"/>
      <c r="L701" s="4"/>
      <c r="M701" s="4"/>
      <c r="N701" s="28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81"/>
      <c r="AG701" s="81"/>
      <c r="AH701" s="81"/>
      <c r="AI701" s="4"/>
      <c r="AJ701" s="81"/>
      <c r="AK701" s="81"/>
      <c r="AL701" s="81"/>
      <c r="AM701" s="43">
        <v>685</v>
      </c>
      <c r="AN701">
        <v>36.073168395702758</v>
      </c>
      <c r="AO701">
        <v>0.7103345860514565</v>
      </c>
      <c r="AP701">
        <v>11.169018215046348</v>
      </c>
      <c r="AQ701">
        <v>5.0961476638163949</v>
      </c>
      <c r="AR701">
        <v>0.64796724824607921</v>
      </c>
      <c r="AS701">
        <v>2.92044085909099</v>
      </c>
      <c r="AT701" t="e">
        <v>#DIV/0!</v>
      </c>
      <c r="AU701" t="e">
        <v>#DIV/0!</v>
      </c>
      <c r="AV701"/>
      <c r="AW701"/>
      <c r="FY701" s="211">
        <v>696</v>
      </c>
      <c r="FZ701">
        <v>0.41606383302054278</v>
      </c>
      <c r="GA701">
        <v>1.0759724377714024</v>
      </c>
      <c r="GB701">
        <v>0.50257537498064531</v>
      </c>
      <c r="GC701">
        <v>0.51582577805688556</v>
      </c>
      <c r="GD701">
        <v>0.36017960062648496</v>
      </c>
      <c r="GE701">
        <v>0.11171632279725</v>
      </c>
      <c r="GF701">
        <v>8.1038194822856249E-2</v>
      </c>
      <c r="GG701">
        <v>0</v>
      </c>
      <c r="GH701">
        <v>0</v>
      </c>
      <c r="GI701">
        <v>0.40305351794462102</v>
      </c>
      <c r="GJ701"/>
      <c r="GK701">
        <v>0.41447812499999992</v>
      </c>
      <c r="GL701">
        <v>0.90589218749999989</v>
      </c>
      <c r="GM701">
        <v>0.82457812499999994</v>
      </c>
      <c r="GN701">
        <v>1.5109265625000001</v>
      </c>
      <c r="GO701">
        <v>1.36966875</v>
      </c>
      <c r="GP701">
        <v>0.20990624999999999</v>
      </c>
      <c r="GQ701">
        <v>9.768750000000001E-2</v>
      </c>
      <c r="GR701">
        <v>0</v>
      </c>
      <c r="GS701">
        <v>0</v>
      </c>
      <c r="GT701">
        <v>0.54128250000000011</v>
      </c>
      <c r="GU701"/>
      <c r="GV701"/>
      <c r="GW701"/>
      <c r="GX701"/>
      <c r="GY701"/>
      <c r="GZ701"/>
      <c r="HA701"/>
      <c r="HB701"/>
      <c r="HC701"/>
    </row>
    <row r="702" spans="1:211" s="7" customFormat="1">
      <c r="A702" s="4"/>
      <c r="B702" s="4"/>
      <c r="C702" s="105"/>
      <c r="D702" s="4"/>
      <c r="E702" s="4"/>
      <c r="F702" s="28"/>
      <c r="G702" s="28"/>
      <c r="H702" s="83"/>
      <c r="I702" s="4"/>
      <c r="J702" s="4"/>
      <c r="K702" s="4"/>
      <c r="L702" s="4"/>
      <c r="M702" s="4"/>
      <c r="N702" s="28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81"/>
      <c r="AG702" s="81"/>
      <c r="AH702" s="81"/>
      <c r="AI702" s="4"/>
      <c r="AJ702" s="81"/>
      <c r="AK702" s="81"/>
      <c r="AL702" s="81"/>
      <c r="AM702" s="43">
        <v>686</v>
      </c>
      <c r="AN702">
        <v>39.364821707668568</v>
      </c>
      <c r="AO702">
        <v>1.0131824310033797</v>
      </c>
      <c r="AP702">
        <v>11.236944479382835</v>
      </c>
      <c r="AQ702">
        <v>6.9657270193978285</v>
      </c>
      <c r="AR702">
        <v>0.92107493727579959</v>
      </c>
      <c r="AS702">
        <v>3.2037329440828901</v>
      </c>
      <c r="AT702" t="e">
        <v>#DIV/0!</v>
      </c>
      <c r="AU702" t="e">
        <v>#DIV/0!</v>
      </c>
      <c r="AV702"/>
      <c r="AW702"/>
      <c r="FY702" s="211">
        <v>697</v>
      </c>
      <c r="FZ702">
        <v>1.8846094619952343</v>
      </c>
      <c r="GA702">
        <v>2.166367011498965</v>
      </c>
      <c r="GB702">
        <v>0.51404544017585851</v>
      </c>
      <c r="GC702">
        <v>0.3980867284709575</v>
      </c>
      <c r="GD702">
        <v>0.15286980022514035</v>
      </c>
      <c r="GE702">
        <v>9.05731237035E-2</v>
      </c>
      <c r="GF702">
        <v>0.73485967443875966</v>
      </c>
      <c r="GG702">
        <v>0.61737285987307855</v>
      </c>
      <c r="GH702">
        <v>8.9508689212329934E-2</v>
      </c>
      <c r="GI702">
        <v>0.63789699142430045</v>
      </c>
      <c r="GJ702"/>
      <c r="GK702">
        <v>1.8782661764705881</v>
      </c>
      <c r="GL702">
        <v>1.8246646139705882</v>
      </c>
      <c r="GM702">
        <v>0.8431953124999999</v>
      </c>
      <c r="GN702">
        <v>1.1674276785714284</v>
      </c>
      <c r="GO702">
        <v>0.58206830357142858</v>
      </c>
      <c r="GP702">
        <v>0.17006250000000001</v>
      </c>
      <c r="GQ702">
        <v>0.88672010869565221</v>
      </c>
      <c r="GR702">
        <v>0.85939719202898535</v>
      </c>
      <c r="GS702">
        <v>9.465845352564102E-2</v>
      </c>
      <c r="GT702">
        <v>0.85698167095266198</v>
      </c>
      <c r="GU702"/>
      <c r="GV702"/>
      <c r="GW702"/>
      <c r="GX702"/>
      <c r="GY702"/>
      <c r="GZ702"/>
      <c r="HA702"/>
      <c r="HB702"/>
      <c r="HC702"/>
    </row>
    <row r="703" spans="1:211" s="7" customFormat="1">
      <c r="A703" s="4"/>
      <c r="B703" s="4"/>
      <c r="C703" s="105"/>
      <c r="D703" s="4"/>
      <c r="E703" s="4"/>
      <c r="F703" s="28"/>
      <c r="G703" s="28"/>
      <c r="H703" s="83"/>
      <c r="I703" s="4"/>
      <c r="J703" s="4"/>
      <c r="K703" s="4"/>
      <c r="L703" s="4"/>
      <c r="M703" s="4"/>
      <c r="N703" s="28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81"/>
      <c r="AG703" s="81"/>
      <c r="AH703" s="81"/>
      <c r="AI703" s="4"/>
      <c r="AJ703" s="81"/>
      <c r="AK703" s="81"/>
      <c r="AL703" s="81"/>
      <c r="AM703" s="43">
        <v>687</v>
      </c>
      <c r="AN703">
        <v>55.259439763224137</v>
      </c>
      <c r="AO703">
        <v>1.1353544466283798</v>
      </c>
      <c r="AP703">
        <v>8.4080607351700323</v>
      </c>
      <c r="AQ703">
        <v>7.2125793701743293</v>
      </c>
      <c r="AR703">
        <v>1.0393847242076177</v>
      </c>
      <c r="AS703">
        <v>4.8411791273190614</v>
      </c>
      <c r="AT703" t="e">
        <v>#DIV/0!</v>
      </c>
      <c r="AU703" t="e">
        <v>#DIV/0!</v>
      </c>
      <c r="AV703"/>
      <c r="AW703"/>
      <c r="FY703" s="211">
        <v>698</v>
      </c>
      <c r="FZ703">
        <v>0.50865674569607811</v>
      </c>
      <c r="GA703">
        <v>0.76141929095960492</v>
      </c>
      <c r="GB703">
        <v>1.0459365640728504</v>
      </c>
      <c r="GC703">
        <v>1.0017827778184607</v>
      </c>
      <c r="GD703">
        <v>0.39857789313249098</v>
      </c>
      <c r="GE703">
        <v>6.9375995884124991E-2</v>
      </c>
      <c r="GF703">
        <v>0.5344786465355188</v>
      </c>
      <c r="GG703">
        <v>0.47874846122576609</v>
      </c>
      <c r="GH703">
        <v>6.6522953376906252E-2</v>
      </c>
      <c r="GI703">
        <v>0.66326462683656151</v>
      </c>
      <c r="GJ703"/>
      <c r="GK703">
        <v>0.50690625</v>
      </c>
      <c r="GL703">
        <v>0.64130859374999993</v>
      </c>
      <c r="GM703">
        <v>1.7169946732954546</v>
      </c>
      <c r="GN703">
        <v>2.93721286525974</v>
      </c>
      <c r="GO703">
        <v>1.5157299107142856</v>
      </c>
      <c r="GP703">
        <v>0.130265625</v>
      </c>
      <c r="GQ703">
        <v>0.64475135869565214</v>
      </c>
      <c r="GR703">
        <v>0.66627219202898535</v>
      </c>
      <c r="GS703">
        <v>7.0364583333333328E-2</v>
      </c>
      <c r="GT703">
        <v>0.89094935520774521</v>
      </c>
      <c r="GU703"/>
      <c r="GV703"/>
      <c r="GW703"/>
      <c r="GX703"/>
      <c r="GY703"/>
      <c r="GZ703"/>
      <c r="HA703"/>
      <c r="HB703"/>
      <c r="HC703"/>
    </row>
    <row r="704" spans="1:211" s="7" customFormat="1">
      <c r="A704" s="4"/>
      <c r="B704" s="4"/>
      <c r="C704" s="105"/>
      <c r="D704" s="4"/>
      <c r="E704" s="4"/>
      <c r="F704" s="28"/>
      <c r="G704" s="28"/>
      <c r="H704" s="83"/>
      <c r="I704" s="4"/>
      <c r="J704" s="4"/>
      <c r="K704" s="4"/>
      <c r="L704" s="4"/>
      <c r="M704" s="4"/>
      <c r="N704" s="28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81"/>
      <c r="AG704" s="81"/>
      <c r="AH704" s="81"/>
      <c r="AI704" s="4"/>
      <c r="AJ704" s="81"/>
      <c r="AK704" s="81"/>
      <c r="AL704" s="81"/>
      <c r="AM704" s="43">
        <v>688</v>
      </c>
      <c r="AN704">
        <v>27.868699733237776</v>
      </c>
      <c r="AO704">
        <v>0.69046311244326319</v>
      </c>
      <c r="AP704">
        <v>1.1884582153208123</v>
      </c>
      <c r="AQ704">
        <v>4.5786521095815074</v>
      </c>
      <c r="AR704">
        <v>0.63352443132953995</v>
      </c>
      <c r="AS704">
        <v>2.4046455921637717</v>
      </c>
      <c r="AT704" t="e">
        <v>#DIV/0!</v>
      </c>
      <c r="AU704" t="e">
        <v>#DIV/0!</v>
      </c>
      <c r="AV704"/>
      <c r="AW704"/>
      <c r="FY704" s="211">
        <v>699</v>
      </c>
      <c r="FZ704">
        <v>0.39419634627887346</v>
      </c>
      <c r="GA704">
        <v>1.1311193389459862</v>
      </c>
      <c r="GB704">
        <v>1.283426906933844</v>
      </c>
      <c r="GC704">
        <v>0.57768169142938697</v>
      </c>
      <c r="GD704">
        <v>0.11323721307073498</v>
      </c>
      <c r="GE704">
        <v>8.6721962516549997E-2</v>
      </c>
      <c r="GF704">
        <v>1.0022928558968347</v>
      </c>
      <c r="GG704">
        <v>0.91920837085907969</v>
      </c>
      <c r="GH704">
        <v>6.6522953376906252E-2</v>
      </c>
      <c r="GI704">
        <v>0.62666395866648505</v>
      </c>
      <c r="GJ704"/>
      <c r="GK704">
        <v>0.39285937500000001</v>
      </c>
      <c r="GL704">
        <v>0.95274609374999986</v>
      </c>
      <c r="GM704">
        <v>2.1069321732954545</v>
      </c>
      <c r="GN704">
        <v>1.6953392045454543</v>
      </c>
      <c r="GO704">
        <v>0.43066874999999999</v>
      </c>
      <c r="GP704">
        <v>0.16284374999999998</v>
      </c>
      <c r="GQ704">
        <v>1.2083478260869565</v>
      </c>
      <c r="GR704">
        <v>1.2787124094202897</v>
      </c>
      <c r="GS704">
        <v>7.0364583333333328E-2</v>
      </c>
      <c r="GT704">
        <v>0.84183454154314885</v>
      </c>
      <c r="GU704"/>
      <c r="GV704"/>
      <c r="GW704"/>
      <c r="GX704"/>
      <c r="GY704"/>
      <c r="GZ704"/>
      <c r="HA704"/>
      <c r="HB704"/>
      <c r="HC704"/>
    </row>
    <row r="705" spans="1:211" s="7" customFormat="1">
      <c r="A705" s="4"/>
      <c r="B705" s="4"/>
      <c r="C705" s="105"/>
      <c r="D705" s="4"/>
      <c r="E705" s="4"/>
      <c r="F705" s="28"/>
      <c r="G705" s="28"/>
      <c r="H705" s="83"/>
      <c r="I705" s="4"/>
      <c r="J705" s="4"/>
      <c r="K705" s="4"/>
      <c r="L705" s="4"/>
      <c r="M705" s="4"/>
      <c r="N705" s="28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81"/>
      <c r="AG705" s="81"/>
      <c r="AH705" s="81"/>
      <c r="AI705" s="4"/>
      <c r="AJ705" s="81"/>
      <c r="AK705" s="81"/>
      <c r="AL705" s="81"/>
      <c r="AM705" s="43">
        <v>689</v>
      </c>
      <c r="AN705">
        <v>53.979053264746995</v>
      </c>
      <c r="AO705">
        <v>1.2260571591679312</v>
      </c>
      <c r="AP705">
        <v>0.89039519101801801</v>
      </c>
      <c r="AQ705">
        <v>9.0567961456721768</v>
      </c>
      <c r="AR705">
        <v>1.1385389056246926</v>
      </c>
      <c r="AS705">
        <v>4.4749179385094013</v>
      </c>
      <c r="AT705">
        <v>0.86996061630121435</v>
      </c>
      <c r="AU705">
        <v>0.18358339022949344</v>
      </c>
      <c r="AV705"/>
      <c r="AW705"/>
      <c r="FY705" s="211">
        <v>700</v>
      </c>
      <c r="FZ705">
        <v>1.2856349852447289</v>
      </c>
      <c r="GA705">
        <v>1.7044024560446742</v>
      </c>
      <c r="GB705">
        <v>0.53221000199867929</v>
      </c>
      <c r="GC705">
        <v>0.37741800629354061</v>
      </c>
      <c r="GD705">
        <v>0.230724390260025</v>
      </c>
      <c r="GE705">
        <v>0.18585627676222499</v>
      </c>
      <c r="GF705">
        <v>0.57499774394694703</v>
      </c>
      <c r="GG705">
        <v>0.4281665527876255</v>
      </c>
      <c r="GH705">
        <v>2.2985735835423678E-2</v>
      </c>
      <c r="GI705">
        <v>0.55830499969042768</v>
      </c>
      <c r="GJ705"/>
      <c r="GK705">
        <v>1.281264338235294</v>
      </c>
      <c r="GL705">
        <v>1.435401056985294</v>
      </c>
      <c r="GM705">
        <v>0.87284765625000005</v>
      </c>
      <c r="GN705">
        <v>1.1056640624999998</v>
      </c>
      <c r="GO705">
        <v>0.87759374999999995</v>
      </c>
      <c r="GP705">
        <v>0.34926562499999997</v>
      </c>
      <c r="GQ705">
        <v>0.69359510869565222</v>
      </c>
      <c r="GR705">
        <v>0.59590760869565207</v>
      </c>
      <c r="GS705">
        <v>2.4293870192307693E-2</v>
      </c>
      <c r="GT705">
        <v>0.7499189446746507</v>
      </c>
      <c r="GU705"/>
      <c r="GV705"/>
      <c r="GW705"/>
      <c r="GX705"/>
      <c r="GY705"/>
      <c r="GZ705"/>
      <c r="HA705"/>
      <c r="HB705"/>
      <c r="HC705"/>
    </row>
    <row r="706" spans="1:211" s="7" customFormat="1">
      <c r="A706" s="4"/>
      <c r="B706" s="4"/>
      <c r="C706" s="105"/>
      <c r="D706" s="4"/>
      <c r="E706" s="4"/>
      <c r="F706" s="28"/>
      <c r="G706" s="28"/>
      <c r="H706" s="83"/>
      <c r="I706" s="4"/>
      <c r="J706" s="4"/>
      <c r="K706" s="4"/>
      <c r="L706" s="4"/>
      <c r="M706" s="4"/>
      <c r="N706" s="28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81"/>
      <c r="AG706" s="81"/>
      <c r="AH706" s="81"/>
      <c r="AI706" s="4"/>
      <c r="AJ706" s="81"/>
      <c r="AK706" s="81"/>
      <c r="AL706" s="81"/>
      <c r="AM706" s="43">
        <v>690</v>
      </c>
      <c r="AN706">
        <v>28.670470773779602</v>
      </c>
      <c r="AO706">
        <v>0.5853928533586511</v>
      </c>
      <c r="AP706">
        <v>1.548776425382965</v>
      </c>
      <c r="AQ706">
        <v>4.6945678660580548</v>
      </c>
      <c r="AR706">
        <v>0.54525033216171082</v>
      </c>
      <c r="AS706">
        <v>2.2010785923204779</v>
      </c>
      <c r="AT706" t="e">
        <v>#DIV/0!</v>
      </c>
      <c r="AU706" t="e">
        <v>#DIV/0!</v>
      </c>
      <c r="AV706"/>
      <c r="AW706"/>
      <c r="FY706" s="211">
        <v>701</v>
      </c>
      <c r="FZ706">
        <v>0.70487011904148</v>
      </c>
      <c r="GA706">
        <v>0.99525405834586034</v>
      </c>
      <c r="GB706">
        <v>0.50165534055323668</v>
      </c>
      <c r="GC706">
        <v>0.26138958566781689</v>
      </c>
      <c r="GD706">
        <v>0.16197447713498675</v>
      </c>
      <c r="GE706">
        <v>0.14731318231042501</v>
      </c>
      <c r="GF706">
        <v>8.1038194822856249E-2</v>
      </c>
      <c r="GG706">
        <v>5.0581908438140623E-2</v>
      </c>
      <c r="GH706">
        <v>0.11249442504775362</v>
      </c>
      <c r="GI706">
        <v>0.35121538091983295</v>
      </c>
      <c r="GJ706"/>
      <c r="GK706">
        <v>0.70245000000000002</v>
      </c>
      <c r="GL706">
        <v>0.83805937500000005</v>
      </c>
      <c r="GM706">
        <v>0.82307031249999996</v>
      </c>
      <c r="GN706">
        <v>0.76667433035714283</v>
      </c>
      <c r="GO706">
        <v>0.61701026785714275</v>
      </c>
      <c r="GP706">
        <v>0.276890625</v>
      </c>
      <c r="GQ706">
        <v>9.768750000000001E-2</v>
      </c>
      <c r="GR706">
        <v>7.0364583333333328E-2</v>
      </c>
      <c r="GS706">
        <v>0.11895232371794871</v>
      </c>
      <c r="GT706">
        <v>0.47183408081501832</v>
      </c>
      <c r="GU706"/>
      <c r="GV706"/>
      <c r="GW706"/>
      <c r="GX706"/>
      <c r="GY706"/>
      <c r="GZ706"/>
      <c r="HA706"/>
      <c r="HB706"/>
      <c r="HC706"/>
    </row>
    <row r="707" spans="1:211" s="7" customFormat="1">
      <c r="A707" s="4"/>
      <c r="B707" s="4"/>
      <c r="C707" s="105"/>
      <c r="D707" s="4"/>
      <c r="E707" s="4"/>
      <c r="F707" s="28"/>
      <c r="G707" s="28"/>
      <c r="H707" s="83"/>
      <c r="I707" s="4"/>
      <c r="J707" s="4"/>
      <c r="K707" s="4"/>
      <c r="L707" s="4"/>
      <c r="M707" s="4"/>
      <c r="N707" s="28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81"/>
      <c r="AG707" s="81"/>
      <c r="AH707" s="81"/>
      <c r="AI707" s="4"/>
      <c r="AJ707" s="81"/>
      <c r="AK707" s="81"/>
      <c r="AL707" s="81"/>
      <c r="AM707" s="43">
        <v>691</v>
      </c>
      <c r="AN707">
        <v>24.792792913105416</v>
      </c>
      <c r="AO707">
        <v>0.49795590905448711</v>
      </c>
      <c r="AP707">
        <v>0.18839240516763736</v>
      </c>
      <c r="AQ707">
        <v>3.3390408186984635</v>
      </c>
      <c r="AR707">
        <v>0.48245937099358982</v>
      </c>
      <c r="AS707">
        <v>2.0146896010021007</v>
      </c>
      <c r="AT707">
        <v>0.41495311346395392</v>
      </c>
      <c r="AU707">
        <v>0.15713076056264239</v>
      </c>
      <c r="AV707"/>
      <c r="AW707"/>
      <c r="FY707" s="211">
        <v>702</v>
      </c>
      <c r="FZ707">
        <v>2.2424267382495673</v>
      </c>
      <c r="GA707">
        <v>2.6472467259721224</v>
      </c>
      <c r="GB707">
        <v>0.28576767782594881</v>
      </c>
      <c r="GC707">
        <v>0.128121155719295</v>
      </c>
      <c r="GD707">
        <v>0.16963301654007429</v>
      </c>
      <c r="GE707">
        <v>0.20989178206897499</v>
      </c>
      <c r="GF707">
        <v>0.69434057702733132</v>
      </c>
      <c r="GG707">
        <v>0.61737285987307855</v>
      </c>
      <c r="GH707">
        <v>6.6522953376906252E-2</v>
      </c>
      <c r="GI707">
        <v>0.63381886323726455</v>
      </c>
      <c r="GJ707"/>
      <c r="GK707">
        <v>2.2348443014705879</v>
      </c>
      <c r="GL707">
        <v>2.2296060202205883</v>
      </c>
      <c r="GM707">
        <v>0.46858984374999996</v>
      </c>
      <c r="GN707">
        <v>0.37561964285714278</v>
      </c>
      <c r="GO707">
        <v>0.64593214285714284</v>
      </c>
      <c r="GP707">
        <v>0.39454687500000002</v>
      </c>
      <c r="GQ707">
        <v>0.83787635869565202</v>
      </c>
      <c r="GR707">
        <v>0.85939719202898535</v>
      </c>
      <c r="GS707">
        <v>7.0364583333333328E-2</v>
      </c>
      <c r="GT707">
        <v>0.85152144602134328</v>
      </c>
      <c r="GU707"/>
      <c r="GV707"/>
      <c r="GW707"/>
      <c r="GX707"/>
      <c r="GY707"/>
      <c r="GZ707"/>
      <c r="HA707"/>
      <c r="HB707"/>
      <c r="HC707"/>
    </row>
    <row r="708" spans="1:211" s="7" customFormat="1">
      <c r="A708" s="4"/>
      <c r="B708" s="4"/>
      <c r="C708" s="105"/>
      <c r="D708" s="4"/>
      <c r="E708" s="4"/>
      <c r="F708" s="28"/>
      <c r="G708" s="28"/>
      <c r="H708" s="83"/>
      <c r="I708" s="4"/>
      <c r="J708" s="4"/>
      <c r="K708" s="4"/>
      <c r="L708" s="4"/>
      <c r="M708" s="4"/>
      <c r="N708" s="28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81"/>
      <c r="AG708" s="81"/>
      <c r="AH708" s="81"/>
      <c r="AI708" s="4"/>
      <c r="AJ708" s="81"/>
      <c r="AK708" s="81"/>
      <c r="AL708" s="81"/>
      <c r="AM708" s="43">
        <v>692</v>
      </c>
      <c r="AN708">
        <v>75.002500350985812</v>
      </c>
      <c r="AO708">
        <v>1.6798957840377997</v>
      </c>
      <c r="AP708">
        <v>1.0481356424266695</v>
      </c>
      <c r="AQ708">
        <v>10.613268383618685</v>
      </c>
      <c r="AR708">
        <v>1.534422303670727</v>
      </c>
      <c r="AS708">
        <v>6.2673217537624337</v>
      </c>
      <c r="AT708" t="e">
        <v>#DIV/0!</v>
      </c>
      <c r="AU708" t="e">
        <v>#DIV/0!</v>
      </c>
      <c r="AV708"/>
      <c r="AW708"/>
      <c r="FY708" s="211">
        <v>703</v>
      </c>
      <c r="FZ708">
        <v>1.7737356081138278</v>
      </c>
      <c r="GA708">
        <v>2.1780736440700181</v>
      </c>
      <c r="GB708">
        <v>1.2973196175089976</v>
      </c>
      <c r="GC708">
        <v>1.3100006440752145</v>
      </c>
      <c r="GD708">
        <v>0.5014936203063074</v>
      </c>
      <c r="GE708">
        <v>3.0832901432324998E-2</v>
      </c>
      <c r="GF708">
        <v>0.37461671604370633</v>
      </c>
      <c r="GG708">
        <v>0.34012406257845362</v>
      </c>
      <c r="GH708">
        <v>8.9508689212329934E-2</v>
      </c>
      <c r="GI708">
        <v>0.94552795103601472</v>
      </c>
      <c r="GJ708"/>
      <c r="GK708">
        <v>1.7678005514705881</v>
      </c>
      <c r="GL708">
        <v>1.8346911764705882</v>
      </c>
      <c r="GM708">
        <v>2.1302393465909089</v>
      </c>
      <c r="GN708">
        <v>3.8418424715909092</v>
      </c>
      <c r="GO708">
        <v>1.907071875</v>
      </c>
      <c r="GP708">
        <v>5.7890625000000001E-2</v>
      </c>
      <c r="GQ708">
        <v>0.45162635869565215</v>
      </c>
      <c r="GR708">
        <v>0.47314719202898542</v>
      </c>
      <c r="GS708">
        <v>9.465845352564102E-2</v>
      </c>
      <c r="GT708">
        <v>1.2702793170565578</v>
      </c>
      <c r="GU708"/>
      <c r="GV708"/>
      <c r="GW708"/>
      <c r="GX708"/>
      <c r="GY708"/>
      <c r="GZ708"/>
      <c r="HA708"/>
      <c r="HB708"/>
      <c r="HC708"/>
    </row>
    <row r="709" spans="1:211" s="7" customFormat="1">
      <c r="A709" s="4"/>
      <c r="B709" s="4"/>
      <c r="C709" s="105"/>
      <c r="D709" s="4"/>
      <c r="E709" s="4"/>
      <c r="F709" s="28"/>
      <c r="G709" s="28"/>
      <c r="H709" s="83"/>
      <c r="I709" s="4"/>
      <c r="J709" s="4"/>
      <c r="K709" s="4"/>
      <c r="L709" s="4"/>
      <c r="M709" s="4"/>
      <c r="N709" s="28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81"/>
      <c r="AG709" s="81"/>
      <c r="AH709" s="81"/>
      <c r="AI709" s="4"/>
      <c r="AJ709" s="81"/>
      <c r="AK709" s="81"/>
      <c r="AL709" s="81"/>
      <c r="AM709" s="43">
        <v>693</v>
      </c>
      <c r="AN709">
        <v>40.54489020942826</v>
      </c>
      <c r="AO709">
        <v>0.91503479101469165</v>
      </c>
      <c r="AP709">
        <v>0.92746785910720209</v>
      </c>
      <c r="AQ709">
        <v>6.2881817200481773</v>
      </c>
      <c r="AR709">
        <v>0.83768050275811134</v>
      </c>
      <c r="AS709">
        <v>3.3808678422322056</v>
      </c>
      <c r="AT709">
        <v>0.64900433767267229</v>
      </c>
      <c r="AU709">
        <v>-3.364547775095366E-2</v>
      </c>
      <c r="AV709"/>
      <c r="AW709"/>
      <c r="FY709" s="211">
        <v>704</v>
      </c>
      <c r="FZ709">
        <v>1.9881873731652333</v>
      </c>
      <c r="GA709">
        <v>2.6237836985689569</v>
      </c>
      <c r="GB709">
        <v>1.4929239214489043</v>
      </c>
      <c r="GC709">
        <v>0.76796183388237726</v>
      </c>
      <c r="GD709">
        <v>0.11977386246100927</v>
      </c>
      <c r="GE709">
        <v>7.7086188903599986E-2</v>
      </c>
      <c r="GF709">
        <v>0.15986193049181252</v>
      </c>
      <c r="GG709">
        <v>0.18920630708545313</v>
      </c>
      <c r="GH709">
        <v>6.6522953376906252E-2</v>
      </c>
      <c r="GI709">
        <v>0.76675929749955396</v>
      </c>
      <c r="GJ709"/>
      <c r="GK709">
        <v>1.9813068014705881</v>
      </c>
      <c r="GL709">
        <v>2.2096466452205878</v>
      </c>
      <c r="GM709">
        <v>2.4510635653409092</v>
      </c>
      <c r="GN709">
        <v>2.2548558644480519</v>
      </c>
      <c r="GO709">
        <v>0.45578839285714279</v>
      </c>
      <c r="GP709">
        <v>0.14474999999999999</v>
      </c>
      <c r="GQ709">
        <v>0.19312499999999999</v>
      </c>
      <c r="GR709">
        <v>0.26348958333333333</v>
      </c>
      <c r="GS709">
        <v>7.0364583333333328E-2</v>
      </c>
      <c r="GT709">
        <v>1.0303296686003947</v>
      </c>
      <c r="GU709"/>
      <c r="GV709"/>
      <c r="GW709"/>
      <c r="GX709"/>
      <c r="GY709"/>
      <c r="GZ709"/>
      <c r="HA709"/>
      <c r="HB709"/>
      <c r="HC709"/>
    </row>
    <row r="710" spans="1:211" s="7" customFormat="1">
      <c r="A710" s="4"/>
      <c r="B710" s="4"/>
      <c r="C710" s="105"/>
      <c r="D710" s="4"/>
      <c r="E710" s="4"/>
      <c r="F710" s="28"/>
      <c r="G710" s="28"/>
      <c r="H710" s="83"/>
      <c r="I710" s="4"/>
      <c r="J710" s="4"/>
      <c r="K710" s="4"/>
      <c r="L710" s="4"/>
      <c r="M710" s="4"/>
      <c r="N710" s="28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81"/>
      <c r="AG710" s="81"/>
      <c r="AH710" s="81"/>
      <c r="AI710" s="4"/>
      <c r="AJ710" s="81"/>
      <c r="AK710" s="81"/>
      <c r="AL710" s="81"/>
      <c r="AM710" s="43">
        <v>694</v>
      </c>
      <c r="AN710">
        <v>62.122541949472087</v>
      </c>
      <c r="AO710">
        <v>1.5072895576216063</v>
      </c>
      <c r="AP710">
        <v>3.773091443250304</v>
      </c>
      <c r="AQ710">
        <v>10.082176007124852</v>
      </c>
      <c r="AR710">
        <v>1.394204722400761</v>
      </c>
      <c r="AS710">
        <v>5.3364909873474264</v>
      </c>
      <c r="AT710" t="e">
        <v>#DIV/0!</v>
      </c>
      <c r="AU710" t="e">
        <v>#DIV/0!</v>
      </c>
      <c r="AV710"/>
      <c r="AW710"/>
      <c r="FY710" s="211">
        <v>705</v>
      </c>
      <c r="FZ710">
        <v>3.2077856468105304</v>
      </c>
      <c r="GA710">
        <v>3.9198430527774124</v>
      </c>
      <c r="GB710">
        <v>1.7534348035175529</v>
      </c>
      <c r="GC710">
        <v>0.93160755423048225</v>
      </c>
      <c r="GD710">
        <v>0.11876876203557857</v>
      </c>
      <c r="GE710">
        <v>0.18585627676222499</v>
      </c>
      <c r="GF710">
        <v>0.41513581345513451</v>
      </c>
      <c r="GG710">
        <v>0.39070597101659427</v>
      </c>
      <c r="GH710">
        <v>0.15603164258923619</v>
      </c>
      <c r="GI710">
        <v>1.0706814408219829</v>
      </c>
      <c r="GJ710"/>
      <c r="GK710">
        <v>3.1970042279411759</v>
      </c>
      <c r="GL710">
        <v>3.3019104779411763</v>
      </c>
      <c r="GM710">
        <v>2.8794801136363635</v>
      </c>
      <c r="GN710">
        <v>2.7358350243506488</v>
      </c>
      <c r="GO710">
        <v>0.45190178571428574</v>
      </c>
      <c r="GP710">
        <v>0.34926562499999997</v>
      </c>
      <c r="GQ710">
        <v>0.50047010869565223</v>
      </c>
      <c r="GR710">
        <v>0.54351177536231876</v>
      </c>
      <c r="GS710">
        <v>0.16502303685897435</v>
      </c>
      <c r="GT710">
        <v>1.4387758545692901</v>
      </c>
      <c r="GU710"/>
      <c r="GV710"/>
      <c r="GW710"/>
      <c r="GX710"/>
      <c r="GY710"/>
      <c r="GZ710"/>
      <c r="HA710"/>
      <c r="HB710"/>
      <c r="HC710"/>
    </row>
    <row r="711" spans="1:211" s="7" customFormat="1">
      <c r="A711" s="4"/>
      <c r="B711" s="4"/>
      <c r="C711" s="105"/>
      <c r="D711" s="4"/>
      <c r="E711" s="4"/>
      <c r="F711" s="28"/>
      <c r="G711" s="28"/>
      <c r="H711" s="83"/>
      <c r="I711" s="4"/>
      <c r="J711" s="4"/>
      <c r="K711" s="4"/>
      <c r="L711" s="4"/>
      <c r="M711" s="4"/>
      <c r="N711" s="28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81"/>
      <c r="AG711" s="81"/>
      <c r="AH711" s="81"/>
      <c r="AI711" s="4"/>
      <c r="AJ711" s="81"/>
      <c r="AK711" s="81"/>
      <c r="AL711" s="81"/>
      <c r="AM711" s="43">
        <v>695</v>
      </c>
      <c r="AN711">
        <v>26.623266404991945</v>
      </c>
      <c r="AO711">
        <v>0.64675926245471005</v>
      </c>
      <c r="AP711">
        <v>0.70972862103372147</v>
      </c>
      <c r="AQ711">
        <v>4.3185149658530166</v>
      </c>
      <c r="AR711">
        <v>0.60245160223155469</v>
      </c>
      <c r="AS711">
        <v>2.3681884591324147</v>
      </c>
      <c r="AT711" t="e">
        <v>#DIV/0!</v>
      </c>
      <c r="AU711" t="e">
        <v>#DIV/0!</v>
      </c>
      <c r="AV711"/>
      <c r="AW711"/>
      <c r="FY711" s="211">
        <v>706</v>
      </c>
      <c r="FZ711">
        <v>1.4504049506561545</v>
      </c>
      <c r="GA711">
        <v>1.9551880527585195</v>
      </c>
      <c r="GB711">
        <v>1.3064714677252933</v>
      </c>
      <c r="GC711">
        <v>1.090708887803471</v>
      </c>
      <c r="GD711">
        <v>0.39965173637685747</v>
      </c>
      <c r="GE711">
        <v>0.16653080081070001</v>
      </c>
      <c r="GF711">
        <v>0.37461671604370633</v>
      </c>
      <c r="GG711">
        <v>0.34012406257845362</v>
      </c>
      <c r="GH711">
        <v>0.11249442504775362</v>
      </c>
      <c r="GI711">
        <v>0.84574002008565163</v>
      </c>
      <c r="GJ711"/>
      <c r="GK711">
        <v>1.4454693014705882</v>
      </c>
      <c r="GL711">
        <v>1.6467622702205882</v>
      </c>
      <c r="GM711">
        <v>2.1451104403409089</v>
      </c>
      <c r="GN711">
        <v>3.199420596590909</v>
      </c>
      <c r="GO711">
        <v>1.519884375</v>
      </c>
      <c r="GP711">
        <v>0.31312499999999999</v>
      </c>
      <c r="GQ711">
        <v>0.45162635869565215</v>
      </c>
      <c r="GR711">
        <v>0.47314719202898542</v>
      </c>
      <c r="GS711">
        <v>0.11895232371794871</v>
      </c>
      <c r="GT711">
        <v>1.1362085598450196</v>
      </c>
      <c r="GU711"/>
      <c r="GV711"/>
      <c r="GW711"/>
      <c r="GX711"/>
      <c r="GY711"/>
      <c r="GZ711"/>
      <c r="HA711"/>
      <c r="HB711"/>
      <c r="HC711"/>
    </row>
    <row r="712" spans="1:211" s="7" customFormat="1">
      <c r="A712" s="4"/>
      <c r="B712" s="4"/>
      <c r="C712" s="105"/>
      <c r="D712" s="4"/>
      <c r="E712" s="4"/>
      <c r="F712" s="28"/>
      <c r="G712" s="28"/>
      <c r="H712" s="83"/>
      <c r="I712" s="4"/>
      <c r="J712" s="4"/>
      <c r="K712" s="4"/>
      <c r="L712" s="4"/>
      <c r="M712" s="4"/>
      <c r="N712" s="28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81"/>
      <c r="AG712" s="81"/>
      <c r="AH712" s="81"/>
      <c r="AI712" s="4"/>
      <c r="AJ712" s="81"/>
      <c r="AK712" s="81"/>
      <c r="AL712" s="81"/>
      <c r="AM712" s="43">
        <v>696</v>
      </c>
      <c r="AN712">
        <v>30.454166666666669</v>
      </c>
      <c r="AO712">
        <v>0.58744200000000002</v>
      </c>
      <c r="AP712">
        <v>0.65426793759458934</v>
      </c>
      <c r="AQ712">
        <v>3.4664250600206885</v>
      </c>
      <c r="AR712">
        <v>0.5412825</v>
      </c>
      <c r="AS712">
        <v>2.7273847195328469</v>
      </c>
      <c r="AT712" t="e">
        <v>#DIV/0!</v>
      </c>
      <c r="AU712" t="e">
        <v>#DIV/0!</v>
      </c>
      <c r="AV712"/>
      <c r="AW712"/>
      <c r="FY712" s="211">
        <v>707</v>
      </c>
      <c r="FZ712">
        <v>0.97863045858775988</v>
      </c>
      <c r="GA712">
        <v>1.4254546812376927</v>
      </c>
      <c r="GB712">
        <v>1.4666304246261745</v>
      </c>
      <c r="GC712">
        <v>1.1097754598863947</v>
      </c>
      <c r="GD712">
        <v>0.38960352451363489</v>
      </c>
      <c r="GE712">
        <v>0.11648028087809999</v>
      </c>
      <c r="GF712">
        <v>0.36024295839505316</v>
      </c>
      <c r="GG712">
        <v>0.37841261417090627</v>
      </c>
      <c r="GH712">
        <v>0.15603164258923619</v>
      </c>
      <c r="GI712">
        <v>0.81358230778276663</v>
      </c>
      <c r="GJ712"/>
      <c r="GK712">
        <v>0.97542371323529398</v>
      </c>
      <c r="GL712">
        <v>1.2007284007352941</v>
      </c>
      <c r="GM712">
        <v>2.4081846590909084</v>
      </c>
      <c r="GN712">
        <v>3.2556424715909089</v>
      </c>
      <c r="GO712">
        <v>1.4819812499999996</v>
      </c>
      <c r="GP712">
        <v>0.21899999999999997</v>
      </c>
      <c r="GQ712">
        <v>0.43509375</v>
      </c>
      <c r="GR712">
        <v>0.52697916666666667</v>
      </c>
      <c r="GS712">
        <v>0.16502303685897435</v>
      </c>
      <c r="GT712">
        <v>1.0931412818370352</v>
      </c>
      <c r="GU712"/>
      <c r="GV712"/>
      <c r="GW712"/>
      <c r="GX712"/>
      <c r="GY712"/>
      <c r="GZ712"/>
      <c r="HA712"/>
      <c r="HB712"/>
      <c r="HC712"/>
    </row>
    <row r="713" spans="1:211" s="7" customFormat="1">
      <c r="A713" s="4"/>
      <c r="B713" s="4"/>
      <c r="C713" s="105"/>
      <c r="D713" s="4"/>
      <c r="E713" s="4"/>
      <c r="F713" s="28"/>
      <c r="G713" s="28"/>
      <c r="H713" s="83"/>
      <c r="I713" s="4"/>
      <c r="J713" s="4"/>
      <c r="K713" s="4"/>
      <c r="L713" s="4"/>
      <c r="M713" s="4"/>
      <c r="N713" s="28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81"/>
      <c r="AG713" s="81"/>
      <c r="AH713" s="81"/>
      <c r="AI713" s="4"/>
      <c r="AJ713" s="81"/>
      <c r="AK713" s="81"/>
      <c r="AL713" s="81"/>
      <c r="AM713" s="43">
        <v>697</v>
      </c>
      <c r="AN713">
        <v>39.707977666633361</v>
      </c>
      <c r="AO713">
        <v>0.91634420102869751</v>
      </c>
      <c r="AP713">
        <v>0.56166066681802262</v>
      </c>
      <c r="AQ713">
        <v>7.2861897810181251</v>
      </c>
      <c r="AR713">
        <v>0.85698167095266187</v>
      </c>
      <c r="AS713">
        <v>3.2249251136494945</v>
      </c>
      <c r="AT713">
        <v>0.6441134663523459</v>
      </c>
      <c r="AU713">
        <v>0.18464506484045368</v>
      </c>
      <c r="AV713"/>
      <c r="AW713"/>
      <c r="FY713" s="211">
        <v>708</v>
      </c>
      <c r="FZ713">
        <v>1.0839803677757243</v>
      </c>
      <c r="GA713">
        <v>1.5910237924027559</v>
      </c>
      <c r="GB713">
        <v>1.9729296374226888</v>
      </c>
      <c r="GC713">
        <v>1.2833365063051194</v>
      </c>
      <c r="GD713">
        <v>0.2420649132800593</v>
      </c>
      <c r="GE713">
        <v>0.12809556381015003</v>
      </c>
      <c r="GF713">
        <v>0.61551684135837503</v>
      </c>
      <c r="GG713">
        <v>0.4281665527876255</v>
      </c>
      <c r="GH713">
        <v>0</v>
      </c>
      <c r="GI713">
        <v>0.89054161992846081</v>
      </c>
      <c r="GJ713"/>
      <c r="GK713">
        <v>1.0802174632352941</v>
      </c>
      <c r="GL713">
        <v>1.3398815257352941</v>
      </c>
      <c r="GM713">
        <v>3.2392769886363637</v>
      </c>
      <c r="GN713">
        <v>3.7664325689935065</v>
      </c>
      <c r="GO713">
        <v>0.92078839285714287</v>
      </c>
      <c r="GP713">
        <v>0.24065624999999999</v>
      </c>
      <c r="GQ713">
        <v>0.74243885869565207</v>
      </c>
      <c r="GR713">
        <v>0.59590760869565207</v>
      </c>
      <c r="GS713">
        <v>0</v>
      </c>
      <c r="GT713">
        <v>1.1965443406848908</v>
      </c>
      <c r="GU713"/>
      <c r="GV713"/>
      <c r="GW713"/>
      <c r="GX713"/>
      <c r="GY713"/>
      <c r="GZ713"/>
      <c r="HA713"/>
      <c r="HB713"/>
      <c r="HC713"/>
    </row>
    <row r="714" spans="1:211" s="7" customFormat="1">
      <c r="A714" s="4"/>
      <c r="B714" s="4"/>
      <c r="C714" s="105"/>
      <c r="D714" s="4"/>
      <c r="E714" s="4"/>
      <c r="F714" s="28"/>
      <c r="G714" s="28"/>
      <c r="H714" s="83"/>
      <c r="I714" s="4"/>
      <c r="J714" s="4"/>
      <c r="K714" s="4"/>
      <c r="L714" s="4"/>
      <c r="M714" s="4"/>
      <c r="N714" s="28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81"/>
      <c r="AG714" s="81"/>
      <c r="AH714" s="81"/>
      <c r="AI714" s="4"/>
      <c r="AJ714" s="81"/>
      <c r="AK714" s="81"/>
      <c r="AL714" s="81"/>
      <c r="AM714" s="43">
        <v>698</v>
      </c>
      <c r="AN714">
        <v>44.148778971129516</v>
      </c>
      <c r="AO714">
        <v>0.97207554072851965</v>
      </c>
      <c r="AP714">
        <v>0.45016468161375561</v>
      </c>
      <c r="AQ714">
        <v>5.5287639555383628</v>
      </c>
      <c r="AR714">
        <v>0.89094935520774521</v>
      </c>
      <c r="AS714">
        <v>3.8943718893461048</v>
      </c>
      <c r="AT714" t="e">
        <v>#DIV/0!</v>
      </c>
      <c r="AU714" t="e">
        <v>#DIV/0!</v>
      </c>
      <c r="AV714"/>
      <c r="AW714"/>
      <c r="FY714" s="211">
        <v>709</v>
      </c>
      <c r="FZ714">
        <v>1.0658109082984402</v>
      </c>
      <c r="GA714">
        <v>1.3921383176312712</v>
      </c>
      <c r="GB714">
        <v>0.24603080101681638</v>
      </c>
      <c r="GC714">
        <v>0.34764503734885305</v>
      </c>
      <c r="GD714">
        <v>0.244931818511025</v>
      </c>
      <c r="GE714">
        <v>0.1406236436361</v>
      </c>
      <c r="GF714">
        <v>0.24090012531466881</v>
      </c>
      <c r="GG714">
        <v>0.23978821552359375</v>
      </c>
      <c r="GH714">
        <v>0.1330459067538125</v>
      </c>
      <c r="GI714">
        <v>0.42124656683577294</v>
      </c>
      <c r="GJ714"/>
      <c r="GK714">
        <v>1.0621237132352941</v>
      </c>
      <c r="GL714">
        <v>1.1725143382352941</v>
      </c>
      <c r="GM714">
        <v>0.40371093749999998</v>
      </c>
      <c r="GN714">
        <v>1.0189453124999999</v>
      </c>
      <c r="GO714">
        <v>0.9319687499999999</v>
      </c>
      <c r="GP714">
        <v>0.26418750000000002</v>
      </c>
      <c r="GQ714">
        <v>0.29081250000000003</v>
      </c>
      <c r="GR714">
        <v>0.33385416666666667</v>
      </c>
      <c r="GS714">
        <v>0.14072916666666666</v>
      </c>
      <c r="GT714">
        <v>0.5658690134803922</v>
      </c>
      <c r="GU714"/>
      <c r="GV714"/>
      <c r="GW714"/>
      <c r="GX714"/>
      <c r="GY714"/>
      <c r="GZ714"/>
      <c r="HA714"/>
      <c r="HB714"/>
      <c r="HC714"/>
    </row>
    <row r="715" spans="1:211" s="7" customFormat="1">
      <c r="A715" s="4"/>
      <c r="B715" s="4"/>
      <c r="C715" s="105"/>
      <c r="D715" s="4"/>
      <c r="E715" s="4"/>
      <c r="F715" s="28"/>
      <c r="G715" s="28"/>
      <c r="H715" s="83"/>
      <c r="I715" s="4"/>
      <c r="J715" s="4"/>
      <c r="K715" s="4"/>
      <c r="L715" s="4"/>
      <c r="M715" s="4"/>
      <c r="N715" s="28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81"/>
      <c r="AG715" s="81"/>
      <c r="AH715" s="81"/>
      <c r="AI715" s="4"/>
      <c r="AJ715" s="81"/>
      <c r="AK715" s="81"/>
      <c r="AL715" s="81"/>
      <c r="AM715" s="43">
        <v>699</v>
      </c>
      <c r="AN715">
        <v>39.511002918679551</v>
      </c>
      <c r="AO715">
        <v>0.91406487069746378</v>
      </c>
      <c r="AP715">
        <v>12.261820434296968</v>
      </c>
      <c r="AQ715">
        <v>6.201071597974682</v>
      </c>
      <c r="AR715">
        <v>0.84183454154314885</v>
      </c>
      <c r="AS715">
        <v>3.5958838245842419</v>
      </c>
      <c r="AT715" t="e">
        <v>#DIV/0!</v>
      </c>
      <c r="AU715" t="e">
        <v>#DIV/0!</v>
      </c>
      <c r="AV715"/>
      <c r="AW715"/>
      <c r="FY715" s="211">
        <v>710</v>
      </c>
      <c r="FZ715">
        <v>0.29427631130328746</v>
      </c>
      <c r="GA715">
        <v>0.77649994100165021</v>
      </c>
      <c r="GB715">
        <v>1.3193338207986174</v>
      </c>
      <c r="GC715">
        <v>0.864295835461109</v>
      </c>
      <c r="GD715">
        <v>0.26629419314402675</v>
      </c>
      <c r="GE715">
        <v>0.12900836070404997</v>
      </c>
      <c r="GF715">
        <v>0.33409761863227821</v>
      </c>
      <c r="GG715">
        <v>0.39070597101659427</v>
      </c>
      <c r="GH715">
        <v>0.17901737842465987</v>
      </c>
      <c r="GI715">
        <v>0.6050982022435194</v>
      </c>
      <c r="GJ715"/>
      <c r="GK715">
        <v>0.29324999999999996</v>
      </c>
      <c r="GL715">
        <v>0.65391796874999997</v>
      </c>
      <c r="GM715">
        <v>2.1662432528409088</v>
      </c>
      <c r="GN715">
        <v>2.5363230519480515</v>
      </c>
      <c r="GO715">
        <v>1.0131227678571428</v>
      </c>
      <c r="GP715">
        <v>0.24253124999999998</v>
      </c>
      <c r="GQ715">
        <v>0.40278260869565213</v>
      </c>
      <c r="GR715">
        <v>0.54351177536231876</v>
      </c>
      <c r="GS715">
        <v>0.18931690705128204</v>
      </c>
      <c r="GT715">
        <v>0.81294310728899721</v>
      </c>
      <c r="GU715"/>
      <c r="GV715"/>
      <c r="GW715"/>
      <c r="GX715"/>
      <c r="GY715"/>
      <c r="GZ715"/>
      <c r="HA715"/>
      <c r="HB715"/>
      <c r="HC715"/>
    </row>
    <row r="716" spans="1:211" s="7" customFormat="1">
      <c r="A716" s="4"/>
      <c r="B716" s="4"/>
      <c r="C716" s="105"/>
      <c r="D716" s="4"/>
      <c r="E716" s="4"/>
      <c r="F716" s="28"/>
      <c r="G716" s="28"/>
      <c r="H716" s="83"/>
      <c r="I716" s="4"/>
      <c r="J716" s="4"/>
      <c r="K716" s="4"/>
      <c r="L716" s="4"/>
      <c r="M716" s="4"/>
      <c r="N716" s="28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81"/>
      <c r="AG716" s="81"/>
      <c r="AH716" s="81"/>
      <c r="AI716" s="4"/>
      <c r="AJ716" s="81"/>
      <c r="AK716" s="81"/>
      <c r="AL716" s="81"/>
      <c r="AM716" s="43">
        <v>700</v>
      </c>
      <c r="AN716">
        <v>38.50699776078212</v>
      </c>
      <c r="AO716">
        <v>0.79857520212288513</v>
      </c>
      <c r="AP716">
        <v>0.60183841904136848</v>
      </c>
      <c r="AQ716">
        <v>5.9007011488642975</v>
      </c>
      <c r="AR716">
        <v>0.74991894467465081</v>
      </c>
      <c r="AS716">
        <v>3.2529142754053928</v>
      </c>
      <c r="AT716" t="e">
        <v>#DIV/0!</v>
      </c>
      <c r="AU716" t="e">
        <v>#DIV/0!</v>
      </c>
      <c r="AV716"/>
      <c r="AW716"/>
      <c r="FY716" s="211">
        <v>711</v>
      </c>
      <c r="FZ716">
        <v>1.3856239524490344</v>
      </c>
      <c r="GA716">
        <v>1.8952743292509757</v>
      </c>
      <c r="GB716">
        <v>0.95382389697941239</v>
      </c>
      <c r="GC716">
        <v>0.62063421587912315</v>
      </c>
      <c r="GD716">
        <v>0.21828536098741602</v>
      </c>
      <c r="GE716">
        <v>6.9375995884124991E-2</v>
      </c>
      <c r="GF716">
        <v>0.70871433467598444</v>
      </c>
      <c r="GG716">
        <v>0.57908430828062596</v>
      </c>
      <c r="GH716">
        <v>4.5971471670847357E-2</v>
      </c>
      <c r="GI716">
        <v>0.69670273473336375</v>
      </c>
      <c r="GJ716"/>
      <c r="GK716">
        <v>1.380742463235294</v>
      </c>
      <c r="GL716">
        <v>1.596039338235294</v>
      </c>
      <c r="GM716">
        <v>1.5655454545454544</v>
      </c>
      <c r="GN716">
        <v>1.8198691152597402</v>
      </c>
      <c r="GO716">
        <v>0.82994866071428564</v>
      </c>
      <c r="GP716">
        <v>0.130265625</v>
      </c>
      <c r="GQ716">
        <v>0.85440896739130423</v>
      </c>
      <c r="GR716">
        <v>0.80556521739130427</v>
      </c>
      <c r="GS716">
        <v>4.8587740384615385E-2</v>
      </c>
      <c r="GT716">
        <v>0.93584665725419069</v>
      </c>
      <c r="GU716"/>
      <c r="GV716"/>
      <c r="GW716"/>
      <c r="GX716"/>
      <c r="GY716"/>
      <c r="GZ716"/>
      <c r="HA716"/>
      <c r="HB716"/>
      <c r="HC716"/>
    </row>
    <row r="717" spans="1:211" s="7" customFormat="1">
      <c r="A717" s="4"/>
      <c r="B717" s="4"/>
      <c r="C717" s="105"/>
      <c r="D717" s="4"/>
      <c r="E717" s="4"/>
      <c r="F717" s="28"/>
      <c r="G717" s="28"/>
      <c r="H717" s="83"/>
      <c r="I717" s="4"/>
      <c r="J717" s="4"/>
      <c r="K717" s="4"/>
      <c r="L717" s="4"/>
      <c r="M717" s="4"/>
      <c r="N717" s="28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81"/>
      <c r="AG717" s="81"/>
      <c r="AH717" s="81"/>
      <c r="AI717" s="4"/>
      <c r="AJ717" s="81"/>
      <c r="AK717" s="81"/>
      <c r="AL717" s="81"/>
      <c r="AM717" s="43">
        <v>701</v>
      </c>
      <c r="AN717">
        <v>21.283095492470494</v>
      </c>
      <c r="AO717">
        <v>0.47829933985805856</v>
      </c>
      <c r="AP717">
        <v>0.85976905239967083</v>
      </c>
      <c r="AQ717">
        <v>3.367786672282389</v>
      </c>
      <c r="AR717">
        <v>0.47183408081501832</v>
      </c>
      <c r="AS717">
        <v>1.7734827466818783</v>
      </c>
      <c r="AT717" t="e">
        <v>#DIV/0!</v>
      </c>
      <c r="AU717" t="e">
        <v>#DIV/0!</v>
      </c>
      <c r="AV717"/>
      <c r="AW717"/>
      <c r="FY717" s="211">
        <v>712</v>
      </c>
      <c r="FZ717">
        <v>2.1297784879202992</v>
      </c>
      <c r="GA717">
        <v>2.8669763754146</v>
      </c>
      <c r="GB717">
        <v>0.70301597778294611</v>
      </c>
      <c r="GC717">
        <v>0.6513494082303688</v>
      </c>
      <c r="GD717">
        <v>0.41387385789810005</v>
      </c>
      <c r="GE717">
        <v>0.183984624894375</v>
      </c>
      <c r="GF717">
        <v>0.40076205580648128</v>
      </c>
      <c r="GG717">
        <v>0.27724879729462504</v>
      </c>
      <c r="GH717">
        <v>2.2985735835423678E-2</v>
      </c>
      <c r="GI717">
        <v>0.79775873736121361</v>
      </c>
      <c r="GJ717"/>
      <c r="GK717">
        <v>2.1226443014705878</v>
      </c>
      <c r="GL717">
        <v>2.4148396139705879</v>
      </c>
      <c r="GM717">
        <v>1.1534453125000002</v>
      </c>
      <c r="GN717">
        <v>1.9086718750000002</v>
      </c>
      <c r="GO717">
        <v>1.5742500000000001</v>
      </c>
      <c r="GP717">
        <v>0.345609375</v>
      </c>
      <c r="GQ717">
        <v>0.48393750000000002</v>
      </c>
      <c r="GR717">
        <v>0.38624999999999998</v>
      </c>
      <c r="GS717">
        <v>2.4293870192307693E-2</v>
      </c>
      <c r="GT717">
        <v>1.0717141968325792</v>
      </c>
      <c r="GU717"/>
      <c r="GV717"/>
      <c r="GW717"/>
      <c r="GX717"/>
      <c r="GY717"/>
      <c r="GZ717"/>
      <c r="HA717"/>
      <c r="HB717"/>
      <c r="HC717"/>
    </row>
    <row r="718" spans="1:211" s="7" customFormat="1">
      <c r="A718" s="4"/>
      <c r="B718" s="4"/>
      <c r="C718" s="105"/>
      <c r="D718" s="4"/>
      <c r="E718" s="4"/>
      <c r="F718" s="28"/>
      <c r="G718" s="28"/>
      <c r="H718" s="83"/>
      <c r="I718" s="4"/>
      <c r="J718" s="4"/>
      <c r="K718" s="4"/>
      <c r="L718" s="4"/>
      <c r="M718" s="4"/>
      <c r="N718" s="28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81"/>
      <c r="AG718" s="81"/>
      <c r="AH718" s="81"/>
      <c r="AI718" s="4"/>
      <c r="AJ718" s="81"/>
      <c r="AK718" s="81"/>
      <c r="AL718" s="81"/>
      <c r="AM718" s="43">
        <v>702</v>
      </c>
      <c r="AN718">
        <v>39.245761930980123</v>
      </c>
      <c r="AO718">
        <v>0.89682984062347759</v>
      </c>
      <c r="AP718">
        <v>0.36842206141190503</v>
      </c>
      <c r="AQ718">
        <v>7.6951423498905642</v>
      </c>
      <c r="AR718">
        <v>0.85152144602134305</v>
      </c>
      <c r="AS718">
        <v>3.2740671801403232</v>
      </c>
      <c r="AT718" t="e">
        <v>#DIV/0!</v>
      </c>
      <c r="AU718" t="e">
        <v>#DIV/0!</v>
      </c>
      <c r="AV718"/>
      <c r="AW718"/>
      <c r="FY718" s="211">
        <v>713</v>
      </c>
      <c r="FZ718">
        <v>0.36881124623012529</v>
      </c>
      <c r="GA718">
        <v>0.65992552568186336</v>
      </c>
      <c r="GB718">
        <v>1.5741475502602076</v>
      </c>
      <c r="GC718">
        <v>1.0594240403613728</v>
      </c>
      <c r="GD718">
        <v>0.26672847087255103</v>
      </c>
      <c r="GE718">
        <v>5.486840673907499E-2</v>
      </c>
      <c r="GF718">
        <v>0.66819523726455643</v>
      </c>
      <c r="GG718">
        <v>0.62966621671876666</v>
      </c>
      <c r="GH718">
        <v>6.6522953376906252E-2</v>
      </c>
      <c r="GI718">
        <v>0.72092844640866716</v>
      </c>
      <c r="GJ718"/>
      <c r="GK718">
        <v>0.36752812499999998</v>
      </c>
      <c r="GL718">
        <v>0.55577812500000001</v>
      </c>
      <c r="GM718">
        <v>2.5847627840909086</v>
      </c>
      <c r="GN718">
        <v>3.1087395698051945</v>
      </c>
      <c r="GO718">
        <v>1.0146174107142858</v>
      </c>
      <c r="GP718">
        <v>0.103171875</v>
      </c>
      <c r="GQ718">
        <v>0.80556521739130427</v>
      </c>
      <c r="GR718">
        <v>0.87592980072463755</v>
      </c>
      <c r="GS718">
        <v>7.0364583333333328E-2</v>
      </c>
      <c r="GT718">
        <v>0.96856762410596642</v>
      </c>
      <c r="GU718"/>
      <c r="GV718"/>
      <c r="GW718"/>
      <c r="GX718"/>
      <c r="GY718"/>
      <c r="GZ718"/>
      <c r="HA718"/>
      <c r="HB718"/>
      <c r="HC718"/>
    </row>
    <row r="719" spans="1:211" s="7" customFormat="1">
      <c r="A719" s="4"/>
      <c r="B719" s="4"/>
      <c r="C719" s="105"/>
      <c r="D719" s="4"/>
      <c r="E719" s="4"/>
      <c r="F719" s="28"/>
      <c r="G719" s="28"/>
      <c r="H719" s="83"/>
      <c r="I719" s="4"/>
      <c r="J719" s="4"/>
      <c r="K719" s="4"/>
      <c r="L719" s="4"/>
      <c r="M719" s="4"/>
      <c r="N719" s="28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81"/>
      <c r="AG719" s="81"/>
      <c r="AH719" s="81"/>
      <c r="AI719" s="4"/>
      <c r="AJ719" s="81"/>
      <c r="AK719" s="81"/>
      <c r="AL719" s="81"/>
      <c r="AM719" s="43">
        <v>703</v>
      </c>
      <c r="AN719">
        <v>59.476826872982556</v>
      </c>
      <c r="AO719">
        <v>1.3829247367429831</v>
      </c>
      <c r="AP719">
        <v>1.2231101370748703</v>
      </c>
      <c r="AQ719">
        <v>8.8412334543771962</v>
      </c>
      <c r="AR719">
        <v>1.2702793170565581</v>
      </c>
      <c r="AS719">
        <v>4.7898126229565134</v>
      </c>
      <c r="AT719">
        <v>0.95207560418983828</v>
      </c>
      <c r="AU719">
        <v>4.8430357525481429E-2</v>
      </c>
      <c r="AV719"/>
      <c r="AW719"/>
      <c r="FY719" s="211">
        <v>714</v>
      </c>
      <c r="FZ719">
        <v>0.40515016518469404</v>
      </c>
      <c r="GA719">
        <v>0.97592250490998378</v>
      </c>
      <c r="GB719">
        <v>0.63653147961077805</v>
      </c>
      <c r="GC719">
        <v>0.26461624199388745</v>
      </c>
      <c r="GD719">
        <v>7.071548187437679E-2</v>
      </c>
      <c r="GE719">
        <v>2.6015014625850003E-2</v>
      </c>
      <c r="GF719">
        <v>0.5344786465355188</v>
      </c>
      <c r="GG719">
        <v>0.47874846122576609</v>
      </c>
      <c r="GH719">
        <v>8.9508689212329934E-2</v>
      </c>
      <c r="GI719">
        <v>0.36583065366096673</v>
      </c>
      <c r="GJ719"/>
      <c r="GK719">
        <v>0.40371562499999997</v>
      </c>
      <c r="GL719">
        <v>0.8218875000000001</v>
      </c>
      <c r="GM719">
        <v>1.0446562499999998</v>
      </c>
      <c r="GN719">
        <v>0.77645089285714275</v>
      </c>
      <c r="GO719">
        <v>0.26949776785714286</v>
      </c>
      <c r="GP719">
        <v>4.8843750000000005E-2</v>
      </c>
      <c r="GQ719">
        <v>0.64475135869565214</v>
      </c>
      <c r="GR719">
        <v>0.66627219202898535</v>
      </c>
      <c r="GS719">
        <v>9.465845352564102E-2</v>
      </c>
      <c r="GT719">
        <v>0.49145589101568721</v>
      </c>
      <c r="GU719"/>
      <c r="GV719"/>
      <c r="GW719"/>
      <c r="GX719"/>
      <c r="GY719"/>
      <c r="GZ719"/>
      <c r="HA719"/>
      <c r="HB719"/>
      <c r="HC719"/>
    </row>
    <row r="720" spans="1:211" s="7" customFormat="1">
      <c r="A720" s="4"/>
      <c r="B720" s="4"/>
      <c r="C720" s="105"/>
      <c r="D720" s="4"/>
      <c r="E720" s="4"/>
      <c r="F720" s="28"/>
      <c r="G720" s="28"/>
      <c r="H720" s="83"/>
      <c r="I720" s="4"/>
      <c r="J720" s="4"/>
      <c r="K720" s="4"/>
      <c r="L720" s="4"/>
      <c r="M720" s="4"/>
      <c r="N720" s="28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81"/>
      <c r="AG720" s="81"/>
      <c r="AH720" s="81"/>
      <c r="AI720" s="4"/>
      <c r="AJ720" s="81"/>
      <c r="AK720" s="81"/>
      <c r="AL720" s="81"/>
      <c r="AM720" s="43">
        <v>704</v>
      </c>
      <c r="AN720">
        <v>41.249520988951133</v>
      </c>
      <c r="AO720">
        <v>1.1054720104604341</v>
      </c>
      <c r="AP720">
        <v>3.2685563521109509</v>
      </c>
      <c r="AQ720">
        <v>8.2520673668838072</v>
      </c>
      <c r="AR720">
        <v>1.0303296686003947</v>
      </c>
      <c r="AS720">
        <v>3.5576752785276287</v>
      </c>
      <c r="AT720" t="e">
        <v>#DIV/0!</v>
      </c>
      <c r="AU720" t="e">
        <v>#DIV/0!</v>
      </c>
      <c r="AV720"/>
      <c r="AW720"/>
      <c r="FY720" s="211">
        <v>715</v>
      </c>
      <c r="FZ720">
        <v>2.4962030708007301</v>
      </c>
      <c r="GA720">
        <v>3.1252276537578791</v>
      </c>
      <c r="GB720">
        <v>0.56450230240016241</v>
      </c>
      <c r="GC720">
        <v>0.62982888545968985</v>
      </c>
      <c r="GD720">
        <v>0.35355951514703243</v>
      </c>
      <c r="GE720">
        <v>4.3360981258274998E-2</v>
      </c>
      <c r="GF720">
        <v>0.33409761863227821</v>
      </c>
      <c r="GG720">
        <v>0.34012406257845362</v>
      </c>
      <c r="GH720">
        <v>8.9508689212329934E-2</v>
      </c>
      <c r="GI720">
        <v>0.7825014948225435</v>
      </c>
      <c r="GJ720"/>
      <c r="GK720">
        <v>2.4878961397058825</v>
      </c>
      <c r="GL720">
        <v>2.6326461397058822</v>
      </c>
      <c r="GM720">
        <v>0.92631249999999998</v>
      </c>
      <c r="GN720">
        <v>1.8452124999999999</v>
      </c>
      <c r="GO720">
        <v>1.344290625</v>
      </c>
      <c r="GP720">
        <v>8.1421875000000005E-2</v>
      </c>
      <c r="GQ720">
        <v>0.40278260869565213</v>
      </c>
      <c r="GR720">
        <v>0.47314719202898542</v>
      </c>
      <c r="GS720">
        <v>9.465845352564102E-2</v>
      </c>
      <c r="GT720">
        <v>1.0511880653854351</v>
      </c>
      <c r="GU720"/>
      <c r="GV720"/>
      <c r="GW720"/>
      <c r="GX720"/>
      <c r="GY720"/>
      <c r="GZ720"/>
      <c r="HA720"/>
      <c r="HB720"/>
      <c r="HC720"/>
    </row>
    <row r="721" spans="1:211" s="7" customFormat="1">
      <c r="A721" s="4"/>
      <c r="B721" s="4"/>
      <c r="C721" s="105"/>
      <c r="D721" s="4"/>
      <c r="E721" s="4"/>
      <c r="F721" s="28"/>
      <c r="G721" s="28"/>
      <c r="H721" s="83"/>
      <c r="I721" s="4"/>
      <c r="J721" s="4"/>
      <c r="K721" s="4"/>
      <c r="L721" s="4"/>
      <c r="M721" s="4"/>
      <c r="N721" s="28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81"/>
      <c r="AG721" s="81"/>
      <c r="AH721" s="81"/>
      <c r="AI721" s="4"/>
      <c r="AJ721" s="81"/>
      <c r="AK721" s="81"/>
      <c r="AL721" s="81"/>
      <c r="AM721" s="43">
        <v>705</v>
      </c>
      <c r="AN721">
        <v>57.872205996854333</v>
      </c>
      <c r="AO721">
        <v>1.5563178030069884</v>
      </c>
      <c r="AP721">
        <v>1.3287399547309655</v>
      </c>
      <c r="AQ721">
        <v>12.149850964016728</v>
      </c>
      <c r="AR721">
        <v>1.4387758545692901</v>
      </c>
      <c r="AS721">
        <v>5.477096692094781</v>
      </c>
      <c r="AT721">
        <v>0.9321052212394173</v>
      </c>
      <c r="AU721">
        <v>0.18250606903691133</v>
      </c>
      <c r="AV721"/>
      <c r="AW721"/>
      <c r="FY721" s="211">
        <v>716</v>
      </c>
      <c r="FZ721">
        <v>0.92777755792042416</v>
      </c>
      <c r="GA721">
        <v>1.5561636326845478</v>
      </c>
      <c r="GB721">
        <v>0.84453332545874882</v>
      </c>
      <c r="GC721">
        <v>0.77497234516451829</v>
      </c>
      <c r="GD721">
        <v>0.37770593139744751</v>
      </c>
      <c r="GE721">
        <v>4.5232633126125001E-2</v>
      </c>
      <c r="GF721">
        <v>0.33409761863227821</v>
      </c>
      <c r="GG721">
        <v>0.34012406257845362</v>
      </c>
      <c r="GH721">
        <v>6.6522953376906252E-2</v>
      </c>
      <c r="GI721">
        <v>0.62840631610541675</v>
      </c>
      <c r="GJ721"/>
      <c r="GK721">
        <v>0.92459246323529398</v>
      </c>
      <c r="GL721">
        <v>1.3104791819852941</v>
      </c>
      <c r="GM721">
        <v>1.3861352982954545</v>
      </c>
      <c r="GN721">
        <v>2.2722298295454544</v>
      </c>
      <c r="GO721">
        <v>1.4367468750000003</v>
      </c>
      <c r="GP721">
        <v>8.5078125000000004E-2</v>
      </c>
      <c r="GQ721">
        <v>0.40278260869565213</v>
      </c>
      <c r="GR721">
        <v>0.47314719202898542</v>
      </c>
      <c r="GS721">
        <v>7.0364583333333328E-2</v>
      </c>
      <c r="GT721">
        <v>0.84412436571194682</v>
      </c>
      <c r="GU721"/>
      <c r="GV721"/>
      <c r="GW721"/>
      <c r="GX721"/>
      <c r="GY721"/>
      <c r="GZ721"/>
      <c r="HA721"/>
      <c r="HB721"/>
      <c r="HC721"/>
    </row>
    <row r="722" spans="1:211" s="7" customFormat="1">
      <c r="A722" s="4"/>
      <c r="B722" s="4"/>
      <c r="C722" s="105"/>
      <c r="D722" s="4"/>
      <c r="E722" s="4"/>
      <c r="F722" s="28"/>
      <c r="G722" s="28"/>
      <c r="H722" s="83"/>
      <c r="I722" s="4"/>
      <c r="J722" s="4"/>
      <c r="K722" s="4"/>
      <c r="L722" s="4"/>
      <c r="M722" s="4"/>
      <c r="N722" s="28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81"/>
      <c r="AG722" s="81"/>
      <c r="AH722" s="81"/>
      <c r="AI722" s="4"/>
      <c r="AJ722" s="81"/>
      <c r="AK722" s="81"/>
      <c r="AL722" s="81"/>
      <c r="AM722" s="43">
        <v>706</v>
      </c>
      <c r="AN722">
        <v>53.615729116572297</v>
      </c>
      <c r="AO722">
        <v>1.2449706417910602</v>
      </c>
      <c r="AP722">
        <v>16.787512367677525</v>
      </c>
      <c r="AQ722">
        <v>8.0419311198865628</v>
      </c>
      <c r="AR722">
        <v>1.1362085598450196</v>
      </c>
      <c r="AS722">
        <v>4.0458169979125298</v>
      </c>
      <c r="AT722" t="e">
        <v>#DIV/0!</v>
      </c>
      <c r="AU722" t="e">
        <v>#DIV/0!</v>
      </c>
      <c r="AV722"/>
      <c r="AW722"/>
      <c r="FY722" s="211">
        <v>717</v>
      </c>
      <c r="FZ722">
        <v>0.43234981275127493</v>
      </c>
      <c r="GA722">
        <v>0.92208054099410153</v>
      </c>
      <c r="GB722">
        <v>0.63837154846559518</v>
      </c>
      <c r="GC722">
        <v>0.65935868763459493</v>
      </c>
      <c r="GD722">
        <v>0.40193690850346175</v>
      </c>
      <c r="GE722">
        <v>9.5283153058725006E-2</v>
      </c>
      <c r="GF722">
        <v>0.82805716775636906</v>
      </c>
      <c r="GG722">
        <v>0.71770870692793864</v>
      </c>
      <c r="GH722">
        <v>0</v>
      </c>
      <c r="GI722">
        <v>0.59652708453306147</v>
      </c>
      <c r="GJ722"/>
      <c r="GK722">
        <v>0.4308749999999999</v>
      </c>
      <c r="GL722">
        <v>0.7766718749999999</v>
      </c>
      <c r="GM722">
        <v>1.047671875</v>
      </c>
      <c r="GN722">
        <v>1.9318696428571429</v>
      </c>
      <c r="GO722">
        <v>1.5287290178571429</v>
      </c>
      <c r="GP722">
        <v>0.17920312499999999</v>
      </c>
      <c r="GQ722">
        <v>0.99869021739130437</v>
      </c>
      <c r="GR722">
        <v>0.99869021739130437</v>
      </c>
      <c r="GS722">
        <v>0</v>
      </c>
      <c r="GT722">
        <v>0.80119322204968968</v>
      </c>
      <c r="GU722"/>
      <c r="GV722"/>
      <c r="GW722"/>
      <c r="GX722"/>
      <c r="GY722"/>
      <c r="GZ722"/>
      <c r="HA722"/>
      <c r="HB722"/>
      <c r="HC722"/>
    </row>
    <row r="723" spans="1:211" s="7" customFormat="1">
      <c r="A723" s="4"/>
      <c r="B723" s="4"/>
      <c r="C723" s="105"/>
      <c r="D723" s="4"/>
      <c r="E723" s="4"/>
      <c r="F723" s="28"/>
      <c r="G723" s="28"/>
      <c r="H723" s="83"/>
      <c r="I723" s="4"/>
      <c r="J723" s="4"/>
      <c r="K723" s="4"/>
      <c r="L723" s="4"/>
      <c r="M723" s="4"/>
      <c r="N723" s="28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81"/>
      <c r="AG723" s="81"/>
      <c r="AH723" s="81"/>
      <c r="AI723" s="4"/>
      <c r="AJ723" s="81"/>
      <c r="AK723" s="81"/>
      <c r="AL723" s="81"/>
      <c r="AM723" s="43">
        <v>707</v>
      </c>
      <c r="AN723">
        <v>46.466601726160555</v>
      </c>
      <c r="AO723">
        <v>1.1761197730015081</v>
      </c>
      <c r="AP723">
        <v>1.4988597794203811</v>
      </c>
      <c r="AQ723">
        <v>7.1948443526677197</v>
      </c>
      <c r="AR723">
        <v>1.0931412818370352</v>
      </c>
      <c r="AS723">
        <v>3.9877730399757483</v>
      </c>
      <c r="AT723">
        <v>0.7512745528542446</v>
      </c>
      <c r="AU723">
        <v>0.18346042630326717</v>
      </c>
      <c r="AV723"/>
      <c r="AW723"/>
      <c r="FY723" s="211">
        <v>718</v>
      </c>
      <c r="FZ723">
        <v>1.2911050105270794</v>
      </c>
      <c r="GA723">
        <v>1.9559059905018221</v>
      </c>
      <c r="GB723">
        <v>0.75872810431100024</v>
      </c>
      <c r="GC723">
        <v>0.52368185318799831</v>
      </c>
      <c r="GD723">
        <v>0.1816948237382518</v>
      </c>
      <c r="GE723">
        <v>2.6015014625850003E-2</v>
      </c>
      <c r="GF723">
        <v>1.2026738838000754</v>
      </c>
      <c r="GG723">
        <v>1.108414677944533</v>
      </c>
      <c r="GH723">
        <v>0.15603164258923619</v>
      </c>
      <c r="GI723">
        <v>0.72041751776021901</v>
      </c>
      <c r="GJ723"/>
      <c r="GK723">
        <v>1.286542463235294</v>
      </c>
      <c r="GL723">
        <v>1.647210431985294</v>
      </c>
      <c r="GM723">
        <v>1.2456821732954544</v>
      </c>
      <c r="GN723">
        <v>1.5360744724025974</v>
      </c>
      <c r="GO723">
        <v>0.69090401785714295</v>
      </c>
      <c r="GP723">
        <v>4.8843750000000005E-2</v>
      </c>
      <c r="GQ723">
        <v>1.4503165760869565</v>
      </c>
      <c r="GR723">
        <v>1.5422019927536232</v>
      </c>
      <c r="GS723">
        <v>0.16502303685897435</v>
      </c>
      <c r="GT723">
        <v>0.9676936534667645</v>
      </c>
      <c r="GU723"/>
      <c r="GV723"/>
      <c r="GW723"/>
      <c r="GX723"/>
      <c r="GY723"/>
      <c r="GZ723"/>
      <c r="HA723"/>
      <c r="HB723"/>
      <c r="HC723"/>
    </row>
    <row r="724" spans="1:211" s="7" customFormat="1">
      <c r="A724" s="4"/>
      <c r="B724" s="4"/>
      <c r="C724" s="105"/>
      <c r="D724" s="4"/>
      <c r="E724" s="4"/>
      <c r="F724" s="28"/>
      <c r="G724" s="28"/>
      <c r="H724" s="83"/>
      <c r="I724" s="4"/>
      <c r="J724" s="4"/>
      <c r="K724" s="4"/>
      <c r="L724" s="4"/>
      <c r="M724" s="4"/>
      <c r="N724" s="28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81"/>
      <c r="AG724" s="81"/>
      <c r="AH724" s="81"/>
      <c r="AI724" s="4"/>
      <c r="AJ724" s="81"/>
      <c r="AK724" s="81"/>
      <c r="AL724" s="81"/>
      <c r="AM724" s="43">
        <v>708</v>
      </c>
      <c r="AN724">
        <v>51.458918929890807</v>
      </c>
      <c r="AO724">
        <v>1.3122143997533797</v>
      </c>
      <c r="AP724">
        <v>2.2844832266739723</v>
      </c>
      <c r="AQ724">
        <v>8.2356557950709597</v>
      </c>
      <c r="AR724">
        <v>1.1965443406848904</v>
      </c>
      <c r="AS724">
        <v>4.1880379027986576</v>
      </c>
      <c r="AT724" t="e">
        <v>#DIV/0!</v>
      </c>
      <c r="AU724" t="e">
        <v>#DIV/0!</v>
      </c>
      <c r="AV724"/>
      <c r="AW724"/>
      <c r="FY724" s="211">
        <v>719</v>
      </c>
      <c r="FZ724">
        <v>1.0966798019706583</v>
      </c>
      <c r="GA724">
        <v>1.5167553135261871</v>
      </c>
      <c r="GB724">
        <v>0.4100634209682914</v>
      </c>
      <c r="GC724">
        <v>0.20216602820338059</v>
      </c>
      <c r="GD724">
        <v>0.10978309463057354</v>
      </c>
      <c r="GE724">
        <v>0.10791909033592499</v>
      </c>
      <c r="GF724">
        <v>1.1883001261514217</v>
      </c>
      <c r="GG724">
        <v>1.045539412660704</v>
      </c>
      <c r="GH724">
        <v>0.13548016088317727</v>
      </c>
      <c r="GI724">
        <v>0.55987528308444234</v>
      </c>
      <c r="GJ724"/>
      <c r="GK724">
        <v>1.0930330882352939</v>
      </c>
      <c r="GL724">
        <v>1.2776268382352942</v>
      </c>
      <c r="GM724">
        <v>0.67283593750000004</v>
      </c>
      <c r="GN724">
        <v>0.59252834821428557</v>
      </c>
      <c r="GO724">
        <v>0.41745803571428564</v>
      </c>
      <c r="GP724">
        <v>0.20264062499999999</v>
      </c>
      <c r="GQ724">
        <v>1.433783967391304</v>
      </c>
      <c r="GR724">
        <v>1.4553048007246374</v>
      </c>
      <c r="GS724">
        <v>0.14324619391025639</v>
      </c>
      <c r="GT724">
        <v>0.7520714445502279</v>
      </c>
      <c r="GU724"/>
      <c r="GV724"/>
      <c r="GW724"/>
      <c r="GX724"/>
      <c r="GY724"/>
      <c r="GZ724"/>
      <c r="HA724"/>
      <c r="HB724"/>
      <c r="HC724"/>
    </row>
    <row r="725" spans="1:211" s="7" customFormat="1">
      <c r="A725" s="4"/>
      <c r="B725" s="4"/>
      <c r="C725" s="105"/>
      <c r="D725" s="4"/>
      <c r="E725" s="4"/>
      <c r="F725" s="28"/>
      <c r="G725" s="28"/>
      <c r="H725" s="83"/>
      <c r="I725" s="4"/>
      <c r="J725" s="4"/>
      <c r="K725" s="4"/>
      <c r="L725" s="4"/>
      <c r="M725" s="4"/>
      <c r="N725" s="28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81"/>
      <c r="AG725" s="81"/>
      <c r="AH725" s="81"/>
      <c r="AI725" s="4"/>
      <c r="AJ725" s="81"/>
      <c r="AK725" s="81"/>
      <c r="AL725" s="81"/>
      <c r="AM725" s="43">
        <v>709</v>
      </c>
      <c r="AN725">
        <v>28.499053649237474</v>
      </c>
      <c r="AO725">
        <v>0.6184715398284315</v>
      </c>
      <c r="AP725">
        <v>0.31337306225928546</v>
      </c>
      <c r="AQ725">
        <v>4.472161340870354</v>
      </c>
      <c r="AR725">
        <v>0.56586901348039209</v>
      </c>
      <c r="AS725">
        <v>2.2701625474100902</v>
      </c>
      <c r="AT725" t="e">
        <v>#DIV/0!</v>
      </c>
      <c r="AU725" t="e">
        <v>#DIV/0!</v>
      </c>
      <c r="AV725"/>
      <c r="AW725"/>
      <c r="FY725" s="211">
        <v>720</v>
      </c>
      <c r="FZ725">
        <v>2.2691633532829774</v>
      </c>
      <c r="GA725">
        <v>2.9217030340655468</v>
      </c>
      <c r="GB725">
        <v>0.17025486312838006</v>
      </c>
      <c r="GC725">
        <v>0.23226600392165625</v>
      </c>
      <c r="GD725">
        <v>0.19788854640446252</v>
      </c>
      <c r="GE725">
        <v>6.4558109077649986E-2</v>
      </c>
      <c r="GF725">
        <v>0.85420250751914373</v>
      </c>
      <c r="GG725">
        <v>0.75599725852039101</v>
      </c>
      <c r="GH725">
        <v>6.6522953376906252E-2</v>
      </c>
      <c r="GI725">
        <v>0.65426555088731786</v>
      </c>
      <c r="GJ725"/>
      <c r="GK725">
        <v>2.2615180147058824</v>
      </c>
      <c r="GL725">
        <v>2.4609828584558819</v>
      </c>
      <c r="GM725">
        <v>0.27915234374999998</v>
      </c>
      <c r="GN725">
        <v>0.68039062500000003</v>
      </c>
      <c r="GO725">
        <v>0.75276562499999999</v>
      </c>
      <c r="GP725">
        <v>0.12121874999999999</v>
      </c>
      <c r="GQ725">
        <v>1.0310013586956519</v>
      </c>
      <c r="GR725">
        <v>1.0525221920289853</v>
      </c>
      <c r="GS725">
        <v>7.0364583333333328E-2</v>
      </c>
      <c r="GT725">
        <v>0.87896038509697361</v>
      </c>
      <c r="GU725"/>
      <c r="GV725"/>
      <c r="GW725"/>
      <c r="GX725"/>
      <c r="GY725"/>
      <c r="GZ725"/>
      <c r="HA725"/>
      <c r="HB725"/>
      <c r="HC725"/>
    </row>
    <row r="726" spans="1:211" s="7" customFormat="1">
      <c r="A726" s="4"/>
      <c r="B726" s="4"/>
      <c r="C726" s="105"/>
      <c r="D726" s="4"/>
      <c r="E726" s="4"/>
      <c r="F726" s="28"/>
      <c r="G726" s="28"/>
      <c r="H726" s="83"/>
      <c r="I726" s="4"/>
      <c r="J726" s="4"/>
      <c r="K726" s="4"/>
      <c r="L726" s="4"/>
      <c r="M726" s="4"/>
      <c r="N726" s="28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81"/>
      <c r="AG726" s="81"/>
      <c r="AH726" s="81"/>
      <c r="AI726" s="4"/>
      <c r="AJ726" s="81"/>
      <c r="AK726" s="81"/>
      <c r="AL726" s="81"/>
      <c r="AM726" s="43">
        <v>710</v>
      </c>
      <c r="AN726">
        <v>36.610991527092068</v>
      </c>
      <c r="AO726">
        <v>0.88539426897943552</v>
      </c>
      <c r="AP726">
        <v>5.0531532562671941</v>
      </c>
      <c r="AQ726">
        <v>5.1586276327297922</v>
      </c>
      <c r="AR726">
        <v>0.81294310728899721</v>
      </c>
      <c r="AS726">
        <v>3.0633990835297786</v>
      </c>
      <c r="AT726" t="e">
        <v>#DIV/0!</v>
      </c>
      <c r="AU726" t="e">
        <v>#DIV/0!</v>
      </c>
      <c r="AV726"/>
      <c r="AW726"/>
      <c r="FY726" s="211">
        <v>721</v>
      </c>
      <c r="FZ726">
        <v>1.1129945628601381</v>
      </c>
      <c r="GA726">
        <v>2.4674044745782235</v>
      </c>
      <c r="GB726">
        <v>0.81529054307418869</v>
      </c>
      <c r="GC726">
        <v>0.41531567985182932</v>
      </c>
      <c r="GD726">
        <v>0.23821587338982425</v>
      </c>
      <c r="GE726">
        <v>9.6357736129499983E-3</v>
      </c>
      <c r="GF726">
        <v>0.98791909824818158</v>
      </c>
      <c r="GG726">
        <v>0.90691501401339158</v>
      </c>
      <c r="GH726">
        <v>8.9508689212329934E-2</v>
      </c>
      <c r="GI726">
        <v>0.69080901266210959</v>
      </c>
      <c r="GJ726"/>
      <c r="GK726">
        <v>1.1092049632352941</v>
      </c>
      <c r="GL726">
        <v>2.0781229319852943</v>
      </c>
      <c r="GM726">
        <v>1.33762890625</v>
      </c>
      <c r="GN726">
        <v>1.2171430803571428</v>
      </c>
      <c r="GO726">
        <v>0.90636964285714283</v>
      </c>
      <c r="GP726">
        <v>1.8093749999999999E-2</v>
      </c>
      <c r="GQ726">
        <v>1.1918152173913041</v>
      </c>
      <c r="GR726">
        <v>1.2621798007246374</v>
      </c>
      <c r="GS726">
        <v>9.465845352564102E-2</v>
      </c>
      <c r="GT726">
        <v>0.92793543665187661</v>
      </c>
      <c r="GU726"/>
      <c r="GV726"/>
      <c r="GW726"/>
      <c r="GX726"/>
      <c r="GY726"/>
      <c r="GZ726"/>
      <c r="HA726"/>
      <c r="HB726"/>
      <c r="HC726"/>
    </row>
    <row r="727" spans="1:211" s="7" customFormat="1">
      <c r="A727" s="4"/>
      <c r="B727" s="4"/>
      <c r="C727" s="105"/>
      <c r="D727" s="4"/>
      <c r="E727" s="4"/>
      <c r="F727" s="28"/>
      <c r="G727" s="28"/>
      <c r="H727" s="83"/>
      <c r="I727" s="4"/>
      <c r="J727" s="4"/>
      <c r="K727" s="4"/>
      <c r="L727" s="4"/>
      <c r="M727" s="4"/>
      <c r="N727" s="28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81"/>
      <c r="AG727" s="81"/>
      <c r="AH727" s="81"/>
      <c r="AI727" s="4"/>
      <c r="AJ727" s="81"/>
      <c r="AK727" s="81"/>
      <c r="AL727" s="81"/>
      <c r="AM727" s="43">
        <v>711</v>
      </c>
      <c r="AN727">
        <v>46.432468327353234</v>
      </c>
      <c r="AO727">
        <v>0.99668192394114841</v>
      </c>
      <c r="AP727">
        <v>1.0331190722465631</v>
      </c>
      <c r="AQ727">
        <v>7.1734906007909087</v>
      </c>
      <c r="AR727">
        <v>0.93584665725419081</v>
      </c>
      <c r="AS727">
        <v>3.8500296313159996</v>
      </c>
      <c r="AT727" t="e">
        <v>#DIV/0!</v>
      </c>
      <c r="AU727" t="e">
        <v>#DIV/0!</v>
      </c>
      <c r="AV727"/>
      <c r="AW727"/>
      <c r="FY727" s="211">
        <v>722</v>
      </c>
      <c r="FZ727">
        <v>1.7561268945571811</v>
      </c>
      <c r="GA727">
        <v>2.3013683806151399</v>
      </c>
      <c r="GB727">
        <v>1.1030271926299733</v>
      </c>
      <c r="GC727">
        <v>0.77075101632857956</v>
      </c>
      <c r="GD727">
        <v>0.22634691024156428</v>
      </c>
      <c r="GE727">
        <v>0.13291345061662502</v>
      </c>
      <c r="GF727">
        <v>0.28141922272609687</v>
      </c>
      <c r="GG727">
        <v>0.23978821552359375</v>
      </c>
      <c r="GH727">
        <v>0.1330459067538125</v>
      </c>
      <c r="GI727">
        <v>0.72975603887926854</v>
      </c>
      <c r="GJ727"/>
      <c r="GK727">
        <v>1.7498362132352938</v>
      </c>
      <c r="GL727">
        <v>1.9380862132352941</v>
      </c>
      <c r="GM727">
        <v>1.8106860795454547</v>
      </c>
      <c r="GN727">
        <v>2.2608400974025971</v>
      </c>
      <c r="GO727">
        <v>0.86110714285714274</v>
      </c>
      <c r="GP727">
        <v>0.249703125</v>
      </c>
      <c r="GQ727">
        <v>0.33965624999999999</v>
      </c>
      <c r="GR727">
        <v>0.33385416666666667</v>
      </c>
      <c r="GS727">
        <v>0.14072916666666666</v>
      </c>
      <c r="GT727">
        <v>0.98040297046091163</v>
      </c>
      <c r="GU727"/>
      <c r="GV727"/>
      <c r="GW727"/>
      <c r="GX727"/>
      <c r="GY727"/>
      <c r="GZ727"/>
      <c r="HA727"/>
      <c r="HB727"/>
      <c r="HC727"/>
    </row>
    <row r="728" spans="1:211" s="7" customFormat="1">
      <c r="A728" s="4"/>
      <c r="B728" s="4"/>
      <c r="C728" s="105"/>
      <c r="D728" s="4"/>
      <c r="E728" s="4"/>
      <c r="F728" s="28"/>
      <c r="G728" s="28"/>
      <c r="H728" s="83"/>
      <c r="I728" s="4"/>
      <c r="J728" s="4"/>
      <c r="K728" s="4"/>
      <c r="L728" s="4"/>
      <c r="M728" s="4"/>
      <c r="N728" s="28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81"/>
      <c r="AG728" s="81"/>
      <c r="AH728" s="81"/>
      <c r="AI728" s="4"/>
      <c r="AJ728" s="81"/>
      <c r="AK728" s="81"/>
      <c r="AL728" s="81"/>
      <c r="AM728" s="43">
        <v>712</v>
      </c>
      <c r="AN728">
        <v>51.549451671694314</v>
      </c>
      <c r="AO728">
        <v>1.1485656044966064</v>
      </c>
      <c r="AP728">
        <v>0.72740981641550029</v>
      </c>
      <c r="AQ728">
        <v>8.4477340584384333</v>
      </c>
      <c r="AR728">
        <v>1.071714196832579</v>
      </c>
      <c r="AS728">
        <v>3.9865509595661965</v>
      </c>
      <c r="AT728" t="e">
        <v>#DIV/0!</v>
      </c>
      <c r="AU728" t="e">
        <v>#DIV/0!</v>
      </c>
      <c r="AV728"/>
      <c r="AW728"/>
      <c r="FY728" s="211">
        <v>723</v>
      </c>
      <c r="FZ728">
        <v>2.0844093808764339</v>
      </c>
      <c r="GA728">
        <v>2.3049502301800375</v>
      </c>
      <c r="GB728">
        <v>1.4114038865076632</v>
      </c>
      <c r="GC728">
        <v>0.74176163284784469</v>
      </c>
      <c r="GD728">
        <v>4.6595241777284996E-2</v>
      </c>
      <c r="GE728">
        <v>7.6065534558449999E-2</v>
      </c>
      <c r="GF728">
        <v>1.2026738838000752</v>
      </c>
      <c r="GG728">
        <v>1.0072508610682513</v>
      </c>
      <c r="GH728">
        <v>2.2985735835423678E-2</v>
      </c>
      <c r="GI728">
        <v>0.90006492347643485</v>
      </c>
      <c r="GJ728"/>
      <c r="GK728">
        <v>2.0773911764705879</v>
      </c>
      <c r="GL728">
        <v>1.9414068014705879</v>
      </c>
      <c r="GM728">
        <v>2.317208096590909</v>
      </c>
      <c r="GN728">
        <v>2.1778299715909091</v>
      </c>
      <c r="GO728">
        <v>0.17735624999999999</v>
      </c>
      <c r="GP728">
        <v>0.14296875000000001</v>
      </c>
      <c r="GQ728">
        <v>1.4503165760869563</v>
      </c>
      <c r="GR728">
        <v>1.4014728260869562</v>
      </c>
      <c r="GS728">
        <v>2.4293870192307693E-2</v>
      </c>
      <c r="GT728">
        <v>1.2093131938681523</v>
      </c>
      <c r="GU728"/>
      <c r="GV728"/>
      <c r="GW728"/>
      <c r="GX728"/>
      <c r="GY728"/>
      <c r="GZ728"/>
      <c r="HA728"/>
      <c r="HB728"/>
      <c r="HC728"/>
    </row>
    <row r="729" spans="1:211" s="7" customFormat="1">
      <c r="A729" s="4"/>
      <c r="B729" s="4"/>
      <c r="C729" s="105"/>
      <c r="D729" s="4"/>
      <c r="E729" s="4"/>
      <c r="F729" s="28"/>
      <c r="G729" s="28"/>
      <c r="H729" s="83"/>
      <c r="I729" s="4"/>
      <c r="J729" s="4"/>
      <c r="K729" s="4"/>
      <c r="L729" s="4"/>
      <c r="M729" s="4"/>
      <c r="N729" s="28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81"/>
      <c r="AG729" s="81"/>
      <c r="AH729" s="81"/>
      <c r="AI729" s="4"/>
      <c r="AJ729" s="81"/>
      <c r="AK729" s="81"/>
      <c r="AL729" s="81"/>
      <c r="AM729" s="43">
        <v>713</v>
      </c>
      <c r="AN729">
        <v>42.586860190936271</v>
      </c>
      <c r="AO729">
        <v>1.0455025115165633</v>
      </c>
      <c r="AP729">
        <v>8.8161339610958915</v>
      </c>
      <c r="AQ729">
        <v>6.0692180939140918</v>
      </c>
      <c r="AR729">
        <v>0.96856762410596653</v>
      </c>
      <c r="AS729">
        <v>3.7443856419280204</v>
      </c>
      <c r="AT729" t="e">
        <v>#DIV/0!</v>
      </c>
      <c r="AU729" t="e">
        <v>#DIV/0!</v>
      </c>
      <c r="AV729"/>
      <c r="AW729"/>
      <c r="FY729" s="211">
        <v>724</v>
      </c>
      <c r="FZ729">
        <v>1.826431837457744</v>
      </c>
      <c r="GA729">
        <v>2.532702994466566</v>
      </c>
      <c r="GB729">
        <v>0.28785021696971713</v>
      </c>
      <c r="GC729">
        <v>6.4778886180907491E-2</v>
      </c>
      <c r="GD729">
        <v>0.11834596719013499</v>
      </c>
      <c r="GE729">
        <v>0.13864413431700001</v>
      </c>
      <c r="GF729">
        <v>0.6538214796159032</v>
      </c>
      <c r="GG729">
        <v>0.56679095143493796</v>
      </c>
      <c r="GH729">
        <v>2.2985735835423678E-2</v>
      </c>
      <c r="GI729">
        <v>0.5294575158783863</v>
      </c>
      <c r="GJ729"/>
      <c r="GK729">
        <v>1.8202349264705882</v>
      </c>
      <c r="GL729">
        <v>2.133500551470588</v>
      </c>
      <c r="GM729">
        <v>0.47264062499999998</v>
      </c>
      <c r="GN729">
        <v>0.19010624999999998</v>
      </c>
      <c r="GO729">
        <v>0.45073124999999997</v>
      </c>
      <c r="GP729">
        <v>0.260625</v>
      </c>
      <c r="GQ729">
        <v>0.78903260869565206</v>
      </c>
      <c r="GR729">
        <v>0.78903260869565206</v>
      </c>
      <c r="GS729">
        <v>2.4293870192307693E-2</v>
      </c>
      <c r="GT729">
        <v>0.7113866560717097</v>
      </c>
      <c r="GU729"/>
      <c r="GV729"/>
      <c r="GW729"/>
      <c r="GX729"/>
      <c r="GY729"/>
      <c r="GZ729"/>
      <c r="HA729"/>
      <c r="HB729"/>
      <c r="HC729"/>
    </row>
    <row r="730" spans="1:211" s="7" customFormat="1">
      <c r="A730" s="4"/>
      <c r="B730" s="4"/>
      <c r="C730" s="105"/>
      <c r="D730" s="4"/>
      <c r="E730" s="4"/>
      <c r="F730" s="28"/>
      <c r="G730" s="28"/>
      <c r="H730" s="83"/>
      <c r="I730" s="4"/>
      <c r="J730" s="4"/>
      <c r="K730" s="4"/>
      <c r="L730" s="4"/>
      <c r="M730" s="4"/>
      <c r="N730" s="28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81"/>
      <c r="AG730" s="81"/>
      <c r="AH730" s="81"/>
      <c r="AI730" s="4"/>
      <c r="AJ730" s="81"/>
      <c r="AK730" s="81"/>
      <c r="AL730" s="81"/>
      <c r="AM730" s="43">
        <v>714</v>
      </c>
      <c r="AN730">
        <v>22.498246690909731</v>
      </c>
      <c r="AO730">
        <v>0.52621896809802515</v>
      </c>
      <c r="AP730">
        <v>0.80679712866055309</v>
      </c>
      <c r="AQ730">
        <v>3.8475173388341513</v>
      </c>
      <c r="AR730">
        <v>0.49145589101568721</v>
      </c>
      <c r="AS730">
        <v>1.9531859390078787</v>
      </c>
      <c r="AT730" t="e">
        <v>#DIV/0!</v>
      </c>
      <c r="AU730" t="e">
        <v>#DIV/0!</v>
      </c>
      <c r="AV730"/>
      <c r="AW730"/>
      <c r="FY730" s="211">
        <v>725</v>
      </c>
      <c r="FZ730">
        <v>0.907793550925307</v>
      </c>
      <c r="GA730">
        <v>1.0939390481794526</v>
      </c>
      <c r="GB730">
        <v>0.90398477037918146</v>
      </c>
      <c r="GC730">
        <v>0.74692551314265587</v>
      </c>
      <c r="GD730">
        <v>0.24448378818174749</v>
      </c>
      <c r="GE730">
        <v>0.1406236436361</v>
      </c>
      <c r="GF730">
        <v>0.41513581345513451</v>
      </c>
      <c r="GG730">
        <v>0.28954215414031298</v>
      </c>
      <c r="GH730">
        <v>2.2985735835423678E-2</v>
      </c>
      <c r="GI730">
        <v>0.57221273726565203</v>
      </c>
      <c r="GJ730"/>
      <c r="GK730">
        <v>0.904670588235294</v>
      </c>
      <c r="GL730">
        <v>0.92136980698529403</v>
      </c>
      <c r="GM730">
        <v>1.4840571732954544</v>
      </c>
      <c r="GN730">
        <v>2.1911360795454549</v>
      </c>
      <c r="GO730">
        <v>0.93012187499999999</v>
      </c>
      <c r="GP730">
        <v>0.26418750000000002</v>
      </c>
      <c r="GQ730">
        <v>0.50047010869565223</v>
      </c>
      <c r="GR730">
        <v>0.40278260869565213</v>
      </c>
      <c r="GS730">
        <v>2.4293870192307693E-2</v>
      </c>
      <c r="GT730">
        <v>0.76872272308374168</v>
      </c>
      <c r="GU730"/>
      <c r="GV730"/>
      <c r="GW730"/>
      <c r="GX730"/>
      <c r="GY730"/>
      <c r="GZ730"/>
      <c r="HA730"/>
      <c r="HB730"/>
      <c r="HC730"/>
    </row>
    <row r="731" spans="1:211" s="7" customFormat="1">
      <c r="A731" s="4"/>
      <c r="B731" s="4"/>
      <c r="C731" s="105"/>
      <c r="D731" s="4"/>
      <c r="E731" s="4"/>
      <c r="F731" s="28"/>
      <c r="G731" s="28"/>
      <c r="H731" s="83"/>
      <c r="I731" s="4"/>
      <c r="J731" s="4"/>
      <c r="K731" s="4"/>
      <c r="L731" s="4"/>
      <c r="M731" s="4"/>
      <c r="N731" s="28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81"/>
      <c r="AG731" s="81"/>
      <c r="AH731" s="81"/>
      <c r="AI731" s="4"/>
      <c r="AJ731" s="81"/>
      <c r="AK731" s="81"/>
      <c r="AL731" s="81"/>
      <c r="AM731" s="43">
        <v>715</v>
      </c>
      <c r="AN731">
        <v>51.937917559257059</v>
      </c>
      <c r="AO731">
        <v>1.1339556099047479</v>
      </c>
      <c r="AP731">
        <v>3.9922188566556742</v>
      </c>
      <c r="AQ731">
        <v>8.7589142740693742</v>
      </c>
      <c r="AR731">
        <v>1.0511880653854351</v>
      </c>
      <c r="AS731">
        <v>3.7928088474747854</v>
      </c>
      <c r="AT731" t="e">
        <v>#DIV/0!</v>
      </c>
      <c r="AU731" t="e">
        <v>#DIV/0!</v>
      </c>
      <c r="AV731"/>
      <c r="AW731"/>
      <c r="FY731" s="211">
        <v>726</v>
      </c>
      <c r="FZ731">
        <v>0.59036717012440776</v>
      </c>
      <c r="GA731">
        <v>1.1762323463667126</v>
      </c>
      <c r="GB731">
        <v>0.47243223669111684</v>
      </c>
      <c r="GC731">
        <v>0.42031906919363426</v>
      </c>
      <c r="GD731">
        <v>0.27948276836884278</v>
      </c>
      <c r="GE731">
        <v>9.7262662377824993E-2</v>
      </c>
      <c r="GF731">
        <v>0.57499774394694703</v>
      </c>
      <c r="GG731">
        <v>0.4281665527876255</v>
      </c>
      <c r="GH731">
        <v>0</v>
      </c>
      <c r="GI731">
        <v>0.46463490048968592</v>
      </c>
      <c r="GJ731"/>
      <c r="GK731">
        <v>0.58832812499999987</v>
      </c>
      <c r="GL731">
        <v>0.99066796874999974</v>
      </c>
      <c r="GM731">
        <v>0.77534765625000013</v>
      </c>
      <c r="GN731">
        <v>1.2316573660714281</v>
      </c>
      <c r="GO731">
        <v>1.0632589285714282</v>
      </c>
      <c r="GP731">
        <v>0.18276562499999999</v>
      </c>
      <c r="GQ731">
        <v>0.69359510869565222</v>
      </c>
      <c r="GR731">
        <v>0.59590760869565207</v>
      </c>
      <c r="GS731">
        <v>0</v>
      </c>
      <c r="GT731">
        <v>0.62410596370341609</v>
      </c>
      <c r="GU731"/>
      <c r="GV731"/>
      <c r="GW731"/>
      <c r="GX731"/>
      <c r="GY731"/>
      <c r="GZ731"/>
      <c r="HA731"/>
      <c r="HB731"/>
      <c r="HC731"/>
    </row>
    <row r="732" spans="1:211" s="7" customFormat="1">
      <c r="A732" s="4"/>
      <c r="B732" s="4"/>
      <c r="C732" s="105"/>
      <c r="D732" s="4"/>
      <c r="E732" s="4"/>
      <c r="F732" s="28"/>
      <c r="G732" s="28"/>
      <c r="H732" s="83"/>
      <c r="I732" s="4"/>
      <c r="J732" s="4"/>
      <c r="K732" s="4"/>
      <c r="L732" s="4"/>
      <c r="M732" s="4"/>
      <c r="N732" s="28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81"/>
      <c r="AG732" s="81"/>
      <c r="AH732" s="81"/>
      <c r="AI732" s="4"/>
      <c r="AJ732" s="81"/>
      <c r="AK732" s="81"/>
      <c r="AL732" s="81"/>
      <c r="AM732" s="43">
        <v>716</v>
      </c>
      <c r="AN732">
        <v>42.158431165340531</v>
      </c>
      <c r="AO732">
        <v>0.92056805228314142</v>
      </c>
      <c r="AP732">
        <v>5.0700714852086737</v>
      </c>
      <c r="AQ732">
        <v>5.8955363764448672</v>
      </c>
      <c r="AR732">
        <v>0.84412436571194682</v>
      </c>
      <c r="AS732">
        <v>3.6528991712832952</v>
      </c>
      <c r="AT732" t="e">
        <v>#DIV/0!</v>
      </c>
      <c r="AU732" t="e">
        <v>#DIV/0!</v>
      </c>
      <c r="AV732"/>
      <c r="AW732"/>
      <c r="FY732" s="211">
        <v>727</v>
      </c>
      <c r="FZ732">
        <v>2.0898104739300649</v>
      </c>
      <c r="GA732">
        <v>2.4429262533854339</v>
      </c>
      <c r="GB732">
        <v>0.7994942399001197</v>
      </c>
      <c r="GC732">
        <v>1.2119669647272215</v>
      </c>
      <c r="GD732">
        <v>0.64757758764006013</v>
      </c>
      <c r="GE732">
        <v>3.0832901432324998E-2</v>
      </c>
      <c r="GF732">
        <v>4.0519097411428125E-2</v>
      </c>
      <c r="GG732">
        <v>5.0581908438140623E-2</v>
      </c>
      <c r="GH732">
        <v>0.15846589671860095</v>
      </c>
      <c r="GI732">
        <v>0.90437558994737</v>
      </c>
      <c r="GJ732"/>
      <c r="GK732">
        <v>2.0828005514705881</v>
      </c>
      <c r="GL732">
        <v>2.057827895220588</v>
      </c>
      <c r="GM732">
        <v>1.3127368607954544</v>
      </c>
      <c r="GN732">
        <v>3.5521126420454543</v>
      </c>
      <c r="GO732">
        <v>2.4625125000000003</v>
      </c>
      <c r="GP732">
        <v>5.7890625000000001E-2</v>
      </c>
      <c r="GQ732">
        <v>4.8843750000000005E-2</v>
      </c>
      <c r="GR732">
        <v>7.0364583333333328E-2</v>
      </c>
      <c r="GS732">
        <v>0.16754006410256411</v>
      </c>
      <c r="GT732">
        <v>1.2148867452737213</v>
      </c>
      <c r="GU732"/>
      <c r="GV732"/>
      <c r="GW732"/>
      <c r="GX732"/>
      <c r="GY732"/>
      <c r="GZ732"/>
      <c r="HA732"/>
      <c r="HB732"/>
      <c r="HC732"/>
    </row>
    <row r="733" spans="1:211" s="7" customFormat="1">
      <c r="A733" s="4"/>
      <c r="B733" s="4"/>
      <c r="C733" s="105"/>
      <c r="D733" s="4"/>
      <c r="E733" s="4"/>
      <c r="F733" s="28"/>
      <c r="G733" s="28"/>
      <c r="H733" s="83"/>
      <c r="I733" s="4"/>
      <c r="J733" s="4"/>
      <c r="K733" s="4"/>
      <c r="L733" s="4"/>
      <c r="M733" s="4"/>
      <c r="N733" s="28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81"/>
      <c r="AG733" s="81"/>
      <c r="AH733" s="81"/>
      <c r="AI733" s="4"/>
      <c r="AJ733" s="81"/>
      <c r="AK733" s="81"/>
      <c r="AL733" s="81"/>
      <c r="AM733" s="43">
        <v>717</v>
      </c>
      <c r="AN733">
        <v>42.482263630089719</v>
      </c>
      <c r="AO733">
        <v>0.86935941925465854</v>
      </c>
      <c r="AP733">
        <v>10.43168272495949</v>
      </c>
      <c r="AQ733">
        <v>5.2916736106251223</v>
      </c>
      <c r="AR733">
        <v>0.80119322204968935</v>
      </c>
      <c r="AS733">
        <v>3.5608608894358795</v>
      </c>
      <c r="AT733" t="e">
        <v>#DIV/0!</v>
      </c>
      <c r="AU733" t="e">
        <v>#DIV/0!</v>
      </c>
      <c r="AV733"/>
      <c r="AW733"/>
      <c r="FY733" s="211">
        <v>728</v>
      </c>
      <c r="FZ733">
        <v>2.5871216988457664</v>
      </c>
      <c r="GA733">
        <v>3.067950544246945</v>
      </c>
      <c r="GB733">
        <v>0.86179008909115884</v>
      </c>
      <c r="GC733">
        <v>0.67951037029045258</v>
      </c>
      <c r="GD733">
        <v>0.20264607050582251</v>
      </c>
      <c r="GE733">
        <v>4.0468675045275002E-2</v>
      </c>
      <c r="GF733">
        <v>4.0519097411428125E-2</v>
      </c>
      <c r="GG733">
        <v>0</v>
      </c>
      <c r="GH733">
        <v>4.5971471670847357E-2</v>
      </c>
      <c r="GI733">
        <v>0.72360606727695975</v>
      </c>
      <c r="GJ733"/>
      <c r="GK733">
        <v>2.5782148897058819</v>
      </c>
      <c r="GL733">
        <v>2.5839453584558818</v>
      </c>
      <c r="GM733">
        <v>1.4145337357954544</v>
      </c>
      <c r="GN733">
        <v>1.9931282670454542</v>
      </c>
      <c r="GO733">
        <v>0.77084062499999995</v>
      </c>
      <c r="GP733">
        <v>7.5984375000000007E-2</v>
      </c>
      <c r="GQ733">
        <v>4.8843750000000005E-2</v>
      </c>
      <c r="GR733">
        <v>0</v>
      </c>
      <c r="GS733">
        <v>4.8587740384615385E-2</v>
      </c>
      <c r="GT733">
        <v>0.97220414817719036</v>
      </c>
      <c r="GU733"/>
      <c r="GV733"/>
      <c r="GW733"/>
      <c r="GX733"/>
      <c r="GY733"/>
      <c r="GZ733"/>
      <c r="HA733"/>
      <c r="HB733"/>
      <c r="HC733"/>
    </row>
    <row r="734" spans="1:211" s="7" customFormat="1">
      <c r="A734" s="4"/>
      <c r="B734" s="4"/>
      <c r="C734" s="105"/>
      <c r="D734" s="4"/>
      <c r="E734" s="4"/>
      <c r="F734" s="28"/>
      <c r="G734" s="28"/>
      <c r="H734" s="83"/>
      <c r="I734" s="4"/>
      <c r="J734" s="4"/>
      <c r="K734" s="4"/>
      <c r="L734" s="4"/>
      <c r="M734" s="4"/>
      <c r="N734" s="28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81"/>
      <c r="AG734" s="81"/>
      <c r="AH734" s="81"/>
      <c r="AI734" s="4"/>
      <c r="AJ734" s="81"/>
      <c r="AK734" s="81"/>
      <c r="AL734" s="81"/>
      <c r="AM734" s="43">
        <v>718</v>
      </c>
      <c r="AN734">
        <v>49.144932687168151</v>
      </c>
      <c r="AO734">
        <v>1.0580492567942099</v>
      </c>
      <c r="AP734">
        <v>1.3398460424509397</v>
      </c>
      <c r="AQ734">
        <v>7.9246685189860662</v>
      </c>
      <c r="AR734">
        <v>0.96769365346676439</v>
      </c>
      <c r="AS734">
        <v>4.0343649309409084</v>
      </c>
      <c r="AT734" t="e">
        <v>#DIV/0!</v>
      </c>
      <c r="AU734" t="e">
        <v>#DIV/0!</v>
      </c>
      <c r="AV734"/>
      <c r="AW734"/>
      <c r="FY734" s="211">
        <v>729</v>
      </c>
      <c r="FZ734">
        <v>0.84055695713977241</v>
      </c>
      <c r="GA734">
        <v>1.2041223993168475</v>
      </c>
      <c r="GB734">
        <v>1.434404747192878</v>
      </c>
      <c r="GC734">
        <v>0.81090735227344979</v>
      </c>
      <c r="GD734">
        <v>0.16102493940336429</v>
      </c>
      <c r="GE734">
        <v>0.15984126213637501</v>
      </c>
      <c r="GF734">
        <v>1.0284381956596096</v>
      </c>
      <c r="GG734">
        <v>0.95749692245153217</v>
      </c>
      <c r="GH734">
        <v>0.15603164258923619</v>
      </c>
      <c r="GI734">
        <v>0.77579672626659912</v>
      </c>
      <c r="GJ734"/>
      <c r="GK734">
        <v>0.83779871323529398</v>
      </c>
      <c r="GL734">
        <v>1.0141190257352943</v>
      </c>
      <c r="GM734">
        <v>2.3549034090909089</v>
      </c>
      <c r="GN734">
        <v>2.381049614448052</v>
      </c>
      <c r="GO734">
        <v>0.61341964285714301</v>
      </c>
      <c r="GP734">
        <v>0.300421875</v>
      </c>
      <c r="GQ734">
        <v>1.2406589673913042</v>
      </c>
      <c r="GR734">
        <v>1.3325443840579707</v>
      </c>
      <c r="GS734">
        <v>0.16502303685897435</v>
      </c>
      <c r="GT734">
        <v>1.042360753886725</v>
      </c>
      <c r="GU734"/>
      <c r="GV734"/>
      <c r="GW734"/>
      <c r="GX734"/>
      <c r="GY734"/>
      <c r="GZ734"/>
      <c r="HA734"/>
      <c r="HB734"/>
      <c r="HC734"/>
    </row>
    <row r="735" spans="1:211" s="7" customFormat="1">
      <c r="A735" s="4"/>
      <c r="B735" s="4"/>
      <c r="C735" s="105"/>
      <c r="D735" s="4"/>
      <c r="E735" s="4"/>
      <c r="F735" s="28"/>
      <c r="G735" s="28"/>
      <c r="H735" s="83"/>
      <c r="I735" s="4"/>
      <c r="J735" s="4"/>
      <c r="K735" s="4"/>
      <c r="L735" s="4"/>
      <c r="M735" s="4"/>
      <c r="N735" s="28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81"/>
      <c r="AG735" s="81"/>
      <c r="AH735" s="81"/>
      <c r="AI735" s="4"/>
      <c r="AJ735" s="81"/>
      <c r="AK735" s="81"/>
      <c r="AL735" s="81"/>
      <c r="AM735" s="43">
        <v>719</v>
      </c>
      <c r="AN735">
        <v>37.309970107980014</v>
      </c>
      <c r="AO735">
        <v>0.80405292794755856</v>
      </c>
      <c r="AP735">
        <v>0.39629201953510074</v>
      </c>
      <c r="AQ735">
        <v>6.372561732414761</v>
      </c>
      <c r="AR735">
        <v>0.75207144455022812</v>
      </c>
      <c r="AS735">
        <v>3.1689343464920383</v>
      </c>
      <c r="AT735">
        <v>0.61375191408277419</v>
      </c>
      <c r="AU735">
        <v>-4.6911603896192866E-2</v>
      </c>
      <c r="AV735"/>
      <c r="AW735"/>
      <c r="FY735" s="211">
        <v>730</v>
      </c>
      <c r="FZ735">
        <v>1.2528826118259582</v>
      </c>
      <c r="GA735">
        <v>1.4758637913160011</v>
      </c>
      <c r="GB735">
        <v>0.31847150138334607</v>
      </c>
      <c r="GC735">
        <v>0.5575406777641343</v>
      </c>
      <c r="GD735">
        <v>0.38912856145847674</v>
      </c>
      <c r="GE735">
        <v>9.3411501190874976E-2</v>
      </c>
      <c r="GF735">
        <v>0.6538214796159032</v>
      </c>
      <c r="GG735">
        <v>0.61737285987307855</v>
      </c>
      <c r="GH735">
        <v>6.6522953376906252E-2</v>
      </c>
      <c r="GI735">
        <v>0.61203242735536756</v>
      </c>
      <c r="GJ735"/>
      <c r="GK735">
        <v>1.248658088235294</v>
      </c>
      <c r="GL735">
        <v>1.243173713235294</v>
      </c>
      <c r="GM735">
        <v>0.52260156250000001</v>
      </c>
      <c r="GN735">
        <v>1.6331305803571428</v>
      </c>
      <c r="GO735">
        <v>1.4798102678571428</v>
      </c>
      <c r="GP735">
        <v>0.17554687499999996</v>
      </c>
      <c r="GQ735">
        <v>0.78903260869565206</v>
      </c>
      <c r="GR735">
        <v>0.85939719202898535</v>
      </c>
      <c r="GS735">
        <v>7.0364583333333328E-2</v>
      </c>
      <c r="GT735">
        <v>0.82209342212428438</v>
      </c>
      <c r="GU735"/>
      <c r="GV735"/>
      <c r="GW735"/>
      <c r="GX735"/>
      <c r="GY735"/>
      <c r="GZ735"/>
      <c r="HA735"/>
      <c r="HB735"/>
      <c r="HC735"/>
    </row>
    <row r="736" spans="1:211" s="7" customFormat="1">
      <c r="A736" s="4"/>
      <c r="B736" s="4"/>
      <c r="C736" s="105"/>
      <c r="D736" s="4"/>
      <c r="E736" s="4"/>
      <c r="F736" s="28"/>
      <c r="G736" s="28"/>
      <c r="H736" s="83"/>
      <c r="I736" s="4"/>
      <c r="J736" s="4"/>
      <c r="K736" s="4"/>
      <c r="L736" s="4"/>
      <c r="M736" s="4"/>
      <c r="N736" s="28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81"/>
      <c r="AG736" s="81"/>
      <c r="AH736" s="81"/>
      <c r="AI736" s="4"/>
      <c r="AJ736" s="81"/>
      <c r="AK736" s="81"/>
      <c r="AL736" s="81"/>
      <c r="AM736" s="43">
        <v>720</v>
      </c>
      <c r="AN736">
        <v>42.401445871222883</v>
      </c>
      <c r="AO736">
        <v>0.95888767360667093</v>
      </c>
      <c r="AP736">
        <v>7.0483906865687409</v>
      </c>
      <c r="AQ736">
        <v>8.1868221801844321</v>
      </c>
      <c r="AR736">
        <v>0.87896038509697338</v>
      </c>
      <c r="AS736">
        <v>3.1343555821155227</v>
      </c>
      <c r="AT736" t="e">
        <v>#DIV/0!</v>
      </c>
      <c r="AU736" t="e">
        <v>#DIV/0!</v>
      </c>
      <c r="AV736"/>
      <c r="AW736"/>
      <c r="FY736" s="211">
        <v>731</v>
      </c>
      <c r="FZ736">
        <v>1.2419977251488572</v>
      </c>
      <c r="GA736">
        <v>1.9365056482471523</v>
      </c>
      <c r="GB736">
        <v>1.4234128281217653</v>
      </c>
      <c r="GC736">
        <v>1.3124545947629698</v>
      </c>
      <c r="GD736">
        <v>0.54568147006498491</v>
      </c>
      <c r="GE736">
        <v>0.11648028087809999</v>
      </c>
      <c r="GF736">
        <v>0.37461671604370633</v>
      </c>
      <c r="GG736">
        <v>0.39070597101659427</v>
      </c>
      <c r="GH736">
        <v>0.1330459067538125</v>
      </c>
      <c r="GI736">
        <v>0.92937653050706892</v>
      </c>
      <c r="GJ736"/>
      <c r="GK736">
        <v>1.2376705882352941</v>
      </c>
      <c r="GL736">
        <v>1.630869806985294</v>
      </c>
      <c r="GM736">
        <v>2.3370166903409086</v>
      </c>
      <c r="GN736">
        <v>3.8490799715909088</v>
      </c>
      <c r="GO736">
        <v>2.0754187499999999</v>
      </c>
      <c r="GP736">
        <v>0.21899999999999997</v>
      </c>
      <c r="GQ736">
        <v>0.45162635869565215</v>
      </c>
      <c r="GR736">
        <v>0.54351177536231876</v>
      </c>
      <c r="GS736">
        <v>0.14072916666666666</v>
      </c>
      <c r="GT736">
        <v>1.2484923107877042</v>
      </c>
      <c r="GU736"/>
      <c r="GV736"/>
      <c r="GW736"/>
      <c r="GX736"/>
      <c r="GY736"/>
      <c r="GZ736"/>
      <c r="HA736"/>
      <c r="HB736"/>
      <c r="HC736"/>
    </row>
    <row r="737" spans="1:211" s="7" customFormat="1">
      <c r="A737" s="4"/>
      <c r="B737" s="4"/>
      <c r="C737" s="105"/>
      <c r="D737" s="4"/>
      <c r="E737" s="4"/>
      <c r="F737" s="28"/>
      <c r="G737" s="28"/>
      <c r="H737" s="83"/>
      <c r="I737" s="4"/>
      <c r="J737" s="4"/>
      <c r="K737" s="4"/>
      <c r="L737" s="4"/>
      <c r="M737" s="4"/>
      <c r="N737" s="28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81"/>
      <c r="AG737" s="81"/>
      <c r="AH737" s="81"/>
      <c r="AI737" s="4"/>
      <c r="AJ737" s="81"/>
      <c r="AK737" s="81"/>
      <c r="AL737" s="81"/>
      <c r="AM737" s="43">
        <v>721</v>
      </c>
      <c r="AN737">
        <v>47.110265819213232</v>
      </c>
      <c r="AO737">
        <v>1.0143152182978334</v>
      </c>
      <c r="AP737">
        <v>11.806633632341379</v>
      </c>
      <c r="AQ737">
        <v>7.7340087215031668</v>
      </c>
      <c r="AR737">
        <v>0.92793543665187639</v>
      </c>
      <c r="AS737">
        <v>3.8806773394481535</v>
      </c>
      <c r="AT737" t="e">
        <v>#DIV/0!</v>
      </c>
      <c r="AU737" t="e">
        <v>#DIV/0!</v>
      </c>
      <c r="AV737"/>
      <c r="AW737"/>
      <c r="FY737" s="211">
        <v>732</v>
      </c>
      <c r="FZ737">
        <v>0.33791357139915928</v>
      </c>
      <c r="GA737">
        <v>0.86576901112922466</v>
      </c>
      <c r="GB737">
        <v>0.56351564500456763</v>
      </c>
      <c r="GC737">
        <v>0.34460068700632307</v>
      </c>
      <c r="GD737">
        <v>0.223557204422385</v>
      </c>
      <c r="GE737">
        <v>0.1020805491843</v>
      </c>
      <c r="GF737">
        <v>0.57499774394694703</v>
      </c>
      <c r="GG737">
        <v>0.47874846122576609</v>
      </c>
      <c r="GH737">
        <v>8.9508689212329934E-2</v>
      </c>
      <c r="GI737">
        <v>0.43183715181841181</v>
      </c>
      <c r="GJ737"/>
      <c r="GK737">
        <v>0.33684374999999994</v>
      </c>
      <c r="GL737">
        <v>0.72908203125000015</v>
      </c>
      <c r="GM737">
        <v>0.92462109375000012</v>
      </c>
      <c r="GN737">
        <v>1.0098328125</v>
      </c>
      <c r="GO737">
        <v>0.85048124999999997</v>
      </c>
      <c r="GP737">
        <v>0.1918125</v>
      </c>
      <c r="GQ737">
        <v>0.69359510869565222</v>
      </c>
      <c r="GR737">
        <v>0.66627219202898535</v>
      </c>
      <c r="GS737">
        <v>9.465845352564102E-2</v>
      </c>
      <c r="GT737">
        <v>0.58003993119425856</v>
      </c>
      <c r="GU737"/>
      <c r="GV737"/>
      <c r="GW737"/>
      <c r="GX737"/>
      <c r="GY737"/>
      <c r="GZ737"/>
      <c r="HA737"/>
      <c r="HB737"/>
      <c r="HC737"/>
    </row>
    <row r="738" spans="1:211" s="7" customFormat="1">
      <c r="A738" s="4"/>
      <c r="B738" s="4"/>
      <c r="C738" s="105"/>
      <c r="D738" s="4"/>
      <c r="E738" s="4"/>
      <c r="F738" s="28"/>
      <c r="G738" s="28"/>
      <c r="H738" s="83"/>
      <c r="I738" s="4"/>
      <c r="J738" s="4"/>
      <c r="K738" s="4"/>
      <c r="L738" s="4"/>
      <c r="M738" s="4"/>
      <c r="N738" s="28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81"/>
      <c r="AG738" s="81"/>
      <c r="AH738" s="81"/>
      <c r="AI738" s="4"/>
      <c r="AJ738" s="81"/>
      <c r="AK738" s="81"/>
      <c r="AL738" s="81"/>
      <c r="AM738" s="43">
        <v>722</v>
      </c>
      <c r="AN738">
        <v>45.771821506380327</v>
      </c>
      <c r="AO738">
        <v>1.0664901425070026</v>
      </c>
      <c r="AP738">
        <v>1.0139699874039749</v>
      </c>
      <c r="AQ738">
        <v>7.6745432288718343</v>
      </c>
      <c r="AR738">
        <v>0.9804029704609114</v>
      </c>
      <c r="AS738">
        <v>3.734896994497491</v>
      </c>
      <c r="AT738" t="e">
        <v>#DIV/0!</v>
      </c>
      <c r="AU738" t="e">
        <v>#DIV/0!</v>
      </c>
      <c r="AV738"/>
      <c r="AW738"/>
      <c r="FY738" s="211">
        <v>733</v>
      </c>
      <c r="FZ738">
        <v>0.52689753583197751</v>
      </c>
      <c r="GA738">
        <v>1.4424473158966244</v>
      </c>
      <c r="GB738">
        <v>1.8312006354955308</v>
      </c>
      <c r="GC738">
        <v>1.2429904467126915</v>
      </c>
      <c r="GD738">
        <v>0.40808184683082416</v>
      </c>
      <c r="GE738">
        <v>5.486840673907499E-2</v>
      </c>
      <c r="GF738">
        <v>1.0022928558968347</v>
      </c>
      <c r="GG738">
        <v>0.91920837085907969</v>
      </c>
      <c r="GH738">
        <v>8.9508689212329934E-2</v>
      </c>
      <c r="GI738">
        <v>0.95088453188507494</v>
      </c>
      <c r="GJ738"/>
      <c r="GK738">
        <v>0.52485000000000004</v>
      </c>
      <c r="GL738">
        <v>1.214615625</v>
      </c>
      <c r="GM738">
        <v>3.0065909090909084</v>
      </c>
      <c r="GN738">
        <v>3.6464293019480514</v>
      </c>
      <c r="GO738">
        <v>1.5523071428571424</v>
      </c>
      <c r="GP738">
        <v>0.103171875</v>
      </c>
      <c r="GQ738">
        <v>1.2083478260869565</v>
      </c>
      <c r="GR738">
        <v>1.2787124094202897</v>
      </c>
      <c r="GS738">
        <v>9.465845352564102E-2</v>
      </c>
      <c r="GT738">
        <v>1.2773508663121298</v>
      </c>
      <c r="GU738"/>
      <c r="GV738"/>
      <c r="GW738"/>
      <c r="GX738"/>
      <c r="GY738"/>
      <c r="GZ738"/>
      <c r="HA738"/>
      <c r="HB738"/>
      <c r="HC738"/>
    </row>
    <row r="739" spans="1:211" s="7" customFormat="1">
      <c r="A739" s="4"/>
      <c r="B739" s="4"/>
      <c r="C739" s="105"/>
      <c r="D739" s="4"/>
      <c r="E739" s="4"/>
      <c r="F739" s="28"/>
      <c r="G739" s="28"/>
      <c r="H739" s="83"/>
      <c r="I739" s="4"/>
      <c r="J739" s="4"/>
      <c r="K739" s="4"/>
      <c r="L739" s="4"/>
      <c r="M739" s="4"/>
      <c r="N739" s="28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81"/>
      <c r="AG739" s="81"/>
      <c r="AH739" s="81"/>
      <c r="AI739" s="4"/>
      <c r="AJ739" s="81"/>
      <c r="AK739" s="81"/>
      <c r="AL739" s="81"/>
      <c r="AM739" s="43">
        <v>723</v>
      </c>
      <c r="AN739">
        <v>52.351021720003487</v>
      </c>
      <c r="AO739">
        <v>1.2919557512357367</v>
      </c>
      <c r="AP739">
        <v>1.6663254976709332</v>
      </c>
      <c r="AQ739">
        <v>9.7981613109278989</v>
      </c>
      <c r="AR739">
        <v>1.2093131938681521</v>
      </c>
      <c r="AS739">
        <v>4.2303193861364701</v>
      </c>
      <c r="AT739" t="e">
        <v>#DIV/0!</v>
      </c>
      <c r="AU739" t="e">
        <v>#DIV/0!</v>
      </c>
      <c r="AV739"/>
      <c r="AW739"/>
      <c r="FY739" s="211">
        <v>734</v>
      </c>
      <c r="FZ739">
        <v>2.6960431407519012</v>
      </c>
      <c r="GA739">
        <v>3.2219329873315963</v>
      </c>
      <c r="GB739">
        <v>1.6675795386999703</v>
      </c>
      <c r="GC739">
        <v>1.1966456489318729</v>
      </c>
      <c r="GD739">
        <v>0.35019955910657252</v>
      </c>
      <c r="GE739">
        <v>5.0050519932599999E-2</v>
      </c>
      <c r="GF739">
        <v>0.49395954912409079</v>
      </c>
      <c r="GG739">
        <v>0.47874846122576609</v>
      </c>
      <c r="GH739">
        <v>6.6522953376906252E-2</v>
      </c>
      <c r="GI739">
        <v>1.104918447944971</v>
      </c>
      <c r="GJ739"/>
      <c r="GK739">
        <v>2.6871148897058821</v>
      </c>
      <c r="GL739">
        <v>2.7141617647058824</v>
      </c>
      <c r="GM739">
        <v>2.738012784090909</v>
      </c>
      <c r="GN739">
        <v>3.5102127840909092</v>
      </c>
      <c r="GO739">
        <v>1.3316531250000001</v>
      </c>
      <c r="GP739">
        <v>9.4124999999999986E-2</v>
      </c>
      <c r="GQ739">
        <v>0.59590760869565207</v>
      </c>
      <c r="GR739">
        <v>0.66627219202898535</v>
      </c>
      <c r="GS739">
        <v>7.0364583333333328E-2</v>
      </c>
      <c r="GT739">
        <v>1.4846105981651554</v>
      </c>
      <c r="GU739"/>
      <c r="GV739"/>
      <c r="GW739"/>
      <c r="GX739"/>
      <c r="GY739"/>
      <c r="GZ739"/>
      <c r="HA739"/>
      <c r="HB739"/>
      <c r="HC739"/>
    </row>
    <row r="740" spans="1:211" s="7" customFormat="1">
      <c r="A740" s="4"/>
      <c r="B740" s="4"/>
      <c r="C740" s="105"/>
      <c r="D740" s="4"/>
      <c r="E740" s="4"/>
      <c r="F740" s="28"/>
      <c r="G740" s="28"/>
      <c r="H740" s="83"/>
      <c r="I740" s="4"/>
      <c r="J740" s="4"/>
      <c r="K740" s="4"/>
      <c r="L740" s="4"/>
      <c r="M740" s="4"/>
      <c r="N740" s="28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81"/>
      <c r="AG740" s="81"/>
      <c r="AH740" s="81"/>
      <c r="AI740" s="4"/>
      <c r="AJ740" s="81"/>
      <c r="AK740" s="81"/>
      <c r="AL740" s="81"/>
      <c r="AM740" s="43">
        <v>724</v>
      </c>
      <c r="AN740">
        <v>31.24708150261219</v>
      </c>
      <c r="AO740">
        <v>0.76415843465964983</v>
      </c>
      <c r="AP740">
        <v>10.682351700150107</v>
      </c>
      <c r="AQ740">
        <v>6.7418097193467217</v>
      </c>
      <c r="AR740">
        <v>0.71138665607170948</v>
      </c>
      <c r="AS740">
        <v>2.4454967846105871</v>
      </c>
      <c r="AT740" t="e">
        <v>#DIV/0!</v>
      </c>
      <c r="AU740" t="e">
        <v>#DIV/0!</v>
      </c>
      <c r="AV740"/>
      <c r="AW740"/>
      <c r="FY740" s="211">
        <v>735</v>
      </c>
      <c r="FZ740">
        <v>1.6380775511742824</v>
      </c>
      <c r="GA740">
        <v>2.1531295572550126</v>
      </c>
      <c r="GB740">
        <v>0.89822843708937883</v>
      </c>
      <c r="GC740">
        <v>0.86386226382739895</v>
      </c>
      <c r="GD740">
        <v>0.38110788162789427</v>
      </c>
      <c r="GE740">
        <v>0.10020889731645002</v>
      </c>
      <c r="GF740">
        <v>0.74923343208741267</v>
      </c>
      <c r="GG740">
        <v>0.68024812515690725</v>
      </c>
      <c r="GH740">
        <v>0.15603164258923619</v>
      </c>
      <c r="GI740">
        <v>0.83741882515735866</v>
      </c>
      <c r="GJ740"/>
      <c r="GK740">
        <v>1.6322268382352938</v>
      </c>
      <c r="GL740">
        <v>1.8131643382352938</v>
      </c>
      <c r="GM740">
        <v>1.4745063920454546</v>
      </c>
      <c r="GN740">
        <v>2.5325260349025971</v>
      </c>
      <c r="GO740">
        <v>1.4489571428571428</v>
      </c>
      <c r="GP740">
        <v>0.18815625000000002</v>
      </c>
      <c r="GQ740">
        <v>0.90325271739130431</v>
      </c>
      <c r="GR740">
        <v>0.94629438405797084</v>
      </c>
      <c r="GS740">
        <v>0.16502303685897435</v>
      </c>
      <c r="GT740">
        <v>1.1247932254776338</v>
      </c>
      <c r="GU740"/>
      <c r="GV740"/>
      <c r="GW740"/>
      <c r="GX740"/>
      <c r="GY740"/>
      <c r="GZ740"/>
      <c r="HA740"/>
      <c r="HB740"/>
      <c r="HC740"/>
    </row>
    <row r="741" spans="1:211" s="7" customFormat="1">
      <c r="A741" s="4"/>
      <c r="B741" s="4"/>
      <c r="C741" s="105"/>
      <c r="D741" s="4"/>
      <c r="E741" s="4"/>
      <c r="F741" s="28"/>
      <c r="G741" s="28"/>
      <c r="H741" s="83"/>
      <c r="I741" s="4"/>
      <c r="J741" s="4"/>
      <c r="K741" s="4"/>
      <c r="L741" s="4"/>
      <c r="M741" s="4"/>
      <c r="N741" s="28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81"/>
      <c r="AG741" s="81"/>
      <c r="AH741" s="81"/>
      <c r="AI741" s="4"/>
      <c r="AJ741" s="81"/>
      <c r="AK741" s="81"/>
      <c r="AL741" s="81"/>
      <c r="AM741" s="43">
        <v>725</v>
      </c>
      <c r="AN741">
        <v>36.292067205226566</v>
      </c>
      <c r="AO741">
        <v>0.83918123337288508</v>
      </c>
      <c r="AP741">
        <v>1.2552176807788562</v>
      </c>
      <c r="AQ741">
        <v>5.3376267551409686</v>
      </c>
      <c r="AR741">
        <v>0.76872272308374157</v>
      </c>
      <c r="AS741">
        <v>3.0258442081381274</v>
      </c>
      <c r="AT741" t="e">
        <v>#DIV/0!</v>
      </c>
      <c r="AU741" t="e">
        <v>#DIV/0!</v>
      </c>
      <c r="AV741"/>
      <c r="AW741"/>
      <c r="FY741" s="211">
        <v>736</v>
      </c>
      <c r="FZ741">
        <v>1.6684144800846106</v>
      </c>
      <c r="GA741">
        <v>1.9852498283204909</v>
      </c>
      <c r="GB741">
        <v>0.32510526771616516</v>
      </c>
      <c r="GC741">
        <v>0.57218334973218443</v>
      </c>
      <c r="GD741">
        <v>0.4029165893481268</v>
      </c>
      <c r="GE741">
        <v>0.16465914894285</v>
      </c>
      <c r="GF741">
        <v>0.5344786465355188</v>
      </c>
      <c r="GG741">
        <v>0.47874846122576609</v>
      </c>
      <c r="GH741">
        <v>6.6522953376906252E-2</v>
      </c>
      <c r="GI741">
        <v>0.66161729047776374</v>
      </c>
      <c r="GJ741"/>
      <c r="GK741">
        <v>1.6627818014705877</v>
      </c>
      <c r="GL741">
        <v>1.6721685202205878</v>
      </c>
      <c r="GM741">
        <v>0.53317578124999998</v>
      </c>
      <c r="GN741">
        <v>1.6759430803571431</v>
      </c>
      <c r="GO741">
        <v>1.532310267857143</v>
      </c>
      <c r="GP741">
        <v>0.30946875000000001</v>
      </c>
      <c r="GQ741">
        <v>0.64475135869565214</v>
      </c>
      <c r="GR741">
        <v>0.66627219202898535</v>
      </c>
      <c r="GS741">
        <v>7.0364583333333328E-2</v>
      </c>
      <c r="GT741">
        <v>0.8886767585213432</v>
      </c>
      <c r="GU741"/>
      <c r="GV741"/>
      <c r="GW741"/>
      <c r="GX741"/>
      <c r="GY741"/>
      <c r="GZ741"/>
      <c r="HA741"/>
      <c r="HB741"/>
      <c r="HC741"/>
    </row>
    <row r="742" spans="1:211" s="7" customFormat="1">
      <c r="A742" s="4"/>
      <c r="B742" s="4"/>
      <c r="C742" s="105"/>
      <c r="D742" s="4"/>
      <c r="E742" s="4"/>
      <c r="F742" s="28"/>
      <c r="G742" s="28"/>
      <c r="H742" s="83"/>
      <c r="I742" s="4"/>
      <c r="J742" s="4"/>
      <c r="K742" s="4"/>
      <c r="L742" s="4"/>
      <c r="M742" s="4"/>
      <c r="N742" s="28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81"/>
      <c r="AG742" s="81"/>
      <c r="AH742" s="81"/>
      <c r="AI742" s="4"/>
      <c r="AJ742" s="81"/>
      <c r="AK742" s="81"/>
      <c r="AL742" s="81"/>
      <c r="AM742" s="43">
        <v>726</v>
      </c>
      <c r="AN742">
        <v>31.922009791235325</v>
      </c>
      <c r="AO742">
        <v>0.67456343507375771</v>
      </c>
      <c r="AP742">
        <v>0.64962938381232782</v>
      </c>
      <c r="AQ742">
        <v>4.5038954503467972</v>
      </c>
      <c r="AR742">
        <v>0.62410596370341609</v>
      </c>
      <c r="AS742">
        <v>2.7094981758295686</v>
      </c>
      <c r="AT742" t="e">
        <v>#DIV/0!</v>
      </c>
      <c r="AU742" t="e">
        <v>#DIV/0!</v>
      </c>
      <c r="AV742"/>
      <c r="AW742"/>
      <c r="FY742" s="211">
        <v>737</v>
      </c>
      <c r="FZ742">
        <v>1.5884784521041417</v>
      </c>
      <c r="GA742">
        <v>2.2689453466759599</v>
      </c>
      <c r="GB742">
        <v>0.54092630747526682</v>
      </c>
      <c r="GC742">
        <v>0.61775035648959942</v>
      </c>
      <c r="GD742">
        <v>0.37679593404120748</v>
      </c>
      <c r="GE742">
        <v>8.088342136492499E-2</v>
      </c>
      <c r="GF742">
        <v>0.36024295839505316</v>
      </c>
      <c r="GG742">
        <v>0.32783070573276563</v>
      </c>
      <c r="GH742">
        <v>6.6522953376906252E-2</v>
      </c>
      <c r="GI742">
        <v>0.6564429248095659</v>
      </c>
      <c r="GJ742"/>
      <c r="GK742">
        <v>1.5830943014705878</v>
      </c>
      <c r="GL742">
        <v>1.9112310202205878</v>
      </c>
      <c r="GM742">
        <v>0.88747265624999994</v>
      </c>
      <c r="GN742">
        <v>1.8095484375000002</v>
      </c>
      <c r="GO742">
        <v>1.433071875</v>
      </c>
      <c r="GP742">
        <v>0.15201562499999999</v>
      </c>
      <c r="GQ742">
        <v>0.43509375</v>
      </c>
      <c r="GR742">
        <v>0.45661458333333332</v>
      </c>
      <c r="GS742">
        <v>7.0364583333333328E-2</v>
      </c>
      <c r="GT742">
        <v>0.88181943321078426</v>
      </c>
      <c r="GU742"/>
      <c r="GV742"/>
      <c r="GW742"/>
      <c r="GX742"/>
      <c r="GY742"/>
      <c r="GZ742"/>
      <c r="HA742"/>
      <c r="HB742"/>
      <c r="HC742"/>
    </row>
    <row r="743" spans="1:211" s="7" customFormat="1">
      <c r="A743" s="4"/>
      <c r="B743" s="4"/>
      <c r="C743" s="105"/>
      <c r="D743" s="4"/>
      <c r="E743" s="4"/>
      <c r="F743" s="28"/>
      <c r="G743" s="28"/>
      <c r="H743" s="83"/>
      <c r="I743" s="4"/>
      <c r="J743" s="4"/>
      <c r="K743" s="4"/>
      <c r="L743" s="4"/>
      <c r="M743" s="4"/>
      <c r="N743" s="28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81"/>
      <c r="AG743" s="81"/>
      <c r="AH743" s="81"/>
      <c r="AI743" s="4"/>
      <c r="AJ743" s="81"/>
      <c r="AK743" s="81"/>
      <c r="AL743" s="81"/>
      <c r="AM743" s="43">
        <v>727</v>
      </c>
      <c r="AN743">
        <v>60.32368155061171</v>
      </c>
      <c r="AO743">
        <v>1.3027516217241706</v>
      </c>
      <c r="AP743">
        <v>1.2117936013649289</v>
      </c>
      <c r="AQ743">
        <v>8.3765509135307656</v>
      </c>
      <c r="AR743">
        <v>1.2148867452737213</v>
      </c>
      <c r="AS743">
        <v>4.5105545943836471</v>
      </c>
      <c r="AT743" t="e">
        <v>#DIV/0!</v>
      </c>
      <c r="AU743" t="e">
        <v>#DIV/0!</v>
      </c>
      <c r="AV743"/>
      <c r="AW743"/>
      <c r="FY743" s="211">
        <v>738</v>
      </c>
      <c r="FZ743">
        <v>0.19802552243333907</v>
      </c>
      <c r="GA743">
        <v>0.77921700073590705</v>
      </c>
      <c r="GB743">
        <v>1.2679798470088568</v>
      </c>
      <c r="GC743">
        <v>0.61565137033091943</v>
      </c>
      <c r="GD743">
        <v>0.12118688036470927</v>
      </c>
      <c r="GE743">
        <v>8.377572757792498E-2</v>
      </c>
      <c r="GF743">
        <v>0.82805716775636906</v>
      </c>
      <c r="GG743">
        <v>0.81887252380421982</v>
      </c>
      <c r="GH743">
        <v>0.15603164258923619</v>
      </c>
      <c r="GI743">
        <v>0.58115652343660362</v>
      </c>
      <c r="GJ743"/>
      <c r="GK743">
        <v>0.19739062499999999</v>
      </c>
      <c r="GL743">
        <v>0.65627343750000011</v>
      </c>
      <c r="GM743">
        <v>2.0813188920454544</v>
      </c>
      <c r="GN743">
        <v>1.8066775974025973</v>
      </c>
      <c r="GO743">
        <v>0.46122589285714277</v>
      </c>
      <c r="GP743">
        <v>0.15745312499999997</v>
      </c>
      <c r="GQ743">
        <v>0.99869021739130437</v>
      </c>
      <c r="GR743">
        <v>1.1394193840579709</v>
      </c>
      <c r="GS743">
        <v>0.16502303685897435</v>
      </c>
      <c r="GT743">
        <v>0.78072973283057512</v>
      </c>
      <c r="GU743"/>
      <c r="GV743"/>
      <c r="GW743"/>
      <c r="GX743"/>
      <c r="GY743"/>
      <c r="GZ743"/>
      <c r="HA743"/>
      <c r="HB743"/>
      <c r="HC743"/>
    </row>
    <row r="744" spans="1:211" s="7" customFormat="1">
      <c r="A744" s="4"/>
      <c r="B744" s="4"/>
      <c r="C744" s="105"/>
      <c r="D744" s="4"/>
      <c r="E744" s="4"/>
      <c r="F744" s="28"/>
      <c r="G744" s="28"/>
      <c r="H744" s="83"/>
      <c r="I744" s="4"/>
      <c r="J744" s="4"/>
      <c r="K744" s="4"/>
      <c r="L744" s="4"/>
      <c r="M744" s="4"/>
      <c r="N744" s="28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81"/>
      <c r="AG744" s="81"/>
      <c r="AH744" s="81"/>
      <c r="AI744" s="4"/>
      <c r="AJ744" s="81"/>
      <c r="AK744" s="81"/>
      <c r="AL744" s="81"/>
      <c r="AM744" s="43">
        <v>728</v>
      </c>
      <c r="AN744">
        <v>44.167847379336351</v>
      </c>
      <c r="AO744">
        <v>1.0486282889564478</v>
      </c>
      <c r="AP744">
        <v>1.2636205223598174</v>
      </c>
      <c r="AQ744">
        <v>8.2495840843846544</v>
      </c>
      <c r="AR744">
        <v>0.97220414817719036</v>
      </c>
      <c r="AS744">
        <v>3.3600263469857219</v>
      </c>
      <c r="AT744" t="e">
        <v>#DIV/0!</v>
      </c>
      <c r="AU744" t="e">
        <v>#DIV/0!</v>
      </c>
      <c r="AV744"/>
      <c r="AW744"/>
      <c r="FY744" s="211">
        <v>739</v>
      </c>
      <c r="FZ744">
        <v>0.43416436026910776</v>
      </c>
      <c r="GA744">
        <v>1.0113201929383853</v>
      </c>
      <c r="GB744">
        <v>1.5821432393237436</v>
      </c>
      <c r="GC744">
        <v>0.75851956158358225</v>
      </c>
      <c r="GD744">
        <v>0.13973545864594925</v>
      </c>
      <c r="GE744">
        <v>0.17236934196232498</v>
      </c>
      <c r="GF744">
        <v>0.97354534059952824</v>
      </c>
      <c r="GG744">
        <v>0.99578547404398488</v>
      </c>
      <c r="GH744">
        <v>0.19956886013071873</v>
      </c>
      <c r="GI744">
        <v>0.73657677580158598</v>
      </c>
      <c r="GJ744"/>
      <c r="GK744">
        <v>0.43270312499999997</v>
      </c>
      <c r="GL744">
        <v>0.85174218750000008</v>
      </c>
      <c r="GM744">
        <v>2.5976221590909088</v>
      </c>
      <c r="GN744">
        <v>2.2270933644480522</v>
      </c>
      <c r="GO744">
        <v>0.53183839285714285</v>
      </c>
      <c r="GP744">
        <v>0.32395312500000001</v>
      </c>
      <c r="GQ744">
        <v>1.1752826086956523</v>
      </c>
      <c r="GR744">
        <v>1.3863763586956521</v>
      </c>
      <c r="GS744">
        <v>0.21109375</v>
      </c>
      <c r="GT744">
        <v>0.98970800712874074</v>
      </c>
      <c r="GU744"/>
      <c r="GV744"/>
      <c r="GW744"/>
      <c r="GX744"/>
      <c r="GY744"/>
      <c r="GZ744"/>
      <c r="HA744"/>
      <c r="HB744"/>
      <c r="HC744"/>
    </row>
    <row r="745" spans="1:211" s="7" customFormat="1">
      <c r="A745" s="4"/>
      <c r="B745" s="4"/>
      <c r="C745" s="105"/>
      <c r="D745" s="4"/>
      <c r="E745" s="4"/>
      <c r="F745" s="28"/>
      <c r="G745" s="28"/>
      <c r="H745" s="83"/>
      <c r="I745" s="4"/>
      <c r="J745" s="4"/>
      <c r="K745" s="4"/>
      <c r="L745" s="4"/>
      <c r="M745" s="4"/>
      <c r="N745" s="28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81"/>
      <c r="AG745" s="81"/>
      <c r="AH745" s="81"/>
      <c r="AI745" s="4"/>
      <c r="AJ745" s="81"/>
      <c r="AK745" s="81"/>
      <c r="AL745" s="81"/>
      <c r="AM745" s="43">
        <v>729</v>
      </c>
      <c r="AN745">
        <v>44.354420911805825</v>
      </c>
      <c r="AO745">
        <v>1.1282299422561664</v>
      </c>
      <c r="AP745">
        <v>1.7028221430805059</v>
      </c>
      <c r="AQ745">
        <v>7.5286211444296649</v>
      </c>
      <c r="AR745">
        <v>1.0423607538867248</v>
      </c>
      <c r="AS745">
        <v>3.8122931464615561</v>
      </c>
      <c r="AT745">
        <v>0.7145568706726112</v>
      </c>
      <c r="AU745">
        <v>0.1005882877376983</v>
      </c>
      <c r="AV745"/>
      <c r="AW745"/>
      <c r="FY745" s="211">
        <v>740</v>
      </c>
      <c r="FZ745">
        <v>0.45603184701077715</v>
      </c>
      <c r="GA745">
        <v>0.94054516095935103</v>
      </c>
      <c r="GB745">
        <v>1.3998368331968694</v>
      </c>
      <c r="GC745">
        <v>1.3009591787677615</v>
      </c>
      <c r="GD745">
        <v>0.56277710168844863</v>
      </c>
      <c r="GE745">
        <v>8.8593614384399985E-2</v>
      </c>
      <c r="GF745">
        <v>0.66819523726455643</v>
      </c>
      <c r="GG745">
        <v>0.57908430828062596</v>
      </c>
      <c r="GH745">
        <v>2.2985735835423678E-2</v>
      </c>
      <c r="GI745">
        <v>0.85204853881454534</v>
      </c>
      <c r="GJ745"/>
      <c r="GK745">
        <v>0.45432187499999999</v>
      </c>
      <c r="GL745">
        <v>0.79184531250000001</v>
      </c>
      <c r="GM745">
        <v>2.2981768465909087</v>
      </c>
      <c r="GN745">
        <v>3.8145489448051944</v>
      </c>
      <c r="GO745">
        <v>2.1399267857142856</v>
      </c>
      <c r="GP745">
        <v>0.16649999999999998</v>
      </c>
      <c r="GQ745">
        <v>0.80556521739130427</v>
      </c>
      <c r="GR745">
        <v>0.80556521739130427</v>
      </c>
      <c r="GS745">
        <v>2.4293870192307693E-2</v>
      </c>
      <c r="GT745">
        <v>1.1444569189777611</v>
      </c>
      <c r="GU745"/>
      <c r="GV745"/>
      <c r="GW745"/>
      <c r="GX745"/>
      <c r="GY745"/>
      <c r="GZ745"/>
      <c r="HA745"/>
      <c r="HB745"/>
      <c r="HC745"/>
    </row>
    <row r="746" spans="1:211" s="7" customFormat="1">
      <c r="A746" s="4"/>
      <c r="B746" s="4"/>
      <c r="C746" s="105"/>
      <c r="D746" s="4"/>
      <c r="E746" s="4"/>
      <c r="F746" s="28"/>
      <c r="G746" s="28"/>
      <c r="H746" s="83"/>
      <c r="I746" s="4"/>
      <c r="J746" s="4"/>
      <c r="K746" s="4"/>
      <c r="L746" s="4"/>
      <c r="M746" s="4"/>
      <c r="N746" s="28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81"/>
      <c r="AG746" s="81"/>
      <c r="AH746" s="81"/>
      <c r="AI746" s="4"/>
      <c r="AJ746" s="81"/>
      <c r="AK746" s="81"/>
      <c r="AL746" s="81"/>
      <c r="AM746" s="43">
        <v>730</v>
      </c>
      <c r="AN746">
        <v>42.494914300261172</v>
      </c>
      <c r="AO746">
        <v>0.88438088933671288</v>
      </c>
      <c r="AP746">
        <v>8.3031703797833725</v>
      </c>
      <c r="AQ746">
        <v>6.0370483651600466</v>
      </c>
      <c r="AR746">
        <v>0.82209342212428438</v>
      </c>
      <c r="AS746">
        <v>3.3963111219092377</v>
      </c>
      <c r="AT746" t="e">
        <v>#DIV/0!</v>
      </c>
      <c r="AU746" t="e">
        <v>#DIV/0!</v>
      </c>
      <c r="AV746"/>
      <c r="AW746"/>
      <c r="FY746" s="211">
        <v>741</v>
      </c>
      <c r="FZ746">
        <v>0.57219771064712344</v>
      </c>
      <c r="GA746">
        <v>1.1021231067255339</v>
      </c>
      <c r="GB746">
        <v>1.3149682257748818</v>
      </c>
      <c r="GC746">
        <v>0.82161422840374143</v>
      </c>
      <c r="GD746">
        <v>0.25782378574211995</v>
      </c>
      <c r="GE746">
        <v>0.13382624751052499</v>
      </c>
      <c r="GF746">
        <v>0.33409761863227821</v>
      </c>
      <c r="GG746">
        <v>0.28954215414031298</v>
      </c>
      <c r="GH746">
        <v>2.2985735835423678E-2</v>
      </c>
      <c r="GI746">
        <v>0.61581682666023752</v>
      </c>
      <c r="GJ746"/>
      <c r="GK746">
        <v>0.57023437499999996</v>
      </c>
      <c r="GL746">
        <v>0.92811328125000003</v>
      </c>
      <c r="GM746">
        <v>2.1584009232954551</v>
      </c>
      <c r="GN746">
        <v>2.4101876420454547</v>
      </c>
      <c r="GO746">
        <v>0.98077499999999984</v>
      </c>
      <c r="GP746">
        <v>0.25157812499999999</v>
      </c>
      <c r="GQ746">
        <v>0.40278260869565213</v>
      </c>
      <c r="GR746">
        <v>0.40278260869565213</v>
      </c>
      <c r="GS746">
        <v>2.4293870192307693E-2</v>
      </c>
      <c r="GT746">
        <v>0.82729735543668292</v>
      </c>
      <c r="GU746"/>
      <c r="GV746"/>
      <c r="GW746"/>
      <c r="GX746"/>
      <c r="GY746"/>
      <c r="GZ746"/>
      <c r="HA746"/>
      <c r="HB746"/>
      <c r="HC746"/>
    </row>
    <row r="747" spans="1:211" s="7" customFormat="1">
      <c r="A747" s="4"/>
      <c r="B747" s="4"/>
      <c r="C747" s="105"/>
      <c r="D747" s="4"/>
      <c r="E747" s="4"/>
      <c r="F747" s="28"/>
      <c r="G747" s="28"/>
      <c r="H747" s="83"/>
      <c r="I747" s="4"/>
      <c r="J747" s="4"/>
      <c r="K747" s="4"/>
      <c r="L747" s="4"/>
      <c r="M747" s="4"/>
      <c r="N747" s="28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81"/>
      <c r="AG747" s="81"/>
      <c r="AH747" s="81"/>
      <c r="AI747" s="4"/>
      <c r="AJ747" s="81"/>
      <c r="AK747" s="81"/>
      <c r="AL747" s="81"/>
      <c r="AM747" s="43">
        <v>731</v>
      </c>
      <c r="AN747">
        <v>60.856926535710897</v>
      </c>
      <c r="AO747">
        <v>1.3733415418664747</v>
      </c>
      <c r="AP747">
        <v>14.430806686813082</v>
      </c>
      <c r="AQ747">
        <v>8.4042776715450103</v>
      </c>
      <c r="AR747">
        <v>1.2484923107877046</v>
      </c>
      <c r="AS747">
        <v>5.1758969857048553</v>
      </c>
      <c r="AT747" t="e">
        <v>#DIV/0!</v>
      </c>
      <c r="AU747" t="e">
        <v>#DIV/0!</v>
      </c>
      <c r="AV747"/>
      <c r="AW747"/>
      <c r="FY747" s="211">
        <v>742</v>
      </c>
      <c r="FZ747">
        <v>1.2129145978357239</v>
      </c>
      <c r="GA747">
        <v>1.6628539760977525</v>
      </c>
      <c r="GB747">
        <v>0.41442157370658511</v>
      </c>
      <c r="GC747">
        <v>0.75039676239378683</v>
      </c>
      <c r="GD747">
        <v>0.53619372278200916</v>
      </c>
      <c r="GE747">
        <v>0.11648028087809999</v>
      </c>
      <c r="GF747">
        <v>0.5344786465355188</v>
      </c>
      <c r="GG747">
        <v>0.47874846122576609</v>
      </c>
      <c r="GH747">
        <v>0.13548016088317727</v>
      </c>
      <c r="GI747">
        <v>0.70222954595479314</v>
      </c>
      <c r="GJ747"/>
      <c r="GK747">
        <v>1.2088143382352938</v>
      </c>
      <c r="GL747">
        <v>1.400720588235294</v>
      </c>
      <c r="GM747">
        <v>0.68014843749999998</v>
      </c>
      <c r="GN747">
        <v>2.1975618303571429</v>
      </c>
      <c r="GO747">
        <v>2.0388508928571425</v>
      </c>
      <c r="GP747">
        <v>0.21899999999999997</v>
      </c>
      <c r="GQ747">
        <v>0.64475135869565214</v>
      </c>
      <c r="GR747">
        <v>0.66627219202898535</v>
      </c>
      <c r="GS747">
        <v>0.14324619391025639</v>
      </c>
      <c r="GT747">
        <v>0.94316224423966899</v>
      </c>
      <c r="GU747"/>
      <c r="GV747"/>
      <c r="GW747"/>
      <c r="GX747"/>
      <c r="GY747"/>
      <c r="GZ747"/>
      <c r="HA747"/>
      <c r="HB747"/>
      <c r="HC747"/>
    </row>
    <row r="748" spans="1:211" s="7" customFormat="1">
      <c r="A748" s="4"/>
      <c r="B748" s="4"/>
      <c r="C748" s="105"/>
      <c r="D748" s="4"/>
      <c r="E748" s="4"/>
      <c r="F748" s="28"/>
      <c r="G748" s="28"/>
      <c r="H748" s="83"/>
      <c r="I748" s="4"/>
      <c r="J748" s="4"/>
      <c r="K748" s="4"/>
      <c r="L748" s="4"/>
      <c r="M748" s="4"/>
      <c r="N748" s="28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81"/>
      <c r="AG748" s="81"/>
      <c r="AH748" s="81"/>
      <c r="AI748" s="4"/>
      <c r="AJ748" s="81"/>
      <c r="AK748" s="81"/>
      <c r="AL748" s="81"/>
      <c r="AM748" s="43">
        <v>732</v>
      </c>
      <c r="AN748">
        <v>29.034333000433541</v>
      </c>
      <c r="AO748">
        <v>0.60772391229445388</v>
      </c>
      <c r="AP748">
        <v>0.49908810367714984</v>
      </c>
      <c r="AQ748">
        <v>4.0125287143494139</v>
      </c>
      <c r="AR748">
        <v>0.58003993119425856</v>
      </c>
      <c r="AS748">
        <v>2.4431303397834276</v>
      </c>
      <c r="AT748">
        <v>0.47661540152239962</v>
      </c>
      <c r="AU748">
        <v>0.23092344065756903</v>
      </c>
      <c r="AV748"/>
      <c r="AW748"/>
      <c r="FY748" s="211">
        <v>743</v>
      </c>
      <c r="FZ748">
        <v>1.1857551013391148</v>
      </c>
      <c r="GA748">
        <v>1.1578949646402319</v>
      </c>
      <c r="GB748">
        <v>0.35303941537935457</v>
      </c>
      <c r="GC748">
        <v>0.43338375860874379</v>
      </c>
      <c r="GD748">
        <v>0.24114022265357676</v>
      </c>
      <c r="GE748">
        <v>0.10791909033592499</v>
      </c>
      <c r="GF748">
        <v>0.86857626516779707</v>
      </c>
      <c r="GG748">
        <v>0.71770870692793864</v>
      </c>
      <c r="GH748">
        <v>2.2985735835423678E-2</v>
      </c>
      <c r="GI748">
        <v>0.55837178640662399</v>
      </c>
      <c r="GJ748"/>
      <c r="GK748">
        <v>1.181748713235294</v>
      </c>
      <c r="GL748">
        <v>0.97521746323529401</v>
      </c>
      <c r="GM748">
        <v>0.57932812499999997</v>
      </c>
      <c r="GN748">
        <v>1.2702790178571428</v>
      </c>
      <c r="GO748">
        <v>0.91712276785714286</v>
      </c>
      <c r="GP748">
        <v>0.20264062499999999</v>
      </c>
      <c r="GQ748">
        <v>1.0475339673913044</v>
      </c>
      <c r="GR748">
        <v>0.99869021739130437</v>
      </c>
      <c r="GS748">
        <v>2.4293870192307693E-2</v>
      </c>
      <c r="GT748">
        <v>0.75000548873520978</v>
      </c>
      <c r="GU748"/>
      <c r="GV748"/>
      <c r="GW748"/>
      <c r="GX748"/>
      <c r="GY748"/>
      <c r="GZ748"/>
      <c r="HA748"/>
      <c r="HB748"/>
      <c r="HC748"/>
    </row>
    <row r="749" spans="1:211" s="7" customFormat="1">
      <c r="A749" s="4"/>
      <c r="B749" s="4"/>
      <c r="C749" s="105"/>
      <c r="D749" s="4"/>
      <c r="E749" s="4"/>
      <c r="F749" s="28"/>
      <c r="G749" s="28"/>
      <c r="H749" s="83"/>
      <c r="I749" s="4"/>
      <c r="J749" s="4"/>
      <c r="K749" s="4"/>
      <c r="L749" s="4"/>
      <c r="M749" s="4"/>
      <c r="N749" s="28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81"/>
      <c r="AG749" s="81"/>
      <c r="AH749" s="81"/>
      <c r="AI749" s="4"/>
      <c r="AJ749" s="81"/>
      <c r="AK749" s="81"/>
      <c r="AL749" s="81"/>
      <c r="AM749" s="43">
        <v>733</v>
      </c>
      <c r="AN749">
        <v>61.016423019412137</v>
      </c>
      <c r="AO749">
        <v>1.3907034409241119</v>
      </c>
      <c r="AP749">
        <v>13.393669733488197</v>
      </c>
      <c r="AQ749">
        <v>8.4683806353600435</v>
      </c>
      <c r="AR749">
        <v>1.2773508663121298</v>
      </c>
      <c r="AS749">
        <v>5.5388027501010821</v>
      </c>
      <c r="AT749" t="e">
        <v>#DIV/0!</v>
      </c>
      <c r="AU749" t="e">
        <v>#DIV/0!</v>
      </c>
      <c r="AV749"/>
      <c r="AW749"/>
      <c r="FY749" s="211">
        <v>744</v>
      </c>
      <c r="FZ749">
        <v>0.63588790996683187</v>
      </c>
      <c r="GA749">
        <v>0.83408469818446118</v>
      </c>
      <c r="GB749">
        <v>0.84266923502013735</v>
      </c>
      <c r="GC749">
        <v>0.63739214461486071</v>
      </c>
      <c r="GD749">
        <v>0.25431713089838037</v>
      </c>
      <c r="GE749">
        <v>7.6065534558449999E-2</v>
      </c>
      <c r="GF749">
        <v>0.86857626516779707</v>
      </c>
      <c r="GG749">
        <v>0.81887252380421982</v>
      </c>
      <c r="GH749">
        <v>0.15603164258923619</v>
      </c>
      <c r="GI749">
        <v>0.62489048979142836</v>
      </c>
      <c r="GJ749"/>
      <c r="GK749">
        <v>0.6336187499999999</v>
      </c>
      <c r="GL749">
        <v>0.70233750000000006</v>
      </c>
      <c r="GM749">
        <v>1.3834204545454545</v>
      </c>
      <c r="GN749">
        <v>1.8691325081168828</v>
      </c>
      <c r="GO749">
        <v>0.96730580357142859</v>
      </c>
      <c r="GP749">
        <v>0.14296875000000001</v>
      </c>
      <c r="GQ749">
        <v>1.0475339673913044</v>
      </c>
      <c r="GR749">
        <v>1.1394193840579709</v>
      </c>
      <c r="GS749">
        <v>0.16502303685897435</v>
      </c>
      <c r="GT749">
        <v>0.83938040247343226</v>
      </c>
      <c r="GU749"/>
      <c r="GV749"/>
      <c r="GW749"/>
      <c r="GX749"/>
      <c r="GY749"/>
      <c r="GZ749"/>
      <c r="HA749"/>
      <c r="HB749"/>
      <c r="HC749"/>
    </row>
    <row r="750" spans="1:211" s="7" customFormat="1">
      <c r="A750" s="4"/>
      <c r="B750" s="4"/>
      <c r="C750" s="105"/>
      <c r="D750" s="4"/>
      <c r="E750" s="4"/>
      <c r="F750" s="28"/>
      <c r="G750" s="28"/>
      <c r="H750" s="83"/>
      <c r="I750" s="4"/>
      <c r="J750" s="4"/>
      <c r="K750" s="4"/>
      <c r="L750" s="4"/>
      <c r="M750" s="4"/>
      <c r="N750" s="28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81"/>
      <c r="AG750" s="81"/>
      <c r="AH750" s="81"/>
      <c r="AI750" s="4"/>
      <c r="AJ750" s="81"/>
      <c r="AK750" s="81"/>
      <c r="AL750" s="81"/>
      <c r="AM750" s="43">
        <v>734</v>
      </c>
      <c r="AN750">
        <v>63.49432781566734</v>
      </c>
      <c r="AO750">
        <v>1.589243532981671</v>
      </c>
      <c r="AP750">
        <v>7.0489390815709694</v>
      </c>
      <c r="AQ750">
        <v>11.326600806426248</v>
      </c>
      <c r="AR750">
        <v>1.4846105981651556</v>
      </c>
      <c r="AS750">
        <v>5.1490313288213407</v>
      </c>
      <c r="AT750" t="e">
        <v>#DIV/0!</v>
      </c>
      <c r="AU750" t="e">
        <v>#DIV/0!</v>
      </c>
      <c r="AV750"/>
      <c r="AW750"/>
      <c r="FY750" s="211">
        <v>745</v>
      </c>
      <c r="FZ750">
        <v>1.331032873447342</v>
      </c>
      <c r="GA750">
        <v>1.7522130574685786</v>
      </c>
      <c r="GB750">
        <v>1.5836080428434389</v>
      </c>
      <c r="GC750">
        <v>1.2832342109274597</v>
      </c>
      <c r="GD750">
        <v>0.4339028678537924</v>
      </c>
      <c r="GE750">
        <v>0.2050738952625</v>
      </c>
      <c r="GF750">
        <v>4.0519097411428125E-2</v>
      </c>
      <c r="GG750">
        <v>0</v>
      </c>
      <c r="GH750">
        <v>2.2985735835423678E-2</v>
      </c>
      <c r="GI750">
        <v>0.84104558124135465</v>
      </c>
      <c r="GJ750"/>
      <c r="GK750">
        <v>1.3262924632352942</v>
      </c>
      <c r="GL750">
        <v>1.4755659007352939</v>
      </c>
      <c r="GM750">
        <v>2.6000440340909092</v>
      </c>
      <c r="GN750">
        <v>3.7642924715909087</v>
      </c>
      <c r="GO750">
        <v>1.6501781250000001</v>
      </c>
      <c r="GP750">
        <v>0.38550000000000001</v>
      </c>
      <c r="GQ750">
        <v>4.8843750000000005E-2</v>
      </c>
      <c r="GR750">
        <v>0</v>
      </c>
      <c r="GS750">
        <v>2.4293870192307693E-2</v>
      </c>
      <c r="GT750">
        <v>1.1299304485037021</v>
      </c>
      <c r="GU750"/>
      <c r="GV750"/>
      <c r="GW750"/>
      <c r="GX750"/>
      <c r="GY750"/>
      <c r="GZ750"/>
      <c r="HA750"/>
      <c r="HB750"/>
      <c r="HC750"/>
    </row>
    <row r="751" spans="1:211" s="7" customFormat="1">
      <c r="A751" s="4"/>
      <c r="B751" s="4"/>
      <c r="C751" s="105"/>
      <c r="D751" s="4"/>
      <c r="E751" s="4"/>
      <c r="F751" s="28"/>
      <c r="G751" s="28"/>
      <c r="H751" s="83"/>
      <c r="I751" s="4"/>
      <c r="J751" s="4"/>
      <c r="K751" s="4"/>
      <c r="L751" s="4"/>
      <c r="M751" s="4"/>
      <c r="N751" s="28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81"/>
      <c r="AG751" s="81"/>
      <c r="AH751" s="81"/>
      <c r="AI751" s="4"/>
      <c r="AJ751" s="81"/>
      <c r="AK751" s="81"/>
      <c r="AL751" s="81"/>
      <c r="AM751" s="43">
        <v>735</v>
      </c>
      <c r="AN751">
        <v>59.080462578472485</v>
      </c>
      <c r="AO751">
        <v>1.2228900360061665</v>
      </c>
      <c r="AP751">
        <v>0.74883984711742024</v>
      </c>
      <c r="AQ751">
        <v>8.4575466132813304</v>
      </c>
      <c r="AR751">
        <v>1.1247932254776341</v>
      </c>
      <c r="AS751">
        <v>5.0862394744306325</v>
      </c>
      <c r="AT751">
        <v>0.94548426840786082</v>
      </c>
      <c r="AU751">
        <v>5.0653169000567363E-2</v>
      </c>
      <c r="AV751"/>
      <c r="AW751"/>
      <c r="FY751" s="211">
        <v>746</v>
      </c>
      <c r="FZ751">
        <v>2.0335564802090986</v>
      </c>
      <c r="GA751">
        <v>2.458155751037312</v>
      </c>
      <c r="GB751">
        <v>0.70877975335819088</v>
      </c>
      <c r="GC751">
        <v>0.61847816655239829</v>
      </c>
      <c r="GD751">
        <v>0.27861212729105356</v>
      </c>
      <c r="GE751">
        <v>0.11460862901025</v>
      </c>
      <c r="GF751">
        <v>0.86857626516779707</v>
      </c>
      <c r="GG751">
        <v>0.76829061536607923</v>
      </c>
      <c r="GH751">
        <v>0.13548016088317727</v>
      </c>
      <c r="GI751">
        <v>0.81002527134953395</v>
      </c>
      <c r="GJ751"/>
      <c r="GK751">
        <v>2.026559926470588</v>
      </c>
      <c r="GL751">
        <v>2.0703060202205879</v>
      </c>
      <c r="GM751">
        <v>1.1635259232954545</v>
      </c>
      <c r="GN751">
        <v>1.8139316152597402</v>
      </c>
      <c r="GO751">
        <v>1.0598705357142857</v>
      </c>
      <c r="GP751">
        <v>0.21534374999999997</v>
      </c>
      <c r="GQ751">
        <v>1.0475339673913044</v>
      </c>
      <c r="GR751">
        <v>1.0690548007246377</v>
      </c>
      <c r="GS751">
        <v>0.14324619391025639</v>
      </c>
      <c r="GT751">
        <v>1.088147309356378</v>
      </c>
      <c r="GU751"/>
      <c r="GV751"/>
      <c r="GW751"/>
      <c r="GX751"/>
      <c r="GY751"/>
      <c r="GZ751"/>
      <c r="HA751"/>
      <c r="HB751"/>
      <c r="HC751"/>
    </row>
    <row r="752" spans="1:211" s="7" customFormat="1">
      <c r="A752" s="4"/>
      <c r="B752" s="4"/>
      <c r="C752" s="105"/>
      <c r="D752" s="4"/>
      <c r="E752" s="4"/>
      <c r="F752" s="28"/>
      <c r="G752" s="28"/>
      <c r="H752" s="83"/>
      <c r="I752" s="4"/>
      <c r="J752" s="4"/>
      <c r="K752" s="4"/>
      <c r="L752" s="4"/>
      <c r="M752" s="4"/>
      <c r="N752" s="28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81"/>
      <c r="AG752" s="81"/>
      <c r="AH752" s="81"/>
      <c r="AI752" s="4"/>
      <c r="AJ752" s="81"/>
      <c r="AK752" s="81"/>
      <c r="AL752" s="81"/>
      <c r="AM752" s="43">
        <v>736</v>
      </c>
      <c r="AN752">
        <v>46.65513693098012</v>
      </c>
      <c r="AO752">
        <v>0.96559130937347781</v>
      </c>
      <c r="AP752">
        <v>0.60701915872263745</v>
      </c>
      <c r="AQ752">
        <v>6.8598960157603841</v>
      </c>
      <c r="AR752">
        <v>0.88867675852134331</v>
      </c>
      <c r="AS752">
        <v>4.1574708913387592</v>
      </c>
      <c r="AT752" t="e">
        <v>#DIV/0!</v>
      </c>
      <c r="AU752" t="e">
        <v>#DIV/0!</v>
      </c>
      <c r="AV752"/>
      <c r="AW752"/>
      <c r="FY752" s="211">
        <v>747</v>
      </c>
      <c r="FZ752">
        <v>0.42697750085639158</v>
      </c>
      <c r="GA752">
        <v>0.85679026909133005</v>
      </c>
      <c r="GB752">
        <v>0.76007624119267492</v>
      </c>
      <c r="GC752">
        <v>0.41296152579682188</v>
      </c>
      <c r="GD752">
        <v>0.12491370036294105</v>
      </c>
      <c r="GE752">
        <v>0.11942651581672502</v>
      </c>
      <c r="GF752">
        <v>0.20038102790324064</v>
      </c>
      <c r="GG752">
        <v>0.18920630708545313</v>
      </c>
      <c r="GH752">
        <v>8.9508689212329934E-2</v>
      </c>
      <c r="GI752">
        <v>0.36991072874288006</v>
      </c>
      <c r="GJ752"/>
      <c r="GK752">
        <v>0.42524062500000004</v>
      </c>
      <c r="GL752">
        <v>0.72109218750000015</v>
      </c>
      <c r="GM752">
        <v>1.2469062499999999</v>
      </c>
      <c r="GN752">
        <v>1.2111439732142857</v>
      </c>
      <c r="GO752">
        <v>0.47547991071428564</v>
      </c>
      <c r="GP752">
        <v>0.22439062500000001</v>
      </c>
      <c r="GQ752">
        <v>0.24196875000000001</v>
      </c>
      <c r="GR752">
        <v>0.26348958333333333</v>
      </c>
      <c r="GS752">
        <v>9.465845352564102E-2</v>
      </c>
      <c r="GT752">
        <v>0.49685079784798536</v>
      </c>
      <c r="GU752"/>
      <c r="GV752"/>
      <c r="GW752"/>
      <c r="GX752"/>
      <c r="GY752"/>
      <c r="GZ752"/>
      <c r="HA752"/>
      <c r="HB752"/>
      <c r="HC752"/>
    </row>
    <row r="753" spans="1:211" s="7" customFormat="1">
      <c r="A753" s="4"/>
      <c r="B753" s="4"/>
      <c r="C753" s="105"/>
      <c r="D753" s="4"/>
      <c r="E753" s="4"/>
      <c r="F753" s="28"/>
      <c r="G753" s="28"/>
      <c r="H753" s="83"/>
      <c r="I753" s="4"/>
      <c r="J753" s="4"/>
      <c r="K753" s="4"/>
      <c r="L753" s="4"/>
      <c r="M753" s="4"/>
      <c r="N753" s="28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81"/>
      <c r="AG753" s="81"/>
      <c r="AH753" s="81"/>
      <c r="AI753" s="4"/>
      <c r="AJ753" s="81"/>
      <c r="AK753" s="81"/>
      <c r="AL753" s="81"/>
      <c r="AM753" s="43">
        <v>737</v>
      </c>
      <c r="AN753">
        <v>43.891683687363837</v>
      </c>
      <c r="AO753">
        <v>0.96203262653186261</v>
      </c>
      <c r="AP753">
        <v>0.76165164804243712</v>
      </c>
      <c r="AQ753">
        <v>6.884819360465392</v>
      </c>
      <c r="AR753">
        <v>0.88181943321078415</v>
      </c>
      <c r="AS753">
        <v>3.4978688564594624</v>
      </c>
      <c r="AT753" t="e">
        <v>#DIV/0!</v>
      </c>
      <c r="AU753" t="e">
        <v>#DIV/0!</v>
      </c>
      <c r="AV753"/>
      <c r="AW753"/>
      <c r="FY753" s="211">
        <v>748</v>
      </c>
      <c r="FZ753">
        <v>2.1824747172642152</v>
      </c>
      <c r="GA753">
        <v>2.7423593795196837</v>
      </c>
      <c r="GB753">
        <v>0.40662530265740615</v>
      </c>
      <c r="GC753">
        <v>0.16413569786771062</v>
      </c>
      <c r="GD753">
        <v>9.7935584103359993E-2</v>
      </c>
      <c r="GE753">
        <v>7.7086188903599986E-2</v>
      </c>
      <c r="GF753">
        <v>0.66819523726455643</v>
      </c>
      <c r="GG753">
        <v>0.57908430828062596</v>
      </c>
      <c r="GH753">
        <v>6.8957207506271032E-2</v>
      </c>
      <c r="GI753">
        <v>0.60941638149193467</v>
      </c>
      <c r="GJ753"/>
      <c r="GK753">
        <v>2.1750786764705881</v>
      </c>
      <c r="GL753">
        <v>2.3097271139705882</v>
      </c>
      <c r="GM753">
        <v>0.66703124999999996</v>
      </c>
      <c r="GN753">
        <v>0.48155156249999997</v>
      </c>
      <c r="GO753">
        <v>0.37282499999999996</v>
      </c>
      <c r="GP753">
        <v>0.14474999999999999</v>
      </c>
      <c r="GQ753">
        <v>0.80556521739130427</v>
      </c>
      <c r="GR753">
        <v>0.80556521739130427</v>
      </c>
      <c r="GS753">
        <v>7.2881610576923078E-2</v>
      </c>
      <c r="GT753">
        <v>0.81867635088776303</v>
      </c>
      <c r="GU753"/>
      <c r="GV753"/>
      <c r="GW753"/>
      <c r="GX753"/>
      <c r="GY753"/>
      <c r="GZ753"/>
      <c r="HA753"/>
      <c r="HB753"/>
      <c r="HC753"/>
    </row>
    <row r="754" spans="1:211" s="7" customFormat="1">
      <c r="A754" s="4"/>
      <c r="B754" s="4"/>
      <c r="C754" s="105"/>
      <c r="D754" s="4"/>
      <c r="E754" s="4"/>
      <c r="F754" s="28"/>
      <c r="G754" s="28"/>
      <c r="H754" s="83"/>
      <c r="I754" s="4"/>
      <c r="J754" s="4"/>
      <c r="K754" s="4"/>
      <c r="L754" s="4"/>
      <c r="M754" s="4"/>
      <c r="N754" s="28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81"/>
      <c r="AG754" s="81"/>
      <c r="AH754" s="81"/>
      <c r="AI754" s="4"/>
      <c r="AJ754" s="81"/>
      <c r="AK754" s="81"/>
      <c r="AL754" s="81"/>
      <c r="AM754" s="43">
        <v>738</v>
      </c>
      <c r="AN754">
        <v>35.800274669975764</v>
      </c>
      <c r="AO754">
        <v>0.84442019409440194</v>
      </c>
      <c r="AP754">
        <v>10.222781951478778</v>
      </c>
      <c r="AQ754">
        <v>5.4499542060380861</v>
      </c>
      <c r="AR754">
        <v>0.78072973283057523</v>
      </c>
      <c r="AS754">
        <v>3.1117395334216469</v>
      </c>
      <c r="AT754" t="e">
        <v>#DIV/0!</v>
      </c>
      <c r="AU754" t="e">
        <v>#DIV/0!</v>
      </c>
      <c r="AV754"/>
      <c r="AW754"/>
      <c r="FY754" s="211">
        <v>749</v>
      </c>
      <c r="FZ754">
        <v>1.2747500985676277</v>
      </c>
      <c r="GA754">
        <v>1.9574986705279778</v>
      </c>
      <c r="GB754">
        <v>1.3568617069814108</v>
      </c>
      <c r="GC754">
        <v>0.86754256001438401</v>
      </c>
      <c r="GD754">
        <v>0.26865826192446424</v>
      </c>
      <c r="GE754">
        <v>0.11460862901025</v>
      </c>
      <c r="GF754">
        <v>1.0284381956596096</v>
      </c>
      <c r="GG754">
        <v>0.856333105575251</v>
      </c>
      <c r="GH754">
        <v>0</v>
      </c>
      <c r="GI754">
        <v>0.85761882103834264</v>
      </c>
      <c r="GJ754"/>
      <c r="GK754">
        <v>1.270276838235294</v>
      </c>
      <c r="GL754">
        <v>1.6486049632352939</v>
      </c>
      <c r="GM754">
        <v>2.2280440340909089</v>
      </c>
      <c r="GN754">
        <v>2.5460105519480516</v>
      </c>
      <c r="GO754">
        <v>1.0221696428571425</v>
      </c>
      <c r="GP754">
        <v>0.21534374999999997</v>
      </c>
      <c r="GQ754">
        <v>1.2406589673913042</v>
      </c>
      <c r="GR754">
        <v>1.1918152173913041</v>
      </c>
      <c r="GS754">
        <v>0</v>
      </c>
      <c r="GT754">
        <v>1.15222989651493</v>
      </c>
      <c r="GU754"/>
      <c r="GV754"/>
      <c r="GW754"/>
      <c r="GX754"/>
      <c r="GY754"/>
      <c r="GZ754"/>
      <c r="HA754"/>
      <c r="HB754"/>
      <c r="HC754"/>
    </row>
    <row r="755" spans="1:211" s="7" customFormat="1">
      <c r="A755" s="4"/>
      <c r="B755" s="4"/>
      <c r="C755" s="105"/>
      <c r="D755" s="4"/>
      <c r="E755" s="4"/>
      <c r="F755" s="28"/>
      <c r="G755" s="28"/>
      <c r="H755" s="83"/>
      <c r="I755" s="4"/>
      <c r="J755" s="4"/>
      <c r="K755" s="4"/>
      <c r="L755" s="4"/>
      <c r="M755" s="4"/>
      <c r="N755" s="28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81"/>
      <c r="AG755" s="81"/>
      <c r="AH755" s="81"/>
      <c r="AI755" s="4"/>
      <c r="AJ755" s="81"/>
      <c r="AK755" s="81"/>
      <c r="AL755" s="81"/>
      <c r="AM755" s="43">
        <v>739</v>
      </c>
      <c r="AN755">
        <v>40.391231021394063</v>
      </c>
      <c r="AO755">
        <v>1.0727413078416148</v>
      </c>
      <c r="AP755">
        <v>12.723969602037478</v>
      </c>
      <c r="AQ755">
        <v>7.0037286052989121</v>
      </c>
      <c r="AR755">
        <v>0.98970800712874074</v>
      </c>
      <c r="AS755">
        <v>3.4709258476018165</v>
      </c>
      <c r="AT755" t="e">
        <v>#DIV/0!</v>
      </c>
      <c r="AU755" t="e">
        <v>#DIV/0!</v>
      </c>
      <c r="AV755"/>
      <c r="AW755"/>
      <c r="FY755" s="211">
        <v>750</v>
      </c>
      <c r="FZ755">
        <v>1.8355309577757593</v>
      </c>
      <c r="GA755">
        <v>2.3113806649979325</v>
      </c>
      <c r="GB755">
        <v>0.70255751018128587</v>
      </c>
      <c r="GC755">
        <v>1.1277368262691043</v>
      </c>
      <c r="GD755">
        <v>0.61196767190504997</v>
      </c>
      <c r="GE755">
        <v>9.6357736129499983E-3</v>
      </c>
      <c r="GF755">
        <v>0.82805716775636906</v>
      </c>
      <c r="GG755">
        <v>0.76829061536607923</v>
      </c>
      <c r="GH755">
        <v>8.9508689212329934E-2</v>
      </c>
      <c r="GI755">
        <v>0.95337522337951741</v>
      </c>
      <c r="GJ755"/>
      <c r="GK755">
        <v>1.8291693014705879</v>
      </c>
      <c r="GL755">
        <v>1.9468724264705881</v>
      </c>
      <c r="GM755">
        <v>1.1534985795454542</v>
      </c>
      <c r="GN755">
        <v>3.3045454545454538</v>
      </c>
      <c r="GO755">
        <v>2.3266874999999998</v>
      </c>
      <c r="GP755">
        <v>1.8093749999999999E-2</v>
      </c>
      <c r="GQ755">
        <v>0.99869021739130437</v>
      </c>
      <c r="GR755">
        <v>1.0690548007246377</v>
      </c>
      <c r="GS755">
        <v>9.465845352564102E-2</v>
      </c>
      <c r="GT755">
        <v>1.2805408103865976</v>
      </c>
      <c r="GU755"/>
      <c r="GV755"/>
      <c r="GW755"/>
      <c r="GX755"/>
      <c r="GY755"/>
      <c r="GZ755"/>
      <c r="HA755"/>
      <c r="HB755"/>
      <c r="HC755"/>
    </row>
    <row r="756" spans="1:211" s="7" customFormat="1">
      <c r="A756" s="4"/>
      <c r="B756" s="4"/>
      <c r="C756" s="105"/>
      <c r="D756" s="4"/>
      <c r="E756" s="4"/>
      <c r="F756" s="28"/>
      <c r="G756" s="28"/>
      <c r="H756" s="83"/>
      <c r="I756" s="4"/>
      <c r="J756" s="4"/>
      <c r="K756" s="4"/>
      <c r="L756" s="4"/>
      <c r="M756" s="4"/>
      <c r="N756" s="28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81"/>
      <c r="AG756" s="81"/>
      <c r="AH756" s="81"/>
      <c r="AI756" s="4"/>
      <c r="AJ756" s="81"/>
      <c r="AK756" s="81"/>
      <c r="AL756" s="81"/>
      <c r="AM756" s="43">
        <v>740</v>
      </c>
      <c r="AN756">
        <v>58.316676786377869</v>
      </c>
      <c r="AO756">
        <v>1.2445200988563065</v>
      </c>
      <c r="AP756">
        <v>9.5390499838197691</v>
      </c>
      <c r="AQ756">
        <v>6.8710575562027589</v>
      </c>
      <c r="AR756">
        <v>1.1444569189777614</v>
      </c>
      <c r="AS756">
        <v>5.0370226794742541</v>
      </c>
      <c r="AT756" t="e">
        <v>#DIV/0!</v>
      </c>
      <c r="AU756" t="e">
        <v>#DIV/0!</v>
      </c>
      <c r="AV756"/>
      <c r="AW756"/>
      <c r="FY756" s="211">
        <v>751</v>
      </c>
      <c r="FZ756">
        <v>1.3110890175221965</v>
      </c>
      <c r="GA756">
        <v>1.682363795326753</v>
      </c>
      <c r="GB756">
        <v>0.55490856388055865</v>
      </c>
      <c r="GC756">
        <v>0.36947131552698553</v>
      </c>
      <c r="GD756">
        <v>0.1644022266256028</v>
      </c>
      <c r="GE756">
        <v>0.16086191648152498</v>
      </c>
      <c r="GF756">
        <v>0.81368341010771561</v>
      </c>
      <c r="GG756">
        <v>0.8065791669585316</v>
      </c>
      <c r="GH756">
        <v>0.17901737842465987</v>
      </c>
      <c r="GI756">
        <v>0.59761268560421055</v>
      </c>
      <c r="GJ756"/>
      <c r="GK756">
        <v>1.3064643382352941</v>
      </c>
      <c r="GL756">
        <v>1.416854963235294</v>
      </c>
      <c r="GM756">
        <v>0.91066406250000009</v>
      </c>
      <c r="GN756">
        <v>1.0835604910714285</v>
      </c>
      <c r="GO756">
        <v>0.62533392857142855</v>
      </c>
      <c r="GP756">
        <v>0.30220312500000002</v>
      </c>
      <c r="GQ756">
        <v>0.98215760869565205</v>
      </c>
      <c r="GR756">
        <v>1.1228867753623186</v>
      </c>
      <c r="GS756">
        <v>0.18931690705128204</v>
      </c>
      <c r="GT756">
        <v>0.80278736901073122</v>
      </c>
      <c r="GU756"/>
      <c r="GV756"/>
      <c r="GW756"/>
      <c r="GX756"/>
      <c r="GY756"/>
      <c r="GZ756"/>
      <c r="HA756"/>
      <c r="HB756"/>
      <c r="HC756"/>
    </row>
    <row r="757" spans="1:211" s="7" customFormat="1">
      <c r="A757" s="4"/>
      <c r="B757" s="4"/>
      <c r="C757" s="105"/>
      <c r="D757" s="4"/>
      <c r="E757" s="4"/>
      <c r="F757" s="28"/>
      <c r="G757" s="28"/>
      <c r="H757" s="83"/>
      <c r="I757" s="4"/>
      <c r="J757" s="4"/>
      <c r="K757" s="4"/>
      <c r="L757" s="4"/>
      <c r="M757" s="4"/>
      <c r="N757" s="28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81"/>
      <c r="AG757" s="81"/>
      <c r="AH757" s="81"/>
      <c r="AI757" s="4"/>
      <c r="AJ757" s="81"/>
      <c r="AK757" s="81"/>
      <c r="AL757" s="81"/>
      <c r="AM757" s="43">
        <v>741</v>
      </c>
      <c r="AN757">
        <v>38.600073741174285</v>
      </c>
      <c r="AO757">
        <v>0.89564457896112037</v>
      </c>
      <c r="AP757">
        <v>5.0412504010096226</v>
      </c>
      <c r="AQ757">
        <v>5.4649956400721793</v>
      </c>
      <c r="AR757">
        <v>0.82729735543668281</v>
      </c>
      <c r="AS757">
        <v>3.1988741210132958</v>
      </c>
      <c r="AT757" t="e">
        <v>#DIV/0!</v>
      </c>
      <c r="AU757" t="e">
        <v>#DIV/0!</v>
      </c>
      <c r="AV757"/>
      <c r="AW757"/>
      <c r="FY757" s="211">
        <v>752</v>
      </c>
      <c r="FZ757">
        <v>0.97734787583181748</v>
      </c>
      <c r="GA757">
        <v>1.6276665548590963</v>
      </c>
      <c r="GB757">
        <v>0.52802769658115034</v>
      </c>
      <c r="GC757">
        <v>0.14468806933845249</v>
      </c>
      <c r="GD757">
        <v>7.412721774585751E-2</v>
      </c>
      <c r="GE757">
        <v>3.0832901432324998E-2</v>
      </c>
      <c r="GF757">
        <v>0.20038102790324064</v>
      </c>
      <c r="GG757">
        <v>0.13862439864731252</v>
      </c>
      <c r="GH757">
        <v>0</v>
      </c>
      <c r="GI757">
        <v>0.35200416371709031</v>
      </c>
      <c r="GJ757"/>
      <c r="GK757">
        <v>0.97394999999999987</v>
      </c>
      <c r="GL757">
        <v>1.3708054687499998</v>
      </c>
      <c r="GM757">
        <v>0.86638671875000006</v>
      </c>
      <c r="GN757">
        <v>0.42411874999999999</v>
      </c>
      <c r="GO757">
        <v>0.28238437500000002</v>
      </c>
      <c r="GP757">
        <v>5.7890625000000001E-2</v>
      </c>
      <c r="GQ757">
        <v>0.24196875000000001</v>
      </c>
      <c r="GR757">
        <v>0.19312499999999999</v>
      </c>
      <c r="GS757">
        <v>0</v>
      </c>
      <c r="GT757">
        <v>0.47293796874999999</v>
      </c>
      <c r="GU757"/>
      <c r="GV757"/>
      <c r="GW757"/>
      <c r="GX757"/>
      <c r="GY757"/>
      <c r="GZ757"/>
      <c r="HA757"/>
      <c r="HB757"/>
      <c r="HC757"/>
    </row>
    <row r="758" spans="1:211" s="7" customFormat="1">
      <c r="A758" s="4"/>
      <c r="B758" s="4"/>
      <c r="C758" s="105"/>
      <c r="D758" s="4"/>
      <c r="E758" s="4"/>
      <c r="F758" s="28"/>
      <c r="G758" s="28"/>
      <c r="H758" s="83"/>
      <c r="I758" s="4"/>
      <c r="J758" s="4"/>
      <c r="K758" s="4"/>
      <c r="L758" s="4"/>
      <c r="M758" s="4"/>
      <c r="N758" s="28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81"/>
      <c r="AG758" s="81"/>
      <c r="AH758" s="81"/>
      <c r="AI758" s="4"/>
      <c r="AJ758" s="81"/>
      <c r="AK758" s="81"/>
      <c r="AL758" s="81"/>
      <c r="AM758" s="43">
        <v>742</v>
      </c>
      <c r="AN758">
        <v>51.316655753252618</v>
      </c>
      <c r="AO758">
        <v>1.0142528076059438</v>
      </c>
      <c r="AP758">
        <v>1.1793770327189037</v>
      </c>
      <c r="AQ758">
        <v>6.5441977282932129</v>
      </c>
      <c r="AR758">
        <v>0.9431622442396691</v>
      </c>
      <c r="AS758">
        <v>4.2659659797808915</v>
      </c>
      <c r="AT758">
        <v>0.83521210123962408</v>
      </c>
      <c r="AU758">
        <v>-4.7027837401012101E-2</v>
      </c>
      <c r="AV758"/>
      <c r="AW758"/>
      <c r="FY758" s="211">
        <v>753</v>
      </c>
      <c r="FZ758">
        <v>0.5032155015724753</v>
      </c>
      <c r="GA758">
        <v>0.77491721342770636</v>
      </c>
      <c r="GB758">
        <v>0.31939153581075463</v>
      </c>
      <c r="GC758">
        <v>0.29525724665898556</v>
      </c>
      <c r="GD758">
        <v>0.18464610572788501</v>
      </c>
      <c r="GE758">
        <v>7.4193882690599997E-2</v>
      </c>
      <c r="GF758">
        <v>0.5344786465355188</v>
      </c>
      <c r="GG758">
        <v>0.4281665527876255</v>
      </c>
      <c r="GH758">
        <v>2.2985735835423678E-2</v>
      </c>
      <c r="GI758">
        <v>0.35688304398950943</v>
      </c>
      <c r="GJ758"/>
      <c r="GK758">
        <v>0.50140312499999995</v>
      </c>
      <c r="GL758">
        <v>0.65250468750000001</v>
      </c>
      <c r="GM758">
        <v>0.52410937499999999</v>
      </c>
      <c r="GN758">
        <v>0.86498906249999996</v>
      </c>
      <c r="GO758">
        <v>0.70198125</v>
      </c>
      <c r="GP758">
        <v>0.13931250000000001</v>
      </c>
      <c r="GQ758">
        <v>0.64475135869565214</v>
      </c>
      <c r="GR758">
        <v>0.59590760869565207</v>
      </c>
      <c r="GS758">
        <v>2.4293870192307693E-2</v>
      </c>
      <c r="GT758">
        <v>0.47930779577759192</v>
      </c>
      <c r="GU758"/>
      <c r="GV758"/>
      <c r="GW758"/>
      <c r="GX758"/>
      <c r="GY758"/>
      <c r="GZ758"/>
      <c r="HA758"/>
      <c r="HB758"/>
      <c r="HC758"/>
    </row>
    <row r="759" spans="1:211" s="7" customFormat="1">
      <c r="A759" s="4"/>
      <c r="B759" s="4"/>
      <c r="C759" s="105"/>
      <c r="D759" s="4"/>
      <c r="E759" s="4"/>
      <c r="F759" s="28"/>
      <c r="G759" s="28"/>
      <c r="H759" s="83"/>
      <c r="I759" s="4"/>
      <c r="J759" s="4"/>
      <c r="K759" s="4"/>
      <c r="L759" s="4"/>
      <c r="M759" s="4"/>
      <c r="N759" s="28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81"/>
      <c r="AG759" s="81"/>
      <c r="AH759" s="81"/>
      <c r="AI759" s="4"/>
      <c r="AJ759" s="81"/>
      <c r="AK759" s="81"/>
      <c r="AL759" s="81"/>
      <c r="AM759" s="43">
        <v>743</v>
      </c>
      <c r="AN759">
        <v>38.098402393287301</v>
      </c>
      <c r="AO759">
        <v>0.79468602558949997</v>
      </c>
      <c r="AP759">
        <v>0.67702421497261001</v>
      </c>
      <c r="AQ759">
        <v>5.6467750472947298</v>
      </c>
      <c r="AR759">
        <v>0.75000548873520967</v>
      </c>
      <c r="AS759">
        <v>3.2719419334022439</v>
      </c>
      <c r="AT759" t="e">
        <v>#DIV/0!</v>
      </c>
      <c r="AU759" t="e">
        <v>#DIV/0!</v>
      </c>
      <c r="AV759"/>
      <c r="AW759"/>
      <c r="FY759" s="211">
        <v>754</v>
      </c>
      <c r="FZ759">
        <v>2.5452702051089799</v>
      </c>
      <c r="GA759">
        <v>3.3070017946730887</v>
      </c>
      <c r="GB759">
        <v>0.96396240459130311</v>
      </c>
      <c r="GC759">
        <v>0.69386779146066013</v>
      </c>
      <c r="GD759">
        <v>0.25256021480307</v>
      </c>
      <c r="GE759">
        <v>5.2996754871225009E-2</v>
      </c>
      <c r="GF759">
        <v>1.0022928558968347</v>
      </c>
      <c r="GG759">
        <v>0.91920837085907969</v>
      </c>
      <c r="GH759">
        <v>8.9508689212329934E-2</v>
      </c>
      <c r="GI759">
        <v>0.95023632306059425</v>
      </c>
      <c r="GJ759"/>
      <c r="GK759">
        <v>2.5366742647058822</v>
      </c>
      <c r="GL759">
        <v>2.7853695772058824</v>
      </c>
      <c r="GM759">
        <v>1.5821079545454544</v>
      </c>
      <c r="GN759">
        <v>2.0354220170454544</v>
      </c>
      <c r="GO759">
        <v>0.96089999999999987</v>
      </c>
      <c r="GP759">
        <v>9.951562500000001E-2</v>
      </c>
      <c r="GQ759">
        <v>1.2083478260869565</v>
      </c>
      <c r="GR759">
        <v>1.2787124094202897</v>
      </c>
      <c r="GS759">
        <v>9.465845352564102E-2</v>
      </c>
      <c r="GT759">
        <v>1.2765376997727869</v>
      </c>
      <c r="GU759"/>
      <c r="GV759"/>
      <c r="GW759"/>
      <c r="GX759"/>
      <c r="GY759"/>
      <c r="GZ759"/>
      <c r="HA759"/>
      <c r="HB759"/>
      <c r="HC759"/>
    </row>
    <row r="760" spans="1:211" s="7" customFormat="1">
      <c r="A760" s="4"/>
      <c r="B760" s="4"/>
      <c r="C760" s="105"/>
      <c r="D760" s="4"/>
      <c r="E760" s="4"/>
      <c r="F760" s="28"/>
      <c r="G760" s="28"/>
      <c r="H760" s="83"/>
      <c r="I760" s="4"/>
      <c r="J760" s="4"/>
      <c r="K760" s="4"/>
      <c r="L760" s="4"/>
      <c r="M760" s="4"/>
      <c r="N760" s="28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81"/>
      <c r="AG760" s="81"/>
      <c r="AH760" s="81"/>
      <c r="AI760" s="4"/>
      <c r="AJ760" s="81"/>
      <c r="AK760" s="81"/>
      <c r="AL760" s="81"/>
      <c r="AM760" s="43">
        <v>744</v>
      </c>
      <c r="AN760">
        <v>40.853102050928143</v>
      </c>
      <c r="AO760">
        <v>0.88901405570154479</v>
      </c>
      <c r="AP760">
        <v>0.89600103148805399</v>
      </c>
      <c r="AQ760">
        <v>5.7487875745958039</v>
      </c>
      <c r="AR760">
        <v>0.83938040247343226</v>
      </c>
      <c r="AS760">
        <v>3.7384169119064654</v>
      </c>
      <c r="AT760">
        <v>0.66537875926999146</v>
      </c>
      <c r="AU760">
        <v>0.27296790355707806</v>
      </c>
      <c r="AV760"/>
      <c r="AW760"/>
      <c r="FY760" s="211">
        <v>755</v>
      </c>
      <c r="FZ760">
        <v>1.7174126821641418</v>
      </c>
      <c r="GA760">
        <v>2.1398991815940889</v>
      </c>
      <c r="GB760">
        <v>0.30697107104073867</v>
      </c>
      <c r="GC760">
        <v>0.22026508561534314</v>
      </c>
      <c r="GD760">
        <v>0.10783276200972</v>
      </c>
      <c r="GE760">
        <v>9.6357736129499983E-3</v>
      </c>
      <c r="GF760">
        <v>0</v>
      </c>
      <c r="GG760">
        <v>0.10116381687628125</v>
      </c>
      <c r="GH760">
        <v>0.17901737842465987</v>
      </c>
      <c r="GI760">
        <v>0.41909725391546998</v>
      </c>
      <c r="GJ760"/>
      <c r="GK760">
        <v>1.711691176470588</v>
      </c>
      <c r="GL760">
        <v>1.8025935202205883</v>
      </c>
      <c r="GM760">
        <v>0.50375390625000005</v>
      </c>
      <c r="GN760">
        <v>0.64634531250000005</v>
      </c>
      <c r="GO760">
        <v>0.41096250000000001</v>
      </c>
      <c r="GP760">
        <v>1.8093749999999999E-2</v>
      </c>
      <c r="GQ760">
        <v>0</v>
      </c>
      <c r="GR760">
        <v>0.14072916666666666</v>
      </c>
      <c r="GS760">
        <v>0.18931690705128204</v>
      </c>
      <c r="GT760">
        <v>0.56314489795437406</v>
      </c>
      <c r="GU760"/>
      <c r="GV760"/>
      <c r="GW760"/>
      <c r="GX760"/>
      <c r="GY760"/>
      <c r="GZ760"/>
      <c r="HA760"/>
      <c r="HB760"/>
      <c r="HC760"/>
    </row>
    <row r="761" spans="1:211" s="7" customFormat="1">
      <c r="A761" s="4"/>
      <c r="B761" s="4"/>
      <c r="C761" s="105"/>
      <c r="D761" s="4"/>
      <c r="E761" s="4"/>
      <c r="F761" s="28"/>
      <c r="G761" s="28"/>
      <c r="H761" s="83"/>
      <c r="I761" s="4"/>
      <c r="J761" s="4"/>
      <c r="K761" s="4"/>
      <c r="L761" s="4"/>
      <c r="M761" s="4"/>
      <c r="N761" s="28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81"/>
      <c r="AG761" s="81"/>
      <c r="AH761" s="81"/>
      <c r="AI761" s="4"/>
      <c r="AJ761" s="81"/>
      <c r="AK761" s="81"/>
      <c r="AL761" s="81"/>
      <c r="AM761" s="43">
        <v>745</v>
      </c>
      <c r="AN761">
        <v>52.428638763197583</v>
      </c>
      <c r="AO761">
        <v>1.2404941063348416</v>
      </c>
      <c r="AP761">
        <v>15.684791855168324</v>
      </c>
      <c r="AQ761">
        <v>7.493615362291318</v>
      </c>
      <c r="AR761">
        <v>1.1299304485037021</v>
      </c>
      <c r="AS761">
        <v>4.1676055177952129</v>
      </c>
      <c r="AT761" t="e">
        <v>#DIV/0!</v>
      </c>
      <c r="AU761" t="e">
        <v>#DIV/0!</v>
      </c>
      <c r="AV761"/>
      <c r="AW761"/>
      <c r="FY761" s="211">
        <v>756</v>
      </c>
      <c r="FZ761">
        <v>0.91500919149677085</v>
      </c>
      <c r="GA761">
        <v>1.3985488475447418</v>
      </c>
      <c r="GB761">
        <v>1.5462800255652045</v>
      </c>
      <c r="GC761">
        <v>0.86652949545161162</v>
      </c>
      <c r="GD761">
        <v>0.13735442687759677</v>
      </c>
      <c r="GE761">
        <v>0.13382624751052499</v>
      </c>
      <c r="GF761">
        <v>0.66819523726455643</v>
      </c>
      <c r="GG761">
        <v>0.57908430828062596</v>
      </c>
      <c r="GH761">
        <v>2.2985735835423678E-2</v>
      </c>
      <c r="GI761">
        <v>0.7149887469134355</v>
      </c>
      <c r="GJ761"/>
      <c r="GK761">
        <v>0.91190808823529401</v>
      </c>
      <c r="GL761">
        <v>1.178017463235294</v>
      </c>
      <c r="GM761">
        <v>2.538794034090909</v>
      </c>
      <c r="GN761">
        <v>2.5438793019480519</v>
      </c>
      <c r="GO761">
        <v>0.52277276785714277</v>
      </c>
      <c r="GP761">
        <v>0.25157812499999999</v>
      </c>
      <c r="GQ761">
        <v>0.80556521739130427</v>
      </c>
      <c r="GR761">
        <v>0.80556521739130427</v>
      </c>
      <c r="GS761">
        <v>2.4293870192307693E-2</v>
      </c>
      <c r="GT761">
        <v>0.96066679555339141</v>
      </c>
      <c r="GU761"/>
      <c r="GV761"/>
      <c r="GW761"/>
      <c r="GX761"/>
      <c r="GY761"/>
      <c r="GZ761"/>
      <c r="HA761"/>
      <c r="HB761"/>
      <c r="HC761"/>
    </row>
    <row r="762" spans="1:211" s="7" customFormat="1">
      <c r="A762" s="4"/>
      <c r="B762" s="4"/>
      <c r="C762" s="105"/>
      <c r="D762" s="4"/>
      <c r="E762" s="4"/>
      <c r="F762" s="28"/>
      <c r="G762" s="28"/>
      <c r="H762" s="83"/>
      <c r="I762" s="4"/>
      <c r="J762" s="4"/>
      <c r="K762" s="4"/>
      <c r="L762" s="4"/>
      <c r="M762" s="4"/>
      <c r="N762" s="28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81"/>
      <c r="AG762" s="81"/>
      <c r="AH762" s="81"/>
      <c r="AI762" s="4"/>
      <c r="AJ762" s="81"/>
      <c r="AK762" s="81"/>
      <c r="AL762" s="81"/>
      <c r="AM762" s="43">
        <v>746</v>
      </c>
      <c r="AN762">
        <v>53.195539960921188</v>
      </c>
      <c r="AO762">
        <v>1.1697520042343235</v>
      </c>
      <c r="AP762">
        <v>0.93992008021273299</v>
      </c>
      <c r="AQ762">
        <v>8.7945632202248909</v>
      </c>
      <c r="AR762">
        <v>1.0881473093563776</v>
      </c>
      <c r="AS762">
        <v>4.2794012731456643</v>
      </c>
      <c r="AT762">
        <v>0.86687955445888465</v>
      </c>
      <c r="AU762">
        <v>-7.0479868061185391E-3</v>
      </c>
      <c r="AV762"/>
      <c r="AW762"/>
      <c r="FY762" s="211">
        <v>757</v>
      </c>
      <c r="FZ762">
        <v>0.29797433856767247</v>
      </c>
      <c r="GA762">
        <v>0.81537073184981801</v>
      </c>
      <c r="GB762">
        <v>1.4454936543795716</v>
      </c>
      <c r="GC762">
        <v>1.1578348384276833</v>
      </c>
      <c r="GD762">
        <v>0.42569273845738603</v>
      </c>
      <c r="GE762">
        <v>8.8593614384399985E-2</v>
      </c>
      <c r="GF762">
        <v>0.15986193049181252</v>
      </c>
      <c r="GG762">
        <v>0.29037012396173439</v>
      </c>
      <c r="GH762">
        <v>0.24554033180156609</v>
      </c>
      <c r="GI762">
        <v>0.70594622173927035</v>
      </c>
      <c r="GJ762"/>
      <c r="GK762">
        <v>0.29677500000000001</v>
      </c>
      <c r="GL762">
        <v>0.68631796875000006</v>
      </c>
      <c r="GM762">
        <v>2.3732041903409087</v>
      </c>
      <c r="GN762">
        <v>3.3962286323051947</v>
      </c>
      <c r="GO762">
        <v>1.6189111607142856</v>
      </c>
      <c r="GP762">
        <v>0.16649999999999998</v>
      </c>
      <c r="GQ762">
        <v>0.19312499999999999</v>
      </c>
      <c r="GR762">
        <v>0.40421875000000002</v>
      </c>
      <c r="GS762">
        <v>0.25968149038461541</v>
      </c>
      <c r="GT762">
        <v>0.94833936828796195</v>
      </c>
      <c r="GU762"/>
      <c r="GV762"/>
      <c r="GW762"/>
      <c r="GX762"/>
      <c r="GY762"/>
      <c r="GZ762"/>
      <c r="HA762"/>
      <c r="HB762"/>
      <c r="HC762"/>
    </row>
    <row r="763" spans="1:211" s="7" customFormat="1">
      <c r="A763" s="4"/>
      <c r="B763" s="4"/>
      <c r="C763" s="105"/>
      <c r="D763" s="4"/>
      <c r="E763" s="4"/>
      <c r="F763" s="28"/>
      <c r="G763" s="28"/>
      <c r="H763" s="83"/>
      <c r="I763" s="4"/>
      <c r="J763" s="4"/>
      <c r="K763" s="4"/>
      <c r="L763" s="4"/>
      <c r="M763" s="4"/>
      <c r="N763" s="28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81"/>
      <c r="AG763" s="81"/>
      <c r="AH763" s="81"/>
      <c r="AI763" s="4"/>
      <c r="AJ763" s="81"/>
      <c r="AK763" s="81"/>
      <c r="AL763" s="81"/>
      <c r="AM763" s="43">
        <v>747</v>
      </c>
      <c r="AN763">
        <v>25.355329161579164</v>
      </c>
      <c r="AO763">
        <v>0.54012211561355306</v>
      </c>
      <c r="AP763">
        <v>0.55429670622584837</v>
      </c>
      <c r="AQ763">
        <v>3.5501525060607886</v>
      </c>
      <c r="AR763">
        <v>0.49685079784798536</v>
      </c>
      <c r="AS763">
        <v>2.2578512204368653</v>
      </c>
      <c r="AT763">
        <v>0.40850313844347991</v>
      </c>
      <c r="AU763">
        <v>-3.0700647173499206E-2</v>
      </c>
      <c r="AV763"/>
      <c r="AW763"/>
      <c r="FY763" s="211">
        <v>758</v>
      </c>
      <c r="FZ763">
        <v>0.17441242040255625</v>
      </c>
      <c r="GA763">
        <v>0.64816957002309594</v>
      </c>
      <c r="GB763">
        <v>0.83344441827205529</v>
      </c>
      <c r="GC763">
        <v>0.82223532609233585</v>
      </c>
      <c r="GD763">
        <v>0.37432073987315356</v>
      </c>
      <c r="GE763">
        <v>4.8178868064749992E-3</v>
      </c>
      <c r="GF763">
        <v>0.82805716775636906</v>
      </c>
      <c r="GG763">
        <v>0.76829061536607923</v>
      </c>
      <c r="GH763">
        <v>8.9508689212329934E-2</v>
      </c>
      <c r="GI763">
        <v>0.60435500917425888</v>
      </c>
      <c r="GJ763"/>
      <c r="GK763">
        <v>0.17381249999999998</v>
      </c>
      <c r="GL763">
        <v>0.54569531250000003</v>
      </c>
      <c r="GM763">
        <v>1.3678345170454544</v>
      </c>
      <c r="GN763">
        <v>2.4103378652597405</v>
      </c>
      <c r="GO763">
        <v>1.4234330357142857</v>
      </c>
      <c r="GP763">
        <v>9.0468749999999994E-3</v>
      </c>
      <c r="GQ763">
        <v>0.99869021739130437</v>
      </c>
      <c r="GR763">
        <v>1.0690548007246377</v>
      </c>
      <c r="GS763">
        <v>9.465845352564102E-2</v>
      </c>
      <c r="GT763">
        <v>0.81168574473533717</v>
      </c>
      <c r="GU763"/>
      <c r="GV763"/>
      <c r="GW763"/>
      <c r="GX763"/>
      <c r="GY763"/>
      <c r="GZ763"/>
      <c r="HA763"/>
      <c r="HB763"/>
      <c r="HC763"/>
    </row>
    <row r="764" spans="1:211" s="7" customFormat="1">
      <c r="A764" s="4"/>
      <c r="B764" s="4"/>
      <c r="C764" s="105"/>
      <c r="D764" s="4"/>
      <c r="E764" s="4"/>
      <c r="F764" s="28"/>
      <c r="G764" s="28"/>
      <c r="H764" s="83"/>
      <c r="I764" s="4"/>
      <c r="J764" s="4"/>
      <c r="K764" s="4"/>
      <c r="L764" s="4"/>
      <c r="M764" s="4"/>
      <c r="N764" s="28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81"/>
      <c r="AG764" s="81"/>
      <c r="AH764" s="81"/>
      <c r="AI764" s="4"/>
      <c r="AJ764" s="81"/>
      <c r="AK764" s="81"/>
      <c r="AL764" s="81"/>
      <c r="AM764" s="43">
        <v>748</v>
      </c>
      <c r="AN764">
        <v>39.89473804293177</v>
      </c>
      <c r="AO764">
        <v>0.86536519991884708</v>
      </c>
      <c r="AP764">
        <v>8.708268862552929</v>
      </c>
      <c r="AQ764">
        <v>7.5962700048593623</v>
      </c>
      <c r="AR764">
        <v>0.81867635088776314</v>
      </c>
      <c r="AS764">
        <v>3.066010390270431</v>
      </c>
      <c r="AT764" t="e">
        <v>#DIV/0!</v>
      </c>
      <c r="AU764" t="e">
        <v>#DIV/0!</v>
      </c>
      <c r="AV764"/>
      <c r="AW764"/>
      <c r="FY764" s="211">
        <v>759</v>
      </c>
      <c r="FZ764">
        <v>0.43234981275127493</v>
      </c>
      <c r="GA764">
        <v>0.66685411817444873</v>
      </c>
      <c r="GB764">
        <v>0.9760139475897972</v>
      </c>
      <c r="GC764">
        <v>0.89672560857282457</v>
      </c>
      <c r="GD764">
        <v>0.36064156765344746</v>
      </c>
      <c r="GE764">
        <v>0.1020805491843</v>
      </c>
      <c r="GF764">
        <v>0.57499774394694703</v>
      </c>
      <c r="GG764">
        <v>0.47874846122576609</v>
      </c>
      <c r="GH764">
        <v>8.9508689212329934E-2</v>
      </c>
      <c r="GI764">
        <v>0.62428618338119535</v>
      </c>
      <c r="GJ764"/>
      <c r="GK764">
        <v>0.4308749999999999</v>
      </c>
      <c r="GL764">
        <v>0.56162109374999991</v>
      </c>
      <c r="GM764">
        <v>1.6024009232954546</v>
      </c>
      <c r="GN764">
        <v>2.6294954545454545</v>
      </c>
      <c r="GO764">
        <v>1.3714968750000001</v>
      </c>
      <c r="GP764">
        <v>0.1918125</v>
      </c>
      <c r="GQ764">
        <v>0.69359510869565222</v>
      </c>
      <c r="GR764">
        <v>0.66627219202898535</v>
      </c>
      <c r="GS764">
        <v>9.465845352564102E-2</v>
      </c>
      <c r="GT764">
        <v>0.83860527210334945</v>
      </c>
      <c r="GU764"/>
      <c r="GV764"/>
      <c r="GW764"/>
      <c r="GX764"/>
      <c r="GY764"/>
      <c r="GZ764"/>
      <c r="HA764"/>
      <c r="HB764"/>
      <c r="HC764"/>
    </row>
    <row r="765" spans="1:211" s="7" customFormat="1">
      <c r="A765" s="4"/>
      <c r="B765" s="4"/>
      <c r="C765" s="105"/>
      <c r="D765" s="4"/>
      <c r="E765" s="4"/>
      <c r="F765" s="28"/>
      <c r="G765" s="28"/>
      <c r="H765" s="83"/>
      <c r="I765" s="4"/>
      <c r="J765" s="4"/>
      <c r="K765" s="4"/>
      <c r="L765" s="4"/>
      <c r="M765" s="4"/>
      <c r="N765" s="28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81"/>
      <c r="AG765" s="81"/>
      <c r="AH765" s="81"/>
      <c r="AI765" s="4"/>
      <c r="AJ765" s="81"/>
      <c r="AK765" s="81"/>
      <c r="AL765" s="81"/>
      <c r="AM765" s="43">
        <v>749</v>
      </c>
      <c r="AN765">
        <v>51.440229316364231</v>
      </c>
      <c r="AO765">
        <v>1.251515386166423</v>
      </c>
      <c r="AP765">
        <v>1.4497179251135897</v>
      </c>
      <c r="AQ765">
        <v>8.5823100492993163</v>
      </c>
      <c r="AR765">
        <v>1.15222989651493</v>
      </c>
      <c r="AS765">
        <v>4.1787596555063322</v>
      </c>
      <c r="AT765" t="e">
        <v>#DIV/0!</v>
      </c>
      <c r="AU765" t="e">
        <v>#DIV/0!</v>
      </c>
      <c r="AV765"/>
      <c r="AW765"/>
      <c r="FY765" s="211">
        <v>760</v>
      </c>
      <c r="FZ765">
        <v>1.4818058090902635</v>
      </c>
      <c r="GA765">
        <v>1.9305331221217559</v>
      </c>
      <c r="GB765">
        <v>0.30690444807255235</v>
      </c>
      <c r="GC765">
        <v>0.27659876824729623</v>
      </c>
      <c r="GD765">
        <v>0.22026768844290751</v>
      </c>
      <c r="GE765">
        <v>8.088342136492499E-2</v>
      </c>
      <c r="GF765">
        <v>0.36024295839505316</v>
      </c>
      <c r="GG765">
        <v>0.27724879729462504</v>
      </c>
      <c r="GH765">
        <v>0</v>
      </c>
      <c r="GI765">
        <v>0.48430888396332439</v>
      </c>
      <c r="GJ765"/>
      <c r="GK765">
        <v>1.476733088235294</v>
      </c>
      <c r="GL765">
        <v>1.626006525735294</v>
      </c>
      <c r="GM765">
        <v>0.50357031250000006</v>
      </c>
      <c r="GN765">
        <v>0.80997812499999999</v>
      </c>
      <c r="GO765">
        <v>0.83775937499999997</v>
      </c>
      <c r="GP765">
        <v>0.15201562499999999</v>
      </c>
      <c r="GQ765">
        <v>0.43509375</v>
      </c>
      <c r="GR765">
        <v>0.38624999999999998</v>
      </c>
      <c r="GS765">
        <v>0</v>
      </c>
      <c r="GT765">
        <v>0.65063130514705869</v>
      </c>
      <c r="GU765"/>
      <c r="GV765"/>
      <c r="GW765"/>
      <c r="GX765"/>
      <c r="GY765"/>
      <c r="GZ765"/>
      <c r="HA765"/>
      <c r="HB765"/>
      <c r="HC765"/>
    </row>
    <row r="766" spans="1:211" s="7" customFormat="1">
      <c r="A766" s="4"/>
      <c r="B766" s="4"/>
      <c r="C766" s="105"/>
      <c r="D766" s="4"/>
      <c r="E766" s="4"/>
      <c r="F766" s="28"/>
      <c r="G766" s="28"/>
      <c r="H766" s="83"/>
      <c r="I766" s="4"/>
      <c r="J766" s="4"/>
      <c r="K766" s="4"/>
      <c r="L766" s="4"/>
      <c r="M766" s="4"/>
      <c r="N766" s="28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81"/>
      <c r="AG766" s="81"/>
      <c r="AH766" s="81"/>
      <c r="AI766" s="4"/>
      <c r="AJ766" s="81"/>
      <c r="AK766" s="81"/>
      <c r="AL766" s="81"/>
      <c r="AM766" s="43">
        <v>750</v>
      </c>
      <c r="AN766">
        <v>68.118206703900427</v>
      </c>
      <c r="AO766">
        <v>1.4021811294060265</v>
      </c>
      <c r="AP766">
        <v>10.581751059115604</v>
      </c>
      <c r="AQ766">
        <v>9.2380411004563765</v>
      </c>
      <c r="AR766">
        <v>1.2805408103865974</v>
      </c>
      <c r="AS766">
        <v>5.4802550431275714</v>
      </c>
      <c r="AT766" t="e">
        <v>#DIV/0!</v>
      </c>
      <c r="AU766" t="e">
        <v>#DIV/0!</v>
      </c>
      <c r="AV766"/>
      <c r="AW766"/>
      <c r="FY766" s="211">
        <v>761</v>
      </c>
      <c r="FZ766">
        <v>0.85872641661705673</v>
      </c>
      <c r="GA766">
        <v>1.7908744076469518</v>
      </c>
      <c r="GB766">
        <v>1.1855701427876013</v>
      </c>
      <c r="GC766">
        <v>0.8786004629457338</v>
      </c>
      <c r="GD766">
        <v>0.36865076460094931</v>
      </c>
      <c r="GE766">
        <v>5.2030029251700007E-2</v>
      </c>
      <c r="GF766">
        <v>8.1038194822856249E-2</v>
      </c>
      <c r="GG766">
        <v>0</v>
      </c>
      <c r="GH766">
        <v>0</v>
      </c>
      <c r="GI766">
        <v>0.64040212497215454</v>
      </c>
      <c r="GJ766"/>
      <c r="GK766">
        <v>0.855892463235294</v>
      </c>
      <c r="GL766">
        <v>1.5085096507352942</v>
      </c>
      <c r="GM766">
        <v>1.9461860795454542</v>
      </c>
      <c r="GN766">
        <v>2.5760635349025973</v>
      </c>
      <c r="GO766">
        <v>1.402025892857143</v>
      </c>
      <c r="GP766">
        <v>9.768750000000001E-2</v>
      </c>
      <c r="GQ766">
        <v>9.768750000000001E-2</v>
      </c>
      <c r="GR766">
        <v>0</v>
      </c>
      <c r="GS766">
        <v>0</v>
      </c>
      <c r="GT766">
        <v>0.86035838712757828</v>
      </c>
      <c r="GU766"/>
      <c r="GV766"/>
      <c r="GW766"/>
      <c r="GX766"/>
      <c r="GY766"/>
      <c r="GZ766"/>
      <c r="HA766"/>
      <c r="HB766"/>
      <c r="HC766"/>
    </row>
    <row r="767" spans="1:211" s="7" customFormat="1">
      <c r="A767" s="4"/>
      <c r="B767" s="4"/>
      <c r="C767" s="105"/>
      <c r="D767" s="4"/>
      <c r="E767" s="4"/>
      <c r="F767" s="28"/>
      <c r="G767" s="28"/>
      <c r="H767" s="83"/>
      <c r="I767" s="4"/>
      <c r="J767" s="4"/>
      <c r="K767" s="4"/>
      <c r="L767" s="4"/>
      <c r="M767" s="4"/>
      <c r="N767" s="28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81"/>
      <c r="AG767" s="81"/>
      <c r="AH767" s="81"/>
      <c r="AI767" s="4"/>
      <c r="AJ767" s="81"/>
      <c r="AK767" s="81"/>
      <c r="AL767" s="81"/>
      <c r="AM767" s="43">
        <v>751</v>
      </c>
      <c r="AN767">
        <v>39.343833205430066</v>
      </c>
      <c r="AO767">
        <v>0.87422295687334306</v>
      </c>
      <c r="AP767">
        <v>10.054134621155354</v>
      </c>
      <c r="AQ767">
        <v>6.639989476458739</v>
      </c>
      <c r="AR767">
        <v>0.80278736901073133</v>
      </c>
      <c r="AS767">
        <v>3.2202242538569981</v>
      </c>
      <c r="AT767" t="e">
        <v>#DIV/0!</v>
      </c>
      <c r="AU767" t="e">
        <v>#DIV/0!</v>
      </c>
      <c r="AV767"/>
      <c r="AW767"/>
      <c r="FY767" s="211">
        <v>762</v>
      </c>
      <c r="FZ767">
        <v>0.99017380457296578</v>
      </c>
      <c r="GA767">
        <v>1.4603155711850995</v>
      </c>
      <c r="GB767">
        <v>0.14817403687057382</v>
      </c>
      <c r="GC767">
        <v>0.63153919673769765</v>
      </c>
      <c r="GD767">
        <v>0.50867322969651751</v>
      </c>
      <c r="GE767">
        <v>4.5232633126125001E-2</v>
      </c>
      <c r="GF767">
        <v>0.49395954912409079</v>
      </c>
      <c r="GG767">
        <v>0.4281665527876255</v>
      </c>
      <c r="GH767">
        <v>4.5971471670847357E-2</v>
      </c>
      <c r="GI767">
        <v>0.56718290884800826</v>
      </c>
      <c r="GJ767"/>
      <c r="GK767">
        <v>0.98618437499999989</v>
      </c>
      <c r="GL767">
        <v>1.2291492187499997</v>
      </c>
      <c r="GM767">
        <v>0.24296484374999999</v>
      </c>
      <c r="GN767">
        <v>1.84906875</v>
      </c>
      <c r="GO767">
        <v>1.9341468750000002</v>
      </c>
      <c r="GP767">
        <v>8.5078125000000004E-2</v>
      </c>
      <c r="GQ767">
        <v>0.59590760869565207</v>
      </c>
      <c r="GR767">
        <v>0.59590760869565207</v>
      </c>
      <c r="GS767">
        <v>4.8587740384615385E-2</v>
      </c>
      <c r="GT767">
        <v>0.76155828856605345</v>
      </c>
      <c r="GU767"/>
      <c r="GV767"/>
      <c r="GW767"/>
      <c r="GX767"/>
      <c r="GY767"/>
      <c r="GZ767"/>
      <c r="HA767"/>
      <c r="HB767"/>
      <c r="HC767"/>
    </row>
    <row r="768" spans="1:211" s="7" customFormat="1">
      <c r="A768" s="4"/>
      <c r="B768" s="4"/>
      <c r="C768" s="105"/>
      <c r="D768" s="4"/>
      <c r="E768" s="4"/>
      <c r="F768" s="28"/>
      <c r="G768" s="28"/>
      <c r="H768" s="83"/>
      <c r="I768" s="4"/>
      <c r="J768" s="4"/>
      <c r="K768" s="4"/>
      <c r="L768" s="4"/>
      <c r="M768" s="4"/>
      <c r="N768" s="28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81"/>
      <c r="AG768" s="81"/>
      <c r="AH768" s="81"/>
      <c r="AI768" s="4"/>
      <c r="AJ768" s="81"/>
      <c r="AK768" s="81"/>
      <c r="AL768" s="81"/>
      <c r="AM768" s="43">
        <v>752</v>
      </c>
      <c r="AN768">
        <v>20.347395833333337</v>
      </c>
      <c r="AO768">
        <v>0.48835676562500002</v>
      </c>
      <c r="AP768">
        <v>0.61191031637360915</v>
      </c>
      <c r="AQ768">
        <v>4.0736999060563432</v>
      </c>
      <c r="AR768">
        <v>0.47293796874999983</v>
      </c>
      <c r="AS768">
        <v>1.6473532219529305</v>
      </c>
      <c r="AT768" t="e">
        <v>#DIV/0!</v>
      </c>
      <c r="AU768" t="e">
        <v>#DIV/0!</v>
      </c>
      <c r="AV768"/>
      <c r="AW768"/>
      <c r="FY768" s="211">
        <v>763</v>
      </c>
      <c r="FZ768">
        <v>2.0103662596415148</v>
      </c>
      <c r="GA768">
        <v>2.3162707648640612</v>
      </c>
      <c r="GB768">
        <v>0.67427846233036859</v>
      </c>
      <c r="GC768">
        <v>0.34680590627067953</v>
      </c>
      <c r="GD768">
        <v>5.2753360229774997E-2</v>
      </c>
      <c r="GE768">
        <v>5.486840673907499E-2</v>
      </c>
      <c r="GF768">
        <v>0.15986193049181252</v>
      </c>
      <c r="GG768">
        <v>0.18920630708545313</v>
      </c>
      <c r="GH768">
        <v>6.6522953376906252E-2</v>
      </c>
      <c r="GI768">
        <v>0.5320712827326427</v>
      </c>
      <c r="GJ768"/>
      <c r="GK768">
        <v>2.0033737132352938</v>
      </c>
      <c r="GL768">
        <v>1.950733088235294</v>
      </c>
      <c r="GM768">
        <v>1.1069829545454544</v>
      </c>
      <c r="GN768">
        <v>1.0182954545454543</v>
      </c>
      <c r="GO768">
        <v>0.20090625000000001</v>
      </c>
      <c r="GP768">
        <v>0.103171875</v>
      </c>
      <c r="GQ768">
        <v>0.19312499999999999</v>
      </c>
      <c r="GR768">
        <v>0.26348958333333333</v>
      </c>
      <c r="GS768">
        <v>7.0364583333333328E-2</v>
      </c>
      <c r="GT768">
        <v>0.71495050022281625</v>
      </c>
      <c r="GU768"/>
      <c r="GV768"/>
      <c r="GW768"/>
      <c r="GX768"/>
      <c r="GY768"/>
      <c r="GZ768"/>
      <c r="HA768"/>
      <c r="HB768"/>
      <c r="HC768"/>
    </row>
    <row r="769" spans="1:211" s="7" customFormat="1">
      <c r="A769" s="4"/>
      <c r="B769" s="4"/>
      <c r="C769" s="105"/>
      <c r="D769" s="4"/>
      <c r="E769" s="4"/>
      <c r="F769" s="28"/>
      <c r="G769" s="28"/>
      <c r="H769" s="83"/>
      <c r="I769" s="4"/>
      <c r="J769" s="4"/>
      <c r="K769" s="4"/>
      <c r="L769" s="4"/>
      <c r="M769" s="4"/>
      <c r="N769" s="28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81"/>
      <c r="AG769" s="81"/>
      <c r="AH769" s="81"/>
      <c r="AI769" s="4"/>
      <c r="AJ769" s="81"/>
      <c r="AK769" s="81"/>
      <c r="AL769" s="81"/>
      <c r="AM769" s="43">
        <v>753</v>
      </c>
      <c r="AN769">
        <v>26.033233463396506</v>
      </c>
      <c r="AO769">
        <v>0.51285606333612033</v>
      </c>
      <c r="AP769">
        <v>0.59187927293846754</v>
      </c>
      <c r="AQ769">
        <v>3.494135465036484</v>
      </c>
      <c r="AR769">
        <v>0.47930779577759192</v>
      </c>
      <c r="AS769">
        <v>2.1858038326219278</v>
      </c>
      <c r="AT769" t="e">
        <v>#DIV/0!</v>
      </c>
      <c r="AU769" t="e">
        <v>#DIV/0!</v>
      </c>
      <c r="AV769"/>
      <c r="AW769"/>
      <c r="FY769" s="211">
        <v>764</v>
      </c>
      <c r="FZ769">
        <v>1.3619017671195601</v>
      </c>
      <c r="GA769">
        <v>2.0605851158318753</v>
      </c>
      <c r="GB769">
        <v>0.84225771186422338</v>
      </c>
      <c r="GC769">
        <v>0.56133144475953067</v>
      </c>
      <c r="GD769">
        <v>0.25681717217157424</v>
      </c>
      <c r="GE769">
        <v>0.11942651581672502</v>
      </c>
      <c r="GF769">
        <v>0.70871433467598444</v>
      </c>
      <c r="GG769">
        <v>0.62966621671876666</v>
      </c>
      <c r="GH769">
        <v>8.9508689212329934E-2</v>
      </c>
      <c r="GI769">
        <v>0.69467876232711445</v>
      </c>
      <c r="GJ769"/>
      <c r="GK769">
        <v>1.3572018382352939</v>
      </c>
      <c r="GL769">
        <v>1.7355299632352938</v>
      </c>
      <c r="GM769">
        <v>1.3828735795454543</v>
      </c>
      <c r="GN769">
        <v>1.646493222402597</v>
      </c>
      <c r="GO769">
        <v>0.97686964285714262</v>
      </c>
      <c r="GP769">
        <v>0.22439062500000001</v>
      </c>
      <c r="GQ769">
        <v>0.85440896739130423</v>
      </c>
      <c r="GR769">
        <v>0.87592980072463755</v>
      </c>
      <c r="GS769">
        <v>9.465845352564102E-2</v>
      </c>
      <c r="GT769">
        <v>0.93320249631096719</v>
      </c>
      <c r="GU769"/>
      <c r="GV769"/>
      <c r="GW769"/>
      <c r="GX769"/>
      <c r="GY769"/>
      <c r="GZ769"/>
      <c r="HA769"/>
      <c r="HB769"/>
      <c r="HC769"/>
    </row>
    <row r="770" spans="1:211" s="7" customFormat="1">
      <c r="A770" s="4"/>
      <c r="B770" s="4"/>
      <c r="C770" s="105"/>
      <c r="D770" s="4"/>
      <c r="E770" s="4"/>
      <c r="F770" s="28"/>
      <c r="G770" s="28"/>
      <c r="H770" s="83"/>
      <c r="I770" s="4"/>
      <c r="J770" s="4"/>
      <c r="K770" s="4"/>
      <c r="L770" s="4"/>
      <c r="M770" s="4"/>
      <c r="N770" s="28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81"/>
      <c r="AG770" s="81"/>
      <c r="AH770" s="81"/>
      <c r="AI770" s="4"/>
      <c r="AJ770" s="81"/>
      <c r="AK770" s="81"/>
      <c r="AL770" s="81"/>
      <c r="AM770" s="43">
        <v>754</v>
      </c>
      <c r="AN770">
        <v>61.743593887759481</v>
      </c>
      <c r="AO770">
        <v>1.3858245827308349</v>
      </c>
      <c r="AP770">
        <v>12.681162103633719</v>
      </c>
      <c r="AQ770">
        <v>10.776905404537166</v>
      </c>
      <c r="AR770">
        <v>1.2765376997727866</v>
      </c>
      <c r="AS770">
        <v>5.1294013048976534</v>
      </c>
      <c r="AT770" t="e">
        <v>#DIV/0!</v>
      </c>
      <c r="AU770" t="e">
        <v>#DIV/0!</v>
      </c>
      <c r="AV770"/>
      <c r="AW770"/>
      <c r="FY770" s="211">
        <v>765</v>
      </c>
      <c r="FZ770">
        <v>0.907793550925307</v>
      </c>
      <c r="GA770">
        <v>1.7152322026928886</v>
      </c>
      <c r="GB770">
        <v>1.0684833002177589</v>
      </c>
      <c r="GC770">
        <v>0.65989910632876514</v>
      </c>
      <c r="GD770">
        <v>0.24069219232429925</v>
      </c>
      <c r="GE770">
        <v>0.13393410496177499</v>
      </c>
      <c r="GF770">
        <v>0.9090953625792253</v>
      </c>
      <c r="GG770">
        <v>0.76829061536607923</v>
      </c>
      <c r="GH770">
        <v>8.9508689212329934E-2</v>
      </c>
      <c r="GI770">
        <v>0.70941528945565002</v>
      </c>
      <c r="GJ770"/>
      <c r="GK770">
        <v>0.904670588235294</v>
      </c>
      <c r="GL770">
        <v>1.4444479319852941</v>
      </c>
      <c r="GM770">
        <v>1.7536587357954545</v>
      </c>
      <c r="GN770">
        <v>1.935516659902597</v>
      </c>
      <c r="GO770">
        <v>0.91527589285714273</v>
      </c>
      <c r="GP770">
        <v>0.25148437500000004</v>
      </c>
      <c r="GQ770">
        <v>1.0963777173913045</v>
      </c>
      <c r="GR770">
        <v>1.0690548007246377</v>
      </c>
      <c r="GS770">
        <v>9.465845352564102E-2</v>
      </c>
      <c r="GT770">
        <v>0.95292827756096732</v>
      </c>
      <c r="GU770"/>
      <c r="GV770"/>
      <c r="GW770"/>
      <c r="GX770"/>
      <c r="GY770"/>
      <c r="GZ770"/>
      <c r="HA770"/>
      <c r="HB770"/>
      <c r="HC770"/>
    </row>
    <row r="771" spans="1:211" s="7" customFormat="1">
      <c r="A771" s="4"/>
      <c r="B771" s="4"/>
      <c r="C771" s="105"/>
      <c r="D771" s="4"/>
      <c r="E771" s="4"/>
      <c r="F771" s="28"/>
      <c r="G771" s="28"/>
      <c r="H771" s="83"/>
      <c r="I771" s="4"/>
      <c r="J771" s="4"/>
      <c r="K771" s="4"/>
      <c r="L771" s="4"/>
      <c r="M771" s="4"/>
      <c r="N771" s="28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81"/>
      <c r="AG771" s="81"/>
      <c r="AH771" s="81"/>
      <c r="AI771" s="4"/>
      <c r="AJ771" s="81"/>
      <c r="AK771" s="81"/>
      <c r="AL771" s="81"/>
      <c r="AM771" s="43">
        <v>755</v>
      </c>
      <c r="AN771">
        <v>24.118677989358137</v>
      </c>
      <c r="AO771">
        <v>0.59866311371135006</v>
      </c>
      <c r="AP771">
        <v>1.4282798686783569</v>
      </c>
      <c r="AQ771">
        <v>5.2012950052533924</v>
      </c>
      <c r="AR771">
        <v>0.56314489795437395</v>
      </c>
      <c r="AS771">
        <v>2.0415730400313366</v>
      </c>
      <c r="AT771" t="e">
        <v>#DIV/0!</v>
      </c>
      <c r="AU771" t="e">
        <v>#DIV/0!</v>
      </c>
      <c r="AV771"/>
      <c r="AW771"/>
      <c r="FY771" s="211">
        <v>766</v>
      </c>
      <c r="FZ771">
        <v>1.0149292264723571</v>
      </c>
      <c r="GA771">
        <v>1.4420985931226031</v>
      </c>
      <c r="GB771">
        <v>0.34861463967287454</v>
      </c>
      <c r="GC771">
        <v>0.36485213081306933</v>
      </c>
      <c r="GD771">
        <v>0.29639910426137994</v>
      </c>
      <c r="GE771">
        <v>0.23210956423349996</v>
      </c>
      <c r="GF771">
        <v>0.5344786465355188</v>
      </c>
      <c r="GG771">
        <v>0.4281665527876255</v>
      </c>
      <c r="GH771">
        <v>0</v>
      </c>
      <c r="GI771">
        <v>0.49961872854035128</v>
      </c>
      <c r="GJ771"/>
      <c r="GK771">
        <v>1.0115174632352941</v>
      </c>
      <c r="GL771">
        <v>1.2146385569852942</v>
      </c>
      <c r="GM771">
        <v>0.57183203124999993</v>
      </c>
      <c r="GN771">
        <v>1.0688734374999997</v>
      </c>
      <c r="GO771">
        <v>1.1272875</v>
      </c>
      <c r="GP771">
        <v>0.43612499999999998</v>
      </c>
      <c r="GQ771">
        <v>0.64475135869565214</v>
      </c>
      <c r="GR771">
        <v>0.59590760869565207</v>
      </c>
      <c r="GS771">
        <v>0</v>
      </c>
      <c r="GT771">
        <v>0.67107767063618928</v>
      </c>
      <c r="GU771"/>
      <c r="GV771"/>
      <c r="GW771"/>
      <c r="GX771"/>
      <c r="GY771"/>
      <c r="GZ771"/>
      <c r="HA771"/>
      <c r="HB771"/>
      <c r="HC771"/>
    </row>
    <row r="772" spans="1:211" s="7" customFormat="1">
      <c r="A772" s="4"/>
      <c r="B772" s="4"/>
      <c r="C772" s="105"/>
      <c r="D772" s="4"/>
      <c r="E772" s="4"/>
      <c r="F772" s="28"/>
      <c r="G772" s="28"/>
      <c r="H772" s="83"/>
      <c r="I772" s="4"/>
      <c r="J772" s="4"/>
      <c r="K772" s="4"/>
      <c r="L772" s="4"/>
      <c r="M772" s="4"/>
      <c r="N772" s="28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81"/>
      <c r="AG772" s="81"/>
      <c r="AH772" s="81"/>
      <c r="AI772" s="4"/>
      <c r="AJ772" s="81"/>
      <c r="AK772" s="81"/>
      <c r="AL772" s="81"/>
      <c r="AM772" s="43">
        <v>756</v>
      </c>
      <c r="AN772">
        <v>41.46854128217619</v>
      </c>
      <c r="AO772">
        <v>1.0543040880894998</v>
      </c>
      <c r="AP772">
        <v>18.210425950866352</v>
      </c>
      <c r="AQ772">
        <v>6.982802262740492</v>
      </c>
      <c r="AR772">
        <v>0.96066679555339141</v>
      </c>
      <c r="AS772">
        <v>3.5631994442813473</v>
      </c>
      <c r="AT772" t="e">
        <v>#DIV/0!</v>
      </c>
      <c r="AU772" t="e">
        <v>#DIV/0!</v>
      </c>
      <c r="AV772"/>
      <c r="AW772"/>
      <c r="FY772" s="211">
        <v>767</v>
      </c>
      <c r="FZ772">
        <v>1.7937196151089447</v>
      </c>
      <c r="GA772">
        <v>2.4086135744296313</v>
      </c>
      <c r="GB772">
        <v>1.1136075885451722</v>
      </c>
      <c r="GC772">
        <v>0.59481677436530078</v>
      </c>
      <c r="GD772">
        <v>8.3591999262671787E-2</v>
      </c>
      <c r="GE772">
        <v>5.2030029251700007E-2</v>
      </c>
      <c r="GF772">
        <v>0.24090012531466881</v>
      </c>
      <c r="GG772">
        <v>0.23978821552359375</v>
      </c>
      <c r="GH772">
        <v>0.20200311426008355</v>
      </c>
      <c r="GI772">
        <v>0.660631299402612</v>
      </c>
      <c r="GJ772"/>
      <c r="GK772">
        <v>1.787722426470588</v>
      </c>
      <c r="GL772">
        <v>2.0288591452205882</v>
      </c>
      <c r="GM772">
        <v>1.8280259232954545</v>
      </c>
      <c r="GN772">
        <v>1.7458182224025975</v>
      </c>
      <c r="GO772">
        <v>0.31830401785714285</v>
      </c>
      <c r="GP772">
        <v>9.768750000000001E-2</v>
      </c>
      <c r="GQ772">
        <v>0.29081250000000003</v>
      </c>
      <c r="GR772">
        <v>0.33385416666666667</v>
      </c>
      <c r="GS772">
        <v>0.21361077724358973</v>
      </c>
      <c r="GT772">
        <v>0.88769512897335501</v>
      </c>
      <c r="GU772"/>
      <c r="GV772"/>
      <c r="GW772"/>
      <c r="GX772"/>
      <c r="GY772"/>
      <c r="GZ772"/>
      <c r="HA772"/>
      <c r="HB772"/>
      <c r="HC772"/>
    </row>
    <row r="773" spans="1:211" s="7" customFormat="1">
      <c r="A773" s="4"/>
      <c r="B773" s="4"/>
      <c r="C773" s="105"/>
      <c r="D773" s="4"/>
      <c r="E773" s="4"/>
      <c r="F773" s="28"/>
      <c r="G773" s="28"/>
      <c r="H773" s="83"/>
      <c r="I773" s="4"/>
      <c r="J773" s="4"/>
      <c r="K773" s="4"/>
      <c r="L773" s="4"/>
      <c r="M773" s="4"/>
      <c r="N773" s="28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81"/>
      <c r="AG773" s="81"/>
      <c r="AH773" s="81"/>
      <c r="AI773" s="4"/>
      <c r="AJ773" s="81"/>
      <c r="AK773" s="81"/>
      <c r="AL773" s="81"/>
      <c r="AM773" s="43">
        <v>757</v>
      </c>
      <c r="AN773">
        <v>44.990180479242973</v>
      </c>
      <c r="AO773">
        <v>1.0343301560782967</v>
      </c>
      <c r="AP773">
        <v>3.6848399892231227</v>
      </c>
      <c r="AQ773">
        <v>5.6326785240609141</v>
      </c>
      <c r="AR773">
        <v>0.94833936828796206</v>
      </c>
      <c r="AS773">
        <v>3.8057466480897784</v>
      </c>
      <c r="AT773" t="e">
        <v>#DIV/0!</v>
      </c>
      <c r="AU773" t="e">
        <v>#DIV/0!</v>
      </c>
      <c r="AV773"/>
      <c r="AW773"/>
      <c r="FY773" s="211">
        <v>768</v>
      </c>
      <c r="FZ773">
        <v>1.2747500985676279</v>
      </c>
      <c r="GA773">
        <v>1.7662281641691044</v>
      </c>
      <c r="GB773">
        <v>0.71458303109373977</v>
      </c>
      <c r="GC773">
        <v>0.40018965235765436</v>
      </c>
      <c r="GD773">
        <v>0.14918479031996354</v>
      </c>
      <c r="GE773">
        <v>0.14833383665557504</v>
      </c>
      <c r="GF773">
        <v>0.20038102790324064</v>
      </c>
      <c r="GG773">
        <v>0.18920630708545313</v>
      </c>
      <c r="GH773">
        <v>6.6522953376906252E-2</v>
      </c>
      <c r="GI773">
        <v>0.49468030264889051</v>
      </c>
      <c r="GJ773"/>
      <c r="GK773">
        <v>1.270276838235294</v>
      </c>
      <c r="GL773">
        <v>1.487401838235294</v>
      </c>
      <c r="GM773">
        <v>1.1724765625</v>
      </c>
      <c r="GN773">
        <v>1.1737502232142858</v>
      </c>
      <c r="GO773">
        <v>0.56775803571428562</v>
      </c>
      <c r="GP773">
        <v>0.27867187500000001</v>
      </c>
      <c r="GQ773">
        <v>0.24196875000000001</v>
      </c>
      <c r="GR773">
        <v>0.26348958333333333</v>
      </c>
      <c r="GS773">
        <v>7.0364583333333328E-2</v>
      </c>
      <c r="GT773">
        <v>0.66456895395658266</v>
      </c>
      <c r="GU773"/>
      <c r="GV773"/>
      <c r="GW773"/>
      <c r="GX773"/>
      <c r="GY773"/>
      <c r="GZ773"/>
      <c r="HA773"/>
      <c r="HB773"/>
      <c r="HC773"/>
    </row>
    <row r="774" spans="1:211" s="7" customFormat="1">
      <c r="A774" s="4"/>
      <c r="B774" s="4"/>
      <c r="C774" s="105"/>
      <c r="D774" s="4"/>
      <c r="E774" s="4"/>
      <c r="F774" s="28"/>
      <c r="G774" s="28"/>
      <c r="H774" s="83"/>
      <c r="I774" s="4"/>
      <c r="J774" s="4"/>
      <c r="K774" s="4"/>
      <c r="L774" s="4"/>
      <c r="M774" s="4"/>
      <c r="N774" s="28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81"/>
      <c r="AG774" s="81"/>
      <c r="AH774" s="81"/>
      <c r="AI774" s="4"/>
      <c r="AJ774" s="81"/>
      <c r="AK774" s="81"/>
      <c r="AL774" s="81"/>
      <c r="AM774" s="43">
        <v>758</v>
      </c>
      <c r="AN774">
        <v>43.720380490081574</v>
      </c>
      <c r="AO774">
        <v>0.89042493218964014</v>
      </c>
      <c r="AP774">
        <v>12.345429145358349</v>
      </c>
      <c r="AQ774">
        <v>5.1476118429787086</v>
      </c>
      <c r="AR774">
        <v>0.81168574473533717</v>
      </c>
      <c r="AS774">
        <v>3.644847726254492</v>
      </c>
      <c r="AT774" t="e">
        <v>#DIV/0!</v>
      </c>
      <c r="AU774" t="e">
        <v>#DIV/0!</v>
      </c>
      <c r="AV774"/>
      <c r="AW774"/>
      <c r="FY774" s="211">
        <v>769</v>
      </c>
      <c r="FZ774">
        <v>2.1201761839991407</v>
      </c>
      <c r="GA774">
        <v>2.634165197921031</v>
      </c>
      <c r="GB774">
        <v>0.11316423457125703</v>
      </c>
      <c r="GC774">
        <v>0.25137873244691245</v>
      </c>
      <c r="GD774">
        <v>0.19833600425811423</v>
      </c>
      <c r="GE774">
        <v>6.1665802864649996E-2</v>
      </c>
      <c r="GF774">
        <v>0.57499774394694703</v>
      </c>
      <c r="GG774">
        <v>0.52933036966390667</v>
      </c>
      <c r="GH774">
        <v>0.1330459067538125</v>
      </c>
      <c r="GI774">
        <v>0.57871814709495706</v>
      </c>
      <c r="GJ774"/>
      <c r="GK774">
        <v>2.1131305147058823</v>
      </c>
      <c r="GL774">
        <v>2.2189039522058822</v>
      </c>
      <c r="GM774">
        <v>0.18546093750000001</v>
      </c>
      <c r="GN774">
        <v>0.73613839285714278</v>
      </c>
      <c r="GO774">
        <v>0.75423214285714268</v>
      </c>
      <c r="GP774">
        <v>0.11578125</v>
      </c>
      <c r="GQ774">
        <v>0.69359510869565222</v>
      </c>
      <c r="GR774">
        <v>0.73663677536231864</v>
      </c>
      <c r="GS774">
        <v>0.14072916666666666</v>
      </c>
      <c r="GT774">
        <v>0.77742957408506874</v>
      </c>
      <c r="GU774"/>
      <c r="GV774"/>
      <c r="GW774"/>
      <c r="GX774"/>
      <c r="GY774"/>
      <c r="GZ774"/>
      <c r="HA774"/>
      <c r="HB774"/>
      <c r="HC774"/>
    </row>
    <row r="775" spans="1:211" s="7" customFormat="1">
      <c r="A775" s="4"/>
      <c r="B775" s="4"/>
      <c r="C775" s="105"/>
      <c r="D775" s="4"/>
      <c r="E775" s="4"/>
      <c r="F775" s="28"/>
      <c r="G775" s="28"/>
      <c r="H775" s="83"/>
      <c r="I775" s="4"/>
      <c r="J775" s="4"/>
      <c r="K775" s="4"/>
      <c r="L775" s="4"/>
      <c r="M775" s="4"/>
      <c r="N775" s="28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81"/>
      <c r="AG775" s="81"/>
      <c r="AH775" s="81"/>
      <c r="AI775" s="4"/>
      <c r="AJ775" s="81"/>
      <c r="AK775" s="81"/>
      <c r="AL775" s="81"/>
      <c r="AM775" s="43">
        <v>759</v>
      </c>
      <c r="AN775">
        <v>41.18711077821132</v>
      </c>
      <c r="AO775">
        <v>0.90808328729445376</v>
      </c>
      <c r="AP775">
        <v>1.0714731664757831</v>
      </c>
      <c r="AQ775">
        <v>5.2022066816923322</v>
      </c>
      <c r="AR775">
        <v>0.83860527210334956</v>
      </c>
      <c r="AS775">
        <v>3.3876811204215405</v>
      </c>
      <c r="AT775">
        <v>0.66242229593118707</v>
      </c>
      <c r="AU775">
        <v>5.40374124120266E-2</v>
      </c>
      <c r="AV775"/>
      <c r="AW775"/>
      <c r="FY775" s="211">
        <v>770</v>
      </c>
      <c r="FZ775">
        <v>1.2147980775822762</v>
      </c>
      <c r="GA775">
        <v>1.6555371420781522</v>
      </c>
      <c r="GB775">
        <v>1.0300779809919491</v>
      </c>
      <c r="GC775">
        <v>0.74446793870694949</v>
      </c>
      <c r="GD775">
        <v>0.24497287203152249</v>
      </c>
      <c r="GE775">
        <v>0.14544153044257502</v>
      </c>
      <c r="GF775">
        <v>8.1038194822856249E-2</v>
      </c>
      <c r="GG775">
        <v>0</v>
      </c>
      <c r="GH775">
        <v>2.2985735835423678E-2</v>
      </c>
      <c r="GI775">
        <v>0.58881252836170594</v>
      </c>
      <c r="GJ775"/>
      <c r="GK775">
        <v>1.2105112132352942</v>
      </c>
      <c r="GL775">
        <v>1.3941440257352942</v>
      </c>
      <c r="GM775">
        <v>1.6908345170454544</v>
      </c>
      <c r="GN775">
        <v>2.1838704545454544</v>
      </c>
      <c r="GO775">
        <v>0.93190312499999983</v>
      </c>
      <c r="GP775">
        <v>0.27323437500000003</v>
      </c>
      <c r="GQ775">
        <v>9.768750000000001E-2</v>
      </c>
      <c r="GR775">
        <v>0</v>
      </c>
      <c r="GS775">
        <v>2.4293870192307693E-2</v>
      </c>
      <c r="GT775">
        <v>0.79104604509461118</v>
      </c>
      <c r="GU775"/>
      <c r="GV775"/>
      <c r="GW775"/>
      <c r="GX775"/>
      <c r="GY775"/>
      <c r="GZ775"/>
      <c r="HA775"/>
      <c r="HB775"/>
      <c r="HC775"/>
    </row>
    <row r="776" spans="1:211" s="7" customFormat="1">
      <c r="A776" s="4"/>
      <c r="B776" s="4"/>
      <c r="C776" s="105"/>
      <c r="D776" s="4"/>
      <c r="E776" s="4"/>
      <c r="F776" s="28"/>
      <c r="G776" s="28"/>
      <c r="H776" s="83"/>
      <c r="I776" s="4"/>
      <c r="J776" s="4"/>
      <c r="K776" s="4"/>
      <c r="L776" s="4"/>
      <c r="M776" s="4"/>
      <c r="N776" s="28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81"/>
      <c r="AG776" s="81"/>
      <c r="AH776" s="81"/>
      <c r="AI776" s="4"/>
      <c r="AJ776" s="81"/>
      <c r="AK776" s="81"/>
      <c r="AL776" s="81"/>
      <c r="AM776" s="43">
        <v>760</v>
      </c>
      <c r="AN776">
        <v>30.911785130718954</v>
      </c>
      <c r="AO776">
        <v>0.68780381066176466</v>
      </c>
      <c r="AP776">
        <v>0.70702115382314301</v>
      </c>
      <c r="AQ776">
        <v>5.4187938969927041</v>
      </c>
      <c r="AR776">
        <v>0.65063130514705869</v>
      </c>
      <c r="AS776">
        <v>2.3960849927168346</v>
      </c>
      <c r="AT776" t="e">
        <v>#DIV/0!</v>
      </c>
      <c r="AU776" t="e">
        <v>#DIV/0!</v>
      </c>
      <c r="AV776"/>
      <c r="AW776"/>
      <c r="FY776" s="211">
        <v>771</v>
      </c>
      <c r="FZ776">
        <v>0.66315648976213204</v>
      </c>
      <c r="GA776">
        <v>1.258144772665839</v>
      </c>
      <c r="GB776">
        <v>0.85467817663423939</v>
      </c>
      <c r="GC776">
        <v>0.72396048049904316</v>
      </c>
      <c r="GD776">
        <v>0.36302108627668489</v>
      </c>
      <c r="GE776">
        <v>0.106898435990775</v>
      </c>
      <c r="GF776">
        <v>0.24090012531466881</v>
      </c>
      <c r="GG776">
        <v>0.23978821552359375</v>
      </c>
      <c r="GH776">
        <v>0.15603164258923619</v>
      </c>
      <c r="GI776">
        <v>0.58071325094843385</v>
      </c>
      <c r="GJ776"/>
      <c r="GK776">
        <v>0.66064687499999986</v>
      </c>
      <c r="GL776">
        <v>1.0593304687499998</v>
      </c>
      <c r="GM776">
        <v>1.4032290482954544</v>
      </c>
      <c r="GN776">
        <v>2.1225423295454542</v>
      </c>
      <c r="GO776">
        <v>1.3805437499999997</v>
      </c>
      <c r="GP776">
        <v>0.20085937500000001</v>
      </c>
      <c r="GQ776">
        <v>0.29081250000000003</v>
      </c>
      <c r="GR776">
        <v>0.33385416666666667</v>
      </c>
      <c r="GS776">
        <v>0.16502303685897435</v>
      </c>
      <c r="GT776">
        <v>0.78005104203088571</v>
      </c>
      <c r="GU776"/>
      <c r="GV776"/>
      <c r="GW776"/>
      <c r="GX776"/>
      <c r="GY776"/>
      <c r="GZ776"/>
      <c r="HA776"/>
      <c r="HB776"/>
      <c r="HC776"/>
    </row>
    <row r="777" spans="1:211" s="7" customFormat="1">
      <c r="A777" s="4"/>
      <c r="B777" s="4"/>
      <c r="C777" s="105"/>
      <c r="D777" s="4"/>
      <c r="E777" s="4"/>
      <c r="F777" s="28"/>
      <c r="G777" s="28"/>
      <c r="H777" s="83"/>
      <c r="I777" s="4"/>
      <c r="J777" s="4"/>
      <c r="K777" s="4"/>
      <c r="L777" s="4"/>
      <c r="M777" s="4"/>
      <c r="N777" s="28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81"/>
      <c r="AG777" s="81"/>
      <c r="AH777" s="81"/>
      <c r="AI777" s="4"/>
      <c r="AJ777" s="81"/>
      <c r="AK777" s="81"/>
      <c r="AL777" s="81"/>
      <c r="AM777" s="43">
        <v>761</v>
      </c>
      <c r="AN777">
        <v>39.742191876750702</v>
      </c>
      <c r="AO777">
        <v>0.93444110084033594</v>
      </c>
      <c r="AP777">
        <v>1.3909458847601928</v>
      </c>
      <c r="AQ777">
        <v>5.8558925436450036</v>
      </c>
      <c r="AR777">
        <v>0.86035838712757839</v>
      </c>
      <c r="AS777">
        <v>3.160886424804016</v>
      </c>
      <c r="AT777" t="e">
        <v>#DIV/0!</v>
      </c>
      <c r="AU777" t="e">
        <v>#DIV/0!</v>
      </c>
      <c r="AV777"/>
      <c r="AW777"/>
      <c r="FY777" s="211">
        <v>772</v>
      </c>
      <c r="FZ777">
        <v>0.74305236667262908</v>
      </c>
      <c r="GA777">
        <v>0.78036216369512146</v>
      </c>
      <c r="GB777">
        <v>0.73712542417729443</v>
      </c>
      <c r="GC777">
        <v>0.49059825692931008</v>
      </c>
      <c r="GD777">
        <v>0.13595213528441999</v>
      </c>
      <c r="GE777">
        <v>0.15984126213637501</v>
      </c>
      <c r="GF777">
        <v>0.69434057702733132</v>
      </c>
      <c r="GG777">
        <v>0.56679095143493796</v>
      </c>
      <c r="GH777">
        <v>0</v>
      </c>
      <c r="GI777">
        <v>0.49216144497002479</v>
      </c>
      <c r="GJ777"/>
      <c r="GK777">
        <v>0.74024062499999999</v>
      </c>
      <c r="GL777">
        <v>0.65689687499999994</v>
      </c>
      <c r="GM777">
        <v>1.2102251420454544</v>
      </c>
      <c r="GN777">
        <v>1.4401095170454543</v>
      </c>
      <c r="GO777">
        <v>0.51764999999999994</v>
      </c>
      <c r="GP777">
        <v>0.300421875</v>
      </c>
      <c r="GQ777">
        <v>0.83787635869565202</v>
      </c>
      <c r="GR777">
        <v>0.78903260869565206</v>
      </c>
      <c r="GS777">
        <v>0</v>
      </c>
      <c r="GT777">
        <v>0.66119842514822125</v>
      </c>
      <c r="GU777"/>
      <c r="GV777"/>
      <c r="GW777"/>
      <c r="GX777"/>
      <c r="GY777"/>
      <c r="GZ777"/>
      <c r="HA777"/>
      <c r="HB777"/>
      <c r="HC777"/>
    </row>
    <row r="778" spans="1:211" s="7" customFormat="1">
      <c r="A778" s="4"/>
      <c r="B778" s="4"/>
      <c r="C778" s="105"/>
      <c r="D778" s="4"/>
      <c r="E778" s="4"/>
      <c r="F778" s="28"/>
      <c r="G778" s="28"/>
      <c r="H778" s="83"/>
      <c r="I778" s="4"/>
      <c r="J778" s="4"/>
      <c r="K778" s="4"/>
      <c r="L778" s="4"/>
      <c r="M778" s="4"/>
      <c r="N778" s="28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81"/>
      <c r="AG778" s="81"/>
      <c r="AH778" s="81"/>
      <c r="AI778" s="4"/>
      <c r="AJ778" s="81"/>
      <c r="AK778" s="81"/>
      <c r="AL778" s="81"/>
      <c r="AM778" s="43">
        <v>762</v>
      </c>
      <c r="AN778">
        <v>47.122135706986249</v>
      </c>
      <c r="AO778">
        <v>0.83285534338419731</v>
      </c>
      <c r="AP778">
        <v>34.743963614282556</v>
      </c>
      <c r="AQ778">
        <v>5.3193889546195505</v>
      </c>
      <c r="AR778">
        <v>0.76155828856605345</v>
      </c>
      <c r="AS778">
        <v>4.1174865569246482</v>
      </c>
      <c r="AT778" t="e">
        <v>#DIV/0!</v>
      </c>
      <c r="AU778" t="e">
        <v>#DIV/0!</v>
      </c>
      <c r="AV778"/>
      <c r="AW778"/>
      <c r="FY778" s="211">
        <v>773</v>
      </c>
      <c r="FZ778">
        <v>1.6724928393123275</v>
      </c>
      <c r="GA778">
        <v>2.2969392114281848</v>
      </c>
      <c r="GB778">
        <v>1.4631923063152898</v>
      </c>
      <c r="GC778">
        <v>0.99928613284999335</v>
      </c>
      <c r="GD778">
        <v>0.28626500249437492</v>
      </c>
      <c r="GE778">
        <v>0.15984126213637501</v>
      </c>
      <c r="GF778">
        <v>0.5344786465355188</v>
      </c>
      <c r="GG778">
        <v>0.47874846122576609</v>
      </c>
      <c r="GH778">
        <v>0.11249442504775362</v>
      </c>
      <c r="GI778">
        <v>0.88156465623855362</v>
      </c>
      <c r="GJ778"/>
      <c r="GK778">
        <v>1.6666237132352941</v>
      </c>
      <c r="GL778">
        <v>1.9345612132352943</v>
      </c>
      <c r="GM778">
        <v>2.4023799715909093</v>
      </c>
      <c r="GN778">
        <v>2.9324893465909088</v>
      </c>
      <c r="GO778">
        <v>1.0894687499999998</v>
      </c>
      <c r="GP778">
        <v>0.300421875</v>
      </c>
      <c r="GQ778">
        <v>0.64475135869565214</v>
      </c>
      <c r="GR778">
        <v>0.66627219202898535</v>
      </c>
      <c r="GS778">
        <v>0.11895232371794871</v>
      </c>
      <c r="GT778">
        <v>1.1844352234479607</v>
      </c>
      <c r="GU778"/>
      <c r="GV778"/>
      <c r="GW778"/>
      <c r="GX778"/>
      <c r="GY778"/>
      <c r="GZ778"/>
      <c r="HA778"/>
      <c r="HB778"/>
      <c r="HC778"/>
    </row>
    <row r="779" spans="1:211" s="7" customFormat="1">
      <c r="A779" s="4"/>
      <c r="B779" s="4"/>
      <c r="C779" s="105"/>
      <c r="D779" s="4"/>
      <c r="E779" s="4"/>
      <c r="F779" s="28"/>
      <c r="G779" s="28"/>
      <c r="H779" s="83"/>
      <c r="I779" s="4"/>
      <c r="J779" s="4"/>
      <c r="K779" s="4"/>
      <c r="L779" s="4"/>
      <c r="M779" s="4"/>
      <c r="N779" s="28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81"/>
      <c r="AG779" s="81"/>
      <c r="AH779" s="81"/>
      <c r="AI779" s="4"/>
      <c r="AJ779" s="81"/>
      <c r="AK779" s="81"/>
      <c r="AL779" s="81"/>
      <c r="AM779" s="43">
        <v>763</v>
      </c>
      <c r="AN779">
        <v>30.439447167755993</v>
      </c>
      <c r="AO779">
        <v>0.76253930024509808</v>
      </c>
      <c r="AP779">
        <v>2.544104142529811</v>
      </c>
      <c r="AQ779">
        <v>6.40300563376229</v>
      </c>
      <c r="AR779">
        <v>0.71495050022281648</v>
      </c>
      <c r="AS779">
        <v>2.4840362022533435</v>
      </c>
      <c r="AT779" t="e">
        <v>#DIV/0!</v>
      </c>
      <c r="AU779" t="e">
        <v>#DIV/0!</v>
      </c>
      <c r="AV779"/>
      <c r="AW779"/>
      <c r="FY779" s="211">
        <v>774</v>
      </c>
      <c r="FZ779">
        <v>1.2056989572642602</v>
      </c>
      <c r="GA779">
        <v>1.6447268611610171</v>
      </c>
      <c r="GB779">
        <v>0.72371830201168352</v>
      </c>
      <c r="GC779">
        <v>0.42027999866087323</v>
      </c>
      <c r="GD779">
        <v>0.10918006338471427</v>
      </c>
      <c r="GE779">
        <v>9.2498704296975001E-2</v>
      </c>
      <c r="GF779">
        <v>0.61551684135837503</v>
      </c>
      <c r="GG779">
        <v>0.47874846122576609</v>
      </c>
      <c r="GH779">
        <v>8.9508689212329934E-2</v>
      </c>
      <c r="GI779">
        <v>0.54227738505886125</v>
      </c>
      <c r="GJ779"/>
      <c r="GK779">
        <v>1.2015768382352943</v>
      </c>
      <c r="GL779">
        <v>1.3852096507352942</v>
      </c>
      <c r="GM779">
        <v>1.1881782670454544</v>
      </c>
      <c r="GN779">
        <v>1.2341994724025973</v>
      </c>
      <c r="GO779">
        <v>0.41616964285714281</v>
      </c>
      <c r="GP779">
        <v>0.173671875</v>
      </c>
      <c r="GQ779">
        <v>0.74243885869565207</v>
      </c>
      <c r="GR779">
        <v>0.66627219202898535</v>
      </c>
      <c r="GS779">
        <v>9.465845352564102E-2</v>
      </c>
      <c r="GT779">
        <v>0.7286044120718369</v>
      </c>
      <c r="GU779"/>
      <c r="GV779"/>
      <c r="GW779"/>
      <c r="GX779"/>
      <c r="GY779"/>
      <c r="GZ779"/>
      <c r="HA779"/>
      <c r="HB779"/>
      <c r="HC779"/>
    </row>
    <row r="780" spans="1:211" s="7" customFormat="1">
      <c r="A780" s="4"/>
      <c r="B780" s="4"/>
      <c r="C780" s="105"/>
      <c r="D780" s="4"/>
      <c r="E780" s="4"/>
      <c r="F780" s="28"/>
      <c r="G780" s="28"/>
      <c r="H780" s="83"/>
      <c r="I780" s="4"/>
      <c r="J780" s="4"/>
      <c r="K780" s="4"/>
      <c r="L780" s="4"/>
      <c r="M780" s="4"/>
      <c r="N780" s="28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81"/>
      <c r="AG780" s="81"/>
      <c r="AH780" s="81"/>
      <c r="AI780" s="4"/>
      <c r="AJ780" s="81"/>
      <c r="AK780" s="81"/>
      <c r="AL780" s="81"/>
      <c r="AM780" s="43">
        <v>764</v>
      </c>
      <c r="AN780">
        <v>45.293772763657671</v>
      </c>
      <c r="AO780">
        <v>1.0081558589228332</v>
      </c>
      <c r="AP780">
        <v>0.93915623979168883</v>
      </c>
      <c r="AQ780">
        <v>7.3248877304976858</v>
      </c>
      <c r="AR780">
        <v>0.9332024963109673</v>
      </c>
      <c r="AS780">
        <v>3.6688740677648468</v>
      </c>
      <c r="AT780">
        <v>0.72910789747341731</v>
      </c>
      <c r="AU780">
        <v>9.769752146629275E-2</v>
      </c>
      <c r="AV780"/>
      <c r="AW780"/>
      <c r="FY780" s="211">
        <v>775</v>
      </c>
      <c r="FZ780">
        <v>0.43423329249782711</v>
      </c>
      <c r="GA780">
        <v>0.8938100553291779</v>
      </c>
      <c r="GB780">
        <v>1.738907778019974</v>
      </c>
      <c r="GC780">
        <v>0.97849704389006475</v>
      </c>
      <c r="GD780">
        <v>0.17482784466018852</v>
      </c>
      <c r="GE780">
        <v>0.17424099383017502</v>
      </c>
      <c r="GF780">
        <v>0.98791909824818158</v>
      </c>
      <c r="GG780">
        <v>0.90691501401339158</v>
      </c>
      <c r="GH780">
        <v>0.11249442504775362</v>
      </c>
      <c r="GI780">
        <v>0.78361036665872685</v>
      </c>
      <c r="GJ780"/>
      <c r="GK780">
        <v>0.43257187499999994</v>
      </c>
      <c r="GL780">
        <v>0.7524351562499999</v>
      </c>
      <c r="GM780">
        <v>2.8553746448863633</v>
      </c>
      <c r="GN780">
        <v>2.873441274350649</v>
      </c>
      <c r="GO780">
        <v>0.66553928571428567</v>
      </c>
      <c r="GP780">
        <v>0.32760937500000004</v>
      </c>
      <c r="GQ780">
        <v>1.1918152173913041</v>
      </c>
      <c r="GR780">
        <v>1.2621798007246374</v>
      </c>
      <c r="GS780">
        <v>0.11895232371794871</v>
      </c>
      <c r="GT780">
        <v>1.0528506693419803</v>
      </c>
      <c r="GU780"/>
      <c r="GV780"/>
      <c r="GW780"/>
      <c r="GX780"/>
      <c r="GY780"/>
      <c r="GZ780"/>
      <c r="HA780"/>
      <c r="HB780"/>
      <c r="HC780"/>
    </row>
    <row r="781" spans="1:211" s="7" customFormat="1">
      <c r="A781" s="4"/>
      <c r="B781" s="4"/>
      <c r="C781" s="105"/>
      <c r="D781" s="4"/>
      <c r="E781" s="4"/>
      <c r="F781" s="28"/>
      <c r="G781" s="28"/>
      <c r="H781" s="83"/>
      <c r="I781" s="4"/>
      <c r="J781" s="4"/>
      <c r="K781" s="4"/>
      <c r="L781" s="4"/>
      <c r="M781" s="4"/>
      <c r="N781" s="28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81"/>
      <c r="AG781" s="81"/>
      <c r="AH781" s="81"/>
      <c r="AI781" s="4"/>
      <c r="AJ781" s="81"/>
      <c r="AK781" s="81"/>
      <c r="AL781" s="81"/>
      <c r="AM781" s="43">
        <v>765</v>
      </c>
      <c r="AN781">
        <v>47.83109915254655</v>
      </c>
      <c r="AO781">
        <v>1.0418073432978334</v>
      </c>
      <c r="AP781">
        <v>1.0072333231219674</v>
      </c>
      <c r="AQ781">
        <v>7.2023444140640791</v>
      </c>
      <c r="AR781">
        <v>0.95292827756096721</v>
      </c>
      <c r="AS781">
        <v>4.1172724343187062</v>
      </c>
      <c r="AT781">
        <v>0.76427763722840492</v>
      </c>
      <c r="AU781">
        <v>-3.2942016658615618E-2</v>
      </c>
      <c r="AV781"/>
      <c r="AW781"/>
      <c r="FY781" s="211">
        <v>776</v>
      </c>
      <c r="FZ781">
        <v>0.26526211621887374</v>
      </c>
      <c r="GA781">
        <v>1.0023509641793575</v>
      </c>
      <c r="GB781">
        <v>1.7835278981372471</v>
      </c>
      <c r="GC781">
        <v>1.2629788256905652</v>
      </c>
      <c r="GD781">
        <v>0.37906811013961605</v>
      </c>
      <c r="GE781">
        <v>9.7262662377824993E-2</v>
      </c>
      <c r="GF781">
        <v>0.41513581345513451</v>
      </c>
      <c r="GG781">
        <v>0.34012406257845362</v>
      </c>
      <c r="GH781">
        <v>8.9508689212329934E-2</v>
      </c>
      <c r="GI781">
        <v>0.77846120663221763</v>
      </c>
      <c r="GJ781"/>
      <c r="GK781">
        <v>0.26426250000000001</v>
      </c>
      <c r="GL781">
        <v>0.84388359374999999</v>
      </c>
      <c r="GM781">
        <v>2.9276963778409089</v>
      </c>
      <c r="GN781">
        <v>3.7045708198051948</v>
      </c>
      <c r="GO781">
        <v>1.4415736607142855</v>
      </c>
      <c r="GP781">
        <v>0.18276562499999999</v>
      </c>
      <c r="GQ781">
        <v>0.50047010869565223</v>
      </c>
      <c r="GR781">
        <v>0.47314719202898542</v>
      </c>
      <c r="GS781">
        <v>9.465845352564102E-2</v>
      </c>
      <c r="GT781">
        <v>1.0457322201552977</v>
      </c>
      <c r="GU781"/>
      <c r="GV781"/>
      <c r="GW781"/>
      <c r="GX781"/>
      <c r="GY781"/>
      <c r="GZ781"/>
      <c r="HA781"/>
      <c r="HB781"/>
      <c r="HC781"/>
    </row>
    <row r="782" spans="1:211" s="7" customFormat="1">
      <c r="A782" s="4"/>
      <c r="B782" s="4"/>
      <c r="C782" s="105"/>
      <c r="D782" s="4"/>
      <c r="E782" s="4"/>
      <c r="F782" s="28"/>
      <c r="G782" s="28"/>
      <c r="H782" s="83"/>
      <c r="I782" s="4"/>
      <c r="J782" s="4"/>
      <c r="K782" s="4"/>
      <c r="L782" s="4"/>
      <c r="M782" s="4"/>
      <c r="N782" s="28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81"/>
      <c r="AG782" s="81"/>
      <c r="AH782" s="81"/>
      <c r="AI782" s="4"/>
      <c r="AJ782" s="81"/>
      <c r="AK782" s="81"/>
      <c r="AL782" s="81"/>
      <c r="AM782" s="43">
        <v>766</v>
      </c>
      <c r="AN782">
        <v>35.368269128303496</v>
      </c>
      <c r="AO782">
        <v>0.73420106269980812</v>
      </c>
      <c r="AP782">
        <v>0.42345290453926471</v>
      </c>
      <c r="AQ782">
        <v>5.1612671864392796</v>
      </c>
      <c r="AR782">
        <v>0.67107767063618917</v>
      </c>
      <c r="AS782">
        <v>2.9026784696847017</v>
      </c>
      <c r="AT782" t="e">
        <v>#DIV/0!</v>
      </c>
      <c r="AU782" t="e">
        <v>#DIV/0!</v>
      </c>
      <c r="AV782"/>
      <c r="AW782"/>
      <c r="FY782" s="211">
        <v>777</v>
      </c>
      <c r="FZ782">
        <v>0.56135297503999393</v>
      </c>
      <c r="GA782">
        <v>0.99794169989682635</v>
      </c>
      <c r="GB782">
        <v>2.0343784187181058</v>
      </c>
      <c r="GC782">
        <v>1.1397631322206867</v>
      </c>
      <c r="GD782">
        <v>0.13388882555435463</v>
      </c>
      <c r="GE782">
        <v>8.088342136492499E-2</v>
      </c>
      <c r="GF782">
        <v>1.2026738838000754</v>
      </c>
      <c r="GG782">
        <v>1.0072508610682518</v>
      </c>
      <c r="GH782">
        <v>0</v>
      </c>
      <c r="GI782">
        <v>0.87220018175721525</v>
      </c>
      <c r="GJ782"/>
      <c r="GK782">
        <v>0.55934062499999992</v>
      </c>
      <c r="GL782">
        <v>0.84032109375000008</v>
      </c>
      <c r="GM782">
        <v>3.3402808948863631</v>
      </c>
      <c r="GN782">
        <v>3.3458352475649349</v>
      </c>
      <c r="GO782">
        <v>0.50923794642857145</v>
      </c>
      <c r="GP782">
        <v>0.15201562499999999</v>
      </c>
      <c r="GQ782">
        <v>1.4503165760869565</v>
      </c>
      <c r="GR782">
        <v>1.4014728260869567</v>
      </c>
      <c r="GS782">
        <v>0</v>
      </c>
      <c r="GT782">
        <v>1.1718352084803785</v>
      </c>
      <c r="GU782"/>
      <c r="GV782"/>
      <c r="GW782"/>
      <c r="GX782"/>
      <c r="GY782"/>
      <c r="GZ782"/>
      <c r="HA782"/>
      <c r="HB782"/>
      <c r="HC782"/>
    </row>
    <row r="783" spans="1:211" s="7" customFormat="1">
      <c r="A783" s="4"/>
      <c r="B783" s="4"/>
      <c r="C783" s="105"/>
      <c r="D783" s="4"/>
      <c r="E783" s="4"/>
      <c r="F783" s="28"/>
      <c r="G783" s="28"/>
      <c r="H783" s="83"/>
      <c r="I783" s="4"/>
      <c r="J783" s="4"/>
      <c r="K783" s="4"/>
      <c r="L783" s="4"/>
      <c r="M783" s="4"/>
      <c r="N783" s="28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81"/>
      <c r="AG783" s="81"/>
      <c r="AH783" s="81"/>
      <c r="AI783" s="4"/>
      <c r="AJ783" s="81"/>
      <c r="AK783" s="81"/>
      <c r="AL783" s="81"/>
      <c r="AM783" s="43">
        <v>767</v>
      </c>
      <c r="AN783">
        <v>37.162118923424067</v>
      </c>
      <c r="AO783">
        <v>0.95323898081299829</v>
      </c>
      <c r="AP783">
        <v>1.6464330297807441</v>
      </c>
      <c r="AQ783">
        <v>7.3897023354643778</v>
      </c>
      <c r="AR783">
        <v>0.88769512897335501</v>
      </c>
      <c r="AS783">
        <v>3.1123130856774934</v>
      </c>
      <c r="AT783" t="e">
        <v>#DIV/0!</v>
      </c>
      <c r="AU783" t="e">
        <v>#DIV/0!</v>
      </c>
      <c r="AV783"/>
      <c r="AW783"/>
      <c r="FY783" s="211">
        <v>778</v>
      </c>
      <c r="FZ783">
        <v>2.2963630008495581</v>
      </c>
      <c r="GA783">
        <v>2.8565132609223371</v>
      </c>
      <c r="GB783">
        <v>1.011435273045028</v>
      </c>
      <c r="GC783">
        <v>0.60080632415212454</v>
      </c>
      <c r="GD783">
        <v>9.0716618434699275E-2</v>
      </c>
      <c r="GE783">
        <v>7.1247647751975007E-2</v>
      </c>
      <c r="GF783">
        <v>0.37461671604370633</v>
      </c>
      <c r="GG783">
        <v>0.28954215414031298</v>
      </c>
      <c r="GH783">
        <v>6.8957207506271032E-2</v>
      </c>
      <c r="GI783">
        <v>0.71729306602763288</v>
      </c>
      <c r="GJ783"/>
      <c r="GK783">
        <v>2.2886773897058821</v>
      </c>
      <c r="GL783">
        <v>2.4063805147058823</v>
      </c>
      <c r="GM783">
        <v>1.6604517045454545</v>
      </c>
      <c r="GN783">
        <v>1.7632900974025973</v>
      </c>
      <c r="GO783">
        <v>0.34546339285714278</v>
      </c>
      <c r="GP783">
        <v>0.133921875</v>
      </c>
      <c r="GQ783">
        <v>0.45162635869565215</v>
      </c>
      <c r="GR783">
        <v>0.40278260869565213</v>
      </c>
      <c r="GS783">
        <v>7.2881610576923078E-2</v>
      </c>
      <c r="GT783">
        <v>0.96382009127621093</v>
      </c>
      <c r="GU783"/>
      <c r="GV783"/>
      <c r="GW783"/>
      <c r="GX783"/>
      <c r="GY783"/>
      <c r="GZ783"/>
      <c r="HA783"/>
      <c r="HB783"/>
      <c r="HC783"/>
    </row>
    <row r="784" spans="1:211" s="7" customFormat="1">
      <c r="A784" s="4"/>
      <c r="B784" s="4"/>
      <c r="C784" s="105"/>
      <c r="D784" s="4"/>
      <c r="E784" s="4"/>
      <c r="F784" s="28"/>
      <c r="G784" s="28"/>
      <c r="H784" s="83"/>
      <c r="I784" s="4"/>
      <c r="J784" s="4"/>
      <c r="K784" s="4"/>
      <c r="L784" s="4"/>
      <c r="M784" s="4"/>
      <c r="N784" s="28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81"/>
      <c r="AG784" s="81"/>
      <c r="AH784" s="81"/>
      <c r="AI784" s="4"/>
      <c r="AJ784" s="81"/>
      <c r="AK784" s="81"/>
      <c r="AL784" s="81"/>
      <c r="AM784" s="43">
        <v>768</v>
      </c>
      <c r="AN784">
        <v>31.166580104263936</v>
      </c>
      <c r="AO784">
        <v>0.71907272435224079</v>
      </c>
      <c r="AP784">
        <v>0.3767451302188517</v>
      </c>
      <c r="AQ784">
        <v>5.4040601641781558</v>
      </c>
      <c r="AR784">
        <v>0.66456895395658255</v>
      </c>
      <c r="AS784">
        <v>2.4973814087667661</v>
      </c>
      <c r="AT784" t="e">
        <v>#DIV/0!</v>
      </c>
      <c r="AU784" t="e">
        <v>#DIV/0!</v>
      </c>
      <c r="AV784"/>
      <c r="AW784"/>
      <c r="FY784" s="211">
        <v>779</v>
      </c>
      <c r="FZ784">
        <v>1.056711787980424</v>
      </c>
      <c r="GA784">
        <v>1.9230371439623417</v>
      </c>
      <c r="GB784">
        <v>1.1817205013208023</v>
      </c>
      <c r="GC784">
        <v>0.69497698972423883</v>
      </c>
      <c r="GD784">
        <v>0.26770909238670532</v>
      </c>
      <c r="GE784">
        <v>0.18596413421347502</v>
      </c>
      <c r="GF784">
        <v>0.32193832013752499</v>
      </c>
      <c r="GG784">
        <v>0.13862439864731252</v>
      </c>
      <c r="GH784">
        <v>6.8957207506271032E-2</v>
      </c>
      <c r="GI784">
        <v>0.66577769593699132</v>
      </c>
      <c r="GJ784"/>
      <c r="GK784">
        <v>1.0531893382352939</v>
      </c>
      <c r="GL784">
        <v>1.6197674632352941</v>
      </c>
      <c r="GM784">
        <v>1.9398345170454543</v>
      </c>
      <c r="GN784">
        <v>2.0380778206168828</v>
      </c>
      <c r="GO784">
        <v>1.0178370535714285</v>
      </c>
      <c r="GP784">
        <v>0.34917187500000002</v>
      </c>
      <c r="GQ784">
        <v>0.38850000000000001</v>
      </c>
      <c r="GR784">
        <v>0.19312499999999999</v>
      </c>
      <c r="GS784">
        <v>7.2881610576923078E-2</v>
      </c>
      <c r="GT784">
        <v>0.89444850388582009</v>
      </c>
      <c r="GU784"/>
      <c r="GV784"/>
      <c r="GW784"/>
      <c r="GX784"/>
      <c r="GY784"/>
      <c r="GZ784"/>
      <c r="HA784"/>
      <c r="HB784"/>
      <c r="HC784"/>
    </row>
    <row r="785" spans="1:211" s="7" customFormat="1">
      <c r="A785" s="4"/>
      <c r="B785" s="4"/>
      <c r="C785" s="105"/>
      <c r="D785" s="4"/>
      <c r="E785" s="4"/>
      <c r="F785" s="28"/>
      <c r="G785" s="28"/>
      <c r="H785" s="83"/>
      <c r="I785" s="4"/>
      <c r="J785" s="4"/>
      <c r="K785" s="4"/>
      <c r="L785" s="4"/>
      <c r="M785" s="4"/>
      <c r="N785" s="28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81"/>
      <c r="AG785" s="81"/>
      <c r="AH785" s="81"/>
      <c r="AI785" s="4"/>
      <c r="AJ785" s="81"/>
      <c r="AK785" s="81"/>
      <c r="AL785" s="81"/>
      <c r="AM785" s="43">
        <v>769</v>
      </c>
      <c r="AN785">
        <v>39.047882709847222</v>
      </c>
      <c r="AO785">
        <v>0.84720378149357578</v>
      </c>
      <c r="AP785">
        <v>7.3500036554058594</v>
      </c>
      <c r="AQ785">
        <v>7.1949783235207292</v>
      </c>
      <c r="AR785">
        <v>0.77742957408506885</v>
      </c>
      <c r="AS785">
        <v>3.0116028286888716</v>
      </c>
      <c r="AT785" t="e">
        <v>#DIV/0!</v>
      </c>
      <c r="AU785" t="e">
        <v>#DIV/0!</v>
      </c>
      <c r="AV785"/>
      <c r="AW785"/>
      <c r="FY785" s="211">
        <v>780</v>
      </c>
      <c r="FZ785">
        <v>2.3472446826756412</v>
      </c>
      <c r="GA785">
        <v>3.3187477978796438</v>
      </c>
      <c r="GB785">
        <v>1.3315122661698842</v>
      </c>
      <c r="GC785">
        <v>0.69006119141618405</v>
      </c>
      <c r="GD785">
        <v>8.8244634653807108E-2</v>
      </c>
      <c r="GE785">
        <v>5.2030029251700007E-2</v>
      </c>
      <c r="GF785">
        <v>0.73485967443875966</v>
      </c>
      <c r="GG785">
        <v>0.66795476831121925</v>
      </c>
      <c r="GH785">
        <v>0.1330459067538125</v>
      </c>
      <c r="GI785">
        <v>0.87648058662357287</v>
      </c>
      <c r="GJ785"/>
      <c r="GK785">
        <v>2.339283639705882</v>
      </c>
      <c r="GL785">
        <v>2.7954711397058825</v>
      </c>
      <c r="GM785">
        <v>2.1863721590909089</v>
      </c>
      <c r="GN785">
        <v>2.02583198051948</v>
      </c>
      <c r="GO785">
        <v>0.33549107142857137</v>
      </c>
      <c r="GP785">
        <v>9.768750000000001E-2</v>
      </c>
      <c r="GQ785">
        <v>0.88672010869565221</v>
      </c>
      <c r="GR785">
        <v>0.92976177536231885</v>
      </c>
      <c r="GS785">
        <v>0.14072916666666666</v>
      </c>
      <c r="GT785">
        <v>1.1777192291175362</v>
      </c>
      <c r="GU785"/>
      <c r="GV785"/>
      <c r="GW785"/>
      <c r="GX785"/>
      <c r="GY785"/>
      <c r="GZ785"/>
      <c r="HA785"/>
      <c r="HB785"/>
      <c r="HC785"/>
    </row>
    <row r="786" spans="1:211" s="7" customFormat="1">
      <c r="A786" s="4"/>
      <c r="B786" s="4"/>
      <c r="C786" s="105"/>
      <c r="D786" s="4"/>
      <c r="E786" s="4"/>
      <c r="F786" s="28"/>
      <c r="G786" s="28"/>
      <c r="H786" s="83"/>
      <c r="I786" s="4"/>
      <c r="J786" s="4"/>
      <c r="K786" s="4"/>
      <c r="L786" s="4"/>
      <c r="M786" s="4"/>
      <c r="N786" s="28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81"/>
      <c r="AG786" s="81"/>
      <c r="AH786" s="81"/>
      <c r="AI786" s="4"/>
      <c r="AJ786" s="81"/>
      <c r="AK786" s="81"/>
      <c r="AL786" s="81"/>
      <c r="AM786" s="43">
        <v>770</v>
      </c>
      <c r="AN786">
        <v>36.981763763197584</v>
      </c>
      <c r="AO786">
        <v>0.85975251258484153</v>
      </c>
      <c r="AP786">
        <v>1.1182479959470257</v>
      </c>
      <c r="AQ786">
        <v>5.7281320008534111</v>
      </c>
      <c r="AR786">
        <v>0.79104604509461129</v>
      </c>
      <c r="AS786">
        <v>3.0333735663774322</v>
      </c>
      <c r="AT786" t="e">
        <v>#DIV/0!</v>
      </c>
      <c r="AU786" t="e">
        <v>#DIV/0!</v>
      </c>
      <c r="AV786"/>
      <c r="AW786"/>
      <c r="FY786" s="211">
        <v>781</v>
      </c>
      <c r="FZ786">
        <v>2.8123468688456867</v>
      </c>
      <c r="GA786">
        <v>3.5519853222424338</v>
      </c>
      <c r="GB786">
        <v>0.30690444807255235</v>
      </c>
      <c r="GC786">
        <v>0.10841802753926374</v>
      </c>
      <c r="GD786">
        <v>6.6023674301722499E-2</v>
      </c>
      <c r="GE786">
        <v>5.6847916058175005E-2</v>
      </c>
      <c r="GF786">
        <v>0.74923343208741267</v>
      </c>
      <c r="GG786">
        <v>0.62966621671876666</v>
      </c>
      <c r="GH786">
        <v>6.6522953376906252E-2</v>
      </c>
      <c r="GI786">
        <v>0.67460890403640139</v>
      </c>
      <c r="GJ786"/>
      <c r="GK786">
        <v>2.8027648897058821</v>
      </c>
      <c r="GL786">
        <v>2.9918820772058821</v>
      </c>
      <c r="GM786">
        <v>0.50357031250000006</v>
      </c>
      <c r="GN786">
        <v>0.31799687499999996</v>
      </c>
      <c r="GO786">
        <v>0.25165312499999998</v>
      </c>
      <c r="GP786">
        <v>0.10673437500000001</v>
      </c>
      <c r="GQ786">
        <v>0.90325271739130431</v>
      </c>
      <c r="GR786">
        <v>0.87592980072463755</v>
      </c>
      <c r="GS786">
        <v>7.0364583333333328E-2</v>
      </c>
      <c r="GT786">
        <v>0.90632112558610389</v>
      </c>
      <c r="GU786"/>
      <c r="GV786"/>
      <c r="GW786"/>
      <c r="GX786"/>
      <c r="GY786"/>
      <c r="GZ786"/>
      <c r="HA786"/>
      <c r="HB786"/>
      <c r="HC786"/>
    </row>
    <row r="787" spans="1:211" s="7" customFormat="1">
      <c r="A787" s="4"/>
      <c r="B787" s="4"/>
      <c r="C787" s="105"/>
      <c r="D787" s="4"/>
      <c r="E787" s="4"/>
      <c r="F787" s="28"/>
      <c r="G787" s="28"/>
      <c r="H787" s="83"/>
      <c r="I787" s="4"/>
      <c r="J787" s="4"/>
      <c r="K787" s="4"/>
      <c r="L787" s="4"/>
      <c r="M787" s="4"/>
      <c r="N787" s="28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81"/>
      <c r="AG787" s="81"/>
      <c r="AH787" s="81"/>
      <c r="AI787" s="4"/>
      <c r="AJ787" s="81"/>
      <c r="AK787" s="81"/>
      <c r="AL787" s="81"/>
      <c r="AM787" s="43">
        <v>771</v>
      </c>
      <c r="AN787">
        <v>38.545615206552711</v>
      </c>
      <c r="AO787">
        <v>0.83968925921474347</v>
      </c>
      <c r="AP787">
        <v>1.396650702848873</v>
      </c>
      <c r="AQ787">
        <v>5.1872926762046463</v>
      </c>
      <c r="AR787">
        <v>0.78005104203088571</v>
      </c>
      <c r="AS787">
        <v>3.2586844611720487</v>
      </c>
      <c r="AT787">
        <v>0.62222587778949556</v>
      </c>
      <c r="AU787">
        <v>9.7129542149799034E-2</v>
      </c>
      <c r="AV787"/>
      <c r="AW787"/>
      <c r="FY787" s="211">
        <v>782</v>
      </c>
      <c r="FZ787">
        <v>1.4709610734831338</v>
      </c>
      <c r="GA787">
        <v>1.8355593637318159</v>
      </c>
      <c r="GB787">
        <v>1.1481755025411808</v>
      </c>
      <c r="GC787">
        <v>0.67333899008648523</v>
      </c>
      <c r="GD787">
        <v>0.11640072629542178</v>
      </c>
      <c r="GE787">
        <v>6.4558109077649986E-2</v>
      </c>
      <c r="GF787">
        <v>0.20038102790324064</v>
      </c>
      <c r="GG787">
        <v>0.13862439864731252</v>
      </c>
      <c r="GH787">
        <v>4.5971471670847357E-2</v>
      </c>
      <c r="GI787">
        <v>0.60794098342627723</v>
      </c>
      <c r="GJ787"/>
      <c r="GK787">
        <v>1.4658393382352939</v>
      </c>
      <c r="GL787">
        <v>1.545772931985294</v>
      </c>
      <c r="GM787">
        <v>1.8847524857954547</v>
      </c>
      <c r="GN787">
        <v>1.9764041599025977</v>
      </c>
      <c r="GO787">
        <v>0.44317901785714287</v>
      </c>
      <c r="GP787">
        <v>0.12121874999999999</v>
      </c>
      <c r="GQ787">
        <v>0.24196875000000001</v>
      </c>
      <c r="GR787">
        <v>0.19312499999999999</v>
      </c>
      <c r="GS787">
        <v>4.8587740384615385E-2</v>
      </c>
      <c r="GT787">
        <v>0.81686546645450142</v>
      </c>
      <c r="GU787"/>
      <c r="GV787"/>
      <c r="GW787"/>
      <c r="GX787"/>
      <c r="GY787"/>
      <c r="GZ787"/>
      <c r="HA787"/>
      <c r="HB787"/>
      <c r="HC787"/>
    </row>
    <row r="788" spans="1:211" s="7" customFormat="1">
      <c r="A788" s="4"/>
      <c r="B788" s="4"/>
      <c r="C788" s="105"/>
      <c r="D788" s="4"/>
      <c r="E788" s="4"/>
      <c r="F788" s="28"/>
      <c r="G788" s="28"/>
      <c r="H788" s="83"/>
      <c r="I788" s="4"/>
      <c r="J788" s="4"/>
      <c r="K788" s="4"/>
      <c r="L788" s="4"/>
      <c r="M788" s="4"/>
      <c r="N788" s="28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81"/>
      <c r="AG788" s="81"/>
      <c r="AH788" s="81"/>
      <c r="AI788" s="4"/>
      <c r="AJ788" s="81"/>
      <c r="AK788" s="81"/>
      <c r="AL788" s="81"/>
      <c r="AM788" s="43">
        <v>772</v>
      </c>
      <c r="AN788">
        <v>29.988602053140092</v>
      </c>
      <c r="AO788">
        <v>0.7153651426630433</v>
      </c>
      <c r="AP788">
        <v>1.0361427351318098</v>
      </c>
      <c r="AQ788">
        <v>4.8002245823274441</v>
      </c>
      <c r="AR788">
        <v>0.66119842514822125</v>
      </c>
      <c r="AS788">
        <v>2.5708574037442302</v>
      </c>
      <c r="AT788" t="e">
        <v>#DIV/0!</v>
      </c>
      <c r="AU788" t="e">
        <v>#DIV/0!</v>
      </c>
      <c r="AV788"/>
      <c r="AW788"/>
      <c r="FY788" s="211">
        <v>783</v>
      </c>
      <c r="FZ788">
        <v>0.74475543246187492</v>
      </c>
      <c r="GA788">
        <v>1.4363566778647208</v>
      </c>
      <c r="GB788">
        <v>0.66415653401682995</v>
      </c>
      <c r="GC788">
        <v>0.43884359935891992</v>
      </c>
      <c r="GD788">
        <v>0.22974470941535999</v>
      </c>
      <c r="GE788">
        <v>9.0465266252250001E-2</v>
      </c>
      <c r="GF788">
        <v>1.8303500236532038</v>
      </c>
      <c r="GG788">
        <v>1.7380808946632997</v>
      </c>
      <c r="GH788">
        <v>0.19956886013071873</v>
      </c>
      <c r="GI788">
        <v>0.76306672912043128</v>
      </c>
      <c r="GJ788"/>
      <c r="GK788">
        <v>0.74212499999999992</v>
      </c>
      <c r="GL788">
        <v>1.20952734375</v>
      </c>
      <c r="GM788">
        <v>1.0895898437499998</v>
      </c>
      <c r="GN788">
        <v>1.2861999999999998</v>
      </c>
      <c r="GO788">
        <v>0.87401249999999986</v>
      </c>
      <c r="GP788">
        <v>0.17015625000000001</v>
      </c>
      <c r="GQ788">
        <v>2.2070380434782608</v>
      </c>
      <c r="GR788">
        <v>2.4181317934782611</v>
      </c>
      <c r="GS788">
        <v>0.21109375</v>
      </c>
      <c r="GT788">
        <v>1.0247718274456523</v>
      </c>
      <c r="GU788"/>
      <c r="GV788"/>
      <c r="GW788"/>
      <c r="GX788"/>
      <c r="GY788"/>
      <c r="GZ788"/>
      <c r="HA788"/>
      <c r="HB788"/>
      <c r="HC788"/>
    </row>
    <row r="789" spans="1:211" s="7" customFormat="1">
      <c r="A789" s="4"/>
      <c r="B789" s="4"/>
      <c r="C789" s="105"/>
      <c r="D789" s="4"/>
      <c r="E789" s="4"/>
      <c r="F789" s="28"/>
      <c r="G789" s="28"/>
      <c r="H789" s="83"/>
      <c r="I789" s="4"/>
      <c r="J789" s="4"/>
      <c r="K789" s="4"/>
      <c r="L789" s="4"/>
      <c r="M789" s="4"/>
      <c r="N789" s="28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81"/>
      <c r="AG789" s="81"/>
      <c r="AH789" s="81"/>
      <c r="AI789" s="4"/>
      <c r="AJ789" s="81"/>
      <c r="AK789" s="81"/>
      <c r="AL789" s="81"/>
      <c r="AM789" s="43">
        <v>773</v>
      </c>
      <c r="AN789">
        <v>53.318006485853346</v>
      </c>
      <c r="AO789">
        <v>1.2940355967542954</v>
      </c>
      <c r="AP789">
        <v>1.1251077394495346</v>
      </c>
      <c r="AQ789">
        <v>8.8853029435841382</v>
      </c>
      <c r="AR789">
        <v>1.1844352234479607</v>
      </c>
      <c r="AS789">
        <v>4.1579958493254141</v>
      </c>
      <c r="AT789">
        <v>0.85696236970524342</v>
      </c>
      <c r="AU789">
        <v>-0.1075008060592898</v>
      </c>
      <c r="AV789"/>
      <c r="AW789"/>
      <c r="FY789" s="211">
        <v>784</v>
      </c>
      <c r="FZ789">
        <v>0.77750780588064572</v>
      </c>
      <c r="GA789">
        <v>1.0226485364346347</v>
      </c>
      <c r="GB789">
        <v>0.79462757589033151</v>
      </c>
      <c r="GC789">
        <v>0.82139667428269014</v>
      </c>
      <c r="GD789">
        <v>0.3858119286561868</v>
      </c>
      <c r="GE789">
        <v>0.13580575682962504</v>
      </c>
      <c r="GF789">
        <v>0.57499774394694703</v>
      </c>
      <c r="GG789">
        <v>0.47874846122576609</v>
      </c>
      <c r="GH789">
        <v>6.6522953376906252E-2</v>
      </c>
      <c r="GI789">
        <v>0.64179081704979613</v>
      </c>
      <c r="GJ789"/>
      <c r="GK789">
        <v>0.77473124999999998</v>
      </c>
      <c r="GL789">
        <v>0.86101640624999998</v>
      </c>
      <c r="GM789">
        <v>1.3044634232954544</v>
      </c>
      <c r="GN789">
        <v>2.4083291599025971</v>
      </c>
      <c r="GO789">
        <v>1.4671352678571428</v>
      </c>
      <c r="GP789">
        <v>0.25514062500000001</v>
      </c>
      <c r="GQ789">
        <v>0.69359510869565222</v>
      </c>
      <c r="GR789">
        <v>0.66627219202898535</v>
      </c>
      <c r="GS789">
        <v>7.0364583333333328E-2</v>
      </c>
      <c r="GT789">
        <v>0.86205792663631642</v>
      </c>
      <c r="GU789"/>
      <c r="GV789"/>
      <c r="GW789"/>
      <c r="GX789"/>
      <c r="GY789"/>
      <c r="GZ789"/>
      <c r="HA789"/>
      <c r="HB789"/>
      <c r="HC789"/>
    </row>
    <row r="790" spans="1:211" s="7" customFormat="1">
      <c r="A790" s="4"/>
      <c r="B790" s="4"/>
      <c r="C790" s="105"/>
      <c r="D790" s="4"/>
      <c r="E790" s="4"/>
      <c r="F790" s="28"/>
      <c r="G790" s="28"/>
      <c r="H790" s="83"/>
      <c r="I790" s="4"/>
      <c r="J790" s="4"/>
      <c r="K790" s="4"/>
      <c r="L790" s="4"/>
      <c r="M790" s="4"/>
      <c r="N790" s="28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81"/>
      <c r="AG790" s="81"/>
      <c r="AH790" s="81"/>
      <c r="AI790" s="4"/>
      <c r="AJ790" s="81"/>
      <c r="AK790" s="81"/>
      <c r="AL790" s="81"/>
      <c r="AM790" s="43">
        <v>774</v>
      </c>
      <c r="AN790">
        <v>31.556559599406462</v>
      </c>
      <c r="AO790">
        <v>0.78309796625978989</v>
      </c>
      <c r="AP790">
        <v>0.81446021221424825</v>
      </c>
      <c r="AQ790">
        <v>5.9221542636348579</v>
      </c>
      <c r="AR790">
        <v>0.7286044120718369</v>
      </c>
      <c r="AS790">
        <v>2.6062985297349699</v>
      </c>
      <c r="AT790">
        <v>0.51184041889961251</v>
      </c>
      <c r="AU790">
        <v>9.9592574489710775E-2</v>
      </c>
      <c r="AV790"/>
      <c r="AW790"/>
      <c r="FY790" s="211">
        <v>785</v>
      </c>
      <c r="FZ790">
        <v>1.2329675370595607</v>
      </c>
      <c r="GA790">
        <v>1.7328815040327021</v>
      </c>
      <c r="GB790">
        <v>0.4738304172426257</v>
      </c>
      <c r="GC790">
        <v>0.79869555297278239</v>
      </c>
      <c r="GD790">
        <v>0.56713970433973493</v>
      </c>
      <c r="GE790">
        <v>0.19838435658817499</v>
      </c>
      <c r="GF790">
        <v>0.69434057702733132</v>
      </c>
      <c r="GG790">
        <v>0.66795476831121925</v>
      </c>
      <c r="GH790">
        <v>0.1330459067538125</v>
      </c>
      <c r="GI790">
        <v>0.76563622271353182</v>
      </c>
      <c r="GJ790"/>
      <c r="GK790">
        <v>1.228604963235294</v>
      </c>
      <c r="GL790">
        <v>1.459394025735294</v>
      </c>
      <c r="GM790">
        <v>0.77758593749999994</v>
      </c>
      <c r="GN790">
        <v>2.3397937499999997</v>
      </c>
      <c r="GO790">
        <v>2.1567937499999998</v>
      </c>
      <c r="GP790">
        <v>0.37279687500000003</v>
      </c>
      <c r="GQ790">
        <v>0.83787635869565202</v>
      </c>
      <c r="GR790">
        <v>0.92976177536231885</v>
      </c>
      <c r="GS790">
        <v>0.14072916666666666</v>
      </c>
      <c r="GT790">
        <v>1.0283180352195225</v>
      </c>
      <c r="GU790"/>
      <c r="GV790"/>
      <c r="GW790"/>
      <c r="GX790"/>
      <c r="GY790"/>
      <c r="GZ790"/>
      <c r="HA790"/>
      <c r="HB790"/>
      <c r="HC790"/>
    </row>
    <row r="791" spans="1:211" s="7" customFormat="1">
      <c r="A791" s="4"/>
      <c r="B791" s="4"/>
      <c r="C791" s="105"/>
      <c r="D791" s="4"/>
      <c r="E791" s="4"/>
      <c r="F791" s="28"/>
      <c r="G791" s="28"/>
      <c r="H791" s="83"/>
      <c r="I791" s="4"/>
      <c r="J791" s="4"/>
      <c r="K791" s="4"/>
      <c r="L791" s="4"/>
      <c r="M791" s="4"/>
      <c r="N791" s="28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81"/>
      <c r="AG791" s="81"/>
      <c r="AH791" s="81"/>
      <c r="AI791" s="4"/>
      <c r="AJ791" s="81"/>
      <c r="AK791" s="81"/>
      <c r="AL791" s="81"/>
      <c r="AM791" s="43">
        <v>775</v>
      </c>
      <c r="AN791">
        <v>44.641227178115756</v>
      </c>
      <c r="AO791">
        <v>1.1532769622377168</v>
      </c>
      <c r="AP791">
        <v>18.074324787278201</v>
      </c>
      <c r="AQ791">
        <v>7.1854559121954606</v>
      </c>
      <c r="AR791">
        <v>1.0528506693419803</v>
      </c>
      <c r="AS791">
        <v>3.7885668946335924</v>
      </c>
      <c r="AT791" t="e">
        <v>#DIV/0!</v>
      </c>
      <c r="AU791" t="e">
        <v>#DIV/0!</v>
      </c>
      <c r="AV791"/>
      <c r="AW791"/>
      <c r="FY791" s="211">
        <v>786</v>
      </c>
      <c r="FZ791">
        <v>1.0258428943082056</v>
      </c>
      <c r="GA791">
        <v>2.0160195891735535</v>
      </c>
      <c r="GB791">
        <v>0.99662997032790801</v>
      </c>
      <c r="GC791">
        <v>0.51862139697601695</v>
      </c>
      <c r="GD791">
        <v>0.1579683803248125</v>
      </c>
      <c r="GE791">
        <v>5.2030029251700007E-2</v>
      </c>
      <c r="GF791">
        <v>0.74923343208741267</v>
      </c>
      <c r="GG791">
        <v>0.68024812515690725</v>
      </c>
      <c r="GH791">
        <v>0.1330459067538125</v>
      </c>
      <c r="GI791">
        <v>0.64065700343591958</v>
      </c>
      <c r="GJ791"/>
      <c r="GK791">
        <v>1.0222799632352939</v>
      </c>
      <c r="GL791">
        <v>1.6980416819852939</v>
      </c>
      <c r="GM791">
        <v>1.6361665482954542</v>
      </c>
      <c r="GN791">
        <v>1.5212642045454543</v>
      </c>
      <c r="GO791">
        <v>0.600703125</v>
      </c>
      <c r="GP791">
        <v>9.768750000000001E-2</v>
      </c>
      <c r="GQ791">
        <v>0.90325271739130431</v>
      </c>
      <c r="GR791">
        <v>0.94629438405797084</v>
      </c>
      <c r="GS791">
        <v>0.14072916666666666</v>
      </c>
      <c r="GT791">
        <v>0.86062630411774377</v>
      </c>
      <c r="GU791"/>
      <c r="GV791"/>
      <c r="GW791"/>
      <c r="GX791"/>
      <c r="GY791"/>
      <c r="GZ791"/>
      <c r="HA791"/>
      <c r="HB791"/>
      <c r="HC791"/>
    </row>
    <row r="792" spans="1:211" s="7" customFormat="1">
      <c r="A792" s="4"/>
      <c r="B792" s="4"/>
      <c r="C792" s="105"/>
      <c r="D792" s="4"/>
      <c r="E792" s="4"/>
      <c r="F792" s="28"/>
      <c r="G792" s="28"/>
      <c r="H792" s="83"/>
      <c r="I792" s="4"/>
      <c r="J792" s="4"/>
      <c r="K792" s="4"/>
      <c r="L792" s="4"/>
      <c r="M792" s="4"/>
      <c r="N792" s="28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81"/>
      <c r="AG792" s="81"/>
      <c r="AH792" s="81"/>
      <c r="AI792" s="4"/>
      <c r="AJ792" s="81"/>
      <c r="AK792" s="81"/>
      <c r="AL792" s="81"/>
      <c r="AM792" s="43">
        <v>776</v>
      </c>
      <c r="AN792">
        <v>50.311118714719242</v>
      </c>
      <c r="AO792">
        <v>1.1478760551515965</v>
      </c>
      <c r="AP792">
        <v>4.4702235211831427</v>
      </c>
      <c r="AQ792">
        <v>6.4136803486216216</v>
      </c>
      <c r="AR792">
        <v>1.0457322201552974</v>
      </c>
      <c r="AS792">
        <v>4.2587898017805825</v>
      </c>
      <c r="AT792" t="e">
        <v>#DIV/0!</v>
      </c>
      <c r="AU792" t="e">
        <v>#DIV/0!</v>
      </c>
      <c r="AV792"/>
      <c r="AW792"/>
      <c r="FY792" s="211">
        <v>787</v>
      </c>
      <c r="FZ792">
        <v>2.672458819879866</v>
      </c>
      <c r="GA792">
        <v>3.7170264183761716</v>
      </c>
      <c r="GB792">
        <v>0.51223573646843557</v>
      </c>
      <c r="GC792">
        <v>0.15110438334762186</v>
      </c>
      <c r="GD792">
        <v>0.11976143890843927</v>
      </c>
      <c r="GE792">
        <v>0.167605383881475</v>
      </c>
      <c r="GF792">
        <v>0.70871433467598444</v>
      </c>
      <c r="GG792">
        <v>0.57908430828062596</v>
      </c>
      <c r="GH792">
        <v>4.5971471670847357E-2</v>
      </c>
      <c r="GI792">
        <v>0.72391768737961404</v>
      </c>
      <c r="GJ792"/>
      <c r="GK792">
        <v>2.6633117647058819</v>
      </c>
      <c r="GL792">
        <v>3.1307141084558823</v>
      </c>
      <c r="GM792">
        <v>0.84041015624999993</v>
      </c>
      <c r="GN792">
        <v>0.44328683035714278</v>
      </c>
      <c r="GO792">
        <v>0.45582589285714281</v>
      </c>
      <c r="GP792">
        <v>0.31485937500000005</v>
      </c>
      <c r="GQ792">
        <v>0.85440896739130423</v>
      </c>
      <c r="GR792">
        <v>0.80556521739130427</v>
      </c>
      <c r="GS792">
        <v>4.8587740384615385E-2</v>
      </c>
      <c r="GT792">
        <v>0.97250890431778902</v>
      </c>
      <c r="GU792"/>
      <c r="GV792"/>
      <c r="GW792"/>
      <c r="GX792"/>
      <c r="GY792"/>
      <c r="GZ792"/>
      <c r="HA792"/>
      <c r="HB792"/>
      <c r="HC792"/>
    </row>
    <row r="793" spans="1:211" s="7" customFormat="1">
      <c r="A793" s="4"/>
      <c r="B793" s="4"/>
      <c r="C793" s="105"/>
      <c r="D793" s="4"/>
      <c r="E793" s="4"/>
      <c r="F793" s="28"/>
      <c r="G793" s="28"/>
      <c r="H793" s="83"/>
      <c r="I793" s="4"/>
      <c r="J793" s="4"/>
      <c r="K793" s="4"/>
      <c r="L793" s="4"/>
      <c r="M793" s="4"/>
      <c r="N793" s="28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81"/>
      <c r="AG793" s="81"/>
      <c r="AH793" s="81"/>
      <c r="AI793" s="4"/>
      <c r="AJ793" s="81"/>
      <c r="AK793" s="81"/>
      <c r="AL793" s="81"/>
      <c r="AM793" s="43">
        <v>777</v>
      </c>
      <c r="AN793">
        <v>50.937606754658397</v>
      </c>
      <c r="AO793">
        <v>1.2770656043284163</v>
      </c>
      <c r="AP793">
        <v>1.7424006086268253</v>
      </c>
      <c r="AQ793">
        <v>8.0303333994204351</v>
      </c>
      <c r="AR793">
        <v>1.171835208480378</v>
      </c>
      <c r="AS793">
        <v>4.4222912982844402</v>
      </c>
      <c r="AT793" t="e">
        <v>#DIV/0!</v>
      </c>
      <c r="AU793" t="e">
        <v>#DIV/0!</v>
      </c>
      <c r="AV793"/>
      <c r="AW793"/>
      <c r="FY793" s="211">
        <v>788</v>
      </c>
      <c r="FZ793">
        <v>0.83741967579602528</v>
      </c>
      <c r="GA793">
        <v>1.2730177387314698</v>
      </c>
      <c r="GB793">
        <v>0.37212401162958392</v>
      </c>
      <c r="GC793">
        <v>0.1974070971003806</v>
      </c>
      <c r="GD793">
        <v>0.13254115598549679</v>
      </c>
      <c r="GE793">
        <v>0.17332819693627502</v>
      </c>
      <c r="GF793">
        <v>0.78975252949884067</v>
      </c>
      <c r="GG793">
        <v>0.57908430828062596</v>
      </c>
      <c r="GH793">
        <v>4.5971471670847357E-2</v>
      </c>
      <c r="GI793">
        <v>0.4393356222012943</v>
      </c>
      <c r="GJ793"/>
      <c r="GK793">
        <v>0.83440312499999991</v>
      </c>
      <c r="GL793">
        <v>1.07188359375</v>
      </c>
      <c r="GM793">
        <v>0.61048828124999988</v>
      </c>
      <c r="GN793">
        <v>0.5790462053571428</v>
      </c>
      <c r="GO793">
        <v>0.50477276785714287</v>
      </c>
      <c r="GP793">
        <v>0.32573437500000002</v>
      </c>
      <c r="GQ793">
        <v>0.95209646739130416</v>
      </c>
      <c r="GR793">
        <v>0.80556521739130427</v>
      </c>
      <c r="GS793">
        <v>4.8587740384615385E-2</v>
      </c>
      <c r="GT793">
        <v>0.59006967637661245</v>
      </c>
      <c r="GU793"/>
      <c r="GV793"/>
      <c r="GW793"/>
      <c r="GX793"/>
      <c r="GY793"/>
      <c r="GZ793"/>
      <c r="HA793"/>
      <c r="HB793"/>
      <c r="HC793"/>
    </row>
    <row r="794" spans="1:211" s="7" customFormat="1">
      <c r="A794" s="4"/>
      <c r="B794" s="4"/>
      <c r="C794" s="105"/>
      <c r="D794" s="4"/>
      <c r="E794" s="4"/>
      <c r="F794" s="28"/>
      <c r="G794" s="28"/>
      <c r="H794" s="83"/>
      <c r="I794" s="4"/>
      <c r="J794" s="4"/>
      <c r="K794" s="4"/>
      <c r="L794" s="4"/>
      <c r="M794" s="4"/>
      <c r="N794" s="28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81"/>
      <c r="AG794" s="81"/>
      <c r="AH794" s="81"/>
      <c r="AI794" s="4"/>
      <c r="AJ794" s="81"/>
      <c r="AK794" s="81"/>
      <c r="AL794" s="81"/>
      <c r="AM794" s="43">
        <v>778</v>
      </c>
      <c r="AN794">
        <v>41.548675088764597</v>
      </c>
      <c r="AO794">
        <v>1.0489295643461398</v>
      </c>
      <c r="AP794">
        <v>1.3462309520295985</v>
      </c>
      <c r="AQ794">
        <v>8.377491268873646</v>
      </c>
      <c r="AR794">
        <v>0.96382009127621093</v>
      </c>
      <c r="AS794">
        <v>3.2066946321052758</v>
      </c>
      <c r="AT794" t="e">
        <v>#DIV/0!</v>
      </c>
      <c r="AU794" t="e">
        <v>#DIV/0!</v>
      </c>
      <c r="AV794"/>
      <c r="AW794"/>
      <c r="FY794" s="211">
        <v>789</v>
      </c>
      <c r="FZ794">
        <v>1.3056189922398462</v>
      </c>
      <c r="GA794">
        <v>1.4437012256009709</v>
      </c>
      <c r="GB794">
        <v>0.164032619951475</v>
      </c>
      <c r="GC794">
        <v>9.4849756486624998E-2</v>
      </c>
      <c r="GD794">
        <v>5.5579396037175002E-2</v>
      </c>
      <c r="GE794">
        <v>5.6847916058175005E-2</v>
      </c>
      <c r="GF794">
        <v>0.41513581345513451</v>
      </c>
      <c r="GG794">
        <v>0.28954215414031298</v>
      </c>
      <c r="GH794">
        <v>0</v>
      </c>
      <c r="GI794">
        <v>0.33980428886602415</v>
      </c>
      <c r="GJ794"/>
      <c r="GK794">
        <v>1.301186213235294</v>
      </c>
      <c r="GL794">
        <v>1.2160143382352941</v>
      </c>
      <c r="GM794">
        <v>0.269125</v>
      </c>
      <c r="GN794">
        <v>0.27812499999999996</v>
      </c>
      <c r="GO794">
        <v>0.21178124999999998</v>
      </c>
      <c r="GP794">
        <v>0.10673437500000001</v>
      </c>
      <c r="GQ794">
        <v>0.50047010869565223</v>
      </c>
      <c r="GR794">
        <v>0.40278260869565213</v>
      </c>
      <c r="GS794">
        <v>0</v>
      </c>
      <c r="GT794">
        <v>0.45651251438618923</v>
      </c>
      <c r="GU794"/>
      <c r="GV794"/>
      <c r="GW794"/>
      <c r="GX794"/>
      <c r="GY794"/>
      <c r="GZ794"/>
      <c r="HA794"/>
      <c r="HB794"/>
      <c r="HC794"/>
    </row>
    <row r="795" spans="1:211" s="7" customFormat="1">
      <c r="A795" s="4"/>
      <c r="B795" s="4"/>
      <c r="C795" s="105"/>
      <c r="D795" s="4"/>
      <c r="E795" s="4"/>
      <c r="F795" s="28"/>
      <c r="G795" s="28"/>
      <c r="H795" s="83"/>
      <c r="I795" s="4"/>
      <c r="J795" s="4"/>
      <c r="K795" s="4"/>
      <c r="L795" s="4"/>
      <c r="M795" s="4"/>
      <c r="N795" s="28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81"/>
      <c r="AG795" s="81"/>
      <c r="AH795" s="81"/>
      <c r="AI795" s="4"/>
      <c r="AJ795" s="81"/>
      <c r="AK795" s="81"/>
      <c r="AL795" s="81"/>
      <c r="AM795" s="43">
        <v>779</v>
      </c>
      <c r="AN795">
        <v>41.457732932916755</v>
      </c>
      <c r="AO795">
        <v>0.9566833182167096</v>
      </c>
      <c r="AP795">
        <v>1.4534097605206462</v>
      </c>
      <c r="AQ795">
        <v>6.5054172718160865</v>
      </c>
      <c r="AR795">
        <v>0.89444850388581987</v>
      </c>
      <c r="AS795">
        <v>3.2386388724696085</v>
      </c>
      <c r="AT795" t="e">
        <v>#DIV/0!</v>
      </c>
      <c r="AU795" t="e">
        <v>#DIV/0!</v>
      </c>
      <c r="AV795"/>
      <c r="AW795"/>
      <c r="FY795" s="211">
        <v>790</v>
      </c>
      <c r="FZ795">
        <v>1.314718112557862</v>
      </c>
      <c r="GA795">
        <v>1.702272247708325</v>
      </c>
      <c r="GB795">
        <v>1.0661773214758394</v>
      </c>
      <c r="GC795">
        <v>0.78446097097383582</v>
      </c>
      <c r="GD795">
        <v>0.25673449265495357</v>
      </c>
      <c r="GE795">
        <v>0.13291345061662502</v>
      </c>
      <c r="GF795">
        <v>0.12155729223428439</v>
      </c>
      <c r="GG795">
        <v>0.10116381687628125</v>
      </c>
      <c r="GH795">
        <v>0.15603164258923619</v>
      </c>
      <c r="GI795">
        <v>0.64735885379350067</v>
      </c>
      <c r="GJ795"/>
      <c r="GK795">
        <v>1.310120588235294</v>
      </c>
      <c r="GL795">
        <v>1.4335541819852939</v>
      </c>
      <c r="GM795">
        <v>1.7501665482954545</v>
      </c>
      <c r="GN795">
        <v>2.3009628652597405</v>
      </c>
      <c r="GO795">
        <v>0.97662053571428575</v>
      </c>
      <c r="GP795">
        <v>0.249703125</v>
      </c>
      <c r="GQ795">
        <v>0.14653125</v>
      </c>
      <c r="GR795">
        <v>0.14072916666666666</v>
      </c>
      <c r="GS795">
        <v>0.16502303685897435</v>
      </c>
      <c r="GT795">
        <v>0.86969239182080171</v>
      </c>
      <c r="GU795"/>
      <c r="GV795"/>
      <c r="GW795"/>
      <c r="GX795"/>
      <c r="GY795"/>
      <c r="GZ795"/>
      <c r="HA795"/>
      <c r="HB795"/>
      <c r="HC795"/>
    </row>
    <row r="796" spans="1:211" s="7" customFormat="1">
      <c r="A796" s="4"/>
      <c r="B796" s="4"/>
      <c r="C796" s="105"/>
      <c r="D796" s="4"/>
      <c r="E796" s="4"/>
      <c r="F796" s="28"/>
      <c r="G796" s="28"/>
      <c r="H796" s="83"/>
      <c r="I796" s="4"/>
      <c r="J796" s="4"/>
      <c r="K796" s="4"/>
      <c r="L796" s="4"/>
      <c r="M796" s="4"/>
      <c r="N796" s="28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81"/>
      <c r="AG796" s="81"/>
      <c r="AH796" s="81"/>
      <c r="AI796" s="4"/>
      <c r="AJ796" s="81"/>
      <c r="AK796" s="81"/>
      <c r="AL796" s="81"/>
      <c r="AM796" s="43">
        <v>780</v>
      </c>
      <c r="AN796">
        <v>50.10576961460913</v>
      </c>
      <c r="AO796">
        <v>1.2915067770292896</v>
      </c>
      <c r="AP796">
        <v>2.1439066656402876</v>
      </c>
      <c r="AQ796">
        <v>10.240181538174227</v>
      </c>
      <c r="AR796">
        <v>1.177719229117536</v>
      </c>
      <c r="AS796">
        <v>3.9774489635517911</v>
      </c>
      <c r="AT796" t="e">
        <v>#DIV/0!</v>
      </c>
      <c r="AU796" t="e">
        <v>#DIV/0!</v>
      </c>
      <c r="AV796"/>
      <c r="AW796"/>
      <c r="FY796" s="211">
        <v>791</v>
      </c>
      <c r="FZ796">
        <v>1.1748012824332941</v>
      </c>
      <c r="GA796">
        <v>1.6059949654704708</v>
      </c>
      <c r="GB796">
        <v>1.9547954407472621</v>
      </c>
      <c r="GC796">
        <v>1.0224290012243631</v>
      </c>
      <c r="GD796">
        <v>0.1198000386143325</v>
      </c>
      <c r="GE796">
        <v>0.15502337532990002</v>
      </c>
      <c r="GF796">
        <v>0.70871433467598444</v>
      </c>
      <c r="GG796">
        <v>0.62966621671876666</v>
      </c>
      <c r="GH796">
        <v>8.9508689212329934E-2</v>
      </c>
      <c r="GI796">
        <v>0.86117395888213999</v>
      </c>
      <c r="GJ796"/>
      <c r="GK796">
        <v>1.1708924632352939</v>
      </c>
      <c r="GL796">
        <v>1.3526971507352941</v>
      </c>
      <c r="GM796">
        <v>3.2098551136363636</v>
      </c>
      <c r="GN796">
        <v>3.0025598011363637</v>
      </c>
      <c r="GO796">
        <v>0.45610312500000005</v>
      </c>
      <c r="GP796">
        <v>0.291375</v>
      </c>
      <c r="GQ796">
        <v>0.85440896739130423</v>
      </c>
      <c r="GR796">
        <v>0.87592980072463755</v>
      </c>
      <c r="GS796">
        <v>9.465845352564102E-2</v>
      </c>
      <c r="GT796">
        <v>1.1571836245577205</v>
      </c>
      <c r="GU796"/>
      <c r="GV796"/>
      <c r="GW796"/>
      <c r="GX796"/>
      <c r="GY796"/>
      <c r="GZ796"/>
      <c r="HA796"/>
      <c r="HB796"/>
      <c r="HC796"/>
    </row>
    <row r="797" spans="1:211" s="7" customFormat="1">
      <c r="A797" s="4"/>
      <c r="B797" s="4"/>
      <c r="C797" s="105"/>
      <c r="D797" s="4"/>
      <c r="E797" s="4"/>
      <c r="F797" s="28"/>
      <c r="G797" s="28"/>
      <c r="H797" s="83"/>
      <c r="I797" s="4"/>
      <c r="J797" s="4"/>
      <c r="K797" s="4"/>
      <c r="L797" s="4"/>
      <c r="M797" s="4"/>
      <c r="N797" s="28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81"/>
      <c r="AG797" s="81"/>
      <c r="AH797" s="81"/>
      <c r="AI797" s="4"/>
      <c r="AJ797" s="81"/>
      <c r="AK797" s="81"/>
      <c r="AL797" s="81"/>
      <c r="AM797" s="43">
        <v>781</v>
      </c>
      <c r="AN797">
        <v>42.615568757696309</v>
      </c>
      <c r="AO797">
        <v>0.97304698814471435</v>
      </c>
      <c r="AP797">
        <v>0.50138151541305742</v>
      </c>
      <c r="AQ797">
        <v>9.0225577632793197</v>
      </c>
      <c r="AR797">
        <v>0.90632112558610423</v>
      </c>
      <c r="AS797">
        <v>3.4187808572813485</v>
      </c>
      <c r="AT797" t="e">
        <v>#DIV/0!</v>
      </c>
      <c r="AU797" t="e">
        <v>#DIV/0!</v>
      </c>
      <c r="AV797"/>
      <c r="AW797"/>
      <c r="FY797" s="211">
        <v>792</v>
      </c>
      <c r="FZ797">
        <v>1.1239483817659588</v>
      </c>
      <c r="GA797">
        <v>1.8494853375357798</v>
      </c>
      <c r="GB797">
        <v>0.53748818916438168</v>
      </c>
      <c r="GC797">
        <v>0.5808899150356357</v>
      </c>
      <c r="GD797">
        <v>0.38820217358994746</v>
      </c>
      <c r="GE797">
        <v>0.14731318231042501</v>
      </c>
      <c r="GF797">
        <v>0.73485967443875966</v>
      </c>
      <c r="GG797">
        <v>0.66795476831121925</v>
      </c>
      <c r="GH797">
        <v>0.15603164258923619</v>
      </c>
      <c r="GI797">
        <v>0.67454225364448106</v>
      </c>
      <c r="GJ797"/>
      <c r="GK797">
        <v>1.1200612132352941</v>
      </c>
      <c r="GL797">
        <v>1.557627619485294</v>
      </c>
      <c r="GM797">
        <v>0.88166796874999998</v>
      </c>
      <c r="GN797">
        <v>1.7015515625000002</v>
      </c>
      <c r="GO797">
        <v>1.476496875</v>
      </c>
      <c r="GP797">
        <v>0.276890625</v>
      </c>
      <c r="GQ797">
        <v>0.88672010869565221</v>
      </c>
      <c r="GR797">
        <v>0.92976177536231885</v>
      </c>
      <c r="GS797">
        <v>0.16502303685897435</v>
      </c>
      <c r="GT797">
        <v>0.90599384050798415</v>
      </c>
      <c r="GU797"/>
      <c r="GV797"/>
      <c r="GW797"/>
      <c r="GX797"/>
      <c r="GY797"/>
      <c r="GZ797"/>
      <c r="HA797"/>
      <c r="HB797"/>
      <c r="HC797"/>
    </row>
    <row r="798" spans="1:211" s="7" customFormat="1">
      <c r="A798" s="4"/>
      <c r="B798" s="4"/>
      <c r="C798" s="105"/>
      <c r="D798" s="4"/>
      <c r="E798" s="4"/>
      <c r="F798" s="28"/>
      <c r="G798" s="28"/>
      <c r="H798" s="83"/>
      <c r="I798" s="4"/>
      <c r="J798" s="4"/>
      <c r="K798" s="4"/>
      <c r="L798" s="4"/>
      <c r="M798" s="4"/>
      <c r="N798" s="28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81"/>
      <c r="AG798" s="81"/>
      <c r="AH798" s="81"/>
      <c r="AI798" s="4"/>
      <c r="AJ798" s="81"/>
      <c r="AK798" s="81"/>
      <c r="AL798" s="81"/>
      <c r="AM798" s="43">
        <v>782</v>
      </c>
      <c r="AN798">
        <v>34.2278088639302</v>
      </c>
      <c r="AO798">
        <v>0.87377136406148992</v>
      </c>
      <c r="AP798">
        <v>1.5142606221223223</v>
      </c>
      <c r="AQ798">
        <v>6.3019116468633642</v>
      </c>
      <c r="AR798">
        <v>0.8168654664545012</v>
      </c>
      <c r="AS798">
        <v>2.7937482325606995</v>
      </c>
      <c r="AT798" t="e">
        <v>#DIV/0!</v>
      </c>
      <c r="AU798" t="e">
        <v>#DIV/0!</v>
      </c>
      <c r="AV798"/>
      <c r="AW798"/>
      <c r="FY798" s="211">
        <v>793</v>
      </c>
      <c r="FZ798">
        <v>0.86782553693507269</v>
      </c>
      <c r="GA798">
        <v>1.8435919918547334</v>
      </c>
      <c r="GB798">
        <v>1.2427273943129109</v>
      </c>
      <c r="GC798">
        <v>0.57024058134191702</v>
      </c>
      <c r="GD798">
        <v>0.13062284781666425</v>
      </c>
      <c r="GE798">
        <v>9.341150119087499E-2</v>
      </c>
      <c r="GF798">
        <v>0.6538214796159032</v>
      </c>
      <c r="GG798">
        <v>0.61737285987307855</v>
      </c>
      <c r="GH798">
        <v>0.11249442504775362</v>
      </c>
      <c r="GI798">
        <v>0.64161933810284799</v>
      </c>
      <c r="GJ798"/>
      <c r="GK798">
        <v>0.86482683823529405</v>
      </c>
      <c r="GL798">
        <v>1.5527643382352943</v>
      </c>
      <c r="GM798">
        <v>2.0400610795454543</v>
      </c>
      <c r="GN798">
        <v>1.6741213474025973</v>
      </c>
      <c r="GO798">
        <v>0.49754464285714273</v>
      </c>
      <c r="GP798">
        <v>0.17554687499999999</v>
      </c>
      <c r="GQ798">
        <v>0.78903260869565206</v>
      </c>
      <c r="GR798">
        <v>0.85939719202898535</v>
      </c>
      <c r="GS798">
        <v>0.11895232371794871</v>
      </c>
      <c r="GT798">
        <v>0.86208349861029843</v>
      </c>
      <c r="GU798"/>
      <c r="GV798"/>
      <c r="GW798"/>
      <c r="GX798"/>
      <c r="GY798"/>
      <c r="GZ798"/>
      <c r="HA798"/>
      <c r="HB798"/>
      <c r="HC798"/>
    </row>
    <row r="799" spans="1:211" s="7" customFormat="1">
      <c r="A799" s="4"/>
      <c r="B799" s="4"/>
      <c r="C799" s="105"/>
      <c r="D799" s="4"/>
      <c r="E799" s="4"/>
      <c r="F799" s="28"/>
      <c r="G799" s="28"/>
      <c r="H799" s="83"/>
      <c r="I799" s="4"/>
      <c r="J799" s="4"/>
      <c r="K799" s="4"/>
      <c r="L799" s="4"/>
      <c r="M799" s="4"/>
      <c r="N799" s="28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81"/>
      <c r="AG799" s="81"/>
      <c r="AH799" s="81"/>
      <c r="AI799" s="4"/>
      <c r="AJ799" s="81"/>
      <c r="AK799" s="81"/>
      <c r="AL799" s="81"/>
      <c r="AM799" s="43">
        <v>783</v>
      </c>
      <c r="AN799">
        <v>57.537975543478261</v>
      </c>
      <c r="AO799">
        <v>1.1232646351902174</v>
      </c>
      <c r="AP799">
        <v>22.068783525798427</v>
      </c>
      <c r="AQ799">
        <v>8.1353887269376095</v>
      </c>
      <c r="AR799">
        <v>1.0247718274456519</v>
      </c>
      <c r="AS799">
        <v>4.8912311891519957</v>
      </c>
      <c r="AT799" t="e">
        <v>#DIV/0!</v>
      </c>
      <c r="AU799" t="e">
        <v>#DIV/0!</v>
      </c>
      <c r="AV799"/>
      <c r="AW799"/>
      <c r="FY799" s="211">
        <v>794</v>
      </c>
      <c r="FZ799">
        <v>1.5399432825577821</v>
      </c>
      <c r="GA799">
        <v>1.8897705426169791</v>
      </c>
      <c r="GB799">
        <v>0.4051967569585031</v>
      </c>
      <c r="GC799">
        <v>0.3925111344590918</v>
      </c>
      <c r="GD799">
        <v>0.28292219353876175</v>
      </c>
      <c r="GE799">
        <v>0.16171291400422502</v>
      </c>
      <c r="GF799">
        <v>0.70871433467598444</v>
      </c>
      <c r="GG799">
        <v>0.73083003359504783</v>
      </c>
      <c r="GH799">
        <v>0.22255459596614241</v>
      </c>
      <c r="GI799">
        <v>0.65004339765945585</v>
      </c>
      <c r="GJ799"/>
      <c r="GK799">
        <v>1.534670588235294</v>
      </c>
      <c r="GL799">
        <v>1.5914596507352941</v>
      </c>
      <c r="GM799">
        <v>0.66456250000000006</v>
      </c>
      <c r="GN799">
        <v>1.1501118303571427</v>
      </c>
      <c r="GO799">
        <v>1.0764790178571428</v>
      </c>
      <c r="GP799">
        <v>0.30407812500000003</v>
      </c>
      <c r="GQ799">
        <v>0.85440896739130423</v>
      </c>
      <c r="GR799">
        <v>1.0166589673913042</v>
      </c>
      <c r="GS799">
        <v>0.23538762019230769</v>
      </c>
      <c r="GT799">
        <v>0.8731017387352098</v>
      </c>
      <c r="GU799"/>
      <c r="GV799"/>
      <c r="GW799"/>
      <c r="GX799"/>
      <c r="GY799"/>
      <c r="GZ799"/>
      <c r="HA799"/>
      <c r="HB799"/>
      <c r="HC799"/>
    </row>
    <row r="800" spans="1:211" s="7" customFormat="1">
      <c r="A800" s="4"/>
      <c r="B800" s="4"/>
      <c r="C800" s="105"/>
      <c r="D800" s="4"/>
      <c r="E800" s="4"/>
      <c r="F800" s="28"/>
      <c r="G800" s="28"/>
      <c r="H800" s="83"/>
      <c r="I800" s="4"/>
      <c r="J800" s="4"/>
      <c r="K800" s="4"/>
      <c r="L800" s="4"/>
      <c r="M800" s="4"/>
      <c r="N800" s="28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81"/>
      <c r="AG800" s="81"/>
      <c r="AH800" s="81"/>
      <c r="AI800" s="4"/>
      <c r="AJ800" s="81"/>
      <c r="AK800" s="81"/>
      <c r="AL800" s="81"/>
      <c r="AM800" s="43">
        <v>784</v>
      </c>
      <c r="AN800">
        <v>44.177747225097768</v>
      </c>
      <c r="AO800">
        <v>0.93631059429994823</v>
      </c>
      <c r="AP800">
        <v>1.3328203884321494</v>
      </c>
      <c r="AQ800">
        <v>5.69985825357353</v>
      </c>
      <c r="AR800">
        <v>0.86205792663631664</v>
      </c>
      <c r="AS800">
        <v>4.0367112727456407</v>
      </c>
      <c r="AT800" t="e">
        <v>#DIV/0!</v>
      </c>
      <c r="AU800" t="e">
        <v>#DIV/0!</v>
      </c>
      <c r="AV800"/>
      <c r="AW800"/>
      <c r="FY800" s="211">
        <v>795</v>
      </c>
      <c r="FZ800">
        <v>1.260207335696113</v>
      </c>
      <c r="GA800">
        <v>1.8204687612375585</v>
      </c>
      <c r="GB800">
        <v>0.37212401162958392</v>
      </c>
      <c r="GC800">
        <v>0.40307351544930936</v>
      </c>
      <c r="GD800">
        <v>0.28431054843425357</v>
      </c>
      <c r="GE800">
        <v>0.10791909033592499</v>
      </c>
      <c r="GF800">
        <v>0.52010488888686557</v>
      </c>
      <c r="GG800">
        <v>0.4158731959419375</v>
      </c>
      <c r="GH800">
        <v>2.2985735835423678E-2</v>
      </c>
      <c r="GI800">
        <v>0.53604022774750881</v>
      </c>
      <c r="GJ800"/>
      <c r="GK800">
        <v>1.2558580882352937</v>
      </c>
      <c r="GL800">
        <v>1.5331823069852937</v>
      </c>
      <c r="GM800">
        <v>0.61048828124999988</v>
      </c>
      <c r="GN800">
        <v>1.1813002232142855</v>
      </c>
      <c r="GO800">
        <v>1.0816205357142856</v>
      </c>
      <c r="GP800">
        <v>0.20264062499999999</v>
      </c>
      <c r="GQ800">
        <v>0.62821874999999994</v>
      </c>
      <c r="GR800">
        <v>0.57937499999999997</v>
      </c>
      <c r="GS800">
        <v>2.4293870192307693E-2</v>
      </c>
      <c r="GT800">
        <v>0.72009590507837751</v>
      </c>
      <c r="GU800"/>
      <c r="GV800"/>
      <c r="GW800"/>
      <c r="GX800"/>
      <c r="GY800"/>
      <c r="GZ800"/>
      <c r="HA800"/>
      <c r="HB800"/>
      <c r="HC800"/>
    </row>
    <row r="801" spans="1:211" s="7" customFormat="1">
      <c r="A801" s="4"/>
      <c r="B801" s="4"/>
      <c r="C801" s="105"/>
      <c r="D801" s="4"/>
      <c r="E801" s="4"/>
      <c r="F801" s="28"/>
      <c r="G801" s="28"/>
      <c r="H801" s="83"/>
      <c r="I801" s="4"/>
      <c r="J801" s="4"/>
      <c r="K801" s="4"/>
      <c r="L801" s="4"/>
      <c r="M801" s="4"/>
      <c r="N801" s="28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81"/>
      <c r="AG801" s="81"/>
      <c r="AH801" s="81"/>
      <c r="AI801" s="4"/>
      <c r="AJ801" s="81"/>
      <c r="AK801" s="81"/>
      <c r="AL801" s="81"/>
      <c r="AM801" s="43">
        <v>785</v>
      </c>
      <c r="AN801">
        <v>55.799114035710907</v>
      </c>
      <c r="AO801">
        <v>1.1271654637414747</v>
      </c>
      <c r="AP801">
        <v>0.79205607483481433</v>
      </c>
      <c r="AQ801">
        <v>7.2648765470414753</v>
      </c>
      <c r="AR801">
        <v>1.0283180352195227</v>
      </c>
      <c r="AS801">
        <v>4.7157997784409638</v>
      </c>
      <c r="AT801" t="e">
        <v>#DIV/0!</v>
      </c>
      <c r="AU801" t="e">
        <v>#DIV/0!</v>
      </c>
      <c r="AV801"/>
      <c r="AW801"/>
      <c r="FY801" s="211">
        <v>796</v>
      </c>
      <c r="FZ801">
        <v>1.4564896412702346</v>
      </c>
      <c r="GA801">
        <v>1.9447070288843271</v>
      </c>
      <c r="GB801">
        <v>1.6215778173295405</v>
      </c>
      <c r="GC801">
        <v>0.81236643338314662</v>
      </c>
      <c r="GD801">
        <v>0.11309651704570178</v>
      </c>
      <c r="GE801">
        <v>0.15502337532990002</v>
      </c>
      <c r="GF801">
        <v>4.0519097411428125E-2</v>
      </c>
      <c r="GG801">
        <v>0</v>
      </c>
      <c r="GH801">
        <v>2.2985735835423678E-2</v>
      </c>
      <c r="GI801">
        <v>0.6872465211127321</v>
      </c>
      <c r="GJ801"/>
      <c r="GK801">
        <v>1.4512705882352941</v>
      </c>
      <c r="GL801">
        <v>1.6376924632352943</v>
      </c>
      <c r="GM801">
        <v>2.6626221590909087</v>
      </c>
      <c r="GN801">
        <v>2.3852293019480517</v>
      </c>
      <c r="GO801">
        <v>0.43046651785714285</v>
      </c>
      <c r="GP801">
        <v>0.291375</v>
      </c>
      <c r="GQ801">
        <v>4.8843750000000005E-2</v>
      </c>
      <c r="GR801">
        <v>0</v>
      </c>
      <c r="GS801">
        <v>2.4293870192307693E-2</v>
      </c>
      <c r="GT801">
        <v>0.92349937707513075</v>
      </c>
      <c r="GU801"/>
      <c r="GV801"/>
      <c r="GW801"/>
      <c r="GX801"/>
      <c r="GY801"/>
      <c r="GZ801"/>
      <c r="HA801"/>
      <c r="HB801"/>
      <c r="HC801"/>
    </row>
    <row r="802" spans="1:211" s="7" customFormat="1">
      <c r="A802" s="4"/>
      <c r="B802" s="4"/>
      <c r="C802" s="105"/>
      <c r="D802" s="4"/>
      <c r="E802" s="4"/>
      <c r="F802" s="28"/>
      <c r="G802" s="28"/>
      <c r="H802" s="83"/>
      <c r="I802" s="4"/>
      <c r="J802" s="4"/>
      <c r="K802" s="4"/>
      <c r="L802" s="4"/>
      <c r="M802" s="4"/>
      <c r="N802" s="28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81"/>
      <c r="AG802" s="81"/>
      <c r="AH802" s="81"/>
      <c r="AI802" s="4"/>
      <c r="AJ802" s="81"/>
      <c r="AK802" s="81"/>
      <c r="AL802" s="81"/>
      <c r="AM802" s="43">
        <v>786</v>
      </c>
      <c r="AN802">
        <v>41.930250811073208</v>
      </c>
      <c r="AO802">
        <v>0.94270455952951815</v>
      </c>
      <c r="AP802">
        <v>1.6909015128229368</v>
      </c>
      <c r="AQ802">
        <v>6.9702967277962475</v>
      </c>
      <c r="AR802">
        <v>0.86062630411774399</v>
      </c>
      <c r="AS802">
        <v>3.498406786538923</v>
      </c>
      <c r="AT802" t="e">
        <v>#DIV/0!</v>
      </c>
      <c r="AU802" t="e">
        <v>#DIV/0!</v>
      </c>
      <c r="AV802"/>
      <c r="AW802"/>
      <c r="FY802" s="211">
        <v>797</v>
      </c>
      <c r="FZ802">
        <v>1.2038844097464274</v>
      </c>
      <c r="GA802">
        <v>2.1676224775524613</v>
      </c>
      <c r="GB802">
        <v>1.0851952947578822</v>
      </c>
      <c r="GC802">
        <v>0.40400969493372324</v>
      </c>
      <c r="GD802">
        <v>0.15733992949818748</v>
      </c>
      <c r="GE802">
        <v>0.21760197508844997</v>
      </c>
      <c r="GF802">
        <v>0.49395954912409079</v>
      </c>
      <c r="GG802">
        <v>0.47874846122576609</v>
      </c>
      <c r="GH802">
        <v>6.6522953376906252E-2</v>
      </c>
      <c r="GI802">
        <v>0.63210402839071089</v>
      </c>
      <c r="GJ802"/>
      <c r="GK802">
        <v>1.199748713235294</v>
      </c>
      <c r="GL802">
        <v>1.8255651194852942</v>
      </c>
      <c r="GM802">
        <v>1.7811431107954543</v>
      </c>
      <c r="GN802">
        <v>1.1860298295454543</v>
      </c>
      <c r="GO802">
        <v>0.59910937499999994</v>
      </c>
      <c r="GP802">
        <v>0.40903124999999996</v>
      </c>
      <c r="GQ802">
        <v>0.59590760869565207</v>
      </c>
      <c r="GR802">
        <v>0.66627219202898535</v>
      </c>
      <c r="GS802">
        <v>7.0364583333333328E-2</v>
      </c>
      <c r="GT802">
        <v>0.84925467821194678</v>
      </c>
      <c r="GU802"/>
      <c r="GV802"/>
      <c r="GW802"/>
      <c r="GX802"/>
      <c r="GY802"/>
      <c r="GZ802"/>
      <c r="HA802"/>
      <c r="HB802"/>
      <c r="HC802"/>
    </row>
    <row r="803" spans="1:211" s="7" customFormat="1">
      <c r="A803" s="4"/>
      <c r="B803" s="4"/>
      <c r="C803" s="105"/>
      <c r="D803" s="4"/>
      <c r="E803" s="4"/>
      <c r="F803" s="28"/>
      <c r="G803" s="28"/>
      <c r="H803" s="83"/>
      <c r="I803" s="4"/>
      <c r="J803" s="4"/>
      <c r="K803" s="4"/>
      <c r="L803" s="4"/>
      <c r="M803" s="4"/>
      <c r="N803" s="28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81"/>
      <c r="AG803" s="81"/>
      <c r="AH803" s="81"/>
      <c r="AI803" s="4"/>
      <c r="AJ803" s="81"/>
      <c r="AK803" s="81"/>
      <c r="AL803" s="81"/>
      <c r="AM803" s="43">
        <v>787</v>
      </c>
      <c r="AN803">
        <v>47.379972120537168</v>
      </c>
      <c r="AO803">
        <v>1.0529478957111063</v>
      </c>
      <c r="AP803">
        <v>0.68381348853715851</v>
      </c>
      <c r="AQ803">
        <v>9.3978799828690818</v>
      </c>
      <c r="AR803">
        <v>0.97250890431778902</v>
      </c>
      <c r="AS803">
        <v>3.6188472099500602</v>
      </c>
      <c r="AT803" t="e">
        <v>#DIV/0!</v>
      </c>
      <c r="AU803" t="e">
        <v>#DIV/0!</v>
      </c>
      <c r="AV803"/>
      <c r="AW803"/>
      <c r="FY803" s="211">
        <v>798</v>
      </c>
      <c r="FZ803">
        <v>1.8452021939256376</v>
      </c>
      <c r="GA803">
        <v>2.2826937849159985</v>
      </c>
      <c r="GB803">
        <v>0.6627780319877612</v>
      </c>
      <c r="GC803">
        <v>0.35186998623061205</v>
      </c>
      <c r="GD803">
        <v>7.1723036114411776E-2</v>
      </c>
      <c r="GE803">
        <v>4.5232633126125001E-2</v>
      </c>
      <c r="GF803">
        <v>0.49395954912409079</v>
      </c>
      <c r="GG803">
        <v>0.4281665527876255</v>
      </c>
      <c r="GH803">
        <v>0</v>
      </c>
      <c r="GI803">
        <v>0.56503754668976935</v>
      </c>
      <c r="GJ803"/>
      <c r="GK803">
        <v>1.8385518382352939</v>
      </c>
      <c r="GL803">
        <v>1.9221416819852939</v>
      </c>
      <c r="GM803">
        <v>1.0881352982954544</v>
      </c>
      <c r="GN803">
        <v>1.0331338474025973</v>
      </c>
      <c r="GO803">
        <v>0.27304151785714281</v>
      </c>
      <c r="GP803">
        <v>8.5078125000000004E-2</v>
      </c>
      <c r="GQ803">
        <v>0.59590760869565207</v>
      </c>
      <c r="GR803">
        <v>0.59590760869565207</v>
      </c>
      <c r="GS803">
        <v>0</v>
      </c>
      <c r="GT803">
        <v>0.75912725261670855</v>
      </c>
      <c r="GU803"/>
      <c r="GV803"/>
      <c r="GW803"/>
      <c r="GX803"/>
      <c r="GY803"/>
      <c r="GZ803"/>
      <c r="HA803"/>
      <c r="HB803"/>
      <c r="HC803"/>
    </row>
    <row r="804" spans="1:211" s="7" customFormat="1">
      <c r="A804" s="4"/>
      <c r="B804" s="4"/>
      <c r="C804" s="105"/>
      <c r="D804" s="4"/>
      <c r="E804" s="4"/>
      <c r="F804" s="28"/>
      <c r="G804" s="28"/>
      <c r="H804" s="83"/>
      <c r="I804" s="4"/>
      <c r="J804" s="4"/>
      <c r="K804" s="4"/>
      <c r="L804" s="4"/>
      <c r="M804" s="4"/>
      <c r="N804" s="28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81"/>
      <c r="AG804" s="81"/>
      <c r="AH804" s="81"/>
      <c r="AI804" s="4"/>
      <c r="AJ804" s="81"/>
      <c r="AK804" s="81"/>
      <c r="AL804" s="81"/>
      <c r="AM804" s="43">
        <v>788</v>
      </c>
      <c r="AN804">
        <v>31.806075061713642</v>
      </c>
      <c r="AO804">
        <v>0.6322647449758122</v>
      </c>
      <c r="AP804">
        <v>0.75281483773719615</v>
      </c>
      <c r="AQ804">
        <v>4.8399818078308403</v>
      </c>
      <c r="AR804">
        <v>0.59006967637661245</v>
      </c>
      <c r="AS804">
        <v>2.5318067183172444</v>
      </c>
      <c r="AT804" t="e">
        <v>#DIV/0!</v>
      </c>
      <c r="AU804" t="e">
        <v>#DIV/0!</v>
      </c>
      <c r="AV804"/>
      <c r="AW804"/>
      <c r="FY804" s="211">
        <v>799</v>
      </c>
      <c r="FZ804">
        <v>1.6888615196128991</v>
      </c>
      <c r="GA804">
        <v>2.0293392458485315</v>
      </c>
      <c r="GB804">
        <v>0.63786303719410076</v>
      </c>
      <c r="GC804">
        <v>1.0073642376361813</v>
      </c>
      <c r="GD804">
        <v>0.64521124914194994</v>
      </c>
      <c r="GE804">
        <v>4.5232633126125001E-2</v>
      </c>
      <c r="GF804">
        <v>0.15986193049181252</v>
      </c>
      <c r="GG804">
        <v>0.13862439864731252</v>
      </c>
      <c r="GH804">
        <v>2.2985735835423678E-2</v>
      </c>
      <c r="GI804">
        <v>0.80414935900521378</v>
      </c>
      <c r="GJ804"/>
      <c r="GK804">
        <v>1.683189338235294</v>
      </c>
      <c r="GL804">
        <v>1.709275275735294</v>
      </c>
      <c r="GM804">
        <v>1.0467109374999999</v>
      </c>
      <c r="GN804">
        <v>2.950703125</v>
      </c>
      <c r="GO804">
        <v>2.4534374999999997</v>
      </c>
      <c r="GP804">
        <v>8.5078125000000004E-2</v>
      </c>
      <c r="GQ804">
        <v>0.19312499999999999</v>
      </c>
      <c r="GR804">
        <v>0.19312499999999999</v>
      </c>
      <c r="GS804">
        <v>2.4293870192307693E-2</v>
      </c>
      <c r="GT804">
        <v>1.0801513291855203</v>
      </c>
      <c r="GU804"/>
      <c r="GV804"/>
      <c r="GW804"/>
      <c r="GX804"/>
      <c r="GY804"/>
      <c r="GZ804"/>
      <c r="HA804"/>
      <c r="HB804"/>
      <c r="HC804"/>
    </row>
    <row r="805" spans="1:211" s="7" customFormat="1">
      <c r="A805" s="4"/>
      <c r="B805" s="4"/>
      <c r="C805" s="105"/>
      <c r="D805" s="4"/>
      <c r="E805" s="4"/>
      <c r="F805" s="28"/>
      <c r="G805" s="28"/>
      <c r="H805" s="83"/>
      <c r="I805" s="4"/>
      <c r="J805" s="4"/>
      <c r="K805" s="4"/>
      <c r="L805" s="4"/>
      <c r="M805" s="4"/>
      <c r="N805" s="28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81"/>
      <c r="AG805" s="81"/>
      <c r="AH805" s="81"/>
      <c r="AI805" s="4"/>
      <c r="AJ805" s="81"/>
      <c r="AK805" s="81"/>
      <c r="AL805" s="81"/>
      <c r="AM805" s="43">
        <v>789</v>
      </c>
      <c r="AN805">
        <v>21.281637183859047</v>
      </c>
      <c r="AO805">
        <v>0.47427314082480815</v>
      </c>
      <c r="AP805">
        <v>0.35022272592535725</v>
      </c>
      <c r="AQ805">
        <v>4.1651121628357384</v>
      </c>
      <c r="AR805">
        <v>0.45651251438618923</v>
      </c>
      <c r="AS805">
        <v>1.666669652379335</v>
      </c>
      <c r="AT805" t="e">
        <v>#DIV/0!</v>
      </c>
      <c r="AU805" t="e">
        <v>#DIV/0!</v>
      </c>
      <c r="AV805"/>
      <c r="AW805"/>
      <c r="FY805" s="211">
        <v>800</v>
      </c>
      <c r="FZ805">
        <v>0.38512600711960499</v>
      </c>
      <c r="GA805">
        <v>0.99420885908210943</v>
      </c>
      <c r="GB805">
        <v>0.59315027202260162</v>
      </c>
      <c r="GC805">
        <v>0.22349191210952812</v>
      </c>
      <c r="GD805">
        <v>8.9843707639237491E-2</v>
      </c>
      <c r="GE805">
        <v>8.8593614384399985E-2</v>
      </c>
      <c r="GF805">
        <v>0.33409761863227821</v>
      </c>
      <c r="GG805">
        <v>0.4918697878928755</v>
      </c>
      <c r="GH805">
        <v>0.26609181350762501</v>
      </c>
      <c r="GI805">
        <v>0.354851673020667</v>
      </c>
      <c r="GJ805"/>
      <c r="GK805">
        <v>0.38369999999999993</v>
      </c>
      <c r="GL805">
        <v>0.83709843750000013</v>
      </c>
      <c r="GM805">
        <v>0.97289062500000001</v>
      </c>
      <c r="GN805">
        <v>0.65519531249999996</v>
      </c>
      <c r="GO805">
        <v>0.34204687499999997</v>
      </c>
      <c r="GP805">
        <v>0.16649999999999998</v>
      </c>
      <c r="GQ805">
        <v>0.40278260869565213</v>
      </c>
      <c r="GR805">
        <v>0.68424094202898544</v>
      </c>
      <c r="GS805">
        <v>0.28145833333333331</v>
      </c>
      <c r="GT805">
        <v>0.47657568840579712</v>
      </c>
      <c r="GU805"/>
      <c r="GV805"/>
      <c r="GW805"/>
      <c r="GX805"/>
      <c r="GY805"/>
      <c r="GZ805"/>
      <c r="HA805"/>
      <c r="HB805"/>
      <c r="HC805"/>
    </row>
    <row r="806" spans="1:211" s="7" customFormat="1">
      <c r="A806" s="4"/>
      <c r="B806" s="4"/>
      <c r="C806" s="105"/>
      <c r="D806" s="4"/>
      <c r="E806" s="4"/>
      <c r="F806" s="28"/>
      <c r="G806" s="28"/>
      <c r="H806" s="83"/>
      <c r="I806" s="4"/>
      <c r="J806" s="4"/>
      <c r="K806" s="4"/>
      <c r="L806" s="4"/>
      <c r="M806" s="4"/>
      <c r="N806" s="28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81"/>
      <c r="AG806" s="81"/>
      <c r="AH806" s="81"/>
      <c r="AI806" s="4"/>
      <c r="AJ806" s="81"/>
      <c r="AK806" s="81"/>
      <c r="AL806" s="81"/>
      <c r="AM806" s="43">
        <v>790</v>
      </c>
      <c r="AN806">
        <v>40.478977718224044</v>
      </c>
      <c r="AO806">
        <v>0.93431036898365127</v>
      </c>
      <c r="AP806">
        <v>2.1860326272404267</v>
      </c>
      <c r="AQ806">
        <v>6.2833882014807427</v>
      </c>
      <c r="AR806">
        <v>0.86969239182080182</v>
      </c>
      <c r="AS806">
        <v>3.2994522788629159</v>
      </c>
      <c r="AT806" t="e">
        <v>#DIV/0!</v>
      </c>
      <c r="AU806" t="e">
        <v>#DIV/0!</v>
      </c>
      <c r="AV806"/>
      <c r="AW806"/>
      <c r="FY806" s="211">
        <v>801</v>
      </c>
      <c r="FZ806">
        <v>1.287518464991281</v>
      </c>
      <c r="GA806">
        <v>1.8421187412551199</v>
      </c>
      <c r="GB806">
        <v>0.50971765258495894</v>
      </c>
      <c r="GC806">
        <v>0.21087259350683185</v>
      </c>
      <c r="GD806">
        <v>7.8412048509731769E-2</v>
      </c>
      <c r="GE806">
        <v>5.6847916058175005E-2</v>
      </c>
      <c r="GF806">
        <v>0.74923343208741267</v>
      </c>
      <c r="GG806">
        <v>0.57908430828062596</v>
      </c>
      <c r="GH806">
        <v>2.2985735835423678E-2</v>
      </c>
      <c r="GI806">
        <v>0.49807870882417454</v>
      </c>
      <c r="GJ806"/>
      <c r="GK806">
        <v>1.2829612132352939</v>
      </c>
      <c r="GL806">
        <v>1.551144806985294</v>
      </c>
      <c r="GM806">
        <v>0.83611328125000006</v>
      </c>
      <c r="GN806">
        <v>0.61813683035714284</v>
      </c>
      <c r="GO806">
        <v>0.2983165178571428</v>
      </c>
      <c r="GP806">
        <v>0.10673437500000001</v>
      </c>
      <c r="GQ806">
        <v>0.90325271739130431</v>
      </c>
      <c r="GR806">
        <v>0.80556521739130427</v>
      </c>
      <c r="GS806">
        <v>2.4293870192307693E-2</v>
      </c>
      <c r="GT806">
        <v>0.66898751998520978</v>
      </c>
      <c r="GU806"/>
      <c r="GV806"/>
      <c r="GW806"/>
      <c r="GX806"/>
      <c r="GY806"/>
      <c r="GZ806"/>
      <c r="HA806"/>
      <c r="HB806"/>
      <c r="HC806"/>
    </row>
    <row r="807" spans="1:211" s="7" customFormat="1">
      <c r="A807" s="4"/>
      <c r="B807" s="4"/>
      <c r="C807" s="105"/>
      <c r="D807" s="4"/>
      <c r="E807" s="4"/>
      <c r="F807" s="28"/>
      <c r="G807" s="28"/>
      <c r="H807" s="83"/>
      <c r="I807" s="4"/>
      <c r="J807" s="4"/>
      <c r="K807" s="4"/>
      <c r="L807" s="4"/>
      <c r="M807" s="4"/>
      <c r="N807" s="28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81"/>
      <c r="AG807" s="81"/>
      <c r="AH807" s="81"/>
      <c r="AI807" s="4"/>
      <c r="AJ807" s="81"/>
      <c r="AK807" s="81"/>
      <c r="AL807" s="81"/>
      <c r="AM807" s="43">
        <v>791</v>
      </c>
      <c r="AN807">
        <v>46.377602128737031</v>
      </c>
      <c r="AO807">
        <v>1.2465663499942621</v>
      </c>
      <c r="AP807">
        <v>1.5574358658273262</v>
      </c>
      <c r="AQ807">
        <v>8.321907303308846</v>
      </c>
      <c r="AR807">
        <v>1.1571836245577205</v>
      </c>
      <c r="AS807">
        <v>3.923002885043783</v>
      </c>
      <c r="AT807">
        <v>0.75001260118630098</v>
      </c>
      <c r="AU807">
        <v>0.18636770820786391</v>
      </c>
      <c r="AV807"/>
      <c r="AW807"/>
      <c r="FY807" s="211">
        <v>802</v>
      </c>
      <c r="FZ807">
        <v>1.6756702717260463</v>
      </c>
      <c r="GA807">
        <v>2.2103049986038412</v>
      </c>
      <c r="GB807">
        <v>0.5228587337680265</v>
      </c>
      <c r="GC807">
        <v>0.61449259052435623</v>
      </c>
      <c r="GD807">
        <v>0.38152709789231243</v>
      </c>
      <c r="GE807">
        <v>0.13580575682962504</v>
      </c>
      <c r="GF807">
        <v>0.73485967443875966</v>
      </c>
      <c r="GG807">
        <v>0.56679095143493796</v>
      </c>
      <c r="GH807">
        <v>2.2985735835423678E-2</v>
      </c>
      <c r="GI807">
        <v>0.72809549441635713</v>
      </c>
      <c r="GJ807"/>
      <c r="GK807">
        <v>1.670113051470588</v>
      </c>
      <c r="GL807">
        <v>1.8620193014705877</v>
      </c>
      <c r="GM807">
        <v>0.85823437499999999</v>
      </c>
      <c r="GN807">
        <v>1.8007031250000001</v>
      </c>
      <c r="GO807">
        <v>1.4512031249999999</v>
      </c>
      <c r="GP807">
        <v>0.25514062500000001</v>
      </c>
      <c r="GQ807">
        <v>0.88672010869565221</v>
      </c>
      <c r="GR807">
        <v>0.78903260869565206</v>
      </c>
      <c r="GS807">
        <v>2.4293870192307693E-2</v>
      </c>
      <c r="GT807">
        <v>0.97811290607170953</v>
      </c>
      <c r="GU807"/>
      <c r="GV807"/>
      <c r="GW807"/>
      <c r="GX807"/>
      <c r="GY807"/>
      <c r="GZ807"/>
      <c r="HA807"/>
      <c r="HB807"/>
      <c r="HC807"/>
    </row>
    <row r="808" spans="1:211" s="7" customFormat="1">
      <c r="A808" s="4"/>
      <c r="B808" s="4"/>
      <c r="C808" s="105"/>
      <c r="D808" s="4"/>
      <c r="E808" s="4"/>
      <c r="F808" s="28"/>
      <c r="G808" s="28"/>
      <c r="H808" s="83"/>
      <c r="I808" s="4"/>
      <c r="J808" s="4"/>
      <c r="K808" s="4"/>
      <c r="L808" s="4"/>
      <c r="M808" s="4"/>
      <c r="N808" s="28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81"/>
      <c r="AG808" s="81"/>
      <c r="AH808" s="81"/>
      <c r="AI808" s="4"/>
      <c r="AJ808" s="81"/>
      <c r="AK808" s="81"/>
      <c r="AL808" s="81"/>
      <c r="AM808" s="43">
        <v>792</v>
      </c>
      <c r="AN808">
        <v>48.682113501522863</v>
      </c>
      <c r="AO808">
        <v>0.99017946253955169</v>
      </c>
      <c r="AP808">
        <v>0.71135467800849772</v>
      </c>
      <c r="AQ808">
        <v>6.8607155183858239</v>
      </c>
      <c r="AR808">
        <v>0.90599384050798415</v>
      </c>
      <c r="AS808">
        <v>3.8301233573718783</v>
      </c>
      <c r="AT808">
        <v>0.77761344941595356</v>
      </c>
      <c r="AU808">
        <v>-3.2106644056660479E-2</v>
      </c>
      <c r="AV808"/>
      <c r="AW808"/>
      <c r="FY808" s="211">
        <v>803</v>
      </c>
      <c r="FZ808">
        <v>0.78060493615442084</v>
      </c>
      <c r="GA808">
        <v>1.2729061181171537</v>
      </c>
      <c r="GB808">
        <v>0.25218642122553514</v>
      </c>
      <c r="GC808">
        <v>5.115717200604375E-2</v>
      </c>
      <c r="GD808">
        <v>8.4068659559876774E-2</v>
      </c>
      <c r="GE808">
        <v>9.0465266252250001E-2</v>
      </c>
      <c r="GF808">
        <v>0.66819523726455643</v>
      </c>
      <c r="GG808">
        <v>0.57908430828062596</v>
      </c>
      <c r="GH808">
        <v>2.2985735835423678E-2</v>
      </c>
      <c r="GI808">
        <v>0.34865695385799067</v>
      </c>
      <c r="GJ808"/>
      <c r="GK808">
        <v>0.77803308823529393</v>
      </c>
      <c r="GL808">
        <v>1.0720565257352941</v>
      </c>
      <c r="GM808">
        <v>0.41355468750000002</v>
      </c>
      <c r="GN808">
        <v>0.14996651785714285</v>
      </c>
      <c r="GO808">
        <v>0.32012276785714289</v>
      </c>
      <c r="GP808">
        <v>0.17015625000000001</v>
      </c>
      <c r="GQ808">
        <v>0.80556521739130427</v>
      </c>
      <c r="GR808">
        <v>0.80556521739130427</v>
      </c>
      <c r="GS808">
        <v>2.4293870192307693E-2</v>
      </c>
      <c r="GT808">
        <v>0.46831392623520973</v>
      </c>
      <c r="GU808"/>
      <c r="GV808"/>
      <c r="GW808"/>
      <c r="GX808"/>
      <c r="GY808"/>
      <c r="GZ808"/>
      <c r="HA808"/>
      <c r="HB808"/>
      <c r="HC808"/>
    </row>
    <row r="809" spans="1:211" s="7" customFormat="1">
      <c r="A809" s="4"/>
      <c r="B809" s="4"/>
      <c r="C809" s="105"/>
      <c r="D809" s="4"/>
      <c r="E809" s="4"/>
      <c r="F809" s="28"/>
      <c r="G809" s="28"/>
      <c r="H809" s="83"/>
      <c r="I809" s="4"/>
      <c r="J809" s="4"/>
      <c r="K809" s="4"/>
      <c r="L809" s="4"/>
      <c r="M809" s="4"/>
      <c r="N809" s="28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81"/>
      <c r="AG809" s="81"/>
      <c r="AH809" s="81"/>
      <c r="AI809" s="4"/>
      <c r="AJ809" s="81"/>
      <c r="AK809" s="81"/>
      <c r="AL809" s="81"/>
      <c r="AM809" s="43">
        <v>793</v>
      </c>
      <c r="AN809">
        <v>37.07271878744065</v>
      </c>
      <c r="AO809">
        <v>0.94343307443286673</v>
      </c>
      <c r="AP809">
        <v>17.220552728833077</v>
      </c>
      <c r="AQ809">
        <v>6.7737279560917569</v>
      </c>
      <c r="AR809">
        <v>0.86208349861029832</v>
      </c>
      <c r="AS809">
        <v>3.120075457380358</v>
      </c>
      <c r="AT809" t="e">
        <v>#DIV/0!</v>
      </c>
      <c r="AU809" t="e">
        <v>#DIV/0!</v>
      </c>
      <c r="AV809"/>
      <c r="AW809"/>
      <c r="FY809" s="211">
        <v>804</v>
      </c>
      <c r="FZ809">
        <v>0.53045530020902809</v>
      </c>
      <c r="GA809">
        <v>0.80710919732602715</v>
      </c>
      <c r="GB809">
        <v>0.87999725229837167</v>
      </c>
      <c r="GC809">
        <v>0.86193439842834008</v>
      </c>
      <c r="GD809">
        <v>0.39866151331860095</v>
      </c>
      <c r="GE809">
        <v>0.11273697714240002</v>
      </c>
      <c r="GF809">
        <v>0.36024295839505316</v>
      </c>
      <c r="GG809">
        <v>0.32783070573276563</v>
      </c>
      <c r="GH809">
        <v>8.9508689212329934E-2</v>
      </c>
      <c r="GI809">
        <v>0.59833120893958713</v>
      </c>
      <c r="GJ809"/>
      <c r="GK809">
        <v>0.52865624999999994</v>
      </c>
      <c r="GL809">
        <v>0.67975781249999989</v>
      </c>
      <c r="GM809">
        <v>1.4446704545454543</v>
      </c>
      <c r="GN809">
        <v>2.5268113027597399</v>
      </c>
      <c r="GO809">
        <v>1.5156174107142855</v>
      </c>
      <c r="GP809">
        <v>0.21168750000000003</v>
      </c>
      <c r="GQ809">
        <v>0.43509375</v>
      </c>
      <c r="GR809">
        <v>0.45661458333333332</v>
      </c>
      <c r="GS809">
        <v>9.465845352564102E-2</v>
      </c>
      <c r="GT809">
        <v>0.80373926375707616</v>
      </c>
      <c r="GU809"/>
      <c r="GV809"/>
      <c r="GW809"/>
      <c r="GX809"/>
      <c r="GY809"/>
      <c r="GZ809"/>
      <c r="HA809"/>
      <c r="HB809"/>
      <c r="HC809"/>
    </row>
    <row r="810" spans="1:211" s="7" customFormat="1">
      <c r="A810" s="4"/>
      <c r="B810" s="4"/>
      <c r="C810" s="105"/>
      <c r="D810" s="4"/>
      <c r="E810" s="4"/>
      <c r="F810" s="28"/>
      <c r="G810" s="28"/>
      <c r="H810" s="83"/>
      <c r="I810" s="4"/>
      <c r="J810" s="4"/>
      <c r="K810" s="4"/>
      <c r="L810" s="4"/>
      <c r="M810" s="4"/>
      <c r="N810" s="28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81"/>
      <c r="AG810" s="81"/>
      <c r="AH810" s="81"/>
      <c r="AI810" s="4"/>
      <c r="AJ810" s="81"/>
      <c r="AK810" s="81"/>
      <c r="AL810" s="81"/>
      <c r="AM810" s="43">
        <v>794</v>
      </c>
      <c r="AN810">
        <v>45.951180171065076</v>
      </c>
      <c r="AO810">
        <v>0.93009190058950009</v>
      </c>
      <c r="AP810">
        <v>0.53081435288721635</v>
      </c>
      <c r="AQ810">
        <v>6.9841991860319732</v>
      </c>
      <c r="AR810">
        <v>0.8731017387352098</v>
      </c>
      <c r="AS810">
        <v>4.0658024002392192</v>
      </c>
      <c r="AT810">
        <v>0.74428787074806235</v>
      </c>
      <c r="AU810">
        <v>0.22852095200035494</v>
      </c>
      <c r="AV810"/>
      <c r="AW810"/>
      <c r="FY810" s="211">
        <v>805</v>
      </c>
      <c r="FZ810">
        <v>1.6670629650999489</v>
      </c>
      <c r="GA810">
        <v>2.2594312199678583</v>
      </c>
      <c r="GB810">
        <v>0.36585916706828675</v>
      </c>
      <c r="GC810">
        <v>0.10354129976396997</v>
      </c>
      <c r="GD810">
        <v>0.10445229401770284</v>
      </c>
      <c r="GE810">
        <v>0.12809556381015003</v>
      </c>
      <c r="GF810">
        <v>0.28141922272609687</v>
      </c>
      <c r="GG810">
        <v>0.13862439864731252</v>
      </c>
      <c r="GH810">
        <v>2.2985735835423678E-2</v>
      </c>
      <c r="GI810">
        <v>0.44999034753792627</v>
      </c>
      <c r="GJ810"/>
      <c r="GK810">
        <v>1.6614393382352939</v>
      </c>
      <c r="GL810">
        <v>1.902822150735294</v>
      </c>
      <c r="GM810">
        <v>0.59997656250000009</v>
      </c>
      <c r="GN810">
        <v>0.30320892857142856</v>
      </c>
      <c r="GO810">
        <v>0.39733392857142857</v>
      </c>
      <c r="GP810">
        <v>0.24065624999999999</v>
      </c>
      <c r="GQ810">
        <v>0.33965624999999999</v>
      </c>
      <c r="GR810">
        <v>0.19312499999999999</v>
      </c>
      <c r="GS810">
        <v>2.4293870192307693E-2</v>
      </c>
      <c r="GT810">
        <v>0.60453998989980606</v>
      </c>
      <c r="GU810"/>
      <c r="GV810"/>
      <c r="GW810"/>
      <c r="GX810"/>
      <c r="GY810"/>
      <c r="GZ810"/>
      <c r="HA810"/>
      <c r="HB810"/>
      <c r="HC810"/>
    </row>
    <row r="811" spans="1:211" s="7" customFormat="1">
      <c r="A811" s="4"/>
      <c r="B811" s="4"/>
      <c r="C811" s="105"/>
      <c r="D811" s="4"/>
      <c r="E811" s="4"/>
      <c r="F811" s="28"/>
      <c r="G811" s="28"/>
      <c r="H811" s="83"/>
      <c r="I811" s="4"/>
      <c r="J811" s="4"/>
      <c r="K811" s="4"/>
      <c r="L811" s="4"/>
      <c r="M811" s="4"/>
      <c r="N811" s="28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81"/>
      <c r="AG811" s="81"/>
      <c r="AH811" s="81"/>
      <c r="AI811" s="4"/>
      <c r="AJ811" s="81"/>
      <c r="AK811" s="81"/>
      <c r="AL811" s="81"/>
      <c r="AM811" s="43">
        <v>795</v>
      </c>
      <c r="AN811">
        <v>35.060806421927737</v>
      </c>
      <c r="AO811">
        <v>0.78170735856698426</v>
      </c>
      <c r="AP811">
        <v>0.740938904613056</v>
      </c>
      <c r="AQ811">
        <v>5.7431073111944793</v>
      </c>
      <c r="AR811">
        <v>0.72009590507837751</v>
      </c>
      <c r="AS811">
        <v>2.7450894800275183</v>
      </c>
      <c r="AT811" t="e">
        <v>#DIV/0!</v>
      </c>
      <c r="AU811" t="e">
        <v>#DIV/0!</v>
      </c>
      <c r="AV811"/>
      <c r="AW811"/>
      <c r="FY811" s="211">
        <v>806</v>
      </c>
      <c r="FZ811">
        <v>0.95550917024889559</v>
      </c>
      <c r="GA811">
        <v>1.2300154739160134</v>
      </c>
      <c r="GB811">
        <v>0.97165579485150344</v>
      </c>
      <c r="GC811">
        <v>0.73474041561031189</v>
      </c>
      <c r="GD811">
        <v>0.25584973078254747</v>
      </c>
      <c r="GE811">
        <v>0.14249529550395001</v>
      </c>
      <c r="GF811">
        <v>0.40076205580648128</v>
      </c>
      <c r="GG811">
        <v>0.37841261417090627</v>
      </c>
      <c r="GH811">
        <v>0.1330459067538125</v>
      </c>
      <c r="GI811">
        <v>0.61711786866526686</v>
      </c>
      <c r="GJ811"/>
      <c r="GK811">
        <v>0.95210624999999993</v>
      </c>
      <c r="GL811">
        <v>1.0356960937499999</v>
      </c>
      <c r="GM811">
        <v>1.5950884232954543</v>
      </c>
      <c r="GN811">
        <v>2.1555892045454543</v>
      </c>
      <c r="GO811">
        <v>0.97362187499999986</v>
      </c>
      <c r="GP811">
        <v>0.26784374999999999</v>
      </c>
      <c r="GQ811">
        <v>0.48393750000000002</v>
      </c>
      <c r="GR811">
        <v>0.52697916666666667</v>
      </c>
      <c r="GS811">
        <v>0.14072916666666666</v>
      </c>
      <c r="GT811">
        <v>0.82909664299242403</v>
      </c>
      <c r="GU811"/>
      <c r="GV811"/>
      <c r="GW811"/>
      <c r="GX811"/>
      <c r="GY811"/>
      <c r="GZ811"/>
      <c r="HA811"/>
      <c r="HB811"/>
      <c r="HC811"/>
    </row>
    <row r="812" spans="1:211" s="7" customFormat="1">
      <c r="A812" s="4"/>
      <c r="B812" s="4"/>
      <c r="C812" s="105"/>
      <c r="D812" s="4"/>
      <c r="E812" s="4"/>
      <c r="F812" s="28"/>
      <c r="G812" s="28"/>
      <c r="H812" s="83"/>
      <c r="I812" s="4"/>
      <c r="J812" s="4"/>
      <c r="K812" s="4"/>
      <c r="L812" s="4"/>
      <c r="M812" s="4"/>
      <c r="N812" s="28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81"/>
      <c r="AG812" s="81"/>
      <c r="AH812" s="81"/>
      <c r="AI812" s="4"/>
      <c r="AJ812" s="81"/>
      <c r="AK812" s="81"/>
      <c r="AL812" s="81"/>
      <c r="AM812" s="43">
        <v>796</v>
      </c>
      <c r="AN812">
        <v>36.04411495367377</v>
      </c>
      <c r="AO812">
        <v>0.98552930276341288</v>
      </c>
      <c r="AP812">
        <v>1.2889414680426021</v>
      </c>
      <c r="AQ812">
        <v>6.8540121676024341</v>
      </c>
      <c r="AR812">
        <v>0.92349937707513075</v>
      </c>
      <c r="AS812">
        <v>3.4423097598698469</v>
      </c>
      <c r="AT812" t="e">
        <v>#DIV/0!</v>
      </c>
      <c r="AU812" t="e">
        <v>#DIV/0!</v>
      </c>
      <c r="AV812"/>
      <c r="AW812"/>
      <c r="FY812" s="211">
        <v>807</v>
      </c>
      <c r="FZ812">
        <v>1.0367277809853068</v>
      </c>
      <c r="GA812">
        <v>1.7682488955311231</v>
      </c>
      <c r="GB812">
        <v>0.42108570518679844</v>
      </c>
      <c r="GC812">
        <v>0.52044811095235621</v>
      </c>
      <c r="GD812">
        <v>0.42562229839640359</v>
      </c>
      <c r="GE812">
        <v>0.14249529550395001</v>
      </c>
      <c r="GF812">
        <v>8.1038194822856249E-2</v>
      </c>
      <c r="GG812">
        <v>5.0581908438140623E-2</v>
      </c>
      <c r="GH812">
        <v>0.11249442504775362</v>
      </c>
      <c r="GI812">
        <v>0.53004852476164421</v>
      </c>
      <c r="GJ812"/>
      <c r="GK812">
        <v>1.0332674632352941</v>
      </c>
      <c r="GL812">
        <v>1.489454963235294</v>
      </c>
      <c r="GM812">
        <v>0.69095312500000006</v>
      </c>
      <c r="GN812">
        <v>1.5242299107142856</v>
      </c>
      <c r="GO812">
        <v>1.6189955357142856</v>
      </c>
      <c r="GP812">
        <v>0.26784374999999999</v>
      </c>
      <c r="GQ812">
        <v>9.768750000000001E-2</v>
      </c>
      <c r="GR812">
        <v>7.0364583333333328E-2</v>
      </c>
      <c r="GS812">
        <v>0.11895232371794871</v>
      </c>
      <c r="GT812">
        <v>0.71197118953350569</v>
      </c>
      <c r="GU812"/>
      <c r="GV812"/>
      <c r="GW812"/>
      <c r="GX812"/>
      <c r="GY812"/>
      <c r="GZ812"/>
      <c r="HA812"/>
      <c r="HB812"/>
      <c r="HC812"/>
    </row>
    <row r="813" spans="1:211" s="7" customFormat="1">
      <c r="A813" s="4"/>
      <c r="B813" s="4"/>
      <c r="C813" s="105"/>
      <c r="D813" s="4"/>
      <c r="E813" s="4"/>
      <c r="F813" s="28"/>
      <c r="G813" s="28"/>
      <c r="H813" s="83"/>
      <c r="I813" s="4"/>
      <c r="J813" s="4"/>
      <c r="K813" s="4"/>
      <c r="L813" s="4"/>
      <c r="M813" s="4"/>
      <c r="N813" s="28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81"/>
      <c r="AG813" s="81"/>
      <c r="AH813" s="81"/>
      <c r="AI813" s="4"/>
      <c r="AJ813" s="81"/>
      <c r="AK813" s="81"/>
      <c r="AL813" s="81"/>
      <c r="AM813" s="43">
        <v>797</v>
      </c>
      <c r="AN813">
        <v>37.706695054229421</v>
      </c>
      <c r="AO813">
        <v>0.91824264603314154</v>
      </c>
      <c r="AP813">
        <v>6.4492748455733402</v>
      </c>
      <c r="AQ813">
        <v>6.9069887736946063</v>
      </c>
      <c r="AR813">
        <v>0.84925467821194656</v>
      </c>
      <c r="AS813">
        <v>3.1653555687527635</v>
      </c>
      <c r="AT813" t="e">
        <v>#DIV/0!</v>
      </c>
      <c r="AU813" t="e">
        <v>#DIV/0!</v>
      </c>
      <c r="AV813"/>
      <c r="AW813"/>
      <c r="FY813" s="211">
        <v>808</v>
      </c>
      <c r="FZ813">
        <v>1.2401831776310246</v>
      </c>
      <c r="GA813">
        <v>1.8842957349929288</v>
      </c>
      <c r="GB813">
        <v>0.21398097090428439</v>
      </c>
      <c r="GC813">
        <v>0.11534928228012749</v>
      </c>
      <c r="GD813">
        <v>0.11260818976848425</v>
      </c>
      <c r="GE813">
        <v>0.10020889731645002</v>
      </c>
      <c r="GF813">
        <v>0.57499774394694703</v>
      </c>
      <c r="GG813">
        <v>0.4281665527876255</v>
      </c>
      <c r="GH813">
        <v>4.5971471670847357E-2</v>
      </c>
      <c r="GI813">
        <v>0.41061111188256844</v>
      </c>
      <c r="GJ813"/>
      <c r="GK813">
        <v>1.2358424632352942</v>
      </c>
      <c r="GL813">
        <v>1.587123713235294</v>
      </c>
      <c r="GM813">
        <v>0.35128124999999999</v>
      </c>
      <c r="GN813">
        <v>0.33822589285714277</v>
      </c>
      <c r="GO813">
        <v>0.42869464285714276</v>
      </c>
      <c r="GP813">
        <v>0.18815625000000002</v>
      </c>
      <c r="GQ813">
        <v>0.69359510869565222</v>
      </c>
      <c r="GR813">
        <v>0.59590760869565207</v>
      </c>
      <c r="GS813">
        <v>4.8587740384615385E-2</v>
      </c>
      <c r="GT813">
        <v>0.55160024103454086</v>
      </c>
      <c r="GU813"/>
      <c r="GV813"/>
      <c r="GW813"/>
      <c r="GX813"/>
      <c r="GY813"/>
      <c r="GZ813"/>
      <c r="HA813"/>
      <c r="HB813"/>
      <c r="HC813"/>
    </row>
    <row r="814" spans="1:211" s="7" customFormat="1">
      <c r="A814" s="4"/>
      <c r="B814" s="4"/>
      <c r="C814" s="105"/>
      <c r="D814" s="4"/>
      <c r="E814" s="4"/>
      <c r="F814" s="28"/>
      <c r="G814" s="28"/>
      <c r="H814" s="83"/>
      <c r="I814" s="4"/>
      <c r="J814" s="4"/>
      <c r="K814" s="4"/>
      <c r="L814" s="4"/>
      <c r="M814" s="4"/>
      <c r="N814" s="28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81"/>
      <c r="AG814" s="81"/>
      <c r="AH814" s="81"/>
      <c r="AI814" s="4"/>
      <c r="AJ814" s="81"/>
      <c r="AK814" s="81"/>
      <c r="AL814" s="81"/>
      <c r="AM814" s="43">
        <v>798</v>
      </c>
      <c r="AN814">
        <v>34.547286985446348</v>
      </c>
      <c r="AO814">
        <v>0.81910247787837953</v>
      </c>
      <c r="AP814">
        <v>6.634878393631233</v>
      </c>
      <c r="AQ814">
        <v>6.7466633149020314</v>
      </c>
      <c r="AR814">
        <v>0.75912725261670855</v>
      </c>
      <c r="AS814">
        <v>2.7487252586475286</v>
      </c>
      <c r="AT814" t="e">
        <v>#DIV/0!</v>
      </c>
      <c r="AU814" t="e">
        <v>#DIV/0!</v>
      </c>
      <c r="AV814"/>
      <c r="AW814"/>
      <c r="FY814" s="211">
        <v>809</v>
      </c>
      <c r="FZ814">
        <v>2.8226596396909258</v>
      </c>
      <c r="GA814">
        <v>3.3372913072333894</v>
      </c>
      <c r="GB814">
        <v>0.91943183030416864</v>
      </c>
      <c r="GC814">
        <v>0.89912611613835447</v>
      </c>
      <c r="GD814">
        <v>0.40294370617093928</v>
      </c>
      <c r="GE814">
        <v>0.15796961026852496</v>
      </c>
      <c r="GF814">
        <v>0.86857626516779707</v>
      </c>
      <c r="GG814">
        <v>0.71770870692793864</v>
      </c>
      <c r="GH814">
        <v>0</v>
      </c>
      <c r="GI814">
        <v>1.0275880391362844</v>
      </c>
      <c r="GJ814"/>
      <c r="GK814">
        <v>2.8133042279411762</v>
      </c>
      <c r="GL814">
        <v>2.8114761029411763</v>
      </c>
      <c r="GM814">
        <v>1.5096704545454545</v>
      </c>
      <c r="GN814">
        <v>2.6364650974025974</v>
      </c>
      <c r="GO814">
        <v>1.532263392857143</v>
      </c>
      <c r="GP814">
        <v>0.29676562500000003</v>
      </c>
      <c r="GQ814">
        <v>1.0475339673913044</v>
      </c>
      <c r="GR814">
        <v>0.99869021739130437</v>
      </c>
      <c r="GS814">
        <v>0</v>
      </c>
      <c r="GT814">
        <v>1.3805544085470158</v>
      </c>
      <c r="GU814"/>
      <c r="GV814"/>
      <c r="GW814"/>
      <c r="GX814"/>
      <c r="GY814"/>
      <c r="GZ814"/>
      <c r="HA814"/>
      <c r="HB814"/>
      <c r="HC814"/>
    </row>
    <row r="815" spans="1:211" s="7" customFormat="1">
      <c r="A815" s="4"/>
      <c r="B815" s="4"/>
      <c r="C815" s="105"/>
      <c r="D815" s="4"/>
      <c r="E815" s="4"/>
      <c r="F815" s="28"/>
      <c r="G815" s="28"/>
      <c r="H815" s="83"/>
      <c r="I815" s="4"/>
      <c r="J815" s="4"/>
      <c r="K815" s="4"/>
      <c r="L815" s="4"/>
      <c r="M815" s="4"/>
      <c r="N815" s="28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81"/>
      <c r="AG815" s="81"/>
      <c r="AH815" s="81"/>
      <c r="AI815" s="4"/>
      <c r="AJ815" s="81"/>
      <c r="AK815" s="81"/>
      <c r="AL815" s="81"/>
      <c r="AM815" s="43">
        <v>799</v>
      </c>
      <c r="AN815">
        <v>55.558847096530918</v>
      </c>
      <c r="AO815">
        <v>1.1419089500848416</v>
      </c>
      <c r="AP815">
        <v>3.1501037870709871</v>
      </c>
      <c r="AQ815">
        <v>7.1794933465395498</v>
      </c>
      <c r="AR815">
        <v>1.0801513291855203</v>
      </c>
      <c r="AS815">
        <v>4.5304656778839298</v>
      </c>
      <c r="AT815" t="e">
        <v>#DIV/0!</v>
      </c>
      <c r="AU815" t="e">
        <v>#DIV/0!</v>
      </c>
      <c r="AV815"/>
      <c r="AW815"/>
      <c r="FY815" s="211">
        <v>810</v>
      </c>
      <c r="FZ815">
        <v>0.36518215119445963</v>
      </c>
      <c r="GA815">
        <v>0.3332277425109384</v>
      </c>
      <c r="GB815">
        <v>0.33095858912154835</v>
      </c>
      <c r="GC815">
        <v>0.27689320374457493</v>
      </c>
      <c r="GD815">
        <v>0.12723992601004286</v>
      </c>
      <c r="GE815">
        <v>0.14731318231042501</v>
      </c>
      <c r="GF815">
        <v>1.0545835354223847</v>
      </c>
      <c r="GG815">
        <v>0.844039748729563</v>
      </c>
      <c r="GH815">
        <v>2.2985735835423678E-2</v>
      </c>
      <c r="GI815">
        <v>0.40028509498588527</v>
      </c>
      <c r="GJ815"/>
      <c r="GK815">
        <v>0.36387187499999996</v>
      </c>
      <c r="GL815">
        <v>0.28052812499999996</v>
      </c>
      <c r="GM815">
        <v>0.54314062499999993</v>
      </c>
      <c r="GN815">
        <v>0.81200892857142848</v>
      </c>
      <c r="GO815">
        <v>0.4842589285714286</v>
      </c>
      <c r="GP815">
        <v>0.276890625</v>
      </c>
      <c r="GQ815">
        <v>1.2729701086956524</v>
      </c>
      <c r="GR815">
        <v>1.1752826086956523</v>
      </c>
      <c r="GS815">
        <v>2.4293870192307693E-2</v>
      </c>
      <c r="GT815">
        <v>0.53770708149187763</v>
      </c>
      <c r="GU815"/>
      <c r="GV815"/>
      <c r="GW815"/>
      <c r="GX815"/>
      <c r="GY815"/>
      <c r="GZ815"/>
      <c r="HA815"/>
      <c r="HB815"/>
      <c r="HC815"/>
    </row>
    <row r="816" spans="1:211" s="7" customFormat="1">
      <c r="A816" s="4"/>
      <c r="B816" s="4"/>
      <c r="C816" s="105"/>
      <c r="D816" s="4"/>
      <c r="E816" s="4"/>
      <c r="F816" s="28"/>
      <c r="G816" s="28"/>
      <c r="H816" s="83"/>
      <c r="I816" s="4"/>
      <c r="J816" s="4"/>
      <c r="K816" s="4"/>
      <c r="L816" s="4"/>
      <c r="M816" s="4"/>
      <c r="N816" s="28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81"/>
      <c r="AG816" s="81"/>
      <c r="AH816" s="81"/>
      <c r="AI816" s="4"/>
      <c r="AJ816" s="81"/>
      <c r="AK816" s="81"/>
      <c r="AL816" s="81"/>
      <c r="AM816" s="43">
        <v>800</v>
      </c>
      <c r="AN816">
        <v>26.116264090177133</v>
      </c>
      <c r="AO816">
        <v>0.52024888224637666</v>
      </c>
      <c r="AP816">
        <v>4.0300842168879205</v>
      </c>
      <c r="AQ816">
        <v>3.8213252654109278</v>
      </c>
      <c r="AR816">
        <v>0.47657568840579712</v>
      </c>
      <c r="AS816">
        <v>2.2039185025129195</v>
      </c>
      <c r="AT816" t="e">
        <v>#DIV/0!</v>
      </c>
      <c r="AU816" t="e">
        <v>#DIV/0!</v>
      </c>
      <c r="AV816"/>
      <c r="AW816"/>
      <c r="FY816" s="211">
        <v>811</v>
      </c>
      <c r="FZ816">
        <v>1.4273238133872621</v>
      </c>
      <c r="GA816">
        <v>2.3599187174440064</v>
      </c>
      <c r="GB816">
        <v>1.0134752108044041</v>
      </c>
      <c r="GC816">
        <v>0.46047031975341635</v>
      </c>
      <c r="GD816">
        <v>0.12690075135070927</v>
      </c>
      <c r="GE816">
        <v>0.17434885128142502</v>
      </c>
      <c r="GF816">
        <v>0.74923343208741267</v>
      </c>
      <c r="GG816">
        <v>0.57908430828062596</v>
      </c>
      <c r="GH816">
        <v>4.5971471670847357E-2</v>
      </c>
      <c r="GI816">
        <v>0.67305910250065693</v>
      </c>
      <c r="GJ816"/>
      <c r="GK816">
        <v>1.422245588235294</v>
      </c>
      <c r="GL816">
        <v>1.9876166819852941</v>
      </c>
      <c r="GM816">
        <v>1.6640181107954541</v>
      </c>
      <c r="GN816">
        <v>1.3517947849025971</v>
      </c>
      <c r="GO816">
        <v>0.48297589285714282</v>
      </c>
      <c r="GP816">
        <v>0.32751562500000003</v>
      </c>
      <c r="GQ816">
        <v>0.90325271739130431</v>
      </c>
      <c r="GR816">
        <v>0.80556521739130427</v>
      </c>
      <c r="GS816">
        <v>4.8587740384615385E-2</v>
      </c>
      <c r="GT816">
        <v>0.90421600993276208</v>
      </c>
      <c r="GU816"/>
      <c r="GV816"/>
      <c r="GW816"/>
      <c r="GX816"/>
      <c r="GY816"/>
      <c r="GZ816"/>
      <c r="HA816"/>
      <c r="HB816"/>
      <c r="HC816"/>
    </row>
    <row r="817" spans="1:211" s="7" customFormat="1">
      <c r="A817" s="4"/>
      <c r="B817" s="4"/>
      <c r="C817" s="105"/>
      <c r="D817" s="4"/>
      <c r="E817" s="4"/>
      <c r="F817" s="28"/>
      <c r="G817" s="28"/>
      <c r="H817" s="83"/>
      <c r="I817" s="4"/>
      <c r="J817" s="4"/>
      <c r="K817" s="4"/>
      <c r="L817" s="4"/>
      <c r="M817" s="4"/>
      <c r="N817" s="28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81"/>
      <c r="AG817" s="81"/>
      <c r="AH817" s="81"/>
      <c r="AI817" s="4"/>
      <c r="AJ817" s="81"/>
      <c r="AK817" s="81"/>
      <c r="AL817" s="81"/>
      <c r="AM817" s="43">
        <v>801</v>
      </c>
      <c r="AN817">
        <v>34.851006559953966</v>
      </c>
      <c r="AO817">
        <v>0.7095506349645001</v>
      </c>
      <c r="AP817">
        <v>0.41653536333907537</v>
      </c>
      <c r="AQ817">
        <v>5.834869601933736</v>
      </c>
      <c r="AR817">
        <v>0.66898751998520978</v>
      </c>
      <c r="AS817">
        <v>2.9759332484033281</v>
      </c>
      <c r="AT817" t="e">
        <v>#DIV/0!</v>
      </c>
      <c r="AU817" t="e">
        <v>#DIV/0!</v>
      </c>
      <c r="AV817"/>
      <c r="AW817"/>
      <c r="FY817" s="211">
        <v>812</v>
      </c>
      <c r="FZ817">
        <v>1.2419977251488572</v>
      </c>
      <c r="GA817">
        <v>2.1519649285647198</v>
      </c>
      <c r="GB817">
        <v>0.52901435397674534</v>
      </c>
      <c r="GC817">
        <v>0.34273351222539183</v>
      </c>
      <c r="GD817">
        <v>0.24115321868177247</v>
      </c>
      <c r="GE817">
        <v>0.16663865826195001</v>
      </c>
      <c r="GF817">
        <v>0.61551684135837503</v>
      </c>
      <c r="GG817">
        <v>0.4281665527876255</v>
      </c>
      <c r="GH817">
        <v>9.1942943341694713E-2</v>
      </c>
      <c r="GI817">
        <v>0.5751522883378456</v>
      </c>
      <c r="GJ817"/>
      <c r="GK817">
        <v>1.2376705882352941</v>
      </c>
      <c r="GL817">
        <v>1.812428400735294</v>
      </c>
      <c r="GM817">
        <v>0.86807812500000003</v>
      </c>
      <c r="GN817">
        <v>1.0044421875</v>
      </c>
      <c r="GO817">
        <v>0.91746562499999995</v>
      </c>
      <c r="GP817">
        <v>0.31303125000000004</v>
      </c>
      <c r="GQ817">
        <v>0.74243885869565207</v>
      </c>
      <c r="GR817">
        <v>0.59590760869565207</v>
      </c>
      <c r="GS817">
        <v>9.7175480769230771E-2</v>
      </c>
      <c r="GT817">
        <v>0.77256573554003538</v>
      </c>
      <c r="GU817"/>
      <c r="GV817"/>
      <c r="GW817"/>
      <c r="GX817"/>
      <c r="GY817"/>
      <c r="GZ817"/>
      <c r="HA817"/>
      <c r="HB817"/>
      <c r="HC817"/>
    </row>
    <row r="818" spans="1:211" s="7" customFormat="1">
      <c r="A818" s="4"/>
      <c r="B818" s="4"/>
      <c r="C818" s="105"/>
      <c r="D818" s="4"/>
      <c r="E818" s="4"/>
      <c r="F818" s="28"/>
      <c r="G818" s="28"/>
      <c r="H818" s="83"/>
      <c r="I818" s="4"/>
      <c r="J818" s="4"/>
      <c r="K818" s="4"/>
      <c r="L818" s="4"/>
      <c r="M818" s="4"/>
      <c r="N818" s="28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81"/>
      <c r="AG818" s="81"/>
      <c r="AH818" s="81"/>
      <c r="AI818" s="4"/>
      <c r="AJ818" s="81"/>
      <c r="AK818" s="81"/>
      <c r="AL818" s="81"/>
      <c r="AM818" s="43">
        <v>802</v>
      </c>
      <c r="AN818">
        <v>47.242914835945527</v>
      </c>
      <c r="AO818">
        <v>1.0575573096596498</v>
      </c>
      <c r="AP818">
        <v>0.93829666839661396</v>
      </c>
      <c r="AQ818">
        <v>7.5933913054696864</v>
      </c>
      <c r="AR818">
        <v>0.97811290607170953</v>
      </c>
      <c r="AS818">
        <v>3.910157007634103</v>
      </c>
      <c r="AT818" t="e">
        <v>#DIV/0!</v>
      </c>
      <c r="AU818" t="e">
        <v>#DIV/0!</v>
      </c>
      <c r="AV818"/>
      <c r="AW818"/>
      <c r="FY818" s="211">
        <v>813</v>
      </c>
      <c r="FZ818">
        <v>0.89555714926354413</v>
      </c>
      <c r="GA818">
        <v>1.3493169014222692</v>
      </c>
      <c r="GB818">
        <v>0.46797709583724256</v>
      </c>
      <c r="GC818">
        <v>0.44779068147102813</v>
      </c>
      <c r="GD818">
        <v>0.26573636647531607</v>
      </c>
      <c r="GE818">
        <v>8.088342136492499E-2</v>
      </c>
      <c r="GF818">
        <v>1.8564953634159784</v>
      </c>
      <c r="GG818">
        <v>1.6246237209413301</v>
      </c>
      <c r="GH818">
        <v>0.11249442504775362</v>
      </c>
      <c r="GI818">
        <v>0.74896168275035579</v>
      </c>
      <c r="GJ818"/>
      <c r="GK818">
        <v>0.892340625</v>
      </c>
      <c r="GL818">
        <v>1.1361726562499999</v>
      </c>
      <c r="GM818">
        <v>0.76762109374999998</v>
      </c>
      <c r="GN818">
        <v>1.3121595982142857</v>
      </c>
      <c r="GO818">
        <v>1.0110736607142856</v>
      </c>
      <c r="GP818">
        <v>0.15201562499999999</v>
      </c>
      <c r="GQ818">
        <v>2.2393491847826086</v>
      </c>
      <c r="GR818">
        <v>2.2608700181159418</v>
      </c>
      <c r="GS818">
        <v>0.11895232371794871</v>
      </c>
      <c r="GT818">
        <v>1.0058673775929685</v>
      </c>
      <c r="GU818"/>
      <c r="GV818"/>
      <c r="GW818"/>
      <c r="GX818"/>
      <c r="GY818"/>
      <c r="GZ818"/>
      <c r="HA818"/>
      <c r="HB818"/>
      <c r="HC818"/>
    </row>
    <row r="819" spans="1:211" s="7" customFormat="1">
      <c r="A819" s="4"/>
      <c r="B819" s="4"/>
      <c r="C819" s="105"/>
      <c r="D819" s="4"/>
      <c r="E819" s="4"/>
      <c r="F819" s="28"/>
      <c r="G819" s="28"/>
      <c r="H819" s="83"/>
      <c r="I819" s="4"/>
      <c r="J819" s="4"/>
      <c r="K819" s="4"/>
      <c r="L819" s="4"/>
      <c r="M819" s="4"/>
      <c r="N819" s="28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81"/>
      <c r="AG819" s="81"/>
      <c r="AH819" s="81"/>
      <c r="AI819" s="4"/>
      <c r="AJ819" s="81"/>
      <c r="AK819" s="81"/>
      <c r="AL819" s="81"/>
      <c r="AM819" s="43">
        <v>803</v>
      </c>
      <c r="AN819">
        <v>24.07374961550952</v>
      </c>
      <c r="AO819">
        <v>0.50076280683949992</v>
      </c>
      <c r="AP819">
        <v>9.6037015846338338</v>
      </c>
      <c r="AQ819">
        <v>4.1503108085538765</v>
      </c>
      <c r="AR819">
        <v>0.46831392623520979</v>
      </c>
      <c r="AS819">
        <v>2.0201190701297489</v>
      </c>
      <c r="AT819" t="e">
        <v>#DIV/0!</v>
      </c>
      <c r="AU819" t="e">
        <v>#DIV/0!</v>
      </c>
      <c r="AV819"/>
      <c r="AW819"/>
      <c r="FY819" s="211">
        <v>814</v>
      </c>
      <c r="FZ819">
        <v>2.4271807106561103</v>
      </c>
      <c r="GA819">
        <v>3.4353615838349336</v>
      </c>
      <c r="GB819">
        <v>2.2148447559901627</v>
      </c>
      <c r="GC819">
        <v>1.6329002883146386</v>
      </c>
      <c r="GD819">
        <v>0.49775456085243736</v>
      </c>
      <c r="GE819">
        <v>7.7086188903599986E-2</v>
      </c>
      <c r="GF819">
        <v>0.6538214796159032</v>
      </c>
      <c r="GG819">
        <v>0.61737285987307855</v>
      </c>
      <c r="GH819">
        <v>8.9508689212329934E-2</v>
      </c>
      <c r="GI819">
        <v>1.3146864385820092</v>
      </c>
      <c r="GJ819"/>
      <c r="GK819">
        <v>2.4189711397058824</v>
      </c>
      <c r="GL819">
        <v>2.8936859834558826</v>
      </c>
      <c r="GM819">
        <v>3.6367105823863635</v>
      </c>
      <c r="GN819">
        <v>4.7901988636363635</v>
      </c>
      <c r="GO819">
        <v>1.8924843749999998</v>
      </c>
      <c r="GP819">
        <v>0.14474999999999999</v>
      </c>
      <c r="GQ819">
        <v>0.78903260869565206</v>
      </c>
      <c r="GR819">
        <v>0.85939719202898535</v>
      </c>
      <c r="GS819">
        <v>9.465845352564102E-2</v>
      </c>
      <c r="GT819">
        <v>1.766371431862708</v>
      </c>
      <c r="GU819"/>
      <c r="GV819"/>
      <c r="GW819"/>
      <c r="GX819"/>
      <c r="GY819"/>
      <c r="GZ819"/>
      <c r="HA819"/>
      <c r="HB819"/>
      <c r="HC819"/>
    </row>
    <row r="820" spans="1:211" s="7" customFormat="1">
      <c r="A820" s="4"/>
      <c r="B820" s="4"/>
      <c r="C820" s="105"/>
      <c r="D820" s="4"/>
      <c r="E820" s="4"/>
      <c r="F820" s="28"/>
      <c r="G820" s="28"/>
      <c r="H820" s="83"/>
      <c r="I820" s="4"/>
      <c r="J820" s="4"/>
      <c r="K820" s="4"/>
      <c r="L820" s="4"/>
      <c r="M820" s="4"/>
      <c r="N820" s="28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81"/>
      <c r="AG820" s="81"/>
      <c r="AH820" s="81"/>
      <c r="AI820" s="4"/>
      <c r="AJ820" s="81"/>
      <c r="AK820" s="81"/>
      <c r="AL820" s="81"/>
      <c r="AM820" s="43">
        <v>804</v>
      </c>
      <c r="AN820">
        <v>39.472690272690265</v>
      </c>
      <c r="AO820">
        <v>0.86973067811355309</v>
      </c>
      <c r="AP820">
        <v>0.77893366684755416</v>
      </c>
      <c r="AQ820">
        <v>4.9668082010025039</v>
      </c>
      <c r="AR820">
        <v>0.80373926375707627</v>
      </c>
      <c r="AS820">
        <v>3.3970765865850305</v>
      </c>
      <c r="AT820">
        <v>0.63527695674105555</v>
      </c>
      <c r="AU820">
        <v>5.2365812934741893E-2</v>
      </c>
      <c r="AV820"/>
      <c r="AW820"/>
      <c r="FY820" s="211">
        <v>815</v>
      </c>
      <c r="FZ820">
        <v>0.89925517652792908</v>
      </c>
      <c r="GA820">
        <v>1.5847837194701828</v>
      </c>
      <c r="GB820">
        <v>1.3692821717514267</v>
      </c>
      <c r="GC820">
        <v>0.85087649549699018</v>
      </c>
      <c r="GD820">
        <v>0.21446192477487855</v>
      </c>
      <c r="GE820">
        <v>3.0832901432324998E-2</v>
      </c>
      <c r="GF820">
        <v>4.0519097411428125E-2</v>
      </c>
      <c r="GG820">
        <v>5.0581908438140623E-2</v>
      </c>
      <c r="GH820">
        <v>6.6522953376906252E-2</v>
      </c>
      <c r="GI820">
        <v>0.60718929371164365</v>
      </c>
      <c r="GJ820"/>
      <c r="GK820">
        <v>0.89586562499999989</v>
      </c>
      <c r="GL820">
        <v>1.33439296875</v>
      </c>
      <c r="GM820">
        <v>2.2483995028409089</v>
      </c>
      <c r="GN820">
        <v>2.4967583198051946</v>
      </c>
      <c r="GO820">
        <v>0.81546428571428564</v>
      </c>
      <c r="GP820">
        <v>5.7890625000000001E-2</v>
      </c>
      <c r="GQ820">
        <v>4.8843750000000005E-2</v>
      </c>
      <c r="GR820">
        <v>7.0364583333333328E-2</v>
      </c>
      <c r="GS820">
        <v>7.0364583333333328E-2</v>
      </c>
      <c r="GT820">
        <v>0.81578754937770559</v>
      </c>
      <c r="GU820"/>
      <c r="GV820"/>
      <c r="GW820"/>
      <c r="GX820"/>
      <c r="GY820"/>
      <c r="GZ820"/>
      <c r="HA820"/>
      <c r="HB820"/>
      <c r="HC820"/>
    </row>
    <row r="821" spans="1:211" s="7" customFormat="1">
      <c r="A821" s="4"/>
      <c r="B821" s="4"/>
      <c r="C821" s="105"/>
      <c r="D821" s="4"/>
      <c r="E821" s="4"/>
      <c r="F821" s="28"/>
      <c r="G821" s="28"/>
      <c r="H821" s="83"/>
      <c r="I821" s="4"/>
      <c r="J821" s="4"/>
      <c r="K821" s="4"/>
      <c r="L821" s="4"/>
      <c r="M821" s="4"/>
      <c r="N821" s="28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81"/>
      <c r="AG821" s="81"/>
      <c r="AH821" s="81"/>
      <c r="AI821" s="4"/>
      <c r="AJ821" s="81"/>
      <c r="AK821" s="81"/>
      <c r="AL821" s="81"/>
      <c r="AM821" s="43">
        <v>805</v>
      </c>
      <c r="AN821">
        <v>28.333747890181705</v>
      </c>
      <c r="AO821">
        <v>0.62670522687055585</v>
      </c>
      <c r="AP821">
        <v>3.4733351643995056</v>
      </c>
      <c r="AQ821">
        <v>5.5214622144746759</v>
      </c>
      <c r="AR821">
        <v>0.60453998989980595</v>
      </c>
      <c r="AS821">
        <v>2.0717252385768252</v>
      </c>
      <c r="AT821" t="e">
        <v>#DIV/0!</v>
      </c>
      <c r="AU821" t="e">
        <v>#DIV/0!</v>
      </c>
      <c r="AV821"/>
      <c r="AW821"/>
      <c r="FY821" s="211">
        <v>816</v>
      </c>
      <c r="FZ821">
        <v>2.9521947667415351</v>
      </c>
      <c r="GA821">
        <v>3.5229393277609224</v>
      </c>
      <c r="GB821">
        <v>0.30162626090685002</v>
      </c>
      <c r="GC821">
        <v>0.30474902064985748</v>
      </c>
      <c r="GD821">
        <v>0.22119407631143673</v>
      </c>
      <c r="GE821">
        <v>5.2996754871224995E-2</v>
      </c>
      <c r="GF821">
        <v>0.66819523726455643</v>
      </c>
      <c r="GG821">
        <v>0.57908430828062596</v>
      </c>
      <c r="GH821">
        <v>0</v>
      </c>
      <c r="GI821">
        <v>0.75685245427162684</v>
      </c>
      <c r="GJ821"/>
      <c r="GK821">
        <v>2.9421242647058818</v>
      </c>
      <c r="GL821">
        <v>2.9673430147058824</v>
      </c>
      <c r="GM821">
        <v>0.49475000000000002</v>
      </c>
      <c r="GN821">
        <v>0.89233839285714267</v>
      </c>
      <c r="GO821">
        <v>0.84107276785714258</v>
      </c>
      <c r="GP821">
        <v>9.9515624999999996E-2</v>
      </c>
      <c r="GQ821">
        <v>0.80556521739130427</v>
      </c>
      <c r="GR821">
        <v>0.80556521739130427</v>
      </c>
      <c r="GS821">
        <v>0</v>
      </c>
      <c r="GT821">
        <v>1.0167024499908659</v>
      </c>
      <c r="GU821"/>
      <c r="GV821"/>
      <c r="GW821"/>
      <c r="GX821"/>
      <c r="GY821"/>
      <c r="GZ821"/>
      <c r="HA821"/>
      <c r="HB821"/>
      <c r="HC821"/>
    </row>
    <row r="822" spans="1:211" s="7" customFormat="1">
      <c r="A822" s="4"/>
      <c r="B822" s="4"/>
      <c r="C822" s="105"/>
      <c r="D822" s="4"/>
      <c r="E822" s="4"/>
      <c r="F822" s="28"/>
      <c r="G822" s="28"/>
      <c r="H822" s="83"/>
      <c r="I822" s="4"/>
      <c r="J822" s="4"/>
      <c r="K822" s="4"/>
      <c r="L822" s="4"/>
      <c r="M822" s="4"/>
      <c r="N822" s="28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81"/>
      <c r="AG822" s="81"/>
      <c r="AH822" s="81"/>
      <c r="AI822" s="4"/>
      <c r="AJ822" s="81"/>
      <c r="AK822" s="81"/>
      <c r="AL822" s="81"/>
      <c r="AM822" s="43">
        <v>806</v>
      </c>
      <c r="AN822">
        <v>37.65896990740741</v>
      </c>
      <c r="AO822">
        <v>0.8960688072916666</v>
      </c>
      <c r="AP822">
        <v>1.3100898635446265</v>
      </c>
      <c r="AQ822">
        <v>5.8196043263096886</v>
      </c>
      <c r="AR822">
        <v>0.82909664299242392</v>
      </c>
      <c r="AS822">
        <v>3.0070911111014453</v>
      </c>
      <c r="AT822" t="e">
        <v>#DIV/0!</v>
      </c>
      <c r="AU822" t="e">
        <v>#DIV/0!</v>
      </c>
      <c r="AV822"/>
      <c r="AW822"/>
      <c r="FY822" s="211">
        <v>817</v>
      </c>
      <c r="FZ822">
        <v>0.95497720548700527</v>
      </c>
      <c r="GA822">
        <v>1.7166859875614233</v>
      </c>
      <c r="GB822">
        <v>1.1706982171022955</v>
      </c>
      <c r="GC822">
        <v>0.76838530611121691</v>
      </c>
      <c r="GD822">
        <v>0.24436420620128035</v>
      </c>
      <c r="GE822">
        <v>5.486840673907499E-2</v>
      </c>
      <c r="GF822">
        <v>0.66819523726455643</v>
      </c>
      <c r="GG822">
        <v>0.68024812515690725</v>
      </c>
      <c r="GH822">
        <v>0.1330459067538125</v>
      </c>
      <c r="GI822">
        <v>0.7070431044178711</v>
      </c>
      <c r="GJ822"/>
      <c r="GK822">
        <v>0.95175183823529408</v>
      </c>
      <c r="GL822">
        <v>1.4459549632352942</v>
      </c>
      <c r="GM822">
        <v>1.9217173295454546</v>
      </c>
      <c r="GN822">
        <v>2.2535856331168826</v>
      </c>
      <c r="GO822">
        <v>0.9292433035714287</v>
      </c>
      <c r="GP822">
        <v>0.103171875</v>
      </c>
      <c r="GQ822">
        <v>0.80556521739130427</v>
      </c>
      <c r="GR822">
        <v>0.94629438405797084</v>
      </c>
      <c r="GS822">
        <v>0.14072916666666666</v>
      </c>
      <c r="GT822">
        <v>0.94980137108202956</v>
      </c>
      <c r="GU822"/>
      <c r="GV822"/>
      <c r="GW822"/>
      <c r="GX822"/>
      <c r="GY822"/>
      <c r="GZ822"/>
      <c r="HA822"/>
      <c r="HB822"/>
      <c r="HC822"/>
    </row>
    <row r="823" spans="1:211" s="7" customFormat="1">
      <c r="A823" s="4"/>
      <c r="B823" s="4"/>
      <c r="C823" s="105"/>
      <c r="D823" s="4"/>
      <c r="E823" s="4"/>
      <c r="F823" s="28"/>
      <c r="G823" s="28"/>
      <c r="H823" s="83"/>
      <c r="I823" s="4"/>
      <c r="J823" s="4"/>
      <c r="K823" s="4"/>
      <c r="L823" s="4"/>
      <c r="M823" s="4"/>
      <c r="N823" s="28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81"/>
      <c r="AG823" s="81"/>
      <c r="AH823" s="81"/>
      <c r="AI823" s="4"/>
      <c r="AJ823" s="81"/>
      <c r="AK823" s="81"/>
      <c r="AL823" s="81"/>
      <c r="AM823" s="43">
        <v>807</v>
      </c>
      <c r="AN823">
        <v>36.895773480332302</v>
      </c>
      <c r="AO823">
        <v>0.76237203444839463</v>
      </c>
      <c r="AP823">
        <v>1.2683876920750146</v>
      </c>
      <c r="AQ823">
        <v>5.0887911396263323</v>
      </c>
      <c r="AR823">
        <v>0.7119711895335058</v>
      </c>
      <c r="AS823">
        <v>2.9131613273273325</v>
      </c>
      <c r="AT823" t="e">
        <v>#DIV/0!</v>
      </c>
      <c r="AU823" t="e">
        <v>#DIV/0!</v>
      </c>
      <c r="AV823"/>
      <c r="AW823"/>
      <c r="FY823" s="211">
        <v>818</v>
      </c>
      <c r="FZ823">
        <v>0.70124102400581445</v>
      </c>
      <c r="GA823">
        <v>0.91138968950350863</v>
      </c>
      <c r="GB823">
        <v>0.32554715601947348</v>
      </c>
      <c r="GC823">
        <v>0.36013907765419495</v>
      </c>
      <c r="GD823">
        <v>0.25590396442817243</v>
      </c>
      <c r="GE823">
        <v>0.15513123278114999</v>
      </c>
      <c r="GF823">
        <v>0.93524070234199996</v>
      </c>
      <c r="GG823">
        <v>0.75599725852039101</v>
      </c>
      <c r="GH823">
        <v>0.11249442504775362</v>
      </c>
      <c r="GI823">
        <v>0.51430857190869483</v>
      </c>
      <c r="GJ823"/>
      <c r="GK823">
        <v>0.69879374999999999</v>
      </c>
      <c r="GL823">
        <v>0.76751250000000004</v>
      </c>
      <c r="GM823">
        <v>0.53395312500000003</v>
      </c>
      <c r="GN823">
        <v>1.0549499999999998</v>
      </c>
      <c r="GO823">
        <v>0.97352812499999986</v>
      </c>
      <c r="GP823">
        <v>0.29128124999999999</v>
      </c>
      <c r="GQ823">
        <v>1.1286888586956521</v>
      </c>
      <c r="GR823">
        <v>1.0525221920289853</v>
      </c>
      <c r="GS823">
        <v>0.11895232371794871</v>
      </c>
      <c r="GT823">
        <v>0.69078323648272</v>
      </c>
      <c r="GU823"/>
      <c r="GV823"/>
      <c r="GW823"/>
      <c r="GX823"/>
      <c r="GY823"/>
      <c r="GZ823"/>
      <c r="HA823"/>
      <c r="HB823"/>
      <c r="HC823"/>
    </row>
    <row r="824" spans="1:211" s="7" customFormat="1">
      <c r="A824" s="4"/>
      <c r="B824" s="4"/>
      <c r="C824" s="105"/>
      <c r="D824" s="4"/>
      <c r="E824" s="4"/>
      <c r="F824" s="28"/>
      <c r="G824" s="28"/>
      <c r="H824" s="83"/>
      <c r="I824" s="4"/>
      <c r="J824" s="4"/>
      <c r="K824" s="4"/>
      <c r="L824" s="4"/>
      <c r="M824" s="4"/>
      <c r="N824" s="28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81"/>
      <c r="AG824" s="81"/>
      <c r="AH824" s="81"/>
      <c r="AI824" s="4"/>
      <c r="AJ824" s="81"/>
      <c r="AK824" s="81"/>
      <c r="AL824" s="81"/>
      <c r="AM824" s="43">
        <v>808</v>
      </c>
      <c r="AN824">
        <v>27.546792861514728</v>
      </c>
      <c r="AO824">
        <v>0.6019014910995335</v>
      </c>
      <c r="AP824">
        <v>16.845856297316693</v>
      </c>
      <c r="AQ824">
        <v>5.1263731331812874</v>
      </c>
      <c r="AR824">
        <v>0.55160024103454086</v>
      </c>
      <c r="AS824">
        <v>2.0106000135831343</v>
      </c>
      <c r="AT824" t="e">
        <v>#DIV/0!</v>
      </c>
      <c r="AU824" t="e">
        <v>#DIV/0!</v>
      </c>
      <c r="AV824"/>
      <c r="AW824"/>
      <c r="FY824" s="211">
        <v>819</v>
      </c>
      <c r="FZ824">
        <v>0.61042010934824442</v>
      </c>
      <c r="GA824">
        <v>1.0834087012175457</v>
      </c>
      <c r="GB824">
        <v>1.3932696898322365</v>
      </c>
      <c r="GC824">
        <v>1.0918824396171183</v>
      </c>
      <c r="GD824">
        <v>0.3972443443582499</v>
      </c>
      <c r="GE824">
        <v>0.13382624751052499</v>
      </c>
      <c r="GF824">
        <v>0.15986193049181252</v>
      </c>
      <c r="GG824">
        <v>0.13862439864731252</v>
      </c>
      <c r="GH824">
        <v>4.5971471670847357E-2</v>
      </c>
      <c r="GI824">
        <v>0.69200424951049344</v>
      </c>
      <c r="GJ824"/>
      <c r="GK824">
        <v>0.60811874999999993</v>
      </c>
      <c r="GL824">
        <v>0.91224375000000002</v>
      </c>
      <c r="GM824">
        <v>2.2877862215909093</v>
      </c>
      <c r="GN824">
        <v>3.2031143465909091</v>
      </c>
      <c r="GO824">
        <v>1.5108749999999997</v>
      </c>
      <c r="GP824">
        <v>0.25157812499999999</v>
      </c>
      <c r="GQ824">
        <v>0.19312499999999999</v>
      </c>
      <c r="GR824">
        <v>0.19312499999999999</v>
      </c>
      <c r="GS824">
        <v>4.8587740384615385E-2</v>
      </c>
      <c r="GT824">
        <v>0.92969854239510474</v>
      </c>
      <c r="GU824"/>
      <c r="GV824"/>
      <c r="GW824"/>
      <c r="GX824"/>
      <c r="GY824"/>
      <c r="GZ824"/>
      <c r="HA824"/>
      <c r="HB824"/>
      <c r="HC824"/>
    </row>
    <row r="825" spans="1:211" s="7" customFormat="1">
      <c r="A825" s="4"/>
      <c r="B825" s="4"/>
      <c r="C825" s="105"/>
      <c r="D825" s="4"/>
      <c r="E825" s="4"/>
      <c r="F825" s="28"/>
      <c r="G825" s="28"/>
      <c r="H825" s="83"/>
      <c r="I825" s="4"/>
      <c r="J825" s="4"/>
      <c r="K825" s="4"/>
      <c r="L825" s="4"/>
      <c r="M825" s="4"/>
      <c r="N825" s="28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81"/>
      <c r="AG825" s="81"/>
      <c r="AH825" s="81"/>
      <c r="AI825" s="4"/>
      <c r="AJ825" s="81"/>
      <c r="AK825" s="81"/>
      <c r="AL825" s="81"/>
      <c r="AM825" s="43">
        <v>809</v>
      </c>
      <c r="AN825">
        <v>64.498154152965526</v>
      </c>
      <c r="AO825">
        <v>1.5026723494017173</v>
      </c>
      <c r="AP825">
        <v>1.0495960618254543</v>
      </c>
      <c r="AQ825">
        <v>11.153295221038324</v>
      </c>
      <c r="AR825">
        <v>1.3805544085470156</v>
      </c>
      <c r="AS825">
        <v>4.7985968890117165</v>
      </c>
      <c r="AT825" t="e">
        <v>#DIV/0!</v>
      </c>
      <c r="AU825" t="e">
        <v>#DIV/0!</v>
      </c>
      <c r="AV825"/>
      <c r="AW825"/>
      <c r="FY825" s="211">
        <v>820</v>
      </c>
      <c r="FZ825">
        <v>0.59950644151239563</v>
      </c>
      <c r="GA825">
        <v>1.0473644470779653</v>
      </c>
      <c r="GB825">
        <v>0.73136164860204966</v>
      </c>
      <c r="GC825">
        <v>0.52335536486692813</v>
      </c>
      <c r="GD825">
        <v>0.20834222193134996</v>
      </c>
      <c r="GE825">
        <v>5.0050519932599999E-2</v>
      </c>
      <c r="GF825">
        <v>0.66819523726455643</v>
      </c>
      <c r="GG825">
        <v>0.62966621671876666</v>
      </c>
      <c r="GH825">
        <v>0.11249442504775362</v>
      </c>
      <c r="GI825">
        <v>0.52335105304679097</v>
      </c>
      <c r="GJ825"/>
      <c r="GK825">
        <v>0.59735625000000003</v>
      </c>
      <c r="GL825">
        <v>0.88199296875000011</v>
      </c>
      <c r="GM825">
        <v>1.2001445312500001</v>
      </c>
      <c r="GN825">
        <v>1.5342578124999999</v>
      </c>
      <c r="GO825">
        <v>0.79256249999999984</v>
      </c>
      <c r="GP825">
        <v>9.4124999999999986E-2</v>
      </c>
      <c r="GQ825">
        <v>0.80556521739130427</v>
      </c>
      <c r="GR825">
        <v>0.87592980072463755</v>
      </c>
      <c r="GS825">
        <v>0.11895232371794871</v>
      </c>
      <c r="GT825">
        <v>0.70291616447185046</v>
      </c>
      <c r="GU825"/>
      <c r="GV825"/>
      <c r="GW825"/>
      <c r="GX825"/>
      <c r="GY825"/>
      <c r="GZ825"/>
      <c r="HA825"/>
      <c r="HB825"/>
      <c r="HC825"/>
    </row>
    <row r="826" spans="1:211" s="7" customFormat="1">
      <c r="A826" s="4"/>
      <c r="B826" s="4"/>
      <c r="C826" s="105"/>
      <c r="D826" s="4"/>
      <c r="E826" s="4"/>
      <c r="F826" s="28"/>
      <c r="G826" s="28"/>
      <c r="H826" s="83"/>
      <c r="I826" s="4"/>
      <c r="J826" s="4"/>
      <c r="K826" s="4"/>
      <c r="L826" s="4"/>
      <c r="M826" s="4"/>
      <c r="N826" s="28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81"/>
      <c r="AG826" s="81"/>
      <c r="AH826" s="81"/>
      <c r="AI826" s="4"/>
      <c r="AJ826" s="81"/>
      <c r="AK826" s="81"/>
      <c r="AL826" s="81"/>
      <c r="AM826" s="43">
        <v>810</v>
      </c>
      <c r="AN826">
        <v>25.633828701491744</v>
      </c>
      <c r="AO826">
        <v>0.57709527762183466</v>
      </c>
      <c r="AP826">
        <v>1.0549894628107161</v>
      </c>
      <c r="AQ826">
        <v>3.9027089098652454</v>
      </c>
      <c r="AR826">
        <v>0.53770708149187763</v>
      </c>
      <c r="AS826">
        <v>2.2600446623846331</v>
      </c>
      <c r="AT826" t="e">
        <v>#DIV/0!</v>
      </c>
      <c r="AU826" t="e">
        <v>#DIV/0!</v>
      </c>
      <c r="AV826"/>
      <c r="AW826"/>
      <c r="FY826" s="211">
        <v>821</v>
      </c>
      <c r="FZ826">
        <v>1.6502450206073265</v>
      </c>
      <c r="GA826">
        <v>2.8826732950378435</v>
      </c>
      <c r="GB826">
        <v>1.089141924340262</v>
      </c>
      <c r="GC826">
        <v>0.53425921702033197</v>
      </c>
      <c r="GD826">
        <v>0.22791077800519496</v>
      </c>
      <c r="GE826">
        <v>0.12911621815529997</v>
      </c>
      <c r="GF826">
        <v>0.41513581345513451</v>
      </c>
      <c r="GG826">
        <v>0.28954215414031298</v>
      </c>
      <c r="GH826">
        <v>2.2985735835423678E-2</v>
      </c>
      <c r="GI826">
        <v>0.71813671774664012</v>
      </c>
      <c r="GJ826"/>
      <c r="GK826">
        <v>1.6446880514705879</v>
      </c>
      <c r="GL826">
        <v>2.4280513327205879</v>
      </c>
      <c r="GM826">
        <v>1.7879087357954544</v>
      </c>
      <c r="GN826">
        <v>1.5671017045454543</v>
      </c>
      <c r="GO826">
        <v>0.86668124999999996</v>
      </c>
      <c r="GP826">
        <v>0.24243749999999997</v>
      </c>
      <c r="GQ826">
        <v>0.50047010869565223</v>
      </c>
      <c r="GR826">
        <v>0.40278260869565213</v>
      </c>
      <c r="GS826">
        <v>2.4293870192307693E-2</v>
      </c>
      <c r="GT826">
        <v>0.96480840323080042</v>
      </c>
      <c r="GU826"/>
      <c r="GV826"/>
      <c r="GW826"/>
      <c r="GX826"/>
      <c r="GY826"/>
      <c r="GZ826"/>
      <c r="HA826"/>
      <c r="HB826"/>
      <c r="HC826"/>
    </row>
    <row r="827" spans="1:211" s="7" customFormat="1">
      <c r="A827" s="4"/>
      <c r="B827" s="4"/>
      <c r="C827" s="105"/>
      <c r="D827" s="4"/>
      <c r="E827" s="4"/>
      <c r="F827" s="28"/>
      <c r="G827" s="28"/>
      <c r="H827" s="83"/>
      <c r="I827" s="4"/>
      <c r="J827" s="4"/>
      <c r="K827" s="4"/>
      <c r="L827" s="4"/>
      <c r="M827" s="4"/>
      <c r="N827" s="28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81"/>
      <c r="AG827" s="81"/>
      <c r="AH827" s="81"/>
      <c r="AI827" s="4"/>
      <c r="AJ827" s="81"/>
      <c r="AK827" s="81"/>
      <c r="AL827" s="81"/>
      <c r="AM827" s="43">
        <v>811</v>
      </c>
      <c r="AN827">
        <v>42.507096303543712</v>
      </c>
      <c r="AO827">
        <v>0.98977883688757695</v>
      </c>
      <c r="AP827">
        <v>15.601859953995364</v>
      </c>
      <c r="AQ827">
        <v>7.6097859785607662</v>
      </c>
      <c r="AR827">
        <v>0.90421600993276208</v>
      </c>
      <c r="AS827">
        <v>3.4622887103381972</v>
      </c>
      <c r="AT827" t="e">
        <v>#DIV/0!</v>
      </c>
      <c r="AU827" t="e">
        <v>#DIV/0!</v>
      </c>
      <c r="AV827"/>
      <c r="AW827"/>
      <c r="FY827" s="211">
        <v>822</v>
      </c>
      <c r="FZ827">
        <v>1.3710410385075482</v>
      </c>
      <c r="GA827">
        <v>2.3643279817265377</v>
      </c>
      <c r="GB827">
        <v>1.2147932466497213</v>
      </c>
      <c r="GC827">
        <v>0.65665238177549012</v>
      </c>
      <c r="GD827">
        <v>0.23832812354386174</v>
      </c>
      <c r="GE827">
        <v>0.17434885128142502</v>
      </c>
      <c r="GF827">
        <v>0.41513581345513451</v>
      </c>
      <c r="GG827">
        <v>0.39070597101659427</v>
      </c>
      <c r="GH827">
        <v>0.15603164258923619</v>
      </c>
      <c r="GI827">
        <v>0.73426957060455722</v>
      </c>
      <c r="GJ827"/>
      <c r="GK827">
        <v>1.3662299632352941</v>
      </c>
      <c r="GL827">
        <v>1.9911791819852942</v>
      </c>
      <c r="GM827">
        <v>1.9939087357954546</v>
      </c>
      <c r="GN827">
        <v>1.9258291599025972</v>
      </c>
      <c r="GO827">
        <v>0.90622901785714272</v>
      </c>
      <c r="GP827">
        <v>0.32751562500000003</v>
      </c>
      <c r="GQ827">
        <v>0.50047010869565223</v>
      </c>
      <c r="GR827">
        <v>0.54351177536231876</v>
      </c>
      <c r="GS827">
        <v>0.16502303685897435</v>
      </c>
      <c r="GT827">
        <v>0.98637217248850351</v>
      </c>
      <c r="GU827"/>
      <c r="GV827"/>
      <c r="GW827"/>
      <c r="GX827"/>
      <c r="GY827"/>
      <c r="GZ827"/>
      <c r="HA827"/>
      <c r="HB827"/>
      <c r="HC827"/>
    </row>
    <row r="828" spans="1:211" s="7" customFormat="1">
      <c r="A828" s="4"/>
      <c r="B828" s="4"/>
      <c r="C828" s="105"/>
      <c r="D828" s="4"/>
      <c r="E828" s="4"/>
      <c r="F828" s="28"/>
      <c r="G828" s="28"/>
      <c r="H828" s="83"/>
      <c r="I828" s="4"/>
      <c r="J828" s="4"/>
      <c r="K828" s="4"/>
      <c r="L828" s="4"/>
      <c r="M828" s="4"/>
      <c r="N828" s="28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81"/>
      <c r="AG828" s="81"/>
      <c r="AH828" s="81"/>
      <c r="AI828" s="4"/>
      <c r="AJ828" s="81"/>
      <c r="AK828" s="81"/>
      <c r="AL828" s="81"/>
      <c r="AM828" s="43">
        <v>812</v>
      </c>
      <c r="AN828">
        <v>40.112246158218021</v>
      </c>
      <c r="AO828">
        <v>0.83612038601711591</v>
      </c>
      <c r="AP828">
        <v>1.3316792808790949</v>
      </c>
      <c r="AQ828">
        <v>6.384281022684978</v>
      </c>
      <c r="AR828">
        <v>0.77256573554003538</v>
      </c>
      <c r="AS828">
        <v>2.9929384368834535</v>
      </c>
      <c r="AT828" t="e">
        <v>#DIV/0!</v>
      </c>
      <c r="AU828" t="e">
        <v>#DIV/0!</v>
      </c>
      <c r="AV828"/>
      <c r="AW828"/>
      <c r="FY828" s="211">
        <v>823</v>
      </c>
      <c r="FZ828">
        <v>1.4703889576512719</v>
      </c>
      <c r="GA828">
        <v>2.273872673537606</v>
      </c>
      <c r="GB828">
        <v>1.0353135667732594</v>
      </c>
      <c r="GC828">
        <v>0.6591633993334215</v>
      </c>
      <c r="GD828">
        <v>0.20126016942493502</v>
      </c>
      <c r="GE828">
        <v>4.3360981258274998E-2</v>
      </c>
      <c r="GF828">
        <v>0.33409761863227821</v>
      </c>
      <c r="GG828">
        <v>0.34012406257845362</v>
      </c>
      <c r="GH828">
        <v>0.11249442504775362</v>
      </c>
      <c r="GI828">
        <v>0.66274350205478294</v>
      </c>
      <c r="GJ828"/>
      <c r="GK828">
        <v>1.4653911764705883</v>
      </c>
      <c r="GL828">
        <v>1.9151333639705885</v>
      </c>
      <c r="GM828">
        <v>1.6991704545454547</v>
      </c>
      <c r="GN828">
        <v>1.9333626420454544</v>
      </c>
      <c r="GO828">
        <v>0.76535625000000007</v>
      </c>
      <c r="GP828">
        <v>8.1421875000000005E-2</v>
      </c>
      <c r="GQ828">
        <v>0.40278260869565213</v>
      </c>
      <c r="GR828">
        <v>0.47314719202898542</v>
      </c>
      <c r="GS828">
        <v>0.11895232371794871</v>
      </c>
      <c r="GT828">
        <v>0.89033056268592858</v>
      </c>
      <c r="GU828"/>
      <c r="GV828"/>
      <c r="GW828"/>
      <c r="GX828"/>
      <c r="GY828"/>
      <c r="GZ828"/>
      <c r="HA828"/>
      <c r="HB828"/>
      <c r="HC828"/>
    </row>
    <row r="829" spans="1:211" s="7" customFormat="1">
      <c r="A829" s="4"/>
      <c r="B829" s="4"/>
      <c r="C829" s="105"/>
      <c r="D829" s="4"/>
      <c r="E829" s="4"/>
      <c r="F829" s="28"/>
      <c r="G829" s="28"/>
      <c r="H829" s="83"/>
      <c r="I829" s="4"/>
      <c r="J829" s="4"/>
      <c r="K829" s="4"/>
      <c r="L829" s="4"/>
      <c r="M829" s="4"/>
      <c r="N829" s="28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81"/>
      <c r="AG829" s="81"/>
      <c r="AH829" s="81"/>
      <c r="AI829" s="4"/>
      <c r="AJ829" s="81"/>
      <c r="AK829" s="81"/>
      <c r="AL829" s="81"/>
      <c r="AM829" s="43">
        <v>813</v>
      </c>
      <c r="AN829">
        <v>55.313917395507062</v>
      </c>
      <c r="AO829">
        <v>1.089642216313804</v>
      </c>
      <c r="AP829">
        <v>0.73609893388782277</v>
      </c>
      <c r="AQ829">
        <v>7.8498368079897425</v>
      </c>
      <c r="AR829">
        <v>1.0058673775929687</v>
      </c>
      <c r="AS829">
        <v>4.8472598707012056</v>
      </c>
      <c r="AT829">
        <v>0.89132052026443109</v>
      </c>
      <c r="AU829">
        <v>-1.6925262072172875E-2</v>
      </c>
      <c r="AV829"/>
      <c r="AW829"/>
      <c r="FY829" s="211">
        <v>824</v>
      </c>
      <c r="FZ829">
        <v>0.93866244459752557</v>
      </c>
      <c r="GA829">
        <v>1.5071788892914832</v>
      </c>
      <c r="GB829">
        <v>1.2621931485716602</v>
      </c>
      <c r="GC829">
        <v>0.64689941619823577</v>
      </c>
      <c r="GD829">
        <v>0.12924861371578927</v>
      </c>
      <c r="GE829">
        <v>0.143569878574725</v>
      </c>
      <c r="GF829">
        <v>1.0833310507196909</v>
      </c>
      <c r="GG829">
        <v>0.91920837085907969</v>
      </c>
      <c r="GH829">
        <v>0.11249442504775362</v>
      </c>
      <c r="GI829">
        <v>0.73310985456631972</v>
      </c>
      <c r="GJ829"/>
      <c r="GK829">
        <v>0.93557996323529402</v>
      </c>
      <c r="GL829">
        <v>1.269447150735294</v>
      </c>
      <c r="GM829">
        <v>2.0715376420454543</v>
      </c>
      <c r="GN829">
        <v>1.8984182224025972</v>
      </c>
      <c r="GO829">
        <v>0.49201339285714285</v>
      </c>
      <c r="GP829">
        <v>0.269578125</v>
      </c>
      <c r="GQ829">
        <v>1.3060353260869564</v>
      </c>
      <c r="GR829">
        <v>1.2787124094202897</v>
      </c>
      <c r="GS829">
        <v>0.11895232371794871</v>
      </c>
      <c r="GT829">
        <v>0.98482372958855935</v>
      </c>
      <c r="GU829"/>
      <c r="GV829"/>
      <c r="GW829"/>
      <c r="GX829"/>
      <c r="GY829"/>
      <c r="GZ829"/>
      <c r="HA829"/>
      <c r="HB829"/>
      <c r="HC829"/>
    </row>
    <row r="830" spans="1:211" s="7" customFormat="1">
      <c r="A830" s="4"/>
      <c r="B830" s="4"/>
      <c r="C830" s="105"/>
      <c r="D830" s="4"/>
      <c r="E830" s="4"/>
      <c r="F830" s="28"/>
      <c r="G830" s="28"/>
      <c r="H830" s="83"/>
      <c r="I830" s="4"/>
      <c r="J830" s="4"/>
      <c r="K830" s="4"/>
      <c r="L830" s="4"/>
      <c r="M830" s="4"/>
      <c r="N830" s="28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81"/>
      <c r="AG830" s="81"/>
      <c r="AH830" s="81"/>
      <c r="AI830" s="4"/>
      <c r="AJ830" s="81"/>
      <c r="AK830" s="81"/>
      <c r="AL830" s="81"/>
      <c r="AM830" s="43">
        <v>814</v>
      </c>
      <c r="AN830">
        <v>78.690174503701513</v>
      </c>
      <c r="AO830">
        <v>1.9286260630297485</v>
      </c>
      <c r="AP830">
        <v>9.2531817395115858</v>
      </c>
      <c r="AQ830">
        <v>12.960517555835205</v>
      </c>
      <c r="AR830">
        <v>1.7663714318627075</v>
      </c>
      <c r="AS830">
        <v>6.4684624540946052</v>
      </c>
      <c r="AT830" t="e">
        <v>#DIV/0!</v>
      </c>
      <c r="AU830" t="e">
        <v>#DIV/0!</v>
      </c>
      <c r="AV830"/>
      <c r="AW830"/>
      <c r="FY830" s="211">
        <v>825</v>
      </c>
      <c r="FZ830">
        <v>1.4218537881049118</v>
      </c>
      <c r="GA830">
        <v>1.8069513730383784</v>
      </c>
      <c r="GB830">
        <v>1.3932696898322365</v>
      </c>
      <c r="GC830">
        <v>0.76726092423520098</v>
      </c>
      <c r="GD830">
        <v>0.12585251178404036</v>
      </c>
      <c r="GE830">
        <v>9.0465266252250001E-2</v>
      </c>
      <c r="GF830">
        <v>0.33409761863227821</v>
      </c>
      <c r="GG830">
        <v>0.44128787945473491</v>
      </c>
      <c r="GH830">
        <v>0.24554033180156609</v>
      </c>
      <c r="GI830">
        <v>0.72132155949624588</v>
      </c>
      <c r="GJ830"/>
      <c r="GK830">
        <v>1.416967463235294</v>
      </c>
      <c r="GL830">
        <v>1.521873713235294</v>
      </c>
      <c r="GM830">
        <v>2.2877862215909093</v>
      </c>
      <c r="GN830">
        <v>2.2524170251623374</v>
      </c>
      <c r="GO830">
        <v>0.47875580357142855</v>
      </c>
      <c r="GP830">
        <v>0.17015625000000001</v>
      </c>
      <c r="GQ830">
        <v>0.40278260869565213</v>
      </c>
      <c r="GR830">
        <v>0.61387635869565216</v>
      </c>
      <c r="GS830">
        <v>0.25968149038461541</v>
      </c>
      <c r="GT830">
        <v>0.96919471749557973</v>
      </c>
      <c r="GU830"/>
      <c r="GV830"/>
      <c r="GW830"/>
      <c r="GX830"/>
      <c r="GY830"/>
      <c r="GZ830"/>
      <c r="HA830"/>
      <c r="HB830"/>
      <c r="HC830"/>
    </row>
    <row r="831" spans="1:211" s="7" customFormat="1">
      <c r="A831" s="4"/>
      <c r="B831" s="4"/>
      <c r="C831" s="105"/>
      <c r="D831" s="4"/>
      <c r="E831" s="4"/>
      <c r="F831" s="28"/>
      <c r="G831" s="28"/>
      <c r="H831" s="83"/>
      <c r="I831" s="4"/>
      <c r="J831" s="4"/>
      <c r="K831" s="4"/>
      <c r="L831" s="4"/>
      <c r="M831" s="4"/>
      <c r="N831" s="28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81"/>
      <c r="AG831" s="81"/>
      <c r="AH831" s="81"/>
      <c r="AI831" s="4"/>
      <c r="AJ831" s="81"/>
      <c r="AK831" s="81"/>
      <c r="AL831" s="81"/>
      <c r="AM831" s="43">
        <v>815</v>
      </c>
      <c r="AN831">
        <v>36.081357473544969</v>
      </c>
      <c r="AO831">
        <v>0.88541317931547625</v>
      </c>
      <c r="AP831">
        <v>2.003918152249557</v>
      </c>
      <c r="AQ831">
        <v>5.7143056423918521</v>
      </c>
      <c r="AR831">
        <v>0.81578754937770559</v>
      </c>
      <c r="AS831">
        <v>3.0077989831756815</v>
      </c>
      <c r="AT831" t="e">
        <v>#DIV/0!</v>
      </c>
      <c r="AU831" t="e">
        <v>#DIV/0!</v>
      </c>
      <c r="AV831"/>
      <c r="AW831"/>
      <c r="FY831" s="211">
        <v>826</v>
      </c>
      <c r="FZ831">
        <v>0.46324748758224094</v>
      </c>
      <c r="GA831">
        <v>1.053237448681243</v>
      </c>
      <c r="GB831">
        <v>0.48393266703372428</v>
      </c>
      <c r="GC831">
        <v>0.5692915934101157</v>
      </c>
      <c r="GD831">
        <v>0.37437309217980003</v>
      </c>
      <c r="GE831">
        <v>9.7262662377824993E-2</v>
      </c>
      <c r="GF831">
        <v>8.1038194822856249E-2</v>
      </c>
      <c r="GG831">
        <v>5.0581908438140623E-2</v>
      </c>
      <c r="GH831">
        <v>0.11249442504775362</v>
      </c>
      <c r="GI831">
        <v>0.43131460070236172</v>
      </c>
      <c r="GJ831"/>
      <c r="GK831">
        <v>0.46155937499999999</v>
      </c>
      <c r="GL831">
        <v>0.88704374999999991</v>
      </c>
      <c r="GM831">
        <v>0.79419531250000008</v>
      </c>
      <c r="GN831">
        <v>1.6678515625000001</v>
      </c>
      <c r="GO831">
        <v>1.4240625000000002</v>
      </c>
      <c r="GP831">
        <v>0.18276562499999999</v>
      </c>
      <c r="GQ831">
        <v>9.768750000000001E-2</v>
      </c>
      <c r="GR831">
        <v>7.0364583333333328E-2</v>
      </c>
      <c r="GS831">
        <v>0.11895232371794871</v>
      </c>
      <c r="GT831">
        <v>0.57929140224358977</v>
      </c>
      <c r="GU831"/>
      <c r="GV831"/>
      <c r="GW831"/>
      <c r="GX831"/>
      <c r="GY831"/>
      <c r="GZ831"/>
      <c r="HA831"/>
      <c r="HB831"/>
      <c r="HC831"/>
    </row>
    <row r="832" spans="1:211" s="7" customFormat="1">
      <c r="A832" s="4"/>
      <c r="B832" s="4"/>
      <c r="C832" s="105"/>
      <c r="D832" s="4"/>
      <c r="E832" s="4"/>
      <c r="F832" s="28"/>
      <c r="G832" s="28"/>
      <c r="H832" s="83"/>
      <c r="I832" s="4"/>
      <c r="J832" s="4"/>
      <c r="K832" s="4"/>
      <c r="L832" s="4"/>
      <c r="M832" s="4"/>
      <c r="N832" s="28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81"/>
      <c r="AG832" s="81"/>
      <c r="AH832" s="81"/>
      <c r="AI832" s="4"/>
      <c r="AJ832" s="81"/>
      <c r="AK832" s="81"/>
      <c r="AL832" s="81"/>
      <c r="AM832" s="43">
        <v>816</v>
      </c>
      <c r="AN832">
        <v>50.843660688913239</v>
      </c>
      <c r="AO832">
        <v>1.0864976949899525</v>
      </c>
      <c r="AP832">
        <v>8.0317738649677413</v>
      </c>
      <c r="AQ832">
        <v>9.3598322070586359</v>
      </c>
      <c r="AR832">
        <v>1.0167024499908659</v>
      </c>
      <c r="AS832">
        <v>3.99880351736652</v>
      </c>
      <c r="AT832" t="e">
        <v>#DIV/0!</v>
      </c>
      <c r="AU832" t="e">
        <v>#DIV/0!</v>
      </c>
      <c r="AV832"/>
      <c r="AW832"/>
      <c r="FY832" s="211">
        <v>827</v>
      </c>
      <c r="FZ832">
        <v>0.5032155015724753</v>
      </c>
      <c r="GA832">
        <v>1.1833392046524218</v>
      </c>
      <c r="GB832">
        <v>0.62101779671760471</v>
      </c>
      <c r="GC832">
        <v>0.58030313912881193</v>
      </c>
      <c r="GD832">
        <v>0.34307493993454496</v>
      </c>
      <c r="GE832">
        <v>3.0832901432324998E-2</v>
      </c>
      <c r="GF832">
        <v>0.5344786465355188</v>
      </c>
      <c r="GG832">
        <v>0.4281665527876255</v>
      </c>
      <c r="GH832">
        <v>2.2985735835423678E-2</v>
      </c>
      <c r="GI832">
        <v>0.52029617447140142</v>
      </c>
      <c r="GJ832"/>
      <c r="GK832">
        <v>0.50140312499999995</v>
      </c>
      <c r="GL832">
        <v>0.99647343749999995</v>
      </c>
      <c r="GM832">
        <v>1.0188593750000001</v>
      </c>
      <c r="GN832">
        <v>1.6997046875000001</v>
      </c>
      <c r="GO832">
        <v>1.30449375</v>
      </c>
      <c r="GP832">
        <v>5.7890625000000001E-2</v>
      </c>
      <c r="GQ832">
        <v>0.64475135869565214</v>
      </c>
      <c r="GR832">
        <v>0.59590760869565207</v>
      </c>
      <c r="GS832">
        <v>2.4293870192307693E-2</v>
      </c>
      <c r="GT832">
        <v>0.69876029577759191</v>
      </c>
      <c r="GU832"/>
      <c r="GV832"/>
      <c r="GW832"/>
      <c r="GX832"/>
      <c r="GY832"/>
      <c r="GZ832"/>
      <c r="HA832"/>
      <c r="HB832"/>
      <c r="HC832"/>
    </row>
    <row r="833" spans="1:211" s="7" customFormat="1">
      <c r="A833" s="4"/>
      <c r="B833" s="4"/>
      <c r="C833" s="105"/>
      <c r="D833" s="4"/>
      <c r="E833" s="4"/>
      <c r="F833" s="28"/>
      <c r="G833" s="28"/>
      <c r="H833" s="83"/>
      <c r="I833" s="4"/>
      <c r="J833" s="4"/>
      <c r="K833" s="4"/>
      <c r="L833" s="4"/>
      <c r="M833" s="4"/>
      <c r="N833" s="28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81"/>
      <c r="AG833" s="81"/>
      <c r="AH833" s="81"/>
      <c r="AI833" s="4"/>
      <c r="AJ833" s="81"/>
      <c r="AK833" s="81"/>
      <c r="AL833" s="81"/>
      <c r="AM833" s="43">
        <v>817</v>
      </c>
      <c r="AN833">
        <v>46.304283549168453</v>
      </c>
      <c r="AO833">
        <v>1.0447815081902325</v>
      </c>
      <c r="AP833">
        <v>18.28456887955366</v>
      </c>
      <c r="AQ833">
        <v>7.0985117027954443</v>
      </c>
      <c r="AR833">
        <v>0.94980137108202967</v>
      </c>
      <c r="AS833">
        <v>3.8293503652621101</v>
      </c>
      <c r="AT833" t="e">
        <v>#DIV/0!</v>
      </c>
      <c r="AU833" t="e">
        <v>#DIV/0!</v>
      </c>
      <c r="AV833"/>
      <c r="AW833"/>
      <c r="FY833" s="211">
        <v>828</v>
      </c>
      <c r="FZ833">
        <v>1.6708011434343057</v>
      </c>
      <c r="GA833">
        <v>1.9795472836981112</v>
      </c>
      <c r="GB833">
        <v>0.44456471199611369</v>
      </c>
      <c r="GC833">
        <v>0.62594702726245433</v>
      </c>
      <c r="GD833">
        <v>0.42038905466732779</v>
      </c>
      <c r="GE833">
        <v>0.12809556381015003</v>
      </c>
      <c r="GF833">
        <v>0.28141922272609687</v>
      </c>
      <c r="GG833">
        <v>0.23978821552359375</v>
      </c>
      <c r="GH833">
        <v>0.15603164258923619</v>
      </c>
      <c r="GI833">
        <v>0.66971529070554947</v>
      </c>
      <c r="GJ833"/>
      <c r="GK833">
        <v>1.6650580882352939</v>
      </c>
      <c r="GL833">
        <v>1.6671323069852941</v>
      </c>
      <c r="GM833">
        <v>0.72937890625000001</v>
      </c>
      <c r="GN833">
        <v>1.8334823660714283</v>
      </c>
      <c r="GO833">
        <v>1.5987401785714284</v>
      </c>
      <c r="GP833">
        <v>0.24065624999999999</v>
      </c>
      <c r="GQ833">
        <v>0.33965624999999999</v>
      </c>
      <c r="GR833">
        <v>0.33385416666666667</v>
      </c>
      <c r="GS833">
        <v>0.16502303685897435</v>
      </c>
      <c r="GT833">
        <v>0.89957129198313934</v>
      </c>
      <c r="GU833"/>
      <c r="GV833"/>
      <c r="GW833"/>
      <c r="GX833"/>
      <c r="GY833"/>
      <c r="GZ833"/>
      <c r="HA833"/>
      <c r="HB833"/>
      <c r="HC833"/>
    </row>
    <row r="834" spans="1:211" s="7" customFormat="1">
      <c r="A834" s="4"/>
      <c r="B834" s="4"/>
      <c r="C834" s="105"/>
      <c r="D834" s="4"/>
      <c r="E834" s="4"/>
      <c r="F834" s="28"/>
      <c r="G834" s="28"/>
      <c r="H834" s="83"/>
      <c r="I834" s="4"/>
      <c r="J834" s="4"/>
      <c r="K834" s="4"/>
      <c r="L834" s="4"/>
      <c r="M834" s="4"/>
      <c r="N834" s="28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81"/>
      <c r="AG834" s="81"/>
      <c r="AH834" s="81"/>
      <c r="AI834" s="4"/>
      <c r="AJ834" s="81"/>
      <c r="AK834" s="81"/>
      <c r="AL834" s="81"/>
      <c r="AM834" s="43">
        <v>818</v>
      </c>
      <c r="AN834">
        <v>36.046499132912174</v>
      </c>
      <c r="AO834">
        <v>0.73109653609253056</v>
      </c>
      <c r="AP834">
        <v>0.63944827254755032</v>
      </c>
      <c r="AQ834">
        <v>5.0273931022111533</v>
      </c>
      <c r="AR834">
        <v>0.69078323648272011</v>
      </c>
      <c r="AS834">
        <v>2.9698716684039654</v>
      </c>
      <c r="AT834">
        <v>0.59141681744070085</v>
      </c>
      <c r="AU834">
        <v>0.11406455639785212</v>
      </c>
      <c r="AV834"/>
      <c r="AW834"/>
      <c r="FY834" s="211">
        <v>829</v>
      </c>
      <c r="FZ834">
        <v>1.2747500985676277</v>
      </c>
      <c r="GA834">
        <v>1.9574986705279778</v>
      </c>
      <c r="GB834">
        <v>0.5740960409197664</v>
      </c>
      <c r="GC834">
        <v>0.4046926082434843</v>
      </c>
      <c r="GD834">
        <v>0.29059013020618923</v>
      </c>
      <c r="GE834">
        <v>0.19838435658817499</v>
      </c>
      <c r="GF834">
        <v>0.5344786465355188</v>
      </c>
      <c r="GG834">
        <v>0.47874846122576609</v>
      </c>
      <c r="GH834">
        <v>6.6522953376906252E-2</v>
      </c>
      <c r="GI834">
        <v>0.60045205106881172</v>
      </c>
      <c r="GJ834"/>
      <c r="GK834">
        <v>1.270276838235294</v>
      </c>
      <c r="GL834">
        <v>1.6486049632352939</v>
      </c>
      <c r="GM834">
        <v>0.9419609375000001</v>
      </c>
      <c r="GN834">
        <v>1.1856305803571427</v>
      </c>
      <c r="GO834">
        <v>1.1053258928571428</v>
      </c>
      <c r="GP834">
        <v>0.37279687500000003</v>
      </c>
      <c r="GQ834">
        <v>0.64475135869565214</v>
      </c>
      <c r="GR834">
        <v>0.66627219202898535</v>
      </c>
      <c r="GS834">
        <v>7.0364583333333328E-2</v>
      </c>
      <c r="GT834">
        <v>0.80653592212428449</v>
      </c>
      <c r="GU834"/>
      <c r="GV834"/>
      <c r="GW834"/>
      <c r="GX834"/>
      <c r="GY834"/>
      <c r="GZ834"/>
      <c r="HA834"/>
      <c r="HB834"/>
      <c r="HC834"/>
    </row>
    <row r="835" spans="1:211" s="7" customFormat="1">
      <c r="A835" s="4"/>
      <c r="B835" s="4"/>
      <c r="C835" s="105"/>
      <c r="D835" s="4"/>
      <c r="E835" s="4"/>
      <c r="F835" s="28"/>
      <c r="G835" s="28"/>
      <c r="H835" s="83"/>
      <c r="I835" s="4"/>
      <c r="J835" s="4"/>
      <c r="K835" s="4"/>
      <c r="L835" s="4"/>
      <c r="M835" s="4"/>
      <c r="N835" s="28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81"/>
      <c r="AG835" s="81"/>
      <c r="AH835" s="81"/>
      <c r="AI835" s="4"/>
      <c r="AJ835" s="81"/>
      <c r="AK835" s="81"/>
      <c r="AL835" s="81"/>
      <c r="AM835" s="43">
        <v>819</v>
      </c>
      <c r="AN835">
        <v>42.225721153846152</v>
      </c>
      <c r="AO835">
        <v>1.013825247596154</v>
      </c>
      <c r="AP835">
        <v>3.7549203511605582</v>
      </c>
      <c r="AQ835">
        <v>5.7465135822043862</v>
      </c>
      <c r="AR835">
        <v>0.92969854239510485</v>
      </c>
      <c r="AS835">
        <v>3.4968999624295507</v>
      </c>
      <c r="AT835" t="e">
        <v>#DIV/0!</v>
      </c>
      <c r="AU835" t="e">
        <v>#DIV/0!</v>
      </c>
      <c r="AV835"/>
      <c r="AW835"/>
      <c r="FY835" s="211">
        <v>830</v>
      </c>
      <c r="FZ835">
        <v>1.3438012398709953</v>
      </c>
      <c r="GA835">
        <v>1.9269491289168723</v>
      </c>
      <c r="GB835">
        <v>1.0910182510158715</v>
      </c>
      <c r="GC835">
        <v>0.5583978014775921</v>
      </c>
      <c r="GD835">
        <v>8.2639251143887496E-2</v>
      </c>
      <c r="GE835">
        <v>8.088342136492499E-2</v>
      </c>
      <c r="GF835">
        <v>0.70871433467598444</v>
      </c>
      <c r="GG835">
        <v>0.62966621671876666</v>
      </c>
      <c r="GH835">
        <v>6.6522953376906252E-2</v>
      </c>
      <c r="GI835">
        <v>0.65051733093337982</v>
      </c>
      <c r="GJ835"/>
      <c r="GK835">
        <v>1.338976838235294</v>
      </c>
      <c r="GL835">
        <v>1.6226526194852942</v>
      </c>
      <c r="GM835">
        <v>1.7908774857954546</v>
      </c>
      <c r="GN835">
        <v>1.6393892045454546</v>
      </c>
      <c r="GO835">
        <v>0.315046875</v>
      </c>
      <c r="GP835">
        <v>0.15201562499999999</v>
      </c>
      <c r="GQ835">
        <v>0.85440896739130423</v>
      </c>
      <c r="GR835">
        <v>0.87592980072463755</v>
      </c>
      <c r="GS835">
        <v>7.0364583333333328E-2</v>
      </c>
      <c r="GT835">
        <v>0.87393494995107723</v>
      </c>
      <c r="GU835"/>
      <c r="GV835"/>
      <c r="GW835"/>
      <c r="GX835"/>
      <c r="GY835"/>
      <c r="GZ835"/>
      <c r="HA835"/>
      <c r="HB835"/>
      <c r="HC835"/>
    </row>
    <row r="836" spans="1:211" s="7" customFormat="1">
      <c r="A836" s="4"/>
      <c r="B836" s="4"/>
      <c r="C836" s="105"/>
      <c r="D836" s="4"/>
      <c r="E836" s="4"/>
      <c r="F836" s="28"/>
      <c r="G836" s="28"/>
      <c r="H836" s="83"/>
      <c r="I836" s="4"/>
      <c r="J836" s="4"/>
      <c r="K836" s="4"/>
      <c r="L836" s="4"/>
      <c r="M836" s="4"/>
      <c r="N836" s="28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81"/>
      <c r="AG836" s="81"/>
      <c r="AH836" s="81"/>
      <c r="AI836" s="4"/>
      <c r="AJ836" s="81"/>
      <c r="AK836" s="81"/>
      <c r="AL836" s="81"/>
      <c r="AM836" s="43">
        <v>820</v>
      </c>
      <c r="AN836">
        <v>37.197080352718935</v>
      </c>
      <c r="AO836">
        <v>0.7603802568805742</v>
      </c>
      <c r="AP836">
        <v>8.24085114692571</v>
      </c>
      <c r="AQ836">
        <v>5.0936875760011553</v>
      </c>
      <c r="AR836">
        <v>0.70291616447185068</v>
      </c>
      <c r="AS836">
        <v>3.1741480869701597</v>
      </c>
      <c r="AT836" t="e">
        <v>#DIV/0!</v>
      </c>
      <c r="AU836" t="e">
        <v>#DIV/0!</v>
      </c>
      <c r="AV836"/>
      <c r="AW836"/>
      <c r="FY836" s="211">
        <v>831</v>
      </c>
      <c r="FZ836">
        <v>1.6883984870797279</v>
      </c>
      <c r="GA836">
        <v>1.9954031515008908</v>
      </c>
      <c r="GB836">
        <v>0.91943183030416864</v>
      </c>
      <c r="GC836">
        <v>0.73965194073377316</v>
      </c>
      <c r="GD836">
        <v>0.23398527627157498</v>
      </c>
      <c r="GE836">
        <v>6.4558109077649986E-2</v>
      </c>
      <c r="GF836">
        <v>4.0519097411428125E-2</v>
      </c>
      <c r="GG836">
        <v>0.10116381687628125</v>
      </c>
      <c r="GH836">
        <v>0.15603164258923619</v>
      </c>
      <c r="GI836">
        <v>0.63953657901921557</v>
      </c>
      <c r="GJ836"/>
      <c r="GK836">
        <v>1.6827036764705881</v>
      </c>
      <c r="GL836">
        <v>1.680875551470588</v>
      </c>
      <c r="GM836">
        <v>1.5096704545454545</v>
      </c>
      <c r="GN836">
        <v>2.1700923295454544</v>
      </c>
      <c r="GO836">
        <v>0.89034374999999988</v>
      </c>
      <c r="GP836">
        <v>0.12121874999999999</v>
      </c>
      <c r="GQ836">
        <v>4.8843750000000005E-2</v>
      </c>
      <c r="GR836">
        <v>0.14072916666666666</v>
      </c>
      <c r="GS836">
        <v>0.16502303685897435</v>
      </c>
      <c r="GT836">
        <v>0.85931693357500349</v>
      </c>
      <c r="GU836"/>
      <c r="GV836"/>
      <c r="GW836"/>
      <c r="GX836"/>
      <c r="GY836"/>
      <c r="GZ836"/>
      <c r="HA836"/>
      <c r="HB836"/>
      <c r="HC836"/>
    </row>
    <row r="837" spans="1:211" s="7" customFormat="1">
      <c r="A837" s="4"/>
      <c r="B837" s="4"/>
      <c r="C837" s="105"/>
      <c r="D837" s="4"/>
      <c r="E837" s="4"/>
      <c r="F837" s="28"/>
      <c r="G837" s="28"/>
      <c r="H837" s="83"/>
      <c r="I837" s="4"/>
      <c r="J837" s="4"/>
      <c r="K837" s="4"/>
      <c r="L837" s="4"/>
      <c r="M837" s="4"/>
      <c r="N837" s="28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81"/>
      <c r="AG837" s="81"/>
      <c r="AH837" s="81"/>
      <c r="AI837" s="4"/>
      <c r="AJ837" s="81"/>
      <c r="AK837" s="81"/>
      <c r="AL837" s="81"/>
      <c r="AM837" s="43">
        <v>821</v>
      </c>
      <c r="AN837">
        <v>44.390657891501071</v>
      </c>
      <c r="AO837">
        <v>1.0429223565346497</v>
      </c>
      <c r="AP837">
        <v>1.0183337012186995</v>
      </c>
      <c r="AQ837">
        <v>7.9591468743437703</v>
      </c>
      <c r="AR837">
        <v>0.96480840323080042</v>
      </c>
      <c r="AS837">
        <v>3.5111625324999998</v>
      </c>
      <c r="AT837" t="e">
        <v>#DIV/0!</v>
      </c>
      <c r="AU837" t="e">
        <v>#DIV/0!</v>
      </c>
      <c r="AV837"/>
      <c r="AW837"/>
      <c r="FY837" s="211">
        <v>832</v>
      </c>
      <c r="FZ837">
        <v>0.66852880165701578</v>
      </c>
      <c r="GA837">
        <v>0.9732452549845747</v>
      </c>
      <c r="GB837">
        <v>0.43969804798632539</v>
      </c>
      <c r="GC837">
        <v>0.38888000820973811</v>
      </c>
      <c r="GD837">
        <v>0.2940205263076317</v>
      </c>
      <c r="GE837">
        <v>0.21583818067184998</v>
      </c>
      <c r="GF837">
        <v>1.0833310507196909</v>
      </c>
      <c r="GG837">
        <v>0.8686264624209391</v>
      </c>
      <c r="GH837">
        <v>2.2985735835423678E-2</v>
      </c>
      <c r="GI837">
        <v>0.57125221746173505</v>
      </c>
      <c r="GJ837"/>
      <c r="GK837">
        <v>0.66628125000000005</v>
      </c>
      <c r="GL837">
        <v>0.81945703125000013</v>
      </c>
      <c r="GM837">
        <v>0.72110546875000003</v>
      </c>
      <c r="GN837">
        <v>1.1391524553571426</v>
      </c>
      <c r="GO837">
        <v>1.1178790178571427</v>
      </c>
      <c r="GP837">
        <v>0.40528124999999998</v>
      </c>
      <c r="GQ837">
        <v>1.3060353260869564</v>
      </c>
      <c r="GR837">
        <v>1.2083478260869565</v>
      </c>
      <c r="GS837">
        <v>2.4293870192307693E-2</v>
      </c>
      <c r="GT837">
        <v>0.76711898657728139</v>
      </c>
      <c r="GU837"/>
      <c r="GV837"/>
      <c r="GW837"/>
      <c r="GX837"/>
      <c r="GY837"/>
      <c r="GZ837"/>
      <c r="HA837"/>
      <c r="HB837"/>
      <c r="HC837"/>
    </row>
    <row r="838" spans="1:211" s="7" customFormat="1">
      <c r="A838" s="4"/>
      <c r="B838" s="4"/>
      <c r="C838" s="105"/>
      <c r="D838" s="4"/>
      <c r="E838" s="4"/>
      <c r="F838" s="28"/>
      <c r="G838" s="28"/>
      <c r="H838" s="83"/>
      <c r="I838" s="4"/>
      <c r="J838" s="4"/>
      <c r="K838" s="4"/>
      <c r="L838" s="4"/>
      <c r="M838" s="4"/>
      <c r="N838" s="28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81"/>
      <c r="AG838" s="81"/>
      <c r="AH838" s="81"/>
      <c r="AI838" s="4"/>
      <c r="AJ838" s="81"/>
      <c r="AK838" s="81"/>
      <c r="AL838" s="81"/>
      <c r="AM838" s="43">
        <v>822</v>
      </c>
      <c r="AN838">
        <v>47.904186914221278</v>
      </c>
      <c r="AO838">
        <v>1.0706268777181229</v>
      </c>
      <c r="AP838">
        <v>0.78201538942967574</v>
      </c>
      <c r="AQ838">
        <v>7.7156346211501052</v>
      </c>
      <c r="AR838">
        <v>0.98637217248850373</v>
      </c>
      <c r="AS838">
        <v>3.8997098193822586</v>
      </c>
      <c r="AT838">
        <v>0.76880771699349992</v>
      </c>
      <c r="AU838">
        <v>5.3586746408916183E-2</v>
      </c>
      <c r="AV838"/>
      <c r="AW838"/>
      <c r="FY838" s="211">
        <v>833</v>
      </c>
      <c r="FZ838">
        <v>1.4581525559895088</v>
      </c>
      <c r="GA838">
        <v>2.0337290443999843</v>
      </c>
      <c r="GB838">
        <v>0.83528448712687253</v>
      </c>
      <c r="GC838">
        <v>0.63916745517744822</v>
      </c>
      <c r="GD838">
        <v>0.25634126844692684</v>
      </c>
      <c r="GE838">
        <v>0.117554863948875</v>
      </c>
      <c r="GF838">
        <v>0.52010488888686557</v>
      </c>
      <c r="GG838">
        <v>0.4158731959419375</v>
      </c>
      <c r="GH838">
        <v>2.2985735835423678E-2</v>
      </c>
      <c r="GI838">
        <v>0.66269600867493383</v>
      </c>
      <c r="GJ838"/>
      <c r="GK838">
        <v>1.453061213235294</v>
      </c>
      <c r="GL838">
        <v>1.7127252757352942</v>
      </c>
      <c r="GM838">
        <v>1.3708501420454544</v>
      </c>
      <c r="GN838">
        <v>1.8745119724025971</v>
      </c>
      <c r="GO838">
        <v>0.97506026785714295</v>
      </c>
      <c r="GP838">
        <v>0.22073437500000001</v>
      </c>
      <c r="GQ838">
        <v>0.62821874999999994</v>
      </c>
      <c r="GR838">
        <v>0.57937499999999997</v>
      </c>
      <c r="GS838">
        <v>2.4293870192307693E-2</v>
      </c>
      <c r="GT838">
        <v>0.89029684866603986</v>
      </c>
      <c r="GU838"/>
      <c r="GV838"/>
      <c r="GW838"/>
      <c r="GX838"/>
      <c r="GY838"/>
      <c r="GZ838"/>
      <c r="HA838"/>
      <c r="HB838"/>
      <c r="HC838"/>
    </row>
    <row r="839" spans="1:211" s="7" customFormat="1">
      <c r="A839" s="4"/>
      <c r="B839" s="4"/>
      <c r="C839" s="105"/>
      <c r="D839" s="4"/>
      <c r="E839" s="4"/>
      <c r="F839" s="28"/>
      <c r="G839" s="28"/>
      <c r="H839" s="83"/>
      <c r="I839" s="4"/>
      <c r="J839" s="4"/>
      <c r="K839" s="4"/>
      <c r="L839" s="4"/>
      <c r="M839" s="4"/>
      <c r="N839" s="28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81"/>
      <c r="AG839" s="81"/>
      <c r="AH839" s="81"/>
      <c r="AI839" s="4"/>
      <c r="AJ839" s="81"/>
      <c r="AK839" s="81"/>
      <c r="AL839" s="81"/>
      <c r="AM839" s="43">
        <v>823</v>
      </c>
      <c r="AN839">
        <v>42.992986061016744</v>
      </c>
      <c r="AO839">
        <v>0.97450484491606004</v>
      </c>
      <c r="AP839">
        <v>19.529636399821765</v>
      </c>
      <c r="AQ839">
        <v>7.1328193562920372</v>
      </c>
      <c r="AR839">
        <v>0.89033056268592869</v>
      </c>
      <c r="AS839">
        <v>3.4391940228092008</v>
      </c>
      <c r="AT839" t="e">
        <v>#DIV/0!</v>
      </c>
      <c r="AU839" t="e">
        <v>#DIV/0!</v>
      </c>
      <c r="AV839"/>
      <c r="AW839"/>
      <c r="FY839" s="211">
        <v>834</v>
      </c>
      <c r="FZ839">
        <v>1.7373966891592594</v>
      </c>
      <c r="GA839">
        <v>2.2936422307615567</v>
      </c>
      <c r="GB839">
        <v>1.1130990772736777</v>
      </c>
      <c r="GC839">
        <v>0.75312106088817588</v>
      </c>
      <c r="GD839">
        <v>0.28732906009770753</v>
      </c>
      <c r="GE839">
        <v>0.21770983253969994</v>
      </c>
      <c r="GF839">
        <v>0.57499774394694703</v>
      </c>
      <c r="GG839">
        <v>0.47874846122576609</v>
      </c>
      <c r="GH839">
        <v>6.6522953376906252E-2</v>
      </c>
      <c r="GI839">
        <v>0.80619788343457011</v>
      </c>
      <c r="GJ839"/>
      <c r="GK839">
        <v>1.7316130514705883</v>
      </c>
      <c r="GL839">
        <v>1.9319450827205884</v>
      </c>
      <c r="GM839">
        <v>1.8270649857954546</v>
      </c>
      <c r="GN839">
        <v>2.2092110795454545</v>
      </c>
      <c r="GO839">
        <v>1.092946875</v>
      </c>
      <c r="GP839">
        <v>0.4089374999999999</v>
      </c>
      <c r="GQ839">
        <v>0.69359510869565222</v>
      </c>
      <c r="GR839">
        <v>0.66627219202898535</v>
      </c>
      <c r="GS839">
        <v>7.0364583333333328E-2</v>
      </c>
      <c r="GT839">
        <v>1.0831169208590057</v>
      </c>
      <c r="GU839"/>
      <c r="GV839"/>
      <c r="GW839"/>
      <c r="GX839"/>
      <c r="GY839"/>
      <c r="GZ839"/>
      <c r="HA839"/>
      <c r="HB839"/>
      <c r="HC839"/>
    </row>
    <row r="840" spans="1:211" s="7" customFormat="1">
      <c r="A840" s="4"/>
      <c r="B840" s="4"/>
      <c r="C840" s="105"/>
      <c r="D840" s="4"/>
      <c r="E840" s="4"/>
      <c r="F840" s="28"/>
      <c r="G840" s="28"/>
      <c r="H840" s="83"/>
      <c r="I840" s="4"/>
      <c r="J840" s="4"/>
      <c r="K840" s="4"/>
      <c r="L840" s="4"/>
      <c r="M840" s="4"/>
      <c r="N840" s="28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81"/>
      <c r="AG840" s="81"/>
      <c r="AH840" s="81"/>
      <c r="AI840" s="4"/>
      <c r="AJ840" s="81"/>
      <c r="AK840" s="81"/>
      <c r="AL840" s="81"/>
      <c r="AM840" s="43">
        <v>824</v>
      </c>
      <c r="AN840">
        <v>47.160686782609737</v>
      </c>
      <c r="AO840">
        <v>1.0625098285089538</v>
      </c>
      <c r="AP840">
        <v>0.7250968973577907</v>
      </c>
      <c r="AQ840">
        <v>7.4758960921422624</v>
      </c>
      <c r="AR840">
        <v>0.98482372958855935</v>
      </c>
      <c r="AS840">
        <v>3.9872215739044261</v>
      </c>
      <c r="AT840">
        <v>0.76423092813225579</v>
      </c>
      <c r="AU840">
        <v>2.6472680550960165E-2</v>
      </c>
      <c r="AV840"/>
      <c r="AW840"/>
      <c r="FY840" s="211">
        <v>835</v>
      </c>
      <c r="FZ840">
        <v>1.2511082153780972</v>
      </c>
      <c r="GA840">
        <v>1.7097677866943948</v>
      </c>
      <c r="GB840">
        <v>0.59413692941819651</v>
      </c>
      <c r="GC840">
        <v>1.0153735170404077</v>
      </c>
      <c r="GD840">
        <v>0.73559360054652412</v>
      </c>
      <c r="GE840">
        <v>0.24174533784644994</v>
      </c>
      <c r="GF840">
        <v>0.36024295839505316</v>
      </c>
      <c r="GG840">
        <v>0.27724879729462504</v>
      </c>
      <c r="GH840">
        <v>0</v>
      </c>
      <c r="GI840">
        <v>0.81209292751530149</v>
      </c>
      <c r="GJ840"/>
      <c r="GK840">
        <v>1.2469237132352939</v>
      </c>
      <c r="GL840">
        <v>1.4399432444852942</v>
      </c>
      <c r="GM840">
        <v>0.97458203124999998</v>
      </c>
      <c r="GN840">
        <v>2.9739008928571429</v>
      </c>
      <c r="GO840">
        <v>2.7969321428571425</v>
      </c>
      <c r="GP840">
        <v>0.45421874999999995</v>
      </c>
      <c r="GQ840">
        <v>0.43509375</v>
      </c>
      <c r="GR840">
        <v>0.38624999999999998</v>
      </c>
      <c r="GS840">
        <v>0</v>
      </c>
      <c r="GT840">
        <v>1.0907063274684874</v>
      </c>
      <c r="GU840"/>
      <c r="GV840"/>
      <c r="GW840"/>
      <c r="GX840"/>
      <c r="GY840"/>
      <c r="GZ840"/>
      <c r="HA840"/>
      <c r="HB840"/>
      <c r="HC840"/>
    </row>
    <row r="841" spans="1:211" s="7" customFormat="1">
      <c r="A841" s="4"/>
      <c r="B841" s="4"/>
      <c r="C841" s="105"/>
      <c r="D841" s="4"/>
      <c r="E841" s="4"/>
      <c r="F841" s="28"/>
      <c r="G841" s="28"/>
      <c r="H841" s="83"/>
      <c r="I841" s="4"/>
      <c r="J841" s="4"/>
      <c r="K841" s="4"/>
      <c r="L841" s="4"/>
      <c r="M841" s="4"/>
      <c r="N841" s="28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81"/>
      <c r="AG841" s="81"/>
      <c r="AH841" s="81"/>
      <c r="AI841" s="4"/>
      <c r="AJ841" s="81"/>
      <c r="AK841" s="81"/>
      <c r="AL841" s="81"/>
      <c r="AM841" s="43">
        <v>825</v>
      </c>
      <c r="AN841">
        <v>41.048925798022665</v>
      </c>
      <c r="AO841">
        <v>1.0373491652066762</v>
      </c>
      <c r="AP841">
        <v>5.0750740636810807</v>
      </c>
      <c r="AQ841">
        <v>7.347900942631842</v>
      </c>
      <c r="AR841">
        <v>0.96919471749557973</v>
      </c>
      <c r="AS841">
        <v>3.3135578593485864</v>
      </c>
      <c r="AT841" t="e">
        <v>#DIV/0!</v>
      </c>
      <c r="AU841" t="e">
        <v>#DIV/0!</v>
      </c>
      <c r="AV841"/>
      <c r="AW841"/>
      <c r="FY841" s="211">
        <v>836</v>
      </c>
      <c r="FZ841">
        <v>2.0372545074734836</v>
      </c>
      <c r="GA841">
        <v>2.7764417386638263</v>
      </c>
      <c r="GB841">
        <v>0.55571937395538862</v>
      </c>
      <c r="GC841">
        <v>0.22791214929246065</v>
      </c>
      <c r="GD841">
        <v>9.4048128604163575E-2</v>
      </c>
      <c r="GE841">
        <v>7.6065534558449999E-2</v>
      </c>
      <c r="GF841">
        <v>0.5344786465355188</v>
      </c>
      <c r="GG841">
        <v>0.4281665527876255</v>
      </c>
      <c r="GH841">
        <v>0</v>
      </c>
      <c r="GI841">
        <v>0.58721718520753852</v>
      </c>
      <c r="GJ841"/>
      <c r="GK841">
        <v>2.0300849264705878</v>
      </c>
      <c r="GL841">
        <v>2.3381122702205879</v>
      </c>
      <c r="GM841">
        <v>0.91150390624999988</v>
      </c>
      <c r="GN841">
        <v>0.66789084821428568</v>
      </c>
      <c r="GO841">
        <v>0.35775803571428572</v>
      </c>
      <c r="GP841">
        <v>0.14296875000000001</v>
      </c>
      <c r="GQ841">
        <v>0.64475135869565214</v>
      </c>
      <c r="GR841">
        <v>0.59590760869565207</v>
      </c>
      <c r="GS841">
        <v>0</v>
      </c>
      <c r="GT841">
        <v>0.78881964542610516</v>
      </c>
      <c r="GU841"/>
      <c r="GV841"/>
      <c r="GW841"/>
      <c r="GX841"/>
      <c r="GY841"/>
      <c r="GZ841"/>
      <c r="HA841"/>
      <c r="HB841"/>
      <c r="HC841"/>
    </row>
    <row r="842" spans="1:211" s="7" customFormat="1">
      <c r="A842" s="4"/>
      <c r="B842" s="4"/>
      <c r="C842" s="105"/>
      <c r="D842" s="4"/>
      <c r="E842" s="4"/>
      <c r="F842" s="28"/>
      <c r="G842" s="28"/>
      <c r="H842" s="83"/>
      <c r="I842" s="4"/>
      <c r="J842" s="4"/>
      <c r="K842" s="4"/>
      <c r="L842" s="4"/>
      <c r="M842" s="4"/>
      <c r="N842" s="28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81"/>
      <c r="AG842" s="81"/>
      <c r="AH842" s="81"/>
      <c r="AI842" s="4"/>
      <c r="AJ842" s="81"/>
      <c r="AK842" s="81"/>
      <c r="AL842" s="81"/>
      <c r="AM842" s="43">
        <v>826</v>
      </c>
      <c r="AN842">
        <v>31.538452635327637</v>
      </c>
      <c r="AO842">
        <v>0.62837739342948729</v>
      </c>
      <c r="AP842">
        <v>1.3507154410484994</v>
      </c>
      <c r="AQ842">
        <v>3.7167740802760614</v>
      </c>
      <c r="AR842">
        <v>0.57929140224358977</v>
      </c>
      <c r="AS842">
        <v>2.6358179654349811</v>
      </c>
      <c r="AT842" t="e">
        <v>#DIV/0!</v>
      </c>
      <c r="AU842" t="e">
        <v>#DIV/0!</v>
      </c>
      <c r="AV842"/>
      <c r="AW842"/>
      <c r="FY842" s="211">
        <v>837</v>
      </c>
      <c r="FZ842">
        <v>1.3038044447220132</v>
      </c>
      <c r="GA842">
        <v>2.0230870768237605</v>
      </c>
      <c r="GB842">
        <v>1.2157799040453166</v>
      </c>
      <c r="GC842">
        <v>0.74514657883211699</v>
      </c>
      <c r="GD842">
        <v>0.26056959584750355</v>
      </c>
      <c r="GE842">
        <v>8.377572757792498E-2</v>
      </c>
      <c r="GF842">
        <v>0.15986193049181252</v>
      </c>
      <c r="GG842">
        <v>0.29037012396173439</v>
      </c>
      <c r="GH842">
        <v>0.19956886013071873</v>
      </c>
      <c r="GI842">
        <v>0.69821052588178767</v>
      </c>
      <c r="GJ842"/>
      <c r="GK842">
        <v>1.299358088235294</v>
      </c>
      <c r="GL842">
        <v>1.7037721507352941</v>
      </c>
      <c r="GM842">
        <v>1.9956001420454546</v>
      </c>
      <c r="GN842">
        <v>2.18572849025974</v>
      </c>
      <c r="GO842">
        <v>0.99105803571428563</v>
      </c>
      <c r="GP842">
        <v>0.15745312499999997</v>
      </c>
      <c r="GQ842">
        <v>0.19312499999999999</v>
      </c>
      <c r="GR842">
        <v>0.40421875000000002</v>
      </c>
      <c r="GS842">
        <v>0.21109375</v>
      </c>
      <c r="GT842">
        <v>0.93804700319900691</v>
      </c>
      <c r="GU842"/>
      <c r="GV842"/>
      <c r="GW842"/>
      <c r="GX842"/>
      <c r="GY842"/>
      <c r="GZ842"/>
      <c r="HA842"/>
      <c r="HB842"/>
      <c r="HC842"/>
    </row>
    <row r="843" spans="1:211" s="7" customFormat="1">
      <c r="A843" s="4"/>
      <c r="B843" s="4"/>
      <c r="C843" s="105"/>
      <c r="D843" s="4"/>
      <c r="E843" s="4"/>
      <c r="F843" s="28"/>
      <c r="G843" s="28"/>
      <c r="H843" s="83"/>
      <c r="I843" s="4"/>
      <c r="J843" s="4"/>
      <c r="K843" s="4"/>
      <c r="L843" s="4"/>
      <c r="M843" s="4"/>
      <c r="N843" s="28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81"/>
      <c r="AG843" s="81"/>
      <c r="AH843" s="81"/>
      <c r="AI843" s="4"/>
      <c r="AJ843" s="81"/>
      <c r="AK843" s="81"/>
      <c r="AL843" s="81"/>
      <c r="AM843" s="43">
        <v>827</v>
      </c>
      <c r="AN843">
        <v>38.622122352285388</v>
      </c>
      <c r="AO843">
        <v>0.7542538133361204</v>
      </c>
      <c r="AP843">
        <v>0.60781544637050289</v>
      </c>
      <c r="AQ843">
        <v>4.7677105930681538</v>
      </c>
      <c r="AR843">
        <v>0.69876029577759191</v>
      </c>
      <c r="AS843">
        <v>3.1057670533944965</v>
      </c>
      <c r="AT843" t="e">
        <v>#DIV/0!</v>
      </c>
      <c r="AU843" t="e">
        <v>#DIV/0!</v>
      </c>
      <c r="AV843"/>
      <c r="AW843"/>
      <c r="FY843" s="211">
        <v>838</v>
      </c>
      <c r="FZ843">
        <v>1.0458269013033228</v>
      </c>
      <c r="GA843">
        <v>1.5984894740321898</v>
      </c>
      <c r="GB843">
        <v>0.87866569471504907</v>
      </c>
      <c r="GC843">
        <v>0.43024327086327635</v>
      </c>
      <c r="GD843">
        <v>0.12503573615801247</v>
      </c>
      <c r="GE843">
        <v>0.19169481791384996</v>
      </c>
      <c r="GF843">
        <v>0.20038102790324064</v>
      </c>
      <c r="GG843">
        <v>0.13862439864731252</v>
      </c>
      <c r="GH843">
        <v>0</v>
      </c>
      <c r="GI843">
        <v>0.47670340676160894</v>
      </c>
      <c r="GJ843"/>
      <c r="GK843">
        <v>1.042201838235294</v>
      </c>
      <c r="GL843">
        <v>1.346326838235294</v>
      </c>
      <c r="GM843">
        <v>1.4426157670454542</v>
      </c>
      <c r="GN843">
        <v>1.2634126420454543</v>
      </c>
      <c r="GO843">
        <v>0.47601562499999994</v>
      </c>
      <c r="GP843">
        <v>0.36009374999999999</v>
      </c>
      <c r="GQ843">
        <v>0.24196875000000001</v>
      </c>
      <c r="GR843">
        <v>0.19312499999999999</v>
      </c>
      <c r="GS843">
        <v>0</v>
      </c>
      <c r="GT843">
        <v>0.64056039605614956</v>
      </c>
      <c r="GU843"/>
      <c r="GV843"/>
      <c r="GW843"/>
      <c r="GX843"/>
      <c r="GY843"/>
      <c r="GZ843"/>
      <c r="HA843"/>
      <c r="HB843"/>
      <c r="HC843"/>
    </row>
    <row r="844" spans="1:211" s="7" customFormat="1">
      <c r="A844" s="4"/>
      <c r="B844" s="4"/>
      <c r="C844" s="105"/>
      <c r="D844" s="4"/>
      <c r="E844" s="4"/>
      <c r="F844" s="28"/>
      <c r="G844" s="28"/>
      <c r="H844" s="83"/>
      <c r="I844" s="4"/>
      <c r="J844" s="4"/>
      <c r="K844" s="4"/>
      <c r="L844" s="4"/>
      <c r="M844" s="4"/>
      <c r="N844" s="28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81"/>
      <c r="AG844" s="81"/>
      <c r="AH844" s="81"/>
      <c r="AI844" s="4"/>
      <c r="AJ844" s="81"/>
      <c r="AK844" s="81"/>
      <c r="AL844" s="81"/>
      <c r="AM844" s="43">
        <v>828</v>
      </c>
      <c r="AN844">
        <v>45.707995575366894</v>
      </c>
      <c r="AO844">
        <v>0.94725528416222249</v>
      </c>
      <c r="AP844">
        <v>0.67917821387209132</v>
      </c>
      <c r="AQ844">
        <v>6.6162991564129383</v>
      </c>
      <c r="AR844">
        <v>0.89957129198313934</v>
      </c>
      <c r="AS844">
        <v>3.8524223371659354</v>
      </c>
      <c r="AT844">
        <v>0.74544048740223101</v>
      </c>
      <c r="AU844">
        <v>0.35943415027237302</v>
      </c>
      <c r="AV844"/>
      <c r="AW844"/>
      <c r="FY844" s="211">
        <v>839</v>
      </c>
      <c r="FZ844">
        <v>1.624817371058711</v>
      </c>
      <c r="GA844">
        <v>2.2877588375327225</v>
      </c>
      <c r="GB844">
        <v>0.34198087334005545</v>
      </c>
      <c r="GC844">
        <v>0.36190693136877555</v>
      </c>
      <c r="GD844">
        <v>0.30059937416965499</v>
      </c>
      <c r="GE844">
        <v>0.17905888063664999</v>
      </c>
      <c r="GF844">
        <v>0.33409761863227821</v>
      </c>
      <c r="GG844">
        <v>0.28954215414031298</v>
      </c>
      <c r="GH844">
        <v>2.2985735835423678E-2</v>
      </c>
      <c r="GI844">
        <v>0.5585025526201215</v>
      </c>
      <c r="GJ844"/>
      <c r="GK844">
        <v>1.6192818014705881</v>
      </c>
      <c r="GL844">
        <v>1.9270630514705882</v>
      </c>
      <c r="GM844">
        <v>0.56125781249999995</v>
      </c>
      <c r="GN844">
        <v>1.0605140624999998</v>
      </c>
      <c r="GO844">
        <v>1.14369375</v>
      </c>
      <c r="GP844">
        <v>0.33665624999999999</v>
      </c>
      <c r="GQ844">
        <v>0.40278260869565213</v>
      </c>
      <c r="GR844">
        <v>0.40278260869565213</v>
      </c>
      <c r="GS844">
        <v>2.4293870192307693E-2</v>
      </c>
      <c r="GT844">
        <v>0.75026196857170957</v>
      </c>
      <c r="GU844"/>
      <c r="GV844"/>
      <c r="GW844"/>
      <c r="GX844"/>
      <c r="GY844"/>
      <c r="GZ844"/>
      <c r="HA844"/>
      <c r="HB844"/>
      <c r="HC844"/>
    </row>
    <row r="845" spans="1:211" s="7" customFormat="1">
      <c r="A845" s="4"/>
      <c r="B845" s="4"/>
      <c r="C845" s="105"/>
      <c r="D845" s="4"/>
      <c r="E845" s="4"/>
      <c r="F845" s="28"/>
      <c r="G845" s="28"/>
      <c r="H845" s="83"/>
      <c r="I845" s="4"/>
      <c r="J845" s="4"/>
      <c r="K845" s="4"/>
      <c r="L845" s="4"/>
      <c r="M845" s="4"/>
      <c r="N845" s="28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81"/>
      <c r="AG845" s="81"/>
      <c r="AH845" s="81"/>
      <c r="AI845" s="4"/>
      <c r="AJ845" s="81"/>
      <c r="AK845" s="81"/>
      <c r="AL845" s="81"/>
      <c r="AM845" s="43">
        <v>829</v>
      </c>
      <c r="AN845">
        <v>41.499080966927828</v>
      </c>
      <c r="AO845">
        <v>0.87125201433671295</v>
      </c>
      <c r="AP845">
        <v>0.58810805254808596</v>
      </c>
      <c r="AQ845">
        <v>6.3802140172602231</v>
      </c>
      <c r="AR845">
        <v>0.80653592212428449</v>
      </c>
      <c r="AS845">
        <v>3.4209098635623953</v>
      </c>
      <c r="AT845" t="e">
        <v>#DIV/0!</v>
      </c>
      <c r="AU845" t="e">
        <v>#DIV/0!</v>
      </c>
      <c r="AV845"/>
      <c r="AW845"/>
      <c r="FY845" s="211">
        <v>840</v>
      </c>
      <c r="FZ845">
        <v>1.4490534356714926</v>
      </c>
      <c r="GA845">
        <v>2.1320171055476451</v>
      </c>
      <c r="GB845">
        <v>1.0507606266982465</v>
      </c>
      <c r="GC845">
        <v>0.68398767434356134</v>
      </c>
      <c r="GD845">
        <v>0.24350731772424428</v>
      </c>
      <c r="GE845">
        <v>0.1020805491843</v>
      </c>
      <c r="GF845">
        <v>0.57499774394694703</v>
      </c>
      <c r="GG845">
        <v>0.4281665527876255</v>
      </c>
      <c r="GH845">
        <v>0</v>
      </c>
      <c r="GI845">
        <v>0.71289118334854662</v>
      </c>
      <c r="GJ845"/>
      <c r="GK845">
        <v>1.4441268382352939</v>
      </c>
      <c r="GL845">
        <v>1.795654181985294</v>
      </c>
      <c r="GM845">
        <v>1.7247837357954543</v>
      </c>
      <c r="GN845">
        <v>2.0061197849025971</v>
      </c>
      <c r="GO845">
        <v>0.92620714285714278</v>
      </c>
      <c r="GP845">
        <v>0.1918125</v>
      </c>
      <c r="GQ845">
        <v>0.69359510869565222</v>
      </c>
      <c r="GR845">
        <v>0.59590760869565207</v>
      </c>
      <c r="GS845">
        <v>0</v>
      </c>
      <c r="GT845">
        <v>0.95774256511670863</v>
      </c>
      <c r="GU845"/>
      <c r="GV845"/>
      <c r="GW845"/>
      <c r="GX845"/>
      <c r="GY845"/>
      <c r="GZ845"/>
      <c r="HA845"/>
      <c r="HB845"/>
      <c r="HC845"/>
    </row>
    <row r="846" spans="1:211" s="7" customFormat="1">
      <c r="A846" s="4"/>
      <c r="B846" s="4"/>
      <c r="C846" s="105"/>
      <c r="D846" s="4"/>
      <c r="E846" s="4"/>
      <c r="F846" s="28"/>
      <c r="G846" s="28"/>
      <c r="H846" s="83"/>
      <c r="I846" s="4"/>
      <c r="J846" s="4"/>
      <c r="K846" s="4"/>
      <c r="L846" s="4"/>
      <c r="M846" s="4"/>
      <c r="N846" s="28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81"/>
      <c r="AG846" s="81"/>
      <c r="AH846" s="81"/>
      <c r="AI846" s="4"/>
      <c r="AJ846" s="81"/>
      <c r="AK846" s="81"/>
      <c r="AL846" s="81"/>
      <c r="AM846" s="43">
        <v>830</v>
      </c>
      <c r="AN846">
        <v>40.465088774036175</v>
      </c>
      <c r="AO846">
        <v>0.95335969494618511</v>
      </c>
      <c r="AP846">
        <v>0.8577462633340005</v>
      </c>
      <c r="AQ846">
        <v>7.1391099294951808</v>
      </c>
      <c r="AR846">
        <v>0.87393494995107734</v>
      </c>
      <c r="AS846">
        <v>3.484017555852148</v>
      </c>
      <c r="AT846" t="e">
        <v>#DIV/0!</v>
      </c>
      <c r="AU846" t="e">
        <v>#DIV/0!</v>
      </c>
      <c r="AV846"/>
      <c r="AW846"/>
      <c r="FY846" s="211">
        <v>841</v>
      </c>
      <c r="FZ846">
        <v>0.86114186112549929</v>
      </c>
      <c r="GA846">
        <v>0.93569789288874528</v>
      </c>
      <c r="GB846">
        <v>0.12466466491386446</v>
      </c>
      <c r="GC846">
        <v>0.27221695216048247</v>
      </c>
      <c r="GD846">
        <v>0.21121403479152423</v>
      </c>
      <c r="GE846">
        <v>6.9375995884124991E-2</v>
      </c>
      <c r="GF846">
        <v>0.36024295839505316</v>
      </c>
      <c r="GG846">
        <v>0.32783070573276563</v>
      </c>
      <c r="GH846">
        <v>6.6522953376906252E-2</v>
      </c>
      <c r="GI846">
        <v>0.3530535767495866</v>
      </c>
      <c r="GJ846"/>
      <c r="GK846">
        <v>0.85794374999999989</v>
      </c>
      <c r="GL846">
        <v>0.78764296875000006</v>
      </c>
      <c r="GM846">
        <v>0.20430859375000002</v>
      </c>
      <c r="GN846">
        <v>0.79702589285714265</v>
      </c>
      <c r="GO846">
        <v>0.80305714285714269</v>
      </c>
      <c r="GP846">
        <v>0.130265625</v>
      </c>
      <c r="GQ846">
        <v>0.43509375</v>
      </c>
      <c r="GR846">
        <v>0.45661458333333332</v>
      </c>
      <c r="GS846">
        <v>7.0364583333333328E-2</v>
      </c>
      <c r="GT846">
        <v>0.47415356398809516</v>
      </c>
      <c r="GU846"/>
      <c r="GV846"/>
      <c r="GW846"/>
      <c r="GX846"/>
      <c r="GY846"/>
      <c r="GZ846"/>
      <c r="HA846"/>
      <c r="HB846"/>
      <c r="HC846"/>
    </row>
    <row r="847" spans="1:211" s="7" customFormat="1">
      <c r="A847" s="4"/>
      <c r="B847" s="4"/>
      <c r="C847" s="4"/>
      <c r="D847" s="4"/>
      <c r="E847" s="4"/>
      <c r="F847" s="28"/>
      <c r="G847" s="28"/>
      <c r="H847" s="83"/>
      <c r="I847" s="4"/>
      <c r="J847" s="4"/>
      <c r="K847" s="4"/>
      <c r="L847" s="4"/>
      <c r="M847" s="4"/>
      <c r="N847" s="28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81"/>
      <c r="AG847" s="81"/>
      <c r="AH847" s="81"/>
      <c r="AI847" s="4"/>
      <c r="AJ847" s="81"/>
      <c r="AK847" s="81"/>
      <c r="AL847" s="81"/>
      <c r="AM847" s="43">
        <v>831</v>
      </c>
      <c r="AN847">
        <v>36.814845190212836</v>
      </c>
      <c r="AO847">
        <v>0.92688173991327294</v>
      </c>
      <c r="AP847">
        <v>1.84652338319839</v>
      </c>
      <c r="AQ847">
        <v>6.5786799308639461</v>
      </c>
      <c r="AR847">
        <v>0.85931693357500327</v>
      </c>
      <c r="AS847">
        <v>2.7493575666813448</v>
      </c>
      <c r="AT847" t="e">
        <v>#DIV/0!</v>
      </c>
      <c r="AU847" t="e">
        <v>#DIV/0!</v>
      </c>
      <c r="AV847"/>
      <c r="AW847"/>
      <c r="FY847" s="211">
        <v>842</v>
      </c>
      <c r="FZ847">
        <v>0.99011624225547101</v>
      </c>
      <c r="GA847">
        <v>1.1312387683725289</v>
      </c>
      <c r="GB847">
        <v>1.0455250409169363</v>
      </c>
      <c r="GC847">
        <v>1.115369898319617</v>
      </c>
      <c r="GD847">
        <v>0.54566847403678909</v>
      </c>
      <c r="GE847">
        <v>0.10979074220377499</v>
      </c>
      <c r="GF847">
        <v>0.5344786465355188</v>
      </c>
      <c r="GG847">
        <v>0.52933036966390667</v>
      </c>
      <c r="GH847">
        <v>0.17901737842465987</v>
      </c>
      <c r="GI847">
        <v>0.83563337487452471</v>
      </c>
      <c r="GJ847"/>
      <c r="GK847">
        <v>0.98663437500000006</v>
      </c>
      <c r="GL847">
        <v>0.95252109375000005</v>
      </c>
      <c r="GM847">
        <v>1.7164477982954545</v>
      </c>
      <c r="GN847">
        <v>3.269746347402597</v>
      </c>
      <c r="GO847">
        <v>2.0750758928571424</v>
      </c>
      <c r="GP847">
        <v>0.20629687499999999</v>
      </c>
      <c r="GQ847">
        <v>0.64475135869565214</v>
      </c>
      <c r="GR847">
        <v>0.73663677536231864</v>
      </c>
      <c r="GS847">
        <v>0.18931690705128204</v>
      </c>
      <c r="GT847">
        <v>1.1224452663799063</v>
      </c>
      <c r="GU847"/>
      <c r="GV847"/>
      <c r="GW847"/>
      <c r="GX847"/>
      <c r="GY847"/>
      <c r="GZ847"/>
      <c r="HA847"/>
      <c r="HB847"/>
      <c r="HC847"/>
    </row>
    <row r="848" spans="1:211" s="7" customFormat="1">
      <c r="A848" s="4"/>
      <c r="B848" s="4"/>
      <c r="C848" s="4"/>
      <c r="D848" s="4"/>
      <c r="E848" s="4"/>
      <c r="F848" s="28"/>
      <c r="G848" s="28"/>
      <c r="H848" s="83"/>
      <c r="I848" s="4"/>
      <c r="J848" s="4"/>
      <c r="K848" s="4"/>
      <c r="L848" s="4"/>
      <c r="M848" s="4"/>
      <c r="N848" s="28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81"/>
      <c r="AG848" s="81"/>
      <c r="AH848" s="81"/>
      <c r="AI848" s="4"/>
      <c r="AJ848" s="81"/>
      <c r="AK848" s="81"/>
      <c r="AL848" s="81"/>
      <c r="AM848" s="43">
        <v>832</v>
      </c>
      <c r="AN848">
        <v>43.832337371264003</v>
      </c>
      <c r="AO848">
        <v>0.81749524821577868</v>
      </c>
      <c r="AP848">
        <v>0.58051439129395321</v>
      </c>
      <c r="AQ848">
        <v>5.5264062862549252</v>
      </c>
      <c r="AR848">
        <v>0.76711898657728139</v>
      </c>
      <c r="AS848">
        <v>3.9019522669666213</v>
      </c>
      <c r="AT848" t="e">
        <v>#DIV/0!</v>
      </c>
      <c r="AU848" t="e">
        <v>#DIV/0!</v>
      </c>
      <c r="AV848"/>
      <c r="AW848"/>
      <c r="FY848" s="211">
        <v>843</v>
      </c>
      <c r="FZ848">
        <v>1.7174126821641418</v>
      </c>
      <c r="GA848">
        <v>2.1608528332394119</v>
      </c>
      <c r="GB848">
        <v>0.27954543464904374</v>
      </c>
      <c r="GC848">
        <v>0.35590619265590129</v>
      </c>
      <c r="GD848">
        <v>0.27816409696177602</v>
      </c>
      <c r="GE848">
        <v>0.1406236436361</v>
      </c>
      <c r="GF848">
        <v>0.24090012531466881</v>
      </c>
      <c r="GG848">
        <v>0.23978821552359375</v>
      </c>
      <c r="GH848">
        <v>0.15603164258923619</v>
      </c>
      <c r="GI848">
        <v>0.5484845953614379</v>
      </c>
      <c r="GJ848"/>
      <c r="GK848">
        <v>1.711691176470588</v>
      </c>
      <c r="GL848">
        <v>1.8202536764705881</v>
      </c>
      <c r="GM848">
        <v>0.45856249999999998</v>
      </c>
      <c r="GN848">
        <v>1.0423049107142857</v>
      </c>
      <c r="GO848">
        <v>1.0580236607142857</v>
      </c>
      <c r="GP848">
        <v>0.26418750000000002</v>
      </c>
      <c r="GQ848">
        <v>0.29081250000000003</v>
      </c>
      <c r="GR848">
        <v>0.33385416666666667</v>
      </c>
      <c r="GS848">
        <v>0.16502303685897435</v>
      </c>
      <c r="GT848">
        <v>0.73682257480876956</v>
      </c>
      <c r="GU848"/>
      <c r="GV848"/>
      <c r="GW848"/>
      <c r="GX848"/>
      <c r="GY848"/>
      <c r="GZ848"/>
      <c r="HA848"/>
      <c r="HB848"/>
      <c r="HC848"/>
    </row>
    <row r="849" spans="1:211" s="7" customFormat="1">
      <c r="A849" s="4"/>
      <c r="B849" s="4"/>
      <c r="C849" s="4"/>
      <c r="D849" s="4"/>
      <c r="E849" s="4"/>
      <c r="F849" s="28"/>
      <c r="G849" s="28"/>
      <c r="H849" s="83"/>
      <c r="I849" s="4"/>
      <c r="J849" s="4"/>
      <c r="K849" s="4"/>
      <c r="L849" s="4"/>
      <c r="M849" s="4"/>
      <c r="N849" s="28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81"/>
      <c r="AG849" s="81"/>
      <c r="AH849" s="81"/>
      <c r="AI849" s="4"/>
      <c r="AJ849" s="81"/>
      <c r="AK849" s="81"/>
      <c r="AL849" s="81"/>
      <c r="AM849" s="43">
        <v>833</v>
      </c>
      <c r="AN849">
        <v>42.338212175895997</v>
      </c>
      <c r="AO849">
        <v>0.97291277151341315</v>
      </c>
      <c r="AP849">
        <v>1.190848796288591</v>
      </c>
      <c r="AQ849">
        <v>6.9618895044287772</v>
      </c>
      <c r="AR849">
        <v>0.89029684866603964</v>
      </c>
      <c r="AS849">
        <v>3.3571013116179023</v>
      </c>
      <c r="AT849" t="e">
        <v>#DIV/0!</v>
      </c>
      <c r="AU849" t="e">
        <v>#DIV/0!</v>
      </c>
      <c r="AV849"/>
      <c r="AW849"/>
      <c r="FY849" s="211">
        <v>844</v>
      </c>
      <c r="FZ849">
        <v>1.4195072758251888</v>
      </c>
      <c r="GA849">
        <v>2.1351007974378522</v>
      </c>
      <c r="GB849">
        <v>1.4253557777655608</v>
      </c>
      <c r="GC849">
        <v>0.74035233192843153</v>
      </c>
      <c r="GD849">
        <v>0.11123622538528176</v>
      </c>
      <c r="GE849">
        <v>0.1406236436361</v>
      </c>
      <c r="GF849">
        <v>0.9090953625792253</v>
      </c>
      <c r="GG849">
        <v>0.71770870692793864</v>
      </c>
      <c r="GH849">
        <v>0</v>
      </c>
      <c r="GI849">
        <v>0.78512380870798193</v>
      </c>
      <c r="GJ849"/>
      <c r="GK849">
        <v>1.4147849264705881</v>
      </c>
      <c r="GL849">
        <v>1.7985974264705882</v>
      </c>
      <c r="GM849">
        <v>2.3401690340909087</v>
      </c>
      <c r="GN849">
        <v>2.1732043019480516</v>
      </c>
      <c r="GO849">
        <v>0.42319151785714276</v>
      </c>
      <c r="GP849">
        <v>0.26418750000000002</v>
      </c>
      <c r="GQ849">
        <v>1.0963777173913045</v>
      </c>
      <c r="GR849">
        <v>0.99869021739130437</v>
      </c>
      <c r="GS849">
        <v>0</v>
      </c>
      <c r="GT849">
        <v>1.0549046391619887</v>
      </c>
      <c r="GU849"/>
      <c r="GV849"/>
      <c r="GW849"/>
      <c r="GX849"/>
      <c r="GY849"/>
      <c r="GZ849"/>
      <c r="HA849"/>
      <c r="HB849"/>
      <c r="HC849"/>
    </row>
    <row r="850" spans="1:211" s="7" customFormat="1">
      <c r="A850" s="4"/>
      <c r="B850" s="4"/>
      <c r="C850" s="4"/>
      <c r="D850" s="4"/>
      <c r="E850" s="4"/>
      <c r="F850" s="28"/>
      <c r="G850" s="28"/>
      <c r="H850" s="83"/>
      <c r="I850" s="4"/>
      <c r="J850" s="4"/>
      <c r="K850" s="4"/>
      <c r="L850" s="4"/>
      <c r="M850" s="4"/>
      <c r="N850" s="28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81"/>
      <c r="AG850" s="81"/>
      <c r="AH850" s="81"/>
      <c r="AI850" s="4"/>
      <c r="AJ850" s="81"/>
      <c r="AK850" s="81"/>
      <c r="AL850" s="81"/>
      <c r="AM850" s="43">
        <v>834</v>
      </c>
      <c r="AN850">
        <v>49.85216074050394</v>
      </c>
      <c r="AO850">
        <v>1.1715067379449065</v>
      </c>
      <c r="AP850">
        <v>0.93152885555700649</v>
      </c>
      <c r="AQ850">
        <v>8.3287649927042668</v>
      </c>
      <c r="AR850">
        <v>1.0831169208590055</v>
      </c>
      <c r="AS850">
        <v>3.9746413279229791</v>
      </c>
      <c r="AT850" t="e">
        <v>#DIV/0!</v>
      </c>
      <c r="AU850" t="e">
        <v>#DIV/0!</v>
      </c>
      <c r="AV850"/>
      <c r="AW850"/>
      <c r="FY850" s="211">
        <v>845</v>
      </c>
      <c r="FZ850">
        <v>0.46324748758224094</v>
      </c>
      <c r="GA850">
        <v>1.5202898355258654</v>
      </c>
      <c r="GB850">
        <v>1.0838637371745596</v>
      </c>
      <c r="GC850">
        <v>0.45339155637717948</v>
      </c>
      <c r="GD850">
        <v>0.15148162942658036</v>
      </c>
      <c r="GE850">
        <v>0.16663865826195001</v>
      </c>
      <c r="GF850">
        <v>0.45565491086656262</v>
      </c>
      <c r="GG850">
        <v>0.28954215414031298</v>
      </c>
      <c r="GH850">
        <v>9.1942943341694713E-2</v>
      </c>
      <c r="GI850">
        <v>0.51567540276856716</v>
      </c>
      <c r="GJ850"/>
      <c r="GK850">
        <v>0.46155937499999999</v>
      </c>
      <c r="GL850">
        <v>1.2802429687500001</v>
      </c>
      <c r="GM850">
        <v>1.7790884232954542</v>
      </c>
      <c r="GN850">
        <v>1.330616883116883</v>
      </c>
      <c r="GO850">
        <v>0.57655580357142855</v>
      </c>
      <c r="GP850">
        <v>0.31303125000000004</v>
      </c>
      <c r="GQ850">
        <v>0.54931385869565208</v>
      </c>
      <c r="GR850">
        <v>0.40278260869565213</v>
      </c>
      <c r="GS850">
        <v>9.7175480769230771E-2</v>
      </c>
      <c r="GT850">
        <v>0.69273858826635304</v>
      </c>
      <c r="GU850"/>
      <c r="GV850"/>
      <c r="GW850"/>
      <c r="GX850"/>
      <c r="GY850"/>
      <c r="GZ850"/>
      <c r="HA850"/>
      <c r="HB850"/>
      <c r="HC850"/>
    </row>
    <row r="851" spans="1:211" s="7" customFormat="1">
      <c r="A851" s="4"/>
      <c r="B851" s="4"/>
      <c r="C851" s="4"/>
      <c r="D851" s="4"/>
      <c r="E851" s="4"/>
      <c r="F851" s="28"/>
      <c r="G851" s="28"/>
      <c r="H851" s="83"/>
      <c r="I851" s="4"/>
      <c r="J851" s="4"/>
      <c r="K851" s="4"/>
      <c r="L851" s="4"/>
      <c r="M851" s="4"/>
      <c r="N851" s="28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81"/>
      <c r="AG851" s="81"/>
      <c r="AH851" s="81"/>
      <c r="AI851" s="4"/>
      <c r="AJ851" s="81"/>
      <c r="AK851" s="81"/>
      <c r="AL851" s="81"/>
      <c r="AM851" s="43">
        <v>835</v>
      </c>
      <c r="AN851">
        <v>59.126740487861795</v>
      </c>
      <c r="AO851">
        <v>1.1798550852153362</v>
      </c>
      <c r="AP851">
        <v>0.98750800981598297</v>
      </c>
      <c r="AQ851">
        <v>6.9973100701290507</v>
      </c>
      <c r="AR851">
        <v>1.0907063274684874</v>
      </c>
      <c r="AS851">
        <v>5.1914929181164364</v>
      </c>
      <c r="AT851" t="e">
        <v>#DIV/0!</v>
      </c>
      <c r="AU851" t="e">
        <v>#DIV/0!</v>
      </c>
      <c r="AV851"/>
      <c r="AW851"/>
      <c r="FY851" s="211">
        <v>846</v>
      </c>
      <c r="FZ851">
        <v>0.91870721876115591</v>
      </c>
      <c r="GA851">
        <v>1.443840120758592</v>
      </c>
      <c r="GB851">
        <v>1.4424004362564138</v>
      </c>
      <c r="GC851">
        <v>0.76653992158376649</v>
      </c>
      <c r="GD851">
        <v>0.11407601379343496</v>
      </c>
      <c r="GE851">
        <v>0.15984126213637501</v>
      </c>
      <c r="GF851">
        <v>0.5344786465355188</v>
      </c>
      <c r="GG851">
        <v>0.4281665527876255</v>
      </c>
      <c r="GH851">
        <v>0</v>
      </c>
      <c r="GI851">
        <v>0.64936044814524529</v>
      </c>
      <c r="GJ851"/>
      <c r="GK851">
        <v>0.91543308823529412</v>
      </c>
      <c r="GL851">
        <v>1.215901838235294</v>
      </c>
      <c r="GM851">
        <v>2.3677627840909086</v>
      </c>
      <c r="GN851">
        <v>2.250134659090909</v>
      </c>
      <c r="GO851">
        <v>0.43441874999999991</v>
      </c>
      <c r="GP851">
        <v>0.300421875</v>
      </c>
      <c r="GQ851">
        <v>0.64475135869565214</v>
      </c>
      <c r="GR851">
        <v>0.59590760869565207</v>
      </c>
      <c r="GS851">
        <v>0</v>
      </c>
      <c r="GT851">
        <v>0.87247319620437092</v>
      </c>
      <c r="GU851"/>
      <c r="GV851"/>
      <c r="GW851"/>
      <c r="GX851"/>
      <c r="GY851"/>
      <c r="GZ851"/>
      <c r="HA851"/>
      <c r="HB851"/>
      <c r="HC851"/>
    </row>
    <row r="852" spans="1:211" s="7" customFormat="1">
      <c r="A852" s="4"/>
      <c r="B852" s="4"/>
      <c r="C852" s="4"/>
      <c r="D852" s="4"/>
      <c r="E852" s="4"/>
      <c r="F852" s="28"/>
      <c r="G852" s="28"/>
      <c r="H852" s="83"/>
      <c r="I852" s="4"/>
      <c r="J852" s="4"/>
      <c r="K852" s="4"/>
      <c r="L852" s="4"/>
      <c r="M852" s="4"/>
      <c r="N852" s="28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81"/>
      <c r="AG852" s="81"/>
      <c r="AH852" s="81"/>
      <c r="AI852" s="4"/>
      <c r="AJ852" s="81"/>
      <c r="AK852" s="81"/>
      <c r="AL852" s="81"/>
      <c r="AM852" s="43">
        <v>836</v>
      </c>
      <c r="AN852">
        <v>38.952326084419269</v>
      </c>
      <c r="AO852">
        <v>0.84777973496871561</v>
      </c>
      <c r="AP852">
        <v>0.30939159275384731</v>
      </c>
      <c r="AQ852">
        <v>7.3173038170784555</v>
      </c>
      <c r="AR852">
        <v>0.78881964542610516</v>
      </c>
      <c r="AS852">
        <v>3.0870593800756758</v>
      </c>
      <c r="AT852" t="e">
        <v>#DIV/0!</v>
      </c>
      <c r="AU852" t="e">
        <v>#DIV/0!</v>
      </c>
      <c r="AV852"/>
      <c r="AW852"/>
      <c r="FY852" s="211">
        <v>847</v>
      </c>
      <c r="FZ852">
        <v>2.2696263858161476</v>
      </c>
      <c r="GA852">
        <v>3.0420418520233268</v>
      </c>
      <c r="GB852">
        <v>1.2710064421638281</v>
      </c>
      <c r="GC852">
        <v>0.99889464524434335</v>
      </c>
      <c r="GD852">
        <v>0.46560969414987424</v>
      </c>
      <c r="GE852">
        <v>0.19549205037517497</v>
      </c>
      <c r="GF852">
        <v>0.57499774394694703</v>
      </c>
      <c r="GG852">
        <v>0.52933036966390667</v>
      </c>
      <c r="GH852">
        <v>0.1330459067538125</v>
      </c>
      <c r="GI852">
        <v>1.0352477888833242</v>
      </c>
      <c r="GJ852"/>
      <c r="GK852">
        <v>2.262003676470588</v>
      </c>
      <c r="GL852">
        <v>2.5624724264705878</v>
      </c>
      <c r="GM852">
        <v>2.0865767045454544</v>
      </c>
      <c r="GN852">
        <v>2.9291494724025977</v>
      </c>
      <c r="GO852">
        <v>1.7713071428571427</v>
      </c>
      <c r="GP852">
        <v>0.36735937499999993</v>
      </c>
      <c r="GQ852">
        <v>0.69359510869565222</v>
      </c>
      <c r="GR852">
        <v>0.73663677536231864</v>
      </c>
      <c r="GS852">
        <v>0.14072916666666666</v>
      </c>
      <c r="GT852">
        <v>1.3908423598471007</v>
      </c>
      <c r="GU852"/>
      <c r="GV852"/>
      <c r="GW852"/>
      <c r="GX852"/>
      <c r="GY852"/>
      <c r="GZ852"/>
      <c r="HA852"/>
      <c r="HB852"/>
      <c r="HC852"/>
    </row>
    <row r="853" spans="1:211" s="7" customFormat="1">
      <c r="A853" s="4"/>
      <c r="B853" s="4"/>
      <c r="C853" s="4"/>
      <c r="D853" s="4"/>
      <c r="E853" s="4"/>
      <c r="F853" s="28"/>
      <c r="G853" s="28"/>
      <c r="H853" s="83"/>
      <c r="I853" s="4"/>
      <c r="J853" s="4"/>
      <c r="K853" s="4"/>
      <c r="L853" s="4"/>
      <c r="M853" s="4"/>
      <c r="N853" s="28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81"/>
      <c r="AG853" s="81"/>
      <c r="AH853" s="81"/>
      <c r="AI853" s="4"/>
      <c r="AJ853" s="81"/>
      <c r="AK853" s="81"/>
      <c r="AL853" s="81"/>
      <c r="AM853" s="43">
        <v>837</v>
      </c>
      <c r="AN853">
        <v>42.226070845004678</v>
      </c>
      <c r="AO853">
        <v>1.0079454535189074</v>
      </c>
      <c r="AP853">
        <v>2.9410621350488992</v>
      </c>
      <c r="AQ853">
        <v>6.9801747683146882</v>
      </c>
      <c r="AR853">
        <v>0.93804700319900669</v>
      </c>
      <c r="AS853">
        <v>3.471738373518106</v>
      </c>
      <c r="AT853" t="e">
        <v>#DIV/0!</v>
      </c>
      <c r="AU853" t="e">
        <v>#DIV/0!</v>
      </c>
      <c r="AV853"/>
      <c r="AW853"/>
      <c r="FY853" s="211">
        <v>848</v>
      </c>
      <c r="FZ853">
        <v>0.40877926022035965</v>
      </c>
      <c r="GA853">
        <v>0.81954157645260906</v>
      </c>
      <c r="GB853">
        <v>1.0330379531787339</v>
      </c>
      <c r="GC853">
        <v>0.49919431224036009</v>
      </c>
      <c r="GD853">
        <v>9.8820161878834273E-2</v>
      </c>
      <c r="GE853">
        <v>7.1247647751975007E-2</v>
      </c>
      <c r="GF853">
        <v>0.86857626516779707</v>
      </c>
      <c r="GG853">
        <v>0.71770870692793864</v>
      </c>
      <c r="GH853">
        <v>0</v>
      </c>
      <c r="GI853">
        <v>0.52506018978290947</v>
      </c>
      <c r="GJ853"/>
      <c r="GK853">
        <v>0.40737187499999994</v>
      </c>
      <c r="GL853">
        <v>0.69018046874999994</v>
      </c>
      <c r="GM853">
        <v>1.6959087357954545</v>
      </c>
      <c r="GN853">
        <v>1.4651541599025972</v>
      </c>
      <c r="GO853">
        <v>0.37619464285714282</v>
      </c>
      <c r="GP853">
        <v>0.133921875</v>
      </c>
      <c r="GQ853">
        <v>1.0475339673913044</v>
      </c>
      <c r="GR853">
        <v>0.99869021739130437</v>
      </c>
      <c r="GS853">
        <v>0</v>
      </c>
      <c r="GT853">
        <v>0.70540184420878027</v>
      </c>
      <c r="GU853"/>
      <c r="GV853"/>
      <c r="GW853"/>
      <c r="GX853"/>
      <c r="GY853"/>
      <c r="GZ853"/>
      <c r="HA853"/>
      <c r="HB853"/>
      <c r="HC853"/>
    </row>
    <row r="854" spans="1:211" s="7" customFormat="1">
      <c r="A854" s="4"/>
      <c r="B854" s="4"/>
      <c r="C854" s="4"/>
      <c r="D854" s="4"/>
      <c r="E854" s="4"/>
      <c r="F854" s="28"/>
      <c r="G854" s="28"/>
      <c r="H854" s="83"/>
      <c r="I854" s="4"/>
      <c r="J854" s="4"/>
      <c r="K854" s="4"/>
      <c r="L854" s="4"/>
      <c r="M854" s="4"/>
      <c r="N854" s="28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81"/>
      <c r="AG854" s="81"/>
      <c r="AH854" s="81"/>
      <c r="AI854" s="4"/>
      <c r="AJ854" s="81"/>
      <c r="AK854" s="81"/>
      <c r="AL854" s="81"/>
      <c r="AM854" s="43">
        <v>838</v>
      </c>
      <c r="AN854">
        <v>26.421507352941177</v>
      </c>
      <c r="AO854">
        <v>0.70063206066176453</v>
      </c>
      <c r="AP854">
        <v>0.70404297891744805</v>
      </c>
      <c r="AQ854">
        <v>5.0856647282978624</v>
      </c>
      <c r="AR854">
        <v>0.64056039605614978</v>
      </c>
      <c r="AS854">
        <v>2.3282839840503624</v>
      </c>
      <c r="AT854" t="e">
        <v>#DIV/0!</v>
      </c>
      <c r="AU854" t="e">
        <v>#DIV/0!</v>
      </c>
      <c r="AV854"/>
      <c r="AW854"/>
      <c r="FY854" s="211">
        <v>849</v>
      </c>
      <c r="FZ854">
        <v>1.2457359034832138</v>
      </c>
      <c r="GA854">
        <v>1.9850614619576645</v>
      </c>
      <c r="GB854">
        <v>0.47321268161855279</v>
      </c>
      <c r="GC854">
        <v>0.17465205339972001</v>
      </c>
      <c r="GD854">
        <v>0.10447847017102607</v>
      </c>
      <c r="GE854">
        <v>8.5701308171400009E-2</v>
      </c>
      <c r="GF854">
        <v>0.5344786465355188</v>
      </c>
      <c r="GG854">
        <v>0.47874846122576609</v>
      </c>
      <c r="GH854">
        <v>6.6522953376906252E-2</v>
      </c>
      <c r="GI854">
        <v>0.46606173313154681</v>
      </c>
      <c r="GJ854"/>
      <c r="GK854">
        <v>1.2412893382352941</v>
      </c>
      <c r="GL854">
        <v>1.671543244485294</v>
      </c>
      <c r="GM854">
        <v>0.77595703125000004</v>
      </c>
      <c r="GN854">
        <v>0.51160178571428572</v>
      </c>
      <c r="GO854">
        <v>0.39764866071428573</v>
      </c>
      <c r="GP854">
        <v>0.1610625</v>
      </c>
      <c r="GQ854">
        <v>0.64475135869565214</v>
      </c>
      <c r="GR854">
        <v>0.66627219202898535</v>
      </c>
      <c r="GS854">
        <v>7.0364583333333328E-2</v>
      </c>
      <c r="GT854">
        <v>0.62600219444571303</v>
      </c>
      <c r="GU854"/>
      <c r="GV854"/>
      <c r="GW854"/>
      <c r="GX854"/>
      <c r="GY854"/>
      <c r="GZ854"/>
      <c r="HA854"/>
      <c r="HB854"/>
      <c r="HC854"/>
    </row>
    <row r="855" spans="1:211" s="7" customFormat="1">
      <c r="A855" s="4"/>
      <c r="B855" s="4"/>
      <c r="C855" s="4"/>
      <c r="D855" s="4"/>
      <c r="E855" s="4"/>
      <c r="F855" s="28"/>
      <c r="G855" s="28"/>
      <c r="H855" s="83"/>
      <c r="I855" s="4"/>
      <c r="J855" s="4"/>
      <c r="K855" s="4"/>
      <c r="L855" s="4"/>
      <c r="M855" s="4"/>
      <c r="N855" s="28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81"/>
      <c r="AG855" s="81"/>
      <c r="AH855" s="81"/>
      <c r="AI855" s="4"/>
      <c r="AJ855" s="81"/>
      <c r="AK855" s="81"/>
      <c r="AL855" s="81"/>
      <c r="AM855" s="43">
        <v>839</v>
      </c>
      <c r="AN855">
        <v>37.305067613723295</v>
      </c>
      <c r="AO855">
        <v>0.82285877840964972</v>
      </c>
      <c r="AP855">
        <v>20.896736327916578</v>
      </c>
      <c r="AQ855">
        <v>6.3012503293347066</v>
      </c>
      <c r="AR855">
        <v>0.75026196857170957</v>
      </c>
      <c r="AS855">
        <v>3.0180722719527093</v>
      </c>
      <c r="AT855" t="e">
        <v>#DIV/0!</v>
      </c>
      <c r="AU855" t="e">
        <v>#DIV/0!</v>
      </c>
      <c r="AV855"/>
      <c r="AW855"/>
      <c r="FY855" s="211">
        <v>850</v>
      </c>
      <c r="FZ855">
        <v>0.96106189610108517</v>
      </c>
      <c r="GA855">
        <v>1.1904265972070522</v>
      </c>
      <c r="GB855">
        <v>1.5596205247626291</v>
      </c>
      <c r="GC855">
        <v>1.2226434757556603</v>
      </c>
      <c r="GD855">
        <v>0.41145498299641176</v>
      </c>
      <c r="GE855">
        <v>0.17145654506842495</v>
      </c>
      <c r="GF855">
        <v>0.77537877185018744</v>
      </c>
      <c r="GG855">
        <v>0.61737285987307855</v>
      </c>
      <c r="GH855">
        <v>8.9508689212329934E-2</v>
      </c>
      <c r="GI855">
        <v>0.91013063335659061</v>
      </c>
      <c r="GJ855"/>
      <c r="GK855">
        <v>0.95755312499999978</v>
      </c>
      <c r="GL855">
        <v>1.00216640625</v>
      </c>
      <c r="GM855">
        <v>2.5606573153409089</v>
      </c>
      <c r="GN855">
        <v>3.586663676948052</v>
      </c>
      <c r="GO855">
        <v>1.5649165178571427</v>
      </c>
      <c r="GP855">
        <v>0.32207812499999999</v>
      </c>
      <c r="GQ855">
        <v>0.93556385869565206</v>
      </c>
      <c r="GR855">
        <v>0.85939719202898535</v>
      </c>
      <c r="GS855">
        <v>9.465845352564102E-2</v>
      </c>
      <c r="GT855">
        <v>1.222669854083869</v>
      </c>
      <c r="GU855"/>
      <c r="GV855"/>
      <c r="GW855"/>
      <c r="GX855"/>
      <c r="GY855"/>
      <c r="GZ855"/>
      <c r="HA855"/>
      <c r="HB855"/>
      <c r="HC855"/>
    </row>
    <row r="856" spans="1:211" s="7" customFormat="1">
      <c r="A856" s="4"/>
      <c r="B856" s="4"/>
      <c r="C856" s="4"/>
      <c r="D856" s="4"/>
      <c r="E856" s="4"/>
      <c r="F856" s="28"/>
      <c r="G856" s="28"/>
      <c r="H856" s="83"/>
      <c r="I856" s="4"/>
      <c r="J856" s="4"/>
      <c r="K856" s="4"/>
      <c r="L856" s="4"/>
      <c r="M856" s="4"/>
      <c r="N856" s="28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81"/>
      <c r="AG856" s="81"/>
      <c r="AH856" s="81"/>
      <c r="AI856" s="4"/>
      <c r="AJ856" s="81"/>
      <c r="AK856" s="81"/>
      <c r="AL856" s="81"/>
      <c r="AM856" s="43">
        <v>840</v>
      </c>
      <c r="AN856">
        <v>44.5761064298908</v>
      </c>
      <c r="AO856">
        <v>1.0335949466283796</v>
      </c>
      <c r="AP856">
        <v>0.98472879264118363</v>
      </c>
      <c r="AQ856">
        <v>7.3774621892526095</v>
      </c>
      <c r="AR856">
        <v>0.95774256511670863</v>
      </c>
      <c r="AS856">
        <v>3.6634834088289518</v>
      </c>
      <c r="AT856" t="e">
        <v>#DIV/0!</v>
      </c>
      <c r="AU856" t="e">
        <v>#DIV/0!</v>
      </c>
      <c r="AV856"/>
      <c r="AW856"/>
      <c r="FY856" s="211">
        <v>851</v>
      </c>
      <c r="FZ856">
        <v>0.44511817917492841</v>
      </c>
      <c r="GA856">
        <v>0.76155818611722625</v>
      </c>
      <c r="GB856">
        <v>1.7614971155492753</v>
      </c>
      <c r="GC856">
        <v>1.1928165844202199</v>
      </c>
      <c r="GD856">
        <v>0.27615219886886777</v>
      </c>
      <c r="GE856">
        <v>4.5232633126125001E-2</v>
      </c>
      <c r="GF856">
        <v>0.6538214796159032</v>
      </c>
      <c r="GG856">
        <v>0.56679095143493796</v>
      </c>
      <c r="GH856">
        <v>6.8957207506271032E-2</v>
      </c>
      <c r="GI856">
        <v>0.78125186194479146</v>
      </c>
      <c r="GJ856"/>
      <c r="GK856">
        <v>0.44355937499999998</v>
      </c>
      <c r="GL856">
        <v>0.64119609374999997</v>
      </c>
      <c r="GM856">
        <v>2.8925230823863632</v>
      </c>
      <c r="GN856">
        <v>3.5010359172077923</v>
      </c>
      <c r="GO856">
        <v>1.0506026785714284</v>
      </c>
      <c r="GP856">
        <v>8.5078125000000004E-2</v>
      </c>
      <c r="GQ856">
        <v>0.78903260869565206</v>
      </c>
      <c r="GR856">
        <v>0.78903260869565206</v>
      </c>
      <c r="GS856">
        <v>7.2881610576923078E-2</v>
      </c>
      <c r="GT856">
        <v>1.0497198710460736</v>
      </c>
      <c r="GU856"/>
      <c r="GV856"/>
      <c r="GW856"/>
      <c r="GX856"/>
      <c r="GY856"/>
      <c r="GZ856"/>
      <c r="HA856"/>
      <c r="HB856"/>
      <c r="HC856"/>
    </row>
    <row r="857" spans="1:211" s="7" customFormat="1">
      <c r="A857" s="4"/>
      <c r="B857" s="4"/>
      <c r="C857" s="4"/>
      <c r="D857" s="4"/>
      <c r="E857" s="4"/>
      <c r="F857" s="28"/>
      <c r="G857" s="28"/>
      <c r="H857" s="83"/>
      <c r="I857" s="4"/>
      <c r="J857" s="4"/>
      <c r="K857" s="4"/>
      <c r="L857" s="4"/>
      <c r="M857" s="4"/>
      <c r="N857" s="28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81"/>
      <c r="AG857" s="81"/>
      <c r="AH857" s="81"/>
      <c r="AI857" s="4"/>
      <c r="AJ857" s="81"/>
      <c r="AK857" s="81"/>
      <c r="AL857" s="81"/>
      <c r="AM857" s="43">
        <v>841</v>
      </c>
      <c r="AN857">
        <v>25.879075727513225</v>
      </c>
      <c r="AO857">
        <v>0.50164704538690474</v>
      </c>
      <c r="AP857">
        <v>0.28040160342052628</v>
      </c>
      <c r="AQ857">
        <v>3.5819615960185525</v>
      </c>
      <c r="AR857">
        <v>0.47415356398809511</v>
      </c>
      <c r="AS857">
        <v>2.3340485150890329</v>
      </c>
      <c r="AT857" t="e">
        <v>#DIV/0!</v>
      </c>
      <c r="AU857" t="e">
        <v>#DIV/0!</v>
      </c>
      <c r="AV857"/>
      <c r="AW857"/>
      <c r="FY857" s="211">
        <v>852</v>
      </c>
      <c r="FZ857">
        <v>1.4090854216812583</v>
      </c>
      <c r="GA857">
        <v>2.0239639627465995</v>
      </c>
      <c r="GB857">
        <v>1.1037052076586324</v>
      </c>
      <c r="GC857">
        <v>0.68972172447961211</v>
      </c>
      <c r="GD857">
        <v>0.17889345093905998</v>
      </c>
      <c r="GE857">
        <v>3.0832901432324998E-2</v>
      </c>
      <c r="GF857">
        <v>0.37461671604370633</v>
      </c>
      <c r="GG857">
        <v>0.34012406257845362</v>
      </c>
      <c r="GH857">
        <v>6.6522953376906252E-2</v>
      </c>
      <c r="GI857">
        <v>0.65775749460347765</v>
      </c>
      <c r="GJ857"/>
      <c r="GK857">
        <v>1.4042830882352939</v>
      </c>
      <c r="GL857">
        <v>1.704751838235294</v>
      </c>
      <c r="GM857">
        <v>1.8119673295454541</v>
      </c>
      <c r="GN857">
        <v>2.0234017045454542</v>
      </c>
      <c r="GO857">
        <v>0.68032500000000007</v>
      </c>
      <c r="GP857">
        <v>5.7890625000000001E-2</v>
      </c>
      <c r="GQ857">
        <v>0.45162635869565215</v>
      </c>
      <c r="GR857">
        <v>0.47314719202898542</v>
      </c>
      <c r="GS857">
        <v>7.0364583333333328E-2</v>
      </c>
      <c r="GT857">
        <v>0.88371327196194649</v>
      </c>
      <c r="GU857"/>
      <c r="GV857"/>
      <c r="GW857"/>
      <c r="GX857"/>
      <c r="GY857"/>
      <c r="GZ857"/>
      <c r="HA857"/>
      <c r="HB857"/>
      <c r="HC857"/>
    </row>
    <row r="858" spans="1:211" s="7" customFormat="1">
      <c r="A858" s="4"/>
      <c r="B858" s="4"/>
      <c r="C858" s="4"/>
      <c r="D858" s="4"/>
      <c r="E858" s="4"/>
      <c r="F858" s="28"/>
      <c r="G858" s="28"/>
      <c r="H858" s="83"/>
      <c r="I858" s="4"/>
      <c r="J858" s="4"/>
      <c r="K858" s="4"/>
      <c r="L858" s="4"/>
      <c r="M858" s="4"/>
      <c r="N858" s="28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81"/>
      <c r="AG858" s="81"/>
      <c r="AH858" s="81"/>
      <c r="AI858" s="4"/>
      <c r="AJ858" s="81"/>
      <c r="AK858" s="81"/>
      <c r="AL858" s="81"/>
      <c r="AM858" s="43">
        <v>842</v>
      </c>
      <c r="AN858">
        <v>56.066547082647631</v>
      </c>
      <c r="AO858">
        <v>1.1899872689794351</v>
      </c>
      <c r="AP858">
        <v>1.2008091940552992</v>
      </c>
      <c r="AQ858">
        <v>7.0161689356037273</v>
      </c>
      <c r="AR858">
        <v>1.1224452663799065</v>
      </c>
      <c r="AS858">
        <v>4.717885194114749</v>
      </c>
      <c r="AT858">
        <v>0.91493113905313617</v>
      </c>
      <c r="AU858">
        <v>0.28340690915417099</v>
      </c>
      <c r="AV858"/>
      <c r="AW858"/>
      <c r="FY858" s="211">
        <v>853</v>
      </c>
      <c r="FZ858">
        <v>1.5344594889343119</v>
      </c>
      <c r="GA858">
        <v>2.065383499988112</v>
      </c>
      <c r="GB858">
        <v>0.86757678752835576</v>
      </c>
      <c r="GC858">
        <v>0.4953992720603701</v>
      </c>
      <c r="GD858">
        <v>0.11876876203557853</v>
      </c>
      <c r="GE858">
        <v>9.1539849323025002E-2</v>
      </c>
      <c r="GF858">
        <v>0.66819523726455643</v>
      </c>
      <c r="GG858">
        <v>0.57908430828062596</v>
      </c>
      <c r="GH858">
        <v>2.2985735835423678E-2</v>
      </c>
      <c r="GI858">
        <v>0.63049661551745495</v>
      </c>
      <c r="GJ858"/>
      <c r="GK858">
        <v>1.529092463235294</v>
      </c>
      <c r="GL858">
        <v>1.7395260569852942</v>
      </c>
      <c r="GM858">
        <v>1.4243149857954545</v>
      </c>
      <c r="GN858">
        <v>1.45404880275974</v>
      </c>
      <c r="GO858">
        <v>0.45190178571428563</v>
      </c>
      <c r="GP858">
        <v>0.17189062499999999</v>
      </c>
      <c r="GQ858">
        <v>0.80556521739130427</v>
      </c>
      <c r="GR858">
        <v>0.80556521739130427</v>
      </c>
      <c r="GS858">
        <v>2.4293870192307693E-2</v>
      </c>
      <c r="GT858">
        <v>0.84703366446572925</v>
      </c>
      <c r="GU858"/>
      <c r="GV858"/>
      <c r="GW858"/>
      <c r="GX858"/>
      <c r="GY858"/>
      <c r="GZ858"/>
      <c r="HA858"/>
      <c r="HB858"/>
      <c r="HC858"/>
    </row>
    <row r="859" spans="1:211" s="7" customFormat="1">
      <c r="A859" s="4"/>
      <c r="B859" s="4"/>
      <c r="C859" s="4"/>
      <c r="D859" s="4"/>
      <c r="E859" s="4"/>
      <c r="F859" s="28"/>
      <c r="G859" s="28"/>
      <c r="H859" s="83"/>
      <c r="I859" s="4"/>
      <c r="J859" s="4"/>
      <c r="K859" s="4"/>
      <c r="L859" s="4"/>
      <c r="M859" s="4"/>
      <c r="N859" s="28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81"/>
      <c r="AG859" s="81"/>
      <c r="AH859" s="81"/>
      <c r="AI859" s="4"/>
      <c r="AJ859" s="81"/>
      <c r="AK859" s="81"/>
      <c r="AL859" s="81"/>
      <c r="AM859" s="43">
        <v>843</v>
      </c>
      <c r="AN859">
        <v>36.220103126720772</v>
      </c>
      <c r="AO859">
        <v>0.78815357027041588</v>
      </c>
      <c r="AP859">
        <v>0.41329007701460097</v>
      </c>
      <c r="AQ859">
        <v>6.1177094620953101</v>
      </c>
      <c r="AR859">
        <v>0.73682257480876956</v>
      </c>
      <c r="AS859">
        <v>2.7572794903570967</v>
      </c>
      <c r="AT859">
        <v>0.58710983063196498</v>
      </c>
      <c r="AU859">
        <v>0.14252050586248965</v>
      </c>
      <c r="AV859"/>
      <c r="AW859"/>
      <c r="FY859" s="211">
        <v>854</v>
      </c>
      <c r="FZ859">
        <v>2.1824747172642156</v>
      </c>
      <c r="GA859">
        <v>2.4494562127254476</v>
      </c>
      <c r="GB859">
        <v>0.64069720572995492</v>
      </c>
      <c r="GC859">
        <v>0.61804394548204589</v>
      </c>
      <c r="GD859">
        <v>0.2957346916403979</v>
      </c>
      <c r="GE859">
        <v>8.377572757792498E-2</v>
      </c>
      <c r="GF859">
        <v>0.66819523726455643</v>
      </c>
      <c r="GG859">
        <v>0.62966621671876666</v>
      </c>
      <c r="GH859">
        <v>0.11249442504775362</v>
      </c>
      <c r="GI859">
        <v>0.78551825290917909</v>
      </c>
      <c r="GJ859"/>
      <c r="GK859">
        <v>2.1750786764705881</v>
      </c>
      <c r="GL859">
        <v>2.0631060202205882</v>
      </c>
      <c r="GM859">
        <v>1.0519477982954544</v>
      </c>
      <c r="GN859">
        <v>1.8124200081168831</v>
      </c>
      <c r="GO859">
        <v>1.1247026785714287</v>
      </c>
      <c r="GP859">
        <v>0.15745312499999997</v>
      </c>
      <c r="GQ859">
        <v>0.80556521739130427</v>
      </c>
      <c r="GR859">
        <v>0.87592980072463755</v>
      </c>
      <c r="GS859">
        <v>0.11895232371794871</v>
      </c>
      <c r="GT859">
        <v>1.0552493388893449</v>
      </c>
      <c r="GU859"/>
      <c r="GV859"/>
      <c r="GW859"/>
      <c r="GX859"/>
      <c r="GY859"/>
      <c r="GZ859"/>
      <c r="HA859"/>
      <c r="HB859"/>
      <c r="HC859"/>
    </row>
    <row r="860" spans="1:211" s="7" customFormat="1">
      <c r="A860" s="4"/>
      <c r="B860" s="4"/>
      <c r="C860" s="4"/>
      <c r="D860" s="4"/>
      <c r="E860" s="4"/>
      <c r="F860" s="28"/>
      <c r="G860" s="28"/>
      <c r="H860" s="83"/>
      <c r="I860" s="4"/>
      <c r="J860" s="4"/>
      <c r="K860" s="4"/>
      <c r="L860" s="4"/>
      <c r="M860" s="4"/>
      <c r="N860" s="28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81"/>
      <c r="AG860" s="81"/>
      <c r="AH860" s="81"/>
      <c r="AI860" s="4"/>
      <c r="AJ860" s="81"/>
      <c r="AK860" s="81"/>
      <c r="AL860" s="81"/>
      <c r="AM860" s="43">
        <v>844</v>
      </c>
      <c r="AN860">
        <v>45.669028335972065</v>
      </c>
      <c r="AO860">
        <v>1.1564107280781877</v>
      </c>
      <c r="AP860">
        <v>0.78355509654855804</v>
      </c>
      <c r="AQ860">
        <v>8.3841039301935609</v>
      </c>
      <c r="AR860">
        <v>1.0549046391619887</v>
      </c>
      <c r="AS860">
        <v>3.6543980886233864</v>
      </c>
      <c r="AT860" t="e">
        <v>#DIV/0!</v>
      </c>
      <c r="AU860" t="e">
        <v>#DIV/0!</v>
      </c>
      <c r="AV860"/>
      <c r="AW860"/>
      <c r="FY860" s="211">
        <v>855</v>
      </c>
      <c r="FZ860">
        <v>0.48504604209519087</v>
      </c>
      <c r="GA860">
        <v>1.1703987153989375</v>
      </c>
      <c r="GB860">
        <v>1.093978223202656</v>
      </c>
      <c r="GC860">
        <v>0.65498395745735261</v>
      </c>
      <c r="GD860">
        <v>0.24021477545453673</v>
      </c>
      <c r="GE860">
        <v>0.11460862901025</v>
      </c>
      <c r="GF860">
        <v>0.52010488888686557</v>
      </c>
      <c r="GG860">
        <v>0.46645510438007809</v>
      </c>
      <c r="GH860">
        <v>6.6522953376906252E-2</v>
      </c>
      <c r="GI860">
        <v>0.57928140830179187</v>
      </c>
      <c r="GJ860"/>
      <c r="GK860">
        <v>0.48330937499999993</v>
      </c>
      <c r="GL860">
        <v>0.98569218749999987</v>
      </c>
      <c r="GM860">
        <v>1.7959517045454543</v>
      </c>
      <c r="GN860">
        <v>1.9209854099025974</v>
      </c>
      <c r="GO860">
        <v>0.91344776785714288</v>
      </c>
      <c r="GP860">
        <v>0.21534375</v>
      </c>
      <c r="GQ860">
        <v>0.62821874999999994</v>
      </c>
      <c r="GR860">
        <v>0.64973958333333326</v>
      </c>
      <c r="GS860">
        <v>7.0364583333333328E-2</v>
      </c>
      <c r="GT860">
        <v>0.77825843614718615</v>
      </c>
      <c r="GU860"/>
      <c r="GV860"/>
      <c r="GW860"/>
      <c r="GX860"/>
      <c r="GY860"/>
      <c r="GZ860"/>
      <c r="HA860"/>
      <c r="HB860"/>
      <c r="HC860"/>
    </row>
    <row r="861" spans="1:211" s="7" customFormat="1">
      <c r="A861" s="4"/>
      <c r="B861" s="4"/>
      <c r="C861" s="4"/>
      <c r="D861" s="4"/>
      <c r="E861" s="4"/>
      <c r="F861" s="28"/>
      <c r="G861" s="28"/>
      <c r="H861" s="83"/>
      <c r="I861" s="4"/>
      <c r="J861" s="4"/>
      <c r="K861" s="4"/>
      <c r="L861" s="4"/>
      <c r="M861" s="4"/>
      <c r="N861" s="28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81"/>
      <c r="AG861" s="81"/>
      <c r="AH861" s="81"/>
      <c r="AI861" s="4"/>
      <c r="AJ861" s="81"/>
      <c r="AK861" s="81"/>
      <c r="AL861" s="81"/>
      <c r="AM861" s="43">
        <v>845</v>
      </c>
      <c r="AN861">
        <v>33.139771543372085</v>
      </c>
      <c r="AO861">
        <v>0.74831052401606546</v>
      </c>
      <c r="AP861">
        <v>1.7280659446205093</v>
      </c>
      <c r="AQ861">
        <v>5.1917283154655127</v>
      </c>
      <c r="AR861">
        <v>0.69273858826635304</v>
      </c>
      <c r="AS861">
        <v>2.7452281671865455</v>
      </c>
      <c r="AT861" t="e">
        <v>#DIV/0!</v>
      </c>
      <c r="AU861" t="e">
        <v>#DIV/0!</v>
      </c>
      <c r="AV861"/>
      <c r="AW861"/>
      <c r="FY861" s="211">
        <v>856</v>
      </c>
      <c r="FZ861">
        <v>1.766519967542364</v>
      </c>
      <c r="GA861">
        <v>2.1421782375402714</v>
      </c>
      <c r="GB861">
        <v>1.1773820271049484</v>
      </c>
      <c r="GC861">
        <v>0.67292977141221155</v>
      </c>
      <c r="GD861">
        <v>9.6456093098396783E-2</v>
      </c>
      <c r="GE861">
        <v>9.5391010509975005E-2</v>
      </c>
      <c r="GF861">
        <v>0.57499774394694703</v>
      </c>
      <c r="GG861">
        <v>0.4281665527876255</v>
      </c>
      <c r="GH861">
        <v>0</v>
      </c>
      <c r="GI861">
        <v>0.70766819022929139</v>
      </c>
      <c r="GJ861"/>
      <c r="GK861">
        <v>1.7605630514705881</v>
      </c>
      <c r="GL861">
        <v>1.8043091452205884</v>
      </c>
      <c r="GM861">
        <v>1.9333057528409088</v>
      </c>
      <c r="GN861">
        <v>1.9760668019480516</v>
      </c>
      <c r="GO861">
        <v>0.36714776785714287</v>
      </c>
      <c r="GP861">
        <v>0.17910937500000002</v>
      </c>
      <c r="GQ861">
        <v>0.69359510869565222</v>
      </c>
      <c r="GR861">
        <v>0.59590760869565207</v>
      </c>
      <c r="GS861">
        <v>0</v>
      </c>
      <c r="GT861">
        <v>0.95092233617285848</v>
      </c>
      <c r="GU861"/>
      <c r="GV861"/>
      <c r="GW861"/>
      <c r="GX861"/>
      <c r="GY861"/>
      <c r="GZ861"/>
      <c r="HA861"/>
      <c r="HB861"/>
      <c r="HC861"/>
    </row>
    <row r="862" spans="1:211" s="7" customFormat="1">
      <c r="A862" s="4"/>
      <c r="B862" s="4"/>
      <c r="C862" s="4"/>
      <c r="D862" s="4"/>
      <c r="E862" s="4"/>
      <c r="F862" s="28"/>
      <c r="G862" s="28"/>
      <c r="H862" s="83"/>
      <c r="I862" s="4"/>
      <c r="J862" s="4"/>
      <c r="K862" s="4"/>
      <c r="L862" s="4"/>
      <c r="M862" s="4"/>
      <c r="N862" s="28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81"/>
      <c r="AG862" s="81"/>
      <c r="AH862" s="81"/>
      <c r="AI862" s="4"/>
      <c r="AJ862" s="81"/>
      <c r="AK862" s="81"/>
      <c r="AL862" s="81"/>
      <c r="AM862" s="43">
        <v>846</v>
      </c>
      <c r="AN862">
        <v>37.813581628303496</v>
      </c>
      <c r="AO862">
        <v>0.95972051582480822</v>
      </c>
      <c r="AP862">
        <v>10.165534517138097</v>
      </c>
      <c r="AQ862">
        <v>6.457410620758127</v>
      </c>
      <c r="AR862">
        <v>0.87247319620437103</v>
      </c>
      <c r="AS862">
        <v>3.3533628365600374</v>
      </c>
      <c r="AT862" t="e">
        <v>#DIV/0!</v>
      </c>
      <c r="AU862" t="e">
        <v>#DIV/0!</v>
      </c>
      <c r="AV862"/>
      <c r="AW862"/>
      <c r="FY862" s="211">
        <v>857</v>
      </c>
      <c r="FZ862">
        <v>1.8700265480537477</v>
      </c>
      <c r="GA862">
        <v>2.7761734616274505</v>
      </c>
      <c r="GB862">
        <v>1.1856367657557878</v>
      </c>
      <c r="GC862">
        <v>0.91391771919492448</v>
      </c>
      <c r="GD862">
        <v>0.41196045735847592</v>
      </c>
      <c r="GE862">
        <v>0.12713670883619999</v>
      </c>
      <c r="GF862">
        <v>0.98791909824818158</v>
      </c>
      <c r="GG862">
        <v>0.95749692245153217</v>
      </c>
      <c r="GH862">
        <v>0.1330459067538125</v>
      </c>
      <c r="GI862">
        <v>0.9988283732985328</v>
      </c>
      <c r="GJ862"/>
      <c r="GK862">
        <v>1.8637536764705878</v>
      </c>
      <c r="GL862">
        <v>2.3384685202205877</v>
      </c>
      <c r="GM862">
        <v>1.9463696732954545</v>
      </c>
      <c r="GN862">
        <v>2.6795847402597399</v>
      </c>
      <c r="GO862">
        <v>1.5663361607142854</v>
      </c>
      <c r="GP862">
        <v>0.23887499999999998</v>
      </c>
      <c r="GQ862">
        <v>1.1918152173913041</v>
      </c>
      <c r="GR862">
        <v>1.3325443840579707</v>
      </c>
      <c r="GS862">
        <v>0.14072916666666666</v>
      </c>
      <c r="GT862">
        <v>1.3418007789076598</v>
      </c>
      <c r="GU862"/>
      <c r="GV862"/>
      <c r="GW862"/>
      <c r="GX862"/>
      <c r="GY862"/>
      <c r="GZ862"/>
      <c r="HA862"/>
      <c r="HB862"/>
      <c r="HC862"/>
    </row>
    <row r="863" spans="1:211" s="7" customFormat="1">
      <c r="A863" s="4"/>
      <c r="B863" s="4"/>
      <c r="C863" s="4"/>
      <c r="D863" s="4"/>
      <c r="E863" s="4"/>
      <c r="F863" s="28"/>
      <c r="G863" s="28"/>
      <c r="H863" s="83"/>
      <c r="I863" s="4"/>
      <c r="J863" s="4"/>
      <c r="K863" s="4"/>
      <c r="L863" s="4"/>
      <c r="M863" s="4"/>
      <c r="N863" s="28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81"/>
      <c r="AG863" s="81"/>
      <c r="AH863" s="81"/>
      <c r="AI863" s="4"/>
      <c r="AJ863" s="81"/>
      <c r="AK863" s="81"/>
      <c r="AL863" s="81"/>
      <c r="AM863" s="43">
        <v>847</v>
      </c>
      <c r="AN863">
        <v>64.033319801350473</v>
      </c>
      <c r="AO863">
        <v>1.4940672208318109</v>
      </c>
      <c r="AP863">
        <v>1.0426552222117769</v>
      </c>
      <c r="AQ863">
        <v>10.515292879020686</v>
      </c>
      <c r="AR863">
        <v>1.3908423598471011</v>
      </c>
      <c r="AS863">
        <v>5.241158988195715</v>
      </c>
      <c r="AT863" t="e">
        <v>#DIV/0!</v>
      </c>
      <c r="AU863" t="e">
        <v>#DIV/0!</v>
      </c>
      <c r="AV863"/>
      <c r="AW863"/>
      <c r="FY863" s="211">
        <v>858</v>
      </c>
      <c r="FZ863">
        <v>0.53411317640344114</v>
      </c>
      <c r="GA863">
        <v>0.96042419515763267</v>
      </c>
      <c r="GB863">
        <v>0.8862194954752769</v>
      </c>
      <c r="GC863">
        <v>0.68273844906967018</v>
      </c>
      <c r="GD863">
        <v>0.28049277642348214</v>
      </c>
      <c r="GE863">
        <v>0.13875199176824998</v>
      </c>
      <c r="GF863">
        <v>0.73485967443875966</v>
      </c>
      <c r="GG863">
        <v>0.56679095143493796</v>
      </c>
      <c r="GH863">
        <v>4.5971471670847357E-2</v>
      </c>
      <c r="GI863">
        <v>0.59389004509757992</v>
      </c>
      <c r="GJ863"/>
      <c r="GK863">
        <v>0.53208749999999994</v>
      </c>
      <c r="GL863">
        <v>0.80845078125000003</v>
      </c>
      <c r="GM863">
        <v>1.4546977982954545</v>
      </c>
      <c r="GN863">
        <v>2.002263088474026</v>
      </c>
      <c r="GO863">
        <v>1.0664598214285714</v>
      </c>
      <c r="GP863">
        <v>0.26053124999999999</v>
      </c>
      <c r="GQ863">
        <v>0.88672010869565221</v>
      </c>
      <c r="GR863">
        <v>0.78903260869565206</v>
      </c>
      <c r="GS863">
        <v>4.8587740384615385E-2</v>
      </c>
      <c r="GT863">
        <v>0.79771059376085851</v>
      </c>
      <c r="GU863"/>
      <c r="GV863"/>
      <c r="GW863"/>
      <c r="GX863"/>
      <c r="GY863"/>
      <c r="GZ863"/>
      <c r="HA863"/>
      <c r="HB863"/>
      <c r="HC863"/>
    </row>
    <row r="864" spans="1:211" s="7" customFormat="1">
      <c r="A864" s="4"/>
      <c r="B864" s="4"/>
      <c r="C864" s="4"/>
      <c r="D864" s="4"/>
      <c r="E864" s="4"/>
      <c r="F864" s="28"/>
      <c r="G864" s="28"/>
      <c r="H864" s="83"/>
      <c r="I864" s="4"/>
      <c r="J864" s="4"/>
      <c r="K864" s="4"/>
      <c r="L864" s="4"/>
      <c r="M864" s="4"/>
      <c r="N864" s="28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81"/>
      <c r="AG864" s="81"/>
      <c r="AH864" s="81"/>
      <c r="AI864" s="4"/>
      <c r="AJ864" s="81"/>
      <c r="AK864" s="81"/>
      <c r="AL864" s="81"/>
      <c r="AM864" s="43">
        <v>848</v>
      </c>
      <c r="AN864">
        <v>31.120978907867499</v>
      </c>
      <c r="AO864">
        <v>0.75203577862965831</v>
      </c>
      <c r="AP864">
        <v>0.80213040524380652</v>
      </c>
      <c r="AQ864">
        <v>5.0419660736015164</v>
      </c>
      <c r="AR864">
        <v>0.70540184420878027</v>
      </c>
      <c r="AS864">
        <v>2.8063209292793938</v>
      </c>
      <c r="AT864" t="e">
        <v>#DIV/0!</v>
      </c>
      <c r="AU864" t="e">
        <v>#DIV/0!</v>
      </c>
      <c r="AV864"/>
      <c r="AW864"/>
      <c r="FY864" s="211">
        <v>859</v>
      </c>
      <c r="FZ864">
        <v>0.55228263588072557</v>
      </c>
      <c r="GA864">
        <v>0.88347802718230972</v>
      </c>
      <c r="GB864">
        <v>0.72463833643909215</v>
      </c>
      <c r="GC864">
        <v>0.62832344713733945</v>
      </c>
      <c r="GD864">
        <v>0.32677407902526745</v>
      </c>
      <c r="GE864">
        <v>0.26294246566582496</v>
      </c>
      <c r="GF864">
        <v>0.24090012531466881</v>
      </c>
      <c r="GG864">
        <v>0.13862439864731252</v>
      </c>
      <c r="GH864">
        <v>6.8957207506271032E-2</v>
      </c>
      <c r="GI864">
        <v>0.49828727965284003</v>
      </c>
      <c r="GJ864"/>
      <c r="GK864">
        <v>0.55018124999999996</v>
      </c>
      <c r="GL864">
        <v>0.74391562500000008</v>
      </c>
      <c r="GM864">
        <v>1.1896860795454542</v>
      </c>
      <c r="GN864">
        <v>1.8428329545454543</v>
      </c>
      <c r="GO864">
        <v>1.2432093749999997</v>
      </c>
      <c r="GP864">
        <v>0.49401562499999996</v>
      </c>
      <c r="GQ864">
        <v>0.29081250000000003</v>
      </c>
      <c r="GR864">
        <v>0.19312499999999999</v>
      </c>
      <c r="GS864">
        <v>7.2881610576923078E-2</v>
      </c>
      <c r="GT864">
        <v>0.66935416302447548</v>
      </c>
      <c r="GU864"/>
      <c r="GV864"/>
      <c r="GW864"/>
      <c r="GX864"/>
      <c r="GY864"/>
      <c r="GZ864"/>
      <c r="HA864"/>
      <c r="HB864"/>
      <c r="HC864"/>
    </row>
    <row r="865" spans="1:211" s="7" customFormat="1">
      <c r="A865" s="4"/>
      <c r="B865" s="4"/>
      <c r="C865" s="4"/>
      <c r="D865" s="4"/>
      <c r="E865" s="4"/>
      <c r="F865" s="28"/>
      <c r="G865" s="28"/>
      <c r="H865" s="83"/>
      <c r="I865" s="4"/>
      <c r="J865" s="4"/>
      <c r="K865" s="4"/>
      <c r="L865" s="4"/>
      <c r="M865" s="4"/>
      <c r="N865" s="28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81"/>
      <c r="AG865" s="81"/>
      <c r="AH865" s="81"/>
      <c r="AI865" s="4"/>
      <c r="AJ865" s="81"/>
      <c r="AK865" s="81"/>
      <c r="AL865" s="81"/>
      <c r="AM865" s="43">
        <v>849</v>
      </c>
      <c r="AN865">
        <v>32.270980768515138</v>
      </c>
      <c r="AO865">
        <v>0.6766492888902842</v>
      </c>
      <c r="AP865">
        <v>0.25367634656616234</v>
      </c>
      <c r="AQ865">
        <v>5.6146536730713148</v>
      </c>
      <c r="AR865">
        <v>0.62600219444571303</v>
      </c>
      <c r="AS865">
        <v>2.7781844902632211</v>
      </c>
      <c r="AT865" t="e">
        <v>#DIV/0!</v>
      </c>
      <c r="AU865" t="e">
        <v>#DIV/0!</v>
      </c>
      <c r="AV865"/>
      <c r="AW865"/>
      <c r="FY865" s="211">
        <v>860</v>
      </c>
      <c r="FZ865">
        <v>0.69031598625874113</v>
      </c>
      <c r="GA865">
        <v>1.6191158641570644</v>
      </c>
      <c r="GB865">
        <v>1.4139448932530918</v>
      </c>
      <c r="GC865">
        <v>0.79639419260335775</v>
      </c>
      <c r="GD865">
        <v>0.19213683228512679</v>
      </c>
      <c r="GE865">
        <v>0</v>
      </c>
      <c r="GF865">
        <v>0.33409761863227821</v>
      </c>
      <c r="GG865">
        <v>0.28954215414031298</v>
      </c>
      <c r="GH865">
        <v>0</v>
      </c>
      <c r="GI865">
        <v>0.61669132396793513</v>
      </c>
      <c r="GJ865"/>
      <c r="GK865">
        <v>0.68771249999999995</v>
      </c>
      <c r="GL865">
        <v>1.36347421875</v>
      </c>
      <c r="GM865">
        <v>2.3212056107954546</v>
      </c>
      <c r="GN865">
        <v>2.3363479099025977</v>
      </c>
      <c r="GO865">
        <v>0.73074776785714302</v>
      </c>
      <c r="GP865">
        <v>0</v>
      </c>
      <c r="GQ865">
        <v>0.40278260869565213</v>
      </c>
      <c r="GR865">
        <v>0.40278260869565213</v>
      </c>
      <c r="GS865">
        <v>0</v>
      </c>
      <c r="GT865">
        <v>0.82848969746964995</v>
      </c>
      <c r="GU865"/>
      <c r="GV865"/>
      <c r="GW865"/>
      <c r="GX865"/>
      <c r="GY865"/>
      <c r="GZ865"/>
      <c r="HA865"/>
      <c r="HB865"/>
      <c r="HC865"/>
    </row>
    <row r="866" spans="1:211" s="7" customFormat="1">
      <c r="A866" s="4"/>
      <c r="B866" s="4"/>
      <c r="C866" s="4"/>
      <c r="D866" s="4"/>
      <c r="E866" s="4"/>
      <c r="F866" s="28"/>
      <c r="G866" s="28"/>
      <c r="H866" s="83"/>
      <c r="I866" s="4"/>
      <c r="J866" s="4"/>
      <c r="K866" s="4"/>
      <c r="L866" s="4"/>
      <c r="M866" s="4"/>
      <c r="N866" s="28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81"/>
      <c r="AG866" s="81"/>
      <c r="AH866" s="81"/>
      <c r="AI866" s="4"/>
      <c r="AJ866" s="81"/>
      <c r="AK866" s="81"/>
      <c r="AL866" s="81"/>
      <c r="AM866" s="43">
        <v>850</v>
      </c>
      <c r="AN866">
        <v>56.642517524243068</v>
      </c>
      <c r="AO866">
        <v>1.3106324524730248</v>
      </c>
      <c r="AP866">
        <v>1.8303769098752474</v>
      </c>
      <c r="AQ866">
        <v>7.9090549761834499</v>
      </c>
      <c r="AR866">
        <v>1.2226698540838692</v>
      </c>
      <c r="AS866">
        <v>4.8766437198407857</v>
      </c>
      <c r="AT866">
        <v>0.91545593731333585</v>
      </c>
      <c r="AU866">
        <v>0.27042921750218096</v>
      </c>
      <c r="AV866"/>
      <c r="AW866"/>
      <c r="FY866" s="211">
        <v>861</v>
      </c>
      <c r="FZ866">
        <v>0.65213373862759216</v>
      </c>
      <c r="GA866">
        <v>1.1848925140430755</v>
      </c>
      <c r="GB866">
        <v>1.3870048452709391</v>
      </c>
      <c r="GC866">
        <v>1.0271308691593177</v>
      </c>
      <c r="GD866">
        <v>0.37398156521381998</v>
      </c>
      <c r="GE866">
        <v>0.10502678412292502</v>
      </c>
      <c r="GF866">
        <v>0.24090012531466881</v>
      </c>
      <c r="GG866">
        <v>0.18920630708545313</v>
      </c>
      <c r="GH866">
        <v>6.6522953376906252E-2</v>
      </c>
      <c r="GI866">
        <v>0.70123053087242315</v>
      </c>
      <c r="GJ866"/>
      <c r="GK866">
        <v>0.64992187499999998</v>
      </c>
      <c r="GL866">
        <v>0.99779296875000012</v>
      </c>
      <c r="GM866">
        <v>2.2772745028409087</v>
      </c>
      <c r="GN866">
        <v>3.012975284090909</v>
      </c>
      <c r="GO866">
        <v>1.42215</v>
      </c>
      <c r="GP866">
        <v>0.19720312500000001</v>
      </c>
      <c r="GQ866">
        <v>0.29081250000000003</v>
      </c>
      <c r="GR866">
        <v>0.26348958333333333</v>
      </c>
      <c r="GS866">
        <v>7.0364583333333328E-2</v>
      </c>
      <c r="GT866">
        <v>0.94210469223484861</v>
      </c>
      <c r="GU866"/>
      <c r="GV866"/>
      <c r="GW866"/>
      <c r="GX866"/>
      <c r="GY866"/>
      <c r="GZ866"/>
      <c r="HA866"/>
      <c r="HB866"/>
      <c r="HC866"/>
    </row>
    <row r="867" spans="1:211" s="7" customFormat="1">
      <c r="A867" s="4"/>
      <c r="B867" s="4"/>
      <c r="C867" s="4"/>
      <c r="D867" s="4"/>
      <c r="E867" s="4"/>
      <c r="F867" s="28"/>
      <c r="G867" s="28"/>
      <c r="H867" s="83"/>
      <c r="I867" s="4"/>
      <c r="J867" s="4"/>
      <c r="K867" s="4"/>
      <c r="L867" s="4"/>
      <c r="M867" s="4"/>
      <c r="N867" s="28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81"/>
      <c r="AG867" s="81"/>
      <c r="AH867" s="81"/>
      <c r="AI867" s="4"/>
      <c r="AJ867" s="81"/>
      <c r="AK867" s="81"/>
      <c r="AL867" s="81"/>
      <c r="AM867" s="43">
        <v>851</v>
      </c>
      <c r="AN867">
        <v>43.312848466449005</v>
      </c>
      <c r="AO867">
        <v>1.1314661970929887</v>
      </c>
      <c r="AP867">
        <v>10.456523430787753</v>
      </c>
      <c r="AQ867">
        <v>6.5531963977585468</v>
      </c>
      <c r="AR867">
        <v>1.0497198710460733</v>
      </c>
      <c r="AS867">
        <v>3.4969309319288313</v>
      </c>
      <c r="AT867" t="e">
        <v>#DIV/0!</v>
      </c>
      <c r="AU867" t="e">
        <v>#DIV/0!</v>
      </c>
      <c r="AV867"/>
      <c r="AW867"/>
      <c r="FY867" s="211">
        <v>862</v>
      </c>
      <c r="FZ867">
        <v>1.0512681454269255</v>
      </c>
      <c r="GA867">
        <v>2.0090416735932539</v>
      </c>
      <c r="GB867">
        <v>0.9994140951939281</v>
      </c>
      <c r="GC867">
        <v>1.018078694194342</v>
      </c>
      <c r="GD867">
        <v>0.54417598700363023</v>
      </c>
      <c r="GE867">
        <v>9.5391010509975005E-2</v>
      </c>
      <c r="GF867">
        <v>8.1038194822856249E-2</v>
      </c>
      <c r="GG867">
        <v>5.0581908438140623E-2</v>
      </c>
      <c r="GH867">
        <v>0.11249442504775362</v>
      </c>
      <c r="GI867">
        <v>0.74058124319011709</v>
      </c>
      <c r="GJ867"/>
      <c r="GK867">
        <v>1.0477049632352939</v>
      </c>
      <c r="GL867">
        <v>1.6921424632352937</v>
      </c>
      <c r="GM867">
        <v>1.6403892045454544</v>
      </c>
      <c r="GN867">
        <v>2.9835856331168831</v>
      </c>
      <c r="GO867">
        <v>2.0690558035714286</v>
      </c>
      <c r="GP867">
        <v>0.17910937500000002</v>
      </c>
      <c r="GQ867">
        <v>9.768750000000001E-2</v>
      </c>
      <c r="GR867">
        <v>7.0364583333333328E-2</v>
      </c>
      <c r="GS867">
        <v>0.11895232371794871</v>
      </c>
      <c r="GT867">
        <v>0.99475795901402519</v>
      </c>
      <c r="GU867"/>
      <c r="GV867"/>
      <c r="GW867"/>
      <c r="GX867"/>
      <c r="GY867"/>
      <c r="GZ867"/>
      <c r="HA867"/>
      <c r="HB867"/>
      <c r="HC867"/>
    </row>
    <row r="868" spans="1:211" s="7" customFormat="1">
      <c r="A868" s="4"/>
      <c r="B868" s="4"/>
      <c r="C868" s="4"/>
      <c r="D868" s="4"/>
      <c r="E868" s="4"/>
      <c r="F868" s="28"/>
      <c r="G868" s="28"/>
      <c r="H868" s="83"/>
      <c r="I868" s="4"/>
      <c r="J868" s="4"/>
      <c r="K868" s="4"/>
      <c r="L868" s="4"/>
      <c r="M868" s="4"/>
      <c r="N868" s="28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81"/>
      <c r="AG868" s="81"/>
      <c r="AH868" s="81"/>
      <c r="AI868" s="4"/>
      <c r="AJ868" s="81"/>
      <c r="AK868" s="81"/>
      <c r="AL868" s="81"/>
      <c r="AM868" s="43">
        <v>852</v>
      </c>
      <c r="AN868">
        <v>40.256174220896085</v>
      </c>
      <c r="AO868">
        <v>0.95614709915814144</v>
      </c>
      <c r="AP868">
        <v>0.68652178159844934</v>
      </c>
      <c r="AQ868">
        <v>6.8752238955400315</v>
      </c>
      <c r="AR868">
        <v>0.88371327196194682</v>
      </c>
      <c r="AS868">
        <v>3.1235766891962351</v>
      </c>
      <c r="AT868" t="e">
        <v>#DIV/0!</v>
      </c>
      <c r="AU868" t="e">
        <v>#DIV/0!</v>
      </c>
      <c r="AV868"/>
      <c r="AW868"/>
      <c r="FY868" s="211">
        <v>863</v>
      </c>
      <c r="FZ868">
        <v>2.6869728015926335</v>
      </c>
      <c r="GA868">
        <v>3.3729983474003098</v>
      </c>
      <c r="GB868">
        <v>1.9025214325300932</v>
      </c>
      <c r="GC868">
        <v>1.335324100256297</v>
      </c>
      <c r="GD868">
        <v>0.36733436291155502</v>
      </c>
      <c r="GE868">
        <v>4.3360981258274998E-2</v>
      </c>
      <c r="GF868">
        <v>1.1621547863886474</v>
      </c>
      <c r="GG868">
        <v>1.0072508610682518</v>
      </c>
      <c r="GH868">
        <v>2.2985735835423678E-2</v>
      </c>
      <c r="GI868">
        <v>1.2838097013877676</v>
      </c>
      <c r="GJ868"/>
      <c r="GK868">
        <v>2.6779555147058822</v>
      </c>
      <c r="GL868">
        <v>2.8412328584558821</v>
      </c>
      <c r="GM868">
        <v>3.1234229403409088</v>
      </c>
      <c r="GN868">
        <v>3.9169487215909085</v>
      </c>
      <c r="GO868">
        <v>1.39681875</v>
      </c>
      <c r="GP868">
        <v>8.1421875000000005E-2</v>
      </c>
      <c r="GQ868">
        <v>1.4014728260869567</v>
      </c>
      <c r="GR868">
        <v>1.4014728260869567</v>
      </c>
      <c r="GS868">
        <v>2.4293870192307693E-2</v>
      </c>
      <c r="GT868">
        <v>1.724792780265211</v>
      </c>
      <c r="GU868"/>
      <c r="GV868"/>
      <c r="GW868"/>
      <c r="GX868"/>
      <c r="GY868"/>
      <c r="GZ868"/>
      <c r="HA868"/>
      <c r="HB868"/>
      <c r="HC868"/>
    </row>
    <row r="869" spans="1:211" s="7" customFormat="1">
      <c r="A869" s="4"/>
      <c r="B869" s="4"/>
      <c r="C869" s="4"/>
      <c r="D869" s="4"/>
      <c r="E869" s="4"/>
      <c r="F869" s="28"/>
      <c r="G869" s="28"/>
      <c r="H869" s="83"/>
      <c r="I869" s="4"/>
      <c r="J869" s="4"/>
      <c r="K869" s="4"/>
      <c r="L869" s="4"/>
      <c r="M869" s="4"/>
      <c r="N869" s="28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81"/>
      <c r="AG869" s="81"/>
      <c r="AH869" s="81"/>
      <c r="AI869" s="4"/>
      <c r="AJ869" s="81"/>
      <c r="AK869" s="81"/>
      <c r="AL869" s="81"/>
      <c r="AM869" s="43">
        <v>853</v>
      </c>
      <c r="AN869">
        <v>40.183843861541256</v>
      </c>
      <c r="AO869">
        <v>0.92532326889307159</v>
      </c>
      <c r="AP869">
        <v>8.6191003487131823</v>
      </c>
      <c r="AQ869">
        <v>7.0738895567678144</v>
      </c>
      <c r="AR869">
        <v>0.84703366446572925</v>
      </c>
      <c r="AS869">
        <v>3.2908026413331295</v>
      </c>
      <c r="AT869" t="e">
        <v>#DIV/0!</v>
      </c>
      <c r="AU869" t="e">
        <v>#DIV/0!</v>
      </c>
      <c r="AV869"/>
      <c r="AW869"/>
      <c r="FY869" s="211">
        <v>864</v>
      </c>
      <c r="FZ869">
        <v>1.8323648952732647</v>
      </c>
      <c r="GA869">
        <v>2.4501347798332476</v>
      </c>
      <c r="GB869">
        <v>1.2954129256859939</v>
      </c>
      <c r="GC869">
        <v>0.66608675714174026</v>
      </c>
      <c r="GD869">
        <v>0.15160460589114105</v>
      </c>
      <c r="GE869">
        <v>0.16567980328799997</v>
      </c>
      <c r="GF869">
        <v>0.15986193049181252</v>
      </c>
      <c r="GG869">
        <v>0.18920630708545313</v>
      </c>
      <c r="GH869">
        <v>6.6522953376906252E-2</v>
      </c>
      <c r="GI869">
        <v>0.71342718584080433</v>
      </c>
      <c r="GJ869"/>
      <c r="GK869">
        <v>1.8259987132352939</v>
      </c>
      <c r="GL869">
        <v>2.063479181985294</v>
      </c>
      <c r="GM869">
        <v>2.1270401278409086</v>
      </c>
      <c r="GN869">
        <v>1.9558208198051945</v>
      </c>
      <c r="GO869">
        <v>0.57672991071428559</v>
      </c>
      <c r="GP869">
        <v>0.31125000000000003</v>
      </c>
      <c r="GQ869">
        <v>0.19312499999999999</v>
      </c>
      <c r="GR869">
        <v>0.26348958333333333</v>
      </c>
      <c r="GS869">
        <v>7.0364583333333328E-2</v>
      </c>
      <c r="GT869">
        <v>0.95865166702476445</v>
      </c>
      <c r="GU869"/>
      <c r="GV869"/>
      <c r="GW869"/>
      <c r="GX869"/>
      <c r="GY869"/>
      <c r="GZ869"/>
      <c r="HA869"/>
      <c r="HB869"/>
      <c r="HC869"/>
    </row>
    <row r="870" spans="1:211" s="7" customFormat="1">
      <c r="A870" s="4"/>
      <c r="B870" s="4"/>
      <c r="C870" s="4"/>
      <c r="D870" s="4"/>
      <c r="E870" s="4"/>
      <c r="F870" s="28"/>
      <c r="G870" s="28"/>
      <c r="H870" s="83"/>
      <c r="I870" s="4"/>
      <c r="J870" s="4"/>
      <c r="K870" s="4"/>
      <c r="L870" s="4"/>
      <c r="M870" s="4"/>
      <c r="N870" s="28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81"/>
      <c r="AG870" s="81"/>
      <c r="AH870" s="81"/>
      <c r="AI870" s="4"/>
      <c r="AJ870" s="81"/>
      <c r="AK870" s="81"/>
      <c r="AL870" s="81"/>
      <c r="AM870" s="43">
        <v>854</v>
      </c>
      <c r="AN870">
        <v>50.778537518918753</v>
      </c>
      <c r="AO870">
        <v>1.1240404987398178</v>
      </c>
      <c r="AP870">
        <v>8.6749604447840767</v>
      </c>
      <c r="AQ870">
        <v>8.4660566323602424</v>
      </c>
      <c r="AR870">
        <v>1.0552493388893449</v>
      </c>
      <c r="AS870">
        <v>4.1344287349561171</v>
      </c>
      <c r="AT870" t="e">
        <v>#DIV/0!</v>
      </c>
      <c r="AU870" t="e">
        <v>#DIV/0!</v>
      </c>
      <c r="AV870"/>
      <c r="AW870"/>
      <c r="FY870" s="211">
        <v>865</v>
      </c>
      <c r="FZ870">
        <v>2.1619587455072078</v>
      </c>
      <c r="GA870">
        <v>3.0994756179563199</v>
      </c>
      <c r="GB870">
        <v>1.0441268603654272</v>
      </c>
      <c r="GC870">
        <v>0.4771825407131427</v>
      </c>
      <c r="GD870">
        <v>9.8399248372369269E-2</v>
      </c>
      <c r="GE870">
        <v>0.11658813832935</v>
      </c>
      <c r="GF870">
        <v>0.61551684135837503</v>
      </c>
      <c r="GG870">
        <v>0.4281665527876255</v>
      </c>
      <c r="GH870">
        <v>2.2985735835423678E-2</v>
      </c>
      <c r="GI870">
        <v>0.74571819220827207</v>
      </c>
      <c r="GJ870"/>
      <c r="GK870">
        <v>2.1548023897058819</v>
      </c>
      <c r="GL870">
        <v>2.6109898897058823</v>
      </c>
      <c r="GM870">
        <v>1.7142095170454543</v>
      </c>
      <c r="GN870">
        <v>1.4005729099025972</v>
      </c>
      <c r="GO870">
        <v>0.3743008928571428</v>
      </c>
      <c r="GP870">
        <v>0.21890625</v>
      </c>
      <c r="GQ870">
        <v>0.74243885869565207</v>
      </c>
      <c r="GR870">
        <v>0.59590760869565207</v>
      </c>
      <c r="GS870">
        <v>2.4293870192307693E-2</v>
      </c>
      <c r="GT870">
        <v>1.0020091056992877</v>
      </c>
      <c r="GU870"/>
      <c r="GV870"/>
      <c r="GW870"/>
      <c r="GX870"/>
      <c r="GY870"/>
      <c r="GZ870"/>
      <c r="HA870"/>
      <c r="HB870"/>
      <c r="HC870"/>
    </row>
    <row r="871" spans="1:211" s="7" customFormat="1">
      <c r="A871" s="4"/>
      <c r="B871" s="4"/>
      <c r="C871" s="4"/>
      <c r="D871" s="4"/>
      <c r="E871" s="4"/>
      <c r="F871" s="28"/>
      <c r="G871" s="28"/>
      <c r="H871" s="83"/>
      <c r="I871" s="4"/>
      <c r="J871" s="4"/>
      <c r="K871" s="4"/>
      <c r="L871" s="4"/>
      <c r="M871" s="4"/>
      <c r="N871" s="28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81"/>
      <c r="AG871" s="81"/>
      <c r="AH871" s="81"/>
      <c r="AI871" s="4"/>
      <c r="AJ871" s="81"/>
      <c r="AK871" s="81"/>
      <c r="AL871" s="81"/>
      <c r="AM871" s="43">
        <v>855</v>
      </c>
      <c r="AN871">
        <v>35.037235449735448</v>
      </c>
      <c r="AO871">
        <v>0.84413115476190481</v>
      </c>
      <c r="AP871">
        <v>1.1587699021805453</v>
      </c>
      <c r="AQ871">
        <v>5.3915946975645657</v>
      </c>
      <c r="AR871">
        <v>0.77825843614718593</v>
      </c>
      <c r="AS871">
        <v>3.003908061672055</v>
      </c>
      <c r="AT871" t="e">
        <v>#DIV/0!</v>
      </c>
      <c r="AU871" t="e">
        <v>#DIV/0!</v>
      </c>
      <c r="AV871"/>
      <c r="AW871"/>
      <c r="FY871" s="211">
        <v>866</v>
      </c>
      <c r="FZ871">
        <v>0.90050897812512387</v>
      </c>
      <c r="GA871">
        <v>1.458801341374095</v>
      </c>
      <c r="GB871">
        <v>0.97590472323721866</v>
      </c>
      <c r="GC871">
        <v>0.65957149300465567</v>
      </c>
      <c r="GD871">
        <v>0.24824920788587251</v>
      </c>
      <c r="GE871">
        <v>6.9375995884124991E-2</v>
      </c>
      <c r="GF871">
        <v>0.20038102790324064</v>
      </c>
      <c r="GG871">
        <v>0.13862439864731252</v>
      </c>
      <c r="GH871">
        <v>9.1942943341694713E-2</v>
      </c>
      <c r="GI871">
        <v>0.5631578415686147</v>
      </c>
      <c r="GJ871"/>
      <c r="GK871">
        <v>0.89756433823529391</v>
      </c>
      <c r="GL871">
        <v>1.2287362132352939</v>
      </c>
      <c r="GM871">
        <v>1.6017329545454544</v>
      </c>
      <c r="GN871">
        <v>1.9345735795454542</v>
      </c>
      <c r="GO871">
        <v>0.94465312499999987</v>
      </c>
      <c r="GP871">
        <v>0.130265625</v>
      </c>
      <c r="GQ871">
        <v>0.24196875000000001</v>
      </c>
      <c r="GR871">
        <v>0.19312499999999999</v>
      </c>
      <c r="GS871">
        <v>9.7175480769230771E-2</v>
      </c>
      <c r="GT871">
        <v>0.75661892970999589</v>
      </c>
      <c r="GU871"/>
      <c r="GV871"/>
      <c r="GW871"/>
      <c r="GX871"/>
      <c r="GY871"/>
      <c r="GZ871"/>
      <c r="HA871"/>
      <c r="HB871"/>
      <c r="HC871"/>
    </row>
    <row r="872" spans="1:211" s="7" customFormat="1">
      <c r="A872" s="4"/>
      <c r="B872" s="4"/>
      <c r="C872" s="4"/>
      <c r="D872" s="4"/>
      <c r="E872" s="4"/>
      <c r="F872" s="28"/>
      <c r="G872" s="28"/>
      <c r="H872" s="83"/>
      <c r="I872" s="4"/>
      <c r="J872" s="4"/>
      <c r="K872" s="4"/>
      <c r="L872" s="4"/>
      <c r="M872" s="4"/>
      <c r="N872" s="28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81"/>
      <c r="AG872" s="81"/>
      <c r="AH872" s="81"/>
      <c r="AI872" s="4"/>
      <c r="AJ872" s="81"/>
      <c r="AK872" s="81"/>
      <c r="AL872" s="81"/>
      <c r="AM872" s="43">
        <v>856</v>
      </c>
      <c r="AN872">
        <v>38.460808227276416</v>
      </c>
      <c r="AO872">
        <v>1.0260926947901443</v>
      </c>
      <c r="AP872">
        <v>1.4105692745251508</v>
      </c>
      <c r="AQ872">
        <v>7.6616895941720315</v>
      </c>
      <c r="AR872">
        <v>0.95092233617285848</v>
      </c>
      <c r="AS872">
        <v>3.3143410062075791</v>
      </c>
      <c r="AT872" t="e">
        <v>#DIV/0!</v>
      </c>
      <c r="AU872" t="e">
        <v>#DIV/0!</v>
      </c>
      <c r="AV872"/>
      <c r="AW872"/>
      <c r="FY872" s="211">
        <v>867</v>
      </c>
      <c r="FZ872">
        <v>2.4199362889258991</v>
      </c>
      <c r="GA872">
        <v>2.6094289431999318</v>
      </c>
      <c r="GB872">
        <v>0.18032674777208435</v>
      </c>
      <c r="GC872">
        <v>0.35719021527795997</v>
      </c>
      <c r="GD872">
        <v>0.261577906660096</v>
      </c>
      <c r="GE872">
        <v>7.9011769497074988E-2</v>
      </c>
      <c r="GF872">
        <v>0.52010488888686557</v>
      </c>
      <c r="GG872">
        <v>0.4158731959419375</v>
      </c>
      <c r="GH872">
        <v>0</v>
      </c>
      <c r="GI872">
        <v>0.64463388144193356</v>
      </c>
      <c r="GJ872"/>
      <c r="GK872">
        <v>2.4119586397058823</v>
      </c>
      <c r="GL872">
        <v>2.1981148897058822</v>
      </c>
      <c r="GM872">
        <v>0.29553124999999997</v>
      </c>
      <c r="GN872">
        <v>1.0458767857142857</v>
      </c>
      <c r="GO872">
        <v>0.99461116071428546</v>
      </c>
      <c r="GP872">
        <v>0.14835937499999999</v>
      </c>
      <c r="GQ872">
        <v>0.62821874999999994</v>
      </c>
      <c r="GR872">
        <v>0.57937499999999997</v>
      </c>
      <c r="GS872">
        <v>0</v>
      </c>
      <c r="GT872">
        <v>0.86606396008403352</v>
      </c>
      <c r="GU872"/>
      <c r="GV872"/>
      <c r="GW872"/>
      <c r="GX872"/>
      <c r="GY872"/>
      <c r="GZ872"/>
      <c r="HA872"/>
      <c r="HB872"/>
      <c r="HC872"/>
    </row>
    <row r="873" spans="1:211" s="7" customFormat="1">
      <c r="A873" s="4"/>
      <c r="B873" s="4"/>
      <c r="C873" s="4"/>
      <c r="D873" s="4"/>
      <c r="E873" s="4"/>
      <c r="F873" s="28"/>
      <c r="G873" s="28"/>
      <c r="H873" s="83"/>
      <c r="I873" s="4"/>
      <c r="J873" s="4"/>
      <c r="K873" s="4"/>
      <c r="L873" s="4"/>
      <c r="M873" s="4"/>
      <c r="N873" s="28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81"/>
      <c r="AG873" s="81"/>
      <c r="AH873" s="81"/>
      <c r="AI873" s="4"/>
      <c r="AJ873" s="81"/>
      <c r="AK873" s="81"/>
      <c r="AL873" s="81"/>
      <c r="AM873" s="43">
        <v>857</v>
      </c>
      <c r="AN873">
        <v>64.697641100522333</v>
      </c>
      <c r="AO873">
        <v>1.4640277317984258</v>
      </c>
      <c r="AP873">
        <v>12.563064712868583</v>
      </c>
      <c r="AQ873">
        <v>10.362141961578647</v>
      </c>
      <c r="AR873">
        <v>1.3418007789076598</v>
      </c>
      <c r="AS873">
        <v>5.2761630833453852</v>
      </c>
      <c r="AT873" t="e">
        <v>#DIV/0!</v>
      </c>
      <c r="AU873" t="e">
        <v>#DIV/0!</v>
      </c>
      <c r="AV873"/>
      <c r="AW873"/>
      <c r="FY873" s="211">
        <v>868</v>
      </c>
      <c r="FZ873">
        <v>0.17985606295605466</v>
      </c>
      <c r="GA873">
        <v>0.65349509086396873</v>
      </c>
      <c r="GB873">
        <v>1.9131092707307338</v>
      </c>
      <c r="GC873">
        <v>1.3590346623810259</v>
      </c>
      <c r="GD873">
        <v>0.3643668745065643</v>
      </c>
      <c r="GE873">
        <v>3.0832901432324998E-2</v>
      </c>
      <c r="GF873">
        <v>0.20038102790324064</v>
      </c>
      <c r="GG873">
        <v>0.18920630708545313</v>
      </c>
      <c r="GH873">
        <v>0.11249442504775362</v>
      </c>
      <c r="GI873">
        <v>0.75426442786909864</v>
      </c>
      <c r="GJ873"/>
      <c r="GK873">
        <v>0.17929687499999997</v>
      </c>
      <c r="GL873">
        <v>0.55031250000000009</v>
      </c>
      <c r="GM873">
        <v>3.141292613636363</v>
      </c>
      <c r="GN873">
        <v>3.987587256493506</v>
      </c>
      <c r="GO873">
        <v>1.385732142857143</v>
      </c>
      <c r="GP873">
        <v>5.7890625000000001E-2</v>
      </c>
      <c r="GQ873">
        <v>0.24196875000000001</v>
      </c>
      <c r="GR873">
        <v>0.26348958333333333</v>
      </c>
      <c r="GS873">
        <v>0.11895232371794871</v>
      </c>
      <c r="GT873">
        <v>1.0134485410422909</v>
      </c>
      <c r="GU873"/>
      <c r="GV873"/>
      <c r="GW873"/>
      <c r="GX873"/>
      <c r="GY873"/>
      <c r="GZ873"/>
      <c r="HA873"/>
      <c r="HB873"/>
      <c r="HC873"/>
    </row>
    <row r="874" spans="1:211" s="7" customFormat="1">
      <c r="A874" s="4"/>
      <c r="B874" s="4"/>
      <c r="C874" s="4"/>
      <c r="D874" s="4"/>
      <c r="E874" s="4"/>
      <c r="F874" s="28"/>
      <c r="G874" s="28"/>
      <c r="H874" s="83"/>
      <c r="I874" s="4"/>
      <c r="J874" s="4"/>
      <c r="K874" s="4"/>
      <c r="L874" s="4"/>
      <c r="M874" s="4"/>
      <c r="N874" s="28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81"/>
      <c r="AG874" s="81"/>
      <c r="AH874" s="81"/>
      <c r="AI874" s="4"/>
      <c r="AJ874" s="81"/>
      <c r="AK874" s="81"/>
      <c r="AL874" s="81"/>
      <c r="AM874" s="43">
        <v>858</v>
      </c>
      <c r="AN874">
        <v>40.685429357779903</v>
      </c>
      <c r="AO874">
        <v>0.86465412909848305</v>
      </c>
      <c r="AP874">
        <v>1.6335934057253316</v>
      </c>
      <c r="AQ874">
        <v>5.4242522269398776</v>
      </c>
      <c r="AR874">
        <v>0.79771059376085862</v>
      </c>
      <c r="AS874">
        <v>3.3840885097299251</v>
      </c>
      <c r="AT874" t="e">
        <v>#DIV/0!</v>
      </c>
      <c r="AU874" t="e">
        <v>#DIV/0!</v>
      </c>
      <c r="AV874"/>
      <c r="AW874"/>
      <c r="FY874" s="211">
        <v>869</v>
      </c>
      <c r="FZ874">
        <v>1.1857551013391148</v>
      </c>
      <c r="GA874">
        <v>1.6104141822052138</v>
      </c>
      <c r="GB874">
        <v>1.2813944114599098</v>
      </c>
      <c r="GC874">
        <v>0.83123043418713527</v>
      </c>
      <c r="GD874">
        <v>0.24400637131198497</v>
      </c>
      <c r="GE874">
        <v>0.12129816768457499</v>
      </c>
      <c r="GF874">
        <v>0.37461671604370633</v>
      </c>
      <c r="GG874">
        <v>0.28954215414031298</v>
      </c>
      <c r="GH874">
        <v>2.2985735835423678E-2</v>
      </c>
      <c r="GI874">
        <v>0.69811285576690751</v>
      </c>
      <c r="GJ874"/>
      <c r="GK874">
        <v>1.181748713235294</v>
      </c>
      <c r="GL874">
        <v>1.356240900735294</v>
      </c>
      <c r="GM874">
        <v>2.1038955965909087</v>
      </c>
      <c r="GN874">
        <v>2.4394315340909087</v>
      </c>
      <c r="GO874">
        <v>0.92829374999999992</v>
      </c>
      <c r="GP874">
        <v>0.22804687499999998</v>
      </c>
      <c r="GQ874">
        <v>0.45162635869565215</v>
      </c>
      <c r="GR874">
        <v>0.40278260869565213</v>
      </c>
      <c r="GS874">
        <v>2.4293870192307693E-2</v>
      </c>
      <c r="GT874">
        <v>0.93797165774283242</v>
      </c>
      <c r="GU874"/>
      <c r="GV874"/>
      <c r="GW874"/>
      <c r="GX874"/>
      <c r="GY874"/>
      <c r="GZ874"/>
      <c r="HA874"/>
      <c r="HB874"/>
      <c r="HC874"/>
    </row>
    <row r="875" spans="1:211" s="7" customFormat="1">
      <c r="A875" s="4"/>
      <c r="B875" s="4"/>
      <c r="C875" s="4"/>
      <c r="D875" s="4"/>
      <c r="E875" s="4"/>
      <c r="F875" s="28"/>
      <c r="G875" s="28"/>
      <c r="H875" s="83"/>
      <c r="I875" s="4"/>
      <c r="J875" s="4"/>
      <c r="K875" s="4"/>
      <c r="L875" s="4"/>
      <c r="M875" s="4"/>
      <c r="N875" s="28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81"/>
      <c r="AG875" s="81"/>
      <c r="AH875" s="81"/>
      <c r="AI875" s="4"/>
      <c r="AJ875" s="81"/>
      <c r="AK875" s="81"/>
      <c r="AL875" s="81"/>
      <c r="AM875" s="43">
        <v>859</v>
      </c>
      <c r="AN875">
        <v>32.935630341880334</v>
      </c>
      <c r="AO875">
        <v>0.72900141826923082</v>
      </c>
      <c r="AP875">
        <v>6.7341677834918992</v>
      </c>
      <c r="AQ875">
        <v>4.3252080024516522</v>
      </c>
      <c r="AR875">
        <v>0.66935416302447537</v>
      </c>
      <c r="AS875">
        <v>2.765697331483159</v>
      </c>
      <c r="AT875" t="e">
        <v>#DIV/0!</v>
      </c>
      <c r="AU875" t="e">
        <v>#DIV/0!</v>
      </c>
      <c r="AV875"/>
      <c r="AW875"/>
      <c r="FY875" s="211">
        <v>870</v>
      </c>
      <c r="FZ875">
        <v>1.5375566192080874</v>
      </c>
      <c r="GA875">
        <v>2.4806324155433082</v>
      </c>
      <c r="GB875">
        <v>1.88337765559712</v>
      </c>
      <c r="GC875">
        <v>1.3338753171987698</v>
      </c>
      <c r="GD875">
        <v>0.42945646091946432</v>
      </c>
      <c r="GE875">
        <v>0.18772792863007501</v>
      </c>
      <c r="GF875">
        <v>0.9090953625792253</v>
      </c>
      <c r="GG875">
        <v>0.76829061536607923</v>
      </c>
      <c r="GH875">
        <v>0.11249442504775362</v>
      </c>
      <c r="GI875">
        <v>1.1125966024967087</v>
      </c>
      <c r="GJ875"/>
      <c r="GK875">
        <v>1.5323943014705883</v>
      </c>
      <c r="GL875">
        <v>2.0894919577205884</v>
      </c>
      <c r="GM875">
        <v>3.0926090198863636</v>
      </c>
      <c r="GN875">
        <v>3.9140716314935062</v>
      </c>
      <c r="GO875">
        <v>1.6337946428571428</v>
      </c>
      <c r="GP875">
        <v>0.352921875</v>
      </c>
      <c r="GQ875">
        <v>1.0963777173913045</v>
      </c>
      <c r="GR875">
        <v>1.0690548007246377</v>
      </c>
      <c r="GS875">
        <v>0.11895232371794871</v>
      </c>
      <c r="GT875">
        <v>1.4948256010646697</v>
      </c>
      <c r="GU875"/>
      <c r="GV875"/>
      <c r="GW875"/>
      <c r="GX875"/>
      <c r="GY875"/>
      <c r="GZ875"/>
      <c r="HA875"/>
      <c r="HB875"/>
      <c r="HC875"/>
    </row>
    <row r="876" spans="1:211" s="7" customFormat="1">
      <c r="A876" s="4"/>
      <c r="B876" s="4"/>
      <c r="C876" s="4"/>
      <c r="D876" s="4"/>
      <c r="E876" s="4"/>
      <c r="F876" s="28"/>
      <c r="G876" s="28"/>
      <c r="H876" s="83"/>
      <c r="I876" s="4"/>
      <c r="J876" s="4"/>
      <c r="K876" s="4"/>
      <c r="L876" s="4"/>
      <c r="M876" s="4"/>
      <c r="N876" s="28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81"/>
      <c r="AG876" s="81"/>
      <c r="AH876" s="81"/>
      <c r="AI876" s="4"/>
      <c r="AJ876" s="81"/>
      <c r="AK876" s="81"/>
      <c r="AL876" s="81"/>
      <c r="AM876" s="43">
        <v>860</v>
      </c>
      <c r="AN876">
        <v>38.357724076949623</v>
      </c>
      <c r="AO876">
        <v>0.9073542922166149</v>
      </c>
      <c r="AP876">
        <v>4.8054081367220833</v>
      </c>
      <c r="AQ876">
        <v>5.9522388652979084</v>
      </c>
      <c r="AR876">
        <v>0.82848969746964984</v>
      </c>
      <c r="AS876">
        <v>3.1697668044365392</v>
      </c>
      <c r="AT876" t="e">
        <v>#DIV/0!</v>
      </c>
      <c r="AU876" t="e">
        <v>#DIV/0!</v>
      </c>
      <c r="AV876"/>
      <c r="AW876"/>
      <c r="FY876" s="211">
        <v>871</v>
      </c>
      <c r="FZ876">
        <v>0.74123781915479614</v>
      </c>
      <c r="GA876">
        <v>1.0270777056215898</v>
      </c>
      <c r="GB876">
        <v>0.43446246220501517</v>
      </c>
      <c r="GC876">
        <v>0.48828252767255242</v>
      </c>
      <c r="GD876">
        <v>0.26437833878979855</v>
      </c>
      <c r="GE876">
        <v>9.5391010509975005E-2</v>
      </c>
      <c r="GF876">
        <v>0.73485967443875966</v>
      </c>
      <c r="GG876">
        <v>0.66795476831121925</v>
      </c>
      <c r="GH876">
        <v>0.1330459067538125</v>
      </c>
      <c r="GI876">
        <v>0.51885739378568163</v>
      </c>
      <c r="GJ876"/>
      <c r="GK876">
        <v>0.73841249999999992</v>
      </c>
      <c r="GL876">
        <v>0.86454140625000009</v>
      </c>
      <c r="GM876">
        <v>0.71276953124999998</v>
      </c>
      <c r="GN876">
        <v>1.4310830357142856</v>
      </c>
      <c r="GO876">
        <v>1.0055517857142857</v>
      </c>
      <c r="GP876">
        <v>0.17910937500000002</v>
      </c>
      <c r="GQ876">
        <v>0.88672010869565221</v>
      </c>
      <c r="GR876">
        <v>0.92976177536231885</v>
      </c>
      <c r="GS876">
        <v>0.14072916666666666</v>
      </c>
      <c r="GT876">
        <v>0.69683661846532086</v>
      </c>
      <c r="GU876"/>
      <c r="GV876"/>
      <c r="GW876"/>
      <c r="GX876"/>
      <c r="GY876"/>
      <c r="GZ876"/>
      <c r="HA876"/>
      <c r="HB876"/>
      <c r="HC876"/>
    </row>
    <row r="877" spans="1:211" s="7" customFormat="1">
      <c r="A877" s="4"/>
      <c r="B877" s="4"/>
      <c r="C877" s="4"/>
      <c r="D877" s="4"/>
      <c r="E877" s="4"/>
      <c r="F877" s="28"/>
      <c r="G877" s="28"/>
      <c r="H877" s="83"/>
      <c r="I877" s="4"/>
      <c r="J877" s="4"/>
      <c r="K877" s="4"/>
      <c r="L877" s="4"/>
      <c r="M877" s="4"/>
      <c r="N877" s="28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81"/>
      <c r="AG877" s="81"/>
      <c r="AH877" s="81"/>
      <c r="AI877" s="4"/>
      <c r="AJ877" s="81"/>
      <c r="AK877" s="81"/>
      <c r="AL877" s="81"/>
      <c r="AM877" s="43">
        <v>861</v>
      </c>
      <c r="AN877">
        <v>42.299016203703708</v>
      </c>
      <c r="AO877">
        <v>1.012408911458333</v>
      </c>
      <c r="AP877">
        <v>1.4198260802646041</v>
      </c>
      <c r="AQ877">
        <v>5.9280302330871217</v>
      </c>
      <c r="AR877">
        <v>0.94210469223484861</v>
      </c>
      <c r="AS877">
        <v>3.4384234047106683</v>
      </c>
      <c r="AT877" t="e">
        <v>#DIV/0!</v>
      </c>
      <c r="AU877" t="e">
        <v>#DIV/0!</v>
      </c>
      <c r="AV877"/>
      <c r="AW877"/>
      <c r="FY877" s="211">
        <v>872</v>
      </c>
      <c r="FZ877">
        <v>1.4200392405870788</v>
      </c>
      <c r="GA877">
        <v>1.8993763850349739</v>
      </c>
      <c r="GB877">
        <v>0.4100634209682914</v>
      </c>
      <c r="GC877">
        <v>0.76214767803976813</v>
      </c>
      <c r="GD877">
        <v>0.50055423640958241</v>
      </c>
      <c r="GE877">
        <v>5.2030029251700007E-2</v>
      </c>
      <c r="GF877">
        <v>0.40076205580648128</v>
      </c>
      <c r="GG877">
        <v>0.27724879729462504</v>
      </c>
      <c r="GH877">
        <v>2.2985735835423678E-2</v>
      </c>
      <c r="GI877">
        <v>0.66999468378319738</v>
      </c>
      <c r="GJ877"/>
      <c r="GK877">
        <v>1.4151393382352939</v>
      </c>
      <c r="GL877">
        <v>1.599733088235294</v>
      </c>
      <c r="GM877">
        <v>0.67283593750000004</v>
      </c>
      <c r="GN877">
        <v>2.2322828124999998</v>
      </c>
      <c r="GO877">
        <v>1.9034156250000001</v>
      </c>
      <c r="GP877">
        <v>9.768750000000001E-2</v>
      </c>
      <c r="GQ877">
        <v>0.48393750000000002</v>
      </c>
      <c r="GR877">
        <v>0.38624999999999998</v>
      </c>
      <c r="GS877">
        <v>2.4293870192307693E-2</v>
      </c>
      <c r="GT877">
        <v>0.89992445418552036</v>
      </c>
      <c r="GU877"/>
      <c r="GV877"/>
      <c r="GW877"/>
      <c r="GX877"/>
      <c r="GY877"/>
      <c r="GZ877"/>
      <c r="HA877"/>
      <c r="HB877"/>
      <c r="HC877"/>
    </row>
    <row r="878" spans="1:211" s="7" customFormat="1">
      <c r="A878" s="4"/>
      <c r="B878" s="4"/>
      <c r="C878" s="4"/>
      <c r="D878" s="4"/>
      <c r="E878" s="4"/>
      <c r="F878" s="28"/>
      <c r="G878" s="28"/>
      <c r="H878" s="83"/>
      <c r="I878" s="4"/>
      <c r="J878" s="4"/>
      <c r="K878" s="4"/>
      <c r="L878" s="4"/>
      <c r="M878" s="4"/>
      <c r="N878" s="28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81"/>
      <c r="AG878" s="81"/>
      <c r="AH878" s="81"/>
      <c r="AI878" s="4"/>
      <c r="AJ878" s="81"/>
      <c r="AK878" s="81"/>
      <c r="AL878" s="81"/>
      <c r="AM878" s="43">
        <v>862</v>
      </c>
      <c r="AN878">
        <v>51.787638559697385</v>
      </c>
      <c r="AO878">
        <v>1.0893749808769662</v>
      </c>
      <c r="AP878">
        <v>11.875611868068608</v>
      </c>
      <c r="AQ878">
        <v>6.7020653774209222</v>
      </c>
      <c r="AR878">
        <v>0.99475795901402519</v>
      </c>
      <c r="AS878">
        <v>4.2037064884636699</v>
      </c>
      <c r="AT878" t="e">
        <v>#DIV/0!</v>
      </c>
      <c r="AU878" t="e">
        <v>#DIV/0!</v>
      </c>
      <c r="AV878"/>
      <c r="AW878"/>
      <c r="FY878" s="211">
        <v>873</v>
      </c>
      <c r="FZ878">
        <v>2.0462559144040329</v>
      </c>
      <c r="GA878">
        <v>2.394189882124321</v>
      </c>
      <c r="GB878">
        <v>0.20475615415620232</v>
      </c>
      <c r="GC878">
        <v>0.42511846480335741</v>
      </c>
      <c r="GD878">
        <v>0.41488141213813495</v>
      </c>
      <c r="GE878">
        <v>0.17718722876879997</v>
      </c>
      <c r="GF878">
        <v>0.49395954912409079</v>
      </c>
      <c r="GG878">
        <v>0.52933036966390667</v>
      </c>
      <c r="GH878">
        <v>0.1330459067538125</v>
      </c>
      <c r="GI878">
        <v>0.69824493457468706</v>
      </c>
      <c r="GJ878"/>
      <c r="GK878">
        <v>2.039375551470588</v>
      </c>
      <c r="GL878">
        <v>2.0164771139705882</v>
      </c>
      <c r="GM878">
        <v>0.33569531250000001</v>
      </c>
      <c r="GN878">
        <v>1.2447937499999999</v>
      </c>
      <c r="GO878">
        <v>1.5777937499999999</v>
      </c>
      <c r="GP878">
        <v>0.33299999999999996</v>
      </c>
      <c r="GQ878">
        <v>0.59590760869565207</v>
      </c>
      <c r="GR878">
        <v>0.73663677536231864</v>
      </c>
      <c r="GS878">
        <v>0.14072916666666666</v>
      </c>
      <c r="GT878">
        <v>0.93790027786658126</v>
      </c>
      <c r="GU878"/>
      <c r="GV878"/>
      <c r="GW878"/>
      <c r="GX878"/>
      <c r="GY878"/>
      <c r="GZ878"/>
      <c r="HA878"/>
      <c r="HB878"/>
      <c r="HC878"/>
    </row>
    <row r="879" spans="1:211" s="7" customFormat="1">
      <c r="A879" s="4"/>
      <c r="B879" s="4"/>
      <c r="C879" s="4"/>
      <c r="D879" s="4"/>
      <c r="E879" s="4"/>
      <c r="F879" s="28"/>
      <c r="G879" s="28"/>
      <c r="H879" s="83"/>
      <c r="I879" s="4"/>
      <c r="J879" s="4"/>
      <c r="K879" s="4"/>
      <c r="L879" s="4"/>
      <c r="M879" s="4"/>
      <c r="N879" s="28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81"/>
      <c r="AG879" s="81"/>
      <c r="AH879" s="81"/>
      <c r="AI879" s="4"/>
      <c r="AJ879" s="81"/>
      <c r="AK879" s="81"/>
      <c r="AL879" s="81"/>
      <c r="AM879" s="43">
        <v>863</v>
      </c>
      <c r="AN879">
        <v>78.440411017389124</v>
      </c>
      <c r="AO879">
        <v>1.8589832962725015</v>
      </c>
      <c r="AP879">
        <v>14.761974545601726</v>
      </c>
      <c r="AQ879">
        <v>13.184713110629254</v>
      </c>
      <c r="AR879">
        <v>1.724792780265211</v>
      </c>
      <c r="AS879">
        <v>6.4364818630248681</v>
      </c>
      <c r="AT879" t="e">
        <v>#DIV/0!</v>
      </c>
      <c r="AU879" t="e">
        <v>#DIV/0!</v>
      </c>
      <c r="AV879"/>
      <c r="AW879"/>
      <c r="FY879" s="211">
        <v>874</v>
      </c>
      <c r="FZ879">
        <v>0.36336760367662685</v>
      </c>
      <c r="GA879">
        <v>0.93401520161933749</v>
      </c>
      <c r="GB879">
        <v>0.9980281508794171</v>
      </c>
      <c r="GC879">
        <v>0.53059128919619636</v>
      </c>
      <c r="GD879">
        <v>0.18248260120248852</v>
      </c>
      <c r="GE879">
        <v>0.19169481791384996</v>
      </c>
      <c r="GF879">
        <v>1.1883001261514217</v>
      </c>
      <c r="GG879">
        <v>0.99495750422256335</v>
      </c>
      <c r="GH879">
        <v>2.2985735835423678E-2</v>
      </c>
      <c r="GI879">
        <v>0.61828051443065901</v>
      </c>
      <c r="GJ879"/>
      <c r="GK879">
        <v>0.36204375</v>
      </c>
      <c r="GL879">
        <v>0.78656718749999999</v>
      </c>
      <c r="GM879">
        <v>1.6384048295454545</v>
      </c>
      <c r="GN879">
        <v>1.55720192775974</v>
      </c>
      <c r="GO879">
        <v>0.69441428571428565</v>
      </c>
      <c r="GP879">
        <v>0.36009374999999999</v>
      </c>
      <c r="GQ879">
        <v>1.433783967391304</v>
      </c>
      <c r="GR879">
        <v>1.3849402173913039</v>
      </c>
      <c r="GS879">
        <v>2.4293870192307693E-2</v>
      </c>
      <c r="GT879">
        <v>0.83058814056867036</v>
      </c>
      <c r="GU879"/>
      <c r="GV879"/>
      <c r="GW879"/>
      <c r="GX879"/>
      <c r="GY879"/>
      <c r="GZ879"/>
      <c r="HA879"/>
      <c r="HB879"/>
      <c r="HC879"/>
    </row>
    <row r="880" spans="1:211" s="7" customFormat="1">
      <c r="A880" s="4"/>
      <c r="B880" s="4"/>
      <c r="C880" s="4"/>
      <c r="D880" s="4"/>
      <c r="E880" s="4"/>
      <c r="F880" s="28"/>
      <c r="G880" s="28"/>
      <c r="H880" s="83"/>
      <c r="I880" s="4"/>
      <c r="J880" s="4"/>
      <c r="K880" s="4"/>
      <c r="L880" s="4"/>
      <c r="M880" s="4"/>
      <c r="N880" s="28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81"/>
      <c r="AG880" s="81"/>
      <c r="AH880" s="81"/>
      <c r="AI880" s="4"/>
      <c r="AJ880" s="81"/>
      <c r="AK880" s="81"/>
      <c r="AL880" s="81"/>
      <c r="AM880" s="43">
        <v>864</v>
      </c>
      <c r="AN880">
        <v>39.651128715375037</v>
      </c>
      <c r="AO880">
        <v>1.0345949587272405</v>
      </c>
      <c r="AP880">
        <v>3.1122164907281995</v>
      </c>
      <c r="AQ880">
        <v>7.6903021439083643</v>
      </c>
      <c r="AR880">
        <v>0.95865166702476423</v>
      </c>
      <c r="AS880">
        <v>3.4468175312917042</v>
      </c>
      <c r="AT880" t="e">
        <v>#DIV/0!</v>
      </c>
      <c r="AU880" t="e">
        <v>#DIV/0!</v>
      </c>
      <c r="AV880"/>
      <c r="AW880"/>
      <c r="FY880" s="211">
        <v>875</v>
      </c>
      <c r="FZ880">
        <v>1.3056879244685655</v>
      </c>
      <c r="GA880">
        <v>1.8313184127901967</v>
      </c>
      <c r="GB880">
        <v>0.29012583056424257</v>
      </c>
      <c r="GC880">
        <v>0.82044768635088872</v>
      </c>
      <c r="GD880">
        <v>0.63432121026579735</v>
      </c>
      <c r="GE880">
        <v>7.1247647751975007E-2</v>
      </c>
      <c r="GF880">
        <v>0.37461671604370633</v>
      </c>
      <c r="GG880">
        <v>0.39070597101659427</v>
      </c>
      <c r="GH880">
        <v>0.1330459067538125</v>
      </c>
      <c r="GI880">
        <v>0.71205170355963698</v>
      </c>
      <c r="GJ880"/>
      <c r="GK880">
        <v>1.3010549632352939</v>
      </c>
      <c r="GL880">
        <v>1.5421916819852943</v>
      </c>
      <c r="GM880">
        <v>0.47590234375000007</v>
      </c>
      <c r="GN880">
        <v>2.4020593749999999</v>
      </c>
      <c r="GO880">
        <v>2.4117468749999995</v>
      </c>
      <c r="GP880">
        <v>0.133921875</v>
      </c>
      <c r="GQ880">
        <v>0.45162635869565215</v>
      </c>
      <c r="GR880">
        <v>0.54351177536231876</v>
      </c>
      <c r="GS880">
        <v>0.14072916666666666</v>
      </c>
      <c r="GT880">
        <v>0.95621194146952249</v>
      </c>
      <c r="GU880"/>
      <c r="GV880"/>
      <c r="GW880"/>
      <c r="GX880"/>
      <c r="GY880"/>
      <c r="GZ880"/>
      <c r="HA880"/>
      <c r="HB880"/>
      <c r="HC880"/>
    </row>
    <row r="881" spans="1:211" s="7" customFormat="1">
      <c r="A881" s="4"/>
      <c r="B881" s="4"/>
      <c r="C881" s="4"/>
      <c r="D881" s="4"/>
      <c r="E881" s="4"/>
      <c r="F881" s="28"/>
      <c r="G881" s="28"/>
      <c r="H881" s="83"/>
      <c r="I881" s="4"/>
      <c r="J881" s="4"/>
      <c r="K881" s="4"/>
      <c r="L881" s="4"/>
      <c r="M881" s="4"/>
      <c r="N881" s="28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81"/>
      <c r="AG881" s="81"/>
      <c r="AH881" s="81"/>
      <c r="AI881" s="4"/>
      <c r="AJ881" s="81"/>
      <c r="AK881" s="81"/>
      <c r="AL881" s="81"/>
      <c r="AM881" s="43">
        <v>865</v>
      </c>
      <c r="AN881">
        <v>42.751426157140671</v>
      </c>
      <c r="AO881">
        <v>1.0838431292499859</v>
      </c>
      <c r="AP881">
        <v>0.89817152437107128</v>
      </c>
      <c r="AQ881">
        <v>8.8101184734335121</v>
      </c>
      <c r="AR881">
        <v>1.0020091056992877</v>
      </c>
      <c r="AS881">
        <v>3.5443373180380973</v>
      </c>
      <c r="AT881" t="e">
        <v>#DIV/0!</v>
      </c>
      <c r="AU881" t="e">
        <v>#DIV/0!</v>
      </c>
      <c r="AV881"/>
      <c r="AW881"/>
      <c r="FY881" s="211">
        <v>876</v>
      </c>
      <c r="FZ881">
        <v>2.2582095343771567</v>
      </c>
      <c r="GA881">
        <v>2.9571007220939483</v>
      </c>
      <c r="GB881">
        <v>0.91014039058790042</v>
      </c>
      <c r="GC881">
        <v>0.6623566807644713</v>
      </c>
      <c r="GD881">
        <v>0.25064511702139924</v>
      </c>
      <c r="GE881">
        <v>0.15025941724904995</v>
      </c>
      <c r="GF881">
        <v>0.9090953625792253</v>
      </c>
      <c r="GG881">
        <v>0.71770870692793864</v>
      </c>
      <c r="GH881">
        <v>2.2985735835423678E-2</v>
      </c>
      <c r="GI881">
        <v>0.86621637344168134</v>
      </c>
      <c r="GJ881"/>
      <c r="GK881">
        <v>2.2506617647058822</v>
      </c>
      <c r="GL881">
        <v>2.4908375459558822</v>
      </c>
      <c r="GM881">
        <v>1.4939009232954543</v>
      </c>
      <c r="GN881">
        <v>1.9427822849025971</v>
      </c>
      <c r="GO881">
        <v>0.95333839285714284</v>
      </c>
      <c r="GP881">
        <v>0.28228124999999998</v>
      </c>
      <c r="GQ881">
        <v>1.0963777173913045</v>
      </c>
      <c r="GR881">
        <v>0.99869021739130437</v>
      </c>
      <c r="GS881">
        <v>2.4293870192307693E-2</v>
      </c>
      <c r="GT881">
        <v>1.1637145336884185</v>
      </c>
      <c r="GU881"/>
      <c r="GV881"/>
      <c r="GW881"/>
      <c r="GX881"/>
      <c r="GY881"/>
      <c r="GZ881"/>
      <c r="HA881"/>
      <c r="HB881"/>
      <c r="HC881"/>
    </row>
    <row r="882" spans="1:211" s="7" customFormat="1">
      <c r="A882" s="4"/>
      <c r="B882" s="4"/>
      <c r="C882" s="4"/>
      <c r="D882" s="4"/>
      <c r="E882" s="4"/>
      <c r="F882" s="28"/>
      <c r="G882" s="28"/>
      <c r="H882" s="83"/>
      <c r="I882" s="4"/>
      <c r="J882" s="4"/>
      <c r="K882" s="4"/>
      <c r="L882" s="4"/>
      <c r="M882" s="4"/>
      <c r="N882" s="28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81"/>
      <c r="AG882" s="81"/>
      <c r="AH882" s="81"/>
      <c r="AI882" s="4"/>
      <c r="AJ882" s="81"/>
      <c r="AK882" s="81"/>
      <c r="AL882" s="81"/>
      <c r="AM882" s="43">
        <v>866</v>
      </c>
      <c r="AN882">
        <v>33.703157993966819</v>
      </c>
      <c r="AO882">
        <v>0.80264139960407233</v>
      </c>
      <c r="AP882">
        <v>1.404443662759344</v>
      </c>
      <c r="AQ882">
        <v>5.3065179509719531</v>
      </c>
      <c r="AR882">
        <v>0.75661892970999567</v>
      </c>
      <c r="AS882">
        <v>2.616432083005507</v>
      </c>
      <c r="AT882" t="e">
        <v>#DIV/0!</v>
      </c>
      <c r="AU882" t="e">
        <v>#DIV/0!</v>
      </c>
      <c r="AV882"/>
      <c r="AW882"/>
      <c r="FY882" s="211">
        <v>877</v>
      </c>
      <c r="FZ882">
        <v>0.49781440851884434</v>
      </c>
      <c r="GA882">
        <v>0.68531873813969824</v>
      </c>
      <c r="GB882">
        <v>0.19509579266841212</v>
      </c>
      <c r="GC882">
        <v>0.28032175871499376</v>
      </c>
      <c r="GD882">
        <v>0.30667726692012853</v>
      </c>
      <c r="GE882">
        <v>0.26192181132067505</v>
      </c>
      <c r="GF882">
        <v>0.61551684135837503</v>
      </c>
      <c r="GG882">
        <v>0.52933036966390667</v>
      </c>
      <c r="GH882">
        <v>0.17901737842465987</v>
      </c>
      <c r="GI882">
        <v>0.4340281108620716</v>
      </c>
      <c r="GJ882"/>
      <c r="GK882">
        <v>0.49599375000000001</v>
      </c>
      <c r="GL882">
        <v>0.57679453125000002</v>
      </c>
      <c r="GM882">
        <v>0.31986328125000002</v>
      </c>
      <c r="GN882">
        <v>0.82094866071428574</v>
      </c>
      <c r="GO882">
        <v>1.1666517857142857</v>
      </c>
      <c r="GP882">
        <v>0.49223437500000006</v>
      </c>
      <c r="GQ882">
        <v>0.74243885869565207</v>
      </c>
      <c r="GR882">
        <v>0.73663677536231864</v>
      </c>
      <c r="GS882">
        <v>0.18931690705128204</v>
      </c>
      <c r="GT882">
        <v>0.58285291654224403</v>
      </c>
      <c r="GU882"/>
      <c r="GV882"/>
      <c r="GW882"/>
      <c r="GX882"/>
      <c r="GY882"/>
      <c r="GZ882"/>
      <c r="HA882"/>
      <c r="HB882"/>
      <c r="HC882"/>
    </row>
    <row r="883" spans="1:211" s="7" customFormat="1">
      <c r="A883" s="4"/>
      <c r="B883" s="4"/>
      <c r="C883" s="4"/>
      <c r="D883" s="4"/>
      <c r="E883" s="4"/>
      <c r="F883" s="28"/>
      <c r="G883" s="28"/>
      <c r="H883" s="83"/>
      <c r="I883" s="4"/>
      <c r="J883" s="4"/>
      <c r="K883" s="4"/>
      <c r="L883" s="4"/>
      <c r="M883" s="4"/>
      <c r="N883" s="28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81"/>
      <c r="AG883" s="81"/>
      <c r="AH883" s="81"/>
      <c r="AI883" s="4"/>
      <c r="AJ883" s="81"/>
      <c r="AK883" s="81"/>
      <c r="AL883" s="81"/>
      <c r="AM883" s="43">
        <v>867</v>
      </c>
      <c r="AN883">
        <v>40.02915499533146</v>
      </c>
      <c r="AO883">
        <v>0.91681098109243686</v>
      </c>
      <c r="AP883">
        <v>0.37994477303682928</v>
      </c>
      <c r="AQ883">
        <v>7.4880838376037833</v>
      </c>
      <c r="AR883">
        <v>0.86606396008403341</v>
      </c>
      <c r="AS883">
        <v>3.1429044329646163</v>
      </c>
      <c r="AT883" t="e">
        <v>#DIV/0!</v>
      </c>
      <c r="AU883" t="e">
        <v>#DIV/0!</v>
      </c>
      <c r="AV883"/>
      <c r="AW883"/>
      <c r="FY883" s="211">
        <v>878</v>
      </c>
      <c r="FZ883">
        <v>1.0367679320552787</v>
      </c>
      <c r="GA883">
        <v>1.596916259737112</v>
      </c>
      <c r="GB883">
        <v>1.3649240190131329</v>
      </c>
      <c r="GC883">
        <v>0.64392967827395398</v>
      </c>
      <c r="GD883">
        <v>5.2714003951324279E-2</v>
      </c>
      <c r="GE883">
        <v>0</v>
      </c>
      <c r="GF883">
        <v>0</v>
      </c>
      <c r="GG883">
        <v>0.10116381687628125</v>
      </c>
      <c r="GH883">
        <v>0.1330459067538125</v>
      </c>
      <c r="GI883">
        <v>0.53810432578959999</v>
      </c>
      <c r="GJ883"/>
      <c r="GK883">
        <v>1.0333612132352941</v>
      </c>
      <c r="GL883">
        <v>1.3450448069852938</v>
      </c>
      <c r="GM883">
        <v>2.2410870028409087</v>
      </c>
      <c r="GN883">
        <v>1.8909605519480517</v>
      </c>
      <c r="GO883">
        <v>0.20061964285714282</v>
      </c>
      <c r="GP883">
        <v>0</v>
      </c>
      <c r="GQ883">
        <v>0</v>
      </c>
      <c r="GR883">
        <v>0.14072916666666666</v>
      </c>
      <c r="GS883">
        <v>0.14072916666666666</v>
      </c>
      <c r="GT883">
        <v>0.72315940512000232</v>
      </c>
      <c r="GU883"/>
      <c r="GV883"/>
      <c r="GW883"/>
      <c r="GX883"/>
      <c r="GY883"/>
      <c r="GZ883"/>
      <c r="HA883"/>
      <c r="HB883"/>
      <c r="HC883"/>
    </row>
    <row r="884" spans="1:211" s="7" customFormat="1">
      <c r="A884" s="4"/>
      <c r="B884" s="4"/>
      <c r="C884" s="4"/>
      <c r="D884" s="4"/>
      <c r="E884" s="4"/>
      <c r="F884" s="28"/>
      <c r="G884" s="28"/>
      <c r="H884" s="83"/>
      <c r="I884" s="4"/>
      <c r="J884" s="4"/>
      <c r="K884" s="4"/>
      <c r="L884" s="4"/>
      <c r="M884" s="4"/>
      <c r="N884" s="28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81"/>
      <c r="AG884" s="81"/>
      <c r="AH884" s="81"/>
      <c r="AI884" s="4"/>
      <c r="AJ884" s="81"/>
      <c r="AK884" s="81"/>
      <c r="AL884" s="81"/>
      <c r="AM884" s="43">
        <v>868</v>
      </c>
      <c r="AN884">
        <v>42.50983160358161</v>
      </c>
      <c r="AO884">
        <v>1.0939971211080584</v>
      </c>
      <c r="AP884">
        <v>1.5381884291498269</v>
      </c>
      <c r="AQ884">
        <v>5.7570410507762189</v>
      </c>
      <c r="AR884">
        <v>1.0134485410422909</v>
      </c>
      <c r="AS884">
        <v>3.5246197720457806</v>
      </c>
      <c r="AT884">
        <v>0.69084166260990232</v>
      </c>
      <c r="AU884">
        <v>2.202603997875105E-2</v>
      </c>
      <c r="AV884"/>
      <c r="AW884"/>
      <c r="FY884" s="211">
        <v>879</v>
      </c>
      <c r="FZ884">
        <v>2.0354111787969034</v>
      </c>
      <c r="GA884">
        <v>2.2260525588348345</v>
      </c>
      <c r="GB884">
        <v>1.4388295228993579</v>
      </c>
      <c r="GC884">
        <v>0.78833855598647784</v>
      </c>
      <c r="GD884">
        <v>5.4670911826049995E-2</v>
      </c>
      <c r="GE884">
        <v>0.10020889731645002</v>
      </c>
      <c r="GF884">
        <v>8.1038194822856249E-2</v>
      </c>
      <c r="GG884">
        <v>5.0581908438140623E-2</v>
      </c>
      <c r="GH884">
        <v>0.11249442504775362</v>
      </c>
      <c r="GI884">
        <v>0.71671738201200841</v>
      </c>
      <c r="GJ884"/>
      <c r="GK884">
        <v>2.0284818014705883</v>
      </c>
      <c r="GL884">
        <v>1.8748372702205882</v>
      </c>
      <c r="GM884">
        <v>2.3623995028409088</v>
      </c>
      <c r="GN884">
        <v>2.3149502840909091</v>
      </c>
      <c r="GO884">
        <v>0.208125</v>
      </c>
      <c r="GP884">
        <v>0.18815625000000002</v>
      </c>
      <c r="GQ884">
        <v>9.768750000000001E-2</v>
      </c>
      <c r="GR884">
        <v>7.0364583333333328E-2</v>
      </c>
      <c r="GS884">
        <v>0.11895232371794871</v>
      </c>
      <c r="GT884">
        <v>0.96312922560588909</v>
      </c>
      <c r="GU884"/>
      <c r="GV884"/>
      <c r="GW884"/>
      <c r="GX884"/>
      <c r="GY884"/>
      <c r="GZ884"/>
      <c r="HA884"/>
      <c r="HB884"/>
      <c r="HC884"/>
    </row>
    <row r="885" spans="1:211" s="7" customFormat="1">
      <c r="A885" s="4"/>
      <c r="B885" s="4"/>
      <c r="C885" s="4"/>
      <c r="D885" s="4"/>
      <c r="E885" s="4"/>
      <c r="F885" s="28"/>
      <c r="G885" s="28"/>
      <c r="H885" s="83"/>
      <c r="I885" s="4"/>
      <c r="J885" s="4"/>
      <c r="K885" s="4"/>
      <c r="L885" s="4"/>
      <c r="M885" s="4"/>
      <c r="N885" s="28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81"/>
      <c r="AG885" s="81"/>
      <c r="AH885" s="81"/>
      <c r="AI885" s="4"/>
      <c r="AJ885" s="81"/>
      <c r="AK885" s="81"/>
      <c r="AL885" s="81"/>
      <c r="AM885" s="43">
        <v>869</v>
      </c>
      <c r="AN885">
        <v>40.508213038559894</v>
      </c>
      <c r="AO885">
        <v>1.0054331864978849</v>
      </c>
      <c r="AP885">
        <v>1.8134140743011553</v>
      </c>
      <c r="AQ885">
        <v>6.6593561299742854</v>
      </c>
      <c r="AR885">
        <v>0.93797165774283253</v>
      </c>
      <c r="AS885">
        <v>3.3538197701291956</v>
      </c>
      <c r="AT885" t="e">
        <v>#DIV/0!</v>
      </c>
      <c r="AU885" t="e">
        <v>#DIV/0!</v>
      </c>
      <c r="AV885"/>
      <c r="AW885"/>
      <c r="FY885" s="211">
        <v>880</v>
      </c>
      <c r="FZ885">
        <v>1.6011778862990762</v>
      </c>
      <c r="GA885">
        <v>2.1619772129475123</v>
      </c>
      <c r="GB885">
        <v>1.4666304246261745</v>
      </c>
      <c r="GC885">
        <v>0.98041057588364966</v>
      </c>
      <c r="GD885">
        <v>0.26433501555162853</v>
      </c>
      <c r="GE885">
        <v>6.4558109077649986E-2</v>
      </c>
      <c r="GF885">
        <v>0.36024295839505316</v>
      </c>
      <c r="GG885">
        <v>0.37841261417090627</v>
      </c>
      <c r="GH885">
        <v>0.20200311426008355</v>
      </c>
      <c r="GI885">
        <v>0.84220224764081653</v>
      </c>
      <c r="GJ885"/>
      <c r="GK885">
        <v>1.595909926470588</v>
      </c>
      <c r="GL885">
        <v>1.821214613970588</v>
      </c>
      <c r="GM885">
        <v>2.4081846590909084</v>
      </c>
      <c r="GN885">
        <v>2.8770317573051947</v>
      </c>
      <c r="GO885">
        <v>1.0055892857142854</v>
      </c>
      <c r="GP885">
        <v>0.12121874999999999</v>
      </c>
      <c r="GQ885">
        <v>0.43509375</v>
      </c>
      <c r="GR885">
        <v>0.52697916666666667</v>
      </c>
      <c r="GS885">
        <v>0.21361077724358973</v>
      </c>
      <c r="GT885">
        <v>1.1316776797038743</v>
      </c>
      <c r="GU885"/>
      <c r="GV885"/>
      <c r="GW885"/>
      <c r="GX885"/>
      <c r="GY885"/>
      <c r="GZ885"/>
      <c r="HA885"/>
      <c r="HB885"/>
      <c r="HC885"/>
    </row>
    <row r="886" spans="1:211" s="7" customFormat="1">
      <c r="A886" s="4"/>
      <c r="B886" s="4"/>
      <c r="C886" s="4"/>
      <c r="D886" s="4"/>
      <c r="E886" s="4"/>
      <c r="F886" s="28"/>
      <c r="G886" s="28"/>
      <c r="H886" s="83"/>
      <c r="I886" s="4"/>
      <c r="J886" s="4"/>
      <c r="K886" s="4"/>
      <c r="L886" s="4"/>
      <c r="M886" s="4"/>
      <c r="N886" s="28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81"/>
      <c r="AG886" s="81"/>
      <c r="AH886" s="81"/>
      <c r="AI886" s="4"/>
      <c r="AJ886" s="81"/>
      <c r="AK886" s="81"/>
      <c r="AL886" s="81"/>
      <c r="AM886" s="43">
        <v>870</v>
      </c>
      <c r="AN886">
        <v>67.050710137966377</v>
      </c>
      <c r="AO886">
        <v>1.6394493871326752</v>
      </c>
      <c r="AP886">
        <v>17.634732398030064</v>
      </c>
      <c r="AQ886">
        <v>10.755103402586592</v>
      </c>
      <c r="AR886">
        <v>1.4948256010646697</v>
      </c>
      <c r="AS886">
        <v>5.1227943945302918</v>
      </c>
      <c r="AT886" t="e">
        <v>#DIV/0!</v>
      </c>
      <c r="AU886" t="e">
        <v>#DIV/0!</v>
      </c>
      <c r="AV886"/>
      <c r="AW886"/>
      <c r="FY886" s="211">
        <v>881</v>
      </c>
      <c r="FZ886">
        <v>0.21615483084065157</v>
      </c>
      <c r="GA886">
        <v>0.6389325034010378</v>
      </c>
      <c r="GB886">
        <v>1.2259018323588549</v>
      </c>
      <c r="GC886">
        <v>1.0030459248924728</v>
      </c>
      <c r="GD886">
        <v>0.35635994727673492</v>
      </c>
      <c r="GE886">
        <v>0.106898435990775</v>
      </c>
      <c r="GF886">
        <v>0.74923343208741267</v>
      </c>
      <c r="GG886">
        <v>0.57908430828062596</v>
      </c>
      <c r="GH886">
        <v>2.2985735835423678E-2</v>
      </c>
      <c r="GI886">
        <v>0.67164336261441149</v>
      </c>
      <c r="GJ886"/>
      <c r="GK886">
        <v>0.215390625</v>
      </c>
      <c r="GL886">
        <v>0.53804296875000002</v>
      </c>
      <c r="GM886">
        <v>2.0129932528409089</v>
      </c>
      <c r="GN886">
        <v>2.9424002840909087</v>
      </c>
      <c r="GO886">
        <v>1.3552312499999997</v>
      </c>
      <c r="GP886">
        <v>0.20085937500000001</v>
      </c>
      <c r="GQ886">
        <v>0.90325271739130431</v>
      </c>
      <c r="GR886">
        <v>0.80556521739130427</v>
      </c>
      <c r="GS886">
        <v>2.4293870192307693E-2</v>
      </c>
      <c r="GT886">
        <v>0.90223234308490408</v>
      </c>
      <c r="GU886"/>
      <c r="GV886"/>
      <c r="GW886"/>
      <c r="GX886"/>
      <c r="GY886"/>
      <c r="GZ886"/>
      <c r="HA886"/>
      <c r="HB886"/>
      <c r="HC886"/>
    </row>
    <row r="887" spans="1:211" s="7" customFormat="1">
      <c r="A887" s="4"/>
      <c r="B887" s="4"/>
      <c r="C887" s="4"/>
      <c r="D887" s="4"/>
      <c r="E887" s="4"/>
      <c r="F887" s="28"/>
      <c r="G887" s="28"/>
      <c r="H887" s="83"/>
      <c r="I887" s="4"/>
      <c r="J887" s="4"/>
      <c r="K887" s="4"/>
      <c r="L887" s="4"/>
      <c r="M887" s="4"/>
      <c r="N887" s="28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81"/>
      <c r="AG887" s="81"/>
      <c r="AH887" s="81"/>
      <c r="AI887" s="4"/>
      <c r="AJ887" s="81"/>
      <c r="AK887" s="81"/>
      <c r="AL887" s="81"/>
      <c r="AM887" s="43">
        <v>871</v>
      </c>
      <c r="AN887">
        <v>38.02088545261099</v>
      </c>
      <c r="AO887">
        <v>0.75855153031185307</v>
      </c>
      <c r="AP887">
        <v>0.60911709144316772</v>
      </c>
      <c r="AQ887">
        <v>5.1055476072432002</v>
      </c>
      <c r="AR887">
        <v>0.69683661846532086</v>
      </c>
      <c r="AS887">
        <v>3.2791590421742747</v>
      </c>
      <c r="AT887" t="e">
        <v>#DIV/0!</v>
      </c>
      <c r="AU887" t="e">
        <v>#DIV/0!</v>
      </c>
      <c r="AV887"/>
      <c r="AW887"/>
      <c r="FY887" s="211">
        <v>882</v>
      </c>
      <c r="FZ887">
        <v>1.0246004626222349</v>
      </c>
      <c r="GA887">
        <v>1.3746897698023353</v>
      </c>
      <c r="GB887">
        <v>0.35919503558807342</v>
      </c>
      <c r="GC887">
        <v>0.52196788268018057</v>
      </c>
      <c r="GD887">
        <v>0.34019561115100927</v>
      </c>
      <c r="GE887">
        <v>6.1665802864649996E-2</v>
      </c>
      <c r="GF887">
        <v>0.24090012531466881</v>
      </c>
      <c r="GG887">
        <v>0.18920630708545313</v>
      </c>
      <c r="GH887">
        <v>6.6522953376906252E-2</v>
      </c>
      <c r="GI887">
        <v>0.48616227002962464</v>
      </c>
      <c r="GJ887"/>
      <c r="GK887">
        <v>1.0208999999999999</v>
      </c>
      <c r="GL887">
        <v>1.1573765624999999</v>
      </c>
      <c r="GM887">
        <v>0.58917187500000001</v>
      </c>
      <c r="GN887">
        <v>1.5287337053571428</v>
      </c>
      <c r="GO887">
        <v>1.2933508928571429</v>
      </c>
      <c r="GP887">
        <v>0.11578125</v>
      </c>
      <c r="GQ887">
        <v>0.29081250000000003</v>
      </c>
      <c r="GR887">
        <v>0.26348958333333333</v>
      </c>
      <c r="GS887">
        <v>7.0364583333333328E-2</v>
      </c>
      <c r="GT887">
        <v>0.65291997023809523</v>
      </c>
      <c r="GU887"/>
      <c r="GV887"/>
      <c r="GW887"/>
      <c r="GX887"/>
      <c r="GY887"/>
      <c r="GZ887"/>
      <c r="HA887"/>
      <c r="HB887"/>
      <c r="HC887"/>
    </row>
    <row r="888" spans="1:211" s="7" customFormat="1">
      <c r="A888" s="4"/>
      <c r="B888" s="4"/>
      <c r="C888" s="4"/>
      <c r="D888" s="4"/>
      <c r="E888" s="4"/>
      <c r="F888" s="28"/>
      <c r="G888" s="28"/>
      <c r="H888" s="83"/>
      <c r="I888" s="4"/>
      <c r="J888" s="4"/>
      <c r="K888" s="4"/>
      <c r="L888" s="4"/>
      <c r="M888" s="4"/>
      <c r="N888" s="28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81"/>
      <c r="AG888" s="81"/>
      <c r="AH888" s="81"/>
      <c r="AI888" s="4"/>
      <c r="AJ888" s="81"/>
      <c r="AK888" s="81"/>
      <c r="AL888" s="81"/>
      <c r="AM888" s="43">
        <v>872</v>
      </c>
      <c r="AN888">
        <v>47.572041540975363</v>
      </c>
      <c r="AO888">
        <v>0.97155001258484164</v>
      </c>
      <c r="AP888">
        <v>1.5714381188663402</v>
      </c>
      <c r="AQ888">
        <v>6.415202263011123</v>
      </c>
      <c r="AR888">
        <v>0.89992445418552036</v>
      </c>
      <c r="AS888">
        <v>3.8987687459015663</v>
      </c>
      <c r="AT888" t="e">
        <v>#DIV/0!</v>
      </c>
      <c r="AU888" t="e">
        <v>#DIV/0!</v>
      </c>
      <c r="AV888"/>
      <c r="AW888"/>
      <c r="FY888" s="211">
        <v>883</v>
      </c>
      <c r="FZ888">
        <v>1.7446812619594421</v>
      </c>
      <c r="GA888">
        <v>2.2130726989458478</v>
      </c>
      <c r="GB888">
        <v>0.100743769801241</v>
      </c>
      <c r="GC888">
        <v>9.2544736887389983E-2</v>
      </c>
      <c r="GD888">
        <v>9.0295704928234286E-2</v>
      </c>
      <c r="GE888">
        <v>3.8543094451799993E-2</v>
      </c>
      <c r="GF888">
        <v>0.66819523726455643</v>
      </c>
      <c r="GG888">
        <v>0.57908430828062596</v>
      </c>
      <c r="GH888">
        <v>0</v>
      </c>
      <c r="GI888">
        <v>0.45455351482650896</v>
      </c>
      <c r="GJ888"/>
      <c r="GK888">
        <v>1.738719301470588</v>
      </c>
      <c r="GL888">
        <v>1.8639810202205882</v>
      </c>
      <c r="GM888">
        <v>0.16510546874999998</v>
      </c>
      <c r="GN888">
        <v>0.27119464285714279</v>
      </c>
      <c r="GO888">
        <v>0.34356964285714281</v>
      </c>
      <c r="GP888">
        <v>7.2374999999999995E-2</v>
      </c>
      <c r="GQ888">
        <v>0.80556521739130427</v>
      </c>
      <c r="GR888">
        <v>0.80556521739130427</v>
      </c>
      <c r="GS888">
        <v>0</v>
      </c>
      <c r="GT888">
        <v>0.61059192609380697</v>
      </c>
      <c r="GU888"/>
      <c r="GV888"/>
      <c r="GW888"/>
      <c r="GX888"/>
      <c r="GY888"/>
      <c r="GZ888"/>
      <c r="HA888"/>
      <c r="HB888"/>
      <c r="HC888"/>
    </row>
    <row r="889" spans="1:211" s="7" customFormat="1">
      <c r="A889" s="4"/>
      <c r="B889" s="4"/>
      <c r="C889" s="4"/>
      <c r="D889" s="4"/>
      <c r="E889" s="4"/>
      <c r="F889" s="28"/>
      <c r="G889" s="28"/>
      <c r="H889" s="83"/>
      <c r="I889" s="4"/>
      <c r="J889" s="4"/>
      <c r="K889" s="4"/>
      <c r="L889" s="4"/>
      <c r="M889" s="4"/>
      <c r="N889" s="28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81"/>
      <c r="AG889" s="81"/>
      <c r="AH889" s="81"/>
      <c r="AI889" s="4"/>
      <c r="AJ889" s="81"/>
      <c r="AK889" s="81"/>
      <c r="AL889" s="81"/>
      <c r="AM889" s="43">
        <v>873</v>
      </c>
      <c r="AN889">
        <v>48.148746388652071</v>
      </c>
      <c r="AO889">
        <v>0.99583093065323958</v>
      </c>
      <c r="AP889">
        <v>18.276637091203646</v>
      </c>
      <c r="AQ889">
        <v>7.5169698165113443</v>
      </c>
      <c r="AR889">
        <v>0.93790027786658148</v>
      </c>
      <c r="AS889">
        <v>3.9122033137806986</v>
      </c>
      <c r="AT889" t="e">
        <v>#DIV/0!</v>
      </c>
      <c r="AU889" t="e">
        <v>#DIV/0!</v>
      </c>
      <c r="AV889"/>
      <c r="AW889"/>
      <c r="FY889" s="211">
        <v>884</v>
      </c>
      <c r="FZ889">
        <v>0.21800952942845622</v>
      </c>
      <c r="GA889">
        <v>1.0399182311796107</v>
      </c>
      <c r="GB889">
        <v>2.2644840136858346</v>
      </c>
      <c r="GC889">
        <v>1.6393513357109315</v>
      </c>
      <c r="GD889">
        <v>0.5319663360509217</v>
      </c>
      <c r="GE889">
        <v>0.10791909033592499</v>
      </c>
      <c r="GF889">
        <v>1.2026738838000754</v>
      </c>
      <c r="GG889">
        <v>1.0072508610682518</v>
      </c>
      <c r="GH889">
        <v>2.2985735835423678E-2</v>
      </c>
      <c r="GI889">
        <v>1.106526186411309</v>
      </c>
      <c r="GJ889"/>
      <c r="GK889">
        <v>0.21731249999999996</v>
      </c>
      <c r="GL889">
        <v>0.87566015625000015</v>
      </c>
      <c r="GM889">
        <v>3.7176480823863636</v>
      </c>
      <c r="GN889">
        <v>4.8084638189935056</v>
      </c>
      <c r="GO889">
        <v>2.022491517857143</v>
      </c>
      <c r="GP889">
        <v>0.20264062499999999</v>
      </c>
      <c r="GQ889">
        <v>1.4503165760869565</v>
      </c>
      <c r="GR889">
        <v>1.4014728260869567</v>
      </c>
      <c r="GS889">
        <v>2.4293870192307693E-2</v>
      </c>
      <c r="GT889">
        <v>1.4864125093045542</v>
      </c>
      <c r="GU889"/>
      <c r="GV889"/>
      <c r="GW889"/>
      <c r="GX889"/>
      <c r="GY889"/>
      <c r="GZ889"/>
      <c r="HA889"/>
      <c r="HB889"/>
      <c r="HC889"/>
    </row>
    <row r="890" spans="1:211" s="7" customFormat="1">
      <c r="A890" s="4"/>
      <c r="B890" s="4"/>
      <c r="C890" s="4"/>
      <c r="D890" s="4"/>
      <c r="E890" s="4"/>
      <c r="F890" s="28"/>
      <c r="G890" s="28"/>
      <c r="H890" s="83"/>
      <c r="I890" s="4"/>
      <c r="J890" s="4"/>
      <c r="K890" s="4"/>
      <c r="L890" s="4"/>
      <c r="M890" s="4"/>
      <c r="N890" s="28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81"/>
      <c r="AG890" s="81"/>
      <c r="AH890" s="81"/>
      <c r="AI890" s="4"/>
      <c r="AJ890" s="81"/>
      <c r="AK890" s="81"/>
      <c r="AL890" s="81"/>
      <c r="AM890" s="43">
        <v>874</v>
      </c>
      <c r="AN890">
        <v>38.741329564155635</v>
      </c>
      <c r="AO890">
        <v>0.90723319260630642</v>
      </c>
      <c r="AP890">
        <v>1.1133659139010743</v>
      </c>
      <c r="AQ890">
        <v>6.0247035451279851</v>
      </c>
      <c r="AR890">
        <v>0.83058814056867036</v>
      </c>
      <c r="AS890">
        <v>3.5237392720173686</v>
      </c>
      <c r="AT890" t="e">
        <v>#DIV/0!</v>
      </c>
      <c r="AU890" t="e">
        <v>#DIV/0!</v>
      </c>
      <c r="AV890"/>
      <c r="AW890"/>
      <c r="FY890" s="211">
        <v>885</v>
      </c>
      <c r="FZ890">
        <v>2.5379856323087973</v>
      </c>
      <c r="GA890">
        <v>2.7974846713232027</v>
      </c>
      <c r="GB890">
        <v>1.6569762199228193</v>
      </c>
      <c r="GC890">
        <v>0.98469259163558487</v>
      </c>
      <c r="GD890">
        <v>0.10068442049897355</v>
      </c>
      <c r="GE890">
        <v>6.6483689671125015E-2</v>
      </c>
      <c r="GF890">
        <v>0.73485967443875966</v>
      </c>
      <c r="GG890">
        <v>0.66795476831121925</v>
      </c>
      <c r="GH890">
        <v>0.15603164258923619</v>
      </c>
      <c r="GI890">
        <v>0.99500100287594173</v>
      </c>
      <c r="GJ890"/>
      <c r="GK890">
        <v>2.5295680147058821</v>
      </c>
      <c r="GL890">
        <v>2.3564352022058821</v>
      </c>
      <c r="GM890">
        <v>2.7209723011363631</v>
      </c>
      <c r="GN890">
        <v>2.8915162743506495</v>
      </c>
      <c r="GO890">
        <v>0.38314553571428567</v>
      </c>
      <c r="GP890">
        <v>0.12482812500000001</v>
      </c>
      <c r="GQ890">
        <v>0.88672010869565221</v>
      </c>
      <c r="GR890">
        <v>0.92976177536231885</v>
      </c>
      <c r="GS890">
        <v>0.16502303685897435</v>
      </c>
      <c r="GT890">
        <v>1.3370857994222316</v>
      </c>
      <c r="GU890"/>
      <c r="GV890"/>
      <c r="GW890"/>
      <c r="GX890"/>
      <c r="GY890"/>
      <c r="GZ890"/>
      <c r="HA890"/>
      <c r="HB890"/>
      <c r="HC890"/>
    </row>
    <row r="891" spans="1:211" s="7" customFormat="1">
      <c r="A891" s="4"/>
      <c r="B891" s="4"/>
      <c r="C891" s="4"/>
      <c r="D891" s="4"/>
      <c r="E891" s="4"/>
      <c r="F891" s="28"/>
      <c r="G891" s="28"/>
      <c r="H891" s="83"/>
      <c r="I891" s="4"/>
      <c r="J891" s="4"/>
      <c r="K891" s="4"/>
      <c r="L891" s="4"/>
      <c r="M891" s="4"/>
      <c r="N891" s="28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81"/>
      <c r="AG891" s="81"/>
      <c r="AH891" s="81"/>
      <c r="AI891" s="4"/>
      <c r="AJ891" s="81"/>
      <c r="AK891" s="81"/>
      <c r="AL891" s="81"/>
      <c r="AM891" s="43">
        <v>875</v>
      </c>
      <c r="AN891">
        <v>55.442690424599775</v>
      </c>
      <c r="AO891">
        <v>1.0358956356164748</v>
      </c>
      <c r="AP891">
        <v>0.94692472256053417</v>
      </c>
      <c r="AQ891">
        <v>6.5635690095654162</v>
      </c>
      <c r="AR891">
        <v>0.95621194146952271</v>
      </c>
      <c r="AS891">
        <v>4.7703885586297927</v>
      </c>
      <c r="AT891" t="e">
        <v>#DIV/0!</v>
      </c>
      <c r="AU891" t="e">
        <v>#DIV/0!</v>
      </c>
      <c r="AV891"/>
      <c r="AW891"/>
      <c r="FY891" s="211">
        <v>886</v>
      </c>
      <c r="FZ891">
        <v>0.9336704646659737</v>
      </c>
      <c r="GA891">
        <v>1.1477143669165273</v>
      </c>
      <c r="GB891">
        <v>1.1432922592330403</v>
      </c>
      <c r="GC891">
        <v>0.70595308865812523</v>
      </c>
      <c r="GD891">
        <v>0.10457508638533178</v>
      </c>
      <c r="GE891">
        <v>0.1406236436361</v>
      </c>
      <c r="GF891">
        <v>0.73485967443875966</v>
      </c>
      <c r="GG891">
        <v>0.76911858518750043</v>
      </c>
      <c r="GH891">
        <v>0.28907754934304869</v>
      </c>
      <c r="GI891">
        <v>0.65469231642039238</v>
      </c>
      <c r="GJ891"/>
      <c r="GK891">
        <v>0.93026249999999999</v>
      </c>
      <c r="GL891">
        <v>0.96644999999999992</v>
      </c>
      <c r="GM891">
        <v>1.8773096590909089</v>
      </c>
      <c r="GN891">
        <v>2.0725011769480517</v>
      </c>
      <c r="GO891">
        <v>0.3978790178571428</v>
      </c>
      <c r="GP891">
        <v>0.26418750000000002</v>
      </c>
      <c r="GQ891">
        <v>0.88672010869565221</v>
      </c>
      <c r="GR891">
        <v>1.0704909420289854</v>
      </c>
      <c r="GS891">
        <v>0.30575220352564103</v>
      </c>
      <c r="GT891">
        <v>0.87958469783386883</v>
      </c>
      <c r="GU891"/>
      <c r="GV891"/>
      <c r="GW891"/>
      <c r="GX891"/>
      <c r="GY891"/>
      <c r="GZ891"/>
      <c r="HA891"/>
      <c r="HB891"/>
      <c r="HC891"/>
    </row>
    <row r="892" spans="1:211" s="7" customFormat="1">
      <c r="A892" s="4"/>
      <c r="B892" s="4"/>
      <c r="C892" s="4"/>
      <c r="D892" s="4"/>
      <c r="E892" s="4"/>
      <c r="F892" s="28"/>
      <c r="G892" s="28"/>
      <c r="H892" s="83"/>
      <c r="I892" s="4"/>
      <c r="J892" s="4"/>
      <c r="K892" s="4"/>
      <c r="L892" s="4"/>
      <c r="M892" s="4"/>
      <c r="N892" s="28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81"/>
      <c r="AG892" s="81"/>
      <c r="AH892" s="81"/>
      <c r="AI892" s="4"/>
      <c r="AJ892" s="81"/>
      <c r="AK892" s="81"/>
      <c r="AL892" s="81"/>
      <c r="AM892" s="43">
        <v>876</v>
      </c>
      <c r="AN892">
        <v>55.472840710280764</v>
      </c>
      <c r="AO892">
        <v>1.2696878500380293</v>
      </c>
      <c r="AP892">
        <v>1.3182429291216331</v>
      </c>
      <c r="AQ892">
        <v>9.704718040878193</v>
      </c>
      <c r="AR892">
        <v>1.1637145336884185</v>
      </c>
      <c r="AS892">
        <v>4.3880193600639705</v>
      </c>
      <c r="AT892" t="e">
        <v>#DIV/0!</v>
      </c>
      <c r="AU892" t="e">
        <v>#DIV/0!</v>
      </c>
      <c r="AV892"/>
      <c r="AW892"/>
      <c r="FY892" s="211">
        <v>887</v>
      </c>
      <c r="FZ892">
        <v>0.30704467772694088</v>
      </c>
      <c r="GA892">
        <v>0.94372056855945075</v>
      </c>
      <c r="GB892">
        <v>0.61716815525080548</v>
      </c>
      <c r="GC892">
        <v>0.38493603694122808</v>
      </c>
      <c r="GD892">
        <v>0.25211388171583926</v>
      </c>
      <c r="GE892">
        <v>0.17729508622005</v>
      </c>
      <c r="GF892">
        <v>0.57499774394694703</v>
      </c>
      <c r="GG892">
        <v>0.4281665527876255</v>
      </c>
      <c r="GH892">
        <v>0</v>
      </c>
      <c r="GI892">
        <v>0.4423955042973049</v>
      </c>
      <c r="GJ892"/>
      <c r="GK892">
        <v>0.30593437499999998</v>
      </c>
      <c r="GL892">
        <v>0.79465312499999996</v>
      </c>
      <c r="GM892">
        <v>1.0125078125</v>
      </c>
      <c r="GN892">
        <v>1.1277399553571428</v>
      </c>
      <c r="GO892">
        <v>0.95870089285714277</v>
      </c>
      <c r="GP892">
        <v>0.33290625000000001</v>
      </c>
      <c r="GQ892">
        <v>0.69359510869565222</v>
      </c>
      <c r="GR892">
        <v>0.59590760869565207</v>
      </c>
      <c r="GS892">
        <v>0</v>
      </c>
      <c r="GT892">
        <v>0.5941476378105589</v>
      </c>
      <c r="GU892"/>
      <c r="GV892"/>
      <c r="GW892"/>
      <c r="GX892"/>
      <c r="GY892"/>
      <c r="GZ892"/>
      <c r="HA892"/>
      <c r="HB892"/>
      <c r="HC892"/>
    </row>
    <row r="893" spans="1:211" s="7" customFormat="1">
      <c r="A893" s="4"/>
      <c r="B893" s="4"/>
      <c r="C893" s="4"/>
      <c r="D893" s="4"/>
      <c r="E893" s="4"/>
      <c r="F893" s="28"/>
      <c r="G893" s="28"/>
      <c r="H893" s="83"/>
      <c r="I893" s="4"/>
      <c r="J893" s="4"/>
      <c r="K893" s="4"/>
      <c r="L893" s="4"/>
      <c r="M893" s="4"/>
      <c r="N893" s="28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81"/>
      <c r="AG893" s="81"/>
      <c r="AH893" s="81"/>
      <c r="AI893" s="4"/>
      <c r="AJ893" s="81"/>
      <c r="AK893" s="81"/>
      <c r="AL893" s="81"/>
      <c r="AM893" s="43">
        <v>877</v>
      </c>
      <c r="AN893">
        <v>32.838620495346035</v>
      </c>
      <c r="AO893">
        <v>0.61237318415800668</v>
      </c>
      <c r="AP893">
        <v>8.4929784341279699</v>
      </c>
      <c r="AQ893">
        <v>3.9850424765917651</v>
      </c>
      <c r="AR893">
        <v>0.58285291654224392</v>
      </c>
      <c r="AS893">
        <v>3.0057431868663937</v>
      </c>
      <c r="AT893" t="e">
        <v>#DIV/0!</v>
      </c>
      <c r="AU893" t="e">
        <v>#DIV/0!</v>
      </c>
      <c r="AV893"/>
      <c r="AW893"/>
      <c r="FY893" s="211">
        <v>888</v>
      </c>
      <c r="FZ893">
        <v>0.81931914854746024</v>
      </c>
      <c r="GA893">
        <v>1.4106344994197968</v>
      </c>
      <c r="GB893">
        <v>0.22640143567430041</v>
      </c>
      <c r="GC893">
        <v>0.26686762140270753</v>
      </c>
      <c r="GD893">
        <v>0.26829064139413494</v>
      </c>
      <c r="GE893">
        <v>0.12713670883619999</v>
      </c>
      <c r="GF893">
        <v>1.162154786388647</v>
      </c>
      <c r="GG893">
        <v>1.1589965863826734</v>
      </c>
      <c r="GH893">
        <v>0.22255459596614241</v>
      </c>
      <c r="GI893">
        <v>0.57267319686885276</v>
      </c>
      <c r="GJ893"/>
      <c r="GK893">
        <v>0.81617812499999998</v>
      </c>
      <c r="GL893">
        <v>1.18781484375</v>
      </c>
      <c r="GM893">
        <v>0.37163671875000004</v>
      </c>
      <c r="GN893">
        <v>0.78166875000000013</v>
      </c>
      <c r="GO893">
        <v>1.0205437500000001</v>
      </c>
      <c r="GP893">
        <v>0.23887499999999998</v>
      </c>
      <c r="GQ893">
        <v>1.4014728260869562</v>
      </c>
      <c r="GR893">
        <v>1.6125665760869563</v>
      </c>
      <c r="GS893">
        <v>0.23538762019230769</v>
      </c>
      <c r="GT893">
        <v>0.76904380800585292</v>
      </c>
      <c r="GU893"/>
      <c r="GV893"/>
      <c r="GW893"/>
      <c r="GX893"/>
      <c r="GY893"/>
      <c r="GZ893"/>
      <c r="HA893"/>
      <c r="HB893"/>
      <c r="HC893"/>
    </row>
    <row r="894" spans="1:211" s="7" customFormat="1">
      <c r="A894" s="4"/>
      <c r="B894" s="4"/>
      <c r="C894" s="4"/>
      <c r="D894" s="4"/>
      <c r="E894" s="4"/>
      <c r="F894" s="28"/>
      <c r="G894" s="28"/>
      <c r="H894" s="83"/>
      <c r="I894" s="4"/>
      <c r="J894" s="4"/>
      <c r="K894" s="4"/>
      <c r="L894" s="4"/>
      <c r="M894" s="4"/>
      <c r="N894" s="28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81"/>
      <c r="AG894" s="81"/>
      <c r="AH894" s="81"/>
      <c r="AI894" s="4"/>
      <c r="AJ894" s="81"/>
      <c r="AK894" s="81"/>
      <c r="AL894" s="81"/>
      <c r="AM894" s="43">
        <v>878</v>
      </c>
      <c r="AN894">
        <v>26.240745117491439</v>
      </c>
      <c r="AO894">
        <v>0.7715690956320026</v>
      </c>
      <c r="AP894">
        <v>2.4781577062893252</v>
      </c>
      <c r="AQ894">
        <v>5.4675659424504959</v>
      </c>
      <c r="AR894">
        <v>0.72315940512000254</v>
      </c>
      <c r="AS894">
        <v>2.7807595835615833</v>
      </c>
      <c r="AT894" t="e">
        <v>#DIV/0!</v>
      </c>
      <c r="AU894" t="e">
        <v>#DIV/0!</v>
      </c>
      <c r="AV894"/>
      <c r="AW894"/>
      <c r="FY894" s="211">
        <v>889</v>
      </c>
      <c r="FZ894">
        <v>0.2852461232139909</v>
      </c>
      <c r="GA894">
        <v>0.55465954895390235</v>
      </c>
      <c r="GB894">
        <v>0.65035756721774518</v>
      </c>
      <c r="GC894">
        <v>0.39560099180731201</v>
      </c>
      <c r="GD894">
        <v>0.10209989221727783</v>
      </c>
      <c r="GE894">
        <v>6.4558109077649986E-2</v>
      </c>
      <c r="GF894">
        <v>0.20038102790324064</v>
      </c>
      <c r="GG894">
        <v>0.18920630708545313</v>
      </c>
      <c r="GH894">
        <v>6.6522953376906252E-2</v>
      </c>
      <c r="GI894">
        <v>0.30554570314427043</v>
      </c>
      <c r="GJ894"/>
      <c r="GK894">
        <v>0.28418437499999999</v>
      </c>
      <c r="GL894">
        <v>0.46694999999999998</v>
      </c>
      <c r="GM894">
        <v>1.0677798295454544</v>
      </c>
      <c r="GN894">
        <v>1.161035633116883</v>
      </c>
      <c r="GO894">
        <v>0.38824017857142851</v>
      </c>
      <c r="GP894">
        <v>0.12121874999999999</v>
      </c>
      <c r="GQ894">
        <v>0.24196875000000001</v>
      </c>
      <c r="GR894">
        <v>0.26348958333333333</v>
      </c>
      <c r="GS894">
        <v>7.0364583333333328E-2</v>
      </c>
      <c r="GT894">
        <v>0.41050754329004324</v>
      </c>
      <c r="GU894"/>
      <c r="GV894"/>
      <c r="GW894"/>
      <c r="GX894"/>
      <c r="GY894"/>
      <c r="GZ894"/>
      <c r="HA894"/>
      <c r="HB894"/>
      <c r="HC894"/>
    </row>
    <row r="895" spans="1:211" s="7" customFormat="1">
      <c r="A895" s="4"/>
      <c r="B895" s="4"/>
      <c r="C895" s="4"/>
      <c r="D895" s="4"/>
      <c r="E895" s="4"/>
      <c r="F895" s="28"/>
      <c r="G895" s="28"/>
      <c r="H895" s="83"/>
      <c r="I895" s="4"/>
      <c r="J895" s="4"/>
      <c r="K895" s="4"/>
      <c r="L895" s="4"/>
      <c r="M895" s="4"/>
      <c r="N895" s="28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81"/>
      <c r="AG895" s="81"/>
      <c r="AH895" s="81"/>
      <c r="AI895" s="4"/>
      <c r="AJ895" s="81"/>
      <c r="AK895" s="81"/>
      <c r="AL895" s="81"/>
      <c r="AM895" s="43">
        <v>879</v>
      </c>
      <c r="AN895">
        <v>37.517404841209988</v>
      </c>
      <c r="AO895">
        <v>1.0227083741280167</v>
      </c>
      <c r="AP895">
        <v>2.3555777619968472</v>
      </c>
      <c r="AQ895">
        <v>7.6043435359808322</v>
      </c>
      <c r="AR895">
        <v>0.96312922560588921</v>
      </c>
      <c r="AS895">
        <v>3.4232446016395888</v>
      </c>
      <c r="AT895" t="e">
        <v>#DIV/0!</v>
      </c>
      <c r="AU895" t="e">
        <v>#DIV/0!</v>
      </c>
      <c r="AV895"/>
      <c r="AW895"/>
      <c r="FY895" s="211">
        <v>890</v>
      </c>
      <c r="FZ895">
        <v>1.0754132122195987</v>
      </c>
      <c r="GA895">
        <v>1.5609935786640607</v>
      </c>
      <c r="GB895">
        <v>1.1250413959195935</v>
      </c>
      <c r="GC895">
        <v>0.55806290147359017</v>
      </c>
      <c r="GD895">
        <v>0.12828438271392428</v>
      </c>
      <c r="GE895">
        <v>0.11942651581672502</v>
      </c>
      <c r="GF895">
        <v>1.362535814291888</v>
      </c>
      <c r="GG895">
        <v>1.2470390765918453</v>
      </c>
      <c r="GH895">
        <v>0.1330459067538125</v>
      </c>
      <c r="GI895">
        <v>0.77282586178172497</v>
      </c>
      <c r="GJ895"/>
      <c r="GK895">
        <v>1.0716375</v>
      </c>
      <c r="GL895">
        <v>1.3146023437500003</v>
      </c>
      <c r="GM895">
        <v>1.8466899857954546</v>
      </c>
      <c r="GN895">
        <v>1.6377041599025972</v>
      </c>
      <c r="GO895">
        <v>0.48843214285714281</v>
      </c>
      <c r="GP895">
        <v>0.22439062500000001</v>
      </c>
      <c r="GQ895">
        <v>1.6434415760869565</v>
      </c>
      <c r="GR895">
        <v>1.735326992753623</v>
      </c>
      <c r="GS895">
        <v>0.14072916666666666</v>
      </c>
      <c r="GT895">
        <v>1.0381860742812441</v>
      </c>
      <c r="GU895"/>
      <c r="GV895"/>
      <c r="GW895"/>
      <c r="GX895"/>
      <c r="GY895"/>
      <c r="GZ895"/>
      <c r="HA895"/>
      <c r="HB895"/>
      <c r="HC895"/>
    </row>
    <row r="896" spans="1:211" s="7" customFormat="1">
      <c r="A896" s="4"/>
      <c r="B896" s="4"/>
      <c r="C896" s="4"/>
      <c r="D896" s="4"/>
      <c r="E896" s="4"/>
      <c r="F896" s="28"/>
      <c r="G896" s="28"/>
      <c r="H896" s="83"/>
      <c r="I896" s="4"/>
      <c r="J896" s="4"/>
      <c r="K896" s="4"/>
      <c r="L896" s="4"/>
      <c r="M896" s="4"/>
      <c r="N896" s="28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81"/>
      <c r="AG896" s="81"/>
      <c r="AH896" s="81"/>
      <c r="AI896" s="4"/>
      <c r="AJ896" s="81"/>
      <c r="AK896" s="81"/>
      <c r="AL896" s="81"/>
      <c r="AM896" s="43">
        <v>880</v>
      </c>
      <c r="AN896">
        <v>46.503810391678037</v>
      </c>
      <c r="AO896">
        <v>1.2136510366165694</v>
      </c>
      <c r="AP896">
        <v>1.0798629536928872</v>
      </c>
      <c r="AQ896">
        <v>8.32195015885255</v>
      </c>
      <c r="AR896">
        <v>1.1316776797038743</v>
      </c>
      <c r="AS896">
        <v>3.870715153782442</v>
      </c>
      <c r="AT896">
        <v>0.76300181715625415</v>
      </c>
      <c r="AU896">
        <v>3.6385484462322731E-2</v>
      </c>
      <c r="AV896"/>
      <c r="AW896"/>
      <c r="FY896" s="211">
        <v>891</v>
      </c>
      <c r="FZ896">
        <v>1.3437724587122475</v>
      </c>
      <c r="GA896">
        <v>1.9214544163883975</v>
      </c>
      <c r="GB896">
        <v>0.85467817663423939</v>
      </c>
      <c r="GC896">
        <v>0.37103978162604451</v>
      </c>
      <c r="GD896">
        <v>6.6527635518671774E-2</v>
      </c>
      <c r="GE896">
        <v>5.6847916058175005E-2</v>
      </c>
      <c r="GF896">
        <v>0.41513581345513451</v>
      </c>
      <c r="GG896">
        <v>0.28954215414031298</v>
      </c>
      <c r="GH896">
        <v>2.2985735835423678E-2</v>
      </c>
      <c r="GI896">
        <v>0.52400231815207088</v>
      </c>
      <c r="GJ896"/>
      <c r="GK896">
        <v>1.3392018382352939</v>
      </c>
      <c r="GL896">
        <v>1.618354181985294</v>
      </c>
      <c r="GM896">
        <v>1.4032290482954544</v>
      </c>
      <c r="GN896">
        <v>1.0891775974025972</v>
      </c>
      <c r="GO896">
        <v>0.25305401785714288</v>
      </c>
      <c r="GP896">
        <v>0.10673437500000001</v>
      </c>
      <c r="GQ896">
        <v>0.50047010869565223</v>
      </c>
      <c r="GR896">
        <v>0.40278260869565213</v>
      </c>
      <c r="GS896">
        <v>2.4293870192307693E-2</v>
      </c>
      <c r="GT896">
        <v>0.70404977665517021</v>
      </c>
      <c r="GU896"/>
      <c r="GV896"/>
      <c r="GW896"/>
      <c r="GX896"/>
      <c r="GY896"/>
      <c r="GZ896"/>
      <c r="HA896"/>
      <c r="HB896"/>
      <c r="HC896"/>
    </row>
    <row r="897" spans="1:211" s="7" customFormat="1">
      <c r="A897" s="4"/>
      <c r="B897" s="4"/>
      <c r="C897" s="4"/>
      <c r="D897" s="4"/>
      <c r="E897" s="4"/>
      <c r="F897" s="28"/>
      <c r="G897" s="28"/>
      <c r="H897" s="83"/>
      <c r="I897" s="4"/>
      <c r="J897" s="4"/>
      <c r="K897" s="4"/>
      <c r="L897" s="4"/>
      <c r="M897" s="4"/>
      <c r="N897" s="28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81"/>
      <c r="AG897" s="81"/>
      <c r="AH897" s="81"/>
      <c r="AI897" s="4"/>
      <c r="AJ897" s="81"/>
      <c r="AK897" s="81"/>
      <c r="AL897" s="81"/>
      <c r="AM897" s="43">
        <v>881</v>
      </c>
      <c r="AN897">
        <v>44.116106349869924</v>
      </c>
      <c r="AO897">
        <v>0.99002619037416384</v>
      </c>
      <c r="AP897">
        <v>3.8706872009153668</v>
      </c>
      <c r="AQ897">
        <v>5.5702403135784007</v>
      </c>
      <c r="AR897">
        <v>0.90223234308490419</v>
      </c>
      <c r="AS897">
        <v>3.6524820738282364</v>
      </c>
      <c r="AT897" t="e">
        <v>#DIV/0!</v>
      </c>
      <c r="AU897" t="e">
        <v>#DIV/0!</v>
      </c>
      <c r="AV897"/>
      <c r="AW897"/>
      <c r="FY897" s="211">
        <v>892</v>
      </c>
      <c r="FZ897">
        <v>2.140160190994258</v>
      </c>
      <c r="GA897">
        <v>3.0033177651450074</v>
      </c>
      <c r="GB897">
        <v>1.5418552498587246</v>
      </c>
      <c r="GC897">
        <v>0.98203329242577586</v>
      </c>
      <c r="GD897">
        <v>0.26876899893338674</v>
      </c>
      <c r="GE897">
        <v>0.15128007159419998</v>
      </c>
      <c r="GF897">
        <v>0.37461671604370633</v>
      </c>
      <c r="GG897">
        <v>0.28954215414031298</v>
      </c>
      <c r="GH897">
        <v>9.1942943341694713E-2</v>
      </c>
      <c r="GI897">
        <v>0.92814280377739766</v>
      </c>
      <c r="GJ897"/>
      <c r="GK897">
        <v>2.133052389705882</v>
      </c>
      <c r="GL897">
        <v>2.5299078584558821</v>
      </c>
      <c r="GM897">
        <v>2.531297940340909</v>
      </c>
      <c r="GN897">
        <v>2.8813902394480517</v>
      </c>
      <c r="GO897">
        <v>1.0220102678571426</v>
      </c>
      <c r="GP897">
        <v>0.2840625</v>
      </c>
      <c r="GQ897">
        <v>0.45162635869565215</v>
      </c>
      <c r="GR897">
        <v>0.40278260869565213</v>
      </c>
      <c r="GS897">
        <v>9.7175480769230771E-2</v>
      </c>
      <c r="GT897">
        <v>1.2470324874737635</v>
      </c>
      <c r="GU897"/>
      <c r="GV897"/>
      <c r="GW897"/>
      <c r="GX897"/>
      <c r="GY897"/>
      <c r="GZ897"/>
      <c r="HA897"/>
      <c r="HB897"/>
      <c r="HC897"/>
    </row>
    <row r="898" spans="1:211" s="7" customFormat="1">
      <c r="A898" s="4"/>
      <c r="B898" s="4"/>
      <c r="C898" s="4"/>
      <c r="D898" s="4"/>
      <c r="E898" s="4"/>
      <c r="F898" s="28"/>
      <c r="G898" s="28"/>
      <c r="H898" s="83"/>
      <c r="I898" s="4"/>
      <c r="J898" s="4"/>
      <c r="K898" s="4"/>
      <c r="L898" s="4"/>
      <c r="M898" s="4"/>
      <c r="N898" s="28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81"/>
      <c r="AG898" s="81"/>
      <c r="AH898" s="81"/>
      <c r="AI898" s="4"/>
      <c r="AJ898" s="81"/>
      <c r="AK898" s="81"/>
      <c r="AL898" s="81"/>
      <c r="AM898" s="43">
        <v>882</v>
      </c>
      <c r="AN898">
        <v>36.086541005291011</v>
      </c>
      <c r="AO898">
        <v>0.69829009226190486</v>
      </c>
      <c r="AP898">
        <v>0.43862835950643225</v>
      </c>
      <c r="AQ898">
        <v>4.6651062205151366</v>
      </c>
      <c r="AR898">
        <v>0.65291997023809523</v>
      </c>
      <c r="AS898">
        <v>3.1192454448106792</v>
      </c>
      <c r="AT898" t="e">
        <v>#DIV/0!</v>
      </c>
      <c r="AU898" t="e">
        <v>#DIV/0!</v>
      </c>
      <c r="AV898"/>
      <c r="AW898"/>
      <c r="FY898" s="211">
        <v>893</v>
      </c>
      <c r="FZ898">
        <v>0.77029216530918165</v>
      </c>
      <c r="GA898">
        <v>1.3919399988162322</v>
      </c>
      <c r="GB898">
        <v>1.012821217359539</v>
      </c>
      <c r="GC898">
        <v>0.6298816791452726</v>
      </c>
      <c r="GD898">
        <v>0.27970142037821999</v>
      </c>
      <c r="GE898">
        <v>0.19356646978169997</v>
      </c>
      <c r="GF898">
        <v>0.36024295839505316</v>
      </c>
      <c r="GG898">
        <v>0.27724879729462504</v>
      </c>
      <c r="GH898">
        <v>0</v>
      </c>
      <c r="GI898">
        <v>0.58493013193887911</v>
      </c>
      <c r="GJ898"/>
      <c r="GK898">
        <v>0.76749374999999986</v>
      </c>
      <c r="GL898">
        <v>1.1719078125</v>
      </c>
      <c r="GM898">
        <v>1.6624360795454545</v>
      </c>
      <c r="GN898">
        <v>1.8477657670454541</v>
      </c>
      <c r="GO898">
        <v>1.064025</v>
      </c>
      <c r="GP898">
        <v>0.36374999999999996</v>
      </c>
      <c r="GQ898">
        <v>0.43509375</v>
      </c>
      <c r="GR898">
        <v>0.38624999999999998</v>
      </c>
      <c r="GS898">
        <v>0</v>
      </c>
      <c r="GT898">
        <v>0.78580971590909088</v>
      </c>
      <c r="GU898"/>
      <c r="GV898"/>
      <c r="GW898"/>
      <c r="GX898"/>
      <c r="GY898"/>
      <c r="GZ898"/>
      <c r="HA898"/>
      <c r="HB898"/>
      <c r="HC898"/>
    </row>
    <row r="899" spans="1:211" s="7" customFormat="1">
      <c r="A899" s="4"/>
      <c r="B899" s="4"/>
      <c r="C899" s="4"/>
      <c r="D899" s="4"/>
      <c r="E899" s="4"/>
      <c r="F899" s="28"/>
      <c r="G899" s="28"/>
      <c r="H899" s="83"/>
      <c r="I899" s="4"/>
      <c r="J899" s="4"/>
      <c r="K899" s="4"/>
      <c r="L899" s="4"/>
      <c r="M899" s="4"/>
      <c r="N899" s="28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81"/>
      <c r="AG899" s="81"/>
      <c r="AH899" s="81"/>
      <c r="AI899" s="4"/>
      <c r="AJ899" s="81"/>
      <c r="AK899" s="81"/>
      <c r="AL899" s="81"/>
      <c r="AM899" s="43">
        <v>883</v>
      </c>
      <c r="AN899">
        <v>31.583090835972065</v>
      </c>
      <c r="AO899">
        <v>0.6676667437031879</v>
      </c>
      <c r="AP899">
        <v>10.540516797296696</v>
      </c>
      <c r="AQ899">
        <v>5.9817143273456468</v>
      </c>
      <c r="AR899">
        <v>0.61059192609380697</v>
      </c>
      <c r="AS899">
        <v>2.5832052102918643</v>
      </c>
      <c r="AT899" t="e">
        <v>#DIV/0!</v>
      </c>
      <c r="AU899" t="e">
        <v>#DIV/0!</v>
      </c>
      <c r="AV899"/>
      <c r="AW899"/>
      <c r="FY899" s="211">
        <v>894</v>
      </c>
      <c r="FZ899">
        <v>0.45233381974639231</v>
      </c>
      <c r="GA899">
        <v>0.91620753939082378</v>
      </c>
      <c r="GB899">
        <v>0.39856299062568401</v>
      </c>
      <c r="GC899">
        <v>0.3174713923969481</v>
      </c>
      <c r="GD899">
        <v>0.26308508696349753</v>
      </c>
      <c r="GE899">
        <v>0.22439937121402501</v>
      </c>
      <c r="GF899">
        <v>0.57499774394694703</v>
      </c>
      <c r="GG899">
        <v>0.47874846122576609</v>
      </c>
      <c r="GH899">
        <v>8.9508689212329934E-2</v>
      </c>
      <c r="GI899">
        <v>0.43089526454638549</v>
      </c>
      <c r="GJ899"/>
      <c r="GK899">
        <v>0.4507968750000001</v>
      </c>
      <c r="GL899">
        <v>0.7716210937500001</v>
      </c>
      <c r="GM899">
        <v>0.65398828124999997</v>
      </c>
      <c r="GN899">
        <v>0.93014531249999988</v>
      </c>
      <c r="GO899">
        <v>1.000621875</v>
      </c>
      <c r="GP899">
        <v>0.42164062499999999</v>
      </c>
      <c r="GQ899">
        <v>0.69359510869565222</v>
      </c>
      <c r="GR899">
        <v>0.66627219202898535</v>
      </c>
      <c r="GS899">
        <v>9.465845352564102E-2</v>
      </c>
      <c r="GT899">
        <v>0.57873211869425856</v>
      </c>
      <c r="GU899"/>
      <c r="GV899"/>
      <c r="GW899"/>
      <c r="GX899"/>
      <c r="GY899"/>
      <c r="GZ899"/>
      <c r="HA899"/>
      <c r="HB899"/>
      <c r="HC899"/>
    </row>
    <row r="900" spans="1:211" s="7" customFormat="1">
      <c r="A900" s="4"/>
      <c r="B900" s="4"/>
      <c r="C900" s="4"/>
      <c r="D900" s="4"/>
      <c r="E900" s="4"/>
      <c r="F900" s="28"/>
      <c r="G900" s="28"/>
      <c r="H900" s="83"/>
      <c r="I900" s="4"/>
      <c r="J900" s="4"/>
      <c r="K900" s="4"/>
      <c r="L900" s="4"/>
      <c r="M900" s="4"/>
      <c r="N900" s="28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81"/>
      <c r="AG900" s="81"/>
      <c r="AH900" s="81"/>
      <c r="AI900" s="4"/>
      <c r="AJ900" s="81"/>
      <c r="AK900" s="81"/>
      <c r="AL900" s="81"/>
      <c r="AM900" s="43">
        <v>884</v>
      </c>
      <c r="AN900">
        <v>71.729559593486229</v>
      </c>
      <c r="AO900">
        <v>1.6206712482157788</v>
      </c>
      <c r="AP900">
        <v>2.1850583259473786</v>
      </c>
      <c r="AQ900">
        <v>9.1410852035067389</v>
      </c>
      <c r="AR900">
        <v>1.4864125093045542</v>
      </c>
      <c r="AS900">
        <v>6.1831040423726256</v>
      </c>
      <c r="AT900" t="e">
        <v>#DIV/0!</v>
      </c>
      <c r="AU900" t="e">
        <v>#DIV/0!</v>
      </c>
      <c r="AV900"/>
      <c r="AW900"/>
      <c r="FY900" s="211">
        <v>895</v>
      </c>
      <c r="FZ900">
        <v>0.95189384355434992</v>
      </c>
      <c r="GA900">
        <v>0.85167472398434874</v>
      </c>
      <c r="GB900">
        <v>1.0440964952180332</v>
      </c>
      <c r="GC900">
        <v>0.74137014524219458</v>
      </c>
      <c r="GD900">
        <v>0.24259656379544681</v>
      </c>
      <c r="GE900">
        <v>9.341150119087499E-2</v>
      </c>
      <c r="GF900">
        <v>0.6538214796159032</v>
      </c>
      <c r="GG900">
        <v>0.56679095143493796</v>
      </c>
      <c r="GH900">
        <v>2.2985735835423678E-2</v>
      </c>
      <c r="GI900">
        <v>0.65480193719970425</v>
      </c>
      <c r="GJ900"/>
      <c r="GK900">
        <v>0.94874999999999987</v>
      </c>
      <c r="GL900">
        <v>0.71724609375000004</v>
      </c>
      <c r="GM900">
        <v>1.7139790482954544</v>
      </c>
      <c r="GN900">
        <v>2.1744900974025976</v>
      </c>
      <c r="GO900">
        <v>0.92252276785714304</v>
      </c>
      <c r="GP900">
        <v>0.17554687499999999</v>
      </c>
      <c r="GQ900">
        <v>0.78903260869565206</v>
      </c>
      <c r="GR900">
        <v>0.78903260869565206</v>
      </c>
      <c r="GS900">
        <v>2.4293870192307693E-2</v>
      </c>
      <c r="GT900">
        <v>0.87971565900811144</v>
      </c>
      <c r="GU900"/>
      <c r="GV900"/>
      <c r="GW900"/>
      <c r="GX900"/>
      <c r="GY900"/>
      <c r="GZ900"/>
      <c r="HA900"/>
      <c r="HB900"/>
      <c r="HC900"/>
    </row>
    <row r="901" spans="1:211" s="7" customFormat="1">
      <c r="A901" s="4"/>
      <c r="B901" s="4"/>
      <c r="C901" s="4"/>
      <c r="D901" s="4"/>
      <c r="E901" s="4"/>
      <c r="F901" s="28"/>
      <c r="G901" s="28"/>
      <c r="H901" s="83"/>
      <c r="I901" s="4"/>
      <c r="J901" s="4"/>
      <c r="K901" s="4"/>
      <c r="L901" s="4"/>
      <c r="M901" s="4"/>
      <c r="N901" s="28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81"/>
      <c r="AG901" s="81"/>
      <c r="AH901" s="81"/>
      <c r="AI901" s="4"/>
      <c r="AJ901" s="81"/>
      <c r="AK901" s="81"/>
      <c r="AL901" s="81"/>
      <c r="AM901" s="43">
        <v>885</v>
      </c>
      <c r="AN901">
        <v>52.670143088357598</v>
      </c>
      <c r="AO901">
        <v>1.4325056173452242</v>
      </c>
      <c r="AP901">
        <v>2.4215840952506364</v>
      </c>
      <c r="AQ901">
        <v>10.698154313575658</v>
      </c>
      <c r="AR901">
        <v>1.3370857994222314</v>
      </c>
      <c r="AS901">
        <v>5.0552061428660267</v>
      </c>
      <c r="AT901">
        <v>0.85469172441958818</v>
      </c>
      <c r="AU901">
        <v>0.31395796334502213</v>
      </c>
      <c r="AV901"/>
      <c r="AW901"/>
      <c r="FY901" s="211">
        <v>896</v>
      </c>
      <c r="FZ901">
        <v>2.1207081487610306</v>
      </c>
      <c r="GA901">
        <v>2.7912346459384172</v>
      </c>
      <c r="GB901">
        <v>0.98124953337110732</v>
      </c>
      <c r="GC901">
        <v>0.68884213259684635</v>
      </c>
      <c r="GD901">
        <v>0.31572019426098852</v>
      </c>
      <c r="GE901">
        <v>0.21470966887544998</v>
      </c>
      <c r="GF901">
        <v>0.36024295839505316</v>
      </c>
      <c r="GG901">
        <v>0.37841261417090627</v>
      </c>
      <c r="GH901">
        <v>0.17901737842465987</v>
      </c>
      <c r="GI901">
        <v>0.82613768929475206</v>
      </c>
      <c r="GJ901"/>
      <c r="GK901">
        <v>2.1134849264705879</v>
      </c>
      <c r="GL901">
        <v>2.3509653952205878</v>
      </c>
      <c r="GM901">
        <v>1.6107368607954544</v>
      </c>
      <c r="GN901">
        <v>2.02032692775974</v>
      </c>
      <c r="GO901">
        <v>1.2010392857142855</v>
      </c>
      <c r="GP901">
        <v>0.40359374999999997</v>
      </c>
      <c r="GQ901">
        <v>0.43509375</v>
      </c>
      <c r="GR901">
        <v>0.52697916666666667</v>
      </c>
      <c r="GS901">
        <v>0.18931690705128204</v>
      </c>
      <c r="GT901">
        <v>1.109934346006322</v>
      </c>
      <c r="GU901"/>
      <c r="GV901"/>
      <c r="GW901"/>
      <c r="GX901"/>
      <c r="GY901"/>
      <c r="GZ901"/>
      <c r="HA901"/>
      <c r="HB901"/>
      <c r="HC901"/>
    </row>
    <row r="902" spans="1:211" s="7" customFormat="1">
      <c r="A902" s="4"/>
      <c r="B902" s="4"/>
      <c r="C902" s="4"/>
      <c r="D902" s="4"/>
      <c r="E902" s="4"/>
      <c r="F902" s="28"/>
      <c r="G902" s="28"/>
      <c r="H902" s="83"/>
      <c r="I902" s="4"/>
      <c r="J902" s="4"/>
      <c r="K902" s="4"/>
      <c r="L902" s="4"/>
      <c r="M902" s="4"/>
      <c r="N902" s="28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81"/>
      <c r="AG902" s="81"/>
      <c r="AH902" s="81"/>
      <c r="AI902" s="4"/>
      <c r="AJ902" s="81"/>
      <c r="AK902" s="81"/>
      <c r="AL902" s="81"/>
      <c r="AM902" s="43">
        <v>886</v>
      </c>
      <c r="AN902">
        <v>40.087830024243068</v>
      </c>
      <c r="AO902">
        <v>0.965113780598025</v>
      </c>
      <c r="AP902">
        <v>10.830781085113465</v>
      </c>
      <c r="AQ902">
        <v>6.6235770348848</v>
      </c>
      <c r="AR902">
        <v>0.87958469783386883</v>
      </c>
      <c r="AS902">
        <v>3.2535492038201825</v>
      </c>
      <c r="AT902" t="e">
        <v>#DIV/0!</v>
      </c>
      <c r="AU902" t="e">
        <v>#DIV/0!</v>
      </c>
      <c r="AV902"/>
      <c r="AW902"/>
      <c r="FY902" s="211">
        <v>897</v>
      </c>
      <c r="FZ902">
        <v>0.64135793524918205</v>
      </c>
      <c r="GA902">
        <v>1.3951647295040466</v>
      </c>
      <c r="GB902">
        <v>0.82196691079139994</v>
      </c>
      <c r="GC902">
        <v>0.76687343131593733</v>
      </c>
      <c r="GD902">
        <v>0.44268760280989283</v>
      </c>
      <c r="GE902">
        <v>0.14249529550395001</v>
      </c>
      <c r="GF902">
        <v>8.1038194822856249E-2</v>
      </c>
      <c r="GG902">
        <v>0.10116381687628125</v>
      </c>
      <c r="GH902">
        <v>0.15603164258923619</v>
      </c>
      <c r="GI902">
        <v>0.58585864510819674</v>
      </c>
      <c r="GJ902"/>
      <c r="GK902">
        <v>0.63889687499999992</v>
      </c>
      <c r="GL902">
        <v>1.1747718750000002</v>
      </c>
      <c r="GM902">
        <v>1.3486875</v>
      </c>
      <c r="GN902">
        <v>2.2468526785714285</v>
      </c>
      <c r="GO902">
        <v>1.6838839285714284</v>
      </c>
      <c r="GP902">
        <v>0.26784374999999999</v>
      </c>
      <c r="GQ902">
        <v>9.768750000000001E-2</v>
      </c>
      <c r="GR902">
        <v>0.14072916666666666</v>
      </c>
      <c r="GS902">
        <v>0.16502303685897435</v>
      </c>
      <c r="GT902">
        <v>0.78683576808608047</v>
      </c>
      <c r="GU902"/>
      <c r="GV902"/>
      <c r="GW902"/>
      <c r="GX902"/>
      <c r="GY902"/>
      <c r="GZ902"/>
      <c r="HA902"/>
      <c r="HB902"/>
      <c r="HC902"/>
    </row>
    <row r="903" spans="1:211" s="7" customFormat="1">
      <c r="A903" s="4"/>
      <c r="B903" s="4"/>
      <c r="C903" s="4"/>
      <c r="D903" s="4"/>
      <c r="E903" s="4"/>
      <c r="F903" s="28"/>
      <c r="G903" s="28"/>
      <c r="H903" s="83"/>
      <c r="I903" s="4"/>
      <c r="J903" s="4"/>
      <c r="K903" s="4"/>
      <c r="L903" s="4"/>
      <c r="M903" s="4"/>
      <c r="N903" s="28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81"/>
      <c r="AG903" s="81"/>
      <c r="AH903" s="81"/>
      <c r="AI903" s="4"/>
      <c r="AJ903" s="81"/>
      <c r="AK903" s="81"/>
      <c r="AL903" s="81"/>
      <c r="AM903" s="43">
        <v>887</v>
      </c>
      <c r="AN903">
        <v>32.090883799171841</v>
      </c>
      <c r="AO903">
        <v>0.64160927659161482</v>
      </c>
      <c r="AP903">
        <v>0.33954335001491609</v>
      </c>
      <c r="AQ903">
        <v>4.1278382074461915</v>
      </c>
      <c r="AR903">
        <v>0.59414763781055902</v>
      </c>
      <c r="AS903">
        <v>2.7661973068353438</v>
      </c>
      <c r="AT903" t="e">
        <v>#DIV/0!</v>
      </c>
      <c r="AU903" t="e">
        <v>#DIV/0!</v>
      </c>
      <c r="AV903"/>
      <c r="AW903"/>
      <c r="FY903" s="211">
        <v>898</v>
      </c>
      <c r="FZ903">
        <v>0.56865131618129716</v>
      </c>
      <c r="GA903">
        <v>0.47721566247723368</v>
      </c>
      <c r="GB903">
        <v>0.78707377513010379</v>
      </c>
      <c r="GC903">
        <v>0.70127168836799503</v>
      </c>
      <c r="GD903">
        <v>0.33797711640743033</v>
      </c>
      <c r="GE903">
        <v>0.17424099383017502</v>
      </c>
      <c r="GF903">
        <v>0</v>
      </c>
      <c r="GG903">
        <v>5.0581908438140623E-2</v>
      </c>
      <c r="GH903">
        <v>8.9508689212329934E-2</v>
      </c>
      <c r="GI903">
        <v>0.48226626736348771</v>
      </c>
      <c r="GJ903"/>
      <c r="GK903">
        <v>0.56674687499999998</v>
      </c>
      <c r="GL903">
        <v>0.40188749999999995</v>
      </c>
      <c r="GM903">
        <v>1.2923813920454543</v>
      </c>
      <c r="GN903">
        <v>2.056905945616883</v>
      </c>
      <c r="GO903">
        <v>1.2858683035714287</v>
      </c>
      <c r="GP903">
        <v>0.32760937500000004</v>
      </c>
      <c r="GQ903">
        <v>0</v>
      </c>
      <c r="GR903">
        <v>7.0364583333333328E-2</v>
      </c>
      <c r="GS903">
        <v>9.465845352564102E-2</v>
      </c>
      <c r="GT903">
        <v>0.64793100482850474</v>
      </c>
      <c r="GU903"/>
      <c r="GV903"/>
      <c r="GW903"/>
      <c r="GX903"/>
      <c r="GY903"/>
      <c r="GZ903"/>
      <c r="HA903"/>
      <c r="HB903"/>
      <c r="HC903"/>
    </row>
    <row r="904" spans="1:211" s="7" customFormat="1">
      <c r="A904" s="4"/>
      <c r="B904" s="4"/>
      <c r="C904" s="4"/>
      <c r="D904" s="4"/>
      <c r="E904" s="4"/>
      <c r="F904" s="28"/>
      <c r="G904" s="28"/>
      <c r="H904" s="83"/>
      <c r="I904" s="4"/>
      <c r="J904" s="4"/>
      <c r="K904" s="4"/>
      <c r="L904" s="4"/>
      <c r="M904" s="4"/>
      <c r="N904" s="28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81"/>
      <c r="AG904" s="81"/>
      <c r="AH904" s="81"/>
      <c r="AI904" s="4"/>
      <c r="AJ904" s="81"/>
      <c r="AK904" s="81"/>
      <c r="AL904" s="81"/>
      <c r="AM904" s="43">
        <v>888</v>
      </c>
      <c r="AN904">
        <v>44.452972291898917</v>
      </c>
      <c r="AO904">
        <v>0.8435188017872074</v>
      </c>
      <c r="AP904">
        <v>30.033567973911431</v>
      </c>
      <c r="AQ904">
        <v>6.2350292208809153</v>
      </c>
      <c r="AR904">
        <v>0.76904380800585292</v>
      </c>
      <c r="AS904">
        <v>3.9209021753389495</v>
      </c>
      <c r="AT904" t="e">
        <v>#DIV/0!</v>
      </c>
      <c r="AU904" t="e">
        <v>#DIV/0!</v>
      </c>
      <c r="AV904"/>
      <c r="AW904"/>
      <c r="FY904" s="211">
        <v>899</v>
      </c>
      <c r="FZ904">
        <v>1.2547373104137631</v>
      </c>
      <c r="GA904">
        <v>1.648997230285927</v>
      </c>
      <c r="GB904">
        <v>0.99366999814112322</v>
      </c>
      <c r="GC904">
        <v>0.85643976032999625</v>
      </c>
      <c r="GD904">
        <v>0.41107342576839745</v>
      </c>
      <c r="GE904">
        <v>0.14646218478772499</v>
      </c>
      <c r="GF904">
        <v>0.5344786465355188</v>
      </c>
      <c r="GG904">
        <v>0.47874846122576609</v>
      </c>
      <c r="GH904">
        <v>8.9508689212329934E-2</v>
      </c>
      <c r="GI904">
        <v>0.77185510908184818</v>
      </c>
      <c r="GJ904"/>
      <c r="GK904">
        <v>1.2505799632352941</v>
      </c>
      <c r="GL904">
        <v>1.3888846507352941</v>
      </c>
      <c r="GM904">
        <v>1.6310923295454542</v>
      </c>
      <c r="GN904">
        <v>2.5111751420454542</v>
      </c>
      <c r="GO904">
        <v>1.5633093749999998</v>
      </c>
      <c r="GP904">
        <v>0.27501562500000004</v>
      </c>
      <c r="GQ904">
        <v>0.64475135869565214</v>
      </c>
      <c r="GR904">
        <v>0.66627219202898535</v>
      </c>
      <c r="GS904">
        <v>9.465845352564102E-2</v>
      </c>
      <c r="GT904">
        <v>1.0368782960004084</v>
      </c>
      <c r="GU904"/>
      <c r="GV904"/>
      <c r="GW904"/>
      <c r="GX904"/>
      <c r="GY904"/>
      <c r="GZ904"/>
      <c r="HA904"/>
      <c r="HB904"/>
      <c r="HC904"/>
    </row>
    <row r="905" spans="1:211" s="7" customFormat="1">
      <c r="A905" s="4"/>
      <c r="B905" s="4"/>
      <c r="C905" s="4"/>
      <c r="D905" s="4"/>
      <c r="E905" s="4"/>
      <c r="F905" s="28"/>
      <c r="G905" s="28"/>
      <c r="H905" s="83"/>
      <c r="I905" s="4"/>
      <c r="J905" s="4"/>
      <c r="K905" s="4"/>
      <c r="L905" s="4"/>
      <c r="M905" s="4"/>
      <c r="N905" s="28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81"/>
      <c r="AG905" s="81"/>
      <c r="AH905" s="81"/>
      <c r="AI905" s="4"/>
      <c r="AJ905" s="81"/>
      <c r="AK905" s="81"/>
      <c r="AL905" s="81"/>
      <c r="AM905" s="43">
        <v>889</v>
      </c>
      <c r="AN905">
        <v>17.959854497354499</v>
      </c>
      <c r="AO905">
        <v>0.4475739226190476</v>
      </c>
      <c r="AP905">
        <v>0.8131093076115854</v>
      </c>
      <c r="AQ905">
        <v>2.8141782239977489</v>
      </c>
      <c r="AR905">
        <v>0.41050754329004335</v>
      </c>
      <c r="AS905">
        <v>1.490343680543071</v>
      </c>
      <c r="AT905" t="e">
        <v>#DIV/0!</v>
      </c>
      <c r="AU905" t="e">
        <v>#DIV/0!</v>
      </c>
      <c r="AV905"/>
      <c r="AW905"/>
      <c r="FY905" s="211">
        <v>900</v>
      </c>
      <c r="FZ905">
        <v>1.7283952822287101</v>
      </c>
      <c r="GA905">
        <v>2.5635606229228944</v>
      </c>
      <c r="GB905">
        <v>0.66708614105622066</v>
      </c>
      <c r="GC905">
        <v>0.65744942882560375</v>
      </c>
      <c r="GD905">
        <v>0.40206064154058008</v>
      </c>
      <c r="GE905">
        <v>0.21668917819454994</v>
      </c>
      <c r="GF905">
        <v>1.2837120786229317</v>
      </c>
      <c r="GG905">
        <v>1.0578327695063923</v>
      </c>
      <c r="GH905">
        <v>8.9508689212329934E-2</v>
      </c>
      <c r="GI905">
        <v>0.89174266771144617</v>
      </c>
      <c r="GJ905"/>
      <c r="GK905">
        <v>1.7223224264705883</v>
      </c>
      <c r="GL905">
        <v>2.1590216452205881</v>
      </c>
      <c r="GM905">
        <v>1.09443359375</v>
      </c>
      <c r="GN905">
        <v>1.926021875</v>
      </c>
      <c r="GO905">
        <v>1.5289125000000001</v>
      </c>
      <c r="GP905">
        <v>0.40715624999999994</v>
      </c>
      <c r="GQ905">
        <v>1.5480040760869564</v>
      </c>
      <c r="GR905">
        <v>1.47183740942029</v>
      </c>
      <c r="GS905">
        <v>9.465845352564102E-2</v>
      </c>
      <c r="GT905">
        <v>1.1976662099666371</v>
      </c>
      <c r="GU905"/>
      <c r="GV905"/>
      <c r="GW905"/>
      <c r="GX905"/>
      <c r="GY905"/>
      <c r="GZ905"/>
      <c r="HA905"/>
      <c r="HB905"/>
      <c r="HC905"/>
    </row>
    <row r="906" spans="1:211" s="7" customFormat="1">
      <c r="A906" s="4"/>
      <c r="B906" s="4"/>
      <c r="C906" s="4"/>
      <c r="D906" s="4"/>
      <c r="E906" s="4"/>
      <c r="F906" s="28"/>
      <c r="G906" s="28"/>
      <c r="H906" s="83"/>
      <c r="I906" s="4"/>
      <c r="J906" s="4"/>
      <c r="K906" s="4"/>
      <c r="L906" s="4"/>
      <c r="M906" s="4"/>
      <c r="N906" s="28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81"/>
      <c r="AG906" s="81"/>
      <c r="AH906" s="81"/>
      <c r="AI906" s="4"/>
      <c r="AJ906" s="81"/>
      <c r="AK906" s="81"/>
      <c r="AL906" s="81"/>
      <c r="AM906" s="43">
        <v>890</v>
      </c>
      <c r="AN906">
        <v>49.106918923970554</v>
      </c>
      <c r="AO906">
        <v>1.1141140567093684</v>
      </c>
      <c r="AP906">
        <v>0.86715532115143512</v>
      </c>
      <c r="AQ906">
        <v>8.0826686462267627</v>
      </c>
      <c r="AR906">
        <v>1.0381860742812439</v>
      </c>
      <c r="AS906">
        <v>3.9991241098904622</v>
      </c>
      <c r="AT906" t="e">
        <v>#DIV/0!</v>
      </c>
      <c r="AU906" t="e">
        <v>#DIV/0!</v>
      </c>
      <c r="AV906"/>
      <c r="AW906"/>
      <c r="FY906" s="211">
        <v>901</v>
      </c>
      <c r="FZ906">
        <v>0.46506203510007382</v>
      </c>
      <c r="GA906">
        <v>1.0866338710787049</v>
      </c>
      <c r="GB906">
        <v>0.39413821491920398</v>
      </c>
      <c r="GC906">
        <v>0.49150508468427501</v>
      </c>
      <c r="GD906">
        <v>0.38099638804641428</v>
      </c>
      <c r="GE906">
        <v>7.1247647751975007E-2</v>
      </c>
      <c r="GF906">
        <v>4.0519097411428125E-2</v>
      </c>
      <c r="GG906">
        <v>0.10116381687628125</v>
      </c>
      <c r="GH906">
        <v>0.15603164258923619</v>
      </c>
      <c r="GI906">
        <v>0.41295023877103054</v>
      </c>
      <c r="GJ906"/>
      <c r="GK906">
        <v>0.46338750000000001</v>
      </c>
      <c r="GL906">
        <v>0.91495781250000019</v>
      </c>
      <c r="GM906">
        <v>0.64649218750000004</v>
      </c>
      <c r="GN906">
        <v>1.4394196428571429</v>
      </c>
      <c r="GO906">
        <v>1.4491071428571429</v>
      </c>
      <c r="GP906">
        <v>0.133921875</v>
      </c>
      <c r="GQ906">
        <v>4.8843750000000005E-2</v>
      </c>
      <c r="GR906">
        <v>0.14072916666666666</v>
      </c>
      <c r="GS906">
        <v>0.16502303685897435</v>
      </c>
      <c r="GT906">
        <v>0.55457072344322356</v>
      </c>
      <c r="GU906"/>
      <c r="GV906"/>
      <c r="GW906"/>
      <c r="GX906"/>
      <c r="GY906"/>
      <c r="GZ906"/>
      <c r="HA906"/>
      <c r="HB906"/>
      <c r="HC906"/>
    </row>
    <row r="907" spans="1:211" s="7" customFormat="1">
      <c r="A907" s="4"/>
      <c r="B907" s="4"/>
      <c r="C907" s="4"/>
      <c r="D907" s="4"/>
      <c r="E907" s="4"/>
      <c r="F907" s="28"/>
      <c r="G907" s="28"/>
      <c r="H907" s="83"/>
      <c r="I907" s="4"/>
      <c r="J907" s="4"/>
      <c r="K907" s="4"/>
      <c r="L907" s="4"/>
      <c r="M907" s="4"/>
      <c r="N907" s="28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81"/>
      <c r="AG907" s="81"/>
      <c r="AH907" s="81"/>
      <c r="AI907" s="4"/>
      <c r="AJ907" s="81"/>
      <c r="AK907" s="81"/>
      <c r="AL907" s="81"/>
      <c r="AM907" s="43">
        <v>891</v>
      </c>
      <c r="AN907">
        <v>30.331848951258316</v>
      </c>
      <c r="AO907">
        <v>0.74413474230145649</v>
      </c>
      <c r="AP907">
        <v>0.94662441845017697</v>
      </c>
      <c r="AQ907">
        <v>5.8659864065207188</v>
      </c>
      <c r="AR907">
        <v>0.70404977665517032</v>
      </c>
      <c r="AS907">
        <v>2.4141171766322271</v>
      </c>
      <c r="AT907" t="e">
        <v>#DIV/0!</v>
      </c>
      <c r="AU907" t="e">
        <v>#DIV/0!</v>
      </c>
      <c r="AV907"/>
      <c r="AW907"/>
      <c r="FY907" s="211">
        <v>902</v>
      </c>
      <c r="FZ907">
        <v>0.74302358551388159</v>
      </c>
      <c r="GA907">
        <v>1.2505302434265724</v>
      </c>
      <c r="GB907">
        <v>1.1241213614921848</v>
      </c>
      <c r="GC907">
        <v>0.52995473309908891</v>
      </c>
      <c r="GD907">
        <v>0.1448302760676643</v>
      </c>
      <c r="GE907">
        <v>9.0465266252250001E-2</v>
      </c>
      <c r="GF907">
        <v>1.0022928558968347</v>
      </c>
      <c r="GG907">
        <v>0.8686264624209391</v>
      </c>
      <c r="GH907">
        <v>2.2985735835423678E-2</v>
      </c>
      <c r="GI907">
        <v>0.65061417458876969</v>
      </c>
      <c r="GJ907"/>
      <c r="GK907">
        <v>0.74046562499999991</v>
      </c>
      <c r="GL907">
        <v>1.05301640625</v>
      </c>
      <c r="GM907">
        <v>1.8451821732954545</v>
      </c>
      <c r="GN907">
        <v>1.5558010349025975</v>
      </c>
      <c r="GO907">
        <v>0.5519196428571429</v>
      </c>
      <c r="GP907">
        <v>0.17015625000000001</v>
      </c>
      <c r="GQ907">
        <v>1.2083478260869565</v>
      </c>
      <c r="GR907">
        <v>1.2083478260869565</v>
      </c>
      <c r="GS907">
        <v>2.4293870192307693E-2</v>
      </c>
      <c r="GT907">
        <v>0.87404182748637238</v>
      </c>
      <c r="GU907"/>
      <c r="GV907"/>
      <c r="GW907"/>
      <c r="GX907"/>
      <c r="GY907"/>
      <c r="GZ907"/>
      <c r="HA907"/>
      <c r="HB907"/>
      <c r="HC907"/>
    </row>
    <row r="908" spans="1:211" s="7" customFormat="1">
      <c r="A908" s="4"/>
      <c r="B908" s="4"/>
      <c r="C908" s="4"/>
      <c r="D908" s="4"/>
      <c r="E908" s="4"/>
      <c r="F908" s="28"/>
      <c r="G908" s="28"/>
      <c r="H908" s="83"/>
      <c r="I908" s="4"/>
      <c r="J908" s="4"/>
      <c r="K908" s="4"/>
      <c r="L908" s="4"/>
      <c r="M908" s="4"/>
      <c r="N908" s="28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81"/>
      <c r="AG908" s="81"/>
      <c r="AH908" s="81"/>
      <c r="AI908" s="4"/>
      <c r="AJ908" s="81"/>
      <c r="AK908" s="81"/>
      <c r="AL908" s="81"/>
      <c r="AM908" s="43">
        <v>892</v>
      </c>
      <c r="AN908">
        <v>55.853896776798798</v>
      </c>
      <c r="AO908">
        <v>1.3580338131442165</v>
      </c>
      <c r="AP908">
        <v>1.8875421874367131</v>
      </c>
      <c r="AQ908">
        <v>9.7716601862544632</v>
      </c>
      <c r="AR908">
        <v>1.2470324874737635</v>
      </c>
      <c r="AS908">
        <v>4.1160040240970419</v>
      </c>
      <c r="AT908" t="e">
        <v>#DIV/0!</v>
      </c>
      <c r="AU908" t="e">
        <v>#DIV/0!</v>
      </c>
      <c r="AV908"/>
      <c r="AW908"/>
      <c r="FY908" s="211">
        <v>903</v>
      </c>
      <c r="FZ908">
        <v>1.1766158299511271</v>
      </c>
      <c r="GA908">
        <v>1.9177116231214695</v>
      </c>
      <c r="GB908">
        <v>2.7445867177752001</v>
      </c>
      <c r="GC908">
        <v>1.5759829742552849</v>
      </c>
      <c r="GD908">
        <v>0.24254006043214926</v>
      </c>
      <c r="GE908">
        <v>9.5391010509975005E-2</v>
      </c>
      <c r="GF908">
        <v>8.1038194822856249E-2</v>
      </c>
      <c r="GG908">
        <v>0</v>
      </c>
      <c r="GH908">
        <v>4.5971471670847357E-2</v>
      </c>
      <c r="GI908">
        <v>1.0042999823175316</v>
      </c>
      <c r="GJ908"/>
      <c r="GK908">
        <v>1.172720588235294</v>
      </c>
      <c r="GL908">
        <v>1.6151502757352942</v>
      </c>
      <c r="GM908">
        <v>4.5062755681818185</v>
      </c>
      <c r="GN908">
        <v>4.6261061485389607</v>
      </c>
      <c r="GO908">
        <v>0.92258839285714278</v>
      </c>
      <c r="GP908">
        <v>0.17910937500000002</v>
      </c>
      <c r="GQ908">
        <v>9.768750000000001E-2</v>
      </c>
      <c r="GR908">
        <v>0</v>
      </c>
      <c r="GS908">
        <v>4.8587740384615385E-2</v>
      </c>
      <c r="GT908">
        <v>1.3495719579317742</v>
      </c>
      <c r="GU908"/>
      <c r="GV908"/>
      <c r="GW908"/>
      <c r="GX908"/>
      <c r="GY908"/>
      <c r="GZ908"/>
      <c r="HA908"/>
      <c r="HB908"/>
      <c r="HC908"/>
    </row>
    <row r="909" spans="1:211" s="7" customFormat="1">
      <c r="A909" s="4"/>
      <c r="B909" s="4"/>
      <c r="C909" s="4"/>
      <c r="D909" s="4"/>
      <c r="E909" s="4"/>
      <c r="F909" s="28"/>
      <c r="G909" s="28"/>
      <c r="H909" s="83"/>
      <c r="I909" s="4"/>
      <c r="J909" s="4"/>
      <c r="K909" s="4"/>
      <c r="L909" s="4"/>
      <c r="M909" s="4"/>
      <c r="N909" s="28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81"/>
      <c r="AG909" s="81"/>
      <c r="AH909" s="81"/>
      <c r="AI909" s="4"/>
      <c r="AJ909" s="81"/>
      <c r="AK909" s="81"/>
      <c r="AL909" s="81"/>
      <c r="AM909" s="43">
        <v>893</v>
      </c>
      <c r="AN909">
        <v>36.122916666666661</v>
      </c>
      <c r="AO909">
        <v>0.84845318749999987</v>
      </c>
      <c r="AP909">
        <v>1.2525819387807124</v>
      </c>
      <c r="AQ909">
        <v>5.5006248384187035</v>
      </c>
      <c r="AR909">
        <v>0.78580971590909077</v>
      </c>
      <c r="AS909">
        <v>3.1527375736778662</v>
      </c>
      <c r="AT909" t="e">
        <v>#DIV/0!</v>
      </c>
      <c r="AU909" t="e">
        <v>#DIV/0!</v>
      </c>
      <c r="AV909"/>
      <c r="AW909"/>
      <c r="FY909" s="211">
        <v>904</v>
      </c>
      <c r="FZ909">
        <v>1.92133111134303</v>
      </c>
      <c r="GA909">
        <v>2.5279872519147002</v>
      </c>
      <c r="GB909">
        <v>1.4219176594546754</v>
      </c>
      <c r="GC909">
        <v>0.72869694343273528</v>
      </c>
      <c r="GD909">
        <v>0.16676535473655105</v>
      </c>
      <c r="GE909">
        <v>0.23108890988834999</v>
      </c>
      <c r="GF909">
        <v>0.24090012531466881</v>
      </c>
      <c r="GG909">
        <v>0.18920630708545313</v>
      </c>
      <c r="GH909">
        <v>0.13548016088317727</v>
      </c>
      <c r="GI909">
        <v>0.79154581359331011</v>
      </c>
      <c r="GJ909"/>
      <c r="GK909">
        <v>1.9147518382352939</v>
      </c>
      <c r="GL909">
        <v>2.129087775735294</v>
      </c>
      <c r="GM909">
        <v>2.3343643465909087</v>
      </c>
      <c r="GN909">
        <v>2.1392083198051948</v>
      </c>
      <c r="GO909">
        <v>0.63474241071428561</v>
      </c>
      <c r="GP909">
        <v>0.43434374999999997</v>
      </c>
      <c r="GQ909">
        <v>0.29081250000000003</v>
      </c>
      <c r="GR909">
        <v>0.26348958333333333</v>
      </c>
      <c r="GS909">
        <v>0.14324619391025639</v>
      </c>
      <c r="GT909">
        <v>1.0635834578901489</v>
      </c>
      <c r="GU909"/>
      <c r="GV909"/>
      <c r="GW909"/>
      <c r="GX909"/>
      <c r="GY909"/>
      <c r="GZ909"/>
      <c r="HA909"/>
      <c r="HB909"/>
      <c r="HC909"/>
    </row>
    <row r="910" spans="1:211" s="7" customFormat="1">
      <c r="A910" s="4"/>
      <c r="B910" s="4"/>
      <c r="C910" s="4"/>
      <c r="D910" s="4"/>
      <c r="E910" s="4"/>
      <c r="F910" s="28"/>
      <c r="G910" s="28"/>
      <c r="H910" s="83"/>
      <c r="I910" s="4"/>
      <c r="J910" s="4"/>
      <c r="K910" s="4"/>
      <c r="L910" s="4"/>
      <c r="M910" s="4"/>
      <c r="N910" s="28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81"/>
      <c r="AG910" s="81"/>
      <c r="AH910" s="81"/>
      <c r="AI910" s="4"/>
      <c r="AJ910" s="81"/>
      <c r="AK910" s="81"/>
      <c r="AL910" s="81"/>
      <c r="AM910" s="43">
        <v>894</v>
      </c>
      <c r="AN910">
        <v>30.987458000433538</v>
      </c>
      <c r="AO910">
        <v>0.62620719354445387</v>
      </c>
      <c r="AP910">
        <v>0.43973907137082213</v>
      </c>
      <c r="AQ910">
        <v>4.1462103592687987</v>
      </c>
      <c r="AR910">
        <v>0.57873211869425856</v>
      </c>
      <c r="AS910">
        <v>2.6387599473680718</v>
      </c>
      <c r="AT910">
        <v>0.49921470348937452</v>
      </c>
      <c r="AU910">
        <v>1.2310941506616185E-2</v>
      </c>
      <c r="AV910"/>
      <c r="AW910"/>
      <c r="FY910" s="211">
        <v>905</v>
      </c>
      <c r="FZ910">
        <v>0.6485447946618984</v>
      </c>
      <c r="GA910">
        <v>1.1262915366064594</v>
      </c>
      <c r="GB910">
        <v>1.6436586435873468</v>
      </c>
      <c r="GC910">
        <v>0.80131642738434161</v>
      </c>
      <c r="GD910">
        <v>4.5628741057747488E-2</v>
      </c>
      <c r="GE910">
        <v>3.5650788238799996E-2</v>
      </c>
      <c r="GF910">
        <v>1.0428119533082629</v>
      </c>
      <c r="GG910">
        <v>0.91920837085907969</v>
      </c>
      <c r="GH910">
        <v>8.9508689212329934E-2</v>
      </c>
      <c r="GI910">
        <v>0.72504656935976963</v>
      </c>
      <c r="GJ910"/>
      <c r="GK910">
        <v>0.64635937499999996</v>
      </c>
      <c r="GL910">
        <v>0.94865625000000009</v>
      </c>
      <c r="GM910">
        <v>2.6988096590909088</v>
      </c>
      <c r="GN910">
        <v>2.3529471590909092</v>
      </c>
      <c r="GO910">
        <v>0.17374687499999997</v>
      </c>
      <c r="GP910">
        <v>6.6937499999999997E-2</v>
      </c>
      <c r="GQ910">
        <v>1.2571915760869565</v>
      </c>
      <c r="GR910">
        <v>1.2787124094202897</v>
      </c>
      <c r="GS910">
        <v>9.465845352564102E-2</v>
      </c>
      <c r="GT910">
        <v>0.97415318774070125</v>
      </c>
      <c r="GU910"/>
      <c r="GV910"/>
      <c r="GW910"/>
      <c r="GX910"/>
      <c r="GY910"/>
      <c r="GZ910"/>
      <c r="HA910"/>
      <c r="HB910"/>
      <c r="HC910"/>
    </row>
    <row r="911" spans="1:211" s="7" customFormat="1">
      <c r="A911" s="4"/>
      <c r="B911" s="4"/>
      <c r="C911" s="4"/>
      <c r="D911" s="4"/>
      <c r="E911" s="4"/>
      <c r="F911" s="28"/>
      <c r="G911" s="28"/>
      <c r="H911" s="83"/>
      <c r="I911" s="4"/>
      <c r="J911" s="4"/>
      <c r="K911" s="4"/>
      <c r="L911" s="4"/>
      <c r="M911" s="4"/>
      <c r="N911" s="28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81"/>
      <c r="AG911" s="81"/>
      <c r="AH911" s="81"/>
      <c r="AI911" s="4"/>
      <c r="AJ911" s="81"/>
      <c r="AK911" s="81"/>
      <c r="AL911" s="81"/>
      <c r="AM911" s="43">
        <v>895</v>
      </c>
      <c r="AN911">
        <v>38.731522153872703</v>
      </c>
      <c r="AO911">
        <v>0.91346096288969181</v>
      </c>
      <c r="AP911">
        <v>8.8019018186480551</v>
      </c>
      <c r="AQ911">
        <v>5.823443377071218</v>
      </c>
      <c r="AR911">
        <v>0.87971565900811144</v>
      </c>
      <c r="AS911">
        <v>3.2358949177522471</v>
      </c>
      <c r="AT911" t="e">
        <v>#DIV/0!</v>
      </c>
      <c r="AU911" t="e">
        <v>#DIV/0!</v>
      </c>
      <c r="AV911"/>
      <c r="AW911"/>
      <c r="FY911" s="211">
        <v>906</v>
      </c>
      <c r="FZ911">
        <v>0.65945846249774709</v>
      </c>
      <c r="GA911">
        <v>0.93129814188508087</v>
      </c>
      <c r="GB911">
        <v>0.17461301586667383</v>
      </c>
      <c r="GC911">
        <v>0.24032872644810749</v>
      </c>
      <c r="GD911">
        <v>0.20648117369837249</v>
      </c>
      <c r="GE911">
        <v>6.9375995884124991E-2</v>
      </c>
      <c r="GF911">
        <v>0.5344786465355188</v>
      </c>
      <c r="GG911">
        <v>0.4281665527876255</v>
      </c>
      <c r="GH911">
        <v>2.2985735835423678E-2</v>
      </c>
      <c r="GI911">
        <v>0.35708292134027381</v>
      </c>
      <c r="GJ911"/>
      <c r="GK911">
        <v>0.65712187499999986</v>
      </c>
      <c r="GL911">
        <v>0.78421171874999995</v>
      </c>
      <c r="GM911">
        <v>0.28646484375000003</v>
      </c>
      <c r="GN911">
        <v>0.70385624999999996</v>
      </c>
      <c r="GO911">
        <v>0.78527812499999994</v>
      </c>
      <c r="GP911">
        <v>0.130265625</v>
      </c>
      <c r="GQ911">
        <v>0.64475135869565214</v>
      </c>
      <c r="GR911">
        <v>0.59590760869565207</v>
      </c>
      <c r="GS911">
        <v>2.4293870192307693E-2</v>
      </c>
      <c r="GT911">
        <v>0.47958201452759197</v>
      </c>
      <c r="GU911"/>
      <c r="GV911"/>
      <c r="GW911"/>
      <c r="GX911"/>
      <c r="GY911"/>
      <c r="GZ911"/>
      <c r="HA911"/>
      <c r="HB911"/>
      <c r="HC911"/>
    </row>
    <row r="912" spans="1:211" s="7" customFormat="1">
      <c r="A912" s="4"/>
      <c r="B912" s="4"/>
      <c r="C912" s="4"/>
      <c r="D912" s="4"/>
      <c r="E912" s="4"/>
      <c r="F912" s="28"/>
      <c r="G912" s="28"/>
      <c r="H912" s="83"/>
      <c r="I912" s="4"/>
      <c r="J912" s="4"/>
      <c r="K912" s="4"/>
      <c r="L912" s="4"/>
      <c r="M912" s="4"/>
      <c r="N912" s="28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81"/>
      <c r="AG912" s="81"/>
      <c r="AH912" s="81"/>
      <c r="AI912" s="4"/>
      <c r="AJ912" s="81"/>
      <c r="AK912" s="81"/>
      <c r="AL912" s="81"/>
      <c r="AM912" s="43">
        <v>896</v>
      </c>
      <c r="AN912">
        <v>50.548241481421634</v>
      </c>
      <c r="AO912">
        <v>1.1961471315684926</v>
      </c>
      <c r="AP912">
        <v>1.0528898421948842</v>
      </c>
      <c r="AQ912">
        <v>8.8562749640892111</v>
      </c>
      <c r="AR912">
        <v>1.1099343460063218</v>
      </c>
      <c r="AS912">
        <v>3.8812117530401102</v>
      </c>
      <c r="AT912">
        <v>0.81965146066887928</v>
      </c>
      <c r="AU912">
        <v>6.6158829283540832E-2</v>
      </c>
      <c r="AV912"/>
      <c r="AW912"/>
      <c r="FY912" s="211">
        <v>907</v>
      </c>
      <c r="FZ912">
        <v>1.1257629292837916</v>
      </c>
      <c r="GA912">
        <v>1.7328715515804904</v>
      </c>
      <c r="GB912">
        <v>1.5082739932583109</v>
      </c>
      <c r="GC912">
        <v>0.79499560134146718</v>
      </c>
      <c r="GD912">
        <v>0.18778704156510426</v>
      </c>
      <c r="GE912">
        <v>0.23879910290782502</v>
      </c>
      <c r="GF912">
        <v>0.20038102790324064</v>
      </c>
      <c r="GG912">
        <v>0.18920630708545313</v>
      </c>
      <c r="GH912">
        <v>0.11249442504775362</v>
      </c>
      <c r="GI912">
        <v>0.69564851093869473</v>
      </c>
      <c r="GJ912"/>
      <c r="GK912">
        <v>1.1218893382352939</v>
      </c>
      <c r="GL912">
        <v>1.4594127757352942</v>
      </c>
      <c r="GM912">
        <v>2.4762627840909093</v>
      </c>
      <c r="GN912">
        <v>2.3338183644480517</v>
      </c>
      <c r="GO912">
        <v>0.71459464285714291</v>
      </c>
      <c r="GP912">
        <v>0.44882812500000008</v>
      </c>
      <c r="GQ912">
        <v>0.24196875000000001</v>
      </c>
      <c r="GR912">
        <v>0.26348958333333333</v>
      </c>
      <c r="GS912">
        <v>0.11895232371794871</v>
      </c>
      <c r="GT912">
        <v>0.93473356778025907</v>
      </c>
      <c r="GU912"/>
      <c r="GV912"/>
      <c r="GW912"/>
      <c r="GX912"/>
      <c r="GY912"/>
      <c r="GZ912"/>
      <c r="HA912"/>
      <c r="HB912"/>
      <c r="HC912"/>
    </row>
    <row r="913" spans="1:211" s="7" customFormat="1">
      <c r="A913" s="4"/>
      <c r="B913" s="4"/>
      <c r="C913" s="4"/>
      <c r="D913" s="4"/>
      <c r="E913" s="4"/>
      <c r="F913" s="28"/>
      <c r="G913" s="28"/>
      <c r="H913" s="83"/>
      <c r="I913" s="4"/>
      <c r="J913" s="4"/>
      <c r="K913" s="4"/>
      <c r="L913" s="4"/>
      <c r="M913" s="4"/>
      <c r="N913" s="28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81"/>
      <c r="AG913" s="81"/>
      <c r="AH913" s="81"/>
      <c r="AI913" s="4"/>
      <c r="AJ913" s="81"/>
      <c r="AK913" s="81"/>
      <c r="AL913" s="81"/>
      <c r="AM913" s="43">
        <v>897</v>
      </c>
      <c r="AN913">
        <v>42.364092389092384</v>
      </c>
      <c r="AO913">
        <v>0.85512120787545798</v>
      </c>
      <c r="AP913">
        <v>2.2006904721095095</v>
      </c>
      <c r="AQ913">
        <v>5.1346382045709786</v>
      </c>
      <c r="AR913">
        <v>0.78683576808608069</v>
      </c>
      <c r="AS913">
        <v>3.6246260632728693</v>
      </c>
      <c r="AT913" t="e">
        <v>#DIV/0!</v>
      </c>
      <c r="AU913" t="e">
        <v>#DIV/0!</v>
      </c>
      <c r="AV913"/>
      <c r="AW913"/>
      <c r="FY913" s="211">
        <v>908</v>
      </c>
      <c r="FZ913">
        <v>0.65220267085631156</v>
      </c>
      <c r="GA913">
        <v>1.259698082056492</v>
      </c>
      <c r="GB913">
        <v>1.2387807647305313</v>
      </c>
      <c r="GC913">
        <v>1.1514910090302857</v>
      </c>
      <c r="GD913">
        <v>0.54955687020547495</v>
      </c>
      <c r="GE913">
        <v>0.1156292833554</v>
      </c>
      <c r="GF913">
        <v>0.6538214796159032</v>
      </c>
      <c r="GG913">
        <v>0.71853667674935984</v>
      </c>
      <c r="GH913">
        <v>0.19956886013071873</v>
      </c>
      <c r="GI913">
        <v>0.85960604768882987</v>
      </c>
      <c r="GJ913"/>
      <c r="GK913">
        <v>0.64979062499999996</v>
      </c>
      <c r="GL913">
        <v>1.0606499999999999</v>
      </c>
      <c r="GM913">
        <v>2.0332954545454545</v>
      </c>
      <c r="GN913">
        <v>3.3755610795454549</v>
      </c>
      <c r="GO913">
        <v>2.0897812500000001</v>
      </c>
      <c r="GP913">
        <v>0.21712500000000001</v>
      </c>
      <c r="GQ913">
        <v>0.78903260869565206</v>
      </c>
      <c r="GR913">
        <v>1.0001263586956521</v>
      </c>
      <c r="GS913">
        <v>0.21109375</v>
      </c>
      <c r="GT913">
        <v>1.1545987376482212</v>
      </c>
      <c r="GU913"/>
      <c r="GV913"/>
      <c r="GW913"/>
      <c r="GX913"/>
      <c r="GY913"/>
      <c r="GZ913"/>
      <c r="HA913"/>
      <c r="HB913"/>
      <c r="HC913"/>
    </row>
    <row r="914" spans="1:211" s="7" customFormat="1">
      <c r="A914" s="4"/>
      <c r="B914" s="4"/>
      <c r="C914" s="4"/>
      <c r="D914" s="4"/>
      <c r="E914" s="4"/>
      <c r="F914" s="28"/>
      <c r="G914" s="28"/>
      <c r="H914" s="83"/>
      <c r="I914" s="4"/>
      <c r="J914" s="4"/>
      <c r="K914" s="4"/>
      <c r="L914" s="4"/>
      <c r="M914" s="4"/>
      <c r="N914" s="28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81"/>
      <c r="AG914" s="81"/>
      <c r="AH914" s="81"/>
      <c r="AI914" s="4"/>
      <c r="AJ914" s="81"/>
      <c r="AK914" s="81"/>
      <c r="AL914" s="81"/>
      <c r="AM914" s="43">
        <v>898</v>
      </c>
      <c r="AN914">
        <v>27.855874796499798</v>
      </c>
      <c r="AO914">
        <v>0.67443534329212451</v>
      </c>
      <c r="AP914">
        <v>1.2945917085540526</v>
      </c>
      <c r="AQ914">
        <v>3.6687874174081934</v>
      </c>
      <c r="AR914">
        <v>0.64793100482850474</v>
      </c>
      <c r="AS914">
        <v>2.4470442790178337</v>
      </c>
      <c r="AT914" t="e">
        <v>#DIV/0!</v>
      </c>
      <c r="AU914" t="e">
        <v>#DIV/0!</v>
      </c>
      <c r="AV914"/>
      <c r="AW914"/>
      <c r="FY914" s="211">
        <v>909</v>
      </c>
      <c r="FZ914">
        <v>0.86964008445290575</v>
      </c>
      <c r="GA914">
        <v>1.3771866102946348</v>
      </c>
      <c r="GB914">
        <v>0.42778609448780386</v>
      </c>
      <c r="GC914">
        <v>0.36847963331447181</v>
      </c>
      <c r="GD914">
        <v>0.19739567969189997</v>
      </c>
      <c r="GE914">
        <v>5.2030029251700007E-2</v>
      </c>
      <c r="GF914">
        <v>8.1038194822856249E-2</v>
      </c>
      <c r="GG914">
        <v>0.10116381687628125</v>
      </c>
      <c r="GH914">
        <v>0.15603164258923619</v>
      </c>
      <c r="GI914">
        <v>0.38445402003203333</v>
      </c>
      <c r="GJ914"/>
      <c r="GK914">
        <v>0.86665496323529412</v>
      </c>
      <c r="GL914">
        <v>1.1598112132352938</v>
      </c>
      <c r="GM914">
        <v>0.70171093749999991</v>
      </c>
      <c r="GN914">
        <v>1.0798046874999998</v>
      </c>
      <c r="GO914">
        <v>0.75093750000000004</v>
      </c>
      <c r="GP914">
        <v>9.768750000000001E-2</v>
      </c>
      <c r="GQ914">
        <v>9.768750000000001E-2</v>
      </c>
      <c r="GR914">
        <v>0.14072916666666666</v>
      </c>
      <c r="GS914">
        <v>0.16502303685897435</v>
      </c>
      <c r="GT914">
        <v>0.5164027875188536</v>
      </c>
      <c r="GU914"/>
      <c r="GV914"/>
      <c r="GW914"/>
      <c r="GX914"/>
      <c r="GY914"/>
      <c r="GZ914"/>
      <c r="HA914"/>
      <c r="HB914"/>
      <c r="HC914"/>
    </row>
    <row r="915" spans="1:211" s="7" customFormat="1">
      <c r="A915" s="4"/>
      <c r="B915" s="4"/>
      <c r="C915" s="4"/>
      <c r="D915" s="4"/>
      <c r="E915" s="4"/>
      <c r="F915" s="28"/>
      <c r="G915" s="28"/>
      <c r="H915" s="83"/>
      <c r="I915" s="4"/>
      <c r="J915" s="4"/>
      <c r="K915" s="4"/>
      <c r="L915" s="4"/>
      <c r="M915" s="4"/>
      <c r="N915" s="28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81"/>
      <c r="AG915" s="81"/>
      <c r="AH915" s="81"/>
      <c r="AI915" s="4"/>
      <c r="AJ915" s="81"/>
      <c r="AK915" s="81"/>
      <c r="AL915" s="81"/>
      <c r="AM915" s="43">
        <v>899</v>
      </c>
      <c r="AN915">
        <v>49.732402853374715</v>
      </c>
      <c r="AO915">
        <v>1.1062617385812183</v>
      </c>
      <c r="AP915">
        <v>0.75645696732649337</v>
      </c>
      <c r="AQ915">
        <v>7.1859708157823956</v>
      </c>
      <c r="AR915">
        <v>1.0368782960004088</v>
      </c>
      <c r="AS915">
        <v>4.0693717011263146</v>
      </c>
      <c r="AT915">
        <v>0.80598610930969616</v>
      </c>
      <c r="AU915">
        <v>0.27021515388824863</v>
      </c>
      <c r="AV915"/>
      <c r="AW915"/>
      <c r="FY915" s="211">
        <v>910</v>
      </c>
      <c r="FZ915">
        <v>0.27614700289597499</v>
      </c>
      <c r="GA915">
        <v>0.60183265837214983</v>
      </c>
      <c r="GB915">
        <v>0.35198613501557341</v>
      </c>
      <c r="GC915">
        <v>0.11794317642515625</v>
      </c>
      <c r="GD915">
        <v>0.11883656418502497</v>
      </c>
      <c r="GE915">
        <v>0.17718722876879997</v>
      </c>
      <c r="GF915">
        <v>1.3220167168804597</v>
      </c>
      <c r="GG915">
        <v>1.1458752597155641</v>
      </c>
      <c r="GH915">
        <v>4.5971471670847357E-2</v>
      </c>
      <c r="GI915">
        <v>0.43904616670867841</v>
      </c>
      <c r="GJ915"/>
      <c r="GK915">
        <v>0.27524999999999999</v>
      </c>
      <c r="GL915">
        <v>0.5069999999999999</v>
      </c>
      <c r="GM915">
        <v>0.57745312500000001</v>
      </c>
      <c r="GN915">
        <v>0.345703125</v>
      </c>
      <c r="GO915">
        <v>0.45253124999999994</v>
      </c>
      <c r="GP915">
        <v>0.33299999999999996</v>
      </c>
      <c r="GQ915">
        <v>1.5945978260869564</v>
      </c>
      <c r="GR915">
        <v>1.5945978260869564</v>
      </c>
      <c r="GS915">
        <v>4.8587740384615385E-2</v>
      </c>
      <c r="GT915">
        <v>0.58968398829431434</v>
      </c>
      <c r="GU915"/>
      <c r="GV915"/>
      <c r="GW915"/>
      <c r="GX915"/>
      <c r="GY915"/>
      <c r="GZ915"/>
      <c r="HA915"/>
      <c r="HB915"/>
      <c r="HC915"/>
    </row>
    <row r="916" spans="1:211" s="7" customFormat="1">
      <c r="A916" s="4"/>
      <c r="B916" s="4"/>
      <c r="C916" s="4"/>
      <c r="D916" s="4"/>
      <c r="E916" s="4"/>
      <c r="F916" s="28"/>
      <c r="G916" s="28"/>
      <c r="H916" s="83"/>
      <c r="I916" s="4"/>
      <c r="J916" s="4"/>
      <c r="K916" s="4"/>
      <c r="L916" s="4"/>
      <c r="M916" s="4"/>
      <c r="N916" s="28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81"/>
      <c r="AG916" s="81"/>
      <c r="AH916" s="81"/>
      <c r="AI916" s="4"/>
      <c r="AJ916" s="81"/>
      <c r="AK916" s="81"/>
      <c r="AL916" s="81"/>
      <c r="AM916" s="43">
        <v>900</v>
      </c>
      <c r="AN916">
        <v>65.71844070148498</v>
      </c>
      <c r="AO916">
        <v>1.3150034439440703</v>
      </c>
      <c r="AP916">
        <v>17.990611840446299</v>
      </c>
      <c r="AQ916">
        <v>9.5580374998216602</v>
      </c>
      <c r="AR916">
        <v>1.1976662099666371</v>
      </c>
      <c r="AS916">
        <v>5.6345829645828456</v>
      </c>
      <c r="AT916" t="e">
        <v>#DIV/0!</v>
      </c>
      <c r="AU916" t="e">
        <v>#DIV/0!</v>
      </c>
      <c r="AV916"/>
      <c r="AW916"/>
      <c r="FY916" s="211">
        <v>911</v>
      </c>
      <c r="FZ916">
        <v>1.3619017671195601</v>
      </c>
      <c r="GA916">
        <v>1.9407859698242744</v>
      </c>
      <c r="GB916">
        <v>1.4498518071178652</v>
      </c>
      <c r="GC916">
        <v>0.9902906538167584</v>
      </c>
      <c r="GD916">
        <v>0.28001517545678783</v>
      </c>
      <c r="GE916">
        <v>8.088342136492499E-2</v>
      </c>
      <c r="GF916">
        <v>0.69434057702733132</v>
      </c>
      <c r="GG916">
        <v>0.66795476831121925</v>
      </c>
      <c r="GH916">
        <v>0.15603164258923619</v>
      </c>
      <c r="GI916">
        <v>0.86423322520172929</v>
      </c>
      <c r="GJ916"/>
      <c r="GK916">
        <v>1.3572018382352939</v>
      </c>
      <c r="GL916">
        <v>1.634526056985294</v>
      </c>
      <c r="GM916">
        <v>2.380516690340909</v>
      </c>
      <c r="GN916">
        <v>2.9056482751623376</v>
      </c>
      <c r="GO916">
        <v>1.0650026785714286</v>
      </c>
      <c r="GP916">
        <v>0.15201562499999999</v>
      </c>
      <c r="GQ916">
        <v>0.83787635869565202</v>
      </c>
      <c r="GR916">
        <v>0.92976177536231885</v>
      </c>
      <c r="GS916">
        <v>0.16502303685897435</v>
      </c>
      <c r="GT916">
        <v>1.1611241205404514</v>
      </c>
      <c r="GU916"/>
      <c r="GV916"/>
      <c r="GW916"/>
      <c r="GX916"/>
      <c r="GY916"/>
      <c r="GZ916"/>
      <c r="HA916"/>
      <c r="HB916"/>
      <c r="HC916"/>
    </row>
    <row r="917" spans="1:211" s="7" customFormat="1">
      <c r="A917" s="4"/>
      <c r="B917" s="4"/>
      <c r="C917" s="4"/>
      <c r="D917" s="4"/>
      <c r="E917" s="4"/>
      <c r="F917" s="28"/>
      <c r="G917" s="28"/>
      <c r="H917" s="83"/>
      <c r="I917" s="4"/>
      <c r="J917" s="4"/>
      <c r="K917" s="4"/>
      <c r="L917" s="4"/>
      <c r="M917" s="4"/>
      <c r="N917" s="28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81"/>
      <c r="AG917" s="81"/>
      <c r="AH917" s="81"/>
      <c r="AI917" s="4"/>
      <c r="AJ917" s="81"/>
      <c r="AK917" s="81"/>
      <c r="AL917" s="81"/>
      <c r="AM917" s="43">
        <v>901</v>
      </c>
      <c r="AN917">
        <v>31.407792785917785</v>
      </c>
      <c r="AO917">
        <v>0.59564528376831505</v>
      </c>
      <c r="AP917">
        <v>1.938104250937962</v>
      </c>
      <c r="AQ917">
        <v>3.600248037228623</v>
      </c>
      <c r="AR917">
        <v>0.55457072344322356</v>
      </c>
      <c r="AS917">
        <v>2.6591309299428425</v>
      </c>
      <c r="AT917" t="e">
        <v>#DIV/0!</v>
      </c>
      <c r="AU917" t="e">
        <v>#DIV/0!</v>
      </c>
      <c r="AV917"/>
      <c r="AW917"/>
      <c r="FY917" s="211">
        <v>912</v>
      </c>
      <c r="FZ917">
        <v>0.83874240962193958</v>
      </c>
      <c r="GA917">
        <v>1.6328510369023619</v>
      </c>
      <c r="GB917">
        <v>1.116567560731957</v>
      </c>
      <c r="GC917">
        <v>0.67165002197474633</v>
      </c>
      <c r="GD917">
        <v>0.25871833325555998</v>
      </c>
      <c r="GE917">
        <v>0.15213106911690003</v>
      </c>
      <c r="GF917">
        <v>0.41513581345513451</v>
      </c>
      <c r="GG917">
        <v>0.28954215414031298</v>
      </c>
      <c r="GH917">
        <v>2.2985735835423678E-2</v>
      </c>
      <c r="GI917">
        <v>0.62198902468150452</v>
      </c>
      <c r="GJ917"/>
      <c r="GK917">
        <v>0.83597058823529402</v>
      </c>
      <c r="GL917">
        <v>1.3755018382352939</v>
      </c>
      <c r="GM917">
        <v>1.8331001420454545</v>
      </c>
      <c r="GN917">
        <v>1.9702376420454542</v>
      </c>
      <c r="GO917">
        <v>0.98444999999999983</v>
      </c>
      <c r="GP917">
        <v>0.28593750000000001</v>
      </c>
      <c r="GQ917">
        <v>0.50047010869565223</v>
      </c>
      <c r="GR917">
        <v>0.40278260869565213</v>
      </c>
      <c r="GS917">
        <v>2.4293870192307693E-2</v>
      </c>
      <c r="GT917">
        <v>0.83565694183374162</v>
      </c>
      <c r="GU917"/>
      <c r="GV917"/>
      <c r="GW917"/>
      <c r="GX917"/>
      <c r="GY917"/>
      <c r="GZ917"/>
      <c r="HA917"/>
      <c r="HB917"/>
      <c r="HC917"/>
    </row>
    <row r="918" spans="1:211" s="7" customFormat="1">
      <c r="A918" s="4"/>
      <c r="B918" s="4"/>
      <c r="C918" s="4"/>
      <c r="D918" s="4"/>
      <c r="E918" s="4"/>
      <c r="F918" s="28"/>
      <c r="G918" s="28"/>
      <c r="H918" s="83"/>
      <c r="I918" s="4"/>
      <c r="J918" s="4"/>
      <c r="K918" s="4"/>
      <c r="L918" s="4"/>
      <c r="M918" s="4"/>
      <c r="N918" s="28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81"/>
      <c r="AG918" s="81"/>
      <c r="AH918" s="81"/>
      <c r="AI918" s="4"/>
      <c r="AJ918" s="81"/>
      <c r="AK918" s="81"/>
      <c r="AL918" s="81"/>
      <c r="AM918" s="43">
        <v>902</v>
      </c>
      <c r="AN918">
        <v>39.626781815708441</v>
      </c>
      <c r="AO918">
        <v>0.92315724821577894</v>
      </c>
      <c r="AP918">
        <v>12.779860622127268</v>
      </c>
      <c r="AQ918">
        <v>6.4274446945936088</v>
      </c>
      <c r="AR918">
        <v>0.87404182748637216</v>
      </c>
      <c r="AS918">
        <v>3.7972729687988669</v>
      </c>
      <c r="AT918" t="e">
        <v>#DIV/0!</v>
      </c>
      <c r="AU918" t="e">
        <v>#DIV/0!</v>
      </c>
      <c r="AV918"/>
      <c r="AW918"/>
      <c r="FY918" s="211">
        <v>913</v>
      </c>
      <c r="FZ918">
        <v>1.9336364452335126</v>
      </c>
      <c r="GA918">
        <v>2.4817970442336015</v>
      </c>
      <c r="GB918">
        <v>0.75478147472862056</v>
      </c>
      <c r="GC918">
        <v>0.42499684573581326</v>
      </c>
      <c r="GD918">
        <v>0.13543687528132176</v>
      </c>
      <c r="GE918">
        <v>0.14051578618485</v>
      </c>
      <c r="GF918">
        <v>0.66819523726455643</v>
      </c>
      <c r="GG918">
        <v>0.62966621671876666</v>
      </c>
      <c r="GH918">
        <v>6.6522953376906252E-2</v>
      </c>
      <c r="GI918">
        <v>0.67846190304465459</v>
      </c>
      <c r="GJ918"/>
      <c r="GK918">
        <v>1.926950551470588</v>
      </c>
      <c r="GL918">
        <v>2.0902278952205879</v>
      </c>
      <c r="GM918">
        <v>1.2389165482954545</v>
      </c>
      <c r="GN918">
        <v>1.2472244724025972</v>
      </c>
      <c r="GO918">
        <v>0.51555401785714283</v>
      </c>
      <c r="GP918">
        <v>0.26428125000000002</v>
      </c>
      <c r="GQ918">
        <v>0.80556521739130427</v>
      </c>
      <c r="GR918">
        <v>0.87592980072463755</v>
      </c>
      <c r="GS918">
        <v>7.0364583333333328E-2</v>
      </c>
      <c r="GT918">
        <v>0.91147018366956445</v>
      </c>
      <c r="GU918"/>
      <c r="GV918"/>
      <c r="GW918"/>
      <c r="GX918"/>
      <c r="GY918"/>
      <c r="GZ918"/>
      <c r="HA918"/>
      <c r="HB918"/>
      <c r="HC918"/>
    </row>
    <row r="919" spans="1:211" s="7" customFormat="1">
      <c r="A919" s="4"/>
      <c r="B919" s="4"/>
      <c r="C919" s="4"/>
      <c r="D919" s="4"/>
      <c r="E919" s="4"/>
      <c r="F919" s="28"/>
      <c r="G919" s="28"/>
      <c r="H919" s="83"/>
      <c r="I919" s="4"/>
      <c r="J919" s="4"/>
      <c r="K919" s="4"/>
      <c r="L919" s="4"/>
      <c r="M919" s="4"/>
      <c r="N919" s="28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81"/>
      <c r="AG919" s="81"/>
      <c r="AH919" s="81"/>
      <c r="AI919" s="4"/>
      <c r="AJ919" s="81"/>
      <c r="AK919" s="81"/>
      <c r="AL919" s="81"/>
      <c r="AM919" s="43">
        <v>903</v>
      </c>
      <c r="AN919">
        <v>52.382149141707963</v>
      </c>
      <c r="AO919">
        <v>1.4517797546864899</v>
      </c>
      <c r="AP919">
        <v>2.4253958928081349</v>
      </c>
      <c r="AQ919">
        <v>8.8841378648564415</v>
      </c>
      <c r="AR919">
        <v>1.349571957931774</v>
      </c>
      <c r="AS919">
        <v>4.7854538464549528</v>
      </c>
      <c r="AT919" t="e">
        <v>#DIV/0!</v>
      </c>
      <c r="AU919" t="e">
        <v>#DIV/0!</v>
      </c>
      <c r="AV919"/>
      <c r="AW919"/>
      <c r="FY919" s="211">
        <v>914</v>
      </c>
      <c r="FZ919">
        <v>1.7301810485877951</v>
      </c>
      <c r="GA919">
        <v>2.0561737079093585</v>
      </c>
      <c r="GB919">
        <v>0.26661645860753319</v>
      </c>
      <c r="GC919">
        <v>0.48398705403658743</v>
      </c>
      <c r="GD919">
        <v>0.42147438079477506</v>
      </c>
      <c r="GE919">
        <v>0.28311893914005004</v>
      </c>
      <c r="GF919">
        <v>0.81589786926161567</v>
      </c>
      <c r="GG919">
        <v>0.56679095143493796</v>
      </c>
      <c r="GH919">
        <v>2.2985735835423678E-2</v>
      </c>
      <c r="GI919">
        <v>0.71075227202093361</v>
      </c>
      <c r="GJ919"/>
      <c r="GK919">
        <v>1.7243755514705881</v>
      </c>
      <c r="GL919">
        <v>1.7319341452205881</v>
      </c>
      <c r="GM919">
        <v>0.43724609375000001</v>
      </c>
      <c r="GN919">
        <v>1.4173437500000001</v>
      </c>
      <c r="GO919">
        <v>1.6032187500000001</v>
      </c>
      <c r="GP919">
        <v>0.53203125000000007</v>
      </c>
      <c r="GQ919">
        <v>0.98440760869565203</v>
      </c>
      <c r="GR919">
        <v>0.78903260869565206</v>
      </c>
      <c r="GS919">
        <v>2.4293870192307693E-2</v>
      </c>
      <c r="GT919">
        <v>0.95470837482170945</v>
      </c>
      <c r="GU919"/>
      <c r="GV919"/>
      <c r="GW919"/>
      <c r="GX919"/>
      <c r="GY919"/>
      <c r="GZ919"/>
      <c r="HA919"/>
      <c r="HB919"/>
      <c r="HC919"/>
    </row>
    <row r="920" spans="1:211" s="7" customFormat="1">
      <c r="A920" s="4"/>
      <c r="B920" s="4"/>
      <c r="C920" s="4"/>
      <c r="D920" s="4"/>
      <c r="E920" s="4"/>
      <c r="F920" s="28"/>
      <c r="G920" s="28"/>
      <c r="H920" s="83"/>
      <c r="I920" s="4"/>
      <c r="J920" s="4"/>
      <c r="K920" s="4"/>
      <c r="L920" s="4"/>
      <c r="M920" s="4"/>
      <c r="N920" s="28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81"/>
      <c r="AG920" s="81"/>
      <c r="AH920" s="81"/>
      <c r="AI920" s="4"/>
      <c r="AJ920" s="81"/>
      <c r="AK920" s="81"/>
      <c r="AL920" s="81"/>
      <c r="AM920" s="43">
        <v>904</v>
      </c>
      <c r="AN920">
        <v>45.049432668366492</v>
      </c>
      <c r="AO920">
        <v>1.1347630176214714</v>
      </c>
      <c r="AP920">
        <v>1.2728655963581637</v>
      </c>
      <c r="AQ920">
        <v>8.3549196376466526</v>
      </c>
      <c r="AR920">
        <v>1.0635834578901489</v>
      </c>
      <c r="AS920">
        <v>3.6198060224859403</v>
      </c>
      <c r="AT920">
        <v>0.74155340681312287</v>
      </c>
      <c r="AU920">
        <v>8.1858985248747934E-2</v>
      </c>
      <c r="AV920"/>
      <c r="AW920"/>
      <c r="FY920" s="211">
        <v>915</v>
      </c>
      <c r="FZ920">
        <v>0.99914643034476758</v>
      </c>
      <c r="GA920">
        <v>1.3132622556571318</v>
      </c>
      <c r="GB920">
        <v>0.51037164602982421</v>
      </c>
      <c r="GC920">
        <v>0.17877836983576062</v>
      </c>
      <c r="GD920">
        <v>7.3651314021209988E-2</v>
      </c>
      <c r="GE920">
        <v>4.5232633126125001E-2</v>
      </c>
      <c r="GF920">
        <v>0</v>
      </c>
      <c r="GG920">
        <v>0.15174572531442188</v>
      </c>
      <c r="GH920">
        <v>0.22255459596614241</v>
      </c>
      <c r="GI920">
        <v>0.34971803145716573</v>
      </c>
      <c r="GJ920"/>
      <c r="GK920">
        <v>0.99570000000000003</v>
      </c>
      <c r="GL920">
        <v>1.106090625</v>
      </c>
      <c r="GM920">
        <v>0.83769531249999996</v>
      </c>
      <c r="GN920">
        <v>0.52436406250000001</v>
      </c>
      <c r="GO920">
        <v>0.28057499999999996</v>
      </c>
      <c r="GP920">
        <v>8.5078125000000004E-2</v>
      </c>
      <c r="GQ920">
        <v>0</v>
      </c>
      <c r="GR920">
        <v>0.21109375</v>
      </c>
      <c r="GS920">
        <v>0.23538762019230769</v>
      </c>
      <c r="GT920">
        <v>0.46987158653846151</v>
      </c>
      <c r="GU920"/>
      <c r="GV920"/>
      <c r="GW920"/>
      <c r="GX920"/>
      <c r="GY920"/>
      <c r="GZ920"/>
      <c r="HA920"/>
      <c r="HB920"/>
      <c r="HC920"/>
    </row>
    <row r="921" spans="1:211" s="7" customFormat="1">
      <c r="A921" s="4"/>
      <c r="B921" s="4"/>
      <c r="C921" s="4"/>
      <c r="D921" s="4"/>
      <c r="E921" s="4"/>
      <c r="F921" s="28"/>
      <c r="G921" s="28"/>
      <c r="H921" s="83"/>
      <c r="I921" s="4"/>
      <c r="J921" s="4"/>
      <c r="K921" s="4"/>
      <c r="L921" s="4"/>
      <c r="M921" s="4"/>
      <c r="N921" s="28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81"/>
      <c r="AG921" s="81"/>
      <c r="AH921" s="81"/>
      <c r="AI921" s="4"/>
      <c r="AJ921" s="81"/>
      <c r="AK921" s="81"/>
      <c r="AL921" s="81"/>
      <c r="AM921" s="43">
        <v>905</v>
      </c>
      <c r="AN921">
        <v>41.53844682893596</v>
      </c>
      <c r="AO921">
        <v>1.0492172444955405</v>
      </c>
      <c r="AP921">
        <v>0.90673615072036706</v>
      </c>
      <c r="AQ921">
        <v>7.0776665142760358</v>
      </c>
      <c r="AR921">
        <v>0.97415318774070125</v>
      </c>
      <c r="AS921">
        <v>3.5531231905736802</v>
      </c>
      <c r="AT921">
        <v>0.67156992288492612</v>
      </c>
      <c r="AU921">
        <v>0.14344155589457042</v>
      </c>
      <c r="AV921"/>
      <c r="AW921"/>
      <c r="FY921" s="211">
        <v>916</v>
      </c>
      <c r="FZ921">
        <v>1.9481905780162518</v>
      </c>
      <c r="GA921">
        <v>2.105048974328092</v>
      </c>
      <c r="GB921">
        <v>0.80915460138790996</v>
      </c>
      <c r="GC921">
        <v>0.45993698696881757</v>
      </c>
      <c r="GD921">
        <v>0.1512096844410675</v>
      </c>
      <c r="GE921">
        <v>0.17236934196232498</v>
      </c>
      <c r="GF921">
        <v>0.33409761863227821</v>
      </c>
      <c r="GG921">
        <v>0.34012406257845362</v>
      </c>
      <c r="GH921">
        <v>8.9508689212329934E-2</v>
      </c>
      <c r="GI921">
        <v>0.64647331035162003</v>
      </c>
      <c r="GJ921"/>
      <c r="GK921">
        <v>1.9416880514705883</v>
      </c>
      <c r="GL921">
        <v>1.7731724264705879</v>
      </c>
      <c r="GM921">
        <v>1.3285688920454544</v>
      </c>
      <c r="GN921">
        <v>1.3502157670454542</v>
      </c>
      <c r="GO921">
        <v>0.57552187500000007</v>
      </c>
      <c r="GP921">
        <v>0.32395312500000001</v>
      </c>
      <c r="GQ921">
        <v>0.40278260869565213</v>
      </c>
      <c r="GR921">
        <v>0.47314719202898542</v>
      </c>
      <c r="GS921">
        <v>9.465845352564102E-2</v>
      </c>
      <c r="GT921">
        <v>0.86864397614746713</v>
      </c>
      <c r="GU921"/>
      <c r="GV921"/>
      <c r="GW921"/>
      <c r="GX921"/>
      <c r="GY921"/>
      <c r="GZ921"/>
      <c r="HA921"/>
      <c r="HB921"/>
      <c r="HC921"/>
    </row>
    <row r="922" spans="1:211" s="7" customFormat="1">
      <c r="A922" s="4"/>
      <c r="B922" s="4"/>
      <c r="C922" s="4"/>
      <c r="D922" s="4"/>
      <c r="E922" s="4"/>
      <c r="F922" s="28"/>
      <c r="G922" s="28"/>
      <c r="H922" s="83"/>
      <c r="I922" s="4"/>
      <c r="J922" s="4"/>
      <c r="K922" s="4"/>
      <c r="L922" s="4"/>
      <c r="M922" s="4"/>
      <c r="N922" s="28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81"/>
      <c r="AG922" s="81"/>
      <c r="AH922" s="81"/>
      <c r="AI922" s="4"/>
      <c r="AJ922" s="81"/>
      <c r="AK922" s="81"/>
      <c r="AL922" s="81"/>
      <c r="AM922" s="43">
        <v>906</v>
      </c>
      <c r="AN922">
        <v>25.843129296729842</v>
      </c>
      <c r="AO922">
        <v>0.50917332896112044</v>
      </c>
      <c r="AP922">
        <v>7.3139312983693108</v>
      </c>
      <c r="AQ922">
        <v>3.624269372778949</v>
      </c>
      <c r="AR922">
        <v>0.47958201452759197</v>
      </c>
      <c r="AS922">
        <v>2.1916246939098452</v>
      </c>
      <c r="AT922" t="e">
        <v>#DIV/0!</v>
      </c>
      <c r="AU922" t="e">
        <v>#DIV/0!</v>
      </c>
      <c r="AV922"/>
      <c r="AW922"/>
      <c r="FY922" s="211">
        <v>917</v>
      </c>
      <c r="FZ922">
        <v>0.84055695713977252</v>
      </c>
      <c r="GA922">
        <v>1.0057844053077674</v>
      </c>
      <c r="GB922">
        <v>1.1998743765186688</v>
      </c>
      <c r="GC922">
        <v>1.0766490503120965</v>
      </c>
      <c r="GD922">
        <v>0.40907791818777844</v>
      </c>
      <c r="GE922">
        <v>0.17916673808789996</v>
      </c>
      <c r="GF922">
        <v>0.74923343208741267</v>
      </c>
      <c r="GG922">
        <v>0.57908430828062596</v>
      </c>
      <c r="GH922">
        <v>2.2985735835423678E-2</v>
      </c>
      <c r="GI922">
        <v>0.78772834513528522</v>
      </c>
      <c r="GJ922"/>
      <c r="GK922">
        <v>0.83779871323529409</v>
      </c>
      <c r="GL922">
        <v>0.84718543198529417</v>
      </c>
      <c r="GM922">
        <v>1.9700401278409088</v>
      </c>
      <c r="GN922">
        <v>3.1577739448051942</v>
      </c>
      <c r="GO922">
        <v>1.5555267857142854</v>
      </c>
      <c r="GP922">
        <v>0.33656249999999999</v>
      </c>
      <c r="GQ922">
        <v>0.90325271739130431</v>
      </c>
      <c r="GR922">
        <v>0.80556521739130427</v>
      </c>
      <c r="GS922">
        <v>2.4293870192307693E-2</v>
      </c>
      <c r="GT922">
        <v>1.0581824428748201</v>
      </c>
      <c r="GU922"/>
      <c r="GV922"/>
      <c r="GW922"/>
      <c r="GX922"/>
      <c r="GY922"/>
      <c r="GZ922"/>
      <c r="HA922"/>
      <c r="HB922"/>
      <c r="HC922"/>
    </row>
    <row r="923" spans="1:211" s="7" customFormat="1">
      <c r="A923" s="4"/>
      <c r="B923" s="4"/>
      <c r="C923" s="4"/>
      <c r="D923" s="4"/>
      <c r="E923" s="4"/>
      <c r="F923" s="28"/>
      <c r="G923" s="28"/>
      <c r="H923" s="83"/>
      <c r="I923" s="4"/>
      <c r="J923" s="4"/>
      <c r="K923" s="4"/>
      <c r="L923" s="4"/>
      <c r="M923" s="4"/>
      <c r="N923" s="28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81"/>
      <c r="AG923" s="81"/>
      <c r="AH923" s="81"/>
      <c r="AI923" s="4"/>
      <c r="AJ923" s="81"/>
      <c r="AK923" s="81"/>
      <c r="AL923" s="81"/>
      <c r="AM923" s="43">
        <v>907</v>
      </c>
      <c r="AN923">
        <v>38.674047289856119</v>
      </c>
      <c r="AO923">
        <v>1.0113950255198234</v>
      </c>
      <c r="AP923">
        <v>1.2794331175516145</v>
      </c>
      <c r="AQ923">
        <v>6.7862204909121324</v>
      </c>
      <c r="AR923">
        <v>0.93473356778025884</v>
      </c>
      <c r="AS923">
        <v>3.0664361059071648</v>
      </c>
      <c r="AT923">
        <v>0.62853275854197477</v>
      </c>
      <c r="AU923">
        <v>-1.8593515844664482E-2</v>
      </c>
      <c r="AV923"/>
      <c r="AW923"/>
      <c r="FY923" s="211">
        <v>918</v>
      </c>
      <c r="FZ923">
        <v>1.5890104168660322</v>
      </c>
      <c r="GA923">
        <v>1.8451855502275791</v>
      </c>
      <c r="GB923">
        <v>0.1495055944538965</v>
      </c>
      <c r="GC923">
        <v>0.28642544224216998</v>
      </c>
      <c r="GD923">
        <v>0.24355985412782247</v>
      </c>
      <c r="GE923">
        <v>0.11273697714239998</v>
      </c>
      <c r="GF923">
        <v>0.37461671604370633</v>
      </c>
      <c r="GG923">
        <v>0.34012406257845362</v>
      </c>
      <c r="GH923">
        <v>0.11249442504775362</v>
      </c>
      <c r="GI923">
        <v>0.4951952077012598</v>
      </c>
      <c r="GJ923"/>
      <c r="GK923">
        <v>1.5834487132352939</v>
      </c>
      <c r="GL923">
        <v>1.5538588694852939</v>
      </c>
      <c r="GM923">
        <v>0.24501953125000001</v>
      </c>
      <c r="GN923">
        <v>0.83901249999999994</v>
      </c>
      <c r="GO923">
        <v>0.92646562499999985</v>
      </c>
      <c r="GP923">
        <v>0.21168749999999995</v>
      </c>
      <c r="GQ923">
        <v>0.45162635869565215</v>
      </c>
      <c r="GR923">
        <v>0.47314719202898542</v>
      </c>
      <c r="GS923">
        <v>0.11895232371794871</v>
      </c>
      <c r="GT923">
        <v>0.66510251037977897</v>
      </c>
      <c r="GU923"/>
      <c r="GV923"/>
      <c r="GW923"/>
      <c r="GX923"/>
      <c r="GY923"/>
      <c r="GZ923"/>
      <c r="HA923"/>
      <c r="HB923"/>
      <c r="HC923"/>
    </row>
    <row r="924" spans="1:211" s="7" customFormat="1">
      <c r="A924" s="4"/>
      <c r="B924" s="4"/>
      <c r="C924" s="4"/>
      <c r="D924" s="4"/>
      <c r="E924" s="4"/>
      <c r="F924" s="28"/>
      <c r="G924" s="28"/>
      <c r="H924" s="83"/>
      <c r="I924" s="4"/>
      <c r="J924" s="4"/>
      <c r="K924" s="4"/>
      <c r="L924" s="4"/>
      <c r="M924" s="4"/>
      <c r="N924" s="28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81"/>
      <c r="AG924" s="81"/>
      <c r="AH924" s="81"/>
      <c r="AI924" s="4"/>
      <c r="AJ924" s="81"/>
      <c r="AK924" s="81"/>
      <c r="AL924" s="81"/>
      <c r="AM924" s="43">
        <v>908</v>
      </c>
      <c r="AN924">
        <v>59.616032608695647</v>
      </c>
      <c r="AO924">
        <v>1.2581054864130434</v>
      </c>
      <c r="AP924">
        <v>8.6083609735958664</v>
      </c>
      <c r="AQ924">
        <v>7.3988917444193074</v>
      </c>
      <c r="AR924">
        <v>1.1545987376482212</v>
      </c>
      <c r="AS924">
        <v>5.1257627186882431</v>
      </c>
      <c r="AT924" t="e">
        <v>#DIV/0!</v>
      </c>
      <c r="AU924" t="e">
        <v>#DIV/0!</v>
      </c>
      <c r="AV924"/>
      <c r="AW924"/>
      <c r="FY924" s="211">
        <v>919</v>
      </c>
      <c r="FZ924">
        <v>3.2477536608007651</v>
      </c>
      <c r="GA924">
        <v>3.7129941778751472</v>
      </c>
      <c r="GB924">
        <v>0.61810786820065411</v>
      </c>
      <c r="GC924">
        <v>0.79172665015230437</v>
      </c>
      <c r="GD924">
        <v>0.41043197891357674</v>
      </c>
      <c r="GE924">
        <v>7.1247647751975007E-2</v>
      </c>
      <c r="GF924">
        <v>4.0519097411428125E-2</v>
      </c>
      <c r="GG924">
        <v>5.0581908438140623E-2</v>
      </c>
      <c r="GH924">
        <v>0.13548016088317727</v>
      </c>
      <c r="GI924">
        <v>0.89391427579717586</v>
      </c>
      <c r="GJ924"/>
      <c r="GK924">
        <v>3.2368479779411761</v>
      </c>
      <c r="GL924">
        <v>3.127570634191176</v>
      </c>
      <c r="GM924">
        <v>1.0147993607954544</v>
      </c>
      <c r="GN924">
        <v>2.321465097402597</v>
      </c>
      <c r="GO924">
        <v>1.5613727678571427</v>
      </c>
      <c r="GP924">
        <v>0.133921875</v>
      </c>
      <c r="GQ924">
        <v>4.8843750000000005E-2</v>
      </c>
      <c r="GR924">
        <v>7.0364583333333328E-2</v>
      </c>
      <c r="GS924">
        <v>0.14324619391025639</v>
      </c>
      <c r="GT924">
        <v>1.201022010100806</v>
      </c>
      <c r="GU924"/>
      <c r="GV924"/>
      <c r="GW924"/>
      <c r="GX924"/>
      <c r="GY924"/>
      <c r="GZ924"/>
      <c r="HA924"/>
      <c r="HB924"/>
      <c r="HC924"/>
    </row>
    <row r="925" spans="1:211" s="7" customFormat="1">
      <c r="A925" s="4"/>
      <c r="B925" s="4"/>
      <c r="C925" s="4"/>
      <c r="D925" s="4"/>
      <c r="E925" s="4"/>
      <c r="F925" s="28"/>
      <c r="G925" s="28"/>
      <c r="H925" s="83"/>
      <c r="I925" s="4"/>
      <c r="J925" s="4"/>
      <c r="K925" s="4"/>
      <c r="L925" s="4"/>
      <c r="M925" s="4"/>
      <c r="N925" s="28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81"/>
      <c r="AG925" s="81"/>
      <c r="AH925" s="81"/>
      <c r="AI925" s="4"/>
      <c r="AJ925" s="81"/>
      <c r="AK925" s="81"/>
      <c r="AL925" s="81"/>
      <c r="AM925" s="43">
        <v>909</v>
      </c>
      <c r="AN925">
        <v>26.982226726160548</v>
      </c>
      <c r="AO925">
        <v>0.55764492925150833</v>
      </c>
      <c r="AP925">
        <v>2.4219193757791269</v>
      </c>
      <c r="AQ925">
        <v>4.0152058058138236</v>
      </c>
      <c r="AR925">
        <v>0.5164027875188536</v>
      </c>
      <c r="AS925">
        <v>2.2195469375798074</v>
      </c>
      <c r="AT925" t="e">
        <v>#DIV/0!</v>
      </c>
      <c r="AU925" t="e">
        <v>#DIV/0!</v>
      </c>
      <c r="AV925"/>
      <c r="AW925"/>
      <c r="FY925" s="211">
        <v>920</v>
      </c>
      <c r="FZ925">
        <v>0.52505420715539719</v>
      </c>
      <c r="GA925">
        <v>0.72283624287889192</v>
      </c>
      <c r="GB925">
        <v>0.36004844704729566</v>
      </c>
      <c r="GC925">
        <v>0.19446569157215249</v>
      </c>
      <c r="GD925">
        <v>0.13162888891158428</v>
      </c>
      <c r="GE925">
        <v>0.13580575682962504</v>
      </c>
      <c r="GF925">
        <v>0.24090012531466881</v>
      </c>
      <c r="GG925">
        <v>0.23978821552359375</v>
      </c>
      <c r="GH925">
        <v>0.15603164258923619</v>
      </c>
      <c r="GI925">
        <v>0.30830515655554758</v>
      </c>
      <c r="GJ925"/>
      <c r="GK925">
        <v>0.523246875</v>
      </c>
      <c r="GL925">
        <v>0.60866484374999996</v>
      </c>
      <c r="GM925">
        <v>0.59049609375000001</v>
      </c>
      <c r="GN925">
        <v>0.56978839285714278</v>
      </c>
      <c r="GO925">
        <v>0.50106964285714284</v>
      </c>
      <c r="GP925">
        <v>0.25514062500000001</v>
      </c>
      <c r="GQ925">
        <v>0.29081250000000003</v>
      </c>
      <c r="GR925">
        <v>0.33385416666666667</v>
      </c>
      <c r="GS925">
        <v>0.16502303685897435</v>
      </c>
      <c r="GT925">
        <v>0.41412962969322348</v>
      </c>
      <c r="GU925"/>
      <c r="GV925"/>
      <c r="GW925"/>
      <c r="GX925"/>
      <c r="GY925"/>
      <c r="GZ925"/>
      <c r="HA925"/>
      <c r="HB925"/>
      <c r="HC925"/>
    </row>
    <row r="926" spans="1:211" s="7" customFormat="1">
      <c r="A926" s="4"/>
      <c r="B926" s="4"/>
      <c r="C926" s="4"/>
      <c r="D926" s="4"/>
      <c r="E926" s="4"/>
      <c r="F926" s="28"/>
      <c r="G926" s="28"/>
      <c r="H926" s="83"/>
      <c r="I926" s="4"/>
      <c r="J926" s="4"/>
      <c r="K926" s="4"/>
      <c r="L926" s="4"/>
      <c r="M926" s="4"/>
      <c r="N926" s="28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81"/>
      <c r="AG926" s="81"/>
      <c r="AH926" s="81"/>
      <c r="AI926" s="4"/>
      <c r="AJ926" s="81"/>
      <c r="AK926" s="81"/>
      <c r="AL926" s="81"/>
      <c r="AM926" s="43">
        <v>910</v>
      </c>
      <c r="AN926">
        <v>30.461666202155328</v>
      </c>
      <c r="AO926">
        <v>0.63184048808528426</v>
      </c>
      <c r="AP926">
        <v>16.434586357263839</v>
      </c>
      <c r="AQ926">
        <v>4.5968423806382281</v>
      </c>
      <c r="AR926">
        <v>0.58968398829431434</v>
      </c>
      <c r="AS926">
        <v>2.8012600074454448</v>
      </c>
      <c r="AT926" t="e">
        <v>#DIV/0!</v>
      </c>
      <c r="AU926" t="e">
        <v>#DIV/0!</v>
      </c>
      <c r="AV926"/>
      <c r="AW926"/>
      <c r="FY926" s="211">
        <v>921</v>
      </c>
      <c r="FZ926">
        <v>1.6102770066170922</v>
      </c>
      <c r="GA926">
        <v>2.6601465270700695</v>
      </c>
      <c r="GB926">
        <v>0.89934089813590412</v>
      </c>
      <c r="GC926">
        <v>0.66696353629952831</v>
      </c>
      <c r="GD926">
        <v>0.31642584449940003</v>
      </c>
      <c r="GE926">
        <v>3.0832901432324998E-2</v>
      </c>
      <c r="GF926">
        <v>0.36024295839505316</v>
      </c>
      <c r="GG926">
        <v>0.37841261417090627</v>
      </c>
      <c r="GH926">
        <v>0.1330459067538125</v>
      </c>
      <c r="GI926">
        <v>0.72350530643762956</v>
      </c>
      <c r="GJ926"/>
      <c r="GK926">
        <v>1.6048443014705882</v>
      </c>
      <c r="GL926">
        <v>2.2407622702205883</v>
      </c>
      <c r="GM926">
        <v>1.47603515625</v>
      </c>
      <c r="GN926">
        <v>1.9545703125000002</v>
      </c>
      <c r="GO926">
        <v>1.2031875000000001</v>
      </c>
      <c r="GP926">
        <v>5.7890625000000001E-2</v>
      </c>
      <c r="GQ926">
        <v>0.43509375</v>
      </c>
      <c r="GR926">
        <v>0.52697916666666667</v>
      </c>
      <c r="GS926">
        <v>0.14072916666666666</v>
      </c>
      <c r="GT926">
        <v>0.97197797487745086</v>
      </c>
      <c r="GU926"/>
      <c r="GV926"/>
      <c r="GW926"/>
      <c r="GX926"/>
      <c r="GY926"/>
      <c r="GZ926"/>
      <c r="HA926"/>
      <c r="HB926"/>
      <c r="HC926"/>
    </row>
    <row r="927" spans="1:211" s="7" customFormat="1">
      <c r="A927" s="4"/>
      <c r="B927" s="4"/>
      <c r="C927" s="4"/>
      <c r="D927" s="4"/>
      <c r="E927" s="4"/>
      <c r="F927" s="28"/>
      <c r="G927" s="28"/>
      <c r="H927" s="83"/>
      <c r="I927" s="4"/>
      <c r="J927" s="4"/>
      <c r="K927" s="4"/>
      <c r="L927" s="4"/>
      <c r="M927" s="4"/>
      <c r="N927" s="28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81"/>
      <c r="AG927" s="81"/>
      <c r="AH927" s="81"/>
      <c r="AI927" s="4"/>
      <c r="AJ927" s="81"/>
      <c r="AK927" s="81"/>
      <c r="AL927" s="81"/>
      <c r="AM927" s="43">
        <v>911</v>
      </c>
      <c r="AN927">
        <v>51.875417072951436</v>
      </c>
      <c r="AO927">
        <v>1.2588696455752661</v>
      </c>
      <c r="AP927">
        <v>1.5822688653662738</v>
      </c>
      <c r="AQ927">
        <v>8.4862890078296864</v>
      </c>
      <c r="AR927">
        <v>1.1611241205404514</v>
      </c>
      <c r="AS927">
        <v>4.2457495424076486</v>
      </c>
      <c r="AT927">
        <v>0.83352485381380459</v>
      </c>
      <c r="AU927">
        <v>9.6476071858355675E-2</v>
      </c>
      <c r="AV927"/>
      <c r="AW927"/>
      <c r="FY927" s="211">
        <v>922</v>
      </c>
      <c r="FZ927">
        <v>1.4799912615724304</v>
      </c>
      <c r="GA927">
        <v>2.0101171693869855</v>
      </c>
      <c r="GB927">
        <v>0.83923111670925221</v>
      </c>
      <c r="GC927">
        <v>0.46824751298381817</v>
      </c>
      <c r="GD927">
        <v>0.14148652644256177</v>
      </c>
      <c r="GE927">
        <v>7.1247647751975007E-2</v>
      </c>
      <c r="GF927">
        <v>0.20038102790324064</v>
      </c>
      <c r="GG927">
        <v>0.23978821552359375</v>
      </c>
      <c r="GH927">
        <v>0.15603164258923619</v>
      </c>
      <c r="GI927">
        <v>0.56542495794336833</v>
      </c>
      <c r="GJ927"/>
      <c r="GK927">
        <v>1.474904963235294</v>
      </c>
      <c r="GL927">
        <v>1.6928971507352941</v>
      </c>
      <c r="GM927">
        <v>1.3776157670454545</v>
      </c>
      <c r="GN927">
        <v>1.3747744724025972</v>
      </c>
      <c r="GO927">
        <v>0.5392915178571428</v>
      </c>
      <c r="GP927">
        <v>0.133921875</v>
      </c>
      <c r="GQ927">
        <v>0.24196875000000001</v>
      </c>
      <c r="GR927">
        <v>0.33385416666666667</v>
      </c>
      <c r="GS927">
        <v>0.16502303685897435</v>
      </c>
      <c r="GT927">
        <v>0.7597608069993731</v>
      </c>
      <c r="GU927"/>
      <c r="GV927"/>
      <c r="GW927"/>
      <c r="GX927"/>
      <c r="GY927"/>
      <c r="GZ927"/>
      <c r="HA927"/>
      <c r="HB927"/>
      <c r="HC927"/>
    </row>
    <row r="928" spans="1:211" s="7" customFormat="1">
      <c r="A928" s="4"/>
      <c r="B928" s="4"/>
      <c r="C928" s="4"/>
      <c r="D928" s="4"/>
      <c r="E928" s="4"/>
      <c r="F928" s="28"/>
      <c r="G928" s="28"/>
      <c r="H928" s="83"/>
      <c r="I928" s="4"/>
      <c r="J928" s="4"/>
      <c r="K928" s="4"/>
      <c r="L928" s="4"/>
      <c r="M928" s="4"/>
      <c r="N928" s="28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81"/>
      <c r="AG928" s="81"/>
      <c r="AH928" s="81"/>
      <c r="AI928" s="4"/>
      <c r="AJ928" s="81"/>
      <c r="AK928" s="81"/>
      <c r="AL928" s="81"/>
      <c r="AM928" s="43">
        <v>912</v>
      </c>
      <c r="AN928">
        <v>37.464463038559892</v>
      </c>
      <c r="AO928">
        <v>0.90484012399788494</v>
      </c>
      <c r="AP928">
        <v>0.84053182363785939</v>
      </c>
      <c r="AQ928">
        <v>6.0203131597158404</v>
      </c>
      <c r="AR928">
        <v>0.83565694183374162</v>
      </c>
      <c r="AS928">
        <v>3.0137008836937911</v>
      </c>
      <c r="AT928" t="e">
        <v>#DIV/0!</v>
      </c>
      <c r="AU928" t="e">
        <v>#DIV/0!</v>
      </c>
      <c r="AV928"/>
      <c r="AW928"/>
      <c r="FY928" s="211">
        <v>923</v>
      </c>
      <c r="FZ928">
        <v>2.0207881137854451</v>
      </c>
      <c r="GA928">
        <v>2.4359682427095581</v>
      </c>
      <c r="GB928">
        <v>1.1251580625576139</v>
      </c>
      <c r="GC928">
        <v>0.84912345445641157</v>
      </c>
      <c r="GD928">
        <v>0.27681736806240748</v>
      </c>
      <c r="GE928">
        <v>0.13382624751052499</v>
      </c>
      <c r="GF928">
        <v>0.33409761863227821</v>
      </c>
      <c r="GG928">
        <v>0.34012406257845362</v>
      </c>
      <c r="GH928">
        <v>8.9508689212329934E-2</v>
      </c>
      <c r="GI928">
        <v>0.80563578906038047</v>
      </c>
      <c r="GJ928"/>
      <c r="GK928">
        <v>2.0138755514705879</v>
      </c>
      <c r="GL928">
        <v>2.0518911764705883</v>
      </c>
      <c r="GM928">
        <v>1.8478877840909089</v>
      </c>
      <c r="GN928">
        <v>2.4919596590909086</v>
      </c>
      <c r="GO928">
        <v>1.0531968749999998</v>
      </c>
      <c r="GP928">
        <v>0.25157812499999999</v>
      </c>
      <c r="GQ928">
        <v>0.40278260869565213</v>
      </c>
      <c r="GR928">
        <v>0.47314719202898542</v>
      </c>
      <c r="GS928">
        <v>9.465845352564102E-2</v>
      </c>
      <c r="GT928">
        <v>1.0824802545565579</v>
      </c>
      <c r="GU928"/>
      <c r="GV928"/>
      <c r="GW928"/>
      <c r="GX928"/>
      <c r="GY928"/>
      <c r="GZ928"/>
      <c r="HA928"/>
      <c r="HB928"/>
      <c r="HC928"/>
    </row>
    <row r="929" spans="1:211" s="7" customFormat="1">
      <c r="A929" s="4"/>
      <c r="B929" s="4"/>
      <c r="C929" s="4"/>
      <c r="D929" s="4"/>
      <c r="E929" s="4"/>
      <c r="F929" s="28"/>
      <c r="G929" s="28"/>
      <c r="H929" s="83"/>
      <c r="I929" s="4"/>
      <c r="J929" s="4"/>
      <c r="K929" s="4"/>
      <c r="L929" s="4"/>
      <c r="M929" s="4"/>
      <c r="N929" s="28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81"/>
      <c r="AG929" s="81"/>
      <c r="AH929" s="81"/>
      <c r="AI929" s="4"/>
      <c r="AJ929" s="81"/>
      <c r="AK929" s="81"/>
      <c r="AL929" s="81"/>
      <c r="AM929" s="43">
        <v>913</v>
      </c>
      <c r="AN929">
        <v>43.174294539675756</v>
      </c>
      <c r="AO929">
        <v>0.99464845203652108</v>
      </c>
      <c r="AP929">
        <v>8.568125922887539</v>
      </c>
      <c r="AQ929">
        <v>7.9140107818026033</v>
      </c>
      <c r="AR929">
        <v>0.91147018366956456</v>
      </c>
      <c r="AS929">
        <v>3.4310822320883694</v>
      </c>
      <c r="AT929" t="e">
        <v>#DIV/0!</v>
      </c>
      <c r="AU929" t="e">
        <v>#DIV/0!</v>
      </c>
      <c r="AV929"/>
      <c r="AW929"/>
      <c r="FY929" s="211">
        <v>924</v>
      </c>
      <c r="FZ929">
        <v>0.38331145960177215</v>
      </c>
      <c r="GA929">
        <v>0.63197449272516182</v>
      </c>
      <c r="GB929">
        <v>0.85263823887486323</v>
      </c>
      <c r="GC929">
        <v>0.55938900812370884</v>
      </c>
      <c r="GD929">
        <v>0.12771488906520106</v>
      </c>
      <c r="GE929">
        <v>0.12809556381015003</v>
      </c>
      <c r="GF929">
        <v>0.78975252949884067</v>
      </c>
      <c r="GG929">
        <v>0.62966621671876666</v>
      </c>
      <c r="GH929">
        <v>6.6522953376906252E-2</v>
      </c>
      <c r="GI929">
        <v>0.4898996522246899</v>
      </c>
      <c r="GJ929"/>
      <c r="GK929">
        <v>0.38187187499999997</v>
      </c>
      <c r="GL929">
        <v>0.53210625</v>
      </c>
      <c r="GM929">
        <v>1.3996626420454543</v>
      </c>
      <c r="GN929">
        <v>1.6417331777597401</v>
      </c>
      <c r="GO929">
        <v>0.48642991071428565</v>
      </c>
      <c r="GP929">
        <v>0.24065624999999999</v>
      </c>
      <c r="GQ929">
        <v>0.95209646739130416</v>
      </c>
      <c r="GR929">
        <v>0.87592980072463755</v>
      </c>
      <c r="GS929">
        <v>7.0364583333333328E-2</v>
      </c>
      <c r="GT929">
        <v>0.65808509569687557</v>
      </c>
      <c r="GU929"/>
      <c r="GV929"/>
      <c r="GW929"/>
      <c r="GX929"/>
      <c r="GY929"/>
      <c r="GZ929"/>
      <c r="HA929"/>
      <c r="HB929"/>
      <c r="HC929"/>
    </row>
    <row r="930" spans="1:211" s="7" customFormat="1">
      <c r="A930" s="4"/>
      <c r="B930" s="4"/>
      <c r="C930" s="4"/>
      <c r="D930" s="4"/>
      <c r="E930" s="4"/>
      <c r="F930" s="28"/>
      <c r="G930" s="28"/>
      <c r="H930" s="83"/>
      <c r="I930" s="4"/>
      <c r="J930" s="4"/>
      <c r="K930" s="4"/>
      <c r="L930" s="4"/>
      <c r="M930" s="4"/>
      <c r="N930" s="28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81"/>
      <c r="AG930" s="81"/>
      <c r="AH930" s="81"/>
      <c r="AI930" s="4"/>
      <c r="AJ930" s="81"/>
      <c r="AK930" s="81"/>
      <c r="AL930" s="81"/>
      <c r="AM930" s="43">
        <v>914</v>
      </c>
      <c r="AN930">
        <v>48.891699558167751</v>
      </c>
      <c r="AO930">
        <v>1.0198592002846498</v>
      </c>
      <c r="AP930">
        <v>0.8640508156900284</v>
      </c>
      <c r="AQ930">
        <v>7.3579784176290097</v>
      </c>
      <c r="AR930">
        <v>0.95470837482170956</v>
      </c>
      <c r="AS930">
        <v>3.9148076381167178</v>
      </c>
      <c r="AT930" t="e">
        <v>#DIV/0!</v>
      </c>
      <c r="AU930" t="e">
        <v>#DIV/0!</v>
      </c>
      <c r="AV930"/>
      <c r="AW930"/>
      <c r="FY930" s="211">
        <v>925</v>
      </c>
      <c r="FZ930">
        <v>1.0749501796864278</v>
      </c>
      <c r="GA930">
        <v>1.7819354754179051</v>
      </c>
      <c r="GB930">
        <v>1.4993940766979563</v>
      </c>
      <c r="GC930">
        <v>1.3000709169359466</v>
      </c>
      <c r="GD930">
        <v>0.58376694816191255</v>
      </c>
      <c r="GE930">
        <v>0.23879910290782499</v>
      </c>
      <c r="GF930">
        <v>4.0519097411428125E-2</v>
      </c>
      <c r="GG930">
        <v>5.0581908438140623E-2</v>
      </c>
      <c r="GH930">
        <v>6.6522953376906252E-2</v>
      </c>
      <c r="GI930">
        <v>0.8741985982392253</v>
      </c>
      <c r="GJ930"/>
      <c r="GK930">
        <v>1.071151838235294</v>
      </c>
      <c r="GL930">
        <v>1.500444806985294</v>
      </c>
      <c r="GM930">
        <v>2.4610401278409086</v>
      </c>
      <c r="GN930">
        <v>3.812059659090909</v>
      </c>
      <c r="GO930">
        <v>2.220140625</v>
      </c>
      <c r="GP930">
        <v>0.44882812500000002</v>
      </c>
      <c r="GQ930">
        <v>4.8843750000000005E-2</v>
      </c>
      <c r="GR930">
        <v>7.0364583333333328E-2</v>
      </c>
      <c r="GS930">
        <v>7.0364583333333328E-2</v>
      </c>
      <c r="GT930">
        <v>1.1743081848819072</v>
      </c>
      <c r="GU930"/>
      <c r="GV930"/>
      <c r="GW930"/>
      <c r="GX930"/>
      <c r="GY930"/>
      <c r="GZ930"/>
      <c r="HA930"/>
      <c r="HB930"/>
      <c r="HC930"/>
    </row>
    <row r="931" spans="1:211" s="7" customFormat="1">
      <c r="A931" s="4"/>
      <c r="B931" s="4"/>
      <c r="C931" s="4"/>
      <c r="D931" s="4"/>
      <c r="E931" s="4"/>
      <c r="F931" s="28"/>
      <c r="G931" s="28"/>
      <c r="H931" s="83"/>
      <c r="I931" s="4"/>
      <c r="J931" s="4"/>
      <c r="K931" s="4"/>
      <c r="L931" s="4"/>
      <c r="M931" s="4"/>
      <c r="N931" s="28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81"/>
      <c r="AG931" s="81"/>
      <c r="AH931" s="81"/>
      <c r="AI931" s="4"/>
      <c r="AJ931" s="81"/>
      <c r="AK931" s="81"/>
      <c r="AL931" s="81"/>
      <c r="AM931" s="43">
        <v>915</v>
      </c>
      <c r="AN931">
        <v>19.8397702991453</v>
      </c>
      <c r="AO931">
        <v>0.47458560817307688</v>
      </c>
      <c r="AP931">
        <v>2.5237426599495434</v>
      </c>
      <c r="AQ931">
        <v>3.8444610017525491</v>
      </c>
      <c r="AR931">
        <v>0.46987158653846151</v>
      </c>
      <c r="AS931">
        <v>1.7215289085830987</v>
      </c>
      <c r="AT931" t="e">
        <v>#DIV/0!</v>
      </c>
      <c r="AU931" t="e">
        <v>#DIV/0!</v>
      </c>
      <c r="AV931"/>
      <c r="AW931"/>
      <c r="FY931" s="211">
        <v>926</v>
      </c>
      <c r="FZ931">
        <v>1.1929305908406067</v>
      </c>
      <c r="GA931">
        <v>1.9235552065414563</v>
      </c>
      <c r="GB931">
        <v>0.51972291426047701</v>
      </c>
      <c r="GC931">
        <v>0.67771516537090626</v>
      </c>
      <c r="GD931">
        <v>0.54106331294047505</v>
      </c>
      <c r="GE931">
        <v>0.19940501093332497</v>
      </c>
      <c r="GF931">
        <v>0.82805716775636906</v>
      </c>
      <c r="GG931">
        <v>0.76829061536607923</v>
      </c>
      <c r="GH931">
        <v>6.6522953376906252E-2</v>
      </c>
      <c r="GI931">
        <v>0.76954907870884159</v>
      </c>
      <c r="GJ931"/>
      <c r="GK931">
        <v>1.188892463235294</v>
      </c>
      <c r="GL931">
        <v>1.620107306985294</v>
      </c>
      <c r="GM931">
        <v>0.85230859375000012</v>
      </c>
      <c r="GN931">
        <v>1.9841406250000002</v>
      </c>
      <c r="GO931">
        <v>2.0571562500000002</v>
      </c>
      <c r="GP931">
        <v>0.37457812499999998</v>
      </c>
      <c r="GQ931">
        <v>0.99869021739130437</v>
      </c>
      <c r="GR931">
        <v>1.0690548007246377</v>
      </c>
      <c r="GS931">
        <v>7.0364583333333328E-2</v>
      </c>
      <c r="GT931">
        <v>1.0334824215419862</v>
      </c>
      <c r="GU931"/>
      <c r="GV931"/>
      <c r="GW931"/>
      <c r="GX931"/>
      <c r="GY931"/>
      <c r="GZ931"/>
      <c r="HA931"/>
      <c r="HB931"/>
      <c r="HC931"/>
    </row>
    <row r="932" spans="1:211" s="7" customFormat="1">
      <c r="A932" s="4"/>
      <c r="B932" s="4"/>
      <c r="C932" s="4"/>
      <c r="D932" s="4"/>
      <c r="E932" s="4"/>
      <c r="F932" s="28"/>
      <c r="G932" s="28"/>
      <c r="H932" s="83"/>
      <c r="I932" s="4"/>
      <c r="J932" s="4"/>
      <c r="K932" s="4"/>
      <c r="L932" s="4"/>
      <c r="M932" s="4"/>
      <c r="N932" s="28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81"/>
      <c r="AG932" s="81"/>
      <c r="AH932" s="81"/>
      <c r="AI932" s="4"/>
      <c r="AJ932" s="81"/>
      <c r="AK932" s="81"/>
      <c r="AL932" s="81"/>
      <c r="AM932" s="43">
        <v>916</v>
      </c>
      <c r="AN932">
        <v>36.057382428538105</v>
      </c>
      <c r="AO932">
        <v>0.91323523674298301</v>
      </c>
      <c r="AP932">
        <v>4.3698076567696891</v>
      </c>
      <c r="AQ932">
        <v>7.0561138478791463</v>
      </c>
      <c r="AR932">
        <v>0.86864397614746713</v>
      </c>
      <c r="AS932">
        <v>2.908933090887555</v>
      </c>
      <c r="AT932" t="e">
        <v>#DIV/0!</v>
      </c>
      <c r="AU932" t="e">
        <v>#DIV/0!</v>
      </c>
      <c r="AV932"/>
      <c r="AW932"/>
      <c r="FY932" s="211">
        <v>927</v>
      </c>
      <c r="FZ932">
        <v>0.89869443060729126</v>
      </c>
      <c r="GA932">
        <v>1.1627128145275467</v>
      </c>
      <c r="GB932">
        <v>0.90922035616049179</v>
      </c>
      <c r="GC932">
        <v>0.74230794795007626</v>
      </c>
      <c r="GD932">
        <v>0.287614001111416</v>
      </c>
      <c r="GE932">
        <v>0.1406236436361</v>
      </c>
      <c r="GF932">
        <v>1.0833310507196909</v>
      </c>
      <c r="GG932">
        <v>1.0203721877353609</v>
      </c>
      <c r="GH932">
        <v>0.24554033180156609</v>
      </c>
      <c r="GI932">
        <v>0.75164582623050336</v>
      </c>
      <c r="GJ932"/>
      <c r="GK932">
        <v>0.89573621323529407</v>
      </c>
      <c r="GL932">
        <v>0.97932605698529396</v>
      </c>
      <c r="GM932">
        <v>1.4923931107954544</v>
      </c>
      <c r="GN932">
        <v>2.1772519277597402</v>
      </c>
      <c r="GO932">
        <v>1.0943236607142857</v>
      </c>
      <c r="GP932">
        <v>0.26418750000000002</v>
      </c>
      <c r="GQ932">
        <v>1.3060353260869564</v>
      </c>
      <c r="GR932">
        <v>1.4194415760869563</v>
      </c>
      <c r="GS932">
        <v>0.25968149038461541</v>
      </c>
      <c r="GT932">
        <v>1.0096339602433211</v>
      </c>
      <c r="GU932"/>
      <c r="GV932"/>
      <c r="GW932"/>
      <c r="GX932"/>
      <c r="GY932"/>
      <c r="GZ932"/>
      <c r="HA932"/>
      <c r="HB932"/>
      <c r="HC932"/>
    </row>
    <row r="933" spans="1:211" s="7" customFormat="1">
      <c r="A933" s="4"/>
      <c r="B933" s="4"/>
      <c r="C933" s="4"/>
      <c r="D933" s="4"/>
      <c r="E933" s="4"/>
      <c r="F933" s="28"/>
      <c r="G933" s="28"/>
      <c r="H933" s="83"/>
      <c r="I933" s="4"/>
      <c r="J933" s="4"/>
      <c r="K933" s="4"/>
      <c r="L933" s="4"/>
      <c r="M933" s="4"/>
      <c r="N933" s="28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81"/>
      <c r="AG933" s="81"/>
      <c r="AH933" s="81"/>
      <c r="AI933" s="4"/>
      <c r="AJ933" s="81"/>
      <c r="AK933" s="81"/>
      <c r="AL933" s="81"/>
      <c r="AM933" s="43">
        <v>917</v>
      </c>
      <c r="AN933">
        <v>51.325857750430146</v>
      </c>
      <c r="AO933">
        <v>1.1496181751430712</v>
      </c>
      <c r="AP933">
        <v>1.866931117967201</v>
      </c>
      <c r="AQ933">
        <v>6.85014126689273</v>
      </c>
      <c r="AR933">
        <v>1.0581824428748203</v>
      </c>
      <c r="AS933">
        <v>4.4319496929393347</v>
      </c>
      <c r="AT933" t="e">
        <v>#DIV/0!</v>
      </c>
      <c r="AU933" t="e">
        <v>#DIV/0!</v>
      </c>
      <c r="AV933"/>
      <c r="AW933"/>
      <c r="FY933" s="211">
        <v>928</v>
      </c>
      <c r="FZ933">
        <v>1.6398633175333681</v>
      </c>
      <c r="GA933">
        <v>1.8842957349929288</v>
      </c>
      <c r="GB933">
        <v>1.0374627288852136</v>
      </c>
      <c r="GC933">
        <v>0.92444167908902319</v>
      </c>
      <c r="GD933">
        <v>0.35963401341341245</v>
      </c>
      <c r="GE933">
        <v>3.0832901432324998E-2</v>
      </c>
      <c r="GF933">
        <v>0.37461671604370633</v>
      </c>
      <c r="GG933">
        <v>0.34012406257845362</v>
      </c>
      <c r="GH933">
        <v>8.9508689212329934E-2</v>
      </c>
      <c r="GI933">
        <v>0.78184908695269817</v>
      </c>
      <c r="GJ933"/>
      <c r="GK933">
        <v>1.634279963235294</v>
      </c>
      <c r="GL933">
        <v>1.587123713235294</v>
      </c>
      <c r="GM933">
        <v>1.7034048295454542</v>
      </c>
      <c r="GN933">
        <v>2.7110298295454545</v>
      </c>
      <c r="GO933">
        <v>1.3679531249999999</v>
      </c>
      <c r="GP933">
        <v>5.7890625000000001E-2</v>
      </c>
      <c r="GQ933">
        <v>0.45162635869565215</v>
      </c>
      <c r="GR933">
        <v>0.47314719202898542</v>
      </c>
      <c r="GS933">
        <v>9.465845352564102E-2</v>
      </c>
      <c r="GT933">
        <v>1.0503845460004082</v>
      </c>
      <c r="GU933"/>
      <c r="GV933"/>
      <c r="GW933"/>
      <c r="GX933"/>
      <c r="GY933"/>
      <c r="GZ933"/>
      <c r="HA933"/>
      <c r="HB933"/>
      <c r="HC933"/>
    </row>
    <row r="934" spans="1:211" s="7" customFormat="1">
      <c r="A934" s="4"/>
      <c r="B934" s="4"/>
      <c r="C934" s="4"/>
      <c r="D934" s="4"/>
      <c r="E934" s="4"/>
      <c r="F934" s="28"/>
      <c r="G934" s="28"/>
      <c r="H934" s="83"/>
      <c r="I934" s="4"/>
      <c r="J934" s="4"/>
      <c r="K934" s="4"/>
      <c r="L934" s="4"/>
      <c r="M934" s="4"/>
      <c r="N934" s="28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81"/>
      <c r="AG934" s="81"/>
      <c r="AH934" s="81"/>
      <c r="AI934" s="4"/>
      <c r="AJ934" s="81"/>
      <c r="AK934" s="81"/>
      <c r="AL934" s="81"/>
      <c r="AM934" s="43">
        <v>918</v>
      </c>
      <c r="AN934">
        <v>35.958457874742244</v>
      </c>
      <c r="AO934">
        <v>0.70683211237929533</v>
      </c>
      <c r="AP934">
        <v>9.0568828358480208E-2</v>
      </c>
      <c r="AQ934">
        <v>5.5488542464310733</v>
      </c>
      <c r="AR934">
        <v>0.66510251037977897</v>
      </c>
      <c r="AS934">
        <v>2.7286547833849619</v>
      </c>
      <c r="AT934">
        <v>0.58831687092818863</v>
      </c>
      <c r="AU934">
        <v>6.7711563673238911E-2</v>
      </c>
      <c r="AV934"/>
      <c r="AW934"/>
      <c r="FY934" s="211">
        <v>929</v>
      </c>
      <c r="FZ934">
        <v>1.4019099321797666</v>
      </c>
      <c r="GA934">
        <v>2.1772283199704554</v>
      </c>
      <c r="GB934">
        <v>0.79090373807446279</v>
      </c>
      <c r="GC934">
        <v>0.30707820779064499</v>
      </c>
      <c r="GD934">
        <v>0.10262587853089927</v>
      </c>
      <c r="GE934">
        <v>6.4558109077649986E-2</v>
      </c>
      <c r="GF934">
        <v>0.20038102790324064</v>
      </c>
      <c r="GG934">
        <v>0.18920630708545313</v>
      </c>
      <c r="GH934">
        <v>8.9508689212329934E-2</v>
      </c>
      <c r="GI934">
        <v>0.50943681546541519</v>
      </c>
      <c r="GJ934"/>
      <c r="GK934">
        <v>1.3971393382352941</v>
      </c>
      <c r="GL934">
        <v>1.833838556985294</v>
      </c>
      <c r="GM934">
        <v>1.2979492187499999</v>
      </c>
      <c r="GN934">
        <v>0.9006196428571428</v>
      </c>
      <c r="GO934">
        <v>0.39065089285714283</v>
      </c>
      <c r="GP934">
        <v>0.12121874999999999</v>
      </c>
      <c r="GQ934">
        <v>0.24196875000000001</v>
      </c>
      <c r="GR934">
        <v>0.26348958333333333</v>
      </c>
      <c r="GS934">
        <v>9.465845352564102E-2</v>
      </c>
      <c r="GT934">
        <v>0.68447333067361549</v>
      </c>
      <c r="GU934"/>
      <c r="GV934"/>
      <c r="GW934"/>
      <c r="GX934"/>
      <c r="GY934"/>
      <c r="GZ934"/>
      <c r="HA934"/>
      <c r="HB934"/>
      <c r="HC934"/>
    </row>
    <row r="935" spans="1:211" s="7" customFormat="1">
      <c r="A935" s="4"/>
      <c r="B935" s="4"/>
      <c r="C935" s="4"/>
      <c r="D935" s="4"/>
      <c r="E935" s="4"/>
      <c r="F935" s="28"/>
      <c r="G935" s="28"/>
      <c r="H935" s="83"/>
      <c r="I935" s="4"/>
      <c r="J935" s="4"/>
      <c r="K935" s="4"/>
      <c r="L935" s="4"/>
      <c r="M935" s="4"/>
      <c r="N935" s="28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4"/>
      <c r="AF935" s="81"/>
      <c r="AG935" s="81"/>
      <c r="AH935" s="81"/>
      <c r="AI935" s="4"/>
      <c r="AJ935" s="81"/>
      <c r="AK935" s="81"/>
      <c r="AL935" s="81"/>
      <c r="AM935" s="43">
        <v>919</v>
      </c>
      <c r="AN935">
        <v>55.175388258936039</v>
      </c>
      <c r="AO935">
        <v>1.2859454250531941</v>
      </c>
      <c r="AP935">
        <v>1.8844194968741463</v>
      </c>
      <c r="AQ935">
        <v>9.9727574262243444</v>
      </c>
      <c r="AR935">
        <v>1.2010220101008062</v>
      </c>
      <c r="AS935">
        <v>3.8050092047076078</v>
      </c>
      <c r="AT935" t="e">
        <v>#DIV/0!</v>
      </c>
      <c r="AU935" t="e">
        <v>#DIV/0!</v>
      </c>
      <c r="AV935"/>
      <c r="AW935"/>
      <c r="FY935" s="211">
        <v>930</v>
      </c>
      <c r="FZ935">
        <v>0.98954412642360867</v>
      </c>
      <c r="GA935">
        <v>1.6872110633973589</v>
      </c>
      <c r="GB935">
        <v>0.92276072426247524</v>
      </c>
      <c r="GC935">
        <v>0.43182125341621697</v>
      </c>
      <c r="GD935">
        <v>0.15628229266917854</v>
      </c>
      <c r="GE935">
        <v>0.15796961026852496</v>
      </c>
      <c r="GF935">
        <v>0.36024295839505316</v>
      </c>
      <c r="GG935">
        <v>0.37841261417090627</v>
      </c>
      <c r="GH935">
        <v>0.17901737842465987</v>
      </c>
      <c r="GI935">
        <v>0.55377788307067921</v>
      </c>
      <c r="GJ935"/>
      <c r="GK935">
        <v>0.9861862132352941</v>
      </c>
      <c r="GL935">
        <v>1.4210573069852941</v>
      </c>
      <c r="GM935">
        <v>1.5148071732954542</v>
      </c>
      <c r="GN935">
        <v>1.26760349025974</v>
      </c>
      <c r="GO935">
        <v>0.59496428571428561</v>
      </c>
      <c r="GP935">
        <v>0.29676562500000003</v>
      </c>
      <c r="GQ935">
        <v>0.43509375</v>
      </c>
      <c r="GR935">
        <v>0.52697916666666667</v>
      </c>
      <c r="GS935">
        <v>0.18931690705128204</v>
      </c>
      <c r="GT935">
        <v>0.74407366585926327</v>
      </c>
      <c r="GU935"/>
      <c r="GV935"/>
      <c r="GW935"/>
      <c r="GX935"/>
      <c r="GY935"/>
      <c r="GZ935"/>
      <c r="HA935"/>
      <c r="HB935"/>
      <c r="HC935"/>
    </row>
    <row r="936" spans="1:211" s="7" customFormat="1">
      <c r="A936" s="4"/>
      <c r="B936" s="4"/>
      <c r="C936" s="4"/>
      <c r="D936" s="4"/>
      <c r="E936" s="4"/>
      <c r="F936" s="28"/>
      <c r="G936" s="28"/>
      <c r="H936" s="83"/>
      <c r="I936" s="4"/>
      <c r="J936" s="4"/>
      <c r="K936" s="4"/>
      <c r="L936" s="4"/>
      <c r="M936" s="4"/>
      <c r="N936" s="28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4"/>
      <c r="AF936" s="81"/>
      <c r="AG936" s="81"/>
      <c r="AH936" s="81"/>
      <c r="AI936" s="4"/>
      <c r="AJ936" s="81"/>
      <c r="AK936" s="81"/>
      <c r="AL936" s="81"/>
      <c r="AM936" s="43">
        <v>920</v>
      </c>
      <c r="AN936">
        <v>20.008313619251119</v>
      </c>
      <c r="AO936">
        <v>0.42522258064331508</v>
      </c>
      <c r="AP936">
        <v>0.36218239761180848</v>
      </c>
      <c r="AQ936">
        <v>3.0148643743779928</v>
      </c>
      <c r="AR936">
        <v>0.41412962969322337</v>
      </c>
      <c r="AS936">
        <v>1.8099156729994366</v>
      </c>
      <c r="AT936">
        <v>0.333773770051566</v>
      </c>
      <c r="AU936">
        <v>0.23056898556693078</v>
      </c>
      <c r="AV936"/>
      <c r="AW936"/>
      <c r="FY936" s="211">
        <v>931</v>
      </c>
      <c r="FZ936">
        <v>1.5108889364033964</v>
      </c>
      <c r="GA936">
        <v>1.8241821363211965</v>
      </c>
      <c r="GB936">
        <v>1.775927152931273</v>
      </c>
      <c r="GC936">
        <v>1.0208707692164298</v>
      </c>
      <c r="GD936">
        <v>0.14215357697507999</v>
      </c>
      <c r="GE936">
        <v>0.12231882202972501</v>
      </c>
      <c r="GF936">
        <v>0.15986193049181252</v>
      </c>
      <c r="GG936">
        <v>0.23978821552359375</v>
      </c>
      <c r="GH936">
        <v>0.1330459067538125</v>
      </c>
      <c r="GI936">
        <v>0.78832386115471309</v>
      </c>
      <c r="GJ936"/>
      <c r="GK936">
        <v>1.5055893382352941</v>
      </c>
      <c r="GL936">
        <v>1.5362924632352939</v>
      </c>
      <c r="GM936">
        <v>2.916214488636363</v>
      </c>
      <c r="GN936">
        <v>2.9976269886363633</v>
      </c>
      <c r="GO936">
        <v>0.54116249999999999</v>
      </c>
      <c r="GP936">
        <v>0.22982812499999999</v>
      </c>
      <c r="GQ936">
        <v>0.19312499999999999</v>
      </c>
      <c r="GR936">
        <v>0.33385416666666667</v>
      </c>
      <c r="GS936">
        <v>0.14072916666666666</v>
      </c>
      <c r="GT936">
        <v>1.0593640987076649</v>
      </c>
      <c r="GU936"/>
      <c r="GV936"/>
      <c r="GW936"/>
      <c r="GX936"/>
      <c r="GY936"/>
      <c r="GZ936"/>
      <c r="HA936"/>
      <c r="HB936"/>
      <c r="HC936"/>
    </row>
    <row r="937" spans="1:211" s="7" customFormat="1">
      <c r="A937" s="4"/>
      <c r="B937" s="4"/>
      <c r="C937" s="4"/>
      <c r="D937" s="4"/>
      <c r="E937" s="4"/>
      <c r="F937" s="28"/>
      <c r="G937" s="28"/>
      <c r="H937" s="83"/>
      <c r="I937" s="4"/>
      <c r="J937" s="4"/>
      <c r="K937" s="4"/>
      <c r="L937" s="4"/>
      <c r="M937" s="4"/>
      <c r="N937" s="28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4"/>
      <c r="AF937" s="81"/>
      <c r="AG937" s="81"/>
      <c r="AH937" s="81"/>
      <c r="AI937" s="4"/>
      <c r="AJ937" s="81"/>
      <c r="AK937" s="81"/>
      <c r="AL937" s="81"/>
      <c r="AM937" s="43">
        <v>921</v>
      </c>
      <c r="AN937">
        <v>46.226637391067541</v>
      </c>
      <c r="AO937">
        <v>1.0612070223651962</v>
      </c>
      <c r="AP937">
        <v>0.44824461232918078</v>
      </c>
      <c r="AQ937">
        <v>7.7791934998117203</v>
      </c>
      <c r="AR937">
        <v>0.97197797487745086</v>
      </c>
      <c r="AS937">
        <v>3.5192193076263965</v>
      </c>
      <c r="AT937" t="e">
        <v>#DIV/0!</v>
      </c>
      <c r="AU937" t="e">
        <v>#DIV/0!</v>
      </c>
      <c r="AV937"/>
      <c r="AW937"/>
      <c r="FY937" s="211">
        <v>932</v>
      </c>
      <c r="FZ937">
        <v>0.46506203510007371</v>
      </c>
      <c r="GA937">
        <v>0.96573976354629343</v>
      </c>
      <c r="GB937">
        <v>1.4454936543795716</v>
      </c>
      <c r="GC937">
        <v>1.4812221113778259</v>
      </c>
      <c r="GD937">
        <v>0.67235094157198505</v>
      </c>
      <c r="GE937">
        <v>0.16182077145547497</v>
      </c>
      <c r="GF937">
        <v>0.78975252949884067</v>
      </c>
      <c r="GG937">
        <v>0.57908430828062596</v>
      </c>
      <c r="GH937">
        <v>2.2985735835423678E-2</v>
      </c>
      <c r="GI937">
        <v>0.94843743030692473</v>
      </c>
      <c r="GJ937"/>
      <c r="GK937">
        <v>0.46338749999999995</v>
      </c>
      <c r="GL937">
        <v>0.81308671875000005</v>
      </c>
      <c r="GM937">
        <v>2.3732041903409087</v>
      </c>
      <c r="GN937">
        <v>4.342908096590909</v>
      </c>
      <c r="GO937">
        <v>2.5565437499999999</v>
      </c>
      <c r="GP937">
        <v>0.30398437500000003</v>
      </c>
      <c r="GQ937">
        <v>0.95209646739130416</v>
      </c>
      <c r="GR937">
        <v>0.80556521739130427</v>
      </c>
      <c r="GS937">
        <v>2.4293870192307693E-2</v>
      </c>
      <c r="GT937">
        <v>1.2739051555849041</v>
      </c>
      <c r="GU937"/>
      <c r="GV937"/>
      <c r="GW937"/>
      <c r="GX937"/>
      <c r="GY937"/>
      <c r="GZ937"/>
      <c r="HA937"/>
      <c r="HB937"/>
      <c r="HC937"/>
    </row>
    <row r="938" spans="1:211" s="7" customFormat="1">
      <c r="A938" s="4"/>
      <c r="B938" s="4"/>
      <c r="C938" s="4"/>
      <c r="D938" s="4"/>
      <c r="E938" s="4"/>
      <c r="F938" s="28"/>
      <c r="G938" s="28"/>
      <c r="H938" s="83"/>
      <c r="I938" s="4"/>
      <c r="J938" s="4"/>
      <c r="K938" s="4"/>
      <c r="L938" s="4"/>
      <c r="M938" s="4"/>
      <c r="N938" s="28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4"/>
      <c r="AF938" s="81"/>
      <c r="AG938" s="81"/>
      <c r="AH938" s="81"/>
      <c r="AI938" s="4"/>
      <c r="AJ938" s="81"/>
      <c r="AK938" s="81"/>
      <c r="AL938" s="81"/>
      <c r="AM938" s="43">
        <v>922</v>
      </c>
      <c r="AN938">
        <v>31.324091805525633</v>
      </c>
      <c r="AO938">
        <v>0.80940125068007984</v>
      </c>
      <c r="AP938">
        <v>0.72322603486001635</v>
      </c>
      <c r="AQ938">
        <v>6.1719470788064621</v>
      </c>
      <c r="AR938">
        <v>0.7597608069993731</v>
      </c>
      <c r="AS938">
        <v>2.7317529967057328</v>
      </c>
      <c r="AT938">
        <v>0.51154923411673892</v>
      </c>
      <c r="AU938">
        <v>0.1860935471700586</v>
      </c>
      <c r="AV938"/>
      <c r="AW938"/>
      <c r="FY938" s="211">
        <v>933</v>
      </c>
      <c r="FZ938">
        <v>1.5418267623043342</v>
      </c>
      <c r="GA938">
        <v>2.3815587450093556</v>
      </c>
      <c r="GB938">
        <v>1.6153129727682431</v>
      </c>
      <c r="GC938">
        <v>0.76609465910144592</v>
      </c>
      <c r="GD938">
        <v>9.9297578748596779E-2</v>
      </c>
      <c r="GE938">
        <v>9.05731237035E-2</v>
      </c>
      <c r="GF938">
        <v>0.40076205580648128</v>
      </c>
      <c r="GG938">
        <v>0.32783070573276563</v>
      </c>
      <c r="GH938">
        <v>8.9508689212329934E-2</v>
      </c>
      <c r="GI938">
        <v>0.76579345150820977</v>
      </c>
      <c r="GJ938"/>
      <c r="GK938">
        <v>1.5363674632352939</v>
      </c>
      <c r="GL938">
        <v>2.0055979319852941</v>
      </c>
      <c r="GM938">
        <v>2.652110440340909</v>
      </c>
      <c r="GN938">
        <v>2.2494652394480519</v>
      </c>
      <c r="GO938">
        <v>0.37802276785714284</v>
      </c>
      <c r="GP938">
        <v>0.17006250000000001</v>
      </c>
      <c r="GQ938">
        <v>0.48393750000000002</v>
      </c>
      <c r="GR938">
        <v>0.45661458333333332</v>
      </c>
      <c r="GS938">
        <v>9.465845352564102E-2</v>
      </c>
      <c r="GT938">
        <v>1.0290193249917974</v>
      </c>
      <c r="GU938"/>
      <c r="GV938"/>
      <c r="GW938"/>
      <c r="GX938"/>
      <c r="GY938"/>
      <c r="GZ938"/>
      <c r="HA938"/>
      <c r="HB938"/>
      <c r="HC938"/>
    </row>
    <row r="939" spans="1:211" s="7" customFormat="1">
      <c r="A939" s="4"/>
      <c r="B939" s="4"/>
      <c r="C939" s="4"/>
      <c r="D939" s="4"/>
      <c r="E939" s="4"/>
      <c r="F939" s="28"/>
      <c r="G939" s="28"/>
      <c r="H939" s="83"/>
      <c r="I939" s="4"/>
      <c r="J939" s="4"/>
      <c r="K939" s="4"/>
      <c r="L939" s="4"/>
      <c r="M939" s="4"/>
      <c r="N939" s="28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4"/>
      <c r="AF939" s="81"/>
      <c r="AG939" s="81"/>
      <c r="AH939" s="81"/>
      <c r="AI939" s="4"/>
      <c r="AJ939" s="81"/>
      <c r="AK939" s="81"/>
      <c r="AL939" s="81"/>
      <c r="AM939" s="43">
        <v>923</v>
      </c>
      <c r="AN939">
        <v>47.067451872982552</v>
      </c>
      <c r="AO939">
        <v>1.176345767992983</v>
      </c>
      <c r="AP939">
        <v>4.9935979496491933</v>
      </c>
      <c r="AQ939">
        <v>8.411047648565404</v>
      </c>
      <c r="AR939">
        <v>1.0824802545565579</v>
      </c>
      <c r="AS939">
        <v>3.7345065492386387</v>
      </c>
      <c r="AT939" t="e">
        <v>#DIV/0!</v>
      </c>
      <c r="AU939" t="e">
        <v>#DIV/0!</v>
      </c>
      <c r="AV939"/>
      <c r="AW939"/>
      <c r="FY939" s="211">
        <v>934</v>
      </c>
      <c r="FZ939">
        <v>1.820988194904245</v>
      </c>
      <c r="GA939">
        <v>3.3281453690303877</v>
      </c>
      <c r="GB939">
        <v>0.69443291824273135</v>
      </c>
      <c r="GC939">
        <v>0.70204456787655611</v>
      </c>
      <c r="GD939">
        <v>0.54564135721397666</v>
      </c>
      <c r="GE939">
        <v>9.0465266252250001E-2</v>
      </c>
      <c r="GF939">
        <v>0</v>
      </c>
      <c r="GG939">
        <v>5.0581908438140623E-2</v>
      </c>
      <c r="GH939">
        <v>8.9508689212329934E-2</v>
      </c>
      <c r="GI939">
        <v>0.76291449428734104</v>
      </c>
      <c r="GJ939"/>
      <c r="GK939">
        <v>1.8147505514705879</v>
      </c>
      <c r="GL939">
        <v>2.8031568014705881</v>
      </c>
      <c r="GM939">
        <v>1.1391875000000002</v>
      </c>
      <c r="GN939">
        <v>2.055747767857143</v>
      </c>
      <c r="GO939">
        <v>2.0751227678571427</v>
      </c>
      <c r="GP939">
        <v>0.17015625000000001</v>
      </c>
      <c r="GQ939">
        <v>0</v>
      </c>
      <c r="GR939">
        <v>7.0364583333333328E-2</v>
      </c>
      <c r="GS939">
        <v>9.465845352564102E-2</v>
      </c>
      <c r="GT939">
        <v>1.0247438545706742</v>
      </c>
      <c r="GU939"/>
      <c r="GV939"/>
      <c r="GW939"/>
      <c r="GX939"/>
      <c r="GY939"/>
      <c r="GZ939"/>
      <c r="HA939"/>
      <c r="HB939"/>
      <c r="HC939"/>
    </row>
    <row r="940" spans="1:211" s="7" customFormat="1">
      <c r="A940" s="4"/>
      <c r="B940" s="4"/>
      <c r="C940" s="4"/>
      <c r="D940" s="4"/>
      <c r="E940" s="4"/>
      <c r="F940" s="28"/>
      <c r="G940" s="28"/>
      <c r="H940" s="83"/>
      <c r="I940" s="4"/>
      <c r="J940" s="4"/>
      <c r="K940" s="4"/>
      <c r="L940" s="4"/>
      <c r="M940" s="4"/>
      <c r="N940" s="28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4"/>
      <c r="AF940" s="81"/>
      <c r="AG940" s="81"/>
      <c r="AH940" s="81"/>
      <c r="AI940" s="4"/>
      <c r="AJ940" s="81"/>
      <c r="AK940" s="81"/>
      <c r="AL940" s="81"/>
      <c r="AM940" s="43">
        <v>924</v>
      </c>
      <c r="AN940">
        <v>32.078179635380714</v>
      </c>
      <c r="AO940">
        <v>0.7238936052665631</v>
      </c>
      <c r="AP940">
        <v>4.4182033785451527</v>
      </c>
      <c r="AQ940">
        <v>4.658965004020061</v>
      </c>
      <c r="AR940">
        <v>0.65808509569687557</v>
      </c>
      <c r="AS940">
        <v>2.7011769222828206</v>
      </c>
      <c r="AT940" t="e">
        <v>#DIV/0!</v>
      </c>
      <c r="AU940" t="e">
        <v>#DIV/0!</v>
      </c>
      <c r="AV940"/>
      <c r="AW940"/>
      <c r="FY940" s="211">
        <v>935</v>
      </c>
      <c r="FZ940">
        <v>1.1057789222886742</v>
      </c>
      <c r="GA940">
        <v>1.6420392196100511</v>
      </c>
      <c r="GB940">
        <v>0.75344247485985583</v>
      </c>
      <c r="GC940">
        <v>0.3817669230517306</v>
      </c>
      <c r="GD940">
        <v>0.12072491333774676</v>
      </c>
      <c r="GE940">
        <v>9.341150119087499E-2</v>
      </c>
      <c r="GF940">
        <v>0.15986193049181252</v>
      </c>
      <c r="GG940">
        <v>0.29037012396173439</v>
      </c>
      <c r="GH940">
        <v>0.19956886013071873</v>
      </c>
      <c r="GI940">
        <v>0.47666582131138813</v>
      </c>
      <c r="GJ940"/>
      <c r="GK940">
        <v>1.1019674632352938</v>
      </c>
      <c r="GL940">
        <v>1.382947931985294</v>
      </c>
      <c r="GM940">
        <v>1.2363320312500001</v>
      </c>
      <c r="GN940">
        <v>1.1196712053571427</v>
      </c>
      <c r="GO940">
        <v>0.45939776785714281</v>
      </c>
      <c r="GP940">
        <v>0.17554687499999999</v>
      </c>
      <c r="GQ940">
        <v>0.19312499999999999</v>
      </c>
      <c r="GR940">
        <v>0.40421875000000002</v>
      </c>
      <c r="GS940">
        <v>0.21109375</v>
      </c>
      <c r="GT940">
        <v>0.64038320246848746</v>
      </c>
      <c r="GU940"/>
      <c r="GV940"/>
      <c r="GW940"/>
      <c r="GX940"/>
      <c r="GY940"/>
      <c r="GZ940"/>
      <c r="HA940"/>
      <c r="HB940"/>
      <c r="HC940"/>
    </row>
    <row r="941" spans="1:211" s="7" customFormat="1">
      <c r="A941" s="4"/>
      <c r="B941" s="4"/>
      <c r="C941" s="4"/>
      <c r="D941" s="4"/>
      <c r="E941" s="4"/>
      <c r="F941" s="28"/>
      <c r="G941" s="28"/>
      <c r="H941" s="83"/>
      <c r="I941" s="4"/>
      <c r="J941" s="4"/>
      <c r="K941" s="4"/>
      <c r="L941" s="4"/>
      <c r="M941" s="4"/>
      <c r="N941" s="28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4"/>
      <c r="AF941" s="81"/>
      <c r="AG941" s="81"/>
      <c r="AH941" s="81"/>
      <c r="AI941" s="4"/>
      <c r="AJ941" s="81"/>
      <c r="AK941" s="81"/>
      <c r="AL941" s="81"/>
      <c r="AM941" s="43">
        <v>925</v>
      </c>
      <c r="AN941">
        <v>58.293093001089332</v>
      </c>
      <c r="AO941">
        <v>1.287754628370098</v>
      </c>
      <c r="AP941">
        <v>2.4886256050050193</v>
      </c>
      <c r="AQ941">
        <v>7.5107392572736726</v>
      </c>
      <c r="AR941">
        <v>1.1743081848819075</v>
      </c>
      <c r="AS941">
        <v>5.1053923528471268</v>
      </c>
      <c r="AT941" t="e">
        <v>#DIV/0!</v>
      </c>
      <c r="AU941" t="e">
        <v>#DIV/0!</v>
      </c>
      <c r="AV941"/>
      <c r="AW941"/>
      <c r="FY941" s="211">
        <v>936</v>
      </c>
      <c r="FZ941">
        <v>0.79749181287576276</v>
      </c>
      <c r="GA941">
        <v>1.5084148896139005</v>
      </c>
      <c r="GB941">
        <v>0.94760165380250738</v>
      </c>
      <c r="GC941">
        <v>0.77619930091640055</v>
      </c>
      <c r="GD941">
        <v>0.4191120092563842</v>
      </c>
      <c r="GE941">
        <v>0.23119676733960004</v>
      </c>
      <c r="GF941">
        <v>0.97575979975342819</v>
      </c>
      <c r="GG941">
        <v>0.70541535008225043</v>
      </c>
      <c r="GH941">
        <v>0</v>
      </c>
      <c r="GI941">
        <v>0.76255211450981186</v>
      </c>
      <c r="GJ941"/>
      <c r="GK941">
        <v>0.79465312499999996</v>
      </c>
      <c r="GL941">
        <v>1.2702351562500001</v>
      </c>
      <c r="GM941">
        <v>1.5555181107954543</v>
      </c>
      <c r="GN941">
        <v>2.2755057224025972</v>
      </c>
      <c r="GO941">
        <v>1.5938196428571425</v>
      </c>
      <c r="GP941">
        <v>0.43425000000000002</v>
      </c>
      <c r="GQ941">
        <v>1.1775326086956521</v>
      </c>
      <c r="GR941">
        <v>0.98215760869565205</v>
      </c>
      <c r="GS941">
        <v>0</v>
      </c>
      <c r="GT941">
        <v>1.0243046974696499</v>
      </c>
      <c r="GU941"/>
      <c r="GV941"/>
      <c r="GW941"/>
      <c r="GX941"/>
      <c r="GY941"/>
      <c r="GZ941"/>
      <c r="HA941"/>
      <c r="HB941"/>
      <c r="HC941"/>
    </row>
    <row r="942" spans="1:211" s="7" customFormat="1">
      <c r="A942" s="4"/>
      <c r="B942" s="4"/>
      <c r="C942" s="4"/>
      <c r="D942" s="4"/>
      <c r="E942" s="4"/>
      <c r="F942" s="28"/>
      <c r="G942" s="28"/>
      <c r="H942" s="83"/>
      <c r="I942" s="4"/>
      <c r="J942" s="4"/>
      <c r="K942" s="4"/>
      <c r="L942" s="4"/>
      <c r="M942" s="4"/>
      <c r="N942" s="28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4"/>
      <c r="AF942" s="81"/>
      <c r="AG942" s="81"/>
      <c r="AH942" s="81"/>
      <c r="AI942" s="4"/>
      <c r="AJ942" s="81"/>
      <c r="AK942" s="81"/>
      <c r="AL942" s="81"/>
      <c r="AM942" s="43">
        <v>926</v>
      </c>
      <c r="AN942">
        <v>58.557797107369524</v>
      </c>
      <c r="AO942">
        <v>1.1248775386961851</v>
      </c>
      <c r="AP942">
        <v>10.045415646793517</v>
      </c>
      <c r="AQ942">
        <v>7.4868120160954419</v>
      </c>
      <c r="AR942">
        <v>1.0334824215419862</v>
      </c>
      <c r="AS942">
        <v>4.8310498643077029</v>
      </c>
      <c r="AT942" t="e">
        <v>#DIV/0!</v>
      </c>
      <c r="AU942" t="e">
        <v>#DIV/0!</v>
      </c>
      <c r="AV942"/>
      <c r="AW942"/>
      <c r="FY942" s="211">
        <v>937</v>
      </c>
      <c r="FZ942">
        <v>0.89015605620991312</v>
      </c>
      <c r="GA942">
        <v>1.4477538101797638</v>
      </c>
      <c r="GB942">
        <v>0.79501942052380548</v>
      </c>
      <c r="GC942">
        <v>0.35858132121265868</v>
      </c>
      <c r="GD942">
        <v>0.1083111195489718</v>
      </c>
      <c r="GE942">
        <v>5.0050519932599999E-2</v>
      </c>
      <c r="GF942">
        <v>0.15986193049181252</v>
      </c>
      <c r="GG942">
        <v>0.13862439864731252</v>
      </c>
      <c r="GH942">
        <v>0</v>
      </c>
      <c r="GI942">
        <v>0.41636769233632098</v>
      </c>
      <c r="GJ942"/>
      <c r="GK942">
        <v>0.88693124999999995</v>
      </c>
      <c r="GL942">
        <v>1.2189703125000002</v>
      </c>
      <c r="GM942">
        <v>1.3042265625</v>
      </c>
      <c r="GN942">
        <v>1.0514290178571428</v>
      </c>
      <c r="GO942">
        <v>0.41242901785714287</v>
      </c>
      <c r="GP942">
        <v>9.4124999999999986E-2</v>
      </c>
      <c r="GQ942">
        <v>0.19312499999999999</v>
      </c>
      <c r="GR942">
        <v>0.19312499999999999</v>
      </c>
      <c r="GS942">
        <v>0</v>
      </c>
      <c r="GT942">
        <v>0.55934236607142851</v>
      </c>
      <c r="GU942"/>
      <c r="GV942"/>
      <c r="GW942"/>
      <c r="GX942"/>
      <c r="GY942"/>
      <c r="GZ942"/>
      <c r="HA942"/>
      <c r="HB942"/>
      <c r="HC942"/>
    </row>
    <row r="943" spans="1:211" s="7" customFormat="1">
      <c r="A943" s="4"/>
      <c r="B943" s="4"/>
      <c r="C943" s="4"/>
      <c r="D943" s="4"/>
      <c r="E943" s="4"/>
      <c r="F943" s="28"/>
      <c r="G943" s="28"/>
      <c r="H943" s="83"/>
      <c r="I943" s="4"/>
      <c r="J943" s="4"/>
      <c r="K943" s="4"/>
      <c r="L943" s="4"/>
      <c r="M943" s="4"/>
      <c r="N943" s="28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4"/>
      <c r="AF943" s="81"/>
      <c r="AG943" s="81"/>
      <c r="AH943" s="81"/>
      <c r="AI943" s="4"/>
      <c r="AJ943" s="81"/>
      <c r="AK943" s="81"/>
      <c r="AL943" s="81"/>
      <c r="AM943" s="43">
        <v>927</v>
      </c>
      <c r="AN943">
        <v>50.832355102715546</v>
      </c>
      <c r="AO943">
        <v>1.0898010822291917</v>
      </c>
      <c r="AP943">
        <v>0.86200189617256295</v>
      </c>
      <c r="AQ943">
        <v>7.2420625904800424</v>
      </c>
      <c r="AR943">
        <v>1.0096339602433213</v>
      </c>
      <c r="AS943">
        <v>4.3917888839565329</v>
      </c>
      <c r="AT943">
        <v>0.82221919015993838</v>
      </c>
      <c r="AU943">
        <v>2.4723909155343698E-2</v>
      </c>
      <c r="AV943"/>
      <c r="AW943"/>
      <c r="FY943" s="211">
        <v>938</v>
      </c>
      <c r="FZ943">
        <v>1.4037532608563468</v>
      </c>
      <c r="GA943">
        <v>2.0241521809919352</v>
      </c>
      <c r="GB943">
        <v>0.63837154846559518</v>
      </c>
      <c r="GC943">
        <v>0.31573495371982246</v>
      </c>
      <c r="GD943">
        <v>0.13639019587573176</v>
      </c>
      <c r="GE943">
        <v>9.3411501190874976E-2</v>
      </c>
      <c r="GF943">
        <v>1.1477810287399937</v>
      </c>
      <c r="GG943">
        <v>0.99495750422256335</v>
      </c>
      <c r="GH943">
        <v>0</v>
      </c>
      <c r="GI943">
        <v>0.6477142646812234</v>
      </c>
      <c r="GJ943"/>
      <c r="GK943">
        <v>1.3987424632352938</v>
      </c>
      <c r="GL943">
        <v>1.7046955882352939</v>
      </c>
      <c r="GM943">
        <v>1.047671875</v>
      </c>
      <c r="GN943">
        <v>0.92598839285714285</v>
      </c>
      <c r="GO943">
        <v>0.51919151785714279</v>
      </c>
      <c r="GP943">
        <v>0.17554687499999996</v>
      </c>
      <c r="GQ943">
        <v>1.3849402173913039</v>
      </c>
      <c r="GR943">
        <v>1.3849402173913039</v>
      </c>
      <c r="GS943">
        <v>0</v>
      </c>
      <c r="GT943">
        <v>0.87010921469674818</v>
      </c>
      <c r="GU943"/>
      <c r="GV943"/>
      <c r="GW943"/>
      <c r="GX943"/>
      <c r="GY943"/>
      <c r="GZ943"/>
      <c r="HA943"/>
      <c r="HB943"/>
      <c r="HC943"/>
    </row>
    <row r="944" spans="1:211" s="7" customFormat="1">
      <c r="A944" s="4"/>
      <c r="B944" s="4"/>
      <c r="C944" s="4"/>
      <c r="D944" s="4"/>
      <c r="E944" s="4"/>
      <c r="F944" s="28"/>
      <c r="G944" s="28"/>
      <c r="H944" s="83"/>
      <c r="I944" s="4"/>
      <c r="J944" s="4"/>
      <c r="K944" s="4"/>
      <c r="L944" s="4"/>
      <c r="M944" s="4"/>
      <c r="N944" s="28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4"/>
      <c r="AF944" s="81"/>
      <c r="AG944" s="81"/>
      <c r="AH944" s="81"/>
      <c r="AI944" s="4"/>
      <c r="AJ944" s="81"/>
      <c r="AK944" s="81"/>
      <c r="AL944" s="81"/>
      <c r="AM944" s="43">
        <v>928</v>
      </c>
      <c r="AN944">
        <v>48.301847297819151</v>
      </c>
      <c r="AO944">
        <v>1.1131498635812185</v>
      </c>
      <c r="AP944">
        <v>0.64205203067530858</v>
      </c>
      <c r="AQ944">
        <v>7.4626289301334605</v>
      </c>
      <c r="AR944">
        <v>1.0503845460004082</v>
      </c>
      <c r="AS944">
        <v>3.8542480734157949</v>
      </c>
      <c r="AT944">
        <v>0.78672487268598124</v>
      </c>
      <c r="AU944">
        <v>0.35687082565044159</v>
      </c>
      <c r="AV944"/>
      <c r="AW944"/>
      <c r="FY944" s="211">
        <v>939</v>
      </c>
      <c r="FZ944">
        <v>1.4908761482495319</v>
      </c>
      <c r="GA944">
        <v>1.8907062649063995</v>
      </c>
      <c r="GB944">
        <v>0.63837154846559518</v>
      </c>
      <c r="GC944">
        <v>0.27076970571134751</v>
      </c>
      <c r="GD944">
        <v>0.11512462155396749</v>
      </c>
      <c r="GE944">
        <v>0.12044717016187499</v>
      </c>
      <c r="GF944">
        <v>0.33409761863227821</v>
      </c>
      <c r="GG944">
        <v>0.28954215414031298</v>
      </c>
      <c r="GH944">
        <v>4.5971471670847357E-2</v>
      </c>
      <c r="GI944">
        <v>0.50954587846446409</v>
      </c>
      <c r="GJ944"/>
      <c r="GK944">
        <v>1.4858924632352939</v>
      </c>
      <c r="GL944">
        <v>1.5926268382352942</v>
      </c>
      <c r="GM944">
        <v>1.047671875</v>
      </c>
      <c r="GN944">
        <v>0.79406874999999988</v>
      </c>
      <c r="GO944">
        <v>0.43789687499999996</v>
      </c>
      <c r="GP944">
        <v>0.22617187499999997</v>
      </c>
      <c r="GQ944">
        <v>0.40278260869565213</v>
      </c>
      <c r="GR944">
        <v>0.40278260869565213</v>
      </c>
      <c r="GS944">
        <v>4.8587740384615385E-2</v>
      </c>
      <c r="GT944">
        <v>0.68456631246311228</v>
      </c>
      <c r="GU944"/>
      <c r="GV944"/>
      <c r="GW944"/>
      <c r="GX944"/>
      <c r="GY944"/>
      <c r="GZ944"/>
      <c r="HA944"/>
      <c r="HB944"/>
      <c r="HC944"/>
    </row>
    <row r="945" spans="1:211" s="7" customFormat="1">
      <c r="A945" s="4"/>
      <c r="B945" s="4"/>
      <c r="C945" s="4"/>
      <c r="D945" s="4"/>
      <c r="E945" s="4"/>
      <c r="F945" s="28"/>
      <c r="G945" s="28"/>
      <c r="H945" s="83"/>
      <c r="I945" s="4"/>
      <c r="J945" s="4"/>
      <c r="K945" s="4"/>
      <c r="L945" s="4"/>
      <c r="M945" s="4"/>
      <c r="N945" s="28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4"/>
      <c r="AF945" s="81"/>
      <c r="AG945" s="81"/>
      <c r="AH945" s="81"/>
      <c r="AI945" s="4"/>
      <c r="AJ945" s="81"/>
      <c r="AK945" s="81"/>
      <c r="AL945" s="81"/>
      <c r="AM945" s="43">
        <v>929</v>
      </c>
      <c r="AN945">
        <v>29.678547824044141</v>
      </c>
      <c r="AO945">
        <v>0.72260065172174626</v>
      </c>
      <c r="AP945">
        <v>0.37403338108437395</v>
      </c>
      <c r="AQ945">
        <v>5.8328370252903188</v>
      </c>
      <c r="AR945">
        <v>0.68447333067361549</v>
      </c>
      <c r="AS945">
        <v>2.3675500206127205</v>
      </c>
      <c r="AT945">
        <v>0.48705809305337328</v>
      </c>
      <c r="AU945">
        <v>0.22968780604361749</v>
      </c>
      <c r="AV945"/>
      <c r="AW945"/>
      <c r="FY945" s="211">
        <v>940</v>
      </c>
      <c r="FZ945">
        <v>0.60132098903022846</v>
      </c>
      <c r="GA945">
        <v>1.1468569467247671</v>
      </c>
      <c r="GB945">
        <v>1.4635612280868115</v>
      </c>
      <c r="GC945">
        <v>0.7902825481825928</v>
      </c>
      <c r="GD945">
        <v>0.1273318186920718</v>
      </c>
      <c r="GE945">
        <v>4.3360981258274998E-2</v>
      </c>
      <c r="GF945">
        <v>0.66819523726455643</v>
      </c>
      <c r="GG945">
        <v>0.62966621671876666</v>
      </c>
      <c r="GH945">
        <v>8.9508689212329934E-2</v>
      </c>
      <c r="GI945">
        <v>0.65303955184196427</v>
      </c>
      <c r="GJ945"/>
      <c r="GK945">
        <v>0.59918437499999999</v>
      </c>
      <c r="GL945">
        <v>0.96558281249999989</v>
      </c>
      <c r="GM945">
        <v>2.4024424715909087</v>
      </c>
      <c r="GN945">
        <v>2.3198949269480513</v>
      </c>
      <c r="GO945">
        <v>0.48480401785714289</v>
      </c>
      <c r="GP945">
        <v>8.1421875000000005E-2</v>
      </c>
      <c r="GQ945">
        <v>0.80556521739130427</v>
      </c>
      <c r="GR945">
        <v>0.87592980072463755</v>
      </c>
      <c r="GS945">
        <v>9.465845352564102E-2</v>
      </c>
      <c r="GT945">
        <v>0.87733090707299932</v>
      </c>
      <c r="GU945"/>
      <c r="GV945"/>
      <c r="GW945"/>
      <c r="GX945"/>
      <c r="GY945"/>
      <c r="GZ945"/>
      <c r="HA945"/>
      <c r="HB945"/>
      <c r="HC945"/>
    </row>
    <row r="946" spans="1:211" s="7" customFormat="1">
      <c r="A946" s="4"/>
      <c r="B946" s="4"/>
      <c r="C946" s="4"/>
      <c r="D946" s="4"/>
      <c r="E946" s="4"/>
      <c r="F946" s="28"/>
      <c r="G946" s="28"/>
      <c r="H946" s="83"/>
      <c r="I946" s="4"/>
      <c r="J946" s="4"/>
      <c r="K946" s="4"/>
      <c r="L946" s="4"/>
      <c r="M946" s="4"/>
      <c r="N946" s="28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4"/>
      <c r="AF946" s="81"/>
      <c r="AG946" s="81"/>
      <c r="AH946" s="81"/>
      <c r="AI946" s="4"/>
      <c r="AJ946" s="81"/>
      <c r="AK946" s="81"/>
      <c r="AL946" s="81"/>
      <c r="AM946" s="43">
        <v>930</v>
      </c>
      <c r="AN946">
        <v>31.317706350702672</v>
      </c>
      <c r="AO946">
        <v>0.79768475840672803</v>
      </c>
      <c r="AP946">
        <v>0.76833370209418539</v>
      </c>
      <c r="AQ946">
        <v>5.817039904498662</v>
      </c>
      <c r="AR946">
        <v>0.74407366585926304</v>
      </c>
      <c r="AS946">
        <v>2.3869803802031493</v>
      </c>
      <c r="AT946">
        <v>0.51364007992315985</v>
      </c>
      <c r="AU946">
        <v>2.5843447616414633E-2</v>
      </c>
      <c r="AV946"/>
      <c r="AW946"/>
      <c r="FY946" s="211">
        <v>941</v>
      </c>
      <c r="FZ946">
        <v>1.4546463125936544</v>
      </c>
      <c r="GA946">
        <v>1.3341942979313905</v>
      </c>
      <c r="GB946">
        <v>1.319811966922718</v>
      </c>
      <c r="GC946">
        <v>0.7750294083325634</v>
      </c>
      <c r="GD946">
        <v>0.11120835198991177</v>
      </c>
      <c r="GE946">
        <v>0.12900836070404997</v>
      </c>
      <c r="GF946">
        <v>0.82805716775636906</v>
      </c>
      <c r="GG946">
        <v>0.76829061536607923</v>
      </c>
      <c r="GH946">
        <v>6.6522953376906252E-2</v>
      </c>
      <c r="GI946">
        <v>0.76048578786980836</v>
      </c>
      <c r="GJ946"/>
      <c r="GK946">
        <v>1.4496674632352939</v>
      </c>
      <c r="GL946">
        <v>1.123604963235294</v>
      </c>
      <c r="GM946">
        <v>2.1669737215909088</v>
      </c>
      <c r="GN946">
        <v>2.2752964894480519</v>
      </c>
      <c r="GO946">
        <v>0.42322901785714279</v>
      </c>
      <c r="GP946">
        <v>0.24253124999999998</v>
      </c>
      <c r="GQ946">
        <v>0.99869021739130437</v>
      </c>
      <c r="GR946">
        <v>1.0690548007246377</v>
      </c>
      <c r="GS946">
        <v>7.0364583333333328E-2</v>
      </c>
      <c r="GT946">
        <v>1.0217850006815965</v>
      </c>
      <c r="GU946"/>
      <c r="GV946"/>
      <c r="GW946"/>
      <c r="GX946"/>
      <c r="GY946"/>
      <c r="GZ946"/>
      <c r="HA946"/>
      <c r="HB946"/>
      <c r="HC946"/>
    </row>
    <row r="947" spans="1:211" s="7" customFormat="1">
      <c r="A947" s="4"/>
      <c r="B947" s="4"/>
      <c r="C947" s="4"/>
      <c r="D947" s="4"/>
      <c r="E947" s="4"/>
      <c r="F947" s="28"/>
      <c r="G947" s="28"/>
      <c r="H947" s="83"/>
      <c r="I947" s="4"/>
      <c r="J947" s="4"/>
      <c r="K947" s="4"/>
      <c r="L947" s="4"/>
      <c r="M947" s="4"/>
      <c r="N947" s="28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4"/>
      <c r="AF947" s="81"/>
      <c r="AG947" s="81"/>
      <c r="AH947" s="81"/>
      <c r="AI947" s="4"/>
      <c r="AJ947" s="81"/>
      <c r="AK947" s="81"/>
      <c r="AL947" s="81"/>
      <c r="AM947" s="43">
        <v>931</v>
      </c>
      <c r="AN947">
        <v>40.943150871459693</v>
      </c>
      <c r="AO947">
        <v>1.1453786335784311</v>
      </c>
      <c r="AP947">
        <v>3.1487050887282089</v>
      </c>
      <c r="AQ947">
        <v>7.7173613078010321</v>
      </c>
      <c r="AR947">
        <v>1.0593640987076647</v>
      </c>
      <c r="AS947">
        <v>3.906188045355917</v>
      </c>
      <c r="AT947" t="e">
        <v>#DIV/0!</v>
      </c>
      <c r="AU947" t="e">
        <v>#DIV/0!</v>
      </c>
      <c r="AV947"/>
      <c r="AW947"/>
      <c r="FY947" s="211">
        <v>942</v>
      </c>
      <c r="FZ947">
        <v>0.58496607707077686</v>
      </c>
      <c r="GA947">
        <v>0.69702537071075121</v>
      </c>
      <c r="GB947">
        <v>1.1260946762833746</v>
      </c>
      <c r="GC947">
        <v>0.79639419260335775</v>
      </c>
      <c r="GD947">
        <v>0.21593201851750177</v>
      </c>
      <c r="GE947">
        <v>0.10020889731645002</v>
      </c>
      <c r="GF947">
        <v>8.1038194822856249E-2</v>
      </c>
      <c r="GG947">
        <v>0</v>
      </c>
      <c r="GH947">
        <v>2.2985735835423678E-2</v>
      </c>
      <c r="GI947">
        <v>0.50237798627635089</v>
      </c>
      <c r="GJ947"/>
      <c r="GK947">
        <v>0.58291874999999993</v>
      </c>
      <c r="GL947">
        <v>0.58682109375000002</v>
      </c>
      <c r="GM947">
        <v>1.8485649857954547</v>
      </c>
      <c r="GN947">
        <v>2.3363479099025977</v>
      </c>
      <c r="GO947">
        <v>0.82121651785714289</v>
      </c>
      <c r="GP947">
        <v>0.18815625000000002</v>
      </c>
      <c r="GQ947">
        <v>9.768750000000001E-2</v>
      </c>
      <c r="GR947">
        <v>0</v>
      </c>
      <c r="GS947">
        <v>2.4293870192307693E-2</v>
      </c>
      <c r="GT947">
        <v>0.67493632476898102</v>
      </c>
      <c r="GU947"/>
      <c r="GV947"/>
      <c r="GW947"/>
      <c r="GX947"/>
      <c r="GY947"/>
      <c r="GZ947"/>
      <c r="HA947"/>
      <c r="HB947"/>
      <c r="HC947"/>
    </row>
    <row r="948" spans="1:211" s="7" customFormat="1">
      <c r="A948" s="4"/>
      <c r="B948" s="4"/>
      <c r="C948" s="4"/>
      <c r="D948" s="4"/>
      <c r="E948" s="4"/>
      <c r="F948" s="28"/>
      <c r="G948" s="28"/>
      <c r="H948" s="83"/>
      <c r="I948" s="4"/>
      <c r="J948" s="4"/>
      <c r="K948" s="4"/>
      <c r="L948" s="4"/>
      <c r="M948" s="4"/>
      <c r="N948" s="28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4"/>
      <c r="AF948" s="81"/>
      <c r="AG948" s="81"/>
      <c r="AH948" s="81"/>
      <c r="AI948" s="4"/>
      <c r="AJ948" s="81"/>
      <c r="AK948" s="81"/>
      <c r="AL948" s="81"/>
      <c r="AM948" s="43">
        <v>932</v>
      </c>
      <c r="AN948">
        <v>66.446314683203269</v>
      </c>
      <c r="AO948">
        <v>1.3908975341241638</v>
      </c>
      <c r="AP948">
        <v>2.1496746976753247</v>
      </c>
      <c r="AQ948">
        <v>7.5319492813530386</v>
      </c>
      <c r="AR948">
        <v>1.2739051555849044</v>
      </c>
      <c r="AS948">
        <v>5.6699337155306981</v>
      </c>
      <c r="AT948" t="e">
        <v>#DIV/0!</v>
      </c>
      <c r="AU948" t="e">
        <v>#DIV/0!</v>
      </c>
      <c r="AV948"/>
      <c r="AW948"/>
      <c r="FY948" s="211">
        <v>943</v>
      </c>
      <c r="FZ948">
        <v>0.61404920438390986</v>
      </c>
      <c r="GA948">
        <v>1.1570202223573787</v>
      </c>
      <c r="GB948">
        <v>1.2959139946720466</v>
      </c>
      <c r="GC948">
        <v>0.80446053887776015</v>
      </c>
      <c r="GD948">
        <v>0.23880402726850922</v>
      </c>
      <c r="GE948">
        <v>8.1904075710074992E-2</v>
      </c>
      <c r="GF948">
        <v>0.33409761863227821</v>
      </c>
      <c r="GG948">
        <v>0.34012406257845362</v>
      </c>
      <c r="GH948">
        <v>8.9508689212329934E-2</v>
      </c>
      <c r="GI948">
        <v>0.61706443120356957</v>
      </c>
      <c r="GJ948"/>
      <c r="GK948">
        <v>0.61177499999999996</v>
      </c>
      <c r="GL948">
        <v>0.97427109374999998</v>
      </c>
      <c r="GM948">
        <v>2.1274712357954546</v>
      </c>
      <c r="GN948">
        <v>2.3598416599025973</v>
      </c>
      <c r="GO948">
        <v>0.90803839285714272</v>
      </c>
      <c r="GP948">
        <v>0.153796875</v>
      </c>
      <c r="GQ948">
        <v>0.40278260869565213</v>
      </c>
      <c r="GR948">
        <v>0.47314719202898542</v>
      </c>
      <c r="GS948">
        <v>9.465845352564102E-2</v>
      </c>
      <c r="GT948">
        <v>0.82894513817477822</v>
      </c>
      <c r="GU948"/>
      <c r="GV948"/>
      <c r="GW948"/>
      <c r="GX948"/>
      <c r="GY948"/>
      <c r="GZ948"/>
      <c r="HA948"/>
      <c r="HB948"/>
      <c r="HC948"/>
    </row>
    <row r="949" spans="1:211" s="7" customFormat="1">
      <c r="A949" s="4"/>
      <c r="B949" s="4"/>
      <c r="C949" s="4"/>
      <c r="D949" s="4"/>
      <c r="E949" s="4"/>
      <c r="F949" s="28"/>
      <c r="G949" s="28"/>
      <c r="H949" s="83"/>
      <c r="I949" s="4"/>
      <c r="J949" s="4"/>
      <c r="K949" s="4"/>
      <c r="L949" s="4"/>
      <c r="M949" s="4"/>
      <c r="N949" s="28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4"/>
      <c r="AF949" s="81"/>
      <c r="AG949" s="81"/>
      <c r="AH949" s="81"/>
      <c r="AI949" s="4"/>
      <c r="AJ949" s="81"/>
      <c r="AK949" s="81"/>
      <c r="AL949" s="81"/>
      <c r="AM949" s="43">
        <v>933</v>
      </c>
      <c r="AN949">
        <v>41.235145046266375</v>
      </c>
      <c r="AO949">
        <v>1.1055856204717462</v>
      </c>
      <c r="AP949">
        <v>1.5242828490911817</v>
      </c>
      <c r="AQ949">
        <v>8.0785587438952629</v>
      </c>
      <c r="AR949">
        <v>1.0290193249917972</v>
      </c>
      <c r="AS949">
        <v>3.6333077468769819</v>
      </c>
      <c r="AT949">
        <v>0.66858664524083633</v>
      </c>
      <c r="AU949">
        <v>0.18619768217625923</v>
      </c>
      <c r="AV949"/>
      <c r="AW949"/>
      <c r="FY949" s="211">
        <v>944</v>
      </c>
      <c r="FZ949">
        <v>1.4781767140545981</v>
      </c>
      <c r="GA949">
        <v>1.7811699190535286</v>
      </c>
      <c r="GB949">
        <v>0.36011507001548204</v>
      </c>
      <c r="GC949">
        <v>0.25995659277324812</v>
      </c>
      <c r="GD949">
        <v>0.13206619293033856</v>
      </c>
      <c r="GE949">
        <v>0.12911621815529997</v>
      </c>
      <c r="GF949">
        <v>0.41513581345513451</v>
      </c>
      <c r="GG949">
        <v>0.34012406257845362</v>
      </c>
      <c r="GH949">
        <v>8.9508689212329934E-2</v>
      </c>
      <c r="GI949">
        <v>0.47071220371652145</v>
      </c>
      <c r="GJ949"/>
      <c r="GK949">
        <v>1.4730768382352941</v>
      </c>
      <c r="GL949">
        <v>1.5001237132352938</v>
      </c>
      <c r="GM949">
        <v>0.59067968749999999</v>
      </c>
      <c r="GN949">
        <v>0.7621095982142857</v>
      </c>
      <c r="GO949">
        <v>0.50260178571428571</v>
      </c>
      <c r="GP949">
        <v>0.24243749999999997</v>
      </c>
      <c r="GQ949">
        <v>0.50047010869565223</v>
      </c>
      <c r="GR949">
        <v>0.47314719202898542</v>
      </c>
      <c r="GS949">
        <v>9.465845352564102E-2</v>
      </c>
      <c r="GT949">
        <v>0.63229737473417447</v>
      </c>
      <c r="GU949"/>
      <c r="GV949"/>
      <c r="GW949"/>
      <c r="GX949"/>
      <c r="GY949"/>
      <c r="GZ949"/>
      <c r="HA949"/>
      <c r="HB949"/>
      <c r="HC949"/>
    </row>
    <row r="950" spans="1:211" s="7" customFormat="1">
      <c r="A950" s="4"/>
      <c r="B950" s="4"/>
      <c r="C950" s="4"/>
      <c r="D950" s="4"/>
      <c r="E950" s="4"/>
      <c r="F950" s="28"/>
      <c r="G950" s="28"/>
      <c r="H950" s="83"/>
      <c r="I950" s="4"/>
      <c r="J950" s="4"/>
      <c r="K950" s="4"/>
      <c r="L950" s="4"/>
      <c r="M950" s="4"/>
      <c r="N950" s="28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4"/>
      <c r="AF950" s="81"/>
      <c r="AG950" s="81"/>
      <c r="AH950" s="81"/>
      <c r="AI950" s="4"/>
      <c r="AJ950" s="81"/>
      <c r="AK950" s="81"/>
      <c r="AL950" s="81"/>
      <c r="AM950" s="43">
        <v>934</v>
      </c>
      <c r="AN950">
        <v>54.308562121429759</v>
      </c>
      <c r="AO950">
        <v>1.1247888530085111</v>
      </c>
      <c r="AP950">
        <v>19.694556933995248</v>
      </c>
      <c r="AQ950">
        <v>8.0847227654579594</v>
      </c>
      <c r="AR950">
        <v>1.0247438545706744</v>
      </c>
      <c r="AS950">
        <v>4.3843367837684291</v>
      </c>
      <c r="AT950" t="e">
        <v>#DIV/0!</v>
      </c>
      <c r="AU950" t="e">
        <v>#DIV/0!</v>
      </c>
      <c r="AV950"/>
      <c r="AW950"/>
      <c r="FY950" s="211">
        <v>945</v>
      </c>
      <c r="FZ950">
        <v>1.517612763282941</v>
      </c>
      <c r="GA950">
        <v>2.203884516238158</v>
      </c>
      <c r="GB950">
        <v>1.07910629751735</v>
      </c>
      <c r="GC950">
        <v>0.92920061019202327</v>
      </c>
      <c r="GD950">
        <v>0.37058149632235171</v>
      </c>
      <c r="GE950">
        <v>0.13773133742310001</v>
      </c>
      <c r="GF950">
        <v>0.12155729223428439</v>
      </c>
      <c r="GG950">
        <v>0.15174572531442188</v>
      </c>
      <c r="GH950">
        <v>0.22255459596614241</v>
      </c>
      <c r="GI950">
        <v>0.75555005998626523</v>
      </c>
      <c r="GJ950"/>
      <c r="GK950">
        <v>1.5125661764705876</v>
      </c>
      <c r="GL950">
        <v>1.8565349264705877</v>
      </c>
      <c r="GM950">
        <v>1.7714829545454545</v>
      </c>
      <c r="GN950">
        <v>2.7245119724025972</v>
      </c>
      <c r="GO950">
        <v>1.4092165178571427</v>
      </c>
      <c r="GP950">
        <v>0.25875000000000004</v>
      </c>
      <c r="GQ950">
        <v>0.14653125</v>
      </c>
      <c r="GR950">
        <v>0.21109375</v>
      </c>
      <c r="GS950">
        <v>0.23538762019230769</v>
      </c>
      <c r="GT950">
        <v>1.0150369038130984</v>
      </c>
      <c r="GU950"/>
      <c r="GV950"/>
      <c r="GW950"/>
      <c r="GX950"/>
      <c r="GY950"/>
      <c r="GZ950"/>
      <c r="HA950"/>
      <c r="HB950"/>
      <c r="HC950"/>
    </row>
    <row r="951" spans="1:211" s="7" customFormat="1">
      <c r="A951" s="4"/>
      <c r="B951" s="4"/>
      <c r="C951" s="4"/>
      <c r="D951" s="4"/>
      <c r="E951" s="4"/>
      <c r="F951" s="28"/>
      <c r="G951" s="28"/>
      <c r="H951" s="83"/>
      <c r="I951" s="4"/>
      <c r="J951" s="4"/>
      <c r="K951" s="4"/>
      <c r="L951" s="4"/>
      <c r="M951" s="4"/>
      <c r="N951" s="28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  <c r="AD951" s="4"/>
      <c r="AE951" s="4"/>
      <c r="AF951" s="81"/>
      <c r="AG951" s="81"/>
      <c r="AH951" s="81"/>
      <c r="AI951" s="4"/>
      <c r="AJ951" s="81"/>
      <c r="AK951" s="81"/>
      <c r="AL951" s="81"/>
      <c r="AM951" s="43">
        <v>935</v>
      </c>
      <c r="AN951">
        <v>29.703823821195147</v>
      </c>
      <c r="AO951">
        <v>0.69246839771533597</v>
      </c>
      <c r="AP951">
        <v>2.1449932343657805</v>
      </c>
      <c r="AQ951">
        <v>5.2236306902345877</v>
      </c>
      <c r="AR951">
        <v>0.64038320246848734</v>
      </c>
      <c r="AS951">
        <v>2.481856274505418</v>
      </c>
      <c r="AT951" t="e">
        <v>#DIV/0!</v>
      </c>
      <c r="AU951" t="e">
        <v>#DIV/0!</v>
      </c>
      <c r="AV951"/>
      <c r="AW951"/>
      <c r="FY951" s="211">
        <v>946</v>
      </c>
      <c r="FZ951">
        <v>0.71937033241312687</v>
      </c>
      <c r="GA951">
        <v>1.337451029615826</v>
      </c>
      <c r="GB951">
        <v>0.88295722448515646</v>
      </c>
      <c r="GC951">
        <v>0.38135770437745697</v>
      </c>
      <c r="GD951">
        <v>5.2265973622046782E-2</v>
      </c>
      <c r="GE951">
        <v>0</v>
      </c>
      <c r="GF951">
        <v>0.81368341010771561</v>
      </c>
      <c r="GG951">
        <v>0.75599725852039101</v>
      </c>
      <c r="GH951">
        <v>0.13548016088317727</v>
      </c>
      <c r="GI951">
        <v>0.51962757579454966</v>
      </c>
      <c r="GJ951"/>
      <c r="GK951">
        <v>0.7167937499999999</v>
      </c>
      <c r="GL951">
        <v>1.1264460937499998</v>
      </c>
      <c r="GM951">
        <v>1.4497446732954544</v>
      </c>
      <c r="GN951">
        <v>1.1193338474025971</v>
      </c>
      <c r="GO951">
        <v>0.19877276785714285</v>
      </c>
      <c r="GP951">
        <v>0</v>
      </c>
      <c r="GQ951">
        <v>0.98215760869565205</v>
      </c>
      <c r="GR951">
        <v>1.0525221920289853</v>
      </c>
      <c r="GS951">
        <v>0.14324619391025639</v>
      </c>
      <c r="GT951">
        <v>0.69814299875170116</v>
      </c>
      <c r="GU951"/>
      <c r="GV951"/>
      <c r="GW951"/>
      <c r="GX951"/>
      <c r="GY951"/>
      <c r="GZ951"/>
      <c r="HA951"/>
      <c r="HB951"/>
      <c r="HC951"/>
    </row>
    <row r="952" spans="1:211" s="7" customFormat="1">
      <c r="A952" s="4"/>
      <c r="B952" s="4"/>
      <c r="C952" s="4"/>
      <c r="D952" s="4"/>
      <c r="E952" s="4"/>
      <c r="F952" s="28"/>
      <c r="G952" s="28"/>
      <c r="H952" s="83"/>
      <c r="I952" s="4"/>
      <c r="J952" s="4"/>
      <c r="K952" s="4"/>
      <c r="L952" s="4"/>
      <c r="M952" s="4"/>
      <c r="N952" s="28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  <c r="AD952" s="4"/>
      <c r="AE952" s="4"/>
      <c r="AF952" s="81"/>
      <c r="AG952" s="81"/>
      <c r="AH952" s="81"/>
      <c r="AI952" s="4"/>
      <c r="AJ952" s="81"/>
      <c r="AK952" s="81"/>
      <c r="AL952" s="81"/>
      <c r="AM952" s="43">
        <v>936</v>
      </c>
      <c r="AN952">
        <v>51.168835188060726</v>
      </c>
      <c r="AO952">
        <v>1.1107976672166147</v>
      </c>
      <c r="AP952">
        <v>1.3291512519835196</v>
      </c>
      <c r="AQ952">
        <v>7.1237436981500455</v>
      </c>
      <c r="AR952">
        <v>1.0243046974696499</v>
      </c>
      <c r="AS952">
        <v>4.5415663102521373</v>
      </c>
      <c r="AT952" t="e">
        <v>#DIV/0!</v>
      </c>
      <c r="AU952" t="e">
        <v>#DIV/0!</v>
      </c>
      <c r="AV952"/>
      <c r="AW952"/>
      <c r="FY952" s="211">
        <v>947</v>
      </c>
      <c r="FZ952">
        <v>0.35604287980647187</v>
      </c>
      <c r="GA952">
        <v>0.937708671798552</v>
      </c>
      <c r="GB952">
        <v>0.51407580532325281</v>
      </c>
      <c r="GC952">
        <v>0.36105346688512807</v>
      </c>
      <c r="GD952">
        <v>0.23874525418753925</v>
      </c>
      <c r="GE952">
        <v>0.12129816768457499</v>
      </c>
      <c r="GF952">
        <v>0.36024295839505316</v>
      </c>
      <c r="GG952">
        <v>0.27724879729462504</v>
      </c>
      <c r="GH952">
        <v>2.2985735835423678E-2</v>
      </c>
      <c r="GI952">
        <v>0.38201856026183284</v>
      </c>
      <c r="GJ952"/>
      <c r="GK952">
        <v>0.35484374999999996</v>
      </c>
      <c r="GL952">
        <v>0.78971484375000012</v>
      </c>
      <c r="GM952">
        <v>0.84342578125000012</v>
      </c>
      <c r="GN952">
        <v>1.0577399553571427</v>
      </c>
      <c r="GO952">
        <v>0.90807589285714274</v>
      </c>
      <c r="GP952">
        <v>0.22804687499999998</v>
      </c>
      <c r="GQ952">
        <v>0.43509375</v>
      </c>
      <c r="GR952">
        <v>0.38624999999999998</v>
      </c>
      <c r="GS952">
        <v>2.4293870192307693E-2</v>
      </c>
      <c r="GT952">
        <v>0.51314660885989005</v>
      </c>
      <c r="GU952"/>
      <c r="GV952"/>
      <c r="GW952"/>
      <c r="GX952"/>
      <c r="GY952"/>
      <c r="GZ952"/>
      <c r="HA952"/>
      <c r="HB952"/>
      <c r="HC952"/>
    </row>
    <row r="953" spans="1:211" s="7" customFormat="1">
      <c r="A953" s="4"/>
      <c r="B953" s="4"/>
      <c r="C953" s="4"/>
      <c r="D953" s="4"/>
      <c r="E953" s="4"/>
      <c r="F953" s="28"/>
      <c r="G953" s="28"/>
      <c r="H953" s="83"/>
      <c r="I953" s="4"/>
      <c r="J953" s="4"/>
      <c r="K953" s="4"/>
      <c r="L953" s="4"/>
      <c r="M953" s="4"/>
      <c r="N953" s="28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  <c r="AD953" s="4"/>
      <c r="AE953" s="4"/>
      <c r="AF953" s="81"/>
      <c r="AG953" s="81"/>
      <c r="AH953" s="81"/>
      <c r="AI953" s="4"/>
      <c r="AJ953" s="81"/>
      <c r="AK953" s="81"/>
      <c r="AL953" s="81"/>
      <c r="AM953" s="43">
        <v>937</v>
      </c>
      <c r="AN953">
        <v>26.096378968253969</v>
      </c>
      <c r="AO953">
        <v>0.59137035267857141</v>
      </c>
      <c r="AP953">
        <v>2.2283753190487698</v>
      </c>
      <c r="AQ953">
        <v>4.3647262690831585</v>
      </c>
      <c r="AR953">
        <v>0.55934236607142851</v>
      </c>
      <c r="AS953">
        <v>2.2347878659688525</v>
      </c>
      <c r="AT953" t="e">
        <v>#DIV/0!</v>
      </c>
      <c r="AU953" t="e">
        <v>#DIV/0!</v>
      </c>
      <c r="AV953"/>
      <c r="AW953"/>
      <c r="FY953" s="211">
        <v>948</v>
      </c>
      <c r="FZ953">
        <v>1.04401235378549</v>
      </c>
      <c r="GA953">
        <v>1.7865746203387511</v>
      </c>
      <c r="GB953">
        <v>1.1064653109408582</v>
      </c>
      <c r="GC953">
        <v>0.7070207213461619</v>
      </c>
      <c r="GD953">
        <v>0.25500714719705991</v>
      </c>
      <c r="GE953">
        <v>0.13195459564267498</v>
      </c>
      <c r="GF953">
        <v>0.82805716775636906</v>
      </c>
      <c r="GG953">
        <v>0.76829061536607923</v>
      </c>
      <c r="GH953">
        <v>8.9508689212329934E-2</v>
      </c>
      <c r="GI953">
        <v>0.73249646702167148</v>
      </c>
      <c r="GJ953"/>
      <c r="GK953">
        <v>1.0403737132352942</v>
      </c>
      <c r="GL953">
        <v>1.5047409007352941</v>
      </c>
      <c r="GM953">
        <v>1.8164907670454542</v>
      </c>
      <c r="GN953">
        <v>2.0740267045454543</v>
      </c>
      <c r="GO953">
        <v>0.96982499999999983</v>
      </c>
      <c r="GP953">
        <v>0.24792187499999999</v>
      </c>
      <c r="GQ953">
        <v>0.99869021739130437</v>
      </c>
      <c r="GR953">
        <v>1.0690548007246377</v>
      </c>
      <c r="GS953">
        <v>9.465845352564102E-2</v>
      </c>
      <c r="GT953">
        <v>0.98400763023953863</v>
      </c>
      <c r="GU953"/>
      <c r="GV953"/>
      <c r="GW953"/>
      <c r="GX953"/>
      <c r="GY953"/>
      <c r="GZ953"/>
      <c r="HA953"/>
      <c r="HB953"/>
      <c r="HC953"/>
    </row>
    <row r="954" spans="1:211" s="7" customFormat="1">
      <c r="A954" s="4"/>
      <c r="B954" s="4"/>
      <c r="C954" s="4"/>
      <c r="D954" s="4"/>
      <c r="E954" s="4"/>
      <c r="F954" s="28"/>
      <c r="G954" s="28"/>
      <c r="H954" s="83"/>
      <c r="I954" s="4"/>
      <c r="J954" s="4"/>
      <c r="K954" s="4"/>
      <c r="L954" s="4"/>
      <c r="M954" s="4"/>
      <c r="N954" s="28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  <c r="AD954" s="4"/>
      <c r="AE954" s="4"/>
      <c r="AF954" s="81"/>
      <c r="AG954" s="81"/>
      <c r="AH954" s="81"/>
      <c r="AI954" s="4"/>
      <c r="AJ954" s="81"/>
      <c r="AK954" s="81"/>
      <c r="AL954" s="81"/>
      <c r="AM954" s="43">
        <v>938</v>
      </c>
      <c r="AN954">
        <v>41.656895983030886</v>
      </c>
      <c r="AO954">
        <v>0.94118263616642284</v>
      </c>
      <c r="AP954">
        <v>14.224909049019566</v>
      </c>
      <c r="AQ954">
        <v>7.4022664387440873</v>
      </c>
      <c r="AR954">
        <v>0.87010921469674818</v>
      </c>
      <c r="AS954">
        <v>3.3199074764605236</v>
      </c>
      <c r="AT954" t="e">
        <v>#DIV/0!</v>
      </c>
      <c r="AU954" t="e">
        <v>#DIV/0!</v>
      </c>
      <c r="AV954"/>
      <c r="AW954"/>
      <c r="FY954" s="211">
        <v>949</v>
      </c>
      <c r="FZ954">
        <v>0.70066890817395222</v>
      </c>
      <c r="GA954">
        <v>1.5114592108686051</v>
      </c>
      <c r="GB954">
        <v>0.88917946766206168</v>
      </c>
      <c r="GC954">
        <v>0.55390527833018699</v>
      </c>
      <c r="GD954">
        <v>0.30345743442907602</v>
      </c>
      <c r="GE954">
        <v>0.25143504018502499</v>
      </c>
      <c r="GF954">
        <v>0.40076205580648128</v>
      </c>
      <c r="GG954">
        <v>0.27724879729462504</v>
      </c>
      <c r="GH954">
        <v>6.8957207506271032E-2</v>
      </c>
      <c r="GI954">
        <v>0.57595463593659413</v>
      </c>
      <c r="GJ954"/>
      <c r="GK954">
        <v>0.69834558823529402</v>
      </c>
      <c r="GL954">
        <v>1.2731034007352942</v>
      </c>
      <c r="GM954">
        <v>1.4597720170454545</v>
      </c>
      <c r="GN954">
        <v>1.6244284902597399</v>
      </c>
      <c r="GO954">
        <v>1.1538361607142857</v>
      </c>
      <c r="GP954">
        <v>0.47226562499999997</v>
      </c>
      <c r="GQ954">
        <v>0.48393750000000002</v>
      </c>
      <c r="GR954">
        <v>0.38624999999999998</v>
      </c>
      <c r="GS954">
        <v>7.2881610576923078E-2</v>
      </c>
      <c r="GT954">
        <v>0.7737545753143914</v>
      </c>
      <c r="GU954"/>
      <c r="GV954"/>
      <c r="GW954"/>
      <c r="GX954"/>
      <c r="GY954"/>
      <c r="GZ954"/>
      <c r="HA954"/>
      <c r="HB954"/>
      <c r="HC954"/>
    </row>
    <row r="955" spans="1:211" s="7" customFormat="1">
      <c r="A955" s="4"/>
      <c r="B955" s="4"/>
      <c r="C955" s="4"/>
      <c r="D955" s="4"/>
      <c r="E955" s="4"/>
      <c r="F955" s="28"/>
      <c r="G955" s="28"/>
      <c r="H955" s="83"/>
      <c r="I955" s="4"/>
      <c r="J955" s="4"/>
      <c r="K955" s="4"/>
      <c r="L955" s="4"/>
      <c r="M955" s="4"/>
      <c r="N955" s="28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  <c r="AD955" s="4"/>
      <c r="AE955" s="4"/>
      <c r="AF955" s="81"/>
      <c r="AG955" s="81"/>
      <c r="AH955" s="81"/>
      <c r="AI955" s="4"/>
      <c r="AJ955" s="81"/>
      <c r="AK955" s="81"/>
      <c r="AL955" s="81"/>
      <c r="AM955" s="43">
        <v>939</v>
      </c>
      <c r="AN955">
        <v>31.127150004371867</v>
      </c>
      <c r="AO955">
        <v>0.71230479467096208</v>
      </c>
      <c r="AP955">
        <v>4.6330058765112883</v>
      </c>
      <c r="AQ955">
        <v>5.7054525819566191</v>
      </c>
      <c r="AR955">
        <v>0.68456631246311228</v>
      </c>
      <c r="AS955">
        <v>2.3471795526096879</v>
      </c>
      <c r="AT955" t="e">
        <v>#DIV/0!</v>
      </c>
      <c r="AU955" t="e">
        <v>#DIV/0!</v>
      </c>
      <c r="AV955"/>
      <c r="AW955"/>
      <c r="FY955" s="211">
        <v>950</v>
      </c>
      <c r="FZ955">
        <v>1.2910360782983599</v>
      </c>
      <c r="GA955">
        <v>2.1679813008961855</v>
      </c>
      <c r="GB955">
        <v>0.49352640555332811</v>
      </c>
      <c r="GC955">
        <v>0.48275643535276369</v>
      </c>
      <c r="GD955">
        <v>0.33210373468688681</v>
      </c>
      <c r="GE955">
        <v>2.6015014625850003E-2</v>
      </c>
      <c r="GF955">
        <v>0.37461671604370633</v>
      </c>
      <c r="GG955">
        <v>0.39070597101659427</v>
      </c>
      <c r="GH955">
        <v>0.17901737842465987</v>
      </c>
      <c r="GI955">
        <v>0.59562406629717701</v>
      </c>
      <c r="GJ955"/>
      <c r="GK955">
        <v>1.2866737132352941</v>
      </c>
      <c r="GL955">
        <v>1.8262049632352941</v>
      </c>
      <c r="GM955">
        <v>0.80984374999999997</v>
      </c>
      <c r="GN955">
        <v>1.4133540178571429</v>
      </c>
      <c r="GO955">
        <v>1.262572767857143</v>
      </c>
      <c r="GP955">
        <v>4.8843750000000005E-2</v>
      </c>
      <c r="GQ955">
        <v>0.45162635869565215</v>
      </c>
      <c r="GR955">
        <v>0.54351177536231876</v>
      </c>
      <c r="GS955">
        <v>0.18931690705128204</v>
      </c>
      <c r="GT955">
        <v>0.80000669936787427</v>
      </c>
      <c r="GU955"/>
      <c r="GV955"/>
      <c r="GW955"/>
      <c r="GX955"/>
      <c r="GY955"/>
      <c r="GZ955"/>
      <c r="HA955"/>
      <c r="HB955"/>
      <c r="HC955"/>
    </row>
    <row r="956" spans="1:211" s="7" customFormat="1">
      <c r="A956" s="4"/>
      <c r="B956" s="4"/>
      <c r="C956" s="4"/>
      <c r="D956" s="4"/>
      <c r="E956" s="4"/>
      <c r="F956" s="28"/>
      <c r="G956" s="28"/>
      <c r="H956" s="83"/>
      <c r="I956" s="4"/>
      <c r="J956" s="4"/>
      <c r="K956" s="4"/>
      <c r="L956" s="4"/>
      <c r="M956" s="4"/>
      <c r="N956" s="28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  <c r="AD956" s="4"/>
      <c r="AE956" s="4"/>
      <c r="AF956" s="81"/>
      <c r="AG956" s="81"/>
      <c r="AH956" s="81"/>
      <c r="AI956" s="4"/>
      <c r="AJ956" s="81"/>
      <c r="AK956" s="81"/>
      <c r="AL956" s="81"/>
      <c r="AM956" s="43">
        <v>940</v>
      </c>
      <c r="AN956">
        <v>39.678515410716493</v>
      </c>
      <c r="AO956">
        <v>0.95068148576106848</v>
      </c>
      <c r="AP956">
        <v>9.0956996266191972</v>
      </c>
      <c r="AQ956">
        <v>6.2131242070123651</v>
      </c>
      <c r="AR956">
        <v>0.87733090707299966</v>
      </c>
      <c r="AS956">
        <v>3.3648214092513555</v>
      </c>
      <c r="AT956" t="e">
        <v>#DIV/0!</v>
      </c>
      <c r="AU956" t="e">
        <v>#DIV/0!</v>
      </c>
      <c r="AV956"/>
      <c r="AW956"/>
      <c r="FY956" s="211">
        <v>951</v>
      </c>
      <c r="FZ956">
        <v>0.55221370365200628</v>
      </c>
      <c r="GA956">
        <v>1.0198514179093383</v>
      </c>
      <c r="GB956">
        <v>1.0843844846830522</v>
      </c>
      <c r="GC956">
        <v>0.92941023189867067</v>
      </c>
      <c r="GD956">
        <v>0.3658526021889193</v>
      </c>
      <c r="GE956">
        <v>9.6357736129499983E-3</v>
      </c>
      <c r="GF956">
        <v>0.31972386098362504</v>
      </c>
      <c r="GG956">
        <v>0.27724879729462504</v>
      </c>
      <c r="GH956">
        <v>2.2985735835423678E-2</v>
      </c>
      <c r="GI956">
        <v>0.61518072120628053</v>
      </c>
      <c r="GJ956"/>
      <c r="GK956">
        <v>0.55031250000000009</v>
      </c>
      <c r="GL956">
        <v>0.85896093750000002</v>
      </c>
      <c r="GM956">
        <v>1.7803032670454544</v>
      </c>
      <c r="GN956">
        <v>2.7251432224025969</v>
      </c>
      <c r="GO956">
        <v>1.3911133928571429</v>
      </c>
      <c r="GP956">
        <v>1.8093749999999999E-2</v>
      </c>
      <c r="GQ956">
        <v>0.38624999999999998</v>
      </c>
      <c r="GR956">
        <v>0.38624999999999998</v>
      </c>
      <c r="GS956">
        <v>2.4293870192307693E-2</v>
      </c>
      <c r="GT956">
        <v>0.82645460601898102</v>
      </c>
      <c r="GU956"/>
      <c r="GV956"/>
      <c r="GW956"/>
      <c r="GX956"/>
      <c r="GY956"/>
      <c r="GZ956"/>
      <c r="HA956"/>
      <c r="HB956"/>
      <c r="HC956"/>
    </row>
    <row r="957" spans="1:211" s="7" customFormat="1">
      <c r="A957" s="4"/>
      <c r="B957" s="4"/>
      <c r="C957" s="4"/>
      <c r="D957" s="4"/>
      <c r="E957" s="4"/>
      <c r="F957" s="28"/>
      <c r="G957" s="28"/>
      <c r="H957" s="83"/>
      <c r="I957" s="4"/>
      <c r="J957" s="4"/>
      <c r="K957" s="4"/>
      <c r="L957" s="4"/>
      <c r="M957" s="4"/>
      <c r="N957" s="28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4"/>
      <c r="AF957" s="81"/>
      <c r="AG957" s="81"/>
      <c r="AH957" s="81"/>
      <c r="AI957" s="4"/>
      <c r="AJ957" s="81"/>
      <c r="AK957" s="81"/>
      <c r="AL957" s="81"/>
      <c r="AM957" s="43">
        <v>941</v>
      </c>
      <c r="AN957">
        <v>42.887335797845701</v>
      </c>
      <c r="AO957">
        <v>1.0841197507497564</v>
      </c>
      <c r="AP957">
        <v>11.324374819365032</v>
      </c>
      <c r="AQ957">
        <v>7.547255222843452</v>
      </c>
      <c r="AR957">
        <v>1.0217850006815967</v>
      </c>
      <c r="AS957">
        <v>3.6414855970190585</v>
      </c>
      <c r="AT957" t="e">
        <v>#DIV/0!</v>
      </c>
      <c r="AU957" t="e">
        <v>#DIV/0!</v>
      </c>
      <c r="AV957"/>
      <c r="AW957"/>
      <c r="FY957" s="211">
        <v>952</v>
      </c>
      <c r="FZ957">
        <v>2.3509139287812788</v>
      </c>
      <c r="GA957">
        <v>2.8630726384456406</v>
      </c>
      <c r="GB957">
        <v>0.74814770839580147</v>
      </c>
      <c r="GC957">
        <v>0.78730637378538193</v>
      </c>
      <c r="GD957">
        <v>0.36725168339493419</v>
      </c>
      <c r="GE957">
        <v>4.8178868064749992E-3</v>
      </c>
      <c r="GF957">
        <v>0.15986193049181252</v>
      </c>
      <c r="GG957">
        <v>0.18920630708545313</v>
      </c>
      <c r="GH957">
        <v>6.6522953376906252E-2</v>
      </c>
      <c r="GI957">
        <v>0.77874968650146803</v>
      </c>
      <c r="GJ957"/>
      <c r="GK957">
        <v>2.3430336397058822</v>
      </c>
      <c r="GL957">
        <v>2.4117523897058826</v>
      </c>
      <c r="GM957">
        <v>1.2283423295454543</v>
      </c>
      <c r="GN957">
        <v>2.3080838474025969</v>
      </c>
      <c r="GO957">
        <v>1.3965696428571426</v>
      </c>
      <c r="GP957">
        <v>9.0468749999999994E-3</v>
      </c>
      <c r="GQ957">
        <v>0.19312499999999999</v>
      </c>
      <c r="GR957">
        <v>0.26348958333333333</v>
      </c>
      <c r="GS957">
        <v>7.0364583333333328E-2</v>
      </c>
      <c r="GT957">
        <v>1.0462870390883627</v>
      </c>
      <c r="GU957"/>
      <c r="GV957"/>
      <c r="GW957"/>
      <c r="GX957"/>
      <c r="GY957"/>
      <c r="GZ957"/>
      <c r="HA957"/>
      <c r="HB957"/>
      <c r="HC957"/>
    </row>
    <row r="958" spans="1:211" s="7" customFormat="1">
      <c r="A958" s="4"/>
      <c r="B958" s="4"/>
      <c r="C958" s="4"/>
      <c r="D958" s="4"/>
      <c r="E958" s="4"/>
      <c r="F958" s="28"/>
      <c r="G958" s="28"/>
      <c r="H958" s="83"/>
      <c r="I958" s="4"/>
      <c r="J958" s="4"/>
      <c r="K958" s="4"/>
      <c r="L958" s="4"/>
      <c r="M958" s="4"/>
      <c r="N958" s="28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4"/>
      <c r="AF958" s="81"/>
      <c r="AG958" s="81"/>
      <c r="AH958" s="81"/>
      <c r="AI958" s="4"/>
      <c r="AJ958" s="81"/>
      <c r="AK958" s="81"/>
      <c r="AL958" s="81"/>
      <c r="AM958" s="43">
        <v>942</v>
      </c>
      <c r="AN958">
        <v>30.154031211843705</v>
      </c>
      <c r="AO958">
        <v>0.71609432022664843</v>
      </c>
      <c r="AP958">
        <v>1.1102894343607508</v>
      </c>
      <c r="AQ958">
        <v>4.1270231494368428</v>
      </c>
      <c r="AR958">
        <v>0.67493632476898102</v>
      </c>
      <c r="AS958">
        <v>2.5947689709342971</v>
      </c>
      <c r="AT958" t="e">
        <v>#DIV/0!</v>
      </c>
      <c r="AU958" t="e">
        <v>#DIV/0!</v>
      </c>
      <c r="AV958"/>
      <c r="AW958"/>
      <c r="FY958" s="211">
        <v>953</v>
      </c>
      <c r="FZ958">
        <v>1.8523489022683821</v>
      </c>
      <c r="GA958">
        <v>2.5505729542216811</v>
      </c>
      <c r="GB958">
        <v>0.35157461185965944</v>
      </c>
      <c r="GC958">
        <v>0.10403621145245001</v>
      </c>
      <c r="GD958">
        <v>0.13350690013247676</v>
      </c>
      <c r="GE958">
        <v>0.17429492255579998</v>
      </c>
      <c r="GF958">
        <v>0.69434057702733132</v>
      </c>
      <c r="GG958">
        <v>0.61737285987307855</v>
      </c>
      <c r="GH958">
        <v>6.6522953376906252E-2</v>
      </c>
      <c r="GI958">
        <v>0.57157794523495853</v>
      </c>
      <c r="GJ958"/>
      <c r="GK958">
        <v>1.845920588235294</v>
      </c>
      <c r="GL958">
        <v>2.1482174632352939</v>
      </c>
      <c r="GM958">
        <v>0.57690625000000006</v>
      </c>
      <c r="GN958">
        <v>0.30504464285714283</v>
      </c>
      <c r="GO958">
        <v>0.5083727678571428</v>
      </c>
      <c r="GP958">
        <v>0.32756249999999998</v>
      </c>
      <c r="GQ958">
        <v>0.83787635869565202</v>
      </c>
      <c r="GR958">
        <v>0.85939719202898535</v>
      </c>
      <c r="GS958">
        <v>7.0364583333333328E-2</v>
      </c>
      <c r="GT958">
        <v>0.76788810962428444</v>
      </c>
      <c r="GU958"/>
      <c r="GV958"/>
      <c r="GW958"/>
      <c r="GX958"/>
      <c r="GY958"/>
      <c r="GZ958"/>
      <c r="HA958"/>
      <c r="HB958"/>
      <c r="HC958"/>
    </row>
    <row r="959" spans="1:211" s="7" customFormat="1">
      <c r="A959" s="4"/>
      <c r="B959" s="4"/>
      <c r="C959" s="4"/>
      <c r="D959" s="4"/>
      <c r="E959" s="4"/>
      <c r="F959" s="28"/>
      <c r="G959" s="28"/>
      <c r="H959" s="83"/>
      <c r="I959" s="4"/>
      <c r="J959" s="4"/>
      <c r="K959" s="4"/>
      <c r="L959" s="4"/>
      <c r="M959" s="4"/>
      <c r="N959" s="28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4"/>
      <c r="AF959" s="81"/>
      <c r="AG959" s="81"/>
      <c r="AH959" s="81"/>
      <c r="AI959" s="4"/>
      <c r="AJ959" s="81"/>
      <c r="AK959" s="81"/>
      <c r="AL959" s="81"/>
      <c r="AM959" s="43">
        <v>943</v>
      </c>
      <c r="AN959">
        <v>38.944600857576397</v>
      </c>
      <c r="AO959">
        <v>0.89347276497302508</v>
      </c>
      <c r="AP959">
        <v>4.6926889704908668</v>
      </c>
      <c r="AQ959">
        <v>5.5729468648963119</v>
      </c>
      <c r="AR959">
        <v>0.82894513817477822</v>
      </c>
      <c r="AS959">
        <v>3.4528989197167235</v>
      </c>
      <c r="AT959" t="e">
        <v>#DIV/0!</v>
      </c>
      <c r="AU959" t="e">
        <v>#DIV/0!</v>
      </c>
      <c r="AV959"/>
      <c r="AW959"/>
      <c r="FY959" s="211">
        <v>954</v>
      </c>
      <c r="FZ959">
        <v>0.71215469184166302</v>
      </c>
      <c r="GA959">
        <v>0.82763479763548775</v>
      </c>
      <c r="GB959">
        <v>0.15967446721318124</v>
      </c>
      <c r="GC959">
        <v>0.11642368319553874</v>
      </c>
      <c r="GD959">
        <v>0.17728777308237426</v>
      </c>
      <c r="GE959">
        <v>0.21760197508844997</v>
      </c>
      <c r="GF959">
        <v>0.31972386098362504</v>
      </c>
      <c r="GG959">
        <v>0.32783070573276563</v>
      </c>
      <c r="GH959">
        <v>6.6522953376906252E-2</v>
      </c>
      <c r="GI959">
        <v>0.31308619374919022</v>
      </c>
      <c r="GJ959"/>
      <c r="GK959">
        <v>0.70955624999999989</v>
      </c>
      <c r="GL959">
        <v>0.69675937499999996</v>
      </c>
      <c r="GM959">
        <v>0.2618125</v>
      </c>
      <c r="GN959">
        <v>0.34116651785714286</v>
      </c>
      <c r="GO959">
        <v>0.67480714285714272</v>
      </c>
      <c r="GP959">
        <v>0.40903124999999996</v>
      </c>
      <c r="GQ959">
        <v>0.38624999999999998</v>
      </c>
      <c r="GR959">
        <v>0.45661458333333332</v>
      </c>
      <c r="GS959">
        <v>7.0364583333333328E-2</v>
      </c>
      <c r="GT959">
        <v>0.42055809523809518</v>
      </c>
      <c r="GU959"/>
      <c r="GV959"/>
      <c r="GW959"/>
      <c r="GX959"/>
      <c r="GY959"/>
      <c r="GZ959"/>
      <c r="HA959"/>
      <c r="HB959"/>
      <c r="HC959"/>
    </row>
    <row r="960" spans="1:211" s="7" customFormat="1">
      <c r="A960" s="4"/>
      <c r="B960" s="4"/>
      <c r="C960" s="4"/>
      <c r="D960" s="4"/>
      <c r="E960" s="4"/>
      <c r="F960" s="28"/>
      <c r="G960" s="28"/>
      <c r="H960" s="83"/>
      <c r="I960" s="4"/>
      <c r="J960" s="4"/>
      <c r="K960" s="4"/>
      <c r="L960" s="4"/>
      <c r="M960" s="4"/>
      <c r="N960" s="28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4"/>
      <c r="AF960" s="81"/>
      <c r="AG960" s="81"/>
      <c r="AH960" s="81"/>
      <c r="AI960" s="4"/>
      <c r="AJ960" s="81"/>
      <c r="AK960" s="81"/>
      <c r="AL960" s="81"/>
      <c r="AM960" s="43">
        <v>944</v>
      </c>
      <c r="AN960">
        <v>31.978285789882648</v>
      </c>
      <c r="AO960">
        <v>0.67716022518836128</v>
      </c>
      <c r="AP960">
        <v>9.7719508203298278E-2</v>
      </c>
      <c r="AQ960">
        <v>5.4560814759449352</v>
      </c>
      <c r="AR960">
        <v>0.63229737473417458</v>
      </c>
      <c r="AS960">
        <v>2.6507258607546733</v>
      </c>
      <c r="AT960">
        <v>0.51828277155984381</v>
      </c>
      <c r="AU960">
        <v>9.8146351794661107E-2</v>
      </c>
      <c r="AV960"/>
      <c r="AW960"/>
      <c r="FY960" s="211">
        <v>955</v>
      </c>
      <c r="FZ960">
        <v>1.5580725909650948</v>
      </c>
      <c r="GA960">
        <v>1.9084550907683318</v>
      </c>
      <c r="GB960">
        <v>2.0291428329367953</v>
      </c>
      <c r="GC960">
        <v>1.3495780973436751</v>
      </c>
      <c r="GD960">
        <v>0.26542600588084175</v>
      </c>
      <c r="GE960">
        <v>8.8593614384399985E-2</v>
      </c>
      <c r="GF960">
        <v>0.31972386098362504</v>
      </c>
      <c r="GG960">
        <v>0.32783070573276563</v>
      </c>
      <c r="GH960">
        <v>0.11249442504775362</v>
      </c>
      <c r="GI960">
        <v>0.95246759320259278</v>
      </c>
      <c r="GJ960"/>
      <c r="GK960">
        <v>1.552670588235294</v>
      </c>
      <c r="GL960">
        <v>1.6073854319852938</v>
      </c>
      <c r="GM960">
        <v>3.3319449573863631</v>
      </c>
      <c r="GN960">
        <v>3.9607466314935063</v>
      </c>
      <c r="GO960">
        <v>1.0093915178571429</v>
      </c>
      <c r="GP960">
        <v>0.16649999999999998</v>
      </c>
      <c r="GQ960">
        <v>0.38624999999999998</v>
      </c>
      <c r="GR960">
        <v>0.45661458333333332</v>
      </c>
      <c r="GS960">
        <v>0.11895232371794871</v>
      </c>
      <c r="GT960">
        <v>1.2798418774393499</v>
      </c>
      <c r="GU960"/>
      <c r="GV960"/>
      <c r="GW960"/>
      <c r="GX960"/>
      <c r="GY960"/>
      <c r="GZ960"/>
      <c r="HA960"/>
      <c r="HB960"/>
      <c r="HC960"/>
    </row>
    <row r="961" spans="1:211" s="7" customFormat="1">
      <c r="A961" s="4"/>
      <c r="B961" s="4"/>
      <c r="C961" s="4"/>
      <c r="D961" s="4"/>
      <c r="E961" s="4"/>
      <c r="F961" s="28"/>
      <c r="G961" s="28"/>
      <c r="H961" s="83"/>
      <c r="I961" s="4"/>
      <c r="J961" s="4"/>
      <c r="K961" s="4"/>
      <c r="L961" s="4"/>
      <c r="M961" s="4"/>
      <c r="N961" s="28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4"/>
      <c r="AF961" s="81"/>
      <c r="AG961" s="81"/>
      <c r="AH961" s="81"/>
      <c r="AI961" s="4"/>
      <c r="AJ961" s="81"/>
      <c r="AK961" s="81"/>
      <c r="AL961" s="81"/>
      <c r="AM961" s="43">
        <v>945</v>
      </c>
      <c r="AN961">
        <v>48.401386195503832</v>
      </c>
      <c r="AO961">
        <v>1.1141112071751773</v>
      </c>
      <c r="AP961">
        <v>18.238441288014659</v>
      </c>
      <c r="AQ961">
        <v>7.4895246944770371</v>
      </c>
      <c r="AR961">
        <v>1.0150369038130986</v>
      </c>
      <c r="AS961">
        <v>3.8280571966596764</v>
      </c>
      <c r="AT961" t="e">
        <v>#DIV/0!</v>
      </c>
      <c r="AU961" t="e">
        <v>#DIV/0!</v>
      </c>
      <c r="AV961"/>
      <c r="AW961"/>
      <c r="FY961" s="211">
        <v>956</v>
      </c>
      <c r="FZ961">
        <v>1.2056989572642602</v>
      </c>
      <c r="GA961">
        <v>1.5302532359942886</v>
      </c>
      <c r="GB961">
        <v>2.3874678777672944</v>
      </c>
      <c r="GC961">
        <v>1.3168892008332347</v>
      </c>
      <c r="GD961">
        <v>6.3645096347974273E-2</v>
      </c>
      <c r="GE961">
        <v>4.8178868064749992E-3</v>
      </c>
      <c r="GF961">
        <v>0.49395954912409079</v>
      </c>
      <c r="GG961">
        <v>0.4281665527876255</v>
      </c>
      <c r="GH961">
        <v>2.2985735835423678E-2</v>
      </c>
      <c r="GI961">
        <v>0.89063827635275827</v>
      </c>
      <c r="GJ961"/>
      <c r="GK961">
        <v>1.201576838235294</v>
      </c>
      <c r="GL961">
        <v>1.288822931985294</v>
      </c>
      <c r="GM961">
        <v>3.9206232244318175</v>
      </c>
      <c r="GN961">
        <v>3.8673561485389603</v>
      </c>
      <c r="GO961">
        <v>0.24224464285714281</v>
      </c>
      <c r="GP961">
        <v>9.0468749999999994E-3</v>
      </c>
      <c r="GQ961">
        <v>0.59590760869565207</v>
      </c>
      <c r="GR961">
        <v>0.59590760869565207</v>
      </c>
      <c r="GS961">
        <v>2.4293870192307693E-2</v>
      </c>
      <c r="GT961">
        <v>1.1969292368824427</v>
      </c>
      <c r="GU961"/>
      <c r="GV961"/>
      <c r="GW961"/>
      <c r="GX961"/>
      <c r="GY961"/>
      <c r="GZ961"/>
      <c r="HA961"/>
      <c r="HB961"/>
      <c r="HC961"/>
    </row>
    <row r="962" spans="1:211" s="7" customFormat="1">
      <c r="A962" s="4"/>
      <c r="B962" s="4"/>
      <c r="C962" s="4"/>
      <c r="D962" s="4"/>
      <c r="E962" s="4"/>
      <c r="F962" s="28"/>
      <c r="G962" s="28"/>
      <c r="H962" s="83"/>
      <c r="I962" s="4"/>
      <c r="J962" s="4"/>
      <c r="K962" s="4"/>
      <c r="L962" s="4"/>
      <c r="M962" s="4"/>
      <c r="N962" s="28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4"/>
      <c r="AF962" s="81"/>
      <c r="AG962" s="81"/>
      <c r="AH962" s="81"/>
      <c r="AI962" s="4"/>
      <c r="AJ962" s="81"/>
      <c r="AK962" s="81"/>
      <c r="AL962" s="81"/>
      <c r="AM962" s="43">
        <v>946</v>
      </c>
      <c r="AN962">
        <v>30.681433122533662</v>
      </c>
      <c r="AO962">
        <v>0.74871601256917886</v>
      </c>
      <c r="AP962">
        <v>10.458248831141665</v>
      </c>
      <c r="AQ962">
        <v>5.5981906698194459</v>
      </c>
      <c r="AR962">
        <v>0.69814299875170105</v>
      </c>
      <c r="AS962">
        <v>2.4646795109268416</v>
      </c>
      <c r="AT962" t="e">
        <v>#DIV/0!</v>
      </c>
      <c r="AU962" t="e">
        <v>#DIV/0!</v>
      </c>
      <c r="AV962"/>
      <c r="AW962"/>
      <c r="FY962" s="211">
        <v>957</v>
      </c>
      <c r="FZ962">
        <v>2.4144123442324568</v>
      </c>
      <c r="GA962">
        <v>3.4046134323529347</v>
      </c>
      <c r="GB962">
        <v>1.4267843234644639</v>
      </c>
      <c r="GC962">
        <v>0.89009902342036507</v>
      </c>
      <c r="GD962">
        <v>0.24967540591469994</v>
      </c>
      <c r="GE962">
        <v>9.5283153058725006E-2</v>
      </c>
      <c r="GF962">
        <v>0</v>
      </c>
      <c r="GG962">
        <v>0</v>
      </c>
      <c r="GH962">
        <v>0</v>
      </c>
      <c r="GI962">
        <v>0.8482092445813687</v>
      </c>
      <c r="GJ962"/>
      <c r="GK962">
        <v>2.4062867647058823</v>
      </c>
      <c r="GL962">
        <v>2.8679586397058823</v>
      </c>
      <c r="GM962">
        <v>2.3426377840909089</v>
      </c>
      <c r="GN962">
        <v>2.6119815340909085</v>
      </c>
      <c r="GO962">
        <v>0.95006249999999981</v>
      </c>
      <c r="GP962">
        <v>0.17920312499999999</v>
      </c>
      <c r="GQ962">
        <v>0</v>
      </c>
      <c r="GR962">
        <v>0</v>
      </c>
      <c r="GS962">
        <v>0</v>
      </c>
      <c r="GT962">
        <v>1.1397974097593582</v>
      </c>
      <c r="GU962"/>
      <c r="GV962"/>
      <c r="GW962"/>
      <c r="GX962"/>
      <c r="GY962"/>
      <c r="GZ962"/>
      <c r="HA962"/>
      <c r="HB962"/>
      <c r="HC962"/>
    </row>
    <row r="963" spans="1:211" s="7" customFormat="1">
      <c r="A963" s="4"/>
      <c r="B963" s="4"/>
      <c r="C963" s="4"/>
      <c r="D963" s="4"/>
      <c r="E963" s="4"/>
      <c r="F963" s="28"/>
      <c r="G963" s="28"/>
      <c r="H963" s="83"/>
      <c r="I963" s="4"/>
      <c r="J963" s="4"/>
      <c r="K963" s="4"/>
      <c r="L963" s="4"/>
      <c r="M963" s="4"/>
      <c r="N963" s="28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4"/>
      <c r="AF963" s="81"/>
      <c r="AG963" s="81"/>
      <c r="AH963" s="81"/>
      <c r="AI963" s="4"/>
      <c r="AJ963" s="81"/>
      <c r="AK963" s="81"/>
      <c r="AL963" s="81"/>
      <c r="AM963" s="43">
        <v>947</v>
      </c>
      <c r="AN963">
        <v>25.91583676739927</v>
      </c>
      <c r="AO963">
        <v>0.55406313272664842</v>
      </c>
      <c r="AP963">
        <v>0.76844133152650951</v>
      </c>
      <c r="AQ963">
        <v>3.5714202974724536</v>
      </c>
      <c r="AR963">
        <v>0.51314660885988994</v>
      </c>
      <c r="AS963">
        <v>2.1222385506747781</v>
      </c>
      <c r="AT963" t="e">
        <v>#DIV/0!</v>
      </c>
      <c r="AU963" t="e">
        <v>#DIV/0!</v>
      </c>
      <c r="AV963"/>
      <c r="AW963"/>
      <c r="FY963" s="211">
        <v>958</v>
      </c>
      <c r="FZ963">
        <v>0.58319168062291582</v>
      </c>
      <c r="GA963">
        <v>0.73363657134381532</v>
      </c>
      <c r="GB963">
        <v>1.5304214424843032</v>
      </c>
      <c r="GC963">
        <v>0.8487356260805714</v>
      </c>
      <c r="GD963">
        <v>0.12681486144692677</v>
      </c>
      <c r="GE963">
        <v>0.1001010398652</v>
      </c>
      <c r="GF963">
        <v>0.31972386098362504</v>
      </c>
      <c r="GG963">
        <v>0.27724879729462504</v>
      </c>
      <c r="GH963">
        <v>0</v>
      </c>
      <c r="GI963">
        <v>0.58981805363703033</v>
      </c>
      <c r="GJ963"/>
      <c r="GK963">
        <v>0.58118437499999998</v>
      </c>
      <c r="GL963">
        <v>0.61761796874999997</v>
      </c>
      <c r="GM963">
        <v>2.512633877840909</v>
      </c>
      <c r="GN963">
        <v>2.4921043019480513</v>
      </c>
      <c r="GO963">
        <v>0.48306026785714284</v>
      </c>
      <c r="GP963">
        <v>0.18824999999999997</v>
      </c>
      <c r="GQ963">
        <v>0.38624999999999998</v>
      </c>
      <c r="GR963">
        <v>0.38624999999999998</v>
      </c>
      <c r="GS963">
        <v>0</v>
      </c>
      <c r="GT963">
        <v>0.79262570413961031</v>
      </c>
      <c r="GU963"/>
      <c r="GV963"/>
      <c r="GW963"/>
      <c r="GX963"/>
      <c r="GY963"/>
      <c r="GZ963"/>
      <c r="HA963"/>
      <c r="HB963"/>
      <c r="HC963"/>
    </row>
    <row r="964" spans="1:211" s="7" customFormat="1">
      <c r="A964" s="4"/>
      <c r="B964" s="4"/>
      <c r="C964" s="4"/>
      <c r="D964" s="4"/>
      <c r="E964" s="4"/>
      <c r="F964" s="28"/>
      <c r="G964" s="28"/>
      <c r="H964" s="83"/>
      <c r="I964" s="4"/>
      <c r="J964" s="4"/>
      <c r="K964" s="4"/>
      <c r="L964" s="4"/>
      <c r="M964" s="4"/>
      <c r="N964" s="28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4"/>
      <c r="AF964" s="81"/>
      <c r="AG964" s="81"/>
      <c r="AH964" s="81"/>
      <c r="AI964" s="4"/>
      <c r="AJ964" s="81"/>
      <c r="AK964" s="81"/>
      <c r="AL964" s="81"/>
      <c r="AM964" s="43">
        <v>948</v>
      </c>
      <c r="AN964">
        <v>47.802949350959253</v>
      </c>
      <c r="AO964">
        <v>1.079979006244262</v>
      </c>
      <c r="AP964">
        <v>21.0257978582286</v>
      </c>
      <c r="AQ964">
        <v>7.4493876886074464</v>
      </c>
      <c r="AR964">
        <v>0.98400763023953886</v>
      </c>
      <c r="AS964">
        <v>3.9095780894332797</v>
      </c>
      <c r="AT964" t="e">
        <v>#DIV/0!</v>
      </c>
      <c r="AU964" t="e">
        <v>#DIV/0!</v>
      </c>
      <c r="AV964"/>
      <c r="AW964"/>
      <c r="FY964" s="211">
        <v>959</v>
      </c>
      <c r="FZ964">
        <v>1.6302610136122095</v>
      </c>
      <c r="GA964">
        <v>2.079815001105648</v>
      </c>
      <c r="GB964">
        <v>0.31261817997796287</v>
      </c>
      <c r="GC964">
        <v>0.19131449416916246</v>
      </c>
      <c r="GD964">
        <v>0.17625310201952679</v>
      </c>
      <c r="GE964">
        <v>0.2050738952625</v>
      </c>
      <c r="GF964">
        <v>0.37461671604370633</v>
      </c>
      <c r="GG964">
        <v>0.28954215414031298</v>
      </c>
      <c r="GH964">
        <v>4.5971471670847357E-2</v>
      </c>
      <c r="GI964">
        <v>0.49261634590082592</v>
      </c>
      <c r="GJ964"/>
      <c r="GK964">
        <v>1.6247661764705883</v>
      </c>
      <c r="GL964">
        <v>1.7518560202205882</v>
      </c>
      <c r="GM964">
        <v>0.51263671875000005</v>
      </c>
      <c r="GN964">
        <v>0.56082589285714279</v>
      </c>
      <c r="GO964">
        <v>0.67131026785714287</v>
      </c>
      <c r="GP964">
        <v>0.38550000000000001</v>
      </c>
      <c r="GQ964">
        <v>0.45162635869565215</v>
      </c>
      <c r="GR964">
        <v>0.40278260869565213</v>
      </c>
      <c r="GS964">
        <v>4.8587740384615385E-2</v>
      </c>
      <c r="GT964">
        <v>0.6617854524315997</v>
      </c>
      <c r="GU964"/>
      <c r="GV964"/>
      <c r="GW964"/>
      <c r="GX964"/>
      <c r="GY964"/>
      <c r="GZ964"/>
      <c r="HA964"/>
      <c r="HB964"/>
      <c r="HC964"/>
    </row>
    <row r="965" spans="1:211" s="7" customFormat="1">
      <c r="A965" s="4"/>
      <c r="B965" s="4"/>
      <c r="C965" s="4"/>
      <c r="D965" s="4"/>
      <c r="E965" s="4"/>
      <c r="F965" s="28"/>
      <c r="G965" s="28"/>
      <c r="H965" s="83"/>
      <c r="I965" s="4"/>
      <c r="J965" s="4"/>
      <c r="K965" s="4"/>
      <c r="L965" s="4"/>
      <c r="M965" s="4"/>
      <c r="N965" s="28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4"/>
      <c r="AF965" s="81"/>
      <c r="AG965" s="81"/>
      <c r="AH965" s="81"/>
      <c r="AI965" s="4"/>
      <c r="AJ965" s="81"/>
      <c r="AK965" s="81"/>
      <c r="AL965" s="81"/>
      <c r="AM965" s="43">
        <v>949</v>
      </c>
      <c r="AN965">
        <v>36.446423409107233</v>
      </c>
      <c r="AO965">
        <v>0.83985749678813826</v>
      </c>
      <c r="AP965">
        <v>1.6774300594597076</v>
      </c>
      <c r="AQ965">
        <v>5.5330280361928796</v>
      </c>
      <c r="AR965">
        <v>0.77375457531439129</v>
      </c>
      <c r="AS965">
        <v>2.894346626163935</v>
      </c>
      <c r="AT965" t="e">
        <v>#DIV/0!</v>
      </c>
      <c r="AU965" t="e">
        <v>#DIV/0!</v>
      </c>
      <c r="AV965"/>
      <c r="AW965"/>
      <c r="FY965" s="211">
        <v>960</v>
      </c>
      <c r="FZ965">
        <v>0.79209071982213186</v>
      </c>
      <c r="GA965">
        <v>0.87387218476431494</v>
      </c>
      <c r="GB965">
        <v>1.6569762199228193</v>
      </c>
      <c r="GC965">
        <v>0.95698018405132734</v>
      </c>
      <c r="GD965">
        <v>0.11595099872409749</v>
      </c>
      <c r="GE965">
        <v>0.1406236436361</v>
      </c>
      <c r="GF965">
        <v>0.41513581345513451</v>
      </c>
      <c r="GG965">
        <v>0.34012406257845362</v>
      </c>
      <c r="GH965">
        <v>0.11249442504775362</v>
      </c>
      <c r="GI965">
        <v>0.68039224076283888</v>
      </c>
      <c r="GJ965"/>
      <c r="GK965">
        <v>0.78924374999999991</v>
      </c>
      <c r="GL965">
        <v>0.73564218749999999</v>
      </c>
      <c r="GM965">
        <v>2.7209723011363631</v>
      </c>
      <c r="GN965">
        <v>2.8106957386363631</v>
      </c>
      <c r="GO965">
        <v>0.44168437499999996</v>
      </c>
      <c r="GP965">
        <v>0.26418750000000002</v>
      </c>
      <c r="GQ965">
        <v>0.50047010869565223</v>
      </c>
      <c r="GR965">
        <v>0.47314719202898542</v>
      </c>
      <c r="GS965">
        <v>0.11895232371794871</v>
      </c>
      <c r="GT965">
        <v>0.91426457170999276</v>
      </c>
      <c r="GU965"/>
      <c r="GV965"/>
      <c r="GW965"/>
      <c r="GX965"/>
      <c r="GY965"/>
      <c r="GZ965"/>
      <c r="HA965"/>
      <c r="HB965"/>
      <c r="HC965"/>
    </row>
    <row r="966" spans="1:211" s="7" customFormat="1">
      <c r="A966" s="4"/>
      <c r="B966" s="4"/>
      <c r="C966" s="4"/>
      <c r="D966" s="4"/>
      <c r="E966" s="4"/>
      <c r="F966" s="28"/>
      <c r="G966" s="28"/>
      <c r="H966" s="83"/>
      <c r="I966" s="4"/>
      <c r="J966" s="4"/>
      <c r="K966" s="4"/>
      <c r="L966" s="4"/>
      <c r="M966" s="4"/>
      <c r="N966" s="28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4"/>
      <c r="AF966" s="81"/>
      <c r="AG966" s="81"/>
      <c r="AH966" s="81"/>
      <c r="AI966" s="4"/>
      <c r="AJ966" s="81"/>
      <c r="AK966" s="81"/>
      <c r="AL966" s="81"/>
      <c r="AM966" s="43">
        <v>950</v>
      </c>
      <c r="AN966">
        <v>42.988228046699916</v>
      </c>
      <c r="AO966">
        <v>0.86319547026620003</v>
      </c>
      <c r="AP966">
        <v>0.80351912484520938</v>
      </c>
      <c r="AQ966">
        <v>6.3333831011955102</v>
      </c>
      <c r="AR966">
        <v>0.80000669936787416</v>
      </c>
      <c r="AS966">
        <v>3.4305726172865807</v>
      </c>
      <c r="AT966" t="e">
        <v>#DIV/0!</v>
      </c>
      <c r="AU966" t="e">
        <v>#DIV/0!</v>
      </c>
      <c r="AV966"/>
      <c r="AW966"/>
      <c r="FY966" s="211">
        <v>961</v>
      </c>
      <c r="FZ966">
        <v>0.45414836726422503</v>
      </c>
      <c r="GA966">
        <v>1.0832892717910028</v>
      </c>
      <c r="GB966">
        <v>0.91612695792965604</v>
      </c>
      <c r="GC966">
        <v>0.56074104510475564</v>
      </c>
      <c r="GD966">
        <v>0.25636687212462417</v>
      </c>
      <c r="GE966">
        <v>0.14544153044257502</v>
      </c>
      <c r="GF966">
        <v>0.24090012531466881</v>
      </c>
      <c r="GG966">
        <v>0.13862439864731252</v>
      </c>
      <c r="GH966">
        <v>4.5971471670847357E-2</v>
      </c>
      <c r="GI966">
        <v>0.48696846568732077</v>
      </c>
      <c r="GJ966"/>
      <c r="GK966">
        <v>0.452625</v>
      </c>
      <c r="GL966">
        <v>0.91246874999999983</v>
      </c>
      <c r="GM966">
        <v>1.5042329545454542</v>
      </c>
      <c r="GN966">
        <v>1.6446182224025971</v>
      </c>
      <c r="GO966">
        <v>0.97499464285714266</v>
      </c>
      <c r="GP966">
        <v>0.27323437500000003</v>
      </c>
      <c r="GQ966">
        <v>0.29081250000000003</v>
      </c>
      <c r="GR966">
        <v>0.19312499999999999</v>
      </c>
      <c r="GS966">
        <v>4.8587740384615385E-2</v>
      </c>
      <c r="GT966">
        <v>0.65425056755744249</v>
      </c>
      <c r="GU966"/>
      <c r="GV966"/>
      <c r="GW966"/>
      <c r="GX966"/>
      <c r="GY966"/>
      <c r="GZ966"/>
      <c r="HA966"/>
      <c r="HB966"/>
      <c r="HC966"/>
    </row>
    <row r="967" spans="1:211" s="7" customFormat="1">
      <c r="A967" s="4"/>
      <c r="B967" s="4"/>
      <c r="C967" s="4"/>
      <c r="D967" s="4"/>
      <c r="E967" s="4"/>
      <c r="F967" s="28"/>
      <c r="G967" s="28"/>
      <c r="H967" s="83"/>
      <c r="I967" s="4"/>
      <c r="J967" s="4"/>
      <c r="K967" s="4"/>
      <c r="L967" s="4"/>
      <c r="M967" s="4"/>
      <c r="N967" s="28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4"/>
      <c r="AF967" s="81"/>
      <c r="AG967" s="81"/>
      <c r="AH967" s="81"/>
      <c r="AI967" s="4"/>
      <c r="AJ967" s="81"/>
      <c r="AK967" s="81"/>
      <c r="AL967" s="81"/>
      <c r="AM967" s="43">
        <v>951</v>
      </c>
      <c r="AN967">
        <v>38.4663576007326</v>
      </c>
      <c r="AO967">
        <v>0.89471755460164837</v>
      </c>
      <c r="AP967">
        <v>4.7615793847400152</v>
      </c>
      <c r="AQ967">
        <v>5.1964873292648921</v>
      </c>
      <c r="AR967">
        <v>0.82645460601898091</v>
      </c>
      <c r="AS967">
        <v>3.0794594881953823</v>
      </c>
      <c r="AT967" t="e">
        <v>#DIV/0!</v>
      </c>
      <c r="AU967" t="e">
        <v>#DIV/0!</v>
      </c>
      <c r="AV967"/>
      <c r="AW967"/>
      <c r="FY967" s="211">
        <v>962</v>
      </c>
      <c r="FZ967">
        <v>1.1657309432740259</v>
      </c>
      <c r="GA967">
        <v>1.444248706363376</v>
      </c>
      <c r="GB967">
        <v>1.0459365640728504</v>
      </c>
      <c r="GC967">
        <v>0.95746499633493709</v>
      </c>
      <c r="GD967">
        <v>0.3677530067003475</v>
      </c>
      <c r="GE967">
        <v>5.0050519932599999E-2</v>
      </c>
      <c r="GF967">
        <v>1.1621547863886474</v>
      </c>
      <c r="GG967">
        <v>1.0578327695063923</v>
      </c>
      <c r="GH967">
        <v>8.9508689212329934E-2</v>
      </c>
      <c r="GI967">
        <v>0.85963297620970724</v>
      </c>
      <c r="GJ967"/>
      <c r="GK967">
        <v>1.1617330882352941</v>
      </c>
      <c r="GL967">
        <v>1.2164479319852939</v>
      </c>
      <c r="GM967">
        <v>1.7169946732954546</v>
      </c>
      <c r="GN967">
        <v>2.8074642045454548</v>
      </c>
      <c r="GO967">
        <v>1.3986843750000002</v>
      </c>
      <c r="GP967">
        <v>9.4124999999999986E-2</v>
      </c>
      <c r="GQ967">
        <v>1.4014728260869567</v>
      </c>
      <c r="GR967">
        <v>1.47183740942029</v>
      </c>
      <c r="GS967">
        <v>9.465845352564102E-2</v>
      </c>
      <c r="GT967">
        <v>1.1547086832286693</v>
      </c>
      <c r="GU967"/>
      <c r="GV967"/>
      <c r="GW967"/>
      <c r="GX967"/>
      <c r="GY967"/>
      <c r="GZ967"/>
      <c r="HA967"/>
      <c r="HB967"/>
      <c r="HC967"/>
    </row>
    <row r="968" spans="1:211" s="7" customFormat="1">
      <c r="A968" s="4"/>
      <c r="B968" s="4"/>
      <c r="C968" s="4"/>
      <c r="D968" s="4"/>
      <c r="E968" s="4"/>
      <c r="F968" s="28"/>
      <c r="G968" s="28"/>
      <c r="H968" s="83"/>
      <c r="I968" s="4"/>
      <c r="J968" s="4"/>
      <c r="K968" s="4"/>
      <c r="L968" s="4"/>
      <c r="M968" s="4"/>
      <c r="N968" s="28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4"/>
      <c r="AF968" s="81"/>
      <c r="AG968" s="81"/>
      <c r="AH968" s="81"/>
      <c r="AI968" s="4"/>
      <c r="AJ968" s="81"/>
      <c r="AK968" s="81"/>
      <c r="AL968" s="81"/>
      <c r="AM968" s="43">
        <v>952</v>
      </c>
      <c r="AN968">
        <v>47.403493619670087</v>
      </c>
      <c r="AO968">
        <v>1.1270094929971988</v>
      </c>
      <c r="AP968">
        <v>2.4244751959476525</v>
      </c>
      <c r="AQ968">
        <v>8.3158510970651545</v>
      </c>
      <c r="AR968">
        <v>1.0462870390883625</v>
      </c>
      <c r="AS968">
        <v>3.5766770140801682</v>
      </c>
      <c r="AT968" t="e">
        <v>#DIV/0!</v>
      </c>
      <c r="AU968" t="e">
        <v>#DIV/0!</v>
      </c>
      <c r="AV968"/>
      <c r="AW968"/>
      <c r="FY968" s="211">
        <v>963</v>
      </c>
      <c r="FZ968">
        <v>1.9535515199999103</v>
      </c>
      <c r="GA968">
        <v>2.9271994510606625</v>
      </c>
      <c r="GB968">
        <v>0.77068700225526787</v>
      </c>
      <c r="GC968">
        <v>0.60274167487837493</v>
      </c>
      <c r="GD968">
        <v>0.39482698260167676</v>
      </c>
      <c r="GE968">
        <v>0.12900836070404997</v>
      </c>
      <c r="GF968">
        <v>0.6538214796159032</v>
      </c>
      <c r="GG968">
        <v>0.71853667674935984</v>
      </c>
      <c r="GH968">
        <v>0.22255459596614241</v>
      </c>
      <c r="GI968">
        <v>0.85423097298724793</v>
      </c>
      <c r="GJ968"/>
      <c r="GK968">
        <v>1.9470036764705878</v>
      </c>
      <c r="GL968">
        <v>2.465464613970588</v>
      </c>
      <c r="GM968">
        <v>1.2644765624999998</v>
      </c>
      <c r="GN968">
        <v>1.7659821428571427</v>
      </c>
      <c r="GO968">
        <v>1.5015602678571427</v>
      </c>
      <c r="GP968">
        <v>0.24253124999999998</v>
      </c>
      <c r="GQ968">
        <v>0.78903260869565206</v>
      </c>
      <c r="GR968">
        <v>1.0001263586956521</v>
      </c>
      <c r="GS968">
        <v>0.23538762019230769</v>
      </c>
      <c r="GT968">
        <v>1.1474921471431383</v>
      </c>
      <c r="GU968"/>
      <c r="GV968"/>
      <c r="GW968"/>
      <c r="GX968"/>
      <c r="GY968"/>
      <c r="GZ968"/>
      <c r="HA968"/>
      <c r="HB968"/>
      <c r="HC968"/>
    </row>
    <row r="969" spans="1:211" s="7" customFormat="1">
      <c r="A969" s="4"/>
      <c r="B969" s="4"/>
      <c r="C969" s="4"/>
      <c r="D969" s="4"/>
      <c r="E969" s="4"/>
      <c r="F969" s="28"/>
      <c r="G969" s="28"/>
      <c r="H969" s="83"/>
      <c r="I969" s="4"/>
      <c r="J969" s="4"/>
      <c r="K969" s="4"/>
      <c r="L969" s="4"/>
      <c r="M969" s="4"/>
      <c r="N969" s="28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4"/>
      <c r="AF969" s="81"/>
      <c r="AG969" s="81"/>
      <c r="AH969" s="81"/>
      <c r="AI969" s="4"/>
      <c r="AJ969" s="81"/>
      <c r="AK969" s="81"/>
      <c r="AL969" s="81"/>
      <c r="AM969" s="43">
        <v>953</v>
      </c>
      <c r="AN969">
        <v>36.273039300261175</v>
      </c>
      <c r="AO969">
        <v>0.82475504558671298</v>
      </c>
      <c r="AP969">
        <v>0.78314885944926216</v>
      </c>
      <c r="AQ969">
        <v>7.1161488380027231</v>
      </c>
      <c r="AR969">
        <v>0.76788810962428422</v>
      </c>
      <c r="AS969">
        <v>2.8968575778855938</v>
      </c>
      <c r="AT969" t="e">
        <v>#DIV/0!</v>
      </c>
      <c r="AU969" t="e">
        <v>#DIV/0!</v>
      </c>
      <c r="AV969"/>
      <c r="AW969"/>
      <c r="FY969" s="211">
        <v>964</v>
      </c>
      <c r="FZ969">
        <v>1.2347533034186458</v>
      </c>
      <c r="GA969">
        <v>1.4866935379642154</v>
      </c>
      <c r="GB969">
        <v>1.0526673185212498</v>
      </c>
      <c r="GC969">
        <v>1.1436342844625307</v>
      </c>
      <c r="GD969">
        <v>0.54905460623057245</v>
      </c>
      <c r="GE969">
        <v>0.11273697714239998</v>
      </c>
      <c r="GF969">
        <v>0.37461671604370633</v>
      </c>
      <c r="GG969">
        <v>0.39070597101659427</v>
      </c>
      <c r="GH969">
        <v>0.1330459067538125</v>
      </c>
      <c r="GI969">
        <v>0.83958459337424762</v>
      </c>
      <c r="GJ969"/>
      <c r="GK969">
        <v>1.230658088235294</v>
      </c>
      <c r="GL969">
        <v>1.2522205882352941</v>
      </c>
      <c r="GM969">
        <v>1.7279829545454546</v>
      </c>
      <c r="GN969">
        <v>3.3526985795454545</v>
      </c>
      <c r="GO969">
        <v>2.0880281250000001</v>
      </c>
      <c r="GP969">
        <v>0.21168749999999995</v>
      </c>
      <c r="GQ969">
        <v>0.45162635869565215</v>
      </c>
      <c r="GR969">
        <v>0.54351177536231876</v>
      </c>
      <c r="GS969">
        <v>0.14072916666666666</v>
      </c>
      <c r="GT969">
        <v>1.1278049386286133</v>
      </c>
      <c r="GU969"/>
      <c r="GV969"/>
      <c r="GW969"/>
      <c r="GX969"/>
      <c r="GY969"/>
      <c r="GZ969"/>
      <c r="HA969"/>
      <c r="HB969"/>
      <c r="HC969"/>
    </row>
    <row r="970" spans="1:211" s="7" customFormat="1">
      <c r="A970" s="4"/>
      <c r="B970" s="4"/>
      <c r="C970" s="4"/>
      <c r="D970" s="4"/>
      <c r="E970" s="4"/>
      <c r="F970" s="28"/>
      <c r="G970" s="28"/>
      <c r="H970" s="83"/>
      <c r="I970" s="4"/>
      <c r="J970" s="4"/>
      <c r="K970" s="4"/>
      <c r="L970" s="4"/>
      <c r="M970" s="4"/>
      <c r="N970" s="28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4"/>
      <c r="AF970" s="81"/>
      <c r="AG970" s="81"/>
      <c r="AH970" s="81"/>
      <c r="AI970" s="4"/>
      <c r="AJ970" s="81"/>
      <c r="AK970" s="81"/>
      <c r="AL970" s="81"/>
      <c r="AM970" s="43">
        <v>954</v>
      </c>
      <c r="AN970">
        <v>20.556679894179894</v>
      </c>
      <c r="AO970">
        <v>0.44269202976190475</v>
      </c>
      <c r="AP970">
        <v>4.0816746128380919</v>
      </c>
      <c r="AQ970">
        <v>3.2379411018991822</v>
      </c>
      <c r="AR970">
        <v>0.42055809523809518</v>
      </c>
      <c r="AS970">
        <v>1.8909082485468973</v>
      </c>
      <c r="AT970" t="e">
        <v>#DIV/0!</v>
      </c>
      <c r="AU970" t="e">
        <v>#DIV/0!</v>
      </c>
      <c r="AV970"/>
      <c r="AW970"/>
      <c r="FY970" s="211">
        <v>965</v>
      </c>
      <c r="FZ970">
        <v>0.38335161067174395</v>
      </c>
      <c r="GA970">
        <v>0.8904654560414762</v>
      </c>
      <c r="GB970">
        <v>0.96352685985159481</v>
      </c>
      <c r="GC970">
        <v>0.62662770709609517</v>
      </c>
      <c r="GD970">
        <v>0.17462122782468747</v>
      </c>
      <c r="GE970">
        <v>0</v>
      </c>
      <c r="GF970">
        <v>0.81368341010771561</v>
      </c>
      <c r="GG970">
        <v>0.75599725852039101</v>
      </c>
      <c r="GH970">
        <v>6.6522953376906252E-2</v>
      </c>
      <c r="GI970">
        <v>0.54789809343895612</v>
      </c>
      <c r="GJ970"/>
      <c r="GK970">
        <v>0.38196562499999992</v>
      </c>
      <c r="GL970">
        <v>0.74994609374999999</v>
      </c>
      <c r="GM970">
        <v>1.5818618607954544</v>
      </c>
      <c r="GN970">
        <v>1.8380220170454544</v>
      </c>
      <c r="GO970">
        <v>0.66398437499999996</v>
      </c>
      <c r="GP970">
        <v>0</v>
      </c>
      <c r="GQ970">
        <v>0.98215760869565205</v>
      </c>
      <c r="GR970">
        <v>1.0525221920289853</v>
      </c>
      <c r="GS970">
        <v>7.0364583333333328E-2</v>
      </c>
      <c r="GT970">
        <v>0.73606681056488787</v>
      </c>
      <c r="GU970"/>
      <c r="GV970"/>
      <c r="GW970"/>
      <c r="GX970"/>
      <c r="GY970"/>
      <c r="GZ970"/>
      <c r="HA970"/>
      <c r="HB970"/>
      <c r="HC970"/>
    </row>
    <row r="971" spans="1:211" s="7" customFormat="1">
      <c r="A971" s="4"/>
      <c r="B971" s="4"/>
      <c r="C971" s="4"/>
      <c r="D971" s="4"/>
      <c r="E971" s="4"/>
      <c r="F971" s="28"/>
      <c r="G971" s="28"/>
      <c r="H971" s="83"/>
      <c r="I971" s="4"/>
      <c r="J971" s="4"/>
      <c r="K971" s="4"/>
      <c r="L971" s="4"/>
      <c r="M971" s="4"/>
      <c r="N971" s="28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4"/>
      <c r="AF971" s="81"/>
      <c r="AG971" s="81"/>
      <c r="AH971" s="81"/>
      <c r="AI971" s="4"/>
      <c r="AJ971" s="81"/>
      <c r="AK971" s="81"/>
      <c r="AL971" s="81"/>
      <c r="AM971" s="43">
        <v>955</v>
      </c>
      <c r="AN971">
        <v>52.664498678745005</v>
      </c>
      <c r="AO971">
        <v>1.3870297911448233</v>
      </c>
      <c r="AP971">
        <v>5.2533200382868506</v>
      </c>
      <c r="AQ971">
        <v>8.9117848172458753</v>
      </c>
      <c r="AR971">
        <v>1.2798418774393494</v>
      </c>
      <c r="AS971">
        <v>4.4108768542235</v>
      </c>
      <c r="AT971" t="e">
        <v>#DIV/0!</v>
      </c>
      <c r="AU971" t="e">
        <v>#DIV/0!</v>
      </c>
      <c r="AV971"/>
      <c r="AW971"/>
      <c r="FY971" s="211">
        <v>966</v>
      </c>
      <c r="FZ971">
        <v>1.4019387133385137</v>
      </c>
      <c r="GA971">
        <v>1.8957923918300901</v>
      </c>
      <c r="GB971">
        <v>1.3999034561650558</v>
      </c>
      <c r="GC971">
        <v>0.72951946844532478</v>
      </c>
      <c r="GD971">
        <v>5.1314166172751779E-2</v>
      </c>
      <c r="GE971">
        <v>6.4558109077649986E-2</v>
      </c>
      <c r="GF971">
        <v>0.86857626516779707</v>
      </c>
      <c r="GG971">
        <v>0.71770870692793864</v>
      </c>
      <c r="GH971">
        <v>2.2985735835423678E-2</v>
      </c>
      <c r="GI971">
        <v>0.73869404582327824</v>
      </c>
      <c r="GJ971"/>
      <c r="GK971">
        <v>1.3969143382352938</v>
      </c>
      <c r="GL971">
        <v>1.5963791819852937</v>
      </c>
      <c r="GM971">
        <v>2.2983604403409092</v>
      </c>
      <c r="GN971">
        <v>2.1419871144480518</v>
      </c>
      <c r="GO971">
        <v>0.19515401785714287</v>
      </c>
      <c r="GP971">
        <v>0.12121874999999999</v>
      </c>
      <c r="GQ971">
        <v>1.0475339673913044</v>
      </c>
      <c r="GR971">
        <v>0.99869021739130437</v>
      </c>
      <c r="GS971">
        <v>2.4293870192307693E-2</v>
      </c>
      <c r="GT971">
        <v>0.99245132680339143</v>
      </c>
      <c r="GU971"/>
      <c r="GV971"/>
      <c r="GW971"/>
      <c r="GX971"/>
      <c r="GY971"/>
      <c r="GZ971"/>
      <c r="HA971"/>
      <c r="HB971"/>
      <c r="HC971"/>
    </row>
    <row r="972" spans="1:211" s="7" customFormat="1">
      <c r="A972" s="4"/>
      <c r="B972" s="4"/>
      <c r="C972" s="4"/>
      <c r="D972" s="4"/>
      <c r="E972" s="4"/>
      <c r="F972" s="28"/>
      <c r="G972" s="28"/>
      <c r="H972" s="83"/>
      <c r="I972" s="4"/>
      <c r="J972" s="4"/>
      <c r="K972" s="4"/>
      <c r="L972" s="4"/>
      <c r="M972" s="4"/>
      <c r="N972" s="28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4"/>
      <c r="AF972" s="81"/>
      <c r="AG972" s="81"/>
      <c r="AH972" s="81"/>
      <c r="AI972" s="4"/>
      <c r="AJ972" s="81"/>
      <c r="AK972" s="81"/>
      <c r="AL972" s="81"/>
      <c r="AM972" s="43">
        <v>956</v>
      </c>
      <c r="AN972">
        <v>43.82108506236942</v>
      </c>
      <c r="AO972">
        <v>1.2942708985514564</v>
      </c>
      <c r="AP972">
        <v>7.892251326737461</v>
      </c>
      <c r="AQ972">
        <v>8.3445223691134256</v>
      </c>
      <c r="AR972">
        <v>1.1969292368824427</v>
      </c>
      <c r="AS972">
        <v>4.7514854961008641</v>
      </c>
      <c r="AT972" t="e">
        <v>#DIV/0!</v>
      </c>
      <c r="AU972" t="e">
        <v>#DIV/0!</v>
      </c>
      <c r="AV972"/>
      <c r="AW972"/>
      <c r="FY972" s="211">
        <v>967</v>
      </c>
      <c r="FZ972">
        <v>1.4709322923243864</v>
      </c>
      <c r="GA972">
        <v>1.6420292671578389</v>
      </c>
      <c r="GB972">
        <v>0.95338200867610423</v>
      </c>
      <c r="GC972">
        <v>1.0515474214366589</v>
      </c>
      <c r="GD972">
        <v>0.52484001963684757</v>
      </c>
      <c r="GE972">
        <v>0.11273697714239998</v>
      </c>
      <c r="GF972">
        <v>0.6799668193786782</v>
      </c>
      <c r="GG972">
        <v>0.65566141146553125</v>
      </c>
      <c r="GH972">
        <v>0.15603164258923619</v>
      </c>
      <c r="GI972">
        <v>0.89520158748354883</v>
      </c>
      <c r="GJ972"/>
      <c r="GK972">
        <v>1.466064338235294</v>
      </c>
      <c r="GL972">
        <v>1.3829666819852942</v>
      </c>
      <c r="GM972">
        <v>1.5647681107954545</v>
      </c>
      <c r="GN972">
        <v>3.0822688920454544</v>
      </c>
      <c r="GO972">
        <v>1.9956843750000002</v>
      </c>
      <c r="GP972">
        <v>0.21168749999999995</v>
      </c>
      <c r="GQ972">
        <v>0.82134375000000004</v>
      </c>
      <c r="GR972">
        <v>0.91322916666666665</v>
      </c>
      <c r="GS972">
        <v>0.16502303685897435</v>
      </c>
      <c r="GT972">
        <v>1.2025767221779444</v>
      </c>
      <c r="GU972"/>
      <c r="GV972"/>
      <c r="GW972"/>
      <c r="GX972"/>
      <c r="GY972"/>
      <c r="GZ972"/>
      <c r="HA972"/>
      <c r="HB972"/>
      <c r="HC972"/>
    </row>
    <row r="973" spans="1:211" s="7" customFormat="1">
      <c r="A973" s="4"/>
      <c r="B973" s="4"/>
      <c r="C973" s="4"/>
      <c r="D973" s="4"/>
      <c r="E973" s="4"/>
      <c r="F973" s="28"/>
      <c r="G973" s="28"/>
      <c r="H973" s="83"/>
      <c r="I973" s="4"/>
      <c r="J973" s="4"/>
      <c r="K973" s="4"/>
      <c r="L973" s="4"/>
      <c r="M973" s="4"/>
      <c r="N973" s="28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4"/>
      <c r="AF973" s="81"/>
      <c r="AG973" s="81"/>
      <c r="AH973" s="81"/>
      <c r="AI973" s="4"/>
      <c r="AJ973" s="81"/>
      <c r="AK973" s="81"/>
      <c r="AL973" s="81"/>
      <c r="AM973" s="43">
        <v>957</v>
      </c>
      <c r="AN973">
        <v>47.405841503267965</v>
      </c>
      <c r="AO973">
        <v>1.2497927757352942</v>
      </c>
      <c r="AP973">
        <v>1.0168716732302114</v>
      </c>
      <c r="AQ973">
        <v>9.3290769270250156</v>
      </c>
      <c r="AR973">
        <v>1.1397974097593582</v>
      </c>
      <c r="AS973">
        <v>4.1694903569635153</v>
      </c>
      <c r="AT973" t="e">
        <v>#DIV/0!</v>
      </c>
      <c r="AU973" t="e">
        <v>#DIV/0!</v>
      </c>
      <c r="AV973"/>
      <c r="AW973"/>
      <c r="FY973" s="211">
        <v>968</v>
      </c>
      <c r="FZ973">
        <v>0.87017204921479596</v>
      </c>
      <c r="GA973">
        <v>1.2257745229743944</v>
      </c>
      <c r="GB973">
        <v>1.5601290360341236</v>
      </c>
      <c r="GC973">
        <v>0.84142359339158013</v>
      </c>
      <c r="GD973">
        <v>9.6466819408919977E-2</v>
      </c>
      <c r="GE973">
        <v>0.12809556381015003</v>
      </c>
      <c r="GF973">
        <v>0.61551684135837503</v>
      </c>
      <c r="GG973">
        <v>0.47874846122576609</v>
      </c>
      <c r="GH973">
        <v>6.6522953376906252E-2</v>
      </c>
      <c r="GI973">
        <v>0.68602189633816713</v>
      </c>
      <c r="GJ973"/>
      <c r="GK973">
        <v>0.86700937499999986</v>
      </c>
      <c r="GL973">
        <v>1.0321148437500001</v>
      </c>
      <c r="GM973">
        <v>2.5616182528409088</v>
      </c>
      <c r="GN973">
        <v>2.4706315340909084</v>
      </c>
      <c r="GO973">
        <v>0.36746249999999991</v>
      </c>
      <c r="GP973">
        <v>0.24065624999999999</v>
      </c>
      <c r="GQ973">
        <v>0.74243885869565207</v>
      </c>
      <c r="GR973">
        <v>0.66627219202898535</v>
      </c>
      <c r="GS973">
        <v>7.0364583333333328E-2</v>
      </c>
      <c r="GT973">
        <v>0.92177871397397892</v>
      </c>
      <c r="GU973"/>
      <c r="GV973"/>
      <c r="GW973"/>
      <c r="GX973"/>
      <c r="GY973"/>
      <c r="GZ973"/>
      <c r="HA973"/>
      <c r="HB973"/>
      <c r="HC973"/>
    </row>
    <row r="974" spans="1:211" s="7" customFormat="1">
      <c r="A974" s="4"/>
      <c r="B974" s="4"/>
      <c r="C974" s="4"/>
      <c r="D974" s="4"/>
      <c r="E974" s="4"/>
      <c r="F974" s="28"/>
      <c r="G974" s="28"/>
      <c r="H974" s="83"/>
      <c r="I974" s="4"/>
      <c r="J974" s="4"/>
      <c r="K974" s="4"/>
      <c r="L974" s="4"/>
      <c r="M974" s="4"/>
      <c r="N974" s="28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4"/>
      <c r="AF974" s="81"/>
      <c r="AG974" s="81"/>
      <c r="AH974" s="81"/>
      <c r="AI974" s="4"/>
      <c r="AJ974" s="81"/>
      <c r="AK974" s="81"/>
      <c r="AL974" s="81"/>
      <c r="AM974" s="43">
        <v>958</v>
      </c>
      <c r="AN974">
        <v>28.780233134920632</v>
      </c>
      <c r="AO974">
        <v>0.84399764955357137</v>
      </c>
      <c r="AP974">
        <v>5.4529035924497382</v>
      </c>
      <c r="AQ974">
        <v>5.109691933759013</v>
      </c>
      <c r="AR974">
        <v>0.79262570413961031</v>
      </c>
      <c r="AS974">
        <v>2.9384181927075557</v>
      </c>
      <c r="AT974" t="e">
        <v>#DIV/0!</v>
      </c>
      <c r="AU974" t="e">
        <v>#DIV/0!</v>
      </c>
      <c r="AV974"/>
      <c r="AW974"/>
      <c r="FY974" s="211">
        <v>969</v>
      </c>
      <c r="FZ974">
        <v>1.2366367831651981</v>
      </c>
      <c r="GA974">
        <v>1.5352199334914367</v>
      </c>
      <c r="GB974">
        <v>0.8977199258178844</v>
      </c>
      <c r="GC974">
        <v>0.87058752060956635</v>
      </c>
      <c r="GD974">
        <v>0.40056588478974853</v>
      </c>
      <c r="GE974">
        <v>0.15513123278114999</v>
      </c>
      <c r="GF974">
        <v>0.78975252949884067</v>
      </c>
      <c r="GG974">
        <v>0.68024812515690725</v>
      </c>
      <c r="GH974">
        <v>0.1330459067538125</v>
      </c>
      <c r="GI974">
        <v>0.7924054136592722</v>
      </c>
      <c r="GJ974"/>
      <c r="GK974">
        <v>1.2323549632352941</v>
      </c>
      <c r="GL974">
        <v>1.2928002757352939</v>
      </c>
      <c r="GM974">
        <v>1.4735454545454545</v>
      </c>
      <c r="GN974">
        <v>2.55215192775974</v>
      </c>
      <c r="GO974">
        <v>1.5228642857142856</v>
      </c>
      <c r="GP974">
        <v>0.29128124999999999</v>
      </c>
      <c r="GQ974">
        <v>0.95209646739130416</v>
      </c>
      <c r="GR974">
        <v>0.94629438405797084</v>
      </c>
      <c r="GS974">
        <v>0.14072916666666666</v>
      </c>
      <c r="GT974">
        <v>1.0643180675106008</v>
      </c>
      <c r="GU974"/>
      <c r="GV974"/>
      <c r="GW974"/>
      <c r="GX974"/>
      <c r="GY974"/>
      <c r="GZ974"/>
      <c r="HA974"/>
      <c r="HB974"/>
      <c r="HC974"/>
    </row>
    <row r="975" spans="1:211" s="7" customFormat="1">
      <c r="A975" s="4"/>
      <c r="B975" s="4"/>
      <c r="C975" s="4"/>
      <c r="D975" s="4"/>
      <c r="E975" s="4"/>
      <c r="F975" s="28"/>
      <c r="G975" s="28"/>
      <c r="H975" s="83"/>
      <c r="I975" s="4"/>
      <c r="J975" s="4"/>
      <c r="K975" s="4"/>
      <c r="L975" s="4"/>
      <c r="M975" s="4"/>
      <c r="N975" s="28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4"/>
      <c r="AF975" s="81"/>
      <c r="AG975" s="81"/>
      <c r="AH975" s="81"/>
      <c r="AI975" s="4"/>
      <c r="AJ975" s="81"/>
      <c r="AK975" s="81"/>
      <c r="AL975" s="81"/>
      <c r="AM975" s="43">
        <v>959</v>
      </c>
      <c r="AN975">
        <v>31.777154381122575</v>
      </c>
      <c r="AO975">
        <v>0.70716772363629821</v>
      </c>
      <c r="AP975">
        <v>0.68441967002063697</v>
      </c>
      <c r="AQ975">
        <v>5.7980823739027034</v>
      </c>
      <c r="AR975">
        <v>0.66178545243159959</v>
      </c>
      <c r="AS975">
        <v>2.4287587470883025</v>
      </c>
      <c r="AT975" t="e">
        <v>#DIV/0!</v>
      </c>
      <c r="AU975" t="e">
        <v>#DIV/0!</v>
      </c>
      <c r="AV975"/>
      <c r="AW975"/>
      <c r="FY975" s="211">
        <v>970</v>
      </c>
      <c r="FZ975">
        <v>0.24890720425942214</v>
      </c>
      <c r="GA975">
        <v>0.57994328443740673</v>
      </c>
      <c r="GB975">
        <v>0.7096997877855995</v>
      </c>
      <c r="GC975">
        <v>0.35806191022818074</v>
      </c>
      <c r="GD975">
        <v>9.460595527287427E-2</v>
      </c>
      <c r="GE975">
        <v>8.1904075710074992E-2</v>
      </c>
      <c r="GF975">
        <v>1.0022928558968347</v>
      </c>
      <c r="GG975">
        <v>0.91920837085907969</v>
      </c>
      <c r="GH975">
        <v>8.9508689212329934E-2</v>
      </c>
      <c r="GI975">
        <v>0.45801223216187292</v>
      </c>
      <c r="GJ975"/>
      <c r="GK975">
        <v>0.24799687499999998</v>
      </c>
      <c r="GL975">
        <v>0.48817265625</v>
      </c>
      <c r="GM975">
        <v>1.1650337357954546</v>
      </c>
      <c r="GN975">
        <v>1.0511807224025973</v>
      </c>
      <c r="GO975">
        <v>0.35980714285714288</v>
      </c>
      <c r="GP975">
        <v>0.153796875</v>
      </c>
      <c r="GQ975">
        <v>1.2083478260869565</v>
      </c>
      <c r="GR975">
        <v>1.2787124094202897</v>
      </c>
      <c r="GS975">
        <v>9.465845352564102E-2</v>
      </c>
      <c r="GT975">
        <v>0.61516880665303897</v>
      </c>
      <c r="GU975"/>
      <c r="GV975"/>
      <c r="GW975"/>
      <c r="GX975"/>
      <c r="GY975"/>
      <c r="GZ975"/>
      <c r="HA975"/>
      <c r="HB975"/>
      <c r="HC975"/>
    </row>
    <row r="976" spans="1:211" s="7" customFormat="1">
      <c r="A976" s="4"/>
      <c r="B976" s="4"/>
      <c r="C976" s="4"/>
      <c r="D976" s="4"/>
      <c r="E976" s="4"/>
      <c r="F976" s="28"/>
      <c r="G976" s="28"/>
      <c r="H976" s="83"/>
      <c r="I976" s="4"/>
      <c r="J976" s="4"/>
      <c r="K976" s="4"/>
      <c r="L976" s="4"/>
      <c r="M976" s="4"/>
      <c r="N976" s="28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  <c r="AD976" s="4"/>
      <c r="AE976" s="4"/>
      <c r="AF976" s="81"/>
      <c r="AG976" s="81"/>
      <c r="AH976" s="81"/>
      <c r="AI976" s="4"/>
      <c r="AJ976" s="81"/>
      <c r="AK976" s="81"/>
      <c r="AL976" s="81"/>
      <c r="AM976" s="43">
        <v>960</v>
      </c>
      <c r="AN976">
        <v>36.04337413291217</v>
      </c>
      <c r="AO976">
        <v>0.97692600484253056</v>
      </c>
      <c r="AP976">
        <v>2.2007585982061819</v>
      </c>
      <c r="AQ976">
        <v>6.0846404927649722</v>
      </c>
      <c r="AR976">
        <v>0.91426457170999287</v>
      </c>
      <c r="AS976">
        <v>3.2398973754055227</v>
      </c>
      <c r="AT976">
        <v>0.59183751230168291</v>
      </c>
      <c r="AU976">
        <v>0.1149566048929441</v>
      </c>
      <c r="AV976"/>
      <c r="AW976"/>
      <c r="FY976" s="211">
        <v>971</v>
      </c>
      <c r="FZ976">
        <v>0.57952243451727836</v>
      </c>
      <c r="GA976">
        <v>1.3123459990987909</v>
      </c>
      <c r="GB976">
        <v>1.0392601963556389</v>
      </c>
      <c r="GC976">
        <v>0.78567132436226517</v>
      </c>
      <c r="GD976">
        <v>0.37734076468172251</v>
      </c>
      <c r="GE976">
        <v>0.14833383665557504</v>
      </c>
      <c r="GF976">
        <v>0.37461671604370633</v>
      </c>
      <c r="GG976">
        <v>0.34012406257845362</v>
      </c>
      <c r="GH976">
        <v>8.9508689212329934E-2</v>
      </c>
      <c r="GI976">
        <v>0.63496990059579561</v>
      </c>
      <c r="GJ976"/>
      <c r="GK976">
        <v>0.57743437499999994</v>
      </c>
      <c r="GL976">
        <v>1.1050359375000003</v>
      </c>
      <c r="GM976">
        <v>1.7059360795454543</v>
      </c>
      <c r="GN976">
        <v>2.3035970170454547</v>
      </c>
      <c r="GO976">
        <v>1.434778125</v>
      </c>
      <c r="GP976">
        <v>0.27867187500000001</v>
      </c>
      <c r="GQ976">
        <v>0.45162635869565215</v>
      </c>
      <c r="GR976">
        <v>0.47314719202898542</v>
      </c>
      <c r="GS976">
        <v>9.465845352564102E-2</v>
      </c>
      <c r="GT976">
        <v>0.85288667835334953</v>
      </c>
      <c r="GU976"/>
      <c r="GV976"/>
      <c r="GW976"/>
      <c r="GX976"/>
      <c r="GY976"/>
      <c r="GZ976"/>
      <c r="HA976"/>
      <c r="HB976"/>
      <c r="HC976"/>
    </row>
    <row r="977" spans="1:211" s="7" customFormat="1">
      <c r="A977" s="4"/>
      <c r="B977" s="4"/>
      <c r="C977" s="4"/>
      <c r="D977" s="4"/>
      <c r="E977" s="4"/>
      <c r="F977" s="28"/>
      <c r="G977" s="28"/>
      <c r="H977" s="83"/>
      <c r="I977" s="4"/>
      <c r="J977" s="4"/>
      <c r="K977" s="4"/>
      <c r="L977" s="4"/>
      <c r="M977" s="4"/>
      <c r="N977" s="28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4"/>
      <c r="AF977" s="81"/>
      <c r="AG977" s="81"/>
      <c r="AH977" s="81"/>
      <c r="AI977" s="4"/>
      <c r="AJ977" s="81"/>
      <c r="AK977" s="81"/>
      <c r="AL977" s="81"/>
      <c r="AM977" s="43">
        <v>961</v>
      </c>
      <c r="AN977">
        <v>29.14154456654456</v>
      </c>
      <c r="AO977">
        <v>0.69489497527472521</v>
      </c>
      <c r="AP977">
        <v>1.4210722768253614</v>
      </c>
      <c r="AQ977">
        <v>4.3285785059769886</v>
      </c>
      <c r="AR977">
        <v>0.65425056755744249</v>
      </c>
      <c r="AS977">
        <v>2.3034419043778684</v>
      </c>
      <c r="AT977" t="e">
        <v>#DIV/0!</v>
      </c>
      <c r="AU977" t="e">
        <v>#DIV/0!</v>
      </c>
      <c r="AV977"/>
      <c r="AW977"/>
      <c r="FY977" s="211">
        <v>972</v>
      </c>
      <c r="FZ977">
        <v>1.1893014958049413</v>
      </c>
      <c r="GA977">
        <v>1.9256953673300172</v>
      </c>
      <c r="GB977">
        <v>0.62108441968579098</v>
      </c>
      <c r="GC977">
        <v>0.30024972769596869</v>
      </c>
      <c r="GD977">
        <v>0.1229942674276875</v>
      </c>
      <c r="GE977">
        <v>0.14249529550395001</v>
      </c>
      <c r="GF977">
        <v>1.0833310507196909</v>
      </c>
      <c r="GG977">
        <v>0.91920837085907969</v>
      </c>
      <c r="GH977">
        <v>6.6522953376906252E-2</v>
      </c>
      <c r="GI977">
        <v>0.60294684232247664</v>
      </c>
      <c r="GJ977"/>
      <c r="GK977">
        <v>1.185236213235294</v>
      </c>
      <c r="GL977">
        <v>1.6219354319852941</v>
      </c>
      <c r="GM977">
        <v>1.01904296875</v>
      </c>
      <c r="GN977">
        <v>0.88117187499999994</v>
      </c>
      <c r="GO977">
        <v>0.46898437500000001</v>
      </c>
      <c r="GP977">
        <v>0.26784374999999999</v>
      </c>
      <c r="GQ977">
        <v>1.3060353260869564</v>
      </c>
      <c r="GR977">
        <v>1.2787124094202897</v>
      </c>
      <c r="GS977">
        <v>7.0364583333333328E-2</v>
      </c>
      <c r="GT977">
        <v>0.80993269328111683</v>
      </c>
      <c r="GU977"/>
      <c r="GV977"/>
      <c r="GW977"/>
      <c r="GX977"/>
      <c r="GY977"/>
      <c r="GZ977"/>
      <c r="HA977"/>
      <c r="HB977"/>
      <c r="HC977"/>
    </row>
    <row r="978" spans="1:211" s="7" customFormat="1">
      <c r="A978" s="4"/>
      <c r="B978" s="4"/>
      <c r="C978" s="4"/>
      <c r="D978" s="4"/>
      <c r="E978" s="4"/>
      <c r="F978" s="28"/>
      <c r="G978" s="28"/>
      <c r="H978" s="83"/>
      <c r="I978" s="4"/>
      <c r="J978" s="4"/>
      <c r="K978" s="4"/>
      <c r="L978" s="4"/>
      <c r="M978" s="4"/>
      <c r="N978" s="28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4"/>
      <c r="AF978" s="81"/>
      <c r="AG978" s="81"/>
      <c r="AH978" s="81"/>
      <c r="AI978" s="4"/>
      <c r="AJ978" s="81"/>
      <c r="AK978" s="81"/>
      <c r="AL978" s="81"/>
      <c r="AM978" s="43">
        <v>962</v>
      </c>
      <c r="AN978">
        <v>57.920891681877137</v>
      </c>
      <c r="AO978">
        <v>1.2518126645323053</v>
      </c>
      <c r="AP978">
        <v>14.502516128896874</v>
      </c>
      <c r="AQ978">
        <v>8.2003139579952133</v>
      </c>
      <c r="AR978">
        <v>1.1547086832286693</v>
      </c>
      <c r="AS978">
        <v>5.1749053915644359</v>
      </c>
      <c r="AT978" t="e">
        <v>#DIV/0!</v>
      </c>
      <c r="AU978" t="e">
        <v>#DIV/0!</v>
      </c>
      <c r="AV978"/>
      <c r="AW978"/>
      <c r="FY978" s="211">
        <v>973</v>
      </c>
      <c r="FZ978">
        <v>1.4709610734831338</v>
      </c>
      <c r="GA978">
        <v>2.0520638433131344</v>
      </c>
      <c r="GB978">
        <v>0.46001177192110076</v>
      </c>
      <c r="GC978">
        <v>0.16846407083229936</v>
      </c>
      <c r="GD978">
        <v>9.0294764258744997E-2</v>
      </c>
      <c r="GE978">
        <v>8.088342136492499E-2</v>
      </c>
      <c r="GF978">
        <v>1.0284381956596096</v>
      </c>
      <c r="GG978">
        <v>0.90691501401339158</v>
      </c>
      <c r="GH978">
        <v>6.6522953376906252E-2</v>
      </c>
      <c r="GI978">
        <v>0.57701771704390636</v>
      </c>
      <c r="GJ978"/>
      <c r="GK978">
        <v>1.4658393382352939</v>
      </c>
      <c r="GL978">
        <v>1.7282924632352938</v>
      </c>
      <c r="GM978">
        <v>0.75499218750000008</v>
      </c>
      <c r="GN978">
        <v>0.4942359375</v>
      </c>
      <c r="GO978">
        <v>0.34393125000000002</v>
      </c>
      <c r="GP978">
        <v>0.15201562499999999</v>
      </c>
      <c r="GQ978">
        <v>1.2406589673913042</v>
      </c>
      <c r="GR978">
        <v>1.2621798007246374</v>
      </c>
      <c r="GS978">
        <v>7.0364583333333328E-2</v>
      </c>
      <c r="GT978">
        <v>0.77515726529198625</v>
      </c>
      <c r="GU978"/>
      <c r="GV978"/>
      <c r="GW978"/>
      <c r="GX978"/>
      <c r="GY978"/>
      <c r="GZ978"/>
      <c r="HA978"/>
      <c r="HB978"/>
      <c r="HC978"/>
    </row>
    <row r="979" spans="1:211" s="7" customFormat="1">
      <c r="A979" s="4"/>
      <c r="B979" s="4"/>
      <c r="C979" s="4"/>
      <c r="D979" s="4"/>
      <c r="E979" s="4"/>
      <c r="F979" s="28"/>
      <c r="G979" s="28"/>
      <c r="H979" s="83"/>
      <c r="I979" s="4"/>
      <c r="J979" s="4"/>
      <c r="K979" s="4"/>
      <c r="L979" s="4"/>
      <c r="M979" s="4"/>
      <c r="N979" s="28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4"/>
      <c r="AF979" s="81"/>
      <c r="AG979" s="81"/>
      <c r="AH979" s="81"/>
      <c r="AI979" s="4"/>
      <c r="AJ979" s="81"/>
      <c r="AK979" s="81"/>
      <c r="AL979" s="81"/>
      <c r="AM979" s="43">
        <v>963</v>
      </c>
      <c r="AN979">
        <v>57.278877137532824</v>
      </c>
      <c r="AO979">
        <v>1.2359057248382213</v>
      </c>
      <c r="AP979">
        <v>8.4508171091318154</v>
      </c>
      <c r="AQ979">
        <v>9.2271587168185949</v>
      </c>
      <c r="AR979">
        <v>1.1474921471431383</v>
      </c>
      <c r="AS979">
        <v>4.9001946695192045</v>
      </c>
      <c r="AT979" t="e">
        <v>#DIV/0!</v>
      </c>
      <c r="AU979" t="e">
        <v>#DIV/0!</v>
      </c>
      <c r="AV979"/>
      <c r="AW979"/>
      <c r="FY979" s="211">
        <v>974</v>
      </c>
      <c r="FZ979">
        <v>1.7047132479692073</v>
      </c>
      <c r="GA979">
        <v>2.814905357317997</v>
      </c>
      <c r="GB979">
        <v>1.3250704755659801</v>
      </c>
      <c r="GC979">
        <v>0.77203141520268703</v>
      </c>
      <c r="GD979">
        <v>0.28299187702718676</v>
      </c>
      <c r="GE979">
        <v>0.19356646978169997</v>
      </c>
      <c r="GF979">
        <v>0.85420250751914373</v>
      </c>
      <c r="GG979">
        <v>0.70541535008225043</v>
      </c>
      <c r="GH979">
        <v>4.5971471670847357E-2</v>
      </c>
      <c r="GI979">
        <v>0.8976494810360014</v>
      </c>
      <c r="GJ979"/>
      <c r="GK979">
        <v>1.6988755514705878</v>
      </c>
      <c r="GL979">
        <v>2.3709810202205879</v>
      </c>
      <c r="GM979">
        <v>2.1750102982954544</v>
      </c>
      <c r="GN979">
        <v>2.2643838474025975</v>
      </c>
      <c r="GO979">
        <v>1.0763852678571428</v>
      </c>
      <c r="GP979">
        <v>0.36374999999999996</v>
      </c>
      <c r="GQ979">
        <v>1.0310013586956519</v>
      </c>
      <c r="GR979">
        <v>0.98215760869565205</v>
      </c>
      <c r="GS979">
        <v>4.8587740384615385E-2</v>
      </c>
      <c r="GT979">
        <v>1.2059720433406904</v>
      </c>
      <c r="GU979"/>
      <c r="GV979"/>
      <c r="GW979"/>
      <c r="GX979"/>
      <c r="GY979"/>
      <c r="GZ979"/>
      <c r="HA979"/>
      <c r="HB979"/>
      <c r="HC979"/>
    </row>
    <row r="980" spans="1:211" s="7" customFormat="1">
      <c r="A980" s="4"/>
      <c r="B980" s="4"/>
      <c r="C980" s="4"/>
      <c r="D980" s="4"/>
      <c r="E980" s="4"/>
      <c r="F980" s="28"/>
      <c r="G980" s="28"/>
      <c r="H980" s="83"/>
      <c r="I980" s="4"/>
      <c r="J980" s="4"/>
      <c r="K980" s="4"/>
      <c r="L980" s="4"/>
      <c r="M980" s="4"/>
      <c r="N980" s="28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4"/>
      <c r="AF980" s="81"/>
      <c r="AG980" s="81"/>
      <c r="AH980" s="81"/>
      <c r="AI980" s="4"/>
      <c r="AJ980" s="81"/>
      <c r="AK980" s="81"/>
      <c r="AL980" s="81"/>
      <c r="AM980" s="43">
        <v>964</v>
      </c>
      <c r="AN980">
        <v>55.883489035710895</v>
      </c>
      <c r="AO980">
        <v>1.2126948074914747</v>
      </c>
      <c r="AP980">
        <v>0.67824277070446282</v>
      </c>
      <c r="AQ980">
        <v>7.3174932149279748</v>
      </c>
      <c r="AR980">
        <v>1.1278049386286135</v>
      </c>
      <c r="AS980">
        <v>4.6052206872053176</v>
      </c>
      <c r="AT980" t="e">
        <v>#DIV/0!</v>
      </c>
      <c r="AU980" t="e">
        <v>#DIV/0!</v>
      </c>
      <c r="AV980"/>
      <c r="AW980"/>
      <c r="FY980" s="211">
        <v>975</v>
      </c>
      <c r="FZ980">
        <v>1.8935994990145586</v>
      </c>
      <c r="GA980">
        <v>2.2726093986718836</v>
      </c>
      <c r="GB980">
        <v>0.29767963132447034</v>
      </c>
      <c r="GC980">
        <v>0.18929110161981874</v>
      </c>
      <c r="GD980">
        <v>9.116558943346606E-2</v>
      </c>
      <c r="GE980">
        <v>5.0050519932599999E-2</v>
      </c>
      <c r="GF980">
        <v>0.98791909824818158</v>
      </c>
      <c r="GG980">
        <v>0.90691501401339158</v>
      </c>
      <c r="GH980">
        <v>0.13548016088317727</v>
      </c>
      <c r="GI980">
        <v>0.6040626269059568</v>
      </c>
      <c r="GJ980"/>
      <c r="GK980">
        <v>1.8872380514705878</v>
      </c>
      <c r="GL980">
        <v>1.9142849264705881</v>
      </c>
      <c r="GM980">
        <v>0.48798437500000003</v>
      </c>
      <c r="GN980">
        <v>0.5543861607142857</v>
      </c>
      <c r="GO980">
        <v>0.34694866071428565</v>
      </c>
      <c r="GP980">
        <v>9.4124999999999986E-2</v>
      </c>
      <c r="GQ980">
        <v>1.1918152173913041</v>
      </c>
      <c r="GR980">
        <v>1.2621798007246374</v>
      </c>
      <c r="GS980">
        <v>0.14324619391025639</v>
      </c>
      <c r="GT980">
        <v>0.81144649969728677</v>
      </c>
      <c r="GU980"/>
      <c r="GV980"/>
      <c r="GW980"/>
      <c r="GX980"/>
      <c r="GY980"/>
      <c r="GZ980"/>
      <c r="HA980"/>
      <c r="HB980"/>
      <c r="HC980"/>
    </row>
    <row r="981" spans="1:211" s="7" customFormat="1">
      <c r="A981" s="4"/>
      <c r="B981" s="4"/>
      <c r="C981" s="4"/>
      <c r="D981" s="4"/>
      <c r="E981" s="4"/>
      <c r="F981" s="28"/>
      <c r="G981" s="28"/>
      <c r="H981" s="83"/>
      <c r="I981" s="4"/>
      <c r="J981" s="4"/>
      <c r="K981" s="4"/>
      <c r="L981" s="4"/>
      <c r="M981" s="4"/>
      <c r="N981" s="28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81"/>
      <c r="AG981" s="81"/>
      <c r="AH981" s="81"/>
      <c r="AI981" s="4"/>
      <c r="AJ981" s="81"/>
      <c r="AK981" s="81"/>
      <c r="AL981" s="81"/>
      <c r="AM981" s="43">
        <v>965</v>
      </c>
      <c r="AN981">
        <v>33.81331270128824</v>
      </c>
      <c r="AO981">
        <v>0.80568911662137666</v>
      </c>
      <c r="AP981">
        <v>10.241683945622482</v>
      </c>
      <c r="AQ981">
        <v>5.2226945769295661</v>
      </c>
      <c r="AR981">
        <v>0.73606681056488799</v>
      </c>
      <c r="AS981">
        <v>2.8389668023004009</v>
      </c>
      <c r="AT981" t="e">
        <v>#DIV/0!</v>
      </c>
      <c r="AU981" t="e">
        <v>#DIV/0!</v>
      </c>
      <c r="AV981"/>
      <c r="AW981"/>
      <c r="FY981" s="211">
        <v>976</v>
      </c>
      <c r="FZ981">
        <v>1.332818639806427</v>
      </c>
      <c r="GA981">
        <v>1.5103054129772135</v>
      </c>
      <c r="GB981">
        <v>0.3821958962732882</v>
      </c>
      <c r="GC981">
        <v>0.39850068424591556</v>
      </c>
      <c r="GD981">
        <v>0.24774712800790172</v>
      </c>
      <c r="GE981">
        <v>9.5283153058725006E-2</v>
      </c>
      <c r="GF981">
        <v>1.1477810287399939</v>
      </c>
      <c r="GG981">
        <v>0.99495750422256357</v>
      </c>
      <c r="GH981">
        <v>0</v>
      </c>
      <c r="GI981">
        <v>0.6376491872805401</v>
      </c>
      <c r="GJ981"/>
      <c r="GK981">
        <v>1.3283455882352939</v>
      </c>
      <c r="GL981">
        <v>1.272048713235294</v>
      </c>
      <c r="GM981">
        <v>0.62686718749999992</v>
      </c>
      <c r="GN981">
        <v>1.1675837053571425</v>
      </c>
      <c r="GO981">
        <v>0.9425290178571426</v>
      </c>
      <c r="GP981">
        <v>0.17920312499999999</v>
      </c>
      <c r="GQ981">
        <v>1.3849402173913044</v>
      </c>
      <c r="GR981">
        <v>1.3849402173913044</v>
      </c>
      <c r="GS981">
        <v>0</v>
      </c>
      <c r="GT981">
        <v>0.85653640219674809</v>
      </c>
      <c r="GU981"/>
      <c r="GV981"/>
      <c r="GW981"/>
      <c r="GX981"/>
      <c r="GY981"/>
      <c r="GZ981"/>
      <c r="HA981"/>
      <c r="HB981"/>
      <c r="HC981"/>
    </row>
    <row r="982" spans="1:211" s="7" customFormat="1">
      <c r="A982" s="4"/>
      <c r="B982" s="4"/>
      <c r="C982" s="4"/>
      <c r="D982" s="4"/>
      <c r="E982" s="4"/>
      <c r="F982" s="28"/>
      <c r="G982" s="28"/>
      <c r="H982" s="83"/>
      <c r="I982" s="4"/>
      <c r="J982" s="4"/>
      <c r="K982" s="4"/>
      <c r="L982" s="4"/>
      <c r="M982" s="4"/>
      <c r="N982" s="28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4"/>
      <c r="AF982" s="81"/>
      <c r="AG982" s="81"/>
      <c r="AH982" s="81"/>
      <c r="AI982" s="4"/>
      <c r="AJ982" s="81"/>
      <c r="AK982" s="81"/>
      <c r="AL982" s="81"/>
      <c r="AM982" s="43">
        <v>966</v>
      </c>
      <c r="AN982">
        <v>44.386423226620629</v>
      </c>
      <c r="AO982">
        <v>1.0812983224644999</v>
      </c>
      <c r="AP982">
        <v>1.7307396104489619</v>
      </c>
      <c r="AQ982">
        <v>7.8909910587838237</v>
      </c>
      <c r="AR982">
        <v>0.99245132680339143</v>
      </c>
      <c r="AS982">
        <v>3.7241709373178145</v>
      </c>
      <c r="AT982" t="e">
        <v>#DIV/0!</v>
      </c>
      <c r="AU982" t="e">
        <v>#DIV/0!</v>
      </c>
      <c r="AV982"/>
      <c r="AW982"/>
      <c r="FY982" s="211">
        <v>977</v>
      </c>
      <c r="FZ982">
        <v>1.5289894636519612</v>
      </c>
      <c r="GA982">
        <v>1.8337884179125361</v>
      </c>
      <c r="GB982">
        <v>1.3663221995646422</v>
      </c>
      <c r="GC982">
        <v>0.7352808343044821</v>
      </c>
      <c r="GD982">
        <v>0.11932413488968499</v>
      </c>
      <c r="GE982">
        <v>0.15315172346204997</v>
      </c>
      <c r="GF982">
        <v>4.0519097411428125E-2</v>
      </c>
      <c r="GG982">
        <v>0</v>
      </c>
      <c r="GH982">
        <v>4.5971471670847357E-2</v>
      </c>
      <c r="GI982">
        <v>0.64277763518825237</v>
      </c>
      <c r="GJ982"/>
      <c r="GK982">
        <v>1.5238143382352938</v>
      </c>
      <c r="GL982">
        <v>1.544415900735294</v>
      </c>
      <c r="GM982">
        <v>2.243325284090909</v>
      </c>
      <c r="GN982">
        <v>2.1592362215909091</v>
      </c>
      <c r="GO982">
        <v>0.45429374999999994</v>
      </c>
      <c r="GP982">
        <v>0.28771875000000002</v>
      </c>
      <c r="GQ982">
        <v>4.8843750000000005E-2</v>
      </c>
      <c r="GR982">
        <v>0</v>
      </c>
      <c r="GS982">
        <v>4.8587740384615385E-2</v>
      </c>
      <c r="GT982">
        <v>0.86377297254216368</v>
      </c>
      <c r="GU982"/>
      <c r="GV982"/>
      <c r="GW982"/>
      <c r="GX982"/>
      <c r="GY982"/>
      <c r="GZ982"/>
      <c r="HA982"/>
      <c r="HB982"/>
      <c r="HC982"/>
    </row>
    <row r="983" spans="1:211" s="7" customFormat="1">
      <c r="A983" s="4"/>
      <c r="B983" s="4"/>
      <c r="C983" s="4"/>
      <c r="D983" s="4"/>
      <c r="E983" s="4"/>
      <c r="F983" s="28"/>
      <c r="G983" s="28"/>
      <c r="H983" s="83"/>
      <c r="I983" s="4"/>
      <c r="J983" s="4"/>
      <c r="K983" s="4"/>
      <c r="L983" s="4"/>
      <c r="M983" s="4"/>
      <c r="N983" s="28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4"/>
      <c r="AF983" s="81"/>
      <c r="AG983" s="81"/>
      <c r="AH983" s="81"/>
      <c r="AI983" s="4"/>
      <c r="AJ983" s="81"/>
      <c r="AK983" s="81"/>
      <c r="AL983" s="81"/>
      <c r="AM983" s="43">
        <v>967</v>
      </c>
      <c r="AN983">
        <v>57.469205892827219</v>
      </c>
      <c r="AO983">
        <v>1.2805612573765084</v>
      </c>
      <c r="AP983">
        <v>1.2600796152071898</v>
      </c>
      <c r="AQ983">
        <v>8.14232944729123</v>
      </c>
      <c r="AR983">
        <v>1.2025767221779446</v>
      </c>
      <c r="AS983">
        <v>4.8264035852844973</v>
      </c>
      <c r="AT983">
        <v>0.93175987998393428</v>
      </c>
      <c r="AU983">
        <v>0.35556209965659896</v>
      </c>
      <c r="AV983"/>
      <c r="AW983"/>
      <c r="FY983" s="211">
        <v>978</v>
      </c>
      <c r="FZ983">
        <v>1.1802713077156444</v>
      </c>
      <c r="GA983">
        <v>1.8876598000117091</v>
      </c>
      <c r="GB983">
        <v>0.39019158533682424</v>
      </c>
      <c r="GC983">
        <v>0.56703245175500605</v>
      </c>
      <c r="GD983">
        <v>0.42660046609595348</v>
      </c>
      <c r="GE983">
        <v>0.1001010398652</v>
      </c>
      <c r="GF983">
        <v>0.15986193049181252</v>
      </c>
      <c r="GG983">
        <v>0.18920630708545313</v>
      </c>
      <c r="GH983">
        <v>8.9508689212329934E-2</v>
      </c>
      <c r="GI983">
        <v>0.55487511283569191</v>
      </c>
      <c r="GJ983"/>
      <c r="GK983">
        <v>1.1761705882352937</v>
      </c>
      <c r="GL983">
        <v>1.5897252757352938</v>
      </c>
      <c r="GM983">
        <v>0.63972656250000004</v>
      </c>
      <c r="GN983">
        <v>1.6604799107142856</v>
      </c>
      <c r="GO983">
        <v>1.6225580357142855</v>
      </c>
      <c r="GP983">
        <v>0.18825</v>
      </c>
      <c r="GQ983">
        <v>0.19312499999999999</v>
      </c>
      <c r="GR983">
        <v>0.26348958333333333</v>
      </c>
      <c r="GS983">
        <v>9.465845352564102E-2</v>
      </c>
      <c r="GT983">
        <v>0.74524772799504402</v>
      </c>
      <c r="GU983"/>
      <c r="GV983"/>
      <c r="GW983"/>
      <c r="GX983"/>
      <c r="GY983"/>
      <c r="GZ983"/>
      <c r="HA983"/>
      <c r="HB983"/>
      <c r="HC983"/>
    </row>
    <row r="984" spans="1:211" s="7" customFormat="1">
      <c r="A984" s="4"/>
      <c r="B984" s="4"/>
      <c r="C984" s="4"/>
      <c r="D984" s="4"/>
      <c r="E984" s="4"/>
      <c r="F984" s="28"/>
      <c r="G984" s="28"/>
      <c r="H984" s="83"/>
      <c r="I984" s="4"/>
      <c r="J984" s="4"/>
      <c r="K984" s="4"/>
      <c r="L984" s="4"/>
      <c r="M984" s="4"/>
      <c r="N984" s="28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4"/>
      <c r="AF984" s="81"/>
      <c r="AG984" s="81"/>
      <c r="AH984" s="81"/>
      <c r="AI984" s="4"/>
      <c r="AJ984" s="81"/>
      <c r="AK984" s="81"/>
      <c r="AL984" s="81"/>
      <c r="AM984" s="43">
        <v>968</v>
      </c>
      <c r="AN984">
        <v>38.154632145732691</v>
      </c>
      <c r="AO984">
        <v>0.99403471037137658</v>
      </c>
      <c r="AP984">
        <v>1.3168608610072396</v>
      </c>
      <c r="AQ984">
        <v>6.5688717371331791</v>
      </c>
      <c r="AR984">
        <v>0.92177871397397881</v>
      </c>
      <c r="AS984">
        <v>3.1244593771035025</v>
      </c>
      <c r="AT984" t="e">
        <v>#DIV/0!</v>
      </c>
      <c r="AU984" t="e">
        <v>#DIV/0!</v>
      </c>
      <c r="AV984"/>
      <c r="AW984"/>
      <c r="FY984" s="211">
        <v>979</v>
      </c>
      <c r="FZ984">
        <v>2.3109459147910441</v>
      </c>
      <c r="GA984">
        <v>2.7991167219848609</v>
      </c>
      <c r="GB984">
        <v>0.2848902447829324</v>
      </c>
      <c r="GC984">
        <v>0.11105428421055935</v>
      </c>
      <c r="GD984">
        <v>6.7507888838962499E-2</v>
      </c>
      <c r="GE984">
        <v>9.8229387997349996E-2</v>
      </c>
      <c r="GF984">
        <v>0.6538214796159032</v>
      </c>
      <c r="GG984">
        <v>0.56679095143493796</v>
      </c>
      <c r="GH984">
        <v>0</v>
      </c>
      <c r="GI984">
        <v>0.56812874938714664</v>
      </c>
      <c r="GJ984"/>
      <c r="GK984">
        <v>2.303189889705882</v>
      </c>
      <c r="GL984">
        <v>2.3579047334558823</v>
      </c>
      <c r="GM984">
        <v>0.46756640625000001</v>
      </c>
      <c r="GN984">
        <v>0.32589843749999992</v>
      </c>
      <c r="GO984">
        <v>0.25701562500000003</v>
      </c>
      <c r="GP984">
        <v>0.18459375</v>
      </c>
      <c r="GQ984">
        <v>0.78903260869565206</v>
      </c>
      <c r="GR984">
        <v>0.78903260869565206</v>
      </c>
      <c r="GS984">
        <v>0</v>
      </c>
      <c r="GT984">
        <v>0.76336090593030681</v>
      </c>
      <c r="GU984"/>
      <c r="GV984"/>
      <c r="GW984"/>
      <c r="GX984"/>
      <c r="GY984"/>
      <c r="GZ984"/>
      <c r="HA984"/>
      <c r="HB984"/>
      <c r="HC984"/>
    </row>
    <row r="985" spans="1:211" s="7" customFormat="1">
      <c r="A985" s="4"/>
      <c r="B985" s="4"/>
      <c r="C985" s="4"/>
      <c r="D985" s="4"/>
      <c r="E985" s="4"/>
      <c r="F985" s="28"/>
      <c r="G985" s="28"/>
      <c r="H985" s="83"/>
      <c r="I985" s="4"/>
      <c r="J985" s="4"/>
      <c r="K985" s="4"/>
      <c r="L985" s="4"/>
      <c r="M985" s="4"/>
      <c r="N985" s="28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4"/>
      <c r="AF985" s="81"/>
      <c r="AG985" s="81"/>
      <c r="AH985" s="81"/>
      <c r="AI985" s="4"/>
      <c r="AJ985" s="81"/>
      <c r="AK985" s="81"/>
      <c r="AL985" s="81"/>
      <c r="AM985" s="43">
        <v>969</v>
      </c>
      <c r="AN985">
        <v>55.44505735869226</v>
      </c>
      <c r="AO985">
        <v>1.1468436242616611</v>
      </c>
      <c r="AP985">
        <v>0.94774687928378631</v>
      </c>
      <c r="AQ985">
        <v>7.4913132557238171</v>
      </c>
      <c r="AR985">
        <v>1.0643180675106012</v>
      </c>
      <c r="AS985">
        <v>4.8216881031612315</v>
      </c>
      <c r="AT985" t="e">
        <v>#DIV/0!</v>
      </c>
      <c r="AU985" t="e">
        <v>#DIV/0!</v>
      </c>
      <c r="AV985"/>
      <c r="AW985"/>
      <c r="FY985" s="211">
        <v>980</v>
      </c>
      <c r="FZ985">
        <v>1.8627306053423407</v>
      </c>
      <c r="GA985">
        <v>2.7380790579425622</v>
      </c>
      <c r="GB985">
        <v>0.32026896885377104</v>
      </c>
      <c r="GC985">
        <v>9.6720555015507498E-2</v>
      </c>
      <c r="GD985">
        <v>6.8919393597547493E-2</v>
      </c>
      <c r="GE985">
        <v>2.890732083884999E-2</v>
      </c>
      <c r="GF985">
        <v>0.6538214796159032</v>
      </c>
      <c r="GG985">
        <v>0.56679095143493796</v>
      </c>
      <c r="GH985">
        <v>2.2985735835423678E-2</v>
      </c>
      <c r="GI985">
        <v>0.51468962029796261</v>
      </c>
      <c r="GJ985"/>
      <c r="GK985">
        <v>1.8563286764705882</v>
      </c>
      <c r="GL985">
        <v>2.3060708639705885</v>
      </c>
      <c r="GM985">
        <v>0.52513281249999999</v>
      </c>
      <c r="GN985">
        <v>0.28354374999999998</v>
      </c>
      <c r="GO985">
        <v>0.26243437499999994</v>
      </c>
      <c r="GP985">
        <v>5.4281249999999989E-2</v>
      </c>
      <c r="GQ985">
        <v>0.78903260869565206</v>
      </c>
      <c r="GR985">
        <v>0.78903260869565206</v>
      </c>
      <c r="GS985">
        <v>2.4293870192307693E-2</v>
      </c>
      <c r="GT985">
        <v>0.6914444685717096</v>
      </c>
      <c r="GU985"/>
      <c r="GV985"/>
      <c r="GW985"/>
      <c r="GX985"/>
      <c r="GY985"/>
      <c r="GZ985"/>
      <c r="HA985"/>
      <c r="HB985"/>
      <c r="HC985"/>
    </row>
    <row r="986" spans="1:211" s="7" customFormat="1">
      <c r="A986" s="4"/>
      <c r="B986" s="4"/>
      <c r="C986" s="4"/>
      <c r="D986" s="4"/>
      <c r="E986" s="4"/>
      <c r="F986" s="28"/>
      <c r="G986" s="28"/>
      <c r="H986" s="83"/>
      <c r="I986" s="4"/>
      <c r="J986" s="4"/>
      <c r="K986" s="4"/>
      <c r="L986" s="4"/>
      <c r="M986" s="4"/>
      <c r="N986" s="28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4"/>
      <c r="AF986" s="81"/>
      <c r="AG986" s="81"/>
      <c r="AH986" s="81"/>
      <c r="AI986" s="4"/>
      <c r="AJ986" s="81"/>
      <c r="AK986" s="81"/>
      <c r="AL986" s="81"/>
      <c r="AM986" s="43">
        <v>970</v>
      </c>
      <c r="AN986">
        <v>31.778749408301035</v>
      </c>
      <c r="AO986">
        <v>0.66628755029911213</v>
      </c>
      <c r="AP986">
        <v>12.590835802694476</v>
      </c>
      <c r="AQ986">
        <v>4.5421443658236758</v>
      </c>
      <c r="AR986">
        <v>0.61516880665303897</v>
      </c>
      <c r="AS986">
        <v>2.8779609960259265</v>
      </c>
      <c r="AT986" t="e">
        <v>#DIV/0!</v>
      </c>
      <c r="AU986" t="e">
        <v>#DIV/0!</v>
      </c>
      <c r="AV986"/>
      <c r="AW986"/>
      <c r="FY986" s="211">
        <v>981</v>
      </c>
      <c r="FZ986">
        <v>1.9336076640747653</v>
      </c>
      <c r="GA986">
        <v>2.0668351412166608</v>
      </c>
      <c r="GB986">
        <v>0.66318955514367528</v>
      </c>
      <c r="GC986">
        <v>0.58879943328897322</v>
      </c>
      <c r="GD986">
        <v>0.23685387874458746</v>
      </c>
      <c r="GE986">
        <v>0.11648028087809999</v>
      </c>
      <c r="GF986">
        <v>0.6799668193786782</v>
      </c>
      <c r="GG986">
        <v>0.60507950302739066</v>
      </c>
      <c r="GH986">
        <v>8.9508689212329934E-2</v>
      </c>
      <c r="GI986">
        <v>0.71939656138948027</v>
      </c>
      <c r="GJ986"/>
      <c r="GK986">
        <v>1.9271755514705879</v>
      </c>
      <c r="GL986">
        <v>1.7409997702205882</v>
      </c>
      <c r="GM986">
        <v>1.0886821732954544</v>
      </c>
      <c r="GN986">
        <v>1.7269673295454542</v>
      </c>
      <c r="GO986">
        <v>0.90117187499999996</v>
      </c>
      <c r="GP986">
        <v>0.21899999999999997</v>
      </c>
      <c r="GQ986">
        <v>0.82134375000000004</v>
      </c>
      <c r="GR986">
        <v>0.84286458333333336</v>
      </c>
      <c r="GS986">
        <v>9.465845352564102E-2</v>
      </c>
      <c r="GT986">
        <v>0.96660636065833661</v>
      </c>
      <c r="GU986"/>
      <c r="GV986"/>
      <c r="GW986"/>
      <c r="GX986"/>
      <c r="GY986"/>
      <c r="GZ986"/>
      <c r="HA986"/>
      <c r="HB986"/>
      <c r="HC986"/>
    </row>
    <row r="987" spans="1:211" s="7" customFormat="1">
      <c r="A987" s="4"/>
      <c r="B987" s="4"/>
      <c r="C987" s="4"/>
      <c r="D987" s="4"/>
      <c r="E987" s="4"/>
      <c r="F987" s="28"/>
      <c r="G987" s="28"/>
      <c r="H987" s="83"/>
      <c r="I987" s="4"/>
      <c r="J987" s="4"/>
      <c r="K987" s="4"/>
      <c r="L987" s="4"/>
      <c r="M987" s="4"/>
      <c r="N987" s="28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4"/>
      <c r="AF987" s="81"/>
      <c r="AG987" s="81"/>
      <c r="AH987" s="81"/>
      <c r="AI987" s="4"/>
      <c r="AJ987" s="81"/>
      <c r="AK987" s="81"/>
      <c r="AL987" s="81"/>
      <c r="AM987" s="43">
        <v>971</v>
      </c>
      <c r="AN987">
        <v>43.768187167100209</v>
      </c>
      <c r="AO987">
        <v>0.92777720916945372</v>
      </c>
      <c r="AP987">
        <v>1.0574165462772764</v>
      </c>
      <c r="AQ987">
        <v>5.6816939241015572</v>
      </c>
      <c r="AR987">
        <v>0.85288667835334975</v>
      </c>
      <c r="AS987">
        <v>3.8889015786780008</v>
      </c>
      <c r="AT987">
        <v>0.70153611520608428</v>
      </c>
      <c r="AU987">
        <v>1.0061717414130214E-2</v>
      </c>
      <c r="AV987"/>
      <c r="AW987"/>
      <c r="FY987" s="211">
        <v>982</v>
      </c>
      <c r="FZ987">
        <v>1.8555263346821009</v>
      </c>
      <c r="GA987">
        <v>2.192685993794008</v>
      </c>
      <c r="GB987">
        <v>0.93222121684570669</v>
      </c>
      <c r="GC987">
        <v>0.48808723937137882</v>
      </c>
      <c r="GD987">
        <v>9.1724172674734261E-2</v>
      </c>
      <c r="GE987">
        <v>0.10020889731645002</v>
      </c>
      <c r="GF987">
        <v>0.57499774394694703</v>
      </c>
      <c r="GG987">
        <v>0.52933036966390667</v>
      </c>
      <c r="GH987">
        <v>0.1330459067538125</v>
      </c>
      <c r="GI987">
        <v>0.67919556162385808</v>
      </c>
      <c r="GJ987"/>
      <c r="GK987">
        <v>1.8494099264705879</v>
      </c>
      <c r="GL987">
        <v>1.8468669577205878</v>
      </c>
      <c r="GM987">
        <v>1.5300884232954544</v>
      </c>
      <c r="GN987">
        <v>1.4325760349025971</v>
      </c>
      <c r="GO987">
        <v>0.34900714285714279</v>
      </c>
      <c r="GP987">
        <v>0.18815625000000002</v>
      </c>
      <c r="GQ987">
        <v>0.69359510869565222</v>
      </c>
      <c r="GR987">
        <v>0.73663677536231864</v>
      </c>
      <c r="GS987">
        <v>0.14072916666666666</v>
      </c>
      <c r="GT987">
        <v>0.9125659535971008</v>
      </c>
      <c r="GU987"/>
      <c r="GV987"/>
      <c r="GW987"/>
      <c r="GX987"/>
      <c r="GY987"/>
      <c r="GZ987"/>
      <c r="HA987"/>
      <c r="HB987"/>
      <c r="HC987"/>
    </row>
    <row r="988" spans="1:211" s="7" customFormat="1">
      <c r="A988" s="4"/>
      <c r="B988" s="4"/>
      <c r="C988" s="4"/>
      <c r="D988" s="4"/>
      <c r="E988" s="4"/>
      <c r="F988" s="28"/>
      <c r="G988" s="28"/>
      <c r="H988" s="83"/>
      <c r="I988" s="4"/>
      <c r="J988" s="4"/>
      <c r="K988" s="4"/>
      <c r="L988" s="4"/>
      <c r="M988" s="4"/>
      <c r="N988" s="28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4"/>
      <c r="AF988" s="81"/>
      <c r="AG988" s="81"/>
      <c r="AH988" s="81"/>
      <c r="AI988" s="4"/>
      <c r="AJ988" s="81"/>
      <c r="AK988" s="81"/>
      <c r="AL988" s="81"/>
      <c r="AM988" s="43">
        <v>972</v>
      </c>
      <c r="AN988">
        <v>40.673135271620716</v>
      </c>
      <c r="AO988">
        <v>0.89092596260922829</v>
      </c>
      <c r="AP988">
        <v>12.572693749357827</v>
      </c>
      <c r="AQ988">
        <v>6.9738297907265085</v>
      </c>
      <c r="AR988">
        <v>0.80993269328111683</v>
      </c>
      <c r="AS988">
        <v>3.4203423427590947</v>
      </c>
      <c r="AT988" t="e">
        <v>#DIV/0!</v>
      </c>
      <c r="AU988" t="e">
        <v>#DIV/0!</v>
      </c>
      <c r="AV988"/>
      <c r="AW988"/>
      <c r="FY988" s="211">
        <v>983</v>
      </c>
      <c r="FZ988">
        <v>1.3056879244685655</v>
      </c>
      <c r="GA988">
        <v>1.7200799099368393</v>
      </c>
      <c r="GB988">
        <v>0.70163747575387725</v>
      </c>
      <c r="GC988">
        <v>0.34263008814256202</v>
      </c>
      <c r="GD988">
        <v>8.3647746053411784E-2</v>
      </c>
      <c r="GE988">
        <v>0.10979074220377499</v>
      </c>
      <c r="GF988">
        <v>0.70871433467598444</v>
      </c>
      <c r="GG988">
        <v>0.62966621671876666</v>
      </c>
      <c r="GH988">
        <v>0.11249442504775362</v>
      </c>
      <c r="GI988">
        <v>0.55750409323119765</v>
      </c>
      <c r="GJ988"/>
      <c r="GK988">
        <v>1.3010549632352939</v>
      </c>
      <c r="GL988">
        <v>1.4485002757352943</v>
      </c>
      <c r="GM988">
        <v>1.1519907670454543</v>
      </c>
      <c r="GN988">
        <v>1.0059463474025971</v>
      </c>
      <c r="GO988">
        <v>0.31822901785714286</v>
      </c>
      <c r="GP988">
        <v>0.20629687499999999</v>
      </c>
      <c r="GQ988">
        <v>0.85440896739130423</v>
      </c>
      <c r="GR988">
        <v>0.87592980072463755</v>
      </c>
      <c r="GS988">
        <v>0.11895232371794871</v>
      </c>
      <c r="GT988">
        <v>0.74892720784942879</v>
      </c>
      <c r="GU988"/>
      <c r="GV988"/>
      <c r="GW988"/>
      <c r="GX988"/>
      <c r="GY988"/>
      <c r="GZ988"/>
      <c r="HA988"/>
      <c r="HB988"/>
      <c r="HC988"/>
    </row>
    <row r="989" spans="1:211" s="7" customFormat="1">
      <c r="A989" s="4"/>
      <c r="B989" s="4"/>
      <c r="C989" s="4"/>
      <c r="D989" s="4"/>
      <c r="E989" s="4"/>
      <c r="F989" s="28"/>
      <c r="G989" s="28"/>
      <c r="H989" s="83"/>
      <c r="I989" s="4"/>
      <c r="J989" s="4"/>
      <c r="K989" s="4"/>
      <c r="L989" s="4"/>
      <c r="M989" s="4"/>
      <c r="N989" s="28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4"/>
      <c r="AF989" s="81"/>
      <c r="AG989" s="81"/>
      <c r="AH989" s="81"/>
      <c r="AI989" s="4"/>
      <c r="AJ989" s="81"/>
      <c r="AK989" s="81"/>
      <c r="AL989" s="81"/>
      <c r="AM989" s="43">
        <v>973</v>
      </c>
      <c r="AN989">
        <v>36.594776274036178</v>
      </c>
      <c r="AO989">
        <v>0.82876674182118482</v>
      </c>
      <c r="AP989">
        <v>0.61011512085264974</v>
      </c>
      <c r="AQ989">
        <v>6.9015728252671531</v>
      </c>
      <c r="AR989">
        <v>0.77515726529198625</v>
      </c>
      <c r="AS989">
        <v>3.0786153979145894</v>
      </c>
      <c r="AT989" t="e">
        <v>#DIV/0!</v>
      </c>
      <c r="AU989" t="e">
        <v>#DIV/0!</v>
      </c>
      <c r="AV989"/>
      <c r="AW989"/>
      <c r="FY989" s="211">
        <v>984</v>
      </c>
      <c r="FZ989">
        <v>0.86481110723113686</v>
      </c>
      <c r="GA989">
        <v>0.84330229907544041</v>
      </c>
      <c r="GB989">
        <v>0.32653381341506837</v>
      </c>
      <c r="GC989">
        <v>0.55268621951084929</v>
      </c>
      <c r="GD989">
        <v>0.40297063889681994</v>
      </c>
      <c r="GE989">
        <v>0.12900836070404997</v>
      </c>
      <c r="GF989">
        <v>0.81368341010771561</v>
      </c>
      <c r="GG989">
        <v>0.8571610753966723</v>
      </c>
      <c r="GH989">
        <v>0.24554033180156609</v>
      </c>
      <c r="GI989">
        <v>0.62124166215783894</v>
      </c>
      <c r="GJ989"/>
      <c r="GK989">
        <v>0.86169374999999993</v>
      </c>
      <c r="GL989">
        <v>0.70987734374999989</v>
      </c>
      <c r="GM989">
        <v>0.53564453125</v>
      </c>
      <c r="GN989">
        <v>1.6189234374999997</v>
      </c>
      <c r="GO989">
        <v>1.5325875</v>
      </c>
      <c r="GP989">
        <v>0.24253124999999998</v>
      </c>
      <c r="GQ989">
        <v>0.98215760869565205</v>
      </c>
      <c r="GR989">
        <v>1.1932513586956521</v>
      </c>
      <c r="GS989">
        <v>0.25968149038461541</v>
      </c>
      <c r="GT989">
        <v>0.83435297606605341</v>
      </c>
      <c r="GU989"/>
      <c r="GV989"/>
      <c r="GW989"/>
      <c r="GX989"/>
      <c r="GY989"/>
      <c r="GZ989"/>
      <c r="HA989"/>
      <c r="HB989"/>
      <c r="HC989"/>
    </row>
    <row r="990" spans="1:211" s="7" customFormat="1">
      <c r="A990" s="4"/>
      <c r="B990" s="4"/>
      <c r="C990" s="4"/>
      <c r="D990" s="4"/>
      <c r="E990" s="4"/>
      <c r="F990" s="28"/>
      <c r="G990" s="28"/>
      <c r="H990" s="83"/>
      <c r="I990" s="4"/>
      <c r="J990" s="4"/>
      <c r="K990" s="4"/>
      <c r="L990" s="4"/>
      <c r="M990" s="4"/>
      <c r="N990" s="28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4"/>
      <c r="AF990" s="81"/>
      <c r="AG990" s="81"/>
      <c r="AH990" s="81"/>
      <c r="AI990" s="4"/>
      <c r="AJ990" s="81"/>
      <c r="AK990" s="81"/>
      <c r="AL990" s="81"/>
      <c r="AM990" s="43">
        <v>974</v>
      </c>
      <c r="AN990">
        <v>56.060487714455896</v>
      </c>
      <c r="AO990">
        <v>1.3217104736362981</v>
      </c>
      <c r="AP990">
        <v>18.627102304278239</v>
      </c>
      <c r="AQ990">
        <v>9.5965176531730023</v>
      </c>
      <c r="AR990">
        <v>1.2059720433406904</v>
      </c>
      <c r="AS990">
        <v>4.3584334343005668</v>
      </c>
      <c r="AT990" t="e">
        <v>#DIV/0!</v>
      </c>
      <c r="AU990" t="e">
        <v>#DIV/0!</v>
      </c>
      <c r="AV990"/>
      <c r="AW990"/>
      <c r="FY990" s="211">
        <v>985</v>
      </c>
      <c r="FZ990">
        <v>1.029512140413843</v>
      </c>
      <c r="GA990">
        <v>1.1643154470059147</v>
      </c>
      <c r="GB990">
        <v>0.27246978001291638</v>
      </c>
      <c r="GC990">
        <v>0.18196802751885938</v>
      </c>
      <c r="GD990">
        <v>0.16203022392572677</v>
      </c>
      <c r="GE990">
        <v>0.2050738952625</v>
      </c>
      <c r="GF990">
        <v>0.5344786465355188</v>
      </c>
      <c r="GG990">
        <v>0.4281665527876255</v>
      </c>
      <c r="GH990">
        <v>2.2985735835423678E-2</v>
      </c>
      <c r="GI990">
        <v>0.41076924026019512</v>
      </c>
      <c r="GJ990"/>
      <c r="GK990">
        <v>1.0260299632352941</v>
      </c>
      <c r="GL990">
        <v>0.98070183823529411</v>
      </c>
      <c r="GM990">
        <v>0.44721093749999996</v>
      </c>
      <c r="GN990">
        <v>0.53375558035714277</v>
      </c>
      <c r="GO990">
        <v>0.61693526785714292</v>
      </c>
      <c r="GP990">
        <v>0.38550000000000001</v>
      </c>
      <c r="GQ990">
        <v>0.64475135869565214</v>
      </c>
      <c r="GR990">
        <v>0.59590760869565207</v>
      </c>
      <c r="GS990">
        <v>2.4293870192307693E-2</v>
      </c>
      <c r="GT990">
        <v>0.55184427949607939</v>
      </c>
      <c r="GU990"/>
      <c r="GV990"/>
      <c r="GW990"/>
      <c r="GX990"/>
      <c r="GY990"/>
      <c r="GZ990"/>
      <c r="HA990"/>
      <c r="HB990"/>
      <c r="HC990"/>
    </row>
    <row r="991" spans="1:211" s="7" customFormat="1">
      <c r="A991" s="4"/>
      <c r="B991" s="4"/>
      <c r="C991" s="4"/>
      <c r="D991" s="4"/>
      <c r="E991" s="4"/>
      <c r="F991" s="28"/>
      <c r="G991" s="28"/>
      <c r="H991" s="83"/>
      <c r="I991" s="4"/>
      <c r="J991" s="4"/>
      <c r="K991" s="4"/>
      <c r="L991" s="4"/>
      <c r="M991" s="4"/>
      <c r="N991" s="28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4"/>
      <c r="AF991" s="81"/>
      <c r="AG991" s="81"/>
      <c r="AH991" s="81"/>
      <c r="AI991" s="4"/>
      <c r="AJ991" s="81"/>
      <c r="AK991" s="81"/>
      <c r="AL991" s="81"/>
      <c r="AM991" s="43">
        <v>975</v>
      </c>
      <c r="AN991">
        <v>40.839810794254525</v>
      </c>
      <c r="AO991">
        <v>0.86936548860932317</v>
      </c>
      <c r="AP991">
        <v>11.894704864071997</v>
      </c>
      <c r="AQ991">
        <v>7.4287726400475051</v>
      </c>
      <c r="AR991">
        <v>0.81144649969728677</v>
      </c>
      <c r="AS991">
        <v>3.0977000167847106</v>
      </c>
      <c r="AT991" t="e">
        <v>#DIV/0!</v>
      </c>
      <c r="AU991" t="e">
        <v>#DIV/0!</v>
      </c>
      <c r="AV991"/>
      <c r="AW991"/>
      <c r="FY991" s="211">
        <v>986</v>
      </c>
      <c r="FZ991">
        <v>1.1639163957561931</v>
      </c>
      <c r="GA991">
        <v>1.4555965155907045</v>
      </c>
      <c r="GB991">
        <v>0.98264771392261618</v>
      </c>
      <c r="GC991">
        <v>0.79867308480347454</v>
      </c>
      <c r="GD991">
        <v>0.28524747851637422</v>
      </c>
      <c r="GE991">
        <v>0.11648028087809999</v>
      </c>
      <c r="GF991">
        <v>4.0519097411428125E-2</v>
      </c>
      <c r="GG991">
        <v>5.0581908438140623E-2</v>
      </c>
      <c r="GH991">
        <v>6.6522953376906252E-2</v>
      </c>
      <c r="GI991">
        <v>0.59212720921209283</v>
      </c>
      <c r="GJ991"/>
      <c r="GK991">
        <v>1.159904963235294</v>
      </c>
      <c r="GL991">
        <v>1.225834650735294</v>
      </c>
      <c r="GM991">
        <v>1.6129751420454543</v>
      </c>
      <c r="GN991">
        <v>2.3429775974025975</v>
      </c>
      <c r="GO991">
        <v>1.0856196428571427</v>
      </c>
      <c r="GP991">
        <v>0.21899999999999997</v>
      </c>
      <c r="GQ991">
        <v>4.8843750000000005E-2</v>
      </c>
      <c r="GR991">
        <v>7.0364583333333328E-2</v>
      </c>
      <c r="GS991">
        <v>7.0364583333333328E-2</v>
      </c>
      <c r="GT991">
        <v>0.79554161629424502</v>
      </c>
      <c r="GU991"/>
      <c r="GV991"/>
      <c r="GW991"/>
      <c r="GX991"/>
      <c r="GY991"/>
      <c r="GZ991"/>
      <c r="HA991"/>
      <c r="HB991"/>
      <c r="HC991"/>
    </row>
    <row r="992" spans="1:211" s="7" customFormat="1">
      <c r="A992" s="4"/>
      <c r="B992" s="4"/>
      <c r="C992" s="4"/>
      <c r="D992" s="4"/>
      <c r="E992" s="4"/>
      <c r="F992" s="28"/>
      <c r="G992" s="28"/>
      <c r="H992" s="83"/>
      <c r="I992" s="4"/>
      <c r="J992" s="4"/>
      <c r="K992" s="4"/>
      <c r="L992" s="4"/>
      <c r="M992" s="4"/>
      <c r="N992" s="28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4"/>
      <c r="AF992" s="81"/>
      <c r="AG992" s="81"/>
      <c r="AH992" s="81"/>
      <c r="AI992" s="4"/>
      <c r="AJ992" s="81"/>
      <c r="AK992" s="81"/>
      <c r="AL992" s="81"/>
      <c r="AM992" s="43">
        <v>976</v>
      </c>
      <c r="AN992">
        <v>42.79196542747534</v>
      </c>
      <c r="AO992">
        <v>0.91429941741642295</v>
      </c>
      <c r="AP992">
        <v>14.067693315998456</v>
      </c>
      <c r="AQ992">
        <v>6.7472386346125681</v>
      </c>
      <c r="AR992">
        <v>0.85653640219674831</v>
      </c>
      <c r="AS992">
        <v>3.7155462213900967</v>
      </c>
      <c r="AT992" t="e">
        <v>#DIV/0!</v>
      </c>
      <c r="AU992" t="e">
        <v>#DIV/0!</v>
      </c>
      <c r="AV992"/>
      <c r="AW992"/>
      <c r="FY992" s="211">
        <v>987</v>
      </c>
      <c r="FZ992">
        <v>1.5962260574374962</v>
      </c>
      <c r="GA992">
        <v>1.8864064775981988</v>
      </c>
      <c r="GB992">
        <v>0.38839411786639921</v>
      </c>
      <c r="GC992">
        <v>0.42243669742424061</v>
      </c>
      <c r="GD992">
        <v>0.26445705134669995</v>
      </c>
      <c r="GE992">
        <v>0.15796961026852502</v>
      </c>
      <c r="GF992">
        <v>0.52010488888686557</v>
      </c>
      <c r="GG992">
        <v>0.51703701281821868</v>
      </c>
      <c r="GH992">
        <v>0.17901737842465987</v>
      </c>
      <c r="GI992">
        <v>0.60319708150409135</v>
      </c>
      <c r="GJ992"/>
      <c r="GK992">
        <v>1.5906862132352941</v>
      </c>
      <c r="GL992">
        <v>1.5888580882352941</v>
      </c>
      <c r="GM992">
        <v>0.63719531250000006</v>
      </c>
      <c r="GN992">
        <v>1.2378515624999999</v>
      </c>
      <c r="GO992">
        <v>1.0061249999999997</v>
      </c>
      <c r="GP992">
        <v>0.29676562500000009</v>
      </c>
      <c r="GQ992">
        <v>0.62821874999999994</v>
      </c>
      <c r="GR992">
        <v>0.72010416666666655</v>
      </c>
      <c r="GS992">
        <v>0.18931690705128204</v>
      </c>
      <c r="GT992">
        <v>0.81030843655731521</v>
      </c>
      <c r="GU992"/>
      <c r="GV992"/>
      <c r="GW992"/>
      <c r="GX992"/>
      <c r="GY992"/>
      <c r="GZ992"/>
      <c r="HA992"/>
      <c r="HB992"/>
      <c r="HC992"/>
    </row>
    <row r="993" spans="1:211" s="7" customFormat="1">
      <c r="A993" s="4"/>
      <c r="B993" s="4"/>
      <c r="C993" s="4"/>
      <c r="D993" s="4"/>
      <c r="E993" s="4"/>
      <c r="F993" s="28"/>
      <c r="G993" s="28"/>
      <c r="H993" s="83"/>
      <c r="I993" s="4"/>
      <c r="J993" s="4"/>
      <c r="K993" s="4"/>
      <c r="L993" s="4"/>
      <c r="M993" s="4"/>
      <c r="N993" s="28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  <c r="AD993" s="4"/>
      <c r="AE993" s="4"/>
      <c r="AF993" s="81"/>
      <c r="AG993" s="81"/>
      <c r="AH993" s="81"/>
      <c r="AI993" s="4"/>
      <c r="AJ993" s="81"/>
      <c r="AK993" s="81"/>
      <c r="AL993" s="81"/>
      <c r="AM993" s="43">
        <v>977</v>
      </c>
      <c r="AN993">
        <v>33.924311840120666</v>
      </c>
      <c r="AO993">
        <v>0.91740087075791832</v>
      </c>
      <c r="AP993">
        <v>1.8346305792261663</v>
      </c>
      <c r="AQ993">
        <v>6.466124978055884</v>
      </c>
      <c r="AR993">
        <v>0.86377297254216368</v>
      </c>
      <c r="AS993">
        <v>3.4424172004559845</v>
      </c>
      <c r="AT993" t="e">
        <v>#DIV/0!</v>
      </c>
      <c r="AU993" t="e">
        <v>#DIV/0!</v>
      </c>
      <c r="AV993"/>
      <c r="AW993"/>
      <c r="FY993" s="211">
        <v>988</v>
      </c>
      <c r="FZ993">
        <v>1.4413058303381387</v>
      </c>
      <c r="GA993">
        <v>2.0475035877807839</v>
      </c>
      <c r="GB993">
        <v>0.64936346753670815</v>
      </c>
      <c r="GC993">
        <v>0.28220411340623119</v>
      </c>
      <c r="GD993">
        <v>8.8365729779389279E-2</v>
      </c>
      <c r="GE993">
        <v>8.8593614384399985E-2</v>
      </c>
      <c r="GF993">
        <v>0.66819523726455643</v>
      </c>
      <c r="GG993">
        <v>0.68024812515690725</v>
      </c>
      <c r="GH993">
        <v>0.20200311426008355</v>
      </c>
      <c r="GI993">
        <v>0.57432270236640437</v>
      </c>
      <c r="GJ993"/>
      <c r="GK993">
        <v>1.436534926470588</v>
      </c>
      <c r="GL993">
        <v>1.7248278952205882</v>
      </c>
      <c r="GM993">
        <v>1.0655585937500001</v>
      </c>
      <c r="GN993">
        <v>0.82762276785714284</v>
      </c>
      <c r="GO993">
        <v>0.33638839285714284</v>
      </c>
      <c r="GP993">
        <v>0.16649999999999998</v>
      </c>
      <c r="GQ993">
        <v>0.80556521739130427</v>
      </c>
      <c r="GR993">
        <v>0.94629438405797084</v>
      </c>
      <c r="GS993">
        <v>0.21361077724358973</v>
      </c>
      <c r="GT993">
        <v>0.77153158154252499</v>
      </c>
      <c r="GU993"/>
      <c r="GV993"/>
      <c r="GW993"/>
      <c r="GX993"/>
      <c r="GY993"/>
      <c r="GZ993"/>
      <c r="HA993"/>
      <c r="HB993"/>
      <c r="HC993"/>
    </row>
    <row r="994" spans="1:211" s="7" customFormat="1">
      <c r="A994" s="4"/>
      <c r="B994" s="4"/>
      <c r="C994" s="4"/>
      <c r="D994" s="4"/>
      <c r="E994" s="4"/>
      <c r="F994" s="28"/>
      <c r="G994" s="28"/>
      <c r="H994" s="83"/>
      <c r="I994" s="4"/>
      <c r="J994" s="4"/>
      <c r="K994" s="4"/>
      <c r="L994" s="4"/>
      <c r="M994" s="4"/>
      <c r="N994" s="28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4"/>
      <c r="AF994" s="81"/>
      <c r="AG994" s="81"/>
      <c r="AH994" s="81"/>
      <c r="AI994" s="4"/>
      <c r="AJ994" s="81"/>
      <c r="AK994" s="81"/>
      <c r="AL994" s="81"/>
      <c r="AM994" s="43">
        <v>978</v>
      </c>
      <c r="AN994">
        <v>40.867808736742553</v>
      </c>
      <c r="AO994">
        <v>0.81734311377531765</v>
      </c>
      <c r="AP994">
        <v>14.282125832224088</v>
      </c>
      <c r="AQ994">
        <v>5.5453086904056255</v>
      </c>
      <c r="AR994">
        <v>0.74524772799504424</v>
      </c>
      <c r="AS994">
        <v>3.3386732910975923</v>
      </c>
      <c r="AT994" t="e">
        <v>#DIV/0!</v>
      </c>
      <c r="AU994" t="e">
        <v>#DIV/0!</v>
      </c>
      <c r="AV994"/>
      <c r="AW994"/>
      <c r="FY994" s="211">
        <v>989</v>
      </c>
      <c r="FZ994">
        <v>1.8536314850243247</v>
      </c>
      <c r="GA994">
        <v>3.0535186039560651</v>
      </c>
      <c r="GB994">
        <v>1.5897514268151594</v>
      </c>
      <c r="GC994">
        <v>1.0793660658287241</v>
      </c>
      <c r="GD994">
        <v>0.43522153926085927</v>
      </c>
      <c r="GE994">
        <v>0.18772792863007501</v>
      </c>
      <c r="GF994">
        <v>0.24090012531466881</v>
      </c>
      <c r="GG994">
        <v>0.18920630708545313</v>
      </c>
      <c r="GH994">
        <v>8.9508689212329934E-2</v>
      </c>
      <c r="GI994">
        <v>0.96729581405233467</v>
      </c>
      <c r="GJ994"/>
      <c r="GK994">
        <v>1.847394301470588</v>
      </c>
      <c r="GL994">
        <v>2.5717653952205879</v>
      </c>
      <c r="GM994">
        <v>2.6096338778409085</v>
      </c>
      <c r="GN994">
        <v>3.1659105519480515</v>
      </c>
      <c r="GO994">
        <v>1.6554133928571431</v>
      </c>
      <c r="GP994">
        <v>0.352921875</v>
      </c>
      <c r="GQ994">
        <v>0.29081250000000003</v>
      </c>
      <c r="GR994">
        <v>0.26348958333333333</v>
      </c>
      <c r="GS994">
        <v>9.465845352564102E-2</v>
      </c>
      <c r="GT994">
        <v>1.2995825051388561</v>
      </c>
      <c r="GU994"/>
      <c r="GV994"/>
      <c r="GW994"/>
      <c r="GX994"/>
      <c r="GY994"/>
      <c r="GZ994"/>
      <c r="HA994"/>
      <c r="HB994"/>
      <c r="HC994"/>
    </row>
    <row r="995" spans="1:211" s="7" customFormat="1">
      <c r="A995" s="4"/>
      <c r="B995" s="4"/>
      <c r="C995" s="4"/>
      <c r="D995" s="4"/>
      <c r="E995" s="4"/>
      <c r="F995" s="28"/>
      <c r="G995" s="28"/>
      <c r="H995" s="83"/>
      <c r="I995" s="4"/>
      <c r="J995" s="4"/>
      <c r="K995" s="4"/>
      <c r="L995" s="4"/>
      <c r="M995" s="4"/>
      <c r="N995" s="28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4"/>
      <c r="AF995" s="81"/>
      <c r="AG995" s="81"/>
      <c r="AH995" s="81"/>
      <c r="AI995" s="4"/>
      <c r="AJ995" s="81"/>
      <c r="AK995" s="81"/>
      <c r="AL995" s="81"/>
      <c r="AM995" s="43">
        <v>979</v>
      </c>
      <c r="AN995">
        <v>33.414756056408073</v>
      </c>
      <c r="AO995">
        <v>0.82375949652333758</v>
      </c>
      <c r="AP995">
        <v>7.9924315447576877</v>
      </c>
      <c r="AQ995">
        <v>7.4604856230436969</v>
      </c>
      <c r="AR995">
        <v>0.76336090593030681</v>
      </c>
      <c r="AS995">
        <v>2.5034865429022899</v>
      </c>
      <c r="AT995" t="e">
        <v>#DIV/0!</v>
      </c>
      <c r="AU995" t="e">
        <v>#DIV/0!</v>
      </c>
      <c r="AV995"/>
      <c r="AW995"/>
      <c r="FY995" s="211">
        <v>990</v>
      </c>
      <c r="FZ995">
        <v>2.1897994411343702</v>
      </c>
      <c r="GA995">
        <v>2.6042838317921686</v>
      </c>
      <c r="GB995">
        <v>2.3653870515094884</v>
      </c>
      <c r="GC995">
        <v>1.3303967812677462</v>
      </c>
      <c r="GD995">
        <v>9.5462659652978565E-2</v>
      </c>
      <c r="GE995">
        <v>7.4193882690599997E-2</v>
      </c>
      <c r="GF995">
        <v>1.0284381956596096</v>
      </c>
      <c r="GG995">
        <v>0.856333105575251</v>
      </c>
      <c r="GH995">
        <v>4.5971471670847357E-2</v>
      </c>
      <c r="GI995">
        <v>1.1488842126275882</v>
      </c>
      <c r="GJ995"/>
      <c r="GK995">
        <v>2.1822786764705877</v>
      </c>
      <c r="GL995">
        <v>2.1934935202205881</v>
      </c>
      <c r="GM995">
        <v>3.8844357244318179</v>
      </c>
      <c r="GN995">
        <v>3.9069039163961037</v>
      </c>
      <c r="GO995">
        <v>0.36321428571428566</v>
      </c>
      <c r="GP995">
        <v>0.13931250000000001</v>
      </c>
      <c r="GQ995">
        <v>1.2406589673913042</v>
      </c>
      <c r="GR995">
        <v>1.1918152173913041</v>
      </c>
      <c r="GS995">
        <v>4.8587740384615385E-2</v>
      </c>
      <c r="GT995">
        <v>1.5438350788785224</v>
      </c>
      <c r="GU995"/>
      <c r="GV995"/>
      <c r="GW995"/>
      <c r="GX995"/>
      <c r="GY995"/>
      <c r="GZ995"/>
      <c r="HA995"/>
      <c r="HB995"/>
      <c r="HC995"/>
    </row>
    <row r="996" spans="1:211" s="7" customFormat="1">
      <c r="A996" s="4"/>
      <c r="B996" s="4"/>
      <c r="C996" s="4"/>
      <c r="D996" s="4"/>
      <c r="E996" s="4"/>
      <c r="F996" s="28"/>
      <c r="G996" s="28"/>
      <c r="H996" s="83"/>
      <c r="I996" s="4"/>
      <c r="J996" s="4"/>
      <c r="K996" s="4"/>
      <c r="L996" s="4"/>
      <c r="M996" s="4"/>
      <c r="N996" s="28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4"/>
      <c r="AF996" s="81"/>
      <c r="AG996" s="81"/>
      <c r="AH996" s="81"/>
      <c r="AI996" s="4"/>
      <c r="AJ996" s="81"/>
      <c r="AK996" s="81"/>
      <c r="AL996" s="81"/>
      <c r="AM996" s="43">
        <v>980</v>
      </c>
      <c r="AN996">
        <v>34.050900947056633</v>
      </c>
      <c r="AO996">
        <v>0.75815952840964973</v>
      </c>
      <c r="AP996">
        <v>26.882456753701781</v>
      </c>
      <c r="AQ996">
        <v>6.8739136887748069</v>
      </c>
      <c r="AR996">
        <v>0.69144446857170949</v>
      </c>
      <c r="AS996">
        <v>2.5871439756222281</v>
      </c>
      <c r="AT996" t="e">
        <v>#DIV/0!</v>
      </c>
      <c r="AU996" t="e">
        <v>#DIV/0!</v>
      </c>
      <c r="AV996"/>
      <c r="AW996"/>
      <c r="FY996" s="211">
        <v>991</v>
      </c>
      <c r="FZ996">
        <v>1.9154669857562285</v>
      </c>
      <c r="GA996">
        <v>2.474829081105514</v>
      </c>
      <c r="GB996">
        <v>0.7405209411037873</v>
      </c>
      <c r="GC996">
        <v>0.61602059211669191</v>
      </c>
      <c r="GD996">
        <v>0.27341823984042851</v>
      </c>
      <c r="GE996">
        <v>0.10791909033592499</v>
      </c>
      <c r="GF996">
        <v>0.5344786465355188</v>
      </c>
      <c r="GG996">
        <v>0.47874846122576609</v>
      </c>
      <c r="GH996">
        <v>8.9508689212329934E-2</v>
      </c>
      <c r="GI996">
        <v>0.73005063622531852</v>
      </c>
      <c r="GJ996"/>
      <c r="GK996">
        <v>1.9088568014705882</v>
      </c>
      <c r="GL996">
        <v>2.0843099264705884</v>
      </c>
      <c r="GM996">
        <v>1.2155454545454543</v>
      </c>
      <c r="GN996">
        <v>1.80666599025974</v>
      </c>
      <c r="GO996">
        <v>1.0399017857142856</v>
      </c>
      <c r="GP996">
        <v>0.20264062499999999</v>
      </c>
      <c r="GQ996">
        <v>0.64475135869565214</v>
      </c>
      <c r="GR996">
        <v>0.66627219202898535</v>
      </c>
      <c r="GS996">
        <v>9.465845352564102E-2</v>
      </c>
      <c r="GT996">
        <v>0.98074277079032424</v>
      </c>
      <c r="GU996"/>
      <c r="GV996"/>
      <c r="GW996"/>
      <c r="GX996"/>
      <c r="GY996"/>
      <c r="GZ996"/>
      <c r="HA996"/>
      <c r="HB996"/>
      <c r="HC996"/>
    </row>
    <row r="997" spans="1:211" s="7" customFormat="1">
      <c r="A997" s="4"/>
      <c r="B997" s="4"/>
      <c r="C997" s="4"/>
      <c r="D997" s="4"/>
      <c r="E997" s="4"/>
      <c r="F997" s="28"/>
      <c r="G997" s="28"/>
      <c r="H997" s="83"/>
      <c r="I997" s="4"/>
      <c r="J997" s="4"/>
      <c r="K997" s="4"/>
      <c r="L997" s="4"/>
      <c r="M997" s="4"/>
      <c r="N997" s="28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4"/>
      <c r="AF997" s="81"/>
      <c r="AG997" s="81"/>
      <c r="AH997" s="81"/>
      <c r="AI997" s="4"/>
      <c r="AJ997" s="81"/>
      <c r="AK997" s="81"/>
      <c r="AL997" s="81"/>
      <c r="AM997" s="43">
        <v>981</v>
      </c>
      <c r="AN997">
        <v>41.689787319842466</v>
      </c>
      <c r="AO997">
        <v>1.0329469847049395</v>
      </c>
      <c r="AP997">
        <v>1.3963667737860816</v>
      </c>
      <c r="AQ997">
        <v>7.6997175263546405</v>
      </c>
      <c r="AR997">
        <v>0.96660636065833661</v>
      </c>
      <c r="AS997">
        <v>3.2531763054486706</v>
      </c>
      <c r="AT997">
        <v>0.67727531294609877</v>
      </c>
      <c r="AU997">
        <v>0.22726646086723956</v>
      </c>
      <c r="AV997"/>
      <c r="AW997"/>
      <c r="FY997" s="211">
        <v>992</v>
      </c>
      <c r="FZ997">
        <v>0.60128083796025644</v>
      </c>
      <c r="GA997">
        <v>1.0924774544986917</v>
      </c>
      <c r="GB997">
        <v>0.80472982568142992</v>
      </c>
      <c r="GC997">
        <v>0.54516029193061688</v>
      </c>
      <c r="GD997">
        <v>0.24211744968363746</v>
      </c>
      <c r="GE997">
        <v>0.12900836070404997</v>
      </c>
      <c r="GF997">
        <v>0.6538214796159032</v>
      </c>
      <c r="GG997">
        <v>0.61737285987307855</v>
      </c>
      <c r="GH997">
        <v>0.13548016088317727</v>
      </c>
      <c r="GI997">
        <v>0.56181376122117643</v>
      </c>
      <c r="GJ997"/>
      <c r="GK997">
        <v>0.59909062499999988</v>
      </c>
      <c r="GL997">
        <v>0.91991484374999999</v>
      </c>
      <c r="GM997">
        <v>1.3210727982954544</v>
      </c>
      <c r="GN997">
        <v>1.5990767045454541</v>
      </c>
      <c r="GO997">
        <v>0.92104687499999982</v>
      </c>
      <c r="GP997">
        <v>0.24253124999999998</v>
      </c>
      <c r="GQ997">
        <v>0.78903260869565206</v>
      </c>
      <c r="GR997">
        <v>0.85939719202898535</v>
      </c>
      <c r="GS997">
        <v>0.14324619391025639</v>
      </c>
      <c r="GT997">
        <v>0.75469782018027254</v>
      </c>
      <c r="GU997"/>
      <c r="GV997"/>
      <c r="GW997"/>
      <c r="GX997"/>
      <c r="GY997"/>
      <c r="GZ997"/>
      <c r="HA997"/>
      <c r="HB997"/>
      <c r="HC997"/>
    </row>
    <row r="998" spans="1:211" s="7" customFormat="1">
      <c r="A998" s="4"/>
      <c r="B998" s="4"/>
      <c r="C998" s="4"/>
      <c r="D998" s="4"/>
      <c r="E998" s="4"/>
      <c r="F998" s="28"/>
      <c r="G998" s="28"/>
      <c r="H998" s="83"/>
      <c r="I998" s="4"/>
      <c r="J998" s="4"/>
      <c r="K998" s="4"/>
      <c r="L998" s="4"/>
      <c r="M998" s="4"/>
      <c r="N998" s="28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4"/>
      <c r="AF998" s="81"/>
      <c r="AG998" s="81"/>
      <c r="AH998" s="81"/>
      <c r="AI998" s="4"/>
      <c r="AJ998" s="81"/>
      <c r="AK998" s="81"/>
      <c r="AL998" s="81"/>
      <c r="AM998" s="43">
        <v>982</v>
      </c>
      <c r="AN998">
        <v>39.220298968017154</v>
      </c>
      <c r="AO998">
        <v>0.96796317395681064</v>
      </c>
      <c r="AP998">
        <v>0.99921625345202347</v>
      </c>
      <c r="AQ998">
        <v>7.5770234366729028</v>
      </c>
      <c r="AR998">
        <v>0.91256595359710091</v>
      </c>
      <c r="AS998">
        <v>3.1839953942691963</v>
      </c>
      <c r="AT998" t="e">
        <v>#DIV/0!</v>
      </c>
      <c r="AU998" t="e">
        <v>#DIV/0!</v>
      </c>
      <c r="AV998"/>
      <c r="AW998"/>
      <c r="FY998" s="211">
        <v>993</v>
      </c>
      <c r="FZ998">
        <v>0.68068490117883496</v>
      </c>
      <c r="GA998">
        <v>1.5447063464828887</v>
      </c>
      <c r="GB998">
        <v>1.3573627759674634</v>
      </c>
      <c r="GC998">
        <v>0.81188308155915279</v>
      </c>
      <c r="GD998">
        <v>0.25019387630496004</v>
      </c>
      <c r="GE998">
        <v>0.11942651581672502</v>
      </c>
      <c r="GF998">
        <v>1.0284381956596096</v>
      </c>
      <c r="GG998">
        <v>0.95749692245153217</v>
      </c>
      <c r="GH998">
        <v>0.1330459067538125</v>
      </c>
      <c r="GI998">
        <v>0.78008875495323149</v>
      </c>
      <c r="GJ998"/>
      <c r="GK998">
        <v>0.67842371323529405</v>
      </c>
      <c r="GL998">
        <v>1.301298713235294</v>
      </c>
      <c r="GM998">
        <v>2.2284751420454549</v>
      </c>
      <c r="GN998">
        <v>2.3818782670454546</v>
      </c>
      <c r="GO998">
        <v>0.95182500000000003</v>
      </c>
      <c r="GP998">
        <v>0.22439062500000001</v>
      </c>
      <c r="GQ998">
        <v>1.2406589673913042</v>
      </c>
      <c r="GR998">
        <v>1.3325443840579707</v>
      </c>
      <c r="GS998">
        <v>0.14072916666666666</v>
      </c>
      <c r="GT998">
        <v>1.0480223978677439</v>
      </c>
      <c r="GU998"/>
      <c r="GV998"/>
      <c r="GW998"/>
      <c r="GX998"/>
      <c r="GY998"/>
      <c r="GZ998"/>
      <c r="HA998"/>
      <c r="HB998"/>
      <c r="HC998"/>
    </row>
    <row r="999" spans="1:211" s="7" customFormat="1">
      <c r="A999" s="4"/>
      <c r="B999" s="4"/>
      <c r="C999" s="4"/>
      <c r="D999" s="4"/>
      <c r="E999" s="4"/>
      <c r="F999" s="28"/>
      <c r="G999" s="28"/>
      <c r="H999" s="83"/>
      <c r="I999" s="4"/>
      <c r="J999" s="4"/>
      <c r="K999" s="4"/>
      <c r="L999" s="4"/>
      <c r="M999" s="4"/>
      <c r="N999" s="28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4"/>
      <c r="AF999" s="81"/>
      <c r="AG999" s="81"/>
      <c r="AH999" s="81"/>
      <c r="AI999" s="4"/>
      <c r="AJ999" s="81"/>
      <c r="AK999" s="81"/>
      <c r="AL999" s="81"/>
      <c r="AM999" s="43">
        <v>983</v>
      </c>
      <c r="AN999">
        <v>35.734237507247414</v>
      </c>
      <c r="AO999">
        <v>0.80302365459591019</v>
      </c>
      <c r="AP999">
        <v>0.74489126694213925</v>
      </c>
      <c r="AQ999">
        <v>6.2718529562327339</v>
      </c>
      <c r="AR999">
        <v>0.7489272078494289</v>
      </c>
      <c r="AS999">
        <v>2.9791721026495117</v>
      </c>
      <c r="AT999">
        <v>0.58332182434882807</v>
      </c>
      <c r="AU999">
        <v>2.5720978560583724E-2</v>
      </c>
      <c r="AV999"/>
      <c r="AW999"/>
      <c r="FY999" s="211">
        <v>994</v>
      </c>
      <c r="FZ999">
        <v>1.4219227203336313</v>
      </c>
      <c r="GA999">
        <v>2.0918907005284906</v>
      </c>
      <c r="GB999">
        <v>1.3581932645647334</v>
      </c>
      <c r="GC999">
        <v>0.87358917667138392</v>
      </c>
      <c r="GD999">
        <v>0.33293144090519988</v>
      </c>
      <c r="GE999">
        <v>0.35351558936932492</v>
      </c>
      <c r="GF999">
        <v>0.32193832013752499</v>
      </c>
      <c r="GG999">
        <v>0.18920630708545313</v>
      </c>
      <c r="GH999">
        <v>0.11249442504775362</v>
      </c>
      <c r="GI999">
        <v>0.80699779908185754</v>
      </c>
      <c r="GJ999"/>
      <c r="GK999">
        <v>1.4168362132352939</v>
      </c>
      <c r="GL999">
        <v>1.7616721507352939</v>
      </c>
      <c r="GM999">
        <v>2.2300987215909087</v>
      </c>
      <c r="GN999">
        <v>2.5637784090909088</v>
      </c>
      <c r="GO999">
        <v>1.2667499999999998</v>
      </c>
      <c r="GP999">
        <v>0.66407812499999996</v>
      </c>
      <c r="GQ999">
        <v>0.38850000000000001</v>
      </c>
      <c r="GR999">
        <v>0.26348958333333333</v>
      </c>
      <c r="GS999">
        <v>0.11895232371794871</v>
      </c>
      <c r="GT999">
        <v>1.0842274517088302</v>
      </c>
      <c r="GU999"/>
      <c r="GV999"/>
      <c r="GW999"/>
      <c r="GX999"/>
      <c r="GY999"/>
      <c r="GZ999"/>
      <c r="HA999"/>
      <c r="HB999"/>
      <c r="HC999"/>
    </row>
    <row r="1000" spans="1:211" s="7" customFormat="1">
      <c r="A1000" s="4"/>
      <c r="B1000" s="4"/>
      <c r="C1000" s="4"/>
      <c r="D1000" s="4"/>
      <c r="E1000" s="4"/>
      <c r="F1000" s="28"/>
      <c r="G1000" s="28"/>
      <c r="H1000" s="83"/>
      <c r="I1000" s="4"/>
      <c r="J1000" s="4"/>
      <c r="K1000" s="4"/>
      <c r="L1000" s="4"/>
      <c r="M1000" s="4"/>
      <c r="N1000" s="28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81"/>
      <c r="AG1000" s="81"/>
      <c r="AH1000" s="81"/>
      <c r="AI1000" s="4"/>
      <c r="AJ1000" s="81"/>
      <c r="AK1000" s="81"/>
      <c r="AL1000" s="81"/>
      <c r="AM1000" s="43">
        <v>984</v>
      </c>
      <c r="AN1000">
        <v>44.240538484764031</v>
      </c>
      <c r="AO1000">
        <v>0.8770701246341972</v>
      </c>
      <c r="AP1000">
        <v>10.288055696376723</v>
      </c>
      <c r="AQ1000">
        <v>5.6569389182971577</v>
      </c>
      <c r="AR1000">
        <v>0.83435297606605352</v>
      </c>
      <c r="AS1000">
        <v>3.9818508939803685</v>
      </c>
      <c r="AT1000" t="e">
        <v>#DIV/0!</v>
      </c>
      <c r="AU1000" t="e">
        <v>#DIV/0!</v>
      </c>
      <c r="AV1000"/>
      <c r="AW1000"/>
      <c r="FY1000" s="211">
        <v>995</v>
      </c>
      <c r="FZ1000">
        <v>1.7065277954870406</v>
      </c>
      <c r="GA1000">
        <v>2.6445885026044476</v>
      </c>
      <c r="GB1000">
        <v>1.5290232619327941</v>
      </c>
      <c r="GC1000">
        <v>0.94036047674658707</v>
      </c>
      <c r="GD1000">
        <v>0.31955208706637672</v>
      </c>
      <c r="GE1000">
        <v>0.21278408828197498</v>
      </c>
      <c r="GF1000">
        <v>0.31972386098362504</v>
      </c>
      <c r="GG1000">
        <v>0.27724879729462504</v>
      </c>
      <c r="GH1000">
        <v>9.1942943341694713E-2</v>
      </c>
      <c r="GI1000">
        <v>0.879746431499841</v>
      </c>
      <c r="GJ1000"/>
      <c r="GK1000">
        <v>1.7007036764705883</v>
      </c>
      <c r="GL1000">
        <v>2.2274380514705885</v>
      </c>
      <c r="GM1000">
        <v>2.5103955965909091</v>
      </c>
      <c r="GN1000">
        <v>2.7596433644480518</v>
      </c>
      <c r="GO1000">
        <v>1.2158102678571427</v>
      </c>
      <c r="GP1000">
        <v>0.39998437499999995</v>
      </c>
      <c r="GQ1000">
        <v>0.38624999999999998</v>
      </c>
      <c r="GR1000">
        <v>0.38624999999999998</v>
      </c>
      <c r="GS1000">
        <v>9.7175480769230771E-2</v>
      </c>
      <c r="GT1000">
        <v>1.1820670043375741</v>
      </c>
      <c r="GU1000"/>
      <c r="GV1000"/>
      <c r="GW1000"/>
      <c r="GX1000"/>
      <c r="GY1000"/>
      <c r="GZ1000"/>
      <c r="HA1000"/>
      <c r="HB1000"/>
      <c r="HC1000"/>
    </row>
    <row r="1001" spans="1:211" s="7" customFormat="1">
      <c r="A1001" s="4"/>
      <c r="B1001" s="4"/>
      <c r="C1001" s="4"/>
      <c r="D1001" s="4"/>
      <c r="E1001" s="4"/>
      <c r="F1001" s="28"/>
      <c r="G1001" s="28"/>
      <c r="H1001" s="83"/>
      <c r="I1001" s="4"/>
      <c r="J1001" s="4"/>
      <c r="K1001" s="4"/>
      <c r="L1001" s="4"/>
      <c r="M1001" s="4"/>
      <c r="N1001" s="28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  <c r="AA1001" s="4"/>
      <c r="AB1001" s="4"/>
      <c r="AC1001" s="4"/>
      <c r="AD1001" s="4"/>
      <c r="AE1001" s="4"/>
      <c r="AF1001" s="81"/>
      <c r="AG1001" s="81"/>
      <c r="AH1001" s="81"/>
      <c r="AI1001" s="4"/>
      <c r="AJ1001" s="81"/>
      <c r="AK1001" s="81"/>
      <c r="AL1001" s="81"/>
      <c r="AM1001" s="43">
        <v>985</v>
      </c>
      <c r="AN1001">
        <v>25.481328117924985</v>
      </c>
      <c r="AO1001">
        <v>0.58069307042645657</v>
      </c>
      <c r="AP1001">
        <v>0.54223873171604187</v>
      </c>
      <c r="AQ1001">
        <v>4.4117696895585246</v>
      </c>
      <c r="AR1001">
        <v>0.55184427949607939</v>
      </c>
      <c r="AS1001">
        <v>2.086252460307962</v>
      </c>
      <c r="AT1001" t="e">
        <v>#DIV/0!</v>
      </c>
      <c r="AU1001" t="e">
        <v>#DIV/0!</v>
      </c>
      <c r="AV1001"/>
      <c r="AW1001"/>
      <c r="FY1001" s="211">
        <v>996</v>
      </c>
      <c r="FZ1001">
        <v>0.36514200012448783</v>
      </c>
      <c r="GA1001">
        <v>0.98510073516546059</v>
      </c>
      <c r="GB1001">
        <v>0.63880709320530349</v>
      </c>
      <c r="GC1001">
        <v>0.46597289396829511</v>
      </c>
      <c r="GD1001">
        <v>0.24732527383194752</v>
      </c>
      <c r="GE1001">
        <v>0.10979074220377499</v>
      </c>
      <c r="GF1001">
        <v>0.36024295839505316</v>
      </c>
      <c r="GG1001">
        <v>0.37841261417090627</v>
      </c>
      <c r="GH1001">
        <v>0.15603164258923619</v>
      </c>
      <c r="GI1001">
        <v>0.43968184953310629</v>
      </c>
      <c r="GJ1001"/>
      <c r="GK1001">
        <v>0.36377812499999995</v>
      </c>
      <c r="GL1001">
        <v>0.82935234375000011</v>
      </c>
      <c r="GM1001">
        <v>1.04791796875</v>
      </c>
      <c r="GN1001">
        <v>1.3658875000000001</v>
      </c>
      <c r="GO1001">
        <v>0.94099687500000007</v>
      </c>
      <c r="GP1001">
        <v>0.20629687499999999</v>
      </c>
      <c r="GQ1001">
        <v>0.43509375</v>
      </c>
      <c r="GR1001">
        <v>0.52697916666666667</v>
      </c>
      <c r="GS1001">
        <v>0.16502303685897435</v>
      </c>
      <c r="GT1001">
        <v>0.59056195112179488</v>
      </c>
      <c r="GU1001"/>
      <c r="GV1001"/>
      <c r="GW1001"/>
      <c r="GX1001"/>
      <c r="GY1001"/>
      <c r="GZ1001"/>
      <c r="HA1001"/>
      <c r="HB1001"/>
      <c r="HC1001"/>
    </row>
    <row r="1002" spans="1:211" s="7" customFormat="1">
      <c r="A1002" s="4"/>
      <c r="B1002" s="4"/>
      <c r="C1002" s="4"/>
      <c r="D1002" s="4"/>
      <c r="E1002" s="4"/>
      <c r="F1002" s="28"/>
      <c r="G1002" s="28"/>
      <c r="H1002" s="83"/>
      <c r="I1002" s="4"/>
      <c r="J1002" s="4"/>
      <c r="K1002" s="4"/>
      <c r="L1002" s="4"/>
      <c r="M1002" s="4"/>
      <c r="N1002" s="28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  <c r="AA1002" s="4"/>
      <c r="AB1002" s="4"/>
      <c r="AC1002" s="4"/>
      <c r="AD1002" s="4"/>
      <c r="AE1002" s="4"/>
      <c r="AF1002" s="81"/>
      <c r="AG1002" s="81"/>
      <c r="AH1002" s="81"/>
      <c r="AI1002" s="4"/>
      <c r="AJ1002" s="81"/>
      <c r="AK1002" s="81"/>
      <c r="AL1002" s="81"/>
      <c r="AM1002" s="43">
        <v>986</v>
      </c>
      <c r="AN1002">
        <v>35.671937247121079</v>
      </c>
      <c r="AO1002">
        <v>0.86314265292366943</v>
      </c>
      <c r="AP1002">
        <v>1.8609615901501306</v>
      </c>
      <c r="AQ1002">
        <v>5.5523126379060299</v>
      </c>
      <c r="AR1002">
        <v>0.7955416162942448</v>
      </c>
      <c r="AS1002">
        <v>2.7664726494734437</v>
      </c>
      <c r="AT1002" t="e">
        <v>#DIV/0!</v>
      </c>
      <c r="AU1002" t="e">
        <v>#DIV/0!</v>
      </c>
      <c r="AV1002"/>
      <c r="AW1002"/>
      <c r="FY1002" s="211">
        <v>997</v>
      </c>
      <c r="FZ1002">
        <v>1.8155181696218945</v>
      </c>
      <c r="GA1002">
        <v>2.3640186295880188</v>
      </c>
      <c r="GB1002">
        <v>0.97158917188331706</v>
      </c>
      <c r="GC1002">
        <v>0.85457258554906512</v>
      </c>
      <c r="GD1002">
        <v>0.39152107610990994</v>
      </c>
      <c r="GE1002">
        <v>8.377572757792498E-2</v>
      </c>
      <c r="GF1002">
        <v>0.47958579147543745</v>
      </c>
      <c r="GG1002">
        <v>0.51703701281821868</v>
      </c>
      <c r="GH1002">
        <v>0.15603164258923619</v>
      </c>
      <c r="GI1002">
        <v>0.83928304532467302</v>
      </c>
      <c r="GJ1002"/>
      <c r="GK1002">
        <v>1.8094724264705877</v>
      </c>
      <c r="GL1002">
        <v>1.991277113970588</v>
      </c>
      <c r="GM1002">
        <v>1.5949048295454544</v>
      </c>
      <c r="GN1002">
        <v>2.5057845170454542</v>
      </c>
      <c r="GO1002">
        <v>1.4891999999999999</v>
      </c>
      <c r="GP1002">
        <v>0.15745312499999997</v>
      </c>
      <c r="GQ1002">
        <v>0.57937499999999997</v>
      </c>
      <c r="GR1002">
        <v>0.72010416666666655</v>
      </c>
      <c r="GS1002">
        <v>0.16502303685897435</v>
      </c>
      <c r="GT1002">
        <v>1.1275950585750034</v>
      </c>
      <c r="GU1002"/>
      <c r="GV1002"/>
      <c r="GW1002"/>
      <c r="GX1002"/>
      <c r="GY1002"/>
      <c r="GZ1002"/>
      <c r="HA1002"/>
      <c r="HB1002"/>
      <c r="HC1002"/>
    </row>
    <row r="1003" spans="1:211" s="7" customFormat="1">
      <c r="A1003" s="4"/>
      <c r="B1003" s="4"/>
      <c r="C1003" s="4"/>
      <c r="D1003" s="4"/>
      <c r="E1003" s="4"/>
      <c r="F1003" s="28"/>
      <c r="G1003" s="28"/>
      <c r="H1003" s="83"/>
      <c r="I1003" s="4"/>
      <c r="J1003" s="4"/>
      <c r="K1003" s="4"/>
      <c r="L1003" s="4"/>
      <c r="M1003" s="4"/>
      <c r="N1003" s="28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  <c r="AA1003" s="4"/>
      <c r="AB1003" s="4"/>
      <c r="AC1003" s="4"/>
      <c r="AD1003" s="4"/>
      <c r="AE1003" s="4"/>
      <c r="AF1003" s="81"/>
      <c r="AG1003" s="81"/>
      <c r="AH1003" s="81"/>
      <c r="AI1003" s="4"/>
      <c r="AJ1003" s="81"/>
      <c r="AK1003" s="81"/>
      <c r="AL1003" s="81"/>
      <c r="AM1003" s="43">
        <v>987</v>
      </c>
      <c r="AN1003">
        <v>39.989705358639171</v>
      </c>
      <c r="AO1003">
        <v>0.87054300617458513</v>
      </c>
      <c r="AP1003">
        <v>1.0076367271805058</v>
      </c>
      <c r="AQ1003">
        <v>6.5352463735753954</v>
      </c>
      <c r="AR1003">
        <v>0.81030843655731499</v>
      </c>
      <c r="AS1003">
        <v>3.162781085906333</v>
      </c>
      <c r="AT1003">
        <v>0.65066268414973694</v>
      </c>
      <c r="AU1003">
        <v>2.5344132784828916E-2</v>
      </c>
      <c r="AV1003"/>
      <c r="AW1003"/>
      <c r="FY1003" s="211">
        <v>998</v>
      </c>
      <c r="FZ1003">
        <v>1.3564718929071817</v>
      </c>
      <c r="GA1003">
        <v>1.1906050111176671</v>
      </c>
      <c r="GB1003">
        <v>1.1078709337778094</v>
      </c>
      <c r="GC1003">
        <v>0.66860139844762279</v>
      </c>
      <c r="GD1003">
        <v>0.15683860619277423</v>
      </c>
      <c r="GE1003">
        <v>0.17236934196232498</v>
      </c>
      <c r="GF1003">
        <v>0.49395954912409079</v>
      </c>
      <c r="GG1003">
        <v>0.47874846122576609</v>
      </c>
      <c r="GH1003">
        <v>8.9508689212329934E-2</v>
      </c>
      <c r="GI1003">
        <v>0.6636418058230581</v>
      </c>
      <c r="GJ1003"/>
      <c r="GK1003">
        <v>1.3520174632352939</v>
      </c>
      <c r="GL1003">
        <v>1.002810431985294</v>
      </c>
      <c r="GM1003">
        <v>1.8192588778409087</v>
      </c>
      <c r="GN1003">
        <v>1.9633824269480515</v>
      </c>
      <c r="GO1003">
        <v>0.59699464285714277</v>
      </c>
      <c r="GP1003">
        <v>0.32395312500000001</v>
      </c>
      <c r="GQ1003">
        <v>0.59590760869565207</v>
      </c>
      <c r="GR1003">
        <v>0.66627219202898535</v>
      </c>
      <c r="GS1003">
        <v>9.465845352564102E-2</v>
      </c>
      <c r="GT1003">
        <v>0.89176740923092779</v>
      </c>
      <c r="GU1003"/>
      <c r="GV1003"/>
      <c r="GW1003"/>
      <c r="GX1003"/>
      <c r="GY1003"/>
      <c r="GZ1003"/>
      <c r="HA1003"/>
      <c r="HB1003"/>
      <c r="HC1003"/>
    </row>
    <row r="1004" spans="1:211" s="7" customFormat="1">
      <c r="A1004" s="4"/>
      <c r="B1004" s="4"/>
      <c r="C1004" s="4"/>
      <c r="D1004" s="4"/>
      <c r="E1004" s="4"/>
      <c r="F1004" s="28"/>
      <c r="G1004" s="28"/>
      <c r="H1004" s="83"/>
      <c r="I1004" s="4"/>
      <c r="J1004" s="4"/>
      <c r="K1004" s="4"/>
      <c r="L1004" s="4"/>
      <c r="M1004" s="4"/>
      <c r="N1004" s="28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  <c r="AA1004" s="4"/>
      <c r="AB1004" s="4"/>
      <c r="AC1004" s="4"/>
      <c r="AD1004" s="4"/>
      <c r="AE1004" s="4"/>
      <c r="AF1004" s="81"/>
      <c r="AG1004" s="81"/>
      <c r="AH1004" s="81"/>
      <c r="AI1004" s="4"/>
      <c r="AJ1004" s="81"/>
      <c r="AK1004" s="81"/>
      <c r="AL1004" s="81"/>
      <c r="AM1004" s="43">
        <v>988</v>
      </c>
      <c r="AN1004">
        <v>37.291406363037595</v>
      </c>
      <c r="AO1004">
        <v>0.82944345363908523</v>
      </c>
      <c r="AP1004">
        <v>7.9536645838090942</v>
      </c>
      <c r="AQ1004">
        <v>6.7221055222736021</v>
      </c>
      <c r="AR1004">
        <v>0.77153158154252488</v>
      </c>
      <c r="AS1004">
        <v>3.0401457491869706</v>
      </c>
      <c r="AT1004" t="e">
        <v>#DIV/0!</v>
      </c>
      <c r="AU1004" t="e">
        <v>#DIV/0!</v>
      </c>
      <c r="AV1004"/>
      <c r="AW1004"/>
      <c r="FY1004" s="211">
        <v>999</v>
      </c>
      <c r="FZ1004">
        <v>0.55225385472197808</v>
      </c>
      <c r="GA1004">
        <v>0.76848677860981152</v>
      </c>
      <c r="GB1004">
        <v>0.60563735976080391</v>
      </c>
      <c r="GC1004">
        <v>0.33218773359862747</v>
      </c>
      <c r="GD1004">
        <v>0.12685912535458604</v>
      </c>
      <c r="GE1004">
        <v>8.8593614384399985E-2</v>
      </c>
      <c r="GF1004">
        <v>0.33409761863227821</v>
      </c>
      <c r="GG1004">
        <v>0.34012406257845362</v>
      </c>
      <c r="GH1004">
        <v>6.6522953376906252E-2</v>
      </c>
      <c r="GI1004">
        <v>0.37219686366884874</v>
      </c>
      <c r="GJ1004"/>
      <c r="GK1004">
        <v>0.55040624999999999</v>
      </c>
      <c r="GL1004">
        <v>0.64703906249999998</v>
      </c>
      <c r="GM1004">
        <v>0.99342968749999994</v>
      </c>
      <c r="GN1004">
        <v>0.97389553571428567</v>
      </c>
      <c r="GO1004">
        <v>0.48266116071428566</v>
      </c>
      <c r="GP1004">
        <v>0.16649999999999998</v>
      </c>
      <c r="GQ1004">
        <v>0.40278260869565213</v>
      </c>
      <c r="GR1004">
        <v>0.47314719202898542</v>
      </c>
      <c r="GS1004">
        <v>7.0364583333333328E-2</v>
      </c>
      <c r="GT1004">
        <v>0.49992885804865417</v>
      </c>
      <c r="GU1004"/>
      <c r="GV1004"/>
      <c r="GW1004"/>
      <c r="GX1004"/>
      <c r="GY1004"/>
      <c r="GZ1004"/>
      <c r="HA1004"/>
      <c r="HB1004"/>
      <c r="HC1004"/>
    </row>
    <row r="1005" spans="1:211" s="7" customFormat="1">
      <c r="A1005" s="4"/>
      <c r="B1005" s="4"/>
      <c r="C1005" s="4"/>
      <c r="D1005" s="4"/>
      <c r="E1005" s="4"/>
      <c r="F1005" s="28"/>
      <c r="G1005" s="28"/>
      <c r="H1005" s="83"/>
      <c r="I1005" s="4"/>
      <c r="J1005" s="4"/>
      <c r="K1005" s="4"/>
      <c r="L1005" s="4"/>
      <c r="M1005" s="4"/>
      <c r="N1005" s="28"/>
      <c r="O1005" s="4"/>
      <c r="P1005" s="4"/>
      <c r="Q1005" s="4"/>
      <c r="R1005" s="4"/>
      <c r="S1005" s="4"/>
      <c r="T1005" s="4"/>
      <c r="U1005" s="4"/>
      <c r="V1005" s="4"/>
      <c r="W1005" s="4"/>
      <c r="X1005" s="4"/>
      <c r="Y1005" s="4"/>
      <c r="Z1005" s="4"/>
      <c r="AA1005" s="4"/>
      <c r="AB1005" s="4"/>
      <c r="AC1005" s="4"/>
      <c r="AD1005" s="4"/>
      <c r="AE1005" s="4"/>
      <c r="AF1005" s="81"/>
      <c r="AG1005" s="81"/>
      <c r="AH1005" s="81"/>
      <c r="AI1005" s="4"/>
      <c r="AJ1005" s="81"/>
      <c r="AK1005" s="81"/>
      <c r="AL1005" s="81"/>
      <c r="AM1005" s="43">
        <v>989</v>
      </c>
      <c r="AN1005">
        <v>59.415680176985312</v>
      </c>
      <c r="AO1005">
        <v>1.4151582436335111</v>
      </c>
      <c r="AP1005">
        <v>2.0379950512372162</v>
      </c>
      <c r="AQ1005">
        <v>9.6861279851799935</v>
      </c>
      <c r="AR1005">
        <v>1.2995825051388561</v>
      </c>
      <c r="AS1005">
        <v>4.5604561576961506</v>
      </c>
      <c r="AT1005">
        <v>0.95120855996583609</v>
      </c>
      <c r="AU1005">
        <v>5.2074074901379677E-2</v>
      </c>
      <c r="AV1005"/>
      <c r="AW1005"/>
      <c r="FY1005" s="211">
        <v>1000</v>
      </c>
      <c r="FZ1005">
        <v>1.262021883213946</v>
      </c>
      <c r="GA1005">
        <v>2.2648255296275241</v>
      </c>
      <c r="GB1005">
        <v>0.73955720657014445</v>
      </c>
      <c r="GC1005">
        <v>0.39978108312002303</v>
      </c>
      <c r="GD1005">
        <v>0.22402011211883668</v>
      </c>
      <c r="GE1005">
        <v>7.1247647751975007E-2</v>
      </c>
      <c r="GF1005">
        <v>0.86857626516779707</v>
      </c>
      <c r="GG1005">
        <v>0.81887252380421982</v>
      </c>
      <c r="GH1005">
        <v>0.15603164258923619</v>
      </c>
      <c r="GI1005">
        <v>0.67535830009444708</v>
      </c>
      <c r="GJ1005"/>
      <c r="GK1005">
        <v>1.2576862132352939</v>
      </c>
      <c r="GL1005">
        <v>1.9076080882352939</v>
      </c>
      <c r="GM1005">
        <v>1.2135546874999998</v>
      </c>
      <c r="GN1005">
        <v>1.1711274553571425</v>
      </c>
      <c r="GO1005">
        <v>0.85194776785714266</v>
      </c>
      <c r="GP1005">
        <v>0.133921875</v>
      </c>
      <c r="GQ1005">
        <v>1.0475339673913044</v>
      </c>
      <c r="GR1005">
        <v>1.1394193840579709</v>
      </c>
      <c r="GS1005">
        <v>0.16502303685897435</v>
      </c>
      <c r="GT1005">
        <v>0.90714913456854296</v>
      </c>
      <c r="GU1005"/>
      <c r="GV1005"/>
      <c r="GW1005"/>
      <c r="GX1005"/>
      <c r="GY1005"/>
      <c r="GZ1005"/>
      <c r="HA1005"/>
      <c r="HB1005"/>
      <c r="HC1005"/>
    </row>
    <row r="1006" spans="1:211" s="7" customFormat="1">
      <c r="A1006" s="4"/>
      <c r="B1006" s="4"/>
      <c r="C1006" s="4"/>
      <c r="D1006" s="4"/>
      <c r="E1006" s="4"/>
      <c r="F1006" s="28"/>
      <c r="G1006" s="28"/>
      <c r="H1006" s="83"/>
      <c r="I1006" s="4"/>
      <c r="J1006" s="4"/>
      <c r="K1006" s="4"/>
      <c r="L1006" s="4"/>
      <c r="M1006" s="4"/>
      <c r="N1006" s="28"/>
      <c r="O1006" s="4"/>
      <c r="P1006" s="4"/>
      <c r="Q1006" s="4"/>
      <c r="R1006" s="4"/>
      <c r="S1006" s="4"/>
      <c r="T1006" s="4"/>
      <c r="U1006" s="4"/>
      <c r="V1006" s="4"/>
      <c r="W1006" s="4"/>
      <c r="X1006" s="4"/>
      <c r="Y1006" s="4"/>
      <c r="Z1006" s="4"/>
      <c r="AA1006" s="4"/>
      <c r="AB1006" s="4"/>
      <c r="AC1006" s="4"/>
      <c r="AD1006" s="4"/>
      <c r="AE1006" s="4"/>
      <c r="AF1006" s="81"/>
      <c r="AG1006" s="81"/>
      <c r="AH1006" s="81"/>
      <c r="AI1006" s="4"/>
      <c r="AJ1006" s="81"/>
      <c r="AK1006" s="81"/>
      <c r="AL1006" s="81"/>
      <c r="AM1006" s="43">
        <v>990</v>
      </c>
      <c r="AN1006">
        <v>61.149288180294398</v>
      </c>
      <c r="AO1006">
        <v>1.669453562727913</v>
      </c>
      <c r="AP1006">
        <v>2.351325294213209</v>
      </c>
      <c r="AQ1006">
        <v>11.73915063358065</v>
      </c>
      <c r="AR1006">
        <v>1.5438350788785218</v>
      </c>
      <c r="AS1006">
        <v>5.630441094527197</v>
      </c>
      <c r="AT1006" t="e">
        <v>#DIV/0!</v>
      </c>
      <c r="AU1006" t="e">
        <v>#DIV/0!</v>
      </c>
      <c r="AV1006"/>
      <c r="AW1006"/>
    </row>
    <row r="1007" spans="1:211" s="7" customFormat="1">
      <c r="A1007" s="4"/>
      <c r="B1007" s="4"/>
      <c r="C1007" s="4"/>
      <c r="D1007" s="4"/>
      <c r="E1007" s="4"/>
      <c r="F1007" s="28"/>
      <c r="G1007" s="28"/>
      <c r="H1007" s="83"/>
      <c r="I1007" s="4"/>
      <c r="J1007" s="4"/>
      <c r="K1007" s="4"/>
      <c r="L1007" s="4"/>
      <c r="M1007" s="4"/>
      <c r="N1007" s="28"/>
      <c r="O1007" s="4"/>
      <c r="P1007" s="4"/>
      <c r="Q1007" s="4"/>
      <c r="R1007" s="4"/>
      <c r="S1007" s="4"/>
      <c r="T1007" s="4"/>
      <c r="U1007" s="4"/>
      <c r="V1007" s="4"/>
      <c r="W1007" s="4"/>
      <c r="X1007" s="4"/>
      <c r="Y1007" s="4"/>
      <c r="Z1007" s="4"/>
      <c r="AA1007" s="4"/>
      <c r="AB1007" s="4"/>
      <c r="AC1007" s="4"/>
      <c r="AD1007" s="4"/>
      <c r="AE1007" s="4"/>
      <c r="AF1007" s="81"/>
      <c r="AG1007" s="81"/>
      <c r="AH1007" s="81"/>
      <c r="AI1007" s="4"/>
      <c r="AJ1007" s="81"/>
      <c r="AK1007" s="81"/>
      <c r="AL1007" s="81"/>
      <c r="AM1007" s="43">
        <v>991</v>
      </c>
      <c r="AN1007">
        <v>47.54701536504605</v>
      </c>
      <c r="AO1007">
        <v>1.0644345358501259</v>
      </c>
      <c r="AP1007">
        <v>0.85464048341605703</v>
      </c>
      <c r="AQ1007">
        <v>7.9609613634575087</v>
      </c>
      <c r="AR1007">
        <v>0.98074277079032424</v>
      </c>
      <c r="AS1007">
        <v>3.8995513799999983</v>
      </c>
      <c r="AT1007">
        <v>0.76315987784533801</v>
      </c>
      <c r="AU1007">
        <v>5.158017602198714E-2</v>
      </c>
      <c r="AV1007"/>
      <c r="AW1007"/>
    </row>
    <row r="1008" spans="1:211" s="7" customFormat="1">
      <c r="A1008" s="4"/>
      <c r="B1008" s="4"/>
      <c r="C1008" s="4"/>
      <c r="D1008" s="4"/>
      <c r="E1008" s="4"/>
      <c r="F1008" s="28"/>
      <c r="G1008" s="28"/>
      <c r="H1008" s="83"/>
      <c r="I1008" s="4"/>
      <c r="J1008" s="4"/>
      <c r="K1008" s="4"/>
      <c r="L1008" s="4"/>
      <c r="M1008" s="4"/>
      <c r="N1008" s="28"/>
      <c r="O1008" s="4"/>
      <c r="P1008" s="4"/>
      <c r="Q1008" s="4"/>
      <c r="R1008" s="4"/>
      <c r="S1008" s="4"/>
      <c r="T1008" s="4"/>
      <c r="U1008" s="4"/>
      <c r="V1008" s="4"/>
      <c r="W1008" s="4"/>
      <c r="X1008" s="4"/>
      <c r="Y1008" s="4"/>
      <c r="Z1008" s="4"/>
      <c r="AA1008" s="4"/>
      <c r="AB1008" s="4"/>
      <c r="AC1008" s="4"/>
      <c r="AD1008" s="4"/>
      <c r="AE1008" s="4"/>
      <c r="AF1008" s="81"/>
      <c r="AG1008" s="81"/>
      <c r="AH1008" s="81"/>
      <c r="AI1008" s="4"/>
      <c r="AJ1008" s="81"/>
      <c r="AK1008" s="81"/>
      <c r="AL1008" s="81"/>
      <c r="AM1008" s="43">
        <v>992</v>
      </c>
      <c r="AN1008">
        <v>36.938179154279695</v>
      </c>
      <c r="AO1008">
        <v>0.81491069114060743</v>
      </c>
      <c r="AP1008">
        <v>8.7134388223272339</v>
      </c>
      <c r="AQ1008">
        <v>5.3832624820520181</v>
      </c>
      <c r="AR1008">
        <v>0.75469782018027254</v>
      </c>
      <c r="AS1008">
        <v>2.8478840396752108</v>
      </c>
      <c r="AT1008" t="e">
        <v>#DIV/0!</v>
      </c>
      <c r="AU1008" t="e">
        <v>#DIV/0!</v>
      </c>
      <c r="AV1008"/>
      <c r="AW1008"/>
    </row>
    <row r="1009" spans="1:49" s="7" customFormat="1">
      <c r="A1009" s="4"/>
      <c r="B1009" s="4"/>
      <c r="C1009" s="4"/>
      <c r="D1009" s="4"/>
      <c r="E1009" s="4"/>
      <c r="F1009" s="28"/>
      <c r="G1009" s="28"/>
      <c r="H1009" s="83"/>
      <c r="I1009" s="4"/>
      <c r="J1009" s="4"/>
      <c r="K1009" s="4"/>
      <c r="L1009" s="4"/>
      <c r="M1009" s="4"/>
      <c r="N1009" s="28"/>
      <c r="O1009" s="4"/>
      <c r="P1009" s="4"/>
      <c r="Q1009" s="4"/>
      <c r="R1009" s="4"/>
      <c r="S1009" s="4"/>
      <c r="T1009" s="4"/>
      <c r="U1009" s="4"/>
      <c r="V1009" s="4"/>
      <c r="W1009" s="4"/>
      <c r="X1009" s="4"/>
      <c r="Y1009" s="4"/>
      <c r="Z1009" s="4"/>
      <c r="AA1009" s="4"/>
      <c r="AB1009" s="4"/>
      <c r="AC1009" s="4"/>
      <c r="AD1009" s="4"/>
      <c r="AE1009" s="4"/>
      <c r="AF1009" s="81"/>
      <c r="AG1009" s="81"/>
      <c r="AH1009" s="81"/>
      <c r="AI1009" s="4"/>
      <c r="AJ1009" s="81"/>
      <c r="AK1009" s="81"/>
      <c r="AL1009" s="81"/>
      <c r="AM1009" s="43">
        <v>993</v>
      </c>
      <c r="AN1009">
        <v>48.174174422184336</v>
      </c>
      <c r="AO1009">
        <v>1.1528246376545184</v>
      </c>
      <c r="AP1009">
        <v>7.6264664809487561</v>
      </c>
      <c r="AQ1009">
        <v>7.6633272771282108</v>
      </c>
      <c r="AR1009">
        <v>1.0480223978677436</v>
      </c>
      <c r="AS1009">
        <v>4.3316841464384384</v>
      </c>
      <c r="AT1009" t="e">
        <v>#DIV/0!</v>
      </c>
      <c r="AU1009" t="e">
        <v>#DIV/0!</v>
      </c>
      <c r="AV1009"/>
      <c r="AW1009"/>
    </row>
    <row r="1010" spans="1:49" s="7" customFormat="1">
      <c r="A1010" s="4"/>
      <c r="B1010" s="4"/>
      <c r="C1010" s="4"/>
      <c r="D1010" s="4"/>
      <c r="E1010" s="4"/>
      <c r="F1010" s="28"/>
      <c r="G1010" s="28"/>
      <c r="H1010" s="83"/>
      <c r="I1010" s="4"/>
      <c r="J1010" s="4"/>
      <c r="K1010" s="4"/>
      <c r="L1010" s="4"/>
      <c r="M1010" s="4"/>
      <c r="N1010" s="28"/>
      <c r="O1010" s="4"/>
      <c r="P1010" s="4"/>
      <c r="Q1010" s="4"/>
      <c r="R1010" s="4"/>
      <c r="S1010" s="4"/>
      <c r="T1010" s="4"/>
      <c r="U1010" s="4"/>
      <c r="V1010" s="4"/>
      <c r="W1010" s="4"/>
      <c r="X1010" s="4"/>
      <c r="Y1010" s="4"/>
      <c r="Z1010" s="4"/>
      <c r="AA1010" s="4"/>
      <c r="AB1010" s="4"/>
      <c r="AC1010" s="4"/>
      <c r="AD1010" s="4"/>
      <c r="AE1010" s="4"/>
      <c r="AF1010" s="81"/>
      <c r="AG1010" s="81"/>
      <c r="AH1010" s="81"/>
      <c r="AI1010" s="4"/>
      <c r="AJ1010" s="81"/>
      <c r="AK1010" s="81"/>
      <c r="AL1010" s="81"/>
      <c r="AM1010" s="43">
        <v>994</v>
      </c>
      <c r="AN1010">
        <v>48.58877943271326</v>
      </c>
      <c r="AO1010">
        <v>1.1758382978412518</v>
      </c>
      <c r="AP1010">
        <v>1.2765736635075378</v>
      </c>
      <c r="AQ1010">
        <v>7.8626797437253533</v>
      </c>
      <c r="AR1010">
        <v>1.0842274517088306</v>
      </c>
      <c r="AS1010">
        <v>3.8008276656886131</v>
      </c>
      <c r="AT1010">
        <v>0.78534806523219436</v>
      </c>
      <c r="AU1010">
        <v>-2.0014045714071088E-2</v>
      </c>
      <c r="AV1010"/>
      <c r="AW1010"/>
    </row>
    <row r="1011" spans="1:49" s="7" customFormat="1">
      <c r="A1011" s="4"/>
      <c r="B1011" s="4"/>
      <c r="C1011" s="4"/>
      <c r="D1011" s="4"/>
      <c r="E1011" s="4"/>
      <c r="F1011" s="28"/>
      <c r="G1011" s="28"/>
      <c r="H1011" s="83"/>
      <c r="I1011" s="4"/>
      <c r="J1011" s="4"/>
      <c r="K1011" s="4"/>
      <c r="L1011" s="4"/>
      <c r="M1011" s="4"/>
      <c r="N1011" s="28"/>
      <c r="O1011" s="4"/>
      <c r="P1011" s="4"/>
      <c r="Q1011" s="4"/>
      <c r="R1011" s="4"/>
      <c r="S1011" s="4"/>
      <c r="T1011" s="4"/>
      <c r="U1011" s="4"/>
      <c r="V1011" s="4"/>
      <c r="W1011" s="4"/>
      <c r="X1011" s="4"/>
      <c r="Y1011" s="4"/>
      <c r="Z1011" s="4"/>
      <c r="AA1011" s="4"/>
      <c r="AB1011" s="4"/>
      <c r="AC1011" s="4"/>
      <c r="AD1011" s="4"/>
      <c r="AE1011" s="4"/>
      <c r="AF1011" s="81"/>
      <c r="AG1011" s="81"/>
      <c r="AH1011" s="81"/>
      <c r="AI1011" s="4"/>
      <c r="AJ1011" s="81"/>
      <c r="AK1011" s="81"/>
      <c r="AL1011" s="81"/>
      <c r="AM1011" s="43">
        <v>995</v>
      </c>
      <c r="AN1011">
        <v>50.948474870717526</v>
      </c>
      <c r="AO1011">
        <v>1.2865717816944087</v>
      </c>
      <c r="AP1011">
        <v>6.1199601177722007</v>
      </c>
      <c r="AQ1011">
        <v>8.9214982452390075</v>
      </c>
      <c r="AR1011">
        <v>1.1820670043375738</v>
      </c>
      <c r="AS1011">
        <v>3.999869157049766</v>
      </c>
      <c r="AT1011" t="e">
        <v>#DIV/0!</v>
      </c>
      <c r="AU1011" t="e">
        <v>#DIV/0!</v>
      </c>
      <c r="AV1011"/>
      <c r="AW1011"/>
    </row>
    <row r="1012" spans="1:49" s="7" customFormat="1">
      <c r="A1012" s="4"/>
      <c r="B1012" s="4"/>
      <c r="C1012" s="4"/>
      <c r="D1012" s="4"/>
      <c r="E1012" s="4"/>
      <c r="F1012" s="28"/>
      <c r="G1012" s="28"/>
      <c r="H1012" s="83"/>
      <c r="I1012" s="4"/>
      <c r="J1012" s="4"/>
      <c r="K1012" s="4"/>
      <c r="L1012" s="4"/>
      <c r="M1012" s="4"/>
      <c r="N1012" s="28"/>
      <c r="O1012" s="4"/>
      <c r="P1012" s="4"/>
      <c r="Q1012" s="4"/>
      <c r="R1012" s="4"/>
      <c r="S1012" s="4"/>
      <c r="T1012" s="4"/>
      <c r="U1012" s="4"/>
      <c r="V1012" s="4"/>
      <c r="W1012" s="4"/>
      <c r="X1012" s="4"/>
      <c r="Y1012" s="4"/>
      <c r="Z1012" s="4"/>
      <c r="AA1012" s="4"/>
      <c r="AB1012" s="4"/>
      <c r="AC1012" s="4"/>
      <c r="AD1012" s="4"/>
      <c r="AE1012" s="4"/>
      <c r="AF1012" s="81"/>
      <c r="AG1012" s="81"/>
      <c r="AH1012" s="81"/>
      <c r="AI1012" s="4"/>
      <c r="AJ1012" s="81"/>
      <c r="AK1012" s="81"/>
      <c r="AL1012" s="81"/>
      <c r="AM1012" s="43">
        <v>996</v>
      </c>
      <c r="AN1012">
        <v>30.923392984330484</v>
      </c>
      <c r="AO1012">
        <v>0.64718875921474361</v>
      </c>
      <c r="AP1012">
        <v>4.1966308896168778</v>
      </c>
      <c r="AQ1012">
        <v>4.1465078031875713</v>
      </c>
      <c r="AR1012">
        <v>0.59056195112179477</v>
      </c>
      <c r="AS1012">
        <v>2.6525001371348753</v>
      </c>
      <c r="AT1012" t="e">
        <v>#DIV/0!</v>
      </c>
      <c r="AU1012" t="e">
        <v>#DIV/0!</v>
      </c>
      <c r="AV1012"/>
      <c r="AW1012"/>
    </row>
    <row r="1013" spans="1:49" s="7" customFormat="1">
      <c r="A1013" s="4"/>
      <c r="B1013" s="4"/>
      <c r="C1013" s="4"/>
      <c r="D1013" s="4"/>
      <c r="E1013" s="4"/>
      <c r="F1013" s="28"/>
      <c r="G1013" s="28"/>
      <c r="H1013" s="83"/>
      <c r="I1013" s="4"/>
      <c r="J1013" s="4"/>
      <c r="K1013" s="4"/>
      <c r="L1013" s="4"/>
      <c r="M1013" s="4"/>
      <c r="N1013" s="28"/>
      <c r="O1013" s="4"/>
      <c r="P1013" s="4"/>
      <c r="Q1013" s="4"/>
      <c r="R1013" s="4"/>
      <c r="S1013" s="4"/>
      <c r="T1013" s="4"/>
      <c r="U1013" s="4"/>
      <c r="V1013" s="4"/>
      <c r="W1013" s="4"/>
      <c r="X1013" s="4"/>
      <c r="Y1013" s="4"/>
      <c r="Z1013" s="4"/>
      <c r="AA1013" s="4"/>
      <c r="AB1013" s="4"/>
      <c r="AC1013" s="4"/>
      <c r="AD1013" s="4"/>
      <c r="AE1013" s="4"/>
      <c r="AF1013" s="81"/>
      <c r="AG1013" s="81"/>
      <c r="AH1013" s="81"/>
      <c r="AI1013" s="4"/>
      <c r="AJ1013" s="81"/>
      <c r="AK1013" s="81"/>
      <c r="AL1013" s="81"/>
      <c r="AM1013" s="43">
        <v>997</v>
      </c>
      <c r="AN1013">
        <v>51.082206301323943</v>
      </c>
      <c r="AO1013">
        <v>1.2140189274132731</v>
      </c>
      <c r="AP1013">
        <v>6.6674388592814786</v>
      </c>
      <c r="AQ1013">
        <v>8.4729328525376975</v>
      </c>
      <c r="AR1013">
        <v>1.1275950585750032</v>
      </c>
      <c r="AS1013">
        <v>4.0867182391681185</v>
      </c>
      <c r="AT1013" t="e">
        <v>#DIV/0!</v>
      </c>
      <c r="AU1013" t="e">
        <v>#DIV/0!</v>
      </c>
      <c r="AV1013"/>
      <c r="AW1013"/>
    </row>
    <row r="1014" spans="1:49" s="7" customFormat="1">
      <c r="A1014" s="4"/>
      <c r="B1014" s="4"/>
      <c r="C1014" s="4"/>
      <c r="D1014" s="4"/>
      <c r="E1014" s="4"/>
      <c r="F1014" s="28"/>
      <c r="G1014" s="28"/>
      <c r="H1014" s="83"/>
      <c r="I1014" s="4"/>
      <c r="J1014" s="4"/>
      <c r="K1014" s="4"/>
      <c r="L1014" s="4"/>
      <c r="M1014" s="4"/>
      <c r="N1014" s="28"/>
      <c r="O1014" s="4"/>
      <c r="P1014" s="4"/>
      <c r="Q1014" s="4"/>
      <c r="R1014" s="4"/>
      <c r="S1014" s="4"/>
      <c r="T1014" s="4"/>
      <c r="U1014" s="4"/>
      <c r="V1014" s="4"/>
      <c r="W1014" s="4"/>
      <c r="X1014" s="4"/>
      <c r="Y1014" s="4"/>
      <c r="Z1014" s="4"/>
      <c r="AA1014" s="4"/>
      <c r="AB1014" s="4"/>
      <c r="AC1014" s="4"/>
      <c r="AD1014" s="4"/>
      <c r="AE1014" s="4"/>
      <c r="AF1014" s="81"/>
      <c r="AG1014" s="81"/>
      <c r="AH1014" s="81"/>
      <c r="AI1014" s="4"/>
      <c r="AJ1014" s="81"/>
      <c r="AK1014" s="81"/>
      <c r="AL1014" s="81"/>
      <c r="AM1014" s="43">
        <v>998</v>
      </c>
      <c r="AN1014">
        <v>34.868191543850898</v>
      </c>
      <c r="AO1014">
        <v>0.93070226313478988</v>
      </c>
      <c r="AP1014">
        <v>7.3309732280799151</v>
      </c>
      <c r="AQ1014">
        <v>6.3786156897906263</v>
      </c>
      <c r="AR1014">
        <v>0.89176740923092779</v>
      </c>
      <c r="AS1014">
        <v>3.1068007150574344</v>
      </c>
      <c r="AT1014" t="e">
        <v>#DIV/0!</v>
      </c>
      <c r="AU1014" t="e">
        <v>#DIV/0!</v>
      </c>
      <c r="AV1014"/>
      <c r="AW1014"/>
    </row>
    <row r="1015" spans="1:49" s="7" customFormat="1">
      <c r="A1015" s="4"/>
      <c r="B1015" s="4"/>
      <c r="C1015" s="4"/>
      <c r="D1015" s="4"/>
      <c r="E1015" s="4"/>
      <c r="F1015" s="28"/>
      <c r="G1015" s="28"/>
      <c r="H1015" s="83"/>
      <c r="I1015" s="4"/>
      <c r="J1015" s="4"/>
      <c r="K1015" s="4"/>
      <c r="L1015" s="4"/>
      <c r="M1015" s="4"/>
      <c r="N1015" s="28"/>
      <c r="O1015" s="4"/>
      <c r="P1015" s="4"/>
      <c r="Q1015" s="4"/>
      <c r="R1015" s="4"/>
      <c r="S1015" s="4"/>
      <c r="T1015" s="4"/>
      <c r="U1015" s="4"/>
      <c r="V1015" s="4"/>
      <c r="W1015" s="4"/>
      <c r="X1015" s="4"/>
      <c r="Y1015" s="4"/>
      <c r="Z1015" s="4"/>
      <c r="AA1015" s="4"/>
      <c r="AB1015" s="4"/>
      <c r="AC1015" s="4"/>
      <c r="AD1015" s="4"/>
      <c r="AE1015" s="4"/>
      <c r="AF1015" s="81"/>
      <c r="AG1015" s="81"/>
      <c r="AH1015" s="81"/>
      <c r="AI1015" s="4"/>
      <c r="AJ1015" s="81"/>
      <c r="AK1015" s="81"/>
      <c r="AL1015" s="81"/>
      <c r="AM1015" s="43">
        <v>999</v>
      </c>
      <c r="AN1015">
        <v>25.042702582240622</v>
      </c>
      <c r="AO1015">
        <v>0.52601549385351964</v>
      </c>
      <c r="AP1015">
        <v>4.2030873316856328</v>
      </c>
      <c r="AQ1015">
        <v>3.5869599646866939</v>
      </c>
      <c r="AR1015">
        <v>0.49992885804865422</v>
      </c>
      <c r="AS1015">
        <v>2.3117433088757484</v>
      </c>
      <c r="AT1015" t="e">
        <v>#DIV/0!</v>
      </c>
      <c r="AU1015" t="e">
        <v>#DIV/0!</v>
      </c>
      <c r="AV1015"/>
      <c r="AW1015"/>
    </row>
    <row r="1016" spans="1:49" s="7" customFormat="1">
      <c r="A1016" s="4"/>
      <c r="B1016" s="4"/>
      <c r="C1016" s="4"/>
      <c r="D1016" s="4"/>
      <c r="E1016" s="4"/>
      <c r="F1016" s="28"/>
      <c r="G1016" s="28"/>
      <c r="H1016" s="83"/>
      <c r="I1016" s="4"/>
      <c r="J1016" s="4"/>
      <c r="K1016" s="4"/>
      <c r="L1016" s="4"/>
      <c r="M1016" s="4"/>
      <c r="N1016" s="28"/>
      <c r="O1016" s="4"/>
      <c r="P1016" s="4"/>
      <c r="Q1016" s="4"/>
      <c r="R1016" s="4"/>
      <c r="S1016" s="4"/>
      <c r="T1016" s="4"/>
      <c r="U1016" s="4"/>
      <c r="V1016" s="4"/>
      <c r="W1016" s="4"/>
      <c r="X1016" s="4"/>
      <c r="Y1016" s="4"/>
      <c r="Z1016" s="4"/>
      <c r="AA1016" s="4"/>
      <c r="AB1016" s="4"/>
      <c r="AC1016" s="4"/>
      <c r="AD1016" s="4"/>
      <c r="AE1016" s="4"/>
      <c r="AF1016" s="81"/>
      <c r="AG1016" s="81"/>
      <c r="AH1016" s="81"/>
      <c r="AI1016" s="4"/>
      <c r="AJ1016" s="81"/>
      <c r="AK1016" s="81"/>
      <c r="AL1016" s="81"/>
      <c r="AM1016" s="43">
        <v>1000</v>
      </c>
      <c r="AN1016">
        <v>46.537407022916923</v>
      </c>
      <c r="AO1016">
        <v>0.97949716100616657</v>
      </c>
      <c r="AP1016">
        <v>0.72183907323025043</v>
      </c>
      <c r="AQ1016">
        <v>7.4802921940581495</v>
      </c>
      <c r="AR1016">
        <v>0.90714913456854307</v>
      </c>
      <c r="AS1016">
        <v>3.771080778986637</v>
      </c>
      <c r="AT1016">
        <v>0.74869733863729859</v>
      </c>
      <c r="AU1016">
        <v>9.9175768669958544E-2</v>
      </c>
      <c r="AV1016"/>
      <c r="AW1016"/>
    </row>
    <row r="1017" spans="1:49" s="7" customFormat="1">
      <c r="A1017" s="4"/>
      <c r="B1017" s="4"/>
      <c r="C1017" s="4"/>
      <c r="D1017" s="4"/>
      <c r="E1017" s="4"/>
      <c r="F1017" s="28"/>
      <c r="G1017" s="28"/>
      <c r="H1017" s="83"/>
      <c r="I1017" s="4"/>
      <c r="J1017" s="4"/>
      <c r="K1017" s="4"/>
      <c r="L1017" s="4"/>
      <c r="M1017" s="4"/>
      <c r="N1017" s="28"/>
      <c r="O1017" s="4"/>
      <c r="P1017" s="4"/>
      <c r="Q1017" s="4"/>
      <c r="R1017" s="4"/>
      <c r="S1017" s="4"/>
      <c r="T1017" s="4"/>
      <c r="U1017" s="4"/>
      <c r="V1017" s="4"/>
      <c r="W1017" s="4"/>
      <c r="X1017" s="4"/>
      <c r="Y1017" s="4"/>
      <c r="Z1017" s="4"/>
      <c r="AA1017" s="4"/>
      <c r="AB1017" s="4"/>
      <c r="AC1017" s="4"/>
      <c r="AD1017" s="4"/>
      <c r="AE1017" s="4"/>
      <c r="AF1017" s="81"/>
      <c r="AG1017" s="81"/>
      <c r="AH1017" s="81"/>
      <c r="AI1017" s="4"/>
      <c r="AJ1017" s="81"/>
      <c r="AK1017" s="81"/>
      <c r="AL1017" s="81"/>
      <c r="AM1017" s="35" t="s">
        <v>117</v>
      </c>
      <c r="AN1017" s="35" t="s">
        <v>117</v>
      </c>
      <c r="AO1017" s="35" t="s">
        <v>117</v>
      </c>
      <c r="AP1017" s="35" t="s">
        <v>117</v>
      </c>
      <c r="AQ1017" s="35" t="s">
        <v>117</v>
      </c>
      <c r="AR1017" s="35" t="s">
        <v>117</v>
      </c>
      <c r="AS1017" s="35" t="s">
        <v>117</v>
      </c>
      <c r="AT1017" s="35" t="s">
        <v>117</v>
      </c>
      <c r="AU1017" s="35" t="s">
        <v>117</v>
      </c>
      <c r="AV1017" s="121"/>
    </row>
    <row r="1018" spans="1:49" s="7" customFormat="1">
      <c r="A1018" s="4"/>
      <c r="B1018" s="4"/>
      <c r="C1018" s="4"/>
      <c r="D1018" s="4"/>
      <c r="E1018" s="4"/>
      <c r="F1018" s="28"/>
      <c r="G1018" s="28"/>
      <c r="H1018" s="83"/>
      <c r="I1018" s="4"/>
      <c r="J1018" s="4"/>
      <c r="K1018" s="4"/>
      <c r="L1018" s="4"/>
      <c r="M1018" s="4"/>
      <c r="N1018" s="28"/>
      <c r="O1018" s="4"/>
      <c r="P1018" s="4"/>
      <c r="Q1018" s="4"/>
      <c r="R1018" s="4"/>
      <c r="S1018" s="4"/>
      <c r="T1018" s="4"/>
      <c r="U1018" s="4"/>
      <c r="V1018" s="4"/>
      <c r="W1018" s="4"/>
      <c r="X1018" s="4"/>
      <c r="Y1018" s="4"/>
      <c r="Z1018" s="4"/>
      <c r="AA1018" s="4"/>
      <c r="AB1018" s="4"/>
      <c r="AC1018" s="4"/>
      <c r="AD1018" s="4"/>
      <c r="AE1018" s="4"/>
      <c r="AF1018" s="81"/>
      <c r="AG1018" s="81"/>
      <c r="AH1018" s="81"/>
      <c r="AI1018" s="4"/>
      <c r="AJ1018" s="81"/>
      <c r="AK1018" s="81"/>
      <c r="AL1018" s="81"/>
      <c r="AM1018" s="35" t="s">
        <v>117</v>
      </c>
      <c r="AN1018" s="35" t="s">
        <v>117</v>
      </c>
      <c r="AO1018" s="35" t="s">
        <v>117</v>
      </c>
      <c r="AP1018" s="35" t="s">
        <v>117</v>
      </c>
      <c r="AQ1018" s="35" t="s">
        <v>117</v>
      </c>
      <c r="AR1018" s="35" t="s">
        <v>117</v>
      </c>
      <c r="AS1018" s="35" t="s">
        <v>117</v>
      </c>
      <c r="AT1018" s="35" t="s">
        <v>117</v>
      </c>
      <c r="AU1018" s="35" t="s">
        <v>117</v>
      </c>
      <c r="AV1018" s="121"/>
    </row>
    <row r="1019" spans="1:49" s="7" customFormat="1">
      <c r="A1019" s="4"/>
      <c r="B1019" s="4"/>
      <c r="C1019" s="4"/>
      <c r="D1019" s="4"/>
      <c r="E1019" s="4"/>
      <c r="F1019" s="28"/>
      <c r="G1019" s="28"/>
      <c r="H1019" s="83"/>
      <c r="I1019" s="4"/>
      <c r="J1019" s="4"/>
      <c r="K1019" s="4"/>
      <c r="L1019" s="4"/>
      <c r="M1019" s="4"/>
      <c r="N1019" s="28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  <c r="AA1019" s="4"/>
      <c r="AB1019" s="4"/>
      <c r="AC1019" s="4"/>
      <c r="AD1019" s="4"/>
      <c r="AE1019" s="4"/>
      <c r="AF1019" s="81"/>
      <c r="AG1019" s="81"/>
      <c r="AH1019" s="81"/>
      <c r="AI1019" s="4"/>
      <c r="AJ1019" s="81"/>
      <c r="AK1019" s="81"/>
      <c r="AL1019" s="81"/>
      <c r="AM1019" s="81"/>
      <c r="AN1019" s="81"/>
      <c r="AO1019" s="81"/>
      <c r="AP1019" s="81"/>
      <c r="AQ1019" s="81"/>
      <c r="AR1019" s="81"/>
      <c r="AS1019" s="81"/>
    </row>
    <row r="1020" spans="1:49" s="7" customFormat="1">
      <c r="A1020" s="4"/>
      <c r="B1020" s="4"/>
      <c r="C1020" s="4"/>
      <c r="D1020" s="4"/>
      <c r="E1020" s="4"/>
      <c r="F1020" s="28"/>
      <c r="G1020" s="28"/>
      <c r="H1020" s="83"/>
      <c r="I1020" s="4"/>
      <c r="J1020" s="4"/>
      <c r="K1020" s="4"/>
      <c r="L1020" s="4"/>
      <c r="M1020" s="4"/>
      <c r="N1020" s="28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  <c r="AA1020" s="4"/>
      <c r="AB1020" s="4"/>
      <c r="AC1020" s="4"/>
      <c r="AD1020" s="4"/>
      <c r="AE1020" s="4"/>
      <c r="AF1020" s="81"/>
      <c r="AG1020" s="81"/>
      <c r="AH1020" s="81"/>
      <c r="AI1020" s="4"/>
      <c r="AJ1020" s="81"/>
      <c r="AK1020" s="81"/>
      <c r="AL1020" s="81"/>
      <c r="AM1020" s="81"/>
      <c r="AN1020" s="81"/>
      <c r="AO1020" s="81"/>
      <c r="AP1020" s="81"/>
      <c r="AQ1020" s="81"/>
      <c r="AR1020" s="81"/>
      <c r="AS1020" s="81"/>
    </row>
    <row r="1021" spans="1:49" s="7" customFormat="1">
      <c r="A1021" s="4"/>
      <c r="B1021" s="4"/>
      <c r="C1021" s="4"/>
      <c r="D1021" s="4"/>
      <c r="E1021" s="4"/>
      <c r="F1021" s="28"/>
      <c r="G1021" s="28"/>
      <c r="H1021" s="83"/>
      <c r="I1021" s="4"/>
      <c r="J1021" s="4"/>
      <c r="K1021" s="4"/>
      <c r="L1021" s="4"/>
      <c r="M1021" s="4"/>
      <c r="N1021" s="28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  <c r="AA1021" s="4"/>
      <c r="AB1021" s="4"/>
      <c r="AC1021" s="4"/>
      <c r="AD1021" s="4"/>
      <c r="AE1021" s="4"/>
      <c r="AF1021" s="81"/>
      <c r="AG1021" s="81"/>
      <c r="AH1021" s="81"/>
      <c r="AI1021" s="4"/>
      <c r="AJ1021" s="81"/>
      <c r="AK1021" s="81"/>
      <c r="AL1021" s="81"/>
      <c r="AM1021" s="81"/>
      <c r="AN1021" s="81"/>
      <c r="AO1021" s="81"/>
      <c r="AP1021" s="81"/>
      <c r="AQ1021" s="81"/>
      <c r="AR1021" s="81"/>
      <c r="AS1021" s="81"/>
    </row>
    <row r="1022" spans="1:49" s="7" customFormat="1">
      <c r="A1022" s="4"/>
      <c r="B1022" s="4"/>
      <c r="C1022" s="4"/>
      <c r="D1022" s="4"/>
      <c r="E1022" s="4"/>
      <c r="F1022" s="28"/>
      <c r="G1022" s="28"/>
      <c r="H1022" s="83"/>
      <c r="I1022" s="4"/>
      <c r="J1022" s="4"/>
      <c r="K1022" s="4"/>
      <c r="L1022" s="4"/>
      <c r="M1022" s="4"/>
      <c r="N1022" s="28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  <c r="AA1022" s="4"/>
      <c r="AB1022" s="4"/>
      <c r="AC1022" s="4"/>
      <c r="AD1022" s="4"/>
      <c r="AE1022" s="4"/>
      <c r="AF1022" s="81"/>
      <c r="AG1022" s="81"/>
      <c r="AH1022" s="81"/>
      <c r="AI1022" s="4"/>
      <c r="AJ1022" s="81"/>
      <c r="AK1022" s="81"/>
      <c r="AL1022" s="81"/>
      <c r="AM1022" s="81"/>
      <c r="AN1022" s="81"/>
      <c r="AO1022" s="81"/>
      <c r="AP1022" s="81"/>
      <c r="AQ1022" s="81"/>
      <c r="AR1022" s="81"/>
      <c r="AS1022" s="81"/>
    </row>
    <row r="1023" spans="1:49" s="7" customFormat="1">
      <c r="A1023" s="4"/>
      <c r="B1023" s="4"/>
      <c r="C1023" s="4"/>
      <c r="D1023" s="4"/>
      <c r="E1023" s="4"/>
      <c r="F1023" s="28"/>
      <c r="G1023" s="28"/>
      <c r="H1023" s="83"/>
      <c r="I1023" s="4"/>
      <c r="J1023" s="4"/>
      <c r="K1023" s="4"/>
      <c r="L1023" s="4"/>
      <c r="M1023" s="4"/>
      <c r="N1023" s="28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  <c r="AA1023" s="4"/>
      <c r="AB1023" s="4"/>
      <c r="AC1023" s="4"/>
      <c r="AD1023" s="4"/>
      <c r="AE1023" s="4"/>
      <c r="AF1023" s="81"/>
      <c r="AG1023" s="81"/>
      <c r="AH1023" s="81"/>
      <c r="AI1023" s="4"/>
      <c r="AJ1023" s="81"/>
      <c r="AK1023" s="81"/>
      <c r="AL1023" s="81"/>
      <c r="AM1023" s="81"/>
      <c r="AN1023" s="81"/>
      <c r="AO1023" s="81"/>
      <c r="AP1023" s="81"/>
      <c r="AQ1023" s="81"/>
      <c r="AR1023" s="81"/>
      <c r="AS1023" s="81"/>
    </row>
    <row r="1024" spans="1:49" s="7" customFormat="1">
      <c r="A1024" s="4"/>
      <c r="B1024" s="4"/>
      <c r="C1024" s="4"/>
      <c r="D1024" s="4"/>
      <c r="E1024" s="4"/>
      <c r="F1024" s="28"/>
      <c r="G1024" s="28"/>
      <c r="H1024" s="83"/>
      <c r="I1024" s="4"/>
      <c r="J1024" s="4"/>
      <c r="K1024" s="4"/>
      <c r="L1024" s="4"/>
      <c r="M1024" s="4"/>
      <c r="N1024" s="28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  <c r="AA1024" s="4"/>
      <c r="AB1024" s="4"/>
      <c r="AC1024" s="4"/>
      <c r="AD1024" s="4"/>
      <c r="AE1024" s="4"/>
      <c r="AF1024" s="81"/>
      <c r="AG1024" s="81"/>
      <c r="AH1024" s="81"/>
      <c r="AI1024" s="4"/>
      <c r="AJ1024" s="81"/>
      <c r="AK1024" s="81"/>
      <c r="AL1024" s="81"/>
      <c r="AM1024" s="81"/>
      <c r="AN1024" s="81"/>
      <c r="AO1024" s="81"/>
      <c r="AP1024" s="81"/>
      <c r="AQ1024" s="81"/>
      <c r="AR1024" s="81"/>
      <c r="AS1024" s="81"/>
    </row>
    <row r="1025" spans="1:45" s="7" customFormat="1">
      <c r="A1025" s="4"/>
      <c r="B1025" s="4"/>
      <c r="C1025" s="4"/>
      <c r="D1025" s="4"/>
      <c r="E1025" s="4"/>
      <c r="F1025" s="28"/>
      <c r="G1025" s="28"/>
      <c r="H1025" s="83"/>
      <c r="I1025" s="4"/>
      <c r="J1025" s="4"/>
      <c r="K1025" s="4"/>
      <c r="L1025" s="4"/>
      <c r="M1025" s="4"/>
      <c r="N1025" s="28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  <c r="AA1025" s="4"/>
      <c r="AB1025" s="4"/>
      <c r="AC1025" s="4"/>
      <c r="AD1025" s="4"/>
      <c r="AE1025" s="4"/>
      <c r="AF1025" s="81"/>
      <c r="AG1025" s="81"/>
      <c r="AH1025" s="81"/>
      <c r="AI1025" s="4"/>
      <c r="AJ1025" s="81"/>
      <c r="AK1025" s="81"/>
      <c r="AL1025" s="81"/>
      <c r="AM1025" s="81"/>
      <c r="AN1025" s="81"/>
      <c r="AO1025" s="81"/>
      <c r="AP1025" s="81"/>
      <c r="AQ1025" s="81"/>
      <c r="AR1025" s="81"/>
      <c r="AS1025" s="81"/>
    </row>
    <row r="1026" spans="1:45" s="7" customFormat="1">
      <c r="A1026" s="4"/>
      <c r="B1026" s="4"/>
      <c r="C1026" s="4"/>
      <c r="D1026" s="4"/>
      <c r="E1026" s="4"/>
      <c r="F1026" s="28"/>
      <c r="G1026" s="28"/>
      <c r="H1026" s="83"/>
      <c r="I1026" s="4"/>
      <c r="J1026" s="4"/>
      <c r="K1026" s="4"/>
      <c r="L1026" s="4"/>
      <c r="M1026" s="4"/>
      <c r="N1026" s="28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  <c r="AA1026" s="4"/>
      <c r="AB1026" s="4"/>
      <c r="AC1026" s="4"/>
      <c r="AD1026" s="4"/>
      <c r="AE1026" s="4"/>
      <c r="AF1026" s="81"/>
      <c r="AG1026" s="81"/>
      <c r="AH1026" s="81"/>
      <c r="AI1026" s="4"/>
      <c r="AJ1026" s="81"/>
      <c r="AK1026" s="81"/>
      <c r="AL1026" s="81"/>
      <c r="AM1026" s="81"/>
      <c r="AN1026" s="81"/>
      <c r="AO1026" s="81"/>
      <c r="AP1026" s="81"/>
      <c r="AQ1026" s="81"/>
      <c r="AR1026" s="81"/>
      <c r="AS1026" s="81"/>
    </row>
    <row r="1027" spans="1:45" s="7" customFormat="1">
      <c r="A1027" s="4"/>
      <c r="B1027" s="4"/>
      <c r="C1027" s="4"/>
      <c r="D1027" s="4"/>
      <c r="E1027" s="4"/>
      <c r="F1027" s="28"/>
      <c r="G1027" s="28"/>
      <c r="H1027" s="83"/>
      <c r="I1027" s="4"/>
      <c r="J1027" s="4"/>
      <c r="K1027" s="4"/>
      <c r="L1027" s="4"/>
      <c r="M1027" s="4"/>
      <c r="N1027" s="28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  <c r="AA1027" s="4"/>
      <c r="AB1027" s="4"/>
      <c r="AC1027" s="4"/>
      <c r="AD1027" s="4"/>
      <c r="AE1027" s="4"/>
      <c r="AF1027" s="81"/>
      <c r="AG1027" s="81"/>
      <c r="AH1027" s="81"/>
      <c r="AI1027" s="4"/>
      <c r="AJ1027" s="81"/>
      <c r="AK1027" s="81"/>
      <c r="AL1027" s="81"/>
      <c r="AM1027" s="81"/>
      <c r="AN1027" s="81"/>
      <c r="AO1027" s="81"/>
      <c r="AP1027" s="81"/>
      <c r="AQ1027" s="81"/>
      <c r="AR1027" s="81"/>
      <c r="AS1027" s="81"/>
    </row>
    <row r="1028" spans="1:45" s="7" customFormat="1">
      <c r="A1028" s="4"/>
      <c r="B1028" s="4"/>
      <c r="C1028" s="4"/>
      <c r="D1028" s="4"/>
      <c r="E1028" s="4"/>
      <c r="F1028" s="28"/>
      <c r="G1028" s="28"/>
      <c r="H1028" s="83"/>
      <c r="I1028" s="4"/>
      <c r="J1028" s="4"/>
      <c r="K1028" s="4"/>
      <c r="L1028" s="4"/>
      <c r="M1028" s="4"/>
      <c r="N1028" s="28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  <c r="AA1028" s="4"/>
      <c r="AB1028" s="4"/>
      <c r="AC1028" s="4"/>
      <c r="AD1028" s="4"/>
      <c r="AE1028" s="4"/>
      <c r="AF1028" s="81"/>
      <c r="AG1028" s="81"/>
      <c r="AH1028" s="81"/>
      <c r="AI1028" s="4"/>
      <c r="AJ1028" s="81"/>
      <c r="AK1028" s="81"/>
      <c r="AL1028" s="81"/>
      <c r="AM1028" s="81"/>
      <c r="AN1028" s="81"/>
      <c r="AO1028" s="81"/>
      <c r="AP1028" s="81"/>
      <c r="AQ1028" s="81"/>
      <c r="AR1028" s="81"/>
      <c r="AS1028" s="81"/>
    </row>
    <row r="1029" spans="1:45" s="7" customFormat="1">
      <c r="A1029" s="4"/>
      <c r="B1029" s="4"/>
      <c r="C1029" s="4"/>
      <c r="D1029" s="4"/>
      <c r="E1029" s="4"/>
      <c r="F1029" s="28"/>
      <c r="G1029" s="28"/>
      <c r="H1029" s="83"/>
      <c r="I1029" s="4"/>
      <c r="J1029" s="4"/>
      <c r="K1029" s="4"/>
      <c r="L1029" s="4"/>
      <c r="M1029" s="4"/>
      <c r="N1029" s="28"/>
      <c r="O1029" s="4"/>
      <c r="P1029" s="4"/>
      <c r="Q1029" s="4"/>
      <c r="R1029" s="4"/>
      <c r="S1029" s="4"/>
      <c r="T1029" s="4"/>
      <c r="U1029" s="4"/>
      <c r="V1029" s="4"/>
      <c r="W1029" s="4"/>
      <c r="X1029" s="4"/>
      <c r="Y1029" s="4"/>
      <c r="Z1029" s="4"/>
      <c r="AA1029" s="4"/>
      <c r="AB1029" s="4"/>
      <c r="AC1029" s="4"/>
      <c r="AD1029" s="4"/>
      <c r="AE1029" s="4"/>
      <c r="AF1029" s="81"/>
      <c r="AG1029" s="81"/>
      <c r="AH1029" s="81"/>
      <c r="AI1029" s="4"/>
      <c r="AJ1029" s="81"/>
      <c r="AK1029" s="81"/>
      <c r="AL1029" s="81"/>
      <c r="AM1029" s="81"/>
      <c r="AN1029" s="81"/>
      <c r="AO1029" s="81"/>
      <c r="AP1029" s="81"/>
      <c r="AQ1029" s="81"/>
      <c r="AR1029" s="81"/>
      <c r="AS1029" s="81"/>
    </row>
    <row r="1030" spans="1:45" s="7" customFormat="1">
      <c r="A1030" s="4"/>
      <c r="B1030" s="4"/>
      <c r="C1030" s="4"/>
      <c r="D1030" s="4"/>
      <c r="E1030" s="4"/>
      <c r="F1030" s="28"/>
      <c r="G1030" s="28"/>
      <c r="H1030" s="83"/>
      <c r="I1030" s="4"/>
      <c r="J1030" s="4"/>
      <c r="K1030" s="4"/>
      <c r="L1030" s="4"/>
      <c r="M1030" s="4"/>
      <c r="N1030" s="28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  <c r="AA1030" s="4"/>
      <c r="AB1030" s="4"/>
      <c r="AC1030" s="4"/>
      <c r="AD1030" s="4"/>
      <c r="AE1030" s="4"/>
      <c r="AF1030" s="81"/>
      <c r="AG1030" s="81"/>
      <c r="AH1030" s="81"/>
      <c r="AI1030" s="4"/>
      <c r="AJ1030" s="81"/>
      <c r="AK1030" s="81"/>
      <c r="AL1030" s="81"/>
      <c r="AM1030" s="81"/>
      <c r="AN1030" s="81"/>
      <c r="AO1030" s="81"/>
      <c r="AP1030" s="81"/>
      <c r="AQ1030" s="81"/>
      <c r="AR1030" s="81"/>
      <c r="AS1030" s="81"/>
    </row>
    <row r="1031" spans="1:45" s="7" customFormat="1">
      <c r="A1031" s="4"/>
      <c r="B1031" s="4"/>
      <c r="C1031" s="4"/>
      <c r="D1031" s="4"/>
      <c r="E1031" s="4"/>
      <c r="F1031" s="28"/>
      <c r="G1031" s="28"/>
      <c r="H1031" s="83"/>
      <c r="I1031" s="4"/>
      <c r="J1031" s="4"/>
      <c r="K1031" s="4"/>
      <c r="L1031" s="4"/>
      <c r="M1031" s="4"/>
      <c r="N1031" s="28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  <c r="AA1031" s="4"/>
      <c r="AB1031" s="4"/>
      <c r="AC1031" s="4"/>
      <c r="AD1031" s="4"/>
      <c r="AE1031" s="4"/>
      <c r="AF1031" s="81"/>
      <c r="AG1031" s="81"/>
      <c r="AH1031" s="81"/>
      <c r="AI1031" s="4"/>
      <c r="AJ1031" s="81"/>
      <c r="AK1031" s="81"/>
      <c r="AL1031" s="81"/>
      <c r="AM1031" s="81"/>
      <c r="AN1031" s="81"/>
      <c r="AO1031" s="81"/>
      <c r="AP1031" s="81"/>
      <c r="AQ1031" s="81"/>
      <c r="AR1031" s="81"/>
      <c r="AS1031" s="81"/>
    </row>
    <row r="1032" spans="1:45" s="7" customFormat="1">
      <c r="A1032" s="4"/>
      <c r="B1032" s="4"/>
      <c r="C1032" s="4"/>
      <c r="D1032" s="4"/>
      <c r="E1032" s="4"/>
      <c r="F1032" s="28"/>
      <c r="G1032" s="28"/>
      <c r="H1032" s="83"/>
      <c r="I1032" s="4"/>
      <c r="J1032" s="4"/>
      <c r="K1032" s="4"/>
      <c r="L1032" s="4"/>
      <c r="M1032" s="4"/>
      <c r="N1032" s="28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  <c r="AA1032" s="4"/>
      <c r="AB1032" s="4"/>
      <c r="AC1032" s="4"/>
      <c r="AD1032" s="4"/>
      <c r="AE1032" s="4"/>
      <c r="AF1032" s="81"/>
      <c r="AG1032" s="81"/>
      <c r="AH1032" s="81"/>
      <c r="AI1032" s="4"/>
      <c r="AJ1032" s="81"/>
      <c r="AK1032" s="81"/>
      <c r="AL1032" s="81"/>
      <c r="AM1032" s="81"/>
      <c r="AN1032" s="81"/>
      <c r="AO1032" s="81"/>
      <c r="AP1032" s="81"/>
      <c r="AQ1032" s="81"/>
      <c r="AR1032" s="81"/>
      <c r="AS1032" s="81"/>
    </row>
    <row r="1033" spans="1:45" s="7" customFormat="1">
      <c r="A1033" s="4"/>
      <c r="B1033" s="4"/>
      <c r="C1033" s="4"/>
      <c r="D1033" s="4"/>
      <c r="E1033" s="4"/>
      <c r="F1033" s="28"/>
      <c r="G1033" s="28"/>
      <c r="H1033" s="83"/>
      <c r="I1033" s="4"/>
      <c r="J1033" s="4"/>
      <c r="K1033" s="4"/>
      <c r="L1033" s="4"/>
      <c r="M1033" s="4"/>
      <c r="N1033" s="28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  <c r="AA1033" s="4"/>
      <c r="AB1033" s="4"/>
      <c r="AC1033" s="4"/>
      <c r="AD1033" s="4"/>
      <c r="AE1033" s="4"/>
      <c r="AF1033" s="81"/>
      <c r="AG1033" s="81"/>
      <c r="AH1033" s="81"/>
      <c r="AI1033" s="4"/>
      <c r="AJ1033" s="81"/>
      <c r="AK1033" s="81"/>
      <c r="AL1033" s="81"/>
    </row>
    <row r="1034" spans="1:45" s="7" customFormat="1">
      <c r="A1034" s="4"/>
      <c r="B1034" s="4"/>
      <c r="C1034" s="4"/>
      <c r="D1034" s="4"/>
      <c r="E1034" s="4"/>
      <c r="F1034" s="28"/>
      <c r="G1034" s="28"/>
      <c r="H1034" s="83"/>
      <c r="I1034" s="4"/>
      <c r="J1034" s="4"/>
      <c r="K1034" s="4"/>
      <c r="L1034" s="4"/>
      <c r="M1034" s="4"/>
      <c r="N1034" s="28"/>
      <c r="O1034" s="4"/>
      <c r="P1034" s="4"/>
      <c r="Q1034" s="4"/>
      <c r="R1034" s="4"/>
      <c r="S1034" s="4"/>
      <c r="T1034" s="4"/>
      <c r="U1034" s="4"/>
      <c r="V1034" s="4"/>
      <c r="W1034" s="4"/>
      <c r="X1034" s="4"/>
      <c r="Y1034" s="4"/>
      <c r="Z1034" s="4"/>
      <c r="AA1034" s="4"/>
      <c r="AB1034" s="4"/>
      <c r="AC1034" s="4"/>
      <c r="AD1034" s="4"/>
      <c r="AE1034" s="4"/>
      <c r="AF1034" s="81"/>
      <c r="AG1034" s="81"/>
      <c r="AH1034" s="81"/>
      <c r="AI1034" s="4"/>
      <c r="AJ1034" s="81"/>
      <c r="AK1034" s="81"/>
      <c r="AL1034" s="81"/>
    </row>
    <row r="1035" spans="1:45" s="7" customFormat="1">
      <c r="A1035" s="4"/>
      <c r="B1035" s="4"/>
      <c r="C1035" s="4"/>
      <c r="D1035" s="4"/>
      <c r="E1035" s="4"/>
      <c r="F1035" s="28"/>
      <c r="G1035" s="28"/>
      <c r="H1035" s="83"/>
      <c r="I1035" s="4"/>
      <c r="J1035" s="4"/>
      <c r="K1035" s="4"/>
      <c r="L1035" s="4"/>
      <c r="M1035" s="4"/>
      <c r="N1035" s="28"/>
      <c r="O1035" s="4"/>
      <c r="P1035" s="4"/>
      <c r="Q1035" s="4"/>
      <c r="R1035" s="4"/>
      <c r="S1035" s="4"/>
      <c r="T1035" s="4"/>
      <c r="U1035" s="4"/>
      <c r="V1035" s="4"/>
      <c r="W1035" s="4"/>
      <c r="X1035" s="4"/>
      <c r="Y1035" s="4"/>
      <c r="Z1035" s="4"/>
      <c r="AA1035" s="4"/>
      <c r="AB1035" s="4"/>
      <c r="AC1035" s="4"/>
      <c r="AD1035" s="4"/>
      <c r="AE1035" s="4"/>
      <c r="AF1035" s="81"/>
      <c r="AG1035" s="81"/>
      <c r="AH1035" s="81"/>
      <c r="AI1035" s="4"/>
      <c r="AJ1035" s="81"/>
      <c r="AK1035" s="81"/>
      <c r="AL1035" s="81"/>
    </row>
    <row r="1036" spans="1:45" s="7" customFormat="1">
      <c r="A1036" s="4"/>
      <c r="B1036" s="4"/>
      <c r="C1036" s="4"/>
      <c r="D1036" s="4"/>
      <c r="E1036" s="4"/>
      <c r="F1036" s="28"/>
      <c r="G1036" s="28"/>
      <c r="H1036" s="83"/>
      <c r="I1036" s="4"/>
      <c r="J1036" s="4"/>
      <c r="K1036" s="4"/>
      <c r="L1036" s="4"/>
      <c r="M1036" s="4"/>
      <c r="N1036" s="28"/>
      <c r="O1036" s="4"/>
      <c r="P1036" s="4"/>
      <c r="Q1036" s="4"/>
      <c r="R1036" s="4"/>
      <c r="S1036" s="4"/>
      <c r="T1036" s="4"/>
      <c r="U1036" s="4"/>
      <c r="V1036" s="4"/>
      <c r="W1036" s="4"/>
      <c r="X1036" s="4"/>
      <c r="Y1036" s="4"/>
      <c r="Z1036" s="4"/>
      <c r="AA1036" s="4"/>
      <c r="AB1036" s="4"/>
      <c r="AC1036" s="4"/>
      <c r="AD1036" s="4"/>
      <c r="AE1036" s="4"/>
      <c r="AF1036" s="81"/>
      <c r="AG1036" s="81"/>
      <c r="AH1036" s="81"/>
      <c r="AI1036" s="4"/>
      <c r="AJ1036" s="81"/>
      <c r="AK1036" s="81"/>
      <c r="AL1036" s="81"/>
    </row>
    <row r="1037" spans="1:45" s="7" customFormat="1">
      <c r="A1037" s="4"/>
      <c r="B1037" s="4"/>
      <c r="C1037" s="4"/>
      <c r="D1037" s="4"/>
      <c r="E1037" s="4"/>
      <c r="F1037" s="28"/>
      <c r="G1037" s="28"/>
      <c r="H1037" s="83"/>
      <c r="I1037" s="4"/>
      <c r="J1037" s="4"/>
      <c r="K1037" s="4"/>
      <c r="L1037" s="4"/>
      <c r="M1037" s="4"/>
      <c r="N1037" s="28"/>
      <c r="O1037" s="4"/>
      <c r="P1037" s="4"/>
      <c r="Q1037" s="4"/>
      <c r="R1037" s="4"/>
      <c r="S1037" s="4"/>
      <c r="T1037" s="4"/>
      <c r="U1037" s="4"/>
      <c r="V1037" s="4"/>
      <c r="W1037" s="4"/>
      <c r="X1037" s="4"/>
      <c r="Y1037" s="4"/>
      <c r="Z1037" s="4"/>
      <c r="AA1037" s="4"/>
      <c r="AB1037" s="4"/>
      <c r="AC1037" s="4"/>
      <c r="AD1037" s="4"/>
      <c r="AE1037" s="4"/>
      <c r="AF1037" s="81"/>
      <c r="AG1037" s="81"/>
      <c r="AH1037" s="81"/>
      <c r="AI1037" s="4"/>
      <c r="AJ1037" s="81"/>
      <c r="AK1037" s="81"/>
      <c r="AL1037" s="81"/>
    </row>
    <row r="1038" spans="1:45" s="7" customFormat="1">
      <c r="A1038" s="4"/>
      <c r="B1038" s="4"/>
      <c r="C1038" s="4"/>
      <c r="D1038" s="4"/>
      <c r="E1038" s="4"/>
      <c r="F1038" s="28"/>
      <c r="G1038" s="28"/>
      <c r="H1038" s="83"/>
      <c r="I1038" s="4"/>
      <c r="J1038" s="4"/>
      <c r="K1038" s="4"/>
      <c r="L1038" s="4"/>
      <c r="M1038" s="4"/>
      <c r="N1038" s="28"/>
      <c r="O1038" s="4"/>
      <c r="P1038" s="4"/>
      <c r="Q1038" s="4"/>
      <c r="R1038" s="4"/>
      <c r="S1038" s="4"/>
      <c r="T1038" s="4"/>
      <c r="U1038" s="4"/>
      <c r="V1038" s="4"/>
      <c r="W1038" s="4"/>
      <c r="X1038" s="4"/>
      <c r="Y1038" s="4"/>
      <c r="Z1038" s="4"/>
      <c r="AA1038" s="4"/>
      <c r="AB1038" s="4"/>
      <c r="AC1038" s="4"/>
      <c r="AD1038" s="4"/>
      <c r="AE1038" s="4"/>
      <c r="AF1038" s="81"/>
      <c r="AG1038" s="81"/>
      <c r="AH1038" s="81"/>
      <c r="AI1038" s="4"/>
      <c r="AJ1038" s="81"/>
      <c r="AK1038" s="81"/>
      <c r="AL1038" s="81"/>
    </row>
    <row r="1039" spans="1:45" s="7" customFormat="1">
      <c r="A1039" s="4"/>
      <c r="B1039" s="4"/>
      <c r="C1039" s="4"/>
      <c r="D1039" s="4"/>
      <c r="E1039" s="4"/>
      <c r="F1039" s="28"/>
      <c r="G1039" s="28"/>
      <c r="H1039" s="83"/>
      <c r="I1039" s="4"/>
      <c r="J1039" s="4"/>
      <c r="K1039" s="4"/>
      <c r="L1039" s="4"/>
      <c r="M1039" s="4"/>
      <c r="N1039" s="28"/>
      <c r="O1039" s="4"/>
      <c r="P1039" s="4"/>
      <c r="Q1039" s="4"/>
      <c r="R1039" s="4"/>
      <c r="S1039" s="4"/>
      <c r="T1039" s="4"/>
      <c r="U1039" s="4"/>
      <c r="V1039" s="4"/>
      <c r="W1039" s="4"/>
      <c r="X1039" s="4"/>
      <c r="Y1039" s="4"/>
      <c r="Z1039" s="4"/>
      <c r="AA1039" s="4"/>
      <c r="AB1039" s="4"/>
      <c r="AC1039" s="4"/>
      <c r="AD1039" s="4"/>
      <c r="AE1039" s="4"/>
      <c r="AF1039" s="81"/>
      <c r="AG1039" s="81"/>
      <c r="AH1039" s="81"/>
      <c r="AI1039" s="4"/>
      <c r="AJ1039" s="81"/>
      <c r="AK1039" s="81"/>
      <c r="AL1039" s="81"/>
    </row>
    <row r="1040" spans="1:45" s="7" customFormat="1">
      <c r="A1040" s="4"/>
      <c r="B1040" s="4"/>
      <c r="C1040" s="4"/>
      <c r="D1040" s="4"/>
      <c r="E1040" s="4"/>
      <c r="F1040" s="28"/>
      <c r="G1040" s="28"/>
      <c r="H1040" s="83"/>
      <c r="I1040" s="4"/>
      <c r="J1040" s="4"/>
      <c r="K1040" s="4"/>
      <c r="L1040" s="4"/>
      <c r="M1040" s="4"/>
      <c r="N1040" s="28"/>
      <c r="O1040" s="4"/>
      <c r="P1040" s="4"/>
      <c r="Q1040" s="4"/>
      <c r="R1040" s="4"/>
      <c r="S1040" s="4"/>
      <c r="T1040" s="4"/>
      <c r="U1040" s="4"/>
      <c r="V1040" s="4"/>
      <c r="W1040" s="4"/>
      <c r="X1040" s="4"/>
      <c r="Y1040" s="4"/>
      <c r="Z1040" s="4"/>
      <c r="AA1040" s="4"/>
      <c r="AB1040" s="4"/>
      <c r="AC1040" s="4"/>
      <c r="AD1040" s="4"/>
      <c r="AE1040" s="4"/>
      <c r="AF1040" s="81"/>
      <c r="AG1040" s="81"/>
      <c r="AH1040" s="81"/>
      <c r="AI1040" s="4"/>
      <c r="AJ1040" s="81"/>
      <c r="AK1040" s="81"/>
      <c r="AL1040" s="81"/>
    </row>
    <row r="1041" spans="1:38" s="7" customFormat="1">
      <c r="A1041" s="4"/>
      <c r="B1041" s="4"/>
      <c r="C1041" s="4"/>
      <c r="D1041" s="4"/>
      <c r="E1041" s="4"/>
      <c r="F1041" s="28"/>
      <c r="G1041" s="28"/>
      <c r="H1041" s="83"/>
      <c r="I1041" s="4"/>
      <c r="J1041" s="4"/>
      <c r="K1041" s="4"/>
      <c r="L1041" s="4"/>
      <c r="M1041" s="4"/>
      <c r="N1041" s="28"/>
      <c r="O1041" s="4"/>
      <c r="P1041" s="4"/>
      <c r="Q1041" s="4"/>
      <c r="R1041" s="4"/>
      <c r="S1041" s="4"/>
      <c r="T1041" s="4"/>
      <c r="U1041" s="4"/>
      <c r="V1041" s="4"/>
      <c r="W1041" s="4"/>
      <c r="X1041" s="4"/>
      <c r="Y1041" s="4"/>
      <c r="Z1041" s="4"/>
      <c r="AA1041" s="4"/>
      <c r="AB1041" s="4"/>
      <c r="AC1041" s="4"/>
      <c r="AD1041" s="4"/>
      <c r="AE1041" s="4"/>
      <c r="AF1041" s="81"/>
      <c r="AG1041" s="81"/>
      <c r="AH1041" s="81"/>
      <c r="AI1041" s="4"/>
      <c r="AJ1041" s="81"/>
      <c r="AK1041" s="81"/>
      <c r="AL1041" s="81"/>
    </row>
    <row r="1042" spans="1:38" s="7" customFormat="1">
      <c r="A1042" s="4"/>
      <c r="B1042" s="4"/>
      <c r="C1042" s="4"/>
      <c r="D1042" s="4"/>
      <c r="E1042" s="4"/>
      <c r="F1042" s="28"/>
      <c r="G1042" s="28"/>
      <c r="H1042" s="83"/>
      <c r="I1042" s="4"/>
      <c r="J1042" s="4"/>
      <c r="K1042" s="4"/>
      <c r="L1042" s="4"/>
      <c r="M1042" s="4"/>
      <c r="N1042" s="28"/>
      <c r="O1042" s="4"/>
      <c r="P1042" s="4"/>
      <c r="Q1042" s="4"/>
      <c r="R1042" s="4"/>
      <c r="S1042" s="4"/>
      <c r="T1042" s="4"/>
      <c r="U1042" s="4"/>
      <c r="V1042" s="4"/>
      <c r="W1042" s="4"/>
      <c r="X1042" s="4"/>
      <c r="Y1042" s="4"/>
      <c r="Z1042" s="4"/>
      <c r="AA1042" s="4"/>
      <c r="AB1042" s="4"/>
      <c r="AC1042" s="4"/>
      <c r="AD1042" s="4"/>
      <c r="AE1042" s="4"/>
      <c r="AF1042" s="81"/>
      <c r="AG1042" s="81"/>
      <c r="AH1042" s="81"/>
      <c r="AI1042" s="4"/>
      <c r="AJ1042" s="81"/>
      <c r="AK1042" s="81"/>
      <c r="AL1042" s="81"/>
    </row>
    <row r="1043" spans="1:38" s="7" customFormat="1">
      <c r="A1043" s="4"/>
      <c r="B1043" s="4"/>
      <c r="C1043" s="4"/>
      <c r="D1043" s="4"/>
      <c r="E1043" s="4"/>
      <c r="F1043" s="28"/>
      <c r="G1043" s="28"/>
      <c r="H1043" s="83"/>
      <c r="I1043" s="4"/>
      <c r="J1043" s="4"/>
      <c r="K1043" s="4"/>
      <c r="L1043" s="4"/>
      <c r="M1043" s="4"/>
      <c r="N1043" s="28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  <c r="AA1043" s="4"/>
      <c r="AB1043" s="4"/>
      <c r="AC1043" s="4"/>
      <c r="AD1043" s="4"/>
      <c r="AE1043" s="4"/>
      <c r="AF1043" s="81"/>
      <c r="AG1043" s="81"/>
      <c r="AH1043" s="81"/>
      <c r="AI1043" s="4"/>
      <c r="AJ1043" s="81"/>
      <c r="AK1043" s="81"/>
      <c r="AL1043" s="81"/>
    </row>
    <row r="1044" spans="1:38" s="7" customFormat="1">
      <c r="A1044" s="4"/>
      <c r="B1044" s="4"/>
      <c r="C1044" s="4"/>
      <c r="D1044" s="4"/>
      <c r="E1044" s="4"/>
      <c r="F1044" s="28"/>
      <c r="G1044" s="28"/>
      <c r="H1044" s="83"/>
      <c r="I1044" s="4"/>
      <c r="J1044" s="4"/>
      <c r="K1044" s="4"/>
      <c r="L1044" s="4"/>
      <c r="M1044" s="4"/>
      <c r="N1044" s="28"/>
      <c r="O1044" s="4"/>
      <c r="P1044" s="4"/>
      <c r="Q1044" s="4"/>
      <c r="R1044" s="4"/>
      <c r="S1044" s="4"/>
      <c r="T1044" s="4"/>
      <c r="U1044" s="4"/>
      <c r="V1044" s="4"/>
      <c r="W1044" s="4"/>
      <c r="X1044" s="4"/>
      <c r="Y1044" s="4"/>
      <c r="Z1044" s="4"/>
      <c r="AA1044" s="4"/>
      <c r="AB1044" s="4"/>
      <c r="AC1044" s="4"/>
      <c r="AD1044" s="4"/>
      <c r="AE1044" s="4"/>
      <c r="AF1044" s="81"/>
      <c r="AG1044" s="81"/>
      <c r="AH1044" s="81"/>
      <c r="AI1044" s="4"/>
      <c r="AJ1044" s="81"/>
      <c r="AK1044" s="81"/>
      <c r="AL1044" s="81"/>
    </row>
    <row r="1045" spans="1:38" s="7" customFormat="1">
      <c r="A1045" s="4"/>
      <c r="B1045" s="4"/>
      <c r="C1045" s="4"/>
      <c r="D1045" s="4"/>
      <c r="E1045" s="4"/>
      <c r="F1045" s="28"/>
      <c r="G1045" s="28"/>
      <c r="H1045" s="83"/>
      <c r="I1045" s="4"/>
      <c r="J1045" s="4"/>
      <c r="K1045" s="4"/>
      <c r="L1045" s="4"/>
      <c r="M1045" s="4"/>
      <c r="N1045" s="28"/>
      <c r="O1045" s="4"/>
      <c r="P1045" s="4"/>
      <c r="Q1045" s="4"/>
      <c r="R1045" s="4"/>
      <c r="S1045" s="4"/>
      <c r="T1045" s="4"/>
      <c r="U1045" s="4"/>
      <c r="V1045" s="4"/>
      <c r="W1045" s="4"/>
      <c r="X1045" s="4"/>
      <c r="Y1045" s="4"/>
      <c r="Z1045" s="4"/>
      <c r="AA1045" s="4"/>
      <c r="AB1045" s="4"/>
      <c r="AC1045" s="4"/>
      <c r="AD1045" s="4"/>
      <c r="AE1045" s="4"/>
      <c r="AF1045" s="81"/>
      <c r="AG1045" s="81"/>
      <c r="AH1045" s="81"/>
      <c r="AI1045" s="4"/>
      <c r="AJ1045" s="81"/>
      <c r="AK1045" s="81"/>
      <c r="AL1045" s="81"/>
    </row>
    <row r="1046" spans="1:38" s="7" customFormat="1">
      <c r="A1046" s="4"/>
      <c r="B1046" s="4"/>
      <c r="C1046" s="4"/>
      <c r="D1046" s="4"/>
      <c r="E1046" s="4"/>
      <c r="F1046" s="28"/>
      <c r="G1046" s="28"/>
      <c r="H1046" s="83"/>
      <c r="I1046" s="4"/>
      <c r="J1046" s="4"/>
      <c r="K1046" s="4"/>
      <c r="L1046" s="4"/>
      <c r="M1046" s="4"/>
      <c r="N1046" s="28"/>
      <c r="O1046" s="4"/>
      <c r="P1046" s="4"/>
      <c r="Q1046" s="4"/>
      <c r="R1046" s="4"/>
      <c r="S1046" s="4"/>
      <c r="T1046" s="4"/>
      <c r="U1046" s="4"/>
      <c r="V1046" s="4"/>
      <c r="W1046" s="4"/>
      <c r="X1046" s="4"/>
      <c r="Y1046" s="4"/>
      <c r="Z1046" s="4"/>
      <c r="AA1046" s="4"/>
      <c r="AB1046" s="4"/>
      <c r="AC1046" s="4"/>
      <c r="AD1046" s="4"/>
      <c r="AE1046" s="4"/>
      <c r="AF1046" s="81"/>
      <c r="AG1046" s="81"/>
      <c r="AH1046" s="81"/>
      <c r="AI1046" s="4"/>
      <c r="AJ1046" s="81"/>
      <c r="AK1046" s="81"/>
      <c r="AL1046" s="81"/>
    </row>
    <row r="1047" spans="1:38" s="7" customFormat="1">
      <c r="A1047" s="4"/>
      <c r="B1047" s="4"/>
      <c r="C1047" s="4"/>
      <c r="D1047" s="4"/>
      <c r="E1047" s="4"/>
      <c r="F1047" s="28"/>
      <c r="G1047" s="28"/>
      <c r="H1047" s="83"/>
      <c r="I1047" s="4"/>
      <c r="J1047" s="4"/>
      <c r="K1047" s="4"/>
      <c r="L1047" s="4"/>
      <c r="M1047" s="4"/>
      <c r="N1047" s="28"/>
      <c r="O1047" s="4"/>
      <c r="P1047" s="4"/>
      <c r="Q1047" s="4"/>
      <c r="R1047" s="4"/>
      <c r="S1047" s="4"/>
      <c r="T1047" s="4"/>
      <c r="U1047" s="4"/>
      <c r="V1047" s="4"/>
      <c r="W1047" s="4"/>
      <c r="X1047" s="4"/>
      <c r="Y1047" s="4"/>
      <c r="Z1047" s="4"/>
      <c r="AA1047" s="4"/>
      <c r="AB1047" s="4"/>
      <c r="AC1047" s="4"/>
      <c r="AD1047" s="4"/>
      <c r="AE1047" s="4"/>
      <c r="AF1047" s="81"/>
      <c r="AG1047" s="81"/>
      <c r="AH1047" s="81"/>
      <c r="AI1047" s="4"/>
      <c r="AJ1047" s="81"/>
      <c r="AK1047" s="81"/>
      <c r="AL1047" s="81"/>
    </row>
    <row r="1048" spans="1:38" s="7" customFormat="1">
      <c r="A1048" s="4"/>
      <c r="B1048" s="4"/>
      <c r="C1048" s="4"/>
      <c r="D1048" s="4"/>
      <c r="E1048" s="4"/>
      <c r="F1048" s="28"/>
      <c r="G1048" s="28"/>
      <c r="H1048" s="83"/>
      <c r="I1048" s="4"/>
      <c r="J1048" s="4"/>
      <c r="K1048" s="4"/>
      <c r="L1048" s="4"/>
      <c r="M1048" s="4"/>
      <c r="N1048" s="28"/>
      <c r="O1048" s="4"/>
      <c r="P1048" s="4"/>
      <c r="Q1048" s="4"/>
      <c r="R1048" s="4"/>
      <c r="S1048" s="4"/>
      <c r="T1048" s="4"/>
      <c r="U1048" s="4"/>
      <c r="V1048" s="4"/>
      <c r="W1048" s="4"/>
      <c r="X1048" s="4"/>
      <c r="Y1048" s="4"/>
      <c r="Z1048" s="4"/>
      <c r="AA1048" s="4"/>
      <c r="AB1048" s="4"/>
      <c r="AC1048" s="4"/>
      <c r="AD1048" s="4"/>
      <c r="AE1048" s="4"/>
      <c r="AF1048" s="81"/>
      <c r="AG1048" s="81"/>
      <c r="AH1048" s="81"/>
      <c r="AI1048" s="4"/>
      <c r="AJ1048" s="81"/>
      <c r="AK1048" s="81"/>
      <c r="AL1048" s="81"/>
    </row>
    <row r="1049" spans="1:38" s="7" customFormat="1">
      <c r="A1049" s="4"/>
      <c r="B1049" s="4"/>
      <c r="C1049" s="4"/>
      <c r="D1049" s="4"/>
      <c r="E1049" s="4"/>
      <c r="F1049" s="28"/>
      <c r="G1049" s="28"/>
      <c r="H1049" s="83"/>
      <c r="I1049" s="4"/>
      <c r="J1049" s="4"/>
      <c r="K1049" s="4"/>
      <c r="L1049" s="4"/>
      <c r="M1049" s="4"/>
      <c r="N1049" s="28"/>
      <c r="O1049" s="4"/>
      <c r="P1049" s="4"/>
      <c r="Q1049" s="4"/>
      <c r="R1049" s="4"/>
      <c r="S1049" s="4"/>
      <c r="T1049" s="4"/>
      <c r="U1049" s="4"/>
      <c r="V1049" s="4"/>
      <c r="W1049" s="4"/>
      <c r="X1049" s="4"/>
      <c r="Y1049" s="4"/>
      <c r="Z1049" s="4"/>
      <c r="AA1049" s="4"/>
      <c r="AB1049" s="4"/>
      <c r="AC1049" s="4"/>
      <c r="AD1049" s="4"/>
      <c r="AE1049" s="4"/>
      <c r="AF1049" s="81"/>
      <c r="AG1049" s="81"/>
      <c r="AH1049" s="81"/>
      <c r="AI1049" s="4"/>
      <c r="AJ1049" s="81"/>
      <c r="AK1049" s="81"/>
      <c r="AL1049" s="81"/>
    </row>
    <row r="1050" spans="1:38" s="7" customFormat="1">
      <c r="A1050" s="4"/>
      <c r="B1050" s="4"/>
      <c r="C1050" s="4"/>
      <c r="D1050" s="4"/>
      <c r="E1050" s="4"/>
      <c r="F1050" s="28"/>
      <c r="G1050" s="28"/>
      <c r="H1050" s="83"/>
      <c r="I1050" s="4"/>
      <c r="J1050" s="4"/>
      <c r="K1050" s="4"/>
      <c r="L1050" s="4"/>
      <c r="M1050" s="4"/>
      <c r="N1050" s="28"/>
      <c r="O1050" s="4"/>
      <c r="P1050" s="4"/>
      <c r="Q1050" s="4"/>
      <c r="R1050" s="4"/>
      <c r="S1050" s="4"/>
      <c r="T1050" s="4"/>
      <c r="U1050" s="4"/>
      <c r="V1050" s="4"/>
      <c r="W1050" s="4"/>
      <c r="X1050" s="4"/>
      <c r="Y1050" s="4"/>
      <c r="Z1050" s="4"/>
      <c r="AA1050" s="4"/>
      <c r="AB1050" s="4"/>
      <c r="AC1050" s="4"/>
      <c r="AD1050" s="4"/>
      <c r="AE1050" s="4"/>
      <c r="AF1050" s="81"/>
      <c r="AG1050" s="81"/>
      <c r="AH1050" s="81"/>
      <c r="AI1050" s="4"/>
      <c r="AJ1050" s="81"/>
      <c r="AK1050" s="81"/>
      <c r="AL1050" s="81"/>
    </row>
    <row r="1051" spans="1:38" s="7" customFormat="1">
      <c r="A1051" s="4"/>
      <c r="B1051" s="4"/>
      <c r="C1051" s="4"/>
      <c r="D1051" s="4"/>
      <c r="E1051" s="4"/>
      <c r="F1051" s="28"/>
      <c r="G1051" s="28"/>
      <c r="H1051" s="83"/>
      <c r="I1051" s="4"/>
      <c r="J1051" s="4"/>
      <c r="K1051" s="4"/>
      <c r="L1051" s="4"/>
      <c r="M1051" s="4"/>
      <c r="N1051" s="28"/>
      <c r="O1051" s="4"/>
      <c r="P1051" s="4"/>
      <c r="Q1051" s="4"/>
      <c r="R1051" s="4"/>
      <c r="S1051" s="4"/>
      <c r="T1051" s="4"/>
      <c r="U1051" s="4"/>
      <c r="V1051" s="4"/>
      <c r="W1051" s="4"/>
      <c r="X1051" s="4"/>
      <c r="Y1051" s="4"/>
      <c r="Z1051" s="4"/>
      <c r="AA1051" s="4"/>
      <c r="AB1051" s="4"/>
      <c r="AC1051" s="4"/>
      <c r="AD1051" s="4"/>
      <c r="AE1051" s="4"/>
      <c r="AF1051" s="81"/>
      <c r="AG1051" s="81"/>
      <c r="AH1051" s="81"/>
      <c r="AI1051" s="4"/>
      <c r="AJ1051" s="81"/>
      <c r="AK1051" s="81"/>
      <c r="AL1051" s="81"/>
    </row>
    <row r="1052" spans="1:38" s="7" customFormat="1">
      <c r="A1052" s="4"/>
      <c r="B1052" s="4"/>
      <c r="C1052" s="4"/>
      <c r="D1052" s="4"/>
      <c r="E1052" s="4"/>
      <c r="F1052" s="28"/>
      <c r="G1052" s="28"/>
      <c r="H1052" s="83"/>
      <c r="I1052" s="4"/>
      <c r="J1052" s="4"/>
      <c r="K1052" s="4"/>
      <c r="L1052" s="4"/>
      <c r="M1052" s="4"/>
      <c r="N1052" s="28"/>
      <c r="O1052" s="4"/>
      <c r="P1052" s="4"/>
      <c r="Q1052" s="4"/>
      <c r="R1052" s="4"/>
      <c r="S1052" s="4"/>
      <c r="T1052" s="4"/>
      <c r="U1052" s="4"/>
      <c r="V1052" s="4"/>
      <c r="W1052" s="4"/>
      <c r="X1052" s="4"/>
      <c r="Y1052" s="4"/>
      <c r="Z1052" s="4"/>
      <c r="AA1052" s="4"/>
      <c r="AB1052" s="4"/>
      <c r="AC1052" s="4"/>
      <c r="AD1052" s="4"/>
      <c r="AE1052" s="4"/>
      <c r="AF1052" s="81"/>
      <c r="AG1052" s="81"/>
      <c r="AH1052" s="81"/>
      <c r="AI1052" s="4"/>
      <c r="AJ1052" s="81"/>
      <c r="AK1052" s="81"/>
      <c r="AL1052" s="81"/>
    </row>
    <row r="1053" spans="1:38" s="7" customFormat="1">
      <c r="A1053" s="4"/>
      <c r="B1053" s="4"/>
      <c r="C1053" s="4"/>
      <c r="D1053" s="4"/>
      <c r="E1053" s="4"/>
      <c r="F1053" s="28"/>
      <c r="G1053" s="28"/>
      <c r="H1053" s="83"/>
      <c r="I1053" s="4"/>
      <c r="J1053" s="4"/>
      <c r="K1053" s="4"/>
      <c r="L1053" s="4"/>
      <c r="M1053" s="4"/>
      <c r="N1053" s="28"/>
      <c r="O1053" s="4"/>
      <c r="P1053" s="4"/>
      <c r="Q1053" s="4"/>
      <c r="R1053" s="4"/>
      <c r="S1053" s="4"/>
      <c r="T1053" s="4"/>
      <c r="U1053" s="4"/>
      <c r="V1053" s="4"/>
      <c r="W1053" s="4"/>
      <c r="X1053" s="4"/>
      <c r="Y1053" s="4"/>
      <c r="Z1053" s="4"/>
      <c r="AA1053" s="4"/>
      <c r="AB1053" s="4"/>
      <c r="AC1053" s="4"/>
      <c r="AD1053" s="4"/>
      <c r="AE1053" s="4"/>
      <c r="AF1053" s="81"/>
      <c r="AG1053" s="81"/>
      <c r="AH1053" s="81"/>
      <c r="AI1053" s="4"/>
      <c r="AJ1053" s="81"/>
      <c r="AK1053" s="81"/>
      <c r="AL1053" s="81"/>
    </row>
    <row r="1054" spans="1:38" s="7" customFormat="1">
      <c r="A1054" s="4"/>
      <c r="B1054" s="4"/>
      <c r="C1054" s="4"/>
      <c r="D1054" s="4"/>
      <c r="E1054" s="4"/>
      <c r="F1054" s="28"/>
      <c r="G1054" s="28"/>
      <c r="H1054" s="83"/>
      <c r="I1054" s="4"/>
      <c r="J1054" s="4"/>
      <c r="K1054" s="4"/>
      <c r="L1054" s="4"/>
      <c r="M1054" s="4"/>
      <c r="N1054" s="28"/>
      <c r="O1054" s="4"/>
      <c r="P1054" s="4"/>
      <c r="Q1054" s="4"/>
      <c r="R1054" s="4"/>
      <c r="S1054" s="4"/>
      <c r="T1054" s="4"/>
      <c r="U1054" s="4"/>
      <c r="V1054" s="4"/>
      <c r="W1054" s="4"/>
      <c r="X1054" s="4"/>
      <c r="Y1054" s="4"/>
      <c r="Z1054" s="4"/>
      <c r="AA1054" s="4"/>
      <c r="AB1054" s="4"/>
      <c r="AC1054" s="4"/>
      <c r="AD1054" s="4"/>
      <c r="AE1054" s="4"/>
      <c r="AF1054" s="81"/>
      <c r="AG1054" s="81"/>
      <c r="AH1054" s="81"/>
      <c r="AI1054" s="4"/>
      <c r="AJ1054" s="81"/>
      <c r="AK1054" s="81"/>
      <c r="AL1054" s="81"/>
    </row>
    <row r="1055" spans="1:38" s="7" customFormat="1">
      <c r="A1055" s="4"/>
      <c r="B1055" s="4"/>
      <c r="C1055" s="4"/>
      <c r="D1055" s="4"/>
      <c r="E1055" s="4"/>
      <c r="F1055" s="28"/>
      <c r="G1055" s="28"/>
      <c r="H1055" s="83"/>
      <c r="I1055" s="4"/>
      <c r="J1055" s="4"/>
      <c r="K1055" s="4"/>
      <c r="L1055" s="4"/>
      <c r="M1055" s="4"/>
      <c r="N1055" s="28"/>
      <c r="O1055" s="4"/>
      <c r="P1055" s="4"/>
      <c r="Q1055" s="4"/>
      <c r="R1055" s="4"/>
      <c r="S1055" s="4"/>
      <c r="T1055" s="4"/>
      <c r="U1055" s="4"/>
      <c r="V1055" s="4"/>
      <c r="W1055" s="4"/>
      <c r="X1055" s="4"/>
      <c r="Y1055" s="4"/>
      <c r="Z1055" s="4"/>
      <c r="AA1055" s="4"/>
      <c r="AB1055" s="4"/>
      <c r="AC1055" s="4"/>
      <c r="AD1055" s="4"/>
      <c r="AE1055" s="4"/>
      <c r="AF1055" s="81"/>
      <c r="AG1055" s="81"/>
      <c r="AH1055" s="81"/>
      <c r="AI1055" s="4"/>
      <c r="AJ1055" s="81"/>
      <c r="AK1055" s="81"/>
      <c r="AL1055" s="81"/>
    </row>
    <row r="1056" spans="1:38" s="7" customFormat="1">
      <c r="A1056" s="4"/>
      <c r="B1056" s="4"/>
      <c r="C1056" s="4"/>
      <c r="D1056" s="4"/>
      <c r="E1056" s="4"/>
      <c r="F1056" s="28"/>
      <c r="G1056" s="28"/>
      <c r="H1056" s="83"/>
      <c r="I1056" s="4"/>
      <c r="J1056" s="4"/>
      <c r="K1056" s="4"/>
      <c r="L1056" s="4"/>
      <c r="M1056" s="4"/>
      <c r="N1056" s="28"/>
      <c r="O1056" s="4"/>
      <c r="P1056" s="4"/>
      <c r="Q1056" s="4"/>
      <c r="R1056" s="4"/>
      <c r="S1056" s="4"/>
      <c r="T1056" s="4"/>
      <c r="U1056" s="4"/>
      <c r="V1056" s="4"/>
      <c r="W1056" s="4"/>
      <c r="X1056" s="4"/>
      <c r="Y1056" s="4"/>
      <c r="Z1056" s="4"/>
      <c r="AA1056" s="4"/>
      <c r="AB1056" s="4"/>
      <c r="AC1056" s="4"/>
      <c r="AD1056" s="4"/>
      <c r="AE1056" s="4"/>
      <c r="AF1056" s="81"/>
      <c r="AG1056" s="81"/>
      <c r="AH1056" s="81"/>
      <c r="AI1056" s="4"/>
      <c r="AJ1056" s="81"/>
      <c r="AK1056" s="81"/>
      <c r="AL1056" s="81"/>
    </row>
    <row r="1057" spans="1:38" s="7" customFormat="1">
      <c r="A1057" s="4"/>
      <c r="B1057" s="4"/>
      <c r="C1057" s="4"/>
      <c r="D1057" s="4"/>
      <c r="E1057" s="4"/>
      <c r="F1057" s="28"/>
      <c r="G1057" s="28"/>
      <c r="H1057" s="83"/>
      <c r="I1057" s="4"/>
      <c r="J1057" s="4"/>
      <c r="K1057" s="4"/>
      <c r="L1057" s="4"/>
      <c r="M1057" s="4"/>
      <c r="N1057" s="28"/>
      <c r="O1057" s="4"/>
      <c r="P1057" s="4"/>
      <c r="Q1057" s="4"/>
      <c r="R1057" s="4"/>
      <c r="S1057" s="4"/>
      <c r="T1057" s="4"/>
      <c r="U1057" s="4"/>
      <c r="V1057" s="4"/>
      <c r="W1057" s="4"/>
      <c r="X1057" s="4"/>
      <c r="Y1057" s="4"/>
      <c r="Z1057" s="4"/>
      <c r="AA1057" s="4"/>
      <c r="AB1057" s="4"/>
      <c r="AC1057" s="4"/>
      <c r="AD1057" s="4"/>
      <c r="AE1057" s="4"/>
      <c r="AF1057" s="81"/>
      <c r="AG1057" s="81"/>
      <c r="AH1057" s="81"/>
      <c r="AI1057" s="4"/>
      <c r="AJ1057" s="81"/>
      <c r="AK1057" s="81"/>
      <c r="AL1057" s="81"/>
    </row>
    <row r="1058" spans="1:38" s="7" customFormat="1">
      <c r="A1058" s="4"/>
      <c r="B1058" s="4"/>
      <c r="C1058" s="4"/>
      <c r="D1058" s="4"/>
      <c r="E1058" s="4"/>
      <c r="F1058" s="28"/>
      <c r="G1058" s="28"/>
      <c r="H1058" s="83"/>
      <c r="I1058" s="4"/>
      <c r="J1058" s="4"/>
      <c r="K1058" s="4"/>
      <c r="L1058" s="4"/>
      <c r="M1058" s="4"/>
      <c r="N1058" s="28"/>
      <c r="O1058" s="4"/>
      <c r="P1058" s="4"/>
      <c r="Q1058" s="4"/>
      <c r="R1058" s="4"/>
      <c r="S1058" s="4"/>
      <c r="T1058" s="4"/>
      <c r="U1058" s="4"/>
      <c r="V1058" s="4"/>
      <c r="W1058" s="4"/>
      <c r="X1058" s="4"/>
      <c r="Y1058" s="4"/>
      <c r="Z1058" s="4"/>
      <c r="AA1058" s="4"/>
      <c r="AB1058" s="4"/>
      <c r="AC1058" s="4"/>
      <c r="AD1058" s="4"/>
      <c r="AE1058" s="4"/>
      <c r="AF1058" s="81"/>
      <c r="AG1058" s="81"/>
      <c r="AH1058" s="81"/>
      <c r="AI1058" s="4"/>
      <c r="AJ1058" s="81"/>
      <c r="AK1058" s="81"/>
      <c r="AL1058" s="81"/>
    </row>
    <row r="1059" spans="1:38" s="7" customFormat="1">
      <c r="A1059" s="4"/>
      <c r="B1059" s="4"/>
      <c r="C1059" s="4"/>
      <c r="D1059" s="4"/>
      <c r="E1059" s="4"/>
      <c r="F1059" s="28"/>
      <c r="G1059" s="28"/>
      <c r="H1059" s="83"/>
      <c r="I1059" s="4"/>
      <c r="J1059" s="4"/>
      <c r="K1059" s="4"/>
      <c r="L1059" s="4"/>
      <c r="M1059" s="4"/>
      <c r="N1059" s="28"/>
      <c r="O1059" s="4"/>
      <c r="P1059" s="4"/>
      <c r="Q1059" s="4"/>
      <c r="R1059" s="4"/>
      <c r="S1059" s="4"/>
      <c r="T1059" s="4"/>
      <c r="U1059" s="4"/>
      <c r="V1059" s="4"/>
      <c r="W1059" s="4"/>
      <c r="X1059" s="4"/>
      <c r="Y1059" s="4"/>
      <c r="Z1059" s="4"/>
      <c r="AA1059" s="4"/>
      <c r="AB1059" s="4"/>
      <c r="AC1059" s="4"/>
      <c r="AD1059" s="4"/>
      <c r="AE1059" s="4"/>
      <c r="AF1059" s="81"/>
      <c r="AG1059" s="81"/>
      <c r="AH1059" s="81"/>
      <c r="AI1059" s="4"/>
      <c r="AJ1059" s="81"/>
      <c r="AK1059" s="81"/>
      <c r="AL1059" s="81"/>
    </row>
    <row r="1060" spans="1:38" s="7" customFormat="1">
      <c r="A1060" s="4"/>
      <c r="B1060" s="4"/>
      <c r="C1060" s="4"/>
      <c r="D1060" s="4"/>
      <c r="E1060" s="4"/>
      <c r="F1060" s="28"/>
      <c r="G1060" s="28"/>
      <c r="H1060" s="83"/>
      <c r="I1060" s="4"/>
      <c r="J1060" s="4"/>
      <c r="K1060" s="4"/>
      <c r="L1060" s="4"/>
      <c r="M1060" s="4"/>
      <c r="N1060" s="28"/>
      <c r="O1060" s="4"/>
      <c r="P1060" s="4"/>
      <c r="Q1060" s="4"/>
      <c r="R1060" s="4"/>
      <c r="S1060" s="4"/>
      <c r="T1060" s="4"/>
      <c r="U1060" s="4"/>
      <c r="V1060" s="4"/>
      <c r="W1060" s="4"/>
      <c r="X1060" s="4"/>
      <c r="Y1060" s="4"/>
      <c r="Z1060" s="4"/>
      <c r="AA1060" s="4"/>
      <c r="AB1060" s="4"/>
      <c r="AC1060" s="4"/>
      <c r="AD1060" s="4"/>
      <c r="AE1060" s="4"/>
      <c r="AF1060" s="81"/>
      <c r="AG1060" s="81"/>
      <c r="AH1060" s="81"/>
      <c r="AI1060" s="4"/>
      <c r="AJ1060" s="81"/>
      <c r="AK1060" s="81"/>
      <c r="AL1060" s="81"/>
    </row>
    <row r="1061" spans="1:38" s="7" customFormat="1">
      <c r="A1061" s="4"/>
      <c r="B1061" s="4"/>
      <c r="C1061" s="4"/>
      <c r="D1061" s="4"/>
      <c r="E1061" s="4"/>
      <c r="F1061" s="28"/>
      <c r="G1061" s="28"/>
      <c r="H1061" s="83"/>
      <c r="I1061" s="4"/>
      <c r="J1061" s="4"/>
      <c r="K1061" s="4"/>
      <c r="L1061" s="4"/>
      <c r="M1061" s="4"/>
      <c r="N1061" s="28"/>
      <c r="O1061" s="4"/>
      <c r="P1061" s="4"/>
      <c r="Q1061" s="4"/>
      <c r="R1061" s="4"/>
      <c r="S1061" s="4"/>
      <c r="T1061" s="4"/>
      <c r="U1061" s="4"/>
      <c r="V1061" s="4"/>
      <c r="W1061" s="4"/>
      <c r="X1061" s="4"/>
      <c r="Y1061" s="4"/>
      <c r="Z1061" s="4"/>
      <c r="AA1061" s="4"/>
      <c r="AB1061" s="4"/>
      <c r="AC1061" s="4"/>
      <c r="AD1061" s="4"/>
      <c r="AE1061" s="4"/>
      <c r="AF1061" s="81"/>
      <c r="AG1061" s="81"/>
      <c r="AH1061" s="81"/>
      <c r="AI1061" s="4"/>
      <c r="AJ1061" s="81"/>
      <c r="AK1061" s="81"/>
      <c r="AL1061" s="81"/>
    </row>
    <row r="1062" spans="1:38" s="7" customFormat="1">
      <c r="A1062" s="4"/>
      <c r="B1062" s="4"/>
      <c r="C1062" s="4"/>
      <c r="D1062" s="4"/>
      <c r="E1062" s="4"/>
      <c r="F1062" s="28"/>
      <c r="G1062" s="28"/>
      <c r="H1062" s="83"/>
      <c r="I1062" s="4"/>
      <c r="J1062" s="4"/>
      <c r="K1062" s="4"/>
      <c r="L1062" s="4"/>
      <c r="M1062" s="4"/>
      <c r="N1062" s="28"/>
      <c r="O1062" s="4"/>
      <c r="P1062" s="4"/>
      <c r="Q1062" s="4"/>
      <c r="R1062" s="4"/>
      <c r="S1062" s="4"/>
      <c r="T1062" s="4"/>
      <c r="U1062" s="4"/>
      <c r="V1062" s="4"/>
      <c r="W1062" s="4"/>
      <c r="X1062" s="4"/>
      <c r="Y1062" s="4"/>
      <c r="Z1062" s="4"/>
      <c r="AA1062" s="4"/>
      <c r="AB1062" s="4"/>
      <c r="AC1062" s="4"/>
      <c r="AD1062" s="4"/>
      <c r="AE1062" s="4"/>
      <c r="AF1062" s="81"/>
      <c r="AG1062" s="81"/>
      <c r="AH1062" s="81"/>
      <c r="AI1062" s="4"/>
      <c r="AJ1062" s="81"/>
      <c r="AK1062" s="81"/>
      <c r="AL1062" s="81"/>
    </row>
    <row r="1063" spans="1:38" s="7" customFormat="1">
      <c r="A1063" s="4"/>
      <c r="B1063" s="4"/>
      <c r="C1063" s="4"/>
      <c r="D1063" s="4"/>
      <c r="E1063" s="4"/>
      <c r="F1063" s="28"/>
      <c r="G1063" s="28"/>
      <c r="H1063" s="83"/>
      <c r="I1063" s="4"/>
      <c r="J1063" s="4"/>
      <c r="K1063" s="4"/>
      <c r="L1063" s="4"/>
      <c r="M1063" s="4"/>
      <c r="N1063" s="28"/>
      <c r="O1063" s="4"/>
      <c r="P1063" s="4"/>
      <c r="Q1063" s="4"/>
      <c r="R1063" s="4"/>
      <c r="S1063" s="4"/>
      <c r="T1063" s="4"/>
      <c r="U1063" s="4"/>
      <c r="V1063" s="4"/>
      <c r="W1063" s="4"/>
      <c r="X1063" s="4"/>
      <c r="Y1063" s="4"/>
      <c r="Z1063" s="4"/>
      <c r="AA1063" s="4"/>
      <c r="AB1063" s="4"/>
      <c r="AC1063" s="4"/>
      <c r="AD1063" s="4"/>
      <c r="AE1063" s="4"/>
      <c r="AF1063" s="81"/>
      <c r="AG1063" s="81"/>
      <c r="AH1063" s="81"/>
      <c r="AI1063" s="4"/>
      <c r="AJ1063" s="81"/>
      <c r="AK1063" s="81"/>
      <c r="AL1063" s="81"/>
    </row>
    <row r="1064" spans="1:38" s="7" customFormat="1">
      <c r="A1064" s="4"/>
      <c r="B1064" s="4"/>
      <c r="C1064" s="4"/>
      <c r="D1064" s="4"/>
      <c r="E1064" s="4"/>
      <c r="F1064" s="28"/>
      <c r="G1064" s="28"/>
      <c r="H1064" s="83"/>
      <c r="I1064" s="4"/>
      <c r="J1064" s="4"/>
      <c r="K1064" s="4"/>
      <c r="L1064" s="4"/>
      <c r="M1064" s="4"/>
      <c r="N1064" s="28"/>
      <c r="O1064" s="4"/>
      <c r="P1064" s="4"/>
      <c r="Q1064" s="4"/>
      <c r="R1064" s="4"/>
      <c r="S1064" s="4"/>
      <c r="T1064" s="4"/>
      <c r="U1064" s="4"/>
      <c r="V1064" s="4"/>
      <c r="W1064" s="4"/>
      <c r="X1064" s="4"/>
      <c r="Y1064" s="4"/>
      <c r="Z1064" s="4"/>
      <c r="AA1064" s="4"/>
      <c r="AB1064" s="4"/>
      <c r="AC1064" s="4"/>
      <c r="AD1064" s="4"/>
      <c r="AE1064" s="4"/>
      <c r="AF1064" s="81"/>
      <c r="AG1064" s="81"/>
      <c r="AH1064" s="81"/>
      <c r="AI1064" s="4"/>
      <c r="AJ1064" s="81"/>
      <c r="AK1064" s="81"/>
      <c r="AL1064" s="81"/>
    </row>
    <row r="1065" spans="1:38" s="7" customFormat="1">
      <c r="A1065" s="4"/>
      <c r="B1065" s="4"/>
      <c r="C1065" s="4"/>
      <c r="D1065" s="4"/>
      <c r="E1065" s="4"/>
      <c r="F1065" s="28"/>
      <c r="G1065" s="28"/>
      <c r="H1065" s="83"/>
      <c r="I1065" s="4"/>
      <c r="J1065" s="4"/>
      <c r="K1065" s="4"/>
      <c r="L1065" s="4"/>
      <c r="M1065" s="4"/>
      <c r="N1065" s="28"/>
      <c r="O1065" s="4"/>
      <c r="P1065" s="4"/>
      <c r="Q1065" s="4"/>
      <c r="R1065" s="4"/>
      <c r="S1065" s="4"/>
      <c r="T1065" s="4"/>
      <c r="U1065" s="4"/>
      <c r="V1065" s="4"/>
      <c r="W1065" s="4"/>
      <c r="X1065" s="4"/>
      <c r="Y1065" s="4"/>
      <c r="Z1065" s="4"/>
      <c r="AA1065" s="4"/>
      <c r="AB1065" s="4"/>
      <c r="AC1065" s="4"/>
      <c r="AD1065" s="4"/>
      <c r="AE1065" s="4"/>
      <c r="AF1065" s="81"/>
      <c r="AG1065" s="81"/>
      <c r="AH1065" s="81"/>
      <c r="AI1065" s="4"/>
      <c r="AJ1065" s="81"/>
      <c r="AK1065" s="81"/>
      <c r="AL1065" s="81"/>
    </row>
    <row r="1066" spans="1:38" s="7" customFormat="1">
      <c r="A1066" s="4"/>
      <c r="B1066" s="4"/>
      <c r="C1066" s="4"/>
      <c r="D1066" s="4"/>
      <c r="E1066" s="4"/>
      <c r="F1066" s="28"/>
      <c r="G1066" s="28"/>
      <c r="H1066" s="83"/>
      <c r="I1066" s="4"/>
      <c r="J1066" s="4"/>
      <c r="K1066" s="4"/>
      <c r="L1066" s="4"/>
      <c r="M1066" s="4"/>
      <c r="N1066" s="28"/>
      <c r="O1066" s="4"/>
      <c r="P1066" s="4"/>
      <c r="Q1066" s="4"/>
      <c r="R1066" s="4"/>
      <c r="S1066" s="4"/>
      <c r="T1066" s="4"/>
      <c r="U1066" s="4"/>
      <c r="V1066" s="4"/>
      <c r="W1066" s="4"/>
      <c r="X1066" s="4"/>
      <c r="Y1066" s="4"/>
      <c r="Z1066" s="4"/>
      <c r="AA1066" s="4"/>
      <c r="AB1066" s="4"/>
      <c r="AC1066" s="4"/>
      <c r="AD1066" s="4"/>
      <c r="AE1066" s="4"/>
      <c r="AF1066" s="81"/>
      <c r="AG1066" s="81"/>
      <c r="AH1066" s="81"/>
      <c r="AI1066" s="4"/>
      <c r="AJ1066" s="81"/>
      <c r="AK1066" s="81"/>
      <c r="AL1066" s="81"/>
    </row>
    <row r="1067" spans="1:38" s="7" customFormat="1">
      <c r="A1067" s="4"/>
      <c r="B1067" s="4"/>
      <c r="C1067" s="4"/>
      <c r="D1067" s="4"/>
      <c r="E1067" s="4"/>
      <c r="F1067" s="28"/>
      <c r="G1067" s="28"/>
      <c r="H1067" s="83"/>
      <c r="I1067" s="4"/>
      <c r="J1067" s="4"/>
      <c r="K1067" s="4"/>
      <c r="L1067" s="4"/>
      <c r="M1067" s="4"/>
      <c r="N1067" s="28"/>
      <c r="O1067" s="4"/>
      <c r="P1067" s="4"/>
      <c r="Q1067" s="4"/>
      <c r="R1067" s="4"/>
      <c r="S1067" s="4"/>
      <c r="T1067" s="4"/>
      <c r="U1067" s="4"/>
      <c r="V1067" s="4"/>
      <c r="W1067" s="4"/>
      <c r="X1067" s="4"/>
      <c r="Y1067" s="4"/>
      <c r="Z1067" s="4"/>
      <c r="AA1067" s="4"/>
      <c r="AB1067" s="4"/>
      <c r="AC1067" s="4"/>
      <c r="AD1067" s="4"/>
      <c r="AE1067" s="4"/>
      <c r="AF1067" s="81"/>
      <c r="AG1067" s="81"/>
      <c r="AH1067" s="81"/>
      <c r="AI1067" s="4"/>
      <c r="AJ1067" s="81"/>
      <c r="AK1067" s="81"/>
      <c r="AL1067" s="81"/>
    </row>
    <row r="1068" spans="1:38" s="7" customFormat="1">
      <c r="A1068" s="4"/>
      <c r="B1068" s="4"/>
      <c r="C1068" s="4"/>
      <c r="D1068" s="4"/>
      <c r="E1068" s="4"/>
      <c r="F1068" s="28"/>
      <c r="G1068" s="28"/>
      <c r="H1068" s="83"/>
      <c r="I1068" s="4"/>
      <c r="J1068" s="4"/>
      <c r="K1068" s="4"/>
      <c r="L1068" s="4"/>
      <c r="M1068" s="4"/>
      <c r="N1068" s="28"/>
      <c r="O1068" s="4"/>
      <c r="P1068" s="4"/>
      <c r="Q1068" s="4"/>
      <c r="R1068" s="4"/>
      <c r="S1068" s="4"/>
      <c r="T1068" s="4"/>
      <c r="U1068" s="4"/>
      <c r="V1068" s="4"/>
      <c r="W1068" s="4"/>
      <c r="X1068" s="4"/>
      <c r="Y1068" s="4"/>
      <c r="Z1068" s="4"/>
      <c r="AA1068" s="4"/>
      <c r="AB1068" s="4"/>
      <c r="AC1068" s="4"/>
      <c r="AD1068" s="4"/>
      <c r="AE1068" s="4"/>
      <c r="AF1068" s="81"/>
      <c r="AG1068" s="81"/>
      <c r="AH1068" s="81"/>
      <c r="AI1068" s="4"/>
      <c r="AJ1068" s="81"/>
      <c r="AK1068" s="81"/>
      <c r="AL1068" s="81"/>
    </row>
    <row r="1069" spans="1:38" s="7" customFormat="1">
      <c r="A1069" s="4"/>
      <c r="B1069" s="4"/>
      <c r="C1069" s="4"/>
      <c r="D1069" s="4"/>
      <c r="E1069" s="4"/>
      <c r="F1069" s="28"/>
      <c r="G1069" s="28"/>
      <c r="H1069" s="83"/>
      <c r="I1069" s="4"/>
      <c r="J1069" s="4"/>
      <c r="K1069" s="4"/>
      <c r="L1069" s="4"/>
      <c r="M1069" s="4"/>
      <c r="N1069" s="28"/>
      <c r="O1069" s="4"/>
      <c r="P1069" s="4"/>
      <c r="Q1069" s="4"/>
      <c r="R1069" s="4"/>
      <c r="S1069" s="4"/>
      <c r="T1069" s="4"/>
      <c r="U1069" s="4"/>
      <c r="V1069" s="4"/>
      <c r="W1069" s="4"/>
      <c r="X1069" s="4"/>
      <c r="Y1069" s="4"/>
      <c r="Z1069" s="4"/>
      <c r="AA1069" s="4"/>
      <c r="AB1069" s="4"/>
      <c r="AC1069" s="4"/>
      <c r="AD1069" s="4"/>
      <c r="AE1069" s="4"/>
      <c r="AF1069" s="81"/>
      <c r="AG1069" s="81"/>
      <c r="AH1069" s="81"/>
      <c r="AI1069" s="4"/>
      <c r="AJ1069" s="81"/>
      <c r="AK1069" s="81"/>
      <c r="AL1069" s="81"/>
    </row>
    <row r="1070" spans="1:38" s="7" customFormat="1">
      <c r="A1070" s="4"/>
      <c r="B1070" s="4"/>
      <c r="C1070" s="4"/>
      <c r="D1070" s="4"/>
      <c r="E1070" s="4"/>
      <c r="F1070" s="28"/>
      <c r="G1070" s="28"/>
      <c r="H1070" s="83"/>
      <c r="I1070" s="4"/>
      <c r="J1070" s="4"/>
      <c r="K1070" s="4"/>
      <c r="L1070" s="4"/>
      <c r="M1070" s="4"/>
      <c r="N1070" s="28"/>
      <c r="O1070" s="4"/>
      <c r="P1070" s="4"/>
      <c r="Q1070" s="4"/>
      <c r="R1070" s="4"/>
      <c r="S1070" s="4"/>
      <c r="T1070" s="4"/>
      <c r="U1070" s="4"/>
      <c r="V1070" s="4"/>
      <c r="W1070" s="4"/>
      <c r="X1070" s="4"/>
      <c r="Y1070" s="4"/>
      <c r="Z1070" s="4"/>
      <c r="AA1070" s="4"/>
      <c r="AB1070" s="4"/>
      <c r="AC1070" s="4"/>
      <c r="AD1070" s="4"/>
      <c r="AE1070" s="4"/>
      <c r="AF1070" s="81"/>
      <c r="AG1070" s="81"/>
      <c r="AH1070" s="81"/>
      <c r="AI1070" s="4"/>
      <c r="AJ1070" s="81"/>
      <c r="AK1070" s="81"/>
      <c r="AL1070" s="81"/>
    </row>
    <row r="1071" spans="1:38" s="7" customFormat="1">
      <c r="A1071" s="4"/>
      <c r="B1071" s="4"/>
      <c r="C1071" s="4"/>
      <c r="D1071" s="4"/>
      <c r="E1071" s="4"/>
      <c r="F1071" s="28"/>
      <c r="G1071" s="28"/>
      <c r="H1071" s="83"/>
      <c r="I1071" s="4"/>
      <c r="J1071" s="4"/>
      <c r="K1071" s="4"/>
      <c r="L1071" s="4"/>
      <c r="M1071" s="4"/>
      <c r="N1071" s="28"/>
      <c r="O1071" s="4"/>
      <c r="P1071" s="4"/>
      <c r="Q1071" s="4"/>
      <c r="R1071" s="4"/>
      <c r="S1071" s="4"/>
      <c r="T1071" s="4"/>
      <c r="U1071" s="4"/>
      <c r="V1071" s="4"/>
      <c r="W1071" s="4"/>
      <c r="X1071" s="4"/>
      <c r="Y1071" s="4"/>
      <c r="Z1071" s="4"/>
      <c r="AA1071" s="4"/>
      <c r="AB1071" s="4"/>
      <c r="AC1071" s="4"/>
      <c r="AD1071" s="4"/>
      <c r="AE1071" s="4"/>
      <c r="AF1071" s="81"/>
      <c r="AG1071" s="81"/>
      <c r="AH1071" s="81"/>
      <c r="AI1071" s="4"/>
      <c r="AJ1071" s="81"/>
      <c r="AK1071" s="81"/>
      <c r="AL1071" s="81"/>
    </row>
    <row r="1072" spans="1:38" s="7" customFormat="1">
      <c r="A1072" s="4"/>
      <c r="B1072" s="4"/>
      <c r="C1072" s="4"/>
      <c r="D1072" s="4"/>
      <c r="E1072" s="4"/>
      <c r="F1072" s="28"/>
      <c r="G1072" s="28"/>
      <c r="H1072" s="83"/>
      <c r="I1072" s="4"/>
      <c r="J1072" s="4"/>
      <c r="K1072" s="4"/>
      <c r="L1072" s="4"/>
      <c r="M1072" s="4"/>
      <c r="N1072" s="28"/>
      <c r="O1072" s="4"/>
      <c r="P1072" s="4"/>
      <c r="Q1072" s="4"/>
      <c r="R1072" s="4"/>
      <c r="S1072" s="4"/>
      <c r="T1072" s="4"/>
      <c r="U1072" s="4"/>
      <c r="V1072" s="4"/>
      <c r="W1072" s="4"/>
      <c r="X1072" s="4"/>
      <c r="Y1072" s="4"/>
      <c r="Z1072" s="4"/>
      <c r="AA1072" s="4"/>
      <c r="AB1072" s="4"/>
      <c r="AC1072" s="4"/>
      <c r="AD1072" s="4"/>
      <c r="AE1072" s="4"/>
      <c r="AF1072" s="81"/>
      <c r="AG1072" s="81"/>
      <c r="AH1072" s="81"/>
      <c r="AI1072" s="4"/>
      <c r="AJ1072" s="81"/>
      <c r="AK1072" s="81"/>
      <c r="AL1072" s="81"/>
    </row>
    <row r="1073" spans="1:38" s="7" customFormat="1">
      <c r="A1073" s="4"/>
      <c r="B1073" s="4"/>
      <c r="C1073" s="4"/>
      <c r="D1073" s="4"/>
      <c r="E1073" s="4"/>
      <c r="F1073" s="28"/>
      <c r="G1073" s="28"/>
      <c r="H1073" s="83"/>
      <c r="I1073" s="4"/>
      <c r="J1073" s="4"/>
      <c r="K1073" s="4"/>
      <c r="L1073" s="4"/>
      <c r="M1073" s="4"/>
      <c r="N1073" s="28"/>
      <c r="O1073" s="4"/>
      <c r="P1073" s="4"/>
      <c r="Q1073" s="4"/>
      <c r="R1073" s="4"/>
      <c r="S1073" s="4"/>
      <c r="T1073" s="4"/>
      <c r="U1073" s="4"/>
      <c r="V1073" s="4"/>
      <c r="W1073" s="4"/>
      <c r="X1073" s="4"/>
      <c r="Y1073" s="4"/>
      <c r="Z1073" s="4"/>
      <c r="AA1073" s="4"/>
      <c r="AB1073" s="4"/>
      <c r="AC1073" s="4"/>
      <c r="AD1073" s="4"/>
      <c r="AE1073" s="4"/>
      <c r="AF1073" s="81"/>
      <c r="AG1073" s="81"/>
      <c r="AH1073" s="81"/>
      <c r="AI1073" s="4"/>
      <c r="AJ1073" s="81"/>
      <c r="AK1073" s="81"/>
      <c r="AL1073" s="81"/>
    </row>
    <row r="1074" spans="1:38" s="7" customFormat="1">
      <c r="A1074" s="4"/>
      <c r="B1074" s="4"/>
      <c r="C1074" s="4"/>
      <c r="D1074" s="4"/>
      <c r="E1074" s="4"/>
      <c r="F1074" s="28"/>
      <c r="G1074" s="28"/>
      <c r="H1074" s="83"/>
      <c r="I1074" s="4"/>
      <c r="J1074" s="4"/>
      <c r="K1074" s="4"/>
      <c r="L1074" s="4"/>
      <c r="M1074" s="4"/>
      <c r="N1074" s="28"/>
      <c r="O1074" s="4"/>
      <c r="P1074" s="4"/>
      <c r="Q1074" s="4"/>
      <c r="R1074" s="4"/>
      <c r="S1074" s="4"/>
      <c r="T1074" s="4"/>
      <c r="U1074" s="4"/>
      <c r="V1074" s="4"/>
      <c r="W1074" s="4"/>
      <c r="X1074" s="4"/>
      <c r="Y1074" s="4"/>
      <c r="Z1074" s="4"/>
      <c r="AA1074" s="4"/>
      <c r="AB1074" s="4"/>
      <c r="AC1074" s="4"/>
      <c r="AD1074" s="4"/>
      <c r="AE1074" s="4"/>
      <c r="AF1074" s="81"/>
      <c r="AG1074" s="81"/>
      <c r="AH1074" s="81"/>
      <c r="AI1074" s="4"/>
      <c r="AJ1074" s="81"/>
      <c r="AK1074" s="81"/>
      <c r="AL1074" s="81"/>
    </row>
    <row r="1075" spans="1:38" s="7" customFormat="1">
      <c r="A1075" s="4"/>
      <c r="B1075" s="4"/>
      <c r="C1075" s="4"/>
      <c r="D1075" s="4"/>
      <c r="E1075" s="4"/>
      <c r="F1075" s="28"/>
      <c r="G1075" s="28"/>
      <c r="H1075" s="83"/>
      <c r="I1075" s="4"/>
      <c r="J1075" s="4"/>
      <c r="K1075" s="4"/>
      <c r="L1075" s="4"/>
      <c r="M1075" s="4"/>
      <c r="N1075" s="28"/>
      <c r="O1075" s="4"/>
      <c r="P1075" s="4"/>
      <c r="Q1075" s="4"/>
      <c r="R1075" s="4"/>
      <c r="S1075" s="4"/>
      <c r="T1075" s="4"/>
      <c r="U1075" s="4"/>
      <c r="V1075" s="4"/>
      <c r="W1075" s="4"/>
      <c r="X1075" s="4"/>
      <c r="Y1075" s="4"/>
      <c r="Z1075" s="4"/>
      <c r="AA1075" s="4"/>
      <c r="AB1075" s="4"/>
      <c r="AC1075" s="4"/>
      <c r="AD1075" s="4"/>
      <c r="AE1075" s="4"/>
      <c r="AF1075" s="81"/>
      <c r="AG1075" s="81"/>
      <c r="AH1075" s="81"/>
      <c r="AI1075" s="4"/>
      <c r="AJ1075" s="81"/>
      <c r="AK1075" s="81"/>
      <c r="AL1075" s="81"/>
    </row>
    <row r="1076" spans="1:38" s="7" customFormat="1">
      <c r="A1076" s="4"/>
      <c r="B1076" s="4"/>
      <c r="C1076" s="4"/>
      <c r="D1076" s="4"/>
      <c r="E1076" s="4"/>
      <c r="F1076" s="28"/>
      <c r="G1076" s="28"/>
      <c r="H1076" s="83"/>
      <c r="I1076" s="4"/>
      <c r="J1076" s="4"/>
      <c r="K1076" s="4"/>
      <c r="L1076" s="4"/>
      <c r="M1076" s="4"/>
      <c r="N1076" s="28"/>
      <c r="O1076" s="4"/>
      <c r="P1076" s="4"/>
      <c r="Q1076" s="4"/>
      <c r="R1076" s="4"/>
      <c r="S1076" s="4"/>
      <c r="T1076" s="4"/>
      <c r="U1076" s="4"/>
      <c r="V1076" s="4"/>
      <c r="W1076" s="4"/>
      <c r="X1076" s="4"/>
      <c r="Y1076" s="4"/>
      <c r="Z1076" s="4"/>
      <c r="AA1076" s="4"/>
      <c r="AB1076" s="4"/>
      <c r="AC1076" s="4"/>
      <c r="AD1076" s="4"/>
      <c r="AE1076" s="4"/>
      <c r="AF1076" s="81"/>
      <c r="AG1076" s="81"/>
      <c r="AH1076" s="81"/>
      <c r="AI1076" s="4"/>
      <c r="AJ1076" s="81"/>
      <c r="AK1076" s="81"/>
      <c r="AL1076" s="81"/>
    </row>
    <row r="1077" spans="1:38" s="7" customFormat="1">
      <c r="A1077" s="4"/>
      <c r="B1077" s="4"/>
      <c r="C1077" s="4"/>
      <c r="D1077" s="4"/>
      <c r="E1077" s="4"/>
      <c r="F1077" s="28"/>
      <c r="G1077" s="28"/>
      <c r="H1077" s="83"/>
      <c r="I1077" s="4"/>
      <c r="J1077" s="4"/>
      <c r="K1077" s="4"/>
      <c r="L1077" s="4"/>
      <c r="M1077" s="4"/>
      <c r="N1077" s="28"/>
      <c r="O1077" s="4"/>
      <c r="P1077" s="4"/>
      <c r="Q1077" s="4"/>
      <c r="R1077" s="4"/>
      <c r="S1077" s="4"/>
      <c r="T1077" s="4"/>
      <c r="U1077" s="4"/>
      <c r="V1077" s="4"/>
      <c r="W1077" s="4"/>
      <c r="X1077" s="4"/>
      <c r="Y1077" s="4"/>
      <c r="Z1077" s="4"/>
      <c r="AA1077" s="4"/>
      <c r="AB1077" s="4"/>
      <c r="AC1077" s="4"/>
      <c r="AD1077" s="4"/>
      <c r="AE1077" s="4"/>
      <c r="AF1077" s="81"/>
      <c r="AG1077" s="81"/>
      <c r="AH1077" s="81"/>
      <c r="AI1077" s="4"/>
      <c r="AJ1077" s="81"/>
      <c r="AK1077" s="81"/>
      <c r="AL1077" s="81"/>
    </row>
    <row r="1078" spans="1:38" s="7" customFormat="1">
      <c r="A1078" s="4"/>
      <c r="B1078" s="4"/>
      <c r="C1078" s="4"/>
      <c r="D1078" s="4"/>
      <c r="E1078" s="4"/>
      <c r="F1078" s="28"/>
      <c r="G1078" s="28"/>
      <c r="H1078" s="83"/>
      <c r="I1078" s="4"/>
      <c r="J1078" s="4"/>
      <c r="K1078" s="4"/>
      <c r="L1078" s="4"/>
      <c r="M1078" s="4"/>
      <c r="N1078" s="28"/>
      <c r="O1078" s="4"/>
      <c r="P1078" s="4"/>
      <c r="Q1078" s="4"/>
      <c r="R1078" s="4"/>
      <c r="S1078" s="4"/>
      <c r="T1078" s="4"/>
      <c r="U1078" s="4"/>
      <c r="V1078" s="4"/>
      <c r="W1078" s="4"/>
      <c r="X1078" s="4"/>
      <c r="Y1078" s="4"/>
      <c r="Z1078" s="4"/>
      <c r="AA1078" s="4"/>
      <c r="AB1078" s="4"/>
      <c r="AC1078" s="4"/>
      <c r="AD1078" s="4"/>
      <c r="AE1078" s="4"/>
      <c r="AF1078" s="81"/>
      <c r="AG1078" s="81"/>
      <c r="AH1078" s="81"/>
      <c r="AI1078" s="4"/>
      <c r="AJ1078" s="81"/>
      <c r="AK1078" s="81"/>
      <c r="AL1078" s="81"/>
    </row>
    <row r="1079" spans="1:38" s="7" customFormat="1">
      <c r="A1079" s="4"/>
      <c r="B1079" s="4"/>
      <c r="C1079" s="4"/>
      <c r="D1079" s="4"/>
      <c r="E1079" s="4"/>
      <c r="F1079" s="28"/>
      <c r="G1079" s="28"/>
      <c r="H1079" s="83"/>
      <c r="I1079" s="4"/>
      <c r="J1079" s="4"/>
      <c r="K1079" s="4"/>
      <c r="L1079" s="4"/>
      <c r="M1079" s="4"/>
      <c r="N1079" s="28"/>
      <c r="O1079" s="4"/>
      <c r="P1079" s="4"/>
      <c r="Q1079" s="4"/>
      <c r="R1079" s="4"/>
      <c r="S1079" s="4"/>
      <c r="T1079" s="4"/>
      <c r="U1079" s="4"/>
      <c r="V1079" s="4"/>
      <c r="W1079" s="4"/>
      <c r="X1079" s="4"/>
      <c r="Y1079" s="4"/>
      <c r="Z1079" s="4"/>
      <c r="AA1079" s="4"/>
      <c r="AB1079" s="4"/>
      <c r="AC1079" s="4"/>
      <c r="AD1079" s="4"/>
      <c r="AE1079" s="4"/>
      <c r="AF1079" s="81"/>
      <c r="AG1079" s="81"/>
      <c r="AH1079" s="81"/>
      <c r="AI1079" s="4"/>
      <c r="AJ1079" s="81"/>
      <c r="AK1079" s="81"/>
      <c r="AL1079" s="81"/>
    </row>
    <row r="1080" spans="1:38" s="7" customFormat="1">
      <c r="A1080" s="4"/>
      <c r="B1080" s="4"/>
      <c r="C1080" s="4"/>
      <c r="D1080" s="4"/>
      <c r="E1080" s="4"/>
      <c r="F1080" s="28"/>
      <c r="G1080" s="28"/>
      <c r="H1080" s="83"/>
      <c r="I1080" s="4"/>
      <c r="J1080" s="4"/>
      <c r="K1080" s="4"/>
      <c r="L1080" s="4"/>
      <c r="M1080" s="4"/>
      <c r="N1080" s="28"/>
      <c r="O1080" s="4"/>
      <c r="P1080" s="4"/>
      <c r="Q1080" s="4"/>
      <c r="R1080" s="4"/>
      <c r="S1080" s="4"/>
      <c r="T1080" s="4"/>
      <c r="U1080" s="4"/>
      <c r="V1080" s="4"/>
      <c r="W1080" s="4"/>
      <c r="X1080" s="4"/>
      <c r="Y1080" s="4"/>
      <c r="Z1080" s="4"/>
      <c r="AA1080" s="4"/>
      <c r="AB1080" s="4"/>
      <c r="AC1080" s="4"/>
      <c r="AD1080" s="4"/>
      <c r="AE1080" s="4"/>
      <c r="AF1080" s="81"/>
      <c r="AG1080" s="81"/>
      <c r="AH1080" s="81"/>
      <c r="AI1080" s="4"/>
      <c r="AJ1080" s="81"/>
      <c r="AK1080" s="81"/>
      <c r="AL1080" s="81"/>
    </row>
    <row r="1081" spans="1:38" s="7" customFormat="1">
      <c r="A1081" s="4"/>
      <c r="B1081" s="4"/>
      <c r="C1081" s="4"/>
      <c r="D1081" s="4"/>
      <c r="E1081" s="4"/>
      <c r="F1081" s="28"/>
      <c r="G1081" s="28"/>
      <c r="H1081" s="83"/>
      <c r="I1081" s="4"/>
      <c r="J1081" s="4"/>
      <c r="K1081" s="4"/>
      <c r="L1081" s="4"/>
      <c r="M1081" s="4"/>
      <c r="N1081" s="28"/>
      <c r="O1081" s="4"/>
      <c r="P1081" s="4"/>
      <c r="Q1081" s="4"/>
      <c r="R1081" s="4"/>
      <c r="S1081" s="4"/>
      <c r="T1081" s="4"/>
      <c r="U1081" s="4"/>
      <c r="V1081" s="4"/>
      <c r="W1081" s="4"/>
      <c r="X1081" s="4"/>
      <c r="Y1081" s="4"/>
      <c r="Z1081" s="4"/>
      <c r="AA1081" s="4"/>
      <c r="AB1081" s="4"/>
      <c r="AC1081" s="4"/>
      <c r="AD1081" s="4"/>
      <c r="AE1081" s="4"/>
      <c r="AF1081" s="81"/>
      <c r="AG1081" s="81"/>
      <c r="AH1081" s="81"/>
      <c r="AI1081" s="4"/>
      <c r="AJ1081" s="81"/>
      <c r="AK1081" s="81"/>
      <c r="AL1081" s="81"/>
    </row>
    <row r="1082" spans="1:38" s="7" customFormat="1">
      <c r="A1082" s="4"/>
      <c r="B1082" s="4"/>
      <c r="C1082" s="4"/>
      <c r="D1082" s="4"/>
      <c r="E1082" s="4"/>
      <c r="F1082" s="28"/>
      <c r="G1082" s="28"/>
      <c r="H1082" s="83"/>
      <c r="I1082" s="4"/>
      <c r="J1082" s="4"/>
      <c r="K1082" s="4"/>
      <c r="L1082" s="4"/>
      <c r="M1082" s="4"/>
      <c r="N1082" s="28"/>
      <c r="O1082" s="4"/>
      <c r="P1082" s="4"/>
      <c r="Q1082" s="4"/>
      <c r="R1082" s="4"/>
      <c r="S1082" s="4"/>
      <c r="T1082" s="4"/>
      <c r="U1082" s="4"/>
      <c r="V1082" s="4"/>
      <c r="W1082" s="4"/>
      <c r="X1082" s="4"/>
      <c r="Y1082" s="4"/>
      <c r="Z1082" s="4"/>
      <c r="AA1082" s="4"/>
      <c r="AB1082" s="4"/>
      <c r="AC1082" s="4"/>
      <c r="AD1082" s="4"/>
      <c r="AE1082" s="4"/>
      <c r="AF1082" s="81"/>
      <c r="AG1082" s="81"/>
      <c r="AH1082" s="81"/>
      <c r="AI1082" s="4"/>
      <c r="AJ1082" s="81"/>
      <c r="AK1082" s="81"/>
      <c r="AL1082" s="81"/>
    </row>
    <row r="1083" spans="1:38" s="7" customFormat="1">
      <c r="A1083" s="4"/>
      <c r="B1083" s="4"/>
      <c r="C1083" s="4"/>
      <c r="D1083" s="4"/>
      <c r="E1083" s="4"/>
      <c r="F1083" s="28"/>
      <c r="G1083" s="28"/>
      <c r="H1083" s="83"/>
      <c r="I1083" s="4"/>
      <c r="J1083" s="4"/>
      <c r="K1083" s="4"/>
      <c r="L1083" s="4"/>
      <c r="M1083" s="4"/>
      <c r="N1083" s="28"/>
      <c r="O1083" s="4"/>
      <c r="P1083" s="4"/>
      <c r="Q1083" s="4"/>
      <c r="R1083" s="4"/>
      <c r="S1083" s="4"/>
      <c r="T1083" s="4"/>
      <c r="U1083" s="4"/>
      <c r="V1083" s="4"/>
      <c r="W1083" s="4"/>
      <c r="X1083" s="4"/>
      <c r="Y1083" s="4"/>
      <c r="Z1083" s="4"/>
      <c r="AA1083" s="4"/>
      <c r="AB1083" s="4"/>
      <c r="AC1083" s="4"/>
      <c r="AD1083" s="4"/>
      <c r="AE1083" s="4"/>
      <c r="AF1083" s="81"/>
      <c r="AG1083" s="81"/>
      <c r="AH1083" s="81"/>
      <c r="AI1083" s="4"/>
      <c r="AJ1083" s="81"/>
      <c r="AK1083" s="81"/>
      <c r="AL1083" s="81"/>
    </row>
    <row r="1084" spans="1:38" s="7" customFormat="1">
      <c r="A1084" s="4"/>
      <c r="B1084" s="4"/>
      <c r="C1084" s="4"/>
      <c r="D1084" s="4"/>
      <c r="E1084" s="4"/>
      <c r="F1084" s="28"/>
      <c r="G1084" s="28"/>
      <c r="H1084" s="83"/>
      <c r="I1084" s="4"/>
      <c r="J1084" s="4"/>
      <c r="K1084" s="4"/>
      <c r="L1084" s="4"/>
      <c r="M1084" s="4"/>
      <c r="N1084" s="28"/>
      <c r="O1084" s="4"/>
      <c r="P1084" s="4"/>
      <c r="Q1084" s="4"/>
      <c r="R1084" s="4"/>
      <c r="S1084" s="4"/>
      <c r="T1084" s="4"/>
      <c r="U1084" s="4"/>
      <c r="V1084" s="4"/>
      <c r="W1084" s="4"/>
      <c r="X1084" s="4"/>
      <c r="Y1084" s="4"/>
      <c r="Z1084" s="4"/>
      <c r="AA1084" s="4"/>
      <c r="AB1084" s="4"/>
      <c r="AC1084" s="4"/>
      <c r="AD1084" s="4"/>
      <c r="AE1084" s="4"/>
      <c r="AF1084" s="81"/>
      <c r="AG1084" s="81"/>
      <c r="AH1084" s="81"/>
      <c r="AI1084" s="4"/>
      <c r="AJ1084" s="81"/>
      <c r="AK1084" s="81"/>
      <c r="AL1084" s="81"/>
    </row>
    <row r="1085" spans="1:38" s="7" customFormat="1">
      <c r="A1085" s="4"/>
      <c r="B1085" s="4"/>
      <c r="C1085" s="4"/>
      <c r="D1085" s="4"/>
      <c r="E1085" s="4"/>
      <c r="F1085" s="28"/>
      <c r="G1085" s="28"/>
      <c r="H1085" s="83"/>
      <c r="I1085" s="4"/>
      <c r="J1085" s="4"/>
      <c r="K1085" s="4"/>
      <c r="L1085" s="4"/>
      <c r="M1085" s="4"/>
      <c r="N1085" s="28"/>
      <c r="O1085" s="4"/>
      <c r="P1085" s="4"/>
      <c r="Q1085" s="4"/>
      <c r="R1085" s="4"/>
      <c r="S1085" s="4"/>
      <c r="T1085" s="4"/>
      <c r="U1085" s="4"/>
      <c r="V1085" s="4"/>
      <c r="W1085" s="4"/>
      <c r="X1085" s="4"/>
      <c r="Y1085" s="4"/>
      <c r="Z1085" s="4"/>
      <c r="AA1085" s="4"/>
      <c r="AB1085" s="4"/>
      <c r="AC1085" s="4"/>
      <c r="AD1085" s="4"/>
      <c r="AE1085" s="4"/>
      <c r="AF1085" s="81"/>
      <c r="AG1085" s="81"/>
      <c r="AH1085" s="81"/>
      <c r="AI1085" s="4"/>
      <c r="AJ1085" s="81"/>
      <c r="AK1085" s="81"/>
      <c r="AL1085" s="81"/>
    </row>
    <row r="1086" spans="1:38" s="7" customFormat="1">
      <c r="A1086" s="4"/>
      <c r="B1086" s="4"/>
      <c r="C1086" s="4"/>
      <c r="D1086" s="4"/>
      <c r="E1086" s="4"/>
      <c r="F1086" s="28"/>
      <c r="G1086" s="28"/>
      <c r="H1086" s="83"/>
      <c r="I1086" s="4"/>
      <c r="J1086" s="4"/>
      <c r="K1086" s="4"/>
      <c r="L1086" s="4"/>
      <c r="M1086" s="4"/>
      <c r="N1086" s="28"/>
      <c r="O1086" s="4"/>
      <c r="P1086" s="4"/>
      <c r="Q1086" s="4"/>
      <c r="R1086" s="4"/>
      <c r="S1086" s="4"/>
      <c r="T1086" s="4"/>
      <c r="U1086" s="4"/>
      <c r="V1086" s="4"/>
      <c r="W1086" s="4"/>
      <c r="X1086" s="4"/>
      <c r="Y1086" s="4"/>
      <c r="Z1086" s="4"/>
      <c r="AA1086" s="4"/>
      <c r="AB1086" s="4"/>
      <c r="AC1086" s="4"/>
      <c r="AD1086" s="4"/>
      <c r="AE1086" s="4"/>
      <c r="AF1086" s="81"/>
      <c r="AG1086" s="81"/>
      <c r="AH1086" s="81"/>
      <c r="AI1086" s="4"/>
      <c r="AJ1086" s="81"/>
      <c r="AK1086" s="81"/>
      <c r="AL1086" s="81"/>
    </row>
    <row r="1087" spans="1:38" s="7" customFormat="1">
      <c r="A1087" s="4"/>
      <c r="B1087" s="4"/>
      <c r="C1087" s="4"/>
      <c r="D1087" s="4"/>
      <c r="E1087" s="4"/>
      <c r="F1087" s="28"/>
      <c r="G1087" s="28"/>
      <c r="H1087" s="83"/>
      <c r="I1087" s="4"/>
      <c r="J1087" s="4"/>
      <c r="K1087" s="4"/>
      <c r="L1087" s="4"/>
      <c r="M1087" s="4"/>
      <c r="N1087" s="28"/>
      <c r="O1087" s="4"/>
      <c r="P1087" s="4"/>
      <c r="Q1087" s="4"/>
      <c r="R1087" s="4"/>
      <c r="S1087" s="4"/>
      <c r="T1087" s="4"/>
      <c r="U1087" s="4"/>
      <c r="V1087" s="4"/>
      <c r="W1087" s="4"/>
      <c r="X1087" s="4"/>
      <c r="Y1087" s="4"/>
      <c r="Z1087" s="4"/>
      <c r="AA1087" s="4"/>
      <c r="AB1087" s="4"/>
      <c r="AC1087" s="4"/>
      <c r="AD1087" s="4"/>
      <c r="AE1087" s="4"/>
      <c r="AF1087" s="81"/>
      <c r="AG1087" s="81"/>
      <c r="AH1087" s="81"/>
      <c r="AI1087" s="4"/>
      <c r="AJ1087" s="81"/>
      <c r="AK1087" s="81"/>
      <c r="AL1087" s="81"/>
    </row>
    <row r="1088" spans="1:38" s="7" customFormat="1">
      <c r="A1088" s="4"/>
      <c r="B1088" s="4"/>
      <c r="C1088" s="4"/>
      <c r="D1088" s="4"/>
      <c r="E1088" s="4"/>
      <c r="F1088" s="28"/>
      <c r="G1088" s="28"/>
      <c r="H1088" s="83"/>
      <c r="I1088" s="4"/>
      <c r="J1088" s="4"/>
      <c r="K1088" s="4"/>
      <c r="L1088" s="4"/>
      <c r="M1088" s="4"/>
      <c r="N1088" s="28"/>
      <c r="O1088" s="4"/>
      <c r="P1088" s="4"/>
      <c r="Q1088" s="4"/>
      <c r="R1088" s="4"/>
      <c r="S1088" s="4"/>
      <c r="T1088" s="4"/>
      <c r="U1088" s="4"/>
      <c r="V1088" s="4"/>
      <c r="W1088" s="4"/>
      <c r="X1088" s="4"/>
      <c r="Y1088" s="4"/>
      <c r="Z1088" s="4"/>
      <c r="AA1088" s="4"/>
      <c r="AB1088" s="4"/>
      <c r="AC1088" s="4"/>
      <c r="AD1088" s="4"/>
      <c r="AE1088" s="4"/>
      <c r="AF1088" s="81"/>
      <c r="AG1088" s="81"/>
      <c r="AH1088" s="81"/>
      <c r="AI1088" s="4"/>
      <c r="AJ1088" s="81"/>
      <c r="AK1088" s="81"/>
      <c r="AL1088" s="81"/>
    </row>
    <row r="1089" spans="1:38" s="7" customFormat="1">
      <c r="A1089" s="4"/>
      <c r="B1089" s="4"/>
      <c r="C1089" s="4"/>
      <c r="D1089" s="4"/>
      <c r="E1089" s="4"/>
      <c r="F1089" s="28"/>
      <c r="G1089" s="28"/>
      <c r="H1089" s="83"/>
      <c r="I1089" s="4"/>
      <c r="J1089" s="4"/>
      <c r="K1089" s="4"/>
      <c r="L1089" s="4"/>
      <c r="M1089" s="4"/>
      <c r="N1089" s="28"/>
      <c r="O1089" s="4"/>
      <c r="P1089" s="4"/>
      <c r="Q1089" s="4"/>
      <c r="R1089" s="4"/>
      <c r="S1089" s="4"/>
      <c r="T1089" s="4"/>
      <c r="U1089" s="4"/>
      <c r="V1089" s="4"/>
      <c r="W1089" s="4"/>
      <c r="X1089" s="4"/>
      <c r="Y1089" s="4"/>
      <c r="Z1089" s="4"/>
      <c r="AA1089" s="4"/>
      <c r="AB1089" s="4"/>
      <c r="AC1089" s="4"/>
      <c r="AD1089" s="4"/>
      <c r="AE1089" s="4"/>
      <c r="AF1089" s="81"/>
      <c r="AG1089" s="81"/>
      <c r="AH1089" s="81"/>
      <c r="AI1089" s="4"/>
      <c r="AJ1089" s="81"/>
      <c r="AK1089" s="81"/>
      <c r="AL1089" s="81"/>
    </row>
    <row r="1090" spans="1:38" s="7" customFormat="1">
      <c r="A1090" s="4"/>
      <c r="B1090" s="4"/>
      <c r="C1090" s="4"/>
      <c r="D1090" s="4"/>
      <c r="E1090" s="4"/>
      <c r="F1090" s="28"/>
      <c r="G1090" s="28"/>
      <c r="H1090" s="83"/>
      <c r="I1090" s="4"/>
      <c r="J1090" s="4"/>
      <c r="K1090" s="4"/>
      <c r="L1090" s="4"/>
      <c r="M1090" s="4"/>
      <c r="N1090" s="28"/>
      <c r="O1090" s="4"/>
      <c r="P1090" s="4"/>
      <c r="Q1090" s="4"/>
      <c r="R1090" s="4"/>
      <c r="S1090" s="4"/>
      <c r="T1090" s="4"/>
      <c r="U1090" s="4"/>
      <c r="V1090" s="4"/>
      <c r="W1090" s="4"/>
      <c r="X1090" s="4"/>
      <c r="Y1090" s="4"/>
      <c r="Z1090" s="4"/>
      <c r="AA1090" s="4"/>
      <c r="AB1090" s="4"/>
      <c r="AC1090" s="4"/>
      <c r="AD1090" s="4"/>
      <c r="AE1090" s="4"/>
      <c r="AF1090" s="81"/>
      <c r="AG1090" s="81"/>
      <c r="AH1090" s="81"/>
      <c r="AI1090" s="4"/>
      <c r="AJ1090" s="81"/>
      <c r="AK1090" s="81"/>
      <c r="AL1090" s="81"/>
    </row>
    <row r="1091" spans="1:38" s="7" customFormat="1">
      <c r="A1091" s="4"/>
      <c r="B1091" s="4"/>
      <c r="C1091" s="4"/>
      <c r="D1091" s="4"/>
      <c r="E1091" s="4"/>
      <c r="F1091" s="28"/>
      <c r="G1091" s="28"/>
      <c r="H1091" s="83"/>
      <c r="I1091" s="4"/>
      <c r="J1091" s="4"/>
      <c r="K1091" s="4"/>
      <c r="L1091" s="4"/>
      <c r="M1091" s="4"/>
      <c r="N1091" s="28"/>
      <c r="O1091" s="4"/>
      <c r="P1091" s="4"/>
      <c r="Q1091" s="4"/>
      <c r="R1091" s="4"/>
      <c r="S1091" s="4"/>
      <c r="T1091" s="4"/>
      <c r="U1091" s="4"/>
      <c r="V1091" s="4"/>
      <c r="W1091" s="4"/>
      <c r="X1091" s="4"/>
      <c r="Y1091" s="4"/>
      <c r="Z1091" s="4"/>
      <c r="AA1091" s="4"/>
      <c r="AB1091" s="4"/>
      <c r="AC1091" s="4"/>
      <c r="AD1091" s="4"/>
      <c r="AE1091" s="4"/>
      <c r="AF1091" s="81"/>
      <c r="AG1091" s="81"/>
      <c r="AH1091" s="81"/>
      <c r="AI1091" s="4"/>
      <c r="AJ1091" s="81"/>
      <c r="AK1091" s="81"/>
      <c r="AL1091" s="81"/>
    </row>
    <row r="1092" spans="1:38" s="7" customFormat="1">
      <c r="A1092" s="4"/>
      <c r="B1092" s="4"/>
      <c r="C1092" s="4"/>
      <c r="D1092" s="4"/>
      <c r="E1092" s="4"/>
      <c r="F1092" s="28"/>
      <c r="G1092" s="28"/>
      <c r="H1092" s="83"/>
      <c r="I1092" s="4"/>
      <c r="J1092" s="4"/>
      <c r="K1092" s="4"/>
      <c r="L1092" s="4"/>
      <c r="M1092" s="4"/>
      <c r="N1092" s="28"/>
      <c r="O1092" s="4"/>
      <c r="P1092" s="4"/>
      <c r="Q1092" s="4"/>
      <c r="R1092" s="4"/>
      <c r="S1092" s="4"/>
      <c r="T1092" s="4"/>
      <c r="U1092" s="4"/>
      <c r="V1092" s="4"/>
      <c r="W1092" s="4"/>
      <c r="X1092" s="4"/>
      <c r="Y1092" s="4"/>
      <c r="Z1092" s="4"/>
      <c r="AA1092" s="4"/>
      <c r="AB1092" s="4"/>
      <c r="AC1092" s="4"/>
      <c r="AD1092" s="4"/>
      <c r="AE1092" s="4"/>
      <c r="AF1092" s="81"/>
      <c r="AG1092" s="81"/>
      <c r="AH1092" s="81"/>
      <c r="AI1092" s="4"/>
      <c r="AJ1092" s="81"/>
      <c r="AK1092" s="81"/>
      <c r="AL1092" s="81"/>
    </row>
    <row r="1093" spans="1:38" s="7" customFormat="1">
      <c r="A1093" s="4"/>
      <c r="B1093" s="4"/>
      <c r="C1093" s="4"/>
      <c r="D1093" s="4"/>
      <c r="E1093" s="4"/>
      <c r="F1093" s="28"/>
      <c r="G1093" s="28"/>
      <c r="H1093" s="83"/>
      <c r="I1093" s="4"/>
      <c r="J1093" s="4"/>
      <c r="K1093" s="4"/>
      <c r="L1093" s="4"/>
      <c r="M1093" s="4"/>
      <c r="N1093" s="28"/>
      <c r="O1093" s="4"/>
      <c r="P1093" s="4"/>
      <c r="Q1093" s="4"/>
      <c r="R1093" s="4"/>
      <c r="S1093" s="4"/>
      <c r="T1093" s="4"/>
      <c r="U1093" s="4"/>
      <c r="V1093" s="4"/>
      <c r="W1093" s="4"/>
      <c r="X1093" s="4"/>
      <c r="Y1093" s="4"/>
      <c r="Z1093" s="4"/>
      <c r="AA1093" s="4"/>
      <c r="AB1093" s="4"/>
      <c r="AC1093" s="4"/>
      <c r="AD1093" s="4"/>
      <c r="AE1093" s="4"/>
      <c r="AF1093" s="81"/>
      <c r="AG1093" s="81"/>
      <c r="AH1093" s="81"/>
      <c r="AI1093" s="4"/>
      <c r="AJ1093" s="81"/>
      <c r="AK1093" s="81"/>
      <c r="AL1093" s="81"/>
    </row>
    <row r="1094" spans="1:38" s="7" customFormat="1">
      <c r="A1094" s="4"/>
      <c r="B1094" s="4"/>
      <c r="C1094" s="4"/>
      <c r="D1094" s="4"/>
      <c r="E1094" s="4"/>
      <c r="F1094" s="28"/>
      <c r="G1094" s="28"/>
      <c r="H1094" s="83"/>
      <c r="I1094" s="4"/>
      <c r="J1094" s="4"/>
      <c r="K1094" s="4"/>
      <c r="L1094" s="4"/>
      <c r="M1094" s="4"/>
      <c r="N1094" s="28"/>
      <c r="O1094" s="4"/>
      <c r="P1094" s="4"/>
      <c r="Q1094" s="4"/>
      <c r="R1094" s="4"/>
      <c r="S1094" s="4"/>
      <c r="T1094" s="4"/>
      <c r="U1094" s="4"/>
      <c r="V1094" s="4"/>
      <c r="W1094" s="4"/>
      <c r="X1094" s="4"/>
      <c r="Y1094" s="4"/>
      <c r="Z1094" s="4"/>
      <c r="AA1094" s="4"/>
      <c r="AB1094" s="4"/>
      <c r="AC1094" s="4"/>
      <c r="AD1094" s="4"/>
      <c r="AE1094" s="4"/>
      <c r="AF1094" s="81"/>
      <c r="AG1094" s="81"/>
      <c r="AH1094" s="81"/>
      <c r="AI1094" s="4"/>
      <c r="AJ1094" s="81"/>
      <c r="AK1094" s="81"/>
      <c r="AL1094" s="81"/>
    </row>
    <row r="1095" spans="1:38" s="7" customFormat="1">
      <c r="A1095" s="4"/>
      <c r="B1095" s="4"/>
      <c r="C1095" s="4"/>
      <c r="D1095" s="4"/>
      <c r="E1095" s="4"/>
      <c r="F1095" s="28"/>
      <c r="G1095" s="28"/>
      <c r="H1095" s="83"/>
      <c r="I1095" s="4"/>
      <c r="J1095" s="4"/>
      <c r="K1095" s="4"/>
      <c r="L1095" s="4"/>
      <c r="M1095" s="4"/>
      <c r="N1095" s="28"/>
      <c r="O1095" s="4"/>
      <c r="P1095" s="4"/>
      <c r="Q1095" s="4"/>
      <c r="R1095" s="4"/>
      <c r="S1095" s="4"/>
      <c r="T1095" s="4"/>
      <c r="U1095" s="4"/>
      <c r="V1095" s="4"/>
      <c r="W1095" s="4"/>
      <c r="X1095" s="4"/>
      <c r="Y1095" s="4"/>
      <c r="Z1095" s="4"/>
      <c r="AA1095" s="4"/>
      <c r="AB1095" s="4"/>
      <c r="AC1095" s="4"/>
      <c r="AD1095" s="4"/>
      <c r="AE1095" s="4"/>
      <c r="AF1095" s="81"/>
      <c r="AG1095" s="81"/>
      <c r="AH1095" s="81"/>
      <c r="AI1095" s="4"/>
      <c r="AJ1095" s="81"/>
      <c r="AK1095" s="81"/>
      <c r="AL1095" s="81"/>
    </row>
    <row r="1096" spans="1:38" s="7" customFormat="1">
      <c r="A1096" s="4"/>
      <c r="B1096" s="4"/>
      <c r="C1096" s="4"/>
      <c r="D1096" s="4"/>
      <c r="E1096" s="4"/>
      <c r="F1096" s="28"/>
      <c r="G1096" s="28"/>
      <c r="H1096" s="83"/>
      <c r="I1096" s="4"/>
      <c r="J1096" s="4"/>
      <c r="K1096" s="4"/>
      <c r="L1096" s="4"/>
      <c r="M1096" s="4"/>
      <c r="N1096" s="28"/>
      <c r="O1096" s="4"/>
      <c r="P1096" s="4"/>
      <c r="Q1096" s="4"/>
      <c r="R1096" s="4"/>
      <c r="S1096" s="4"/>
      <c r="T1096" s="4"/>
      <c r="U1096" s="4"/>
      <c r="V1096" s="4"/>
      <c r="W1096" s="4"/>
      <c r="X1096" s="4"/>
      <c r="Y1096" s="4"/>
      <c r="Z1096" s="4"/>
      <c r="AA1096" s="4"/>
      <c r="AB1096" s="4"/>
      <c r="AC1096" s="4"/>
      <c r="AD1096" s="4"/>
      <c r="AE1096" s="4"/>
      <c r="AF1096" s="81"/>
      <c r="AG1096" s="81"/>
      <c r="AH1096" s="81"/>
      <c r="AI1096" s="4"/>
      <c r="AJ1096" s="81"/>
      <c r="AK1096" s="81"/>
      <c r="AL1096" s="81"/>
    </row>
    <row r="1097" spans="1:38" s="7" customFormat="1">
      <c r="A1097" s="4"/>
      <c r="B1097" s="4"/>
      <c r="C1097" s="4"/>
      <c r="D1097" s="4"/>
      <c r="E1097" s="4"/>
      <c r="F1097" s="28"/>
      <c r="G1097" s="28"/>
      <c r="H1097" s="83"/>
      <c r="I1097" s="4"/>
      <c r="J1097" s="4"/>
      <c r="K1097" s="4"/>
      <c r="L1097" s="4"/>
      <c r="M1097" s="4"/>
      <c r="N1097" s="28"/>
      <c r="O1097" s="4"/>
      <c r="P1097" s="4"/>
      <c r="Q1097" s="4"/>
      <c r="R1097" s="4"/>
      <c r="S1097" s="4"/>
      <c r="T1097" s="4"/>
      <c r="U1097" s="4"/>
      <c r="V1097" s="4"/>
      <c r="W1097" s="4"/>
      <c r="X1097" s="4"/>
      <c r="Y1097" s="4"/>
      <c r="Z1097" s="4"/>
      <c r="AA1097" s="4"/>
      <c r="AB1097" s="4"/>
      <c r="AC1097" s="4"/>
      <c r="AD1097" s="4"/>
      <c r="AE1097" s="4"/>
      <c r="AF1097" s="81"/>
      <c r="AG1097" s="81"/>
      <c r="AH1097" s="81"/>
      <c r="AI1097" s="4"/>
      <c r="AJ1097" s="81"/>
      <c r="AK1097" s="81"/>
      <c r="AL1097" s="81"/>
    </row>
    <row r="1098" spans="1:38" s="7" customFormat="1">
      <c r="A1098" s="4"/>
      <c r="B1098" s="4"/>
      <c r="C1098" s="4"/>
      <c r="D1098" s="4"/>
      <c r="E1098" s="4"/>
      <c r="F1098" s="28"/>
      <c r="G1098" s="28"/>
      <c r="H1098" s="83"/>
      <c r="I1098" s="4"/>
      <c r="J1098" s="4"/>
      <c r="K1098" s="4"/>
      <c r="L1098" s="4"/>
      <c r="M1098" s="4"/>
      <c r="N1098" s="28"/>
      <c r="O1098" s="4"/>
      <c r="P1098" s="4"/>
      <c r="Q1098" s="4"/>
      <c r="R1098" s="4"/>
      <c r="S1098" s="4"/>
      <c r="T1098" s="4"/>
      <c r="U1098" s="4"/>
      <c r="V1098" s="4"/>
      <c r="W1098" s="4"/>
      <c r="X1098" s="4"/>
      <c r="Y1098" s="4"/>
      <c r="Z1098" s="4"/>
      <c r="AA1098" s="4"/>
      <c r="AB1098" s="4"/>
      <c r="AC1098" s="4"/>
      <c r="AD1098" s="4"/>
      <c r="AE1098" s="4"/>
      <c r="AF1098" s="81"/>
      <c r="AG1098" s="81"/>
      <c r="AH1098" s="81"/>
      <c r="AI1098" s="4"/>
      <c r="AJ1098" s="81"/>
      <c r="AK1098" s="81"/>
      <c r="AL1098" s="81"/>
    </row>
    <row r="1099" spans="1:38" s="7" customFormat="1">
      <c r="A1099" s="4"/>
      <c r="B1099" s="4"/>
      <c r="C1099" s="4"/>
      <c r="D1099" s="4"/>
      <c r="E1099" s="4"/>
      <c r="F1099" s="28"/>
      <c r="G1099" s="28"/>
      <c r="H1099" s="83"/>
      <c r="I1099" s="4"/>
      <c r="J1099" s="4"/>
      <c r="K1099" s="4"/>
      <c r="L1099" s="4"/>
      <c r="M1099" s="4"/>
      <c r="N1099" s="28"/>
      <c r="O1099" s="4"/>
      <c r="P1099" s="4"/>
      <c r="Q1099" s="4"/>
      <c r="R1099" s="4"/>
      <c r="S1099" s="4"/>
      <c r="T1099" s="4"/>
      <c r="U1099" s="4"/>
      <c r="V1099" s="4"/>
      <c r="W1099" s="4"/>
      <c r="X1099" s="4"/>
      <c r="Y1099" s="4"/>
      <c r="Z1099" s="4"/>
      <c r="AA1099" s="4"/>
      <c r="AB1099" s="4"/>
      <c r="AC1099" s="4"/>
      <c r="AD1099" s="4"/>
      <c r="AE1099" s="4"/>
      <c r="AF1099" s="81"/>
      <c r="AG1099" s="81"/>
      <c r="AH1099" s="81"/>
      <c r="AI1099" s="4"/>
      <c r="AJ1099" s="81"/>
      <c r="AK1099" s="81"/>
      <c r="AL1099" s="81"/>
    </row>
    <row r="1100" spans="1:38" s="7" customFormat="1">
      <c r="A1100" s="4"/>
      <c r="B1100" s="4"/>
      <c r="C1100" s="4"/>
      <c r="D1100" s="4"/>
      <c r="E1100" s="4"/>
      <c r="F1100" s="28"/>
      <c r="G1100" s="28"/>
      <c r="H1100" s="83"/>
      <c r="I1100" s="4"/>
      <c r="J1100" s="4"/>
      <c r="K1100" s="4"/>
      <c r="L1100" s="4"/>
      <c r="M1100" s="4"/>
      <c r="N1100" s="28"/>
      <c r="O1100" s="4"/>
      <c r="P1100" s="4"/>
      <c r="Q1100" s="4"/>
      <c r="R1100" s="4"/>
      <c r="S1100" s="4"/>
      <c r="T1100" s="4"/>
      <c r="U1100" s="4"/>
      <c r="V1100" s="4"/>
      <c r="W1100" s="4"/>
      <c r="X1100" s="4"/>
      <c r="Y1100" s="4"/>
      <c r="Z1100" s="4"/>
      <c r="AA1100" s="4"/>
      <c r="AB1100" s="4"/>
      <c r="AC1100" s="4"/>
      <c r="AD1100" s="4"/>
      <c r="AE1100" s="4"/>
      <c r="AF1100" s="81"/>
      <c r="AG1100" s="81"/>
      <c r="AH1100" s="81"/>
      <c r="AI1100" s="4"/>
      <c r="AJ1100" s="81"/>
      <c r="AK1100" s="81"/>
      <c r="AL1100" s="81"/>
    </row>
    <row r="1101" spans="1:38" s="7" customFormat="1">
      <c r="A1101" s="4"/>
      <c r="B1101" s="4"/>
      <c r="C1101" s="4"/>
      <c r="D1101" s="4"/>
      <c r="E1101" s="4"/>
      <c r="F1101" s="28"/>
      <c r="G1101" s="28"/>
      <c r="H1101" s="83"/>
      <c r="I1101" s="4"/>
      <c r="J1101" s="4"/>
      <c r="K1101" s="4"/>
      <c r="L1101" s="4"/>
      <c r="M1101" s="4"/>
      <c r="N1101" s="28"/>
      <c r="O1101" s="4"/>
      <c r="P1101" s="4"/>
      <c r="Q1101" s="4"/>
      <c r="R1101" s="4"/>
      <c r="S1101" s="4"/>
      <c r="T1101" s="4"/>
      <c r="U1101" s="4"/>
      <c r="V1101" s="4"/>
      <c r="W1101" s="4"/>
      <c r="X1101" s="4"/>
      <c r="Y1101" s="4"/>
      <c r="Z1101" s="4"/>
      <c r="AA1101" s="4"/>
      <c r="AB1101" s="4"/>
      <c r="AC1101" s="4"/>
      <c r="AD1101" s="4"/>
      <c r="AE1101" s="4"/>
      <c r="AF1101" s="81"/>
      <c r="AG1101" s="81"/>
      <c r="AH1101" s="81"/>
      <c r="AI1101" s="4"/>
      <c r="AJ1101" s="81"/>
      <c r="AK1101" s="81"/>
      <c r="AL1101" s="81"/>
    </row>
    <row r="1102" spans="1:38" s="7" customFormat="1">
      <c r="A1102" s="4"/>
      <c r="B1102" s="4"/>
      <c r="C1102" s="4"/>
      <c r="D1102" s="4"/>
      <c r="E1102" s="4"/>
      <c r="F1102" s="28"/>
      <c r="G1102" s="28"/>
      <c r="H1102" s="83"/>
      <c r="I1102" s="4"/>
      <c r="J1102" s="4"/>
      <c r="K1102" s="4"/>
      <c r="L1102" s="4"/>
      <c r="M1102" s="4"/>
      <c r="N1102" s="28"/>
      <c r="O1102" s="4"/>
      <c r="P1102" s="4"/>
      <c r="Q1102" s="4"/>
      <c r="R1102" s="4"/>
      <c r="S1102" s="4"/>
      <c r="T1102" s="4"/>
      <c r="U1102" s="4"/>
      <c r="V1102" s="4"/>
      <c r="W1102" s="4"/>
      <c r="X1102" s="4"/>
      <c r="Y1102" s="4"/>
      <c r="Z1102" s="4"/>
      <c r="AA1102" s="4"/>
      <c r="AB1102" s="4"/>
      <c r="AC1102" s="4"/>
      <c r="AD1102" s="4"/>
      <c r="AE1102" s="4"/>
      <c r="AF1102" s="81"/>
      <c r="AG1102" s="81"/>
      <c r="AH1102" s="81"/>
      <c r="AI1102" s="4"/>
      <c r="AJ1102" s="81"/>
      <c r="AK1102" s="81"/>
      <c r="AL1102" s="81"/>
    </row>
    <row r="1103" spans="1:38" s="7" customFormat="1">
      <c r="A1103" s="4"/>
      <c r="B1103" s="4"/>
      <c r="C1103" s="4"/>
      <c r="D1103" s="4"/>
      <c r="E1103" s="4"/>
      <c r="F1103" s="28"/>
      <c r="G1103" s="28"/>
      <c r="H1103" s="83"/>
      <c r="I1103" s="4"/>
      <c r="J1103" s="4"/>
      <c r="K1103" s="4"/>
      <c r="L1103" s="4"/>
      <c r="M1103" s="4"/>
      <c r="N1103" s="28"/>
      <c r="O1103" s="4"/>
      <c r="P1103" s="4"/>
      <c r="Q1103" s="4"/>
      <c r="R1103" s="4"/>
      <c r="S1103" s="4"/>
      <c r="T1103" s="4"/>
      <c r="U1103" s="4"/>
      <c r="V1103" s="4"/>
      <c r="W1103" s="4"/>
      <c r="X1103" s="4"/>
      <c r="Y1103" s="4"/>
      <c r="Z1103" s="4"/>
      <c r="AA1103" s="4"/>
      <c r="AB1103" s="4"/>
      <c r="AC1103" s="4"/>
      <c r="AD1103" s="4"/>
      <c r="AE1103" s="4"/>
      <c r="AF1103" s="81"/>
      <c r="AG1103" s="81"/>
      <c r="AH1103" s="81"/>
      <c r="AI1103" s="4"/>
      <c r="AJ1103" s="81"/>
      <c r="AK1103" s="81"/>
      <c r="AL1103" s="81"/>
    </row>
    <row r="1104" spans="1:38" s="7" customFormat="1">
      <c r="A1104" s="4"/>
      <c r="B1104" s="4"/>
      <c r="C1104" s="4"/>
      <c r="D1104" s="4"/>
      <c r="E1104" s="4"/>
      <c r="F1104" s="28"/>
      <c r="G1104" s="28"/>
      <c r="H1104" s="83"/>
      <c r="I1104" s="4"/>
      <c r="J1104" s="4"/>
      <c r="K1104" s="4"/>
      <c r="L1104" s="4"/>
      <c r="M1104" s="4"/>
      <c r="N1104" s="28"/>
      <c r="O1104" s="4"/>
      <c r="P1104" s="4"/>
      <c r="Q1104" s="4"/>
      <c r="R1104" s="4"/>
      <c r="S1104" s="4"/>
      <c r="T1104" s="4"/>
      <c r="U1104" s="4"/>
      <c r="V1104" s="4"/>
      <c r="W1104" s="4"/>
      <c r="X1104" s="4"/>
      <c r="Y1104" s="4"/>
      <c r="Z1104" s="4"/>
      <c r="AA1104" s="4"/>
      <c r="AB1104" s="4"/>
      <c r="AC1104" s="4"/>
      <c r="AD1104" s="4"/>
      <c r="AE1104" s="4"/>
      <c r="AF1104" s="81"/>
      <c r="AG1104" s="81"/>
      <c r="AH1104" s="81"/>
      <c r="AI1104" s="4"/>
      <c r="AJ1104" s="81"/>
      <c r="AK1104" s="81"/>
      <c r="AL1104" s="81"/>
    </row>
    <row r="1105" spans="1:38" s="7" customFormat="1">
      <c r="A1105" s="4"/>
      <c r="B1105" s="4"/>
      <c r="C1105" s="4"/>
      <c r="D1105" s="4"/>
      <c r="E1105" s="4"/>
      <c r="F1105" s="28"/>
      <c r="G1105" s="28"/>
      <c r="H1105" s="83"/>
      <c r="I1105" s="4"/>
      <c r="J1105" s="4"/>
      <c r="K1105" s="4"/>
      <c r="L1105" s="4"/>
      <c r="M1105" s="4"/>
      <c r="N1105" s="28"/>
      <c r="O1105" s="4"/>
      <c r="P1105" s="4"/>
      <c r="Q1105" s="4"/>
      <c r="R1105" s="4"/>
      <c r="S1105" s="4"/>
      <c r="T1105" s="4"/>
      <c r="U1105" s="4"/>
      <c r="V1105" s="4"/>
      <c r="W1105" s="4"/>
      <c r="X1105" s="4"/>
      <c r="Y1105" s="4"/>
      <c r="Z1105" s="4"/>
      <c r="AA1105" s="4"/>
      <c r="AB1105" s="4"/>
      <c r="AC1105" s="4"/>
      <c r="AD1105" s="4"/>
      <c r="AE1105" s="4"/>
      <c r="AF1105" s="81"/>
      <c r="AG1105" s="81"/>
      <c r="AH1105" s="81"/>
      <c r="AI1105" s="4"/>
      <c r="AJ1105" s="81"/>
      <c r="AK1105" s="81"/>
      <c r="AL1105" s="81"/>
    </row>
    <row r="1106" spans="1:38" s="7" customFormat="1">
      <c r="A1106" s="4"/>
      <c r="B1106" s="4"/>
      <c r="C1106" s="4"/>
      <c r="D1106" s="4"/>
      <c r="E1106" s="4"/>
      <c r="F1106" s="28"/>
      <c r="G1106" s="28"/>
      <c r="H1106" s="83"/>
      <c r="I1106" s="4"/>
      <c r="J1106" s="4"/>
      <c r="K1106" s="4"/>
      <c r="L1106" s="4"/>
      <c r="M1106" s="4"/>
      <c r="N1106" s="28"/>
      <c r="O1106" s="4"/>
      <c r="P1106" s="4"/>
      <c r="Q1106" s="4"/>
      <c r="R1106" s="4"/>
      <c r="S1106" s="4"/>
      <c r="T1106" s="4"/>
      <c r="U1106" s="4"/>
      <c r="V1106" s="4"/>
      <c r="W1106" s="4"/>
      <c r="X1106" s="4"/>
      <c r="Y1106" s="4"/>
      <c r="Z1106" s="4"/>
      <c r="AA1106" s="4"/>
      <c r="AB1106" s="4"/>
      <c r="AC1106" s="4"/>
      <c r="AD1106" s="4"/>
      <c r="AE1106" s="4"/>
      <c r="AF1106" s="81"/>
      <c r="AG1106" s="81"/>
      <c r="AH1106" s="81"/>
      <c r="AI1106" s="4"/>
      <c r="AJ1106" s="81"/>
      <c r="AK1106" s="81"/>
      <c r="AL1106" s="81"/>
    </row>
    <row r="1107" spans="1:38" s="7" customFormat="1">
      <c r="A1107" s="4"/>
      <c r="B1107" s="4"/>
      <c r="C1107" s="4"/>
      <c r="D1107" s="4"/>
      <c r="E1107" s="4"/>
      <c r="F1107" s="28"/>
      <c r="G1107" s="28"/>
      <c r="H1107" s="83"/>
      <c r="I1107" s="4"/>
      <c r="J1107" s="4"/>
      <c r="K1107" s="4"/>
      <c r="L1107" s="4"/>
      <c r="M1107" s="4"/>
      <c r="N1107" s="28"/>
      <c r="O1107" s="4"/>
      <c r="P1107" s="4"/>
      <c r="Q1107" s="4"/>
      <c r="R1107" s="4"/>
      <c r="S1107" s="4"/>
      <c r="T1107" s="4"/>
      <c r="U1107" s="4"/>
      <c r="V1107" s="4"/>
      <c r="W1107" s="4"/>
      <c r="X1107" s="4"/>
      <c r="Y1107" s="4"/>
      <c r="Z1107" s="4"/>
      <c r="AA1107" s="4"/>
      <c r="AB1107" s="4"/>
      <c r="AC1107" s="4"/>
      <c r="AD1107" s="4"/>
      <c r="AE1107" s="4"/>
      <c r="AF1107" s="81"/>
      <c r="AG1107" s="81"/>
      <c r="AH1107" s="81"/>
      <c r="AI1107" s="4"/>
      <c r="AJ1107" s="81"/>
      <c r="AK1107" s="81"/>
      <c r="AL1107" s="81"/>
    </row>
    <row r="1108" spans="1:38" s="7" customFormat="1">
      <c r="A1108" s="4"/>
      <c r="B1108" s="4"/>
      <c r="C1108" s="4"/>
      <c r="D1108" s="4"/>
      <c r="E1108" s="4"/>
      <c r="F1108" s="28"/>
      <c r="G1108" s="28"/>
      <c r="H1108" s="83"/>
      <c r="I1108" s="4"/>
      <c r="J1108" s="4"/>
      <c r="K1108" s="4"/>
      <c r="L1108" s="4"/>
      <c r="M1108" s="4"/>
      <c r="N1108" s="28"/>
      <c r="O1108" s="4"/>
      <c r="P1108" s="4"/>
      <c r="Q1108" s="4"/>
      <c r="R1108" s="4"/>
      <c r="S1108" s="4"/>
      <c r="T1108" s="4"/>
      <c r="U1108" s="4"/>
      <c r="V1108" s="4"/>
      <c r="W1108" s="4"/>
      <c r="X1108" s="4"/>
      <c r="Y1108" s="4"/>
      <c r="Z1108" s="4"/>
      <c r="AA1108" s="4"/>
      <c r="AB1108" s="4"/>
      <c r="AC1108" s="4"/>
      <c r="AD1108" s="4"/>
      <c r="AE1108" s="4"/>
      <c r="AF1108" s="81"/>
      <c r="AG1108" s="81"/>
      <c r="AH1108" s="81"/>
      <c r="AI1108" s="4"/>
      <c r="AJ1108" s="81"/>
      <c r="AK1108" s="81"/>
      <c r="AL1108" s="81"/>
    </row>
    <row r="1109" spans="1:38" s="7" customFormat="1">
      <c r="A1109" s="4"/>
      <c r="B1109" s="4"/>
      <c r="C1109" s="4"/>
      <c r="D1109" s="4"/>
      <c r="E1109" s="4"/>
      <c r="F1109" s="28"/>
      <c r="G1109" s="28"/>
      <c r="H1109" s="83"/>
      <c r="I1109" s="4"/>
      <c r="J1109" s="4"/>
      <c r="K1109" s="4"/>
      <c r="L1109" s="4"/>
      <c r="M1109" s="4"/>
      <c r="N1109" s="28"/>
      <c r="O1109" s="4"/>
      <c r="P1109" s="4"/>
      <c r="Q1109" s="4"/>
      <c r="R1109" s="4"/>
      <c r="S1109" s="4"/>
      <c r="T1109" s="4"/>
      <c r="U1109" s="4"/>
      <c r="V1109" s="4"/>
      <c r="W1109" s="4"/>
      <c r="X1109" s="4"/>
      <c r="Y1109" s="4"/>
      <c r="Z1109" s="4"/>
      <c r="AA1109" s="4"/>
      <c r="AB1109" s="4"/>
      <c r="AC1109" s="4"/>
      <c r="AD1109" s="4"/>
      <c r="AE1109" s="4"/>
      <c r="AF1109" s="81"/>
      <c r="AG1109" s="81"/>
      <c r="AH1109" s="81"/>
      <c r="AI1109" s="4"/>
      <c r="AJ1109" s="81"/>
      <c r="AK1109" s="81"/>
      <c r="AL1109" s="81"/>
    </row>
    <row r="1110" spans="1:38" s="7" customFormat="1">
      <c r="A1110" s="4"/>
      <c r="B1110" s="4"/>
      <c r="C1110" s="4"/>
      <c r="D1110" s="4"/>
      <c r="E1110" s="4"/>
      <c r="F1110" s="28"/>
      <c r="G1110" s="28"/>
      <c r="H1110" s="83"/>
      <c r="I1110" s="4"/>
      <c r="J1110" s="4"/>
      <c r="K1110" s="4"/>
      <c r="L1110" s="4"/>
      <c r="M1110" s="4"/>
      <c r="N1110" s="28"/>
      <c r="O1110" s="4"/>
      <c r="P1110" s="4"/>
      <c r="Q1110" s="4"/>
      <c r="R1110" s="4"/>
      <c r="S1110" s="4"/>
      <c r="T1110" s="4"/>
      <c r="U1110" s="4"/>
      <c r="V1110" s="4"/>
      <c r="W1110" s="4"/>
      <c r="X1110" s="4"/>
      <c r="Y1110" s="4"/>
      <c r="Z1110" s="4"/>
      <c r="AA1110" s="4"/>
      <c r="AB1110" s="4"/>
      <c r="AC1110" s="4"/>
      <c r="AD1110" s="4"/>
      <c r="AE1110" s="4"/>
      <c r="AF1110" s="81"/>
      <c r="AG1110" s="81"/>
      <c r="AH1110" s="81"/>
      <c r="AI1110" s="4"/>
      <c r="AJ1110" s="81"/>
      <c r="AK1110" s="81"/>
      <c r="AL1110" s="81"/>
    </row>
    <row r="1111" spans="1:38" s="7" customFormat="1">
      <c r="A1111" s="4"/>
      <c r="B1111" s="4"/>
      <c r="C1111" s="4"/>
      <c r="D1111" s="4"/>
      <c r="E1111" s="4"/>
      <c r="F1111" s="28"/>
      <c r="G1111" s="28"/>
      <c r="H1111" s="83"/>
      <c r="I1111" s="4"/>
      <c r="J1111" s="4"/>
      <c r="K1111" s="4"/>
      <c r="L1111" s="4"/>
      <c r="M1111" s="4"/>
      <c r="N1111" s="28"/>
      <c r="O1111" s="4"/>
      <c r="P1111" s="4"/>
      <c r="Q1111" s="4"/>
      <c r="R1111" s="4"/>
      <c r="S1111" s="4"/>
      <c r="T1111" s="4"/>
      <c r="U1111" s="4"/>
      <c r="V1111" s="4"/>
      <c r="W1111" s="4"/>
      <c r="X1111" s="4"/>
      <c r="Y1111" s="4"/>
      <c r="Z1111" s="4"/>
      <c r="AA1111" s="4"/>
      <c r="AB1111" s="4"/>
      <c r="AC1111" s="4"/>
      <c r="AD1111" s="4"/>
      <c r="AE1111" s="4"/>
      <c r="AF1111" s="81"/>
      <c r="AG1111" s="81"/>
      <c r="AH1111" s="81"/>
      <c r="AI1111" s="4"/>
      <c r="AJ1111" s="81"/>
      <c r="AK1111" s="81"/>
      <c r="AL1111" s="81"/>
    </row>
    <row r="1112" spans="1:38" s="7" customFormat="1">
      <c r="A1112" s="4"/>
      <c r="B1112" s="4"/>
      <c r="C1112" s="4"/>
      <c r="D1112" s="4"/>
      <c r="E1112" s="4"/>
      <c r="F1112" s="28"/>
      <c r="G1112" s="28"/>
      <c r="H1112" s="83"/>
      <c r="I1112" s="4"/>
      <c r="J1112" s="4"/>
      <c r="K1112" s="4"/>
      <c r="L1112" s="4"/>
      <c r="M1112" s="4"/>
      <c r="N1112" s="28"/>
      <c r="O1112" s="4"/>
      <c r="P1112" s="4"/>
      <c r="Q1112" s="4"/>
      <c r="R1112" s="4"/>
      <c r="S1112" s="4"/>
      <c r="T1112" s="4"/>
      <c r="U1112" s="4"/>
      <c r="V1112" s="4"/>
      <c r="W1112" s="4"/>
      <c r="X1112" s="4"/>
      <c r="Y1112" s="4"/>
      <c r="Z1112" s="4"/>
      <c r="AA1112" s="4"/>
      <c r="AB1112" s="4"/>
      <c r="AC1112" s="4"/>
      <c r="AD1112" s="4"/>
      <c r="AE1112" s="4"/>
      <c r="AF1112" s="81"/>
      <c r="AG1112" s="81"/>
      <c r="AH1112" s="81"/>
      <c r="AI1112" s="4"/>
      <c r="AJ1112" s="81"/>
      <c r="AK1112" s="81"/>
      <c r="AL1112" s="81"/>
    </row>
    <row r="1113" spans="1:38" s="7" customFormat="1">
      <c r="A1113" s="4"/>
      <c r="B1113" s="4"/>
      <c r="C1113" s="4"/>
      <c r="D1113" s="4"/>
      <c r="E1113" s="4"/>
      <c r="F1113" s="28"/>
      <c r="G1113" s="28"/>
      <c r="H1113" s="83"/>
      <c r="I1113" s="4"/>
      <c r="J1113" s="4"/>
      <c r="K1113" s="4"/>
      <c r="L1113" s="4"/>
      <c r="M1113" s="4"/>
      <c r="N1113" s="28"/>
      <c r="O1113" s="4"/>
      <c r="P1113" s="4"/>
      <c r="Q1113" s="4"/>
      <c r="R1113" s="4"/>
      <c r="S1113" s="4"/>
      <c r="T1113" s="4"/>
      <c r="U1113" s="4"/>
      <c r="V1113" s="4"/>
      <c r="W1113" s="4"/>
      <c r="X1113" s="4"/>
      <c r="Y1113" s="4"/>
      <c r="Z1113" s="4"/>
      <c r="AA1113" s="4"/>
      <c r="AB1113" s="4"/>
      <c r="AC1113" s="4"/>
      <c r="AD1113" s="4"/>
      <c r="AE1113" s="4"/>
      <c r="AF1113" s="81"/>
      <c r="AG1113" s="81"/>
      <c r="AH1113" s="81"/>
      <c r="AI1113" s="4"/>
      <c r="AJ1113" s="81"/>
      <c r="AK1113" s="81"/>
      <c r="AL1113" s="81"/>
    </row>
    <row r="1114" spans="1:38" s="7" customFormat="1">
      <c r="A1114" s="4"/>
      <c r="B1114" s="4"/>
      <c r="C1114" s="4"/>
      <c r="D1114" s="4"/>
      <c r="E1114" s="4"/>
      <c r="F1114" s="28"/>
      <c r="G1114" s="28"/>
      <c r="H1114" s="83"/>
      <c r="I1114" s="4"/>
      <c r="J1114" s="4"/>
      <c r="K1114" s="4"/>
      <c r="L1114" s="4"/>
      <c r="M1114" s="4"/>
      <c r="N1114" s="28"/>
      <c r="O1114" s="4"/>
      <c r="P1114" s="4"/>
      <c r="Q1114" s="4"/>
      <c r="R1114" s="4"/>
      <c r="S1114" s="4"/>
      <c r="T1114" s="4"/>
      <c r="U1114" s="4"/>
      <c r="V1114" s="4"/>
      <c r="W1114" s="4"/>
      <c r="X1114" s="4"/>
      <c r="Y1114" s="4"/>
      <c r="Z1114" s="4"/>
      <c r="AA1114" s="4"/>
      <c r="AB1114" s="4"/>
      <c r="AC1114" s="4"/>
      <c r="AD1114" s="4"/>
      <c r="AE1114" s="4"/>
      <c r="AF1114" s="81"/>
      <c r="AG1114" s="81"/>
      <c r="AH1114" s="81"/>
      <c r="AI1114" s="4"/>
      <c r="AJ1114" s="81"/>
      <c r="AK1114" s="81"/>
      <c r="AL1114" s="81"/>
    </row>
    <row r="1115" spans="1:38" s="7" customFormat="1">
      <c r="A1115" s="4"/>
      <c r="B1115" s="4"/>
      <c r="C1115" s="4"/>
      <c r="D1115" s="4"/>
      <c r="E1115" s="4"/>
      <c r="F1115" s="28"/>
      <c r="G1115" s="28"/>
      <c r="H1115" s="83"/>
      <c r="I1115" s="4"/>
      <c r="J1115" s="4"/>
      <c r="K1115" s="4"/>
      <c r="L1115" s="4"/>
      <c r="M1115" s="4"/>
      <c r="N1115" s="28"/>
      <c r="O1115" s="4"/>
      <c r="P1115" s="4"/>
      <c r="Q1115" s="4"/>
      <c r="R1115" s="4"/>
      <c r="S1115" s="4"/>
      <c r="T1115" s="4"/>
      <c r="U1115" s="4"/>
      <c r="V1115" s="4"/>
      <c r="W1115" s="4"/>
      <c r="X1115" s="4"/>
      <c r="Y1115" s="4"/>
      <c r="Z1115" s="4"/>
      <c r="AA1115" s="4"/>
      <c r="AB1115" s="4"/>
      <c r="AC1115" s="4"/>
      <c r="AD1115" s="4"/>
      <c r="AE1115" s="4"/>
      <c r="AF1115" s="81"/>
      <c r="AG1115" s="81"/>
      <c r="AH1115" s="81"/>
      <c r="AI1115" s="4"/>
      <c r="AJ1115" s="81"/>
      <c r="AK1115" s="81"/>
      <c r="AL1115" s="81"/>
    </row>
    <row r="1116" spans="1:38" s="7" customFormat="1">
      <c r="A1116" s="4"/>
      <c r="B1116" s="4"/>
      <c r="C1116" s="4"/>
      <c r="D1116" s="4"/>
      <c r="E1116" s="4"/>
      <c r="F1116" s="28"/>
      <c r="G1116" s="28"/>
      <c r="H1116" s="83"/>
      <c r="I1116" s="4"/>
      <c r="J1116" s="4"/>
      <c r="K1116" s="4"/>
      <c r="L1116" s="4"/>
      <c r="M1116" s="4"/>
      <c r="N1116" s="28"/>
      <c r="O1116" s="4"/>
      <c r="P1116" s="4"/>
      <c r="Q1116" s="4"/>
      <c r="R1116" s="4"/>
      <c r="S1116" s="4"/>
      <c r="T1116" s="4"/>
      <c r="U1116" s="4"/>
      <c r="V1116" s="4"/>
      <c r="W1116" s="4"/>
      <c r="X1116" s="4"/>
      <c r="Y1116" s="4"/>
      <c r="Z1116" s="4"/>
      <c r="AA1116" s="4"/>
      <c r="AB1116" s="4"/>
      <c r="AC1116" s="4"/>
      <c r="AD1116" s="4"/>
      <c r="AE1116" s="4"/>
      <c r="AF1116" s="81"/>
      <c r="AG1116" s="81"/>
      <c r="AH1116" s="81"/>
      <c r="AI1116" s="4"/>
      <c r="AJ1116" s="81"/>
      <c r="AK1116" s="81"/>
      <c r="AL1116" s="81"/>
    </row>
    <row r="1117" spans="1:38" s="7" customFormat="1">
      <c r="A1117" s="4"/>
      <c r="B1117" s="4"/>
      <c r="C1117" s="4"/>
      <c r="D1117" s="4"/>
      <c r="E1117" s="4"/>
      <c r="F1117" s="28"/>
      <c r="G1117" s="28"/>
      <c r="H1117" s="83"/>
      <c r="I1117" s="4"/>
      <c r="J1117" s="4"/>
      <c r="K1117" s="4"/>
      <c r="L1117" s="4"/>
      <c r="M1117" s="4"/>
      <c r="N1117" s="28"/>
      <c r="O1117" s="4"/>
      <c r="P1117" s="4"/>
      <c r="Q1117" s="4"/>
      <c r="R1117" s="4"/>
      <c r="S1117" s="4"/>
      <c r="T1117" s="4"/>
      <c r="U1117" s="4"/>
      <c r="V1117" s="4"/>
      <c r="W1117" s="4"/>
      <c r="X1117" s="4"/>
      <c r="Y1117" s="4"/>
      <c r="Z1117" s="4"/>
      <c r="AA1117" s="4"/>
      <c r="AB1117" s="4"/>
      <c r="AC1117" s="4"/>
      <c r="AD1117" s="4"/>
      <c r="AE1117" s="4"/>
      <c r="AF1117" s="81"/>
      <c r="AG1117" s="81"/>
      <c r="AH1117" s="81"/>
      <c r="AI1117" s="4"/>
      <c r="AJ1117" s="81"/>
      <c r="AK1117" s="81"/>
      <c r="AL1117" s="81"/>
    </row>
    <row r="1118" spans="1:38" s="7" customFormat="1">
      <c r="A1118" s="4"/>
      <c r="B1118" s="4"/>
      <c r="C1118" s="4"/>
      <c r="D1118" s="4"/>
      <c r="E1118" s="4"/>
      <c r="F1118" s="28"/>
      <c r="G1118" s="28"/>
      <c r="H1118" s="83"/>
      <c r="I1118" s="4"/>
      <c r="J1118" s="4"/>
      <c r="K1118" s="4"/>
      <c r="L1118" s="4"/>
      <c r="M1118" s="4"/>
      <c r="N1118" s="28"/>
      <c r="O1118" s="4"/>
      <c r="P1118" s="4"/>
      <c r="Q1118" s="4"/>
      <c r="R1118" s="4"/>
      <c r="S1118" s="4"/>
      <c r="T1118" s="4"/>
      <c r="U1118" s="4"/>
      <c r="V1118" s="4"/>
      <c r="W1118" s="4"/>
      <c r="X1118" s="4"/>
      <c r="Y1118" s="4"/>
      <c r="Z1118" s="4"/>
      <c r="AA1118" s="4"/>
      <c r="AB1118" s="4"/>
      <c r="AC1118" s="4"/>
      <c r="AD1118" s="4"/>
      <c r="AE1118" s="4"/>
      <c r="AF1118" s="81"/>
      <c r="AG1118" s="81"/>
      <c r="AH1118" s="81"/>
      <c r="AI1118" s="4"/>
      <c r="AJ1118" s="81"/>
      <c r="AK1118" s="81"/>
      <c r="AL1118" s="81"/>
    </row>
    <row r="1119" spans="1:38" s="7" customFormat="1">
      <c r="A1119" s="4"/>
      <c r="B1119" s="4"/>
      <c r="C1119" s="4"/>
      <c r="D1119" s="4"/>
      <c r="E1119" s="4"/>
      <c r="F1119" s="28"/>
      <c r="G1119" s="28"/>
      <c r="H1119" s="83"/>
      <c r="I1119" s="4"/>
      <c r="J1119" s="4"/>
      <c r="K1119" s="4"/>
      <c r="L1119" s="4"/>
      <c r="M1119" s="4"/>
      <c r="N1119" s="28"/>
      <c r="O1119" s="4"/>
      <c r="P1119" s="4"/>
      <c r="Q1119" s="4"/>
      <c r="R1119" s="4"/>
      <c r="S1119" s="4"/>
      <c r="T1119" s="4"/>
      <c r="U1119" s="4"/>
      <c r="V1119" s="4"/>
      <c r="W1119" s="4"/>
      <c r="X1119" s="4"/>
      <c r="Y1119" s="4"/>
      <c r="Z1119" s="4"/>
      <c r="AA1119" s="4"/>
      <c r="AB1119" s="4"/>
      <c r="AC1119" s="4"/>
      <c r="AD1119" s="4"/>
      <c r="AE1119" s="4"/>
      <c r="AF1119" s="81"/>
      <c r="AG1119" s="81"/>
      <c r="AH1119" s="81"/>
      <c r="AI1119" s="4"/>
      <c r="AJ1119" s="81"/>
      <c r="AK1119" s="81"/>
      <c r="AL1119" s="81"/>
    </row>
    <row r="1120" spans="1:38" s="7" customFormat="1">
      <c r="A1120" s="4"/>
      <c r="B1120" s="4"/>
      <c r="C1120" s="4"/>
      <c r="D1120" s="4"/>
      <c r="E1120" s="4"/>
      <c r="F1120" s="28"/>
      <c r="G1120" s="28"/>
      <c r="H1120" s="83"/>
      <c r="I1120" s="4"/>
      <c r="J1120" s="4"/>
      <c r="K1120" s="4"/>
      <c r="L1120" s="4"/>
      <c r="M1120" s="4"/>
      <c r="N1120" s="28"/>
      <c r="O1120" s="4"/>
      <c r="P1120" s="4"/>
      <c r="Q1120" s="4"/>
      <c r="R1120" s="4"/>
      <c r="S1120" s="4"/>
      <c r="T1120" s="4"/>
      <c r="U1120" s="4"/>
      <c r="V1120" s="4"/>
      <c r="W1120" s="4"/>
      <c r="X1120" s="4"/>
      <c r="Y1120" s="4"/>
      <c r="Z1120" s="4"/>
      <c r="AA1120" s="4"/>
      <c r="AB1120" s="4"/>
      <c r="AC1120" s="4"/>
      <c r="AD1120" s="4"/>
      <c r="AE1120" s="4"/>
      <c r="AF1120" s="81"/>
      <c r="AG1120" s="81"/>
      <c r="AH1120" s="81"/>
      <c r="AI1120" s="4"/>
      <c r="AJ1120" s="81"/>
      <c r="AK1120" s="81"/>
      <c r="AL1120" s="81"/>
    </row>
    <row r="1121" spans="1:38" s="7" customFormat="1">
      <c r="A1121" s="4"/>
      <c r="B1121" s="4"/>
      <c r="C1121" s="4"/>
      <c r="D1121" s="4"/>
      <c r="E1121" s="4"/>
      <c r="F1121" s="28"/>
      <c r="G1121" s="28"/>
      <c r="H1121" s="83"/>
      <c r="I1121" s="4"/>
      <c r="J1121" s="4"/>
      <c r="K1121" s="4"/>
      <c r="L1121" s="4"/>
      <c r="M1121" s="4"/>
      <c r="N1121" s="28"/>
      <c r="O1121" s="4"/>
      <c r="P1121" s="4"/>
      <c r="Q1121" s="4"/>
      <c r="R1121" s="4"/>
      <c r="S1121" s="4"/>
      <c r="T1121" s="4"/>
      <c r="U1121" s="4"/>
      <c r="V1121" s="4"/>
      <c r="W1121" s="4"/>
      <c r="X1121" s="4"/>
      <c r="Y1121" s="4"/>
      <c r="Z1121" s="4"/>
      <c r="AA1121" s="4"/>
      <c r="AB1121" s="4"/>
      <c r="AC1121" s="4"/>
      <c r="AD1121" s="4"/>
      <c r="AE1121" s="4"/>
      <c r="AF1121" s="81"/>
      <c r="AG1121" s="81"/>
      <c r="AH1121" s="81"/>
      <c r="AI1121" s="4"/>
      <c r="AJ1121" s="81"/>
      <c r="AK1121" s="81"/>
      <c r="AL1121" s="81"/>
    </row>
    <row r="1122" spans="1:38" s="7" customFormat="1">
      <c r="A1122" s="4"/>
      <c r="B1122" s="4"/>
      <c r="C1122" s="4"/>
      <c r="D1122" s="4"/>
      <c r="E1122" s="4"/>
      <c r="F1122" s="28"/>
      <c r="G1122" s="28"/>
      <c r="H1122" s="83"/>
      <c r="I1122" s="4"/>
      <c r="J1122" s="4"/>
      <c r="K1122" s="4"/>
      <c r="L1122" s="4"/>
      <c r="M1122" s="4"/>
      <c r="N1122" s="28"/>
      <c r="O1122" s="4"/>
      <c r="P1122" s="4"/>
      <c r="Q1122" s="4"/>
      <c r="R1122" s="4"/>
      <c r="S1122" s="4"/>
      <c r="T1122" s="4"/>
      <c r="U1122" s="4"/>
      <c r="V1122" s="4"/>
      <c r="W1122" s="4"/>
      <c r="X1122" s="4"/>
      <c r="Y1122" s="4"/>
      <c r="Z1122" s="4"/>
      <c r="AA1122" s="4"/>
      <c r="AB1122" s="4"/>
      <c r="AC1122" s="4"/>
      <c r="AD1122" s="4"/>
      <c r="AE1122" s="4"/>
      <c r="AF1122" s="81"/>
      <c r="AG1122" s="81"/>
      <c r="AH1122" s="81"/>
      <c r="AI1122" s="4"/>
      <c r="AJ1122" s="81"/>
      <c r="AK1122" s="81"/>
      <c r="AL1122" s="81"/>
    </row>
    <row r="1123" spans="1:38" s="7" customFormat="1">
      <c r="A1123" s="4"/>
      <c r="B1123" s="4"/>
      <c r="C1123" s="4"/>
      <c r="D1123" s="4"/>
      <c r="E1123" s="4"/>
      <c r="F1123" s="28"/>
      <c r="G1123" s="28"/>
      <c r="H1123" s="83"/>
      <c r="I1123" s="4"/>
      <c r="J1123" s="4"/>
      <c r="K1123" s="4"/>
      <c r="L1123" s="4"/>
      <c r="M1123" s="4"/>
      <c r="N1123" s="28"/>
      <c r="O1123" s="4"/>
      <c r="P1123" s="4"/>
      <c r="Q1123" s="4"/>
      <c r="R1123" s="4"/>
      <c r="S1123" s="4"/>
      <c r="T1123" s="4"/>
      <c r="U1123" s="4"/>
      <c r="V1123" s="4"/>
      <c r="W1123" s="4"/>
      <c r="X1123" s="4"/>
      <c r="Y1123" s="4"/>
      <c r="Z1123" s="4"/>
      <c r="AA1123" s="4"/>
      <c r="AB1123" s="4"/>
      <c r="AC1123" s="4"/>
      <c r="AD1123" s="4"/>
      <c r="AE1123" s="4"/>
      <c r="AF1123" s="81"/>
      <c r="AG1123" s="81"/>
      <c r="AH1123" s="81"/>
      <c r="AI1123" s="4"/>
      <c r="AJ1123" s="81"/>
      <c r="AK1123" s="81"/>
      <c r="AL1123" s="81"/>
    </row>
    <row r="1124" spans="1:38" s="7" customFormat="1">
      <c r="A1124" s="4"/>
      <c r="B1124" s="4"/>
      <c r="C1124" s="4"/>
      <c r="D1124" s="4"/>
      <c r="E1124" s="4"/>
      <c r="F1124" s="28"/>
      <c r="G1124" s="28"/>
      <c r="H1124" s="83"/>
      <c r="I1124" s="4"/>
      <c r="J1124" s="4"/>
      <c r="K1124" s="4"/>
      <c r="L1124" s="4"/>
      <c r="M1124" s="4"/>
      <c r="N1124" s="28"/>
      <c r="O1124" s="4"/>
      <c r="P1124" s="4"/>
      <c r="Q1124" s="4"/>
      <c r="R1124" s="4"/>
      <c r="S1124" s="4"/>
      <c r="T1124" s="4"/>
      <c r="U1124" s="4"/>
      <c r="V1124" s="4"/>
      <c r="W1124" s="4"/>
      <c r="X1124" s="4"/>
      <c r="Y1124" s="4"/>
      <c r="Z1124" s="4"/>
      <c r="AA1124" s="4"/>
      <c r="AB1124" s="4"/>
      <c r="AC1124" s="4"/>
      <c r="AD1124" s="4"/>
      <c r="AE1124" s="4"/>
      <c r="AF1124" s="81"/>
      <c r="AG1124" s="81"/>
      <c r="AH1124" s="81"/>
      <c r="AI1124" s="4"/>
      <c r="AJ1124" s="81"/>
      <c r="AK1124" s="81"/>
      <c r="AL1124" s="81"/>
    </row>
    <row r="1125" spans="1:38" s="7" customFormat="1">
      <c r="A1125" s="4"/>
      <c r="B1125" s="4"/>
      <c r="C1125" s="4"/>
      <c r="D1125" s="4"/>
      <c r="E1125" s="4"/>
      <c r="F1125" s="28"/>
      <c r="G1125" s="28"/>
      <c r="H1125" s="83"/>
      <c r="I1125" s="4"/>
      <c r="J1125" s="4"/>
      <c r="K1125" s="4"/>
      <c r="L1125" s="4"/>
      <c r="M1125" s="4"/>
      <c r="N1125" s="28"/>
      <c r="O1125" s="4"/>
      <c r="P1125" s="4"/>
      <c r="Q1125" s="4"/>
      <c r="R1125" s="4"/>
      <c r="S1125" s="4"/>
      <c r="T1125" s="4"/>
      <c r="U1125" s="4"/>
      <c r="V1125" s="4"/>
      <c r="W1125" s="4"/>
      <c r="X1125" s="4"/>
      <c r="Y1125" s="4"/>
      <c r="Z1125" s="4"/>
      <c r="AA1125" s="4"/>
      <c r="AB1125" s="4"/>
      <c r="AC1125" s="4"/>
      <c r="AD1125" s="4"/>
      <c r="AE1125" s="4"/>
      <c r="AF1125" s="81"/>
      <c r="AG1125" s="81"/>
      <c r="AH1125" s="81"/>
      <c r="AI1125" s="4"/>
      <c r="AJ1125" s="81"/>
      <c r="AK1125" s="81"/>
      <c r="AL1125" s="81"/>
    </row>
    <row r="1126" spans="1:38" s="7" customFormat="1">
      <c r="A1126" s="4"/>
      <c r="B1126" s="4"/>
      <c r="C1126" s="4"/>
      <c r="D1126" s="4"/>
      <c r="E1126" s="4"/>
      <c r="F1126" s="28"/>
      <c r="G1126" s="28"/>
      <c r="H1126" s="83"/>
      <c r="I1126" s="4"/>
      <c r="J1126" s="4"/>
      <c r="K1126" s="4"/>
      <c r="L1126" s="4"/>
      <c r="M1126" s="4"/>
      <c r="N1126" s="28"/>
      <c r="O1126" s="4"/>
      <c r="P1126" s="4"/>
      <c r="Q1126" s="4"/>
      <c r="R1126" s="4"/>
      <c r="S1126" s="4"/>
      <c r="T1126" s="4"/>
      <c r="U1126" s="4"/>
      <c r="V1126" s="4"/>
      <c r="W1126" s="4"/>
      <c r="X1126" s="4"/>
      <c r="Y1126" s="4"/>
      <c r="Z1126" s="4"/>
      <c r="AA1126" s="4"/>
      <c r="AB1126" s="4"/>
      <c r="AC1126" s="4"/>
      <c r="AD1126" s="4"/>
      <c r="AE1126" s="4"/>
      <c r="AF1126" s="81"/>
      <c r="AG1126" s="81"/>
      <c r="AH1126" s="81"/>
      <c r="AI1126" s="4"/>
      <c r="AJ1126" s="81"/>
      <c r="AK1126" s="81"/>
      <c r="AL1126" s="81"/>
    </row>
    <row r="1127" spans="1:38" s="7" customFormat="1">
      <c r="A1127" s="4"/>
      <c r="B1127" s="4"/>
      <c r="C1127" s="4"/>
      <c r="D1127" s="4"/>
      <c r="E1127" s="4"/>
      <c r="F1127" s="28"/>
      <c r="G1127" s="28"/>
      <c r="H1127" s="83"/>
      <c r="I1127" s="4"/>
      <c r="J1127" s="4"/>
      <c r="K1127" s="4"/>
      <c r="L1127" s="4"/>
      <c r="M1127" s="4"/>
      <c r="N1127" s="28"/>
      <c r="O1127" s="4"/>
      <c r="P1127" s="4"/>
      <c r="Q1127" s="4"/>
      <c r="R1127" s="4"/>
      <c r="S1127" s="4"/>
      <c r="T1127" s="4"/>
      <c r="U1127" s="4"/>
      <c r="V1127" s="4"/>
      <c r="W1127" s="4"/>
      <c r="X1127" s="4"/>
      <c r="Y1127" s="4"/>
      <c r="Z1127" s="4"/>
      <c r="AA1127" s="4"/>
      <c r="AB1127" s="4"/>
      <c r="AC1127" s="4"/>
      <c r="AD1127" s="4"/>
      <c r="AE1127" s="4"/>
      <c r="AF1127" s="81"/>
      <c r="AG1127" s="81"/>
      <c r="AH1127" s="81"/>
      <c r="AI1127" s="4"/>
      <c r="AJ1127" s="81"/>
      <c r="AK1127" s="81"/>
      <c r="AL1127" s="81"/>
    </row>
    <row r="1128" spans="1:38" s="7" customFormat="1">
      <c r="A1128" s="4"/>
      <c r="B1128" s="4"/>
      <c r="C1128" s="4"/>
      <c r="D1128" s="4"/>
      <c r="E1128" s="4"/>
      <c r="F1128" s="28"/>
      <c r="G1128" s="28"/>
      <c r="H1128" s="83"/>
      <c r="I1128" s="4"/>
      <c r="J1128" s="4"/>
      <c r="K1128" s="4"/>
      <c r="L1128" s="4"/>
      <c r="M1128" s="4"/>
      <c r="N1128" s="28"/>
      <c r="O1128" s="4"/>
      <c r="P1128" s="4"/>
      <c r="Q1128" s="4"/>
      <c r="R1128" s="4"/>
      <c r="S1128" s="4"/>
      <c r="T1128" s="4"/>
      <c r="U1128" s="4"/>
      <c r="V1128" s="4"/>
      <c r="W1128" s="4"/>
      <c r="X1128" s="4"/>
      <c r="Y1128" s="4"/>
      <c r="Z1128" s="4"/>
      <c r="AA1128" s="4"/>
      <c r="AB1128" s="4"/>
      <c r="AC1128" s="4"/>
      <c r="AD1128" s="4"/>
      <c r="AE1128" s="4"/>
      <c r="AF1128" s="81"/>
      <c r="AG1128" s="81"/>
      <c r="AH1128" s="81"/>
      <c r="AI1128" s="4"/>
      <c r="AJ1128" s="81"/>
      <c r="AK1128" s="81"/>
      <c r="AL1128" s="81"/>
    </row>
    <row r="1129" spans="1:38" s="7" customFormat="1">
      <c r="A1129" s="4"/>
      <c r="B1129" s="4"/>
      <c r="C1129" s="4"/>
      <c r="D1129" s="4"/>
      <c r="E1129" s="4"/>
      <c r="F1129" s="28"/>
      <c r="G1129" s="28"/>
      <c r="H1129" s="83"/>
      <c r="I1129" s="4"/>
      <c r="J1129" s="4"/>
      <c r="K1129" s="4"/>
      <c r="L1129" s="4"/>
      <c r="M1129" s="4"/>
      <c r="N1129" s="28"/>
      <c r="O1129" s="4"/>
      <c r="P1129" s="4"/>
      <c r="Q1129" s="4"/>
      <c r="R1129" s="4"/>
      <c r="S1129" s="4"/>
      <c r="T1129" s="4"/>
      <c r="U1129" s="4"/>
      <c r="V1129" s="4"/>
      <c r="W1129" s="4"/>
      <c r="X1129" s="4"/>
      <c r="Y1129" s="4"/>
      <c r="Z1129" s="4"/>
      <c r="AA1129" s="4"/>
      <c r="AB1129" s="4"/>
      <c r="AC1129" s="4"/>
      <c r="AD1129" s="4"/>
      <c r="AE1129" s="4"/>
      <c r="AF1129" s="81"/>
      <c r="AG1129" s="81"/>
      <c r="AH1129" s="81"/>
      <c r="AI1129" s="4"/>
      <c r="AJ1129" s="81"/>
      <c r="AK1129" s="81"/>
      <c r="AL1129" s="81"/>
    </row>
    <row r="1130" spans="1:38" s="7" customFormat="1">
      <c r="A1130" s="4"/>
      <c r="B1130" s="4"/>
      <c r="C1130" s="4"/>
      <c r="D1130" s="4"/>
      <c r="E1130" s="4"/>
      <c r="F1130" s="28"/>
      <c r="G1130" s="28"/>
      <c r="H1130" s="83"/>
      <c r="I1130" s="4"/>
      <c r="J1130" s="4"/>
      <c r="K1130" s="4"/>
      <c r="L1130" s="4"/>
      <c r="M1130" s="4"/>
      <c r="N1130" s="28"/>
      <c r="O1130" s="4"/>
      <c r="P1130" s="4"/>
      <c r="Q1130" s="4"/>
      <c r="R1130" s="4"/>
      <c r="S1130" s="4"/>
      <c r="T1130" s="4"/>
      <c r="U1130" s="4"/>
      <c r="V1130" s="4"/>
      <c r="W1130" s="4"/>
      <c r="X1130" s="4"/>
      <c r="Y1130" s="4"/>
      <c r="Z1130" s="4"/>
      <c r="AA1130" s="4"/>
      <c r="AB1130" s="4"/>
      <c r="AC1130" s="4"/>
      <c r="AD1130" s="4"/>
      <c r="AE1130" s="4"/>
      <c r="AF1130" s="81"/>
      <c r="AG1130" s="81"/>
      <c r="AH1130" s="81"/>
      <c r="AI1130" s="4"/>
      <c r="AJ1130" s="81"/>
      <c r="AK1130" s="81"/>
      <c r="AL1130" s="81"/>
    </row>
    <row r="1131" spans="1:38" s="7" customFormat="1">
      <c r="A1131" s="4"/>
      <c r="B1131" s="4"/>
      <c r="C1131" s="4"/>
      <c r="D1131" s="4"/>
      <c r="E1131" s="4"/>
      <c r="F1131" s="28"/>
      <c r="G1131" s="28"/>
      <c r="H1131" s="83"/>
      <c r="I1131" s="4"/>
      <c r="J1131" s="4"/>
      <c r="K1131" s="4"/>
      <c r="L1131" s="4"/>
      <c r="M1131" s="4"/>
      <c r="N1131" s="28"/>
      <c r="O1131" s="4"/>
      <c r="P1131" s="4"/>
      <c r="Q1131" s="4"/>
      <c r="R1131" s="4"/>
      <c r="S1131" s="4"/>
      <c r="T1131" s="4"/>
      <c r="U1131" s="4"/>
      <c r="V1131" s="4"/>
      <c r="W1131" s="4"/>
      <c r="X1131" s="4"/>
      <c r="Y1131" s="4"/>
      <c r="Z1131" s="4"/>
      <c r="AA1131" s="4"/>
      <c r="AB1131" s="4"/>
      <c r="AC1131" s="4"/>
      <c r="AD1131" s="4"/>
      <c r="AE1131" s="4"/>
      <c r="AF1131" s="81"/>
      <c r="AG1131" s="81"/>
      <c r="AH1131" s="81"/>
      <c r="AI1131" s="4"/>
      <c r="AJ1131" s="81"/>
      <c r="AK1131" s="81"/>
      <c r="AL1131" s="81"/>
    </row>
    <row r="1132" spans="1:38" s="7" customFormat="1">
      <c r="A1132" s="4"/>
      <c r="B1132" s="4"/>
      <c r="C1132" s="4"/>
      <c r="D1132" s="4"/>
      <c r="E1132" s="4"/>
      <c r="F1132" s="28"/>
      <c r="G1132" s="28"/>
      <c r="H1132" s="83"/>
      <c r="I1132" s="4"/>
      <c r="J1132" s="4"/>
      <c r="K1132" s="4"/>
      <c r="L1132" s="4"/>
      <c r="M1132" s="4"/>
      <c r="N1132" s="28"/>
      <c r="O1132" s="4"/>
      <c r="P1132" s="4"/>
      <c r="Q1132" s="4"/>
      <c r="R1132" s="4"/>
      <c r="S1132" s="4"/>
      <c r="T1132" s="4"/>
      <c r="U1132" s="4"/>
      <c r="V1132" s="4"/>
      <c r="W1132" s="4"/>
      <c r="X1132" s="4"/>
      <c r="Y1132" s="4"/>
      <c r="Z1132" s="4"/>
      <c r="AA1132" s="4"/>
      <c r="AB1132" s="4"/>
      <c r="AC1132" s="4"/>
      <c r="AD1132" s="4"/>
      <c r="AE1132" s="4"/>
      <c r="AF1132" s="81"/>
      <c r="AG1132" s="81"/>
      <c r="AH1132" s="81"/>
      <c r="AI1132" s="4"/>
      <c r="AJ1132" s="81"/>
      <c r="AK1132" s="81"/>
      <c r="AL1132" s="81"/>
    </row>
    <row r="1133" spans="1:38" s="7" customFormat="1">
      <c r="A1133" s="4"/>
      <c r="B1133" s="4"/>
      <c r="C1133" s="4"/>
      <c r="D1133" s="4"/>
      <c r="E1133" s="4"/>
      <c r="F1133" s="28"/>
      <c r="G1133" s="28"/>
      <c r="H1133" s="83"/>
      <c r="I1133" s="4"/>
      <c r="J1133" s="4"/>
      <c r="K1133" s="4"/>
      <c r="L1133" s="4"/>
      <c r="M1133" s="4"/>
      <c r="N1133" s="28"/>
      <c r="O1133" s="4"/>
      <c r="P1133" s="4"/>
      <c r="Q1133" s="4"/>
      <c r="R1133" s="4"/>
      <c r="S1133" s="4"/>
      <c r="T1133" s="4"/>
      <c r="U1133" s="4"/>
      <c r="V1133" s="4"/>
      <c r="W1133" s="4"/>
      <c r="X1133" s="4"/>
      <c r="Y1133" s="4"/>
      <c r="Z1133" s="4"/>
      <c r="AA1133" s="4"/>
      <c r="AB1133" s="4"/>
      <c r="AC1133" s="4"/>
      <c r="AD1133" s="4"/>
      <c r="AE1133" s="4"/>
      <c r="AF1133" s="81"/>
      <c r="AG1133" s="81"/>
      <c r="AH1133" s="81"/>
      <c r="AI1133" s="4"/>
      <c r="AJ1133" s="81"/>
      <c r="AK1133" s="81"/>
      <c r="AL1133" s="81"/>
    </row>
    <row r="1134" spans="1:38" s="7" customFormat="1">
      <c r="A1134" s="4"/>
      <c r="B1134" s="4"/>
      <c r="C1134" s="4"/>
      <c r="D1134" s="4"/>
      <c r="E1134" s="4"/>
      <c r="F1134" s="28"/>
      <c r="G1134" s="28"/>
      <c r="H1134" s="83"/>
      <c r="I1134" s="4"/>
      <c r="J1134" s="4"/>
      <c r="K1134" s="4"/>
      <c r="L1134" s="4"/>
      <c r="M1134" s="4"/>
      <c r="N1134" s="28"/>
      <c r="O1134" s="4"/>
      <c r="P1134" s="4"/>
      <c r="Q1134" s="4"/>
      <c r="R1134" s="4"/>
      <c r="S1134" s="4"/>
      <c r="T1134" s="4"/>
      <c r="U1134" s="4"/>
      <c r="V1134" s="4"/>
      <c r="W1134" s="4"/>
      <c r="X1134" s="4"/>
      <c r="Y1134" s="4"/>
      <c r="Z1134" s="4"/>
      <c r="AA1134" s="4"/>
      <c r="AB1134" s="4"/>
      <c r="AC1134" s="4"/>
      <c r="AD1134" s="4"/>
      <c r="AE1134" s="4"/>
      <c r="AF1134" s="81"/>
      <c r="AG1134" s="81"/>
      <c r="AH1134" s="81"/>
      <c r="AI1134" s="4"/>
      <c r="AJ1134" s="81"/>
      <c r="AK1134" s="81"/>
      <c r="AL1134" s="81"/>
    </row>
    <row r="1135" spans="1:38" s="7" customFormat="1">
      <c r="A1135" s="4"/>
      <c r="B1135" s="4"/>
      <c r="C1135" s="4"/>
      <c r="D1135" s="4"/>
      <c r="E1135" s="4"/>
      <c r="F1135" s="28"/>
      <c r="G1135" s="28"/>
      <c r="H1135" s="83"/>
      <c r="I1135" s="4"/>
      <c r="J1135" s="4"/>
      <c r="K1135" s="4"/>
      <c r="L1135" s="4"/>
      <c r="M1135" s="4"/>
      <c r="N1135" s="28"/>
      <c r="O1135" s="4"/>
      <c r="P1135" s="4"/>
      <c r="Q1135" s="4"/>
      <c r="R1135" s="4"/>
      <c r="S1135" s="4"/>
      <c r="T1135" s="4"/>
      <c r="U1135" s="4"/>
      <c r="V1135" s="4"/>
      <c r="W1135" s="4"/>
      <c r="X1135" s="4"/>
      <c r="Y1135" s="4"/>
      <c r="Z1135" s="4"/>
      <c r="AA1135" s="4"/>
      <c r="AB1135" s="4"/>
      <c r="AC1135" s="4"/>
      <c r="AD1135" s="4"/>
      <c r="AE1135" s="4"/>
      <c r="AF1135" s="81"/>
      <c r="AG1135" s="81"/>
      <c r="AH1135" s="81"/>
      <c r="AI1135" s="4"/>
      <c r="AJ1135" s="81"/>
      <c r="AK1135" s="81"/>
      <c r="AL1135" s="81"/>
    </row>
    <row r="1136" spans="1:38" s="7" customFormat="1">
      <c r="A1136" s="4"/>
      <c r="B1136" s="4"/>
      <c r="C1136" s="4"/>
      <c r="D1136" s="4"/>
      <c r="E1136" s="4"/>
      <c r="F1136" s="28"/>
      <c r="G1136" s="28"/>
      <c r="H1136" s="83"/>
      <c r="I1136" s="4"/>
      <c r="J1136" s="4"/>
      <c r="K1136" s="4"/>
      <c r="L1136" s="4"/>
      <c r="M1136" s="4"/>
      <c r="N1136" s="28"/>
      <c r="O1136" s="4"/>
      <c r="P1136" s="4"/>
      <c r="Q1136" s="4"/>
      <c r="R1136" s="4"/>
      <c r="S1136" s="4"/>
      <c r="T1136" s="4"/>
      <c r="U1136" s="4"/>
      <c r="V1136" s="4"/>
      <c r="W1136" s="4"/>
      <c r="X1136" s="4"/>
      <c r="Y1136" s="4"/>
      <c r="Z1136" s="4"/>
      <c r="AA1136" s="4"/>
      <c r="AB1136" s="4"/>
      <c r="AC1136" s="4"/>
      <c r="AD1136" s="4"/>
      <c r="AE1136" s="4"/>
      <c r="AF1136" s="81"/>
      <c r="AG1136" s="81"/>
      <c r="AH1136" s="81"/>
      <c r="AI1136" s="4"/>
      <c r="AJ1136" s="81"/>
      <c r="AK1136" s="81"/>
      <c r="AL1136" s="81"/>
    </row>
    <row r="1137" spans="1:38" s="7" customFormat="1">
      <c r="A1137" s="4"/>
      <c r="B1137" s="4"/>
      <c r="C1137" s="4"/>
      <c r="D1137" s="4"/>
      <c r="E1137" s="4"/>
      <c r="F1137" s="28"/>
      <c r="G1137" s="28"/>
      <c r="H1137" s="83"/>
      <c r="I1137" s="4"/>
      <c r="J1137" s="4"/>
      <c r="K1137" s="4"/>
      <c r="L1137" s="4"/>
      <c r="M1137" s="4"/>
      <c r="N1137" s="28"/>
      <c r="O1137" s="4"/>
      <c r="P1137" s="4"/>
      <c r="Q1137" s="4"/>
      <c r="R1137" s="4"/>
      <c r="S1137" s="4"/>
      <c r="T1137" s="4"/>
      <c r="U1137" s="4"/>
      <c r="V1137" s="4"/>
      <c r="W1137" s="4"/>
      <c r="X1137" s="4"/>
      <c r="Y1137" s="4"/>
      <c r="Z1137" s="4"/>
      <c r="AA1137" s="4"/>
      <c r="AB1137" s="4"/>
      <c r="AC1137" s="4"/>
      <c r="AD1137" s="4"/>
      <c r="AE1137" s="4"/>
      <c r="AF1137" s="81"/>
      <c r="AG1137" s="81"/>
      <c r="AH1137" s="81"/>
      <c r="AI1137" s="4"/>
      <c r="AJ1137" s="81"/>
      <c r="AK1137" s="81"/>
      <c r="AL1137" s="81"/>
    </row>
    <row r="1138" spans="1:38" s="7" customFormat="1">
      <c r="A1138" s="4"/>
      <c r="B1138" s="4"/>
      <c r="C1138" s="4"/>
      <c r="D1138" s="4"/>
      <c r="E1138" s="4"/>
      <c r="F1138" s="28"/>
      <c r="G1138" s="28"/>
      <c r="H1138" s="83"/>
      <c r="I1138" s="4"/>
      <c r="J1138" s="4"/>
      <c r="K1138" s="4"/>
      <c r="L1138" s="4"/>
      <c r="M1138" s="4"/>
      <c r="N1138" s="28"/>
      <c r="O1138" s="4"/>
      <c r="P1138" s="4"/>
      <c r="Q1138" s="4"/>
      <c r="R1138" s="4"/>
      <c r="S1138" s="4"/>
      <c r="T1138" s="4"/>
      <c r="U1138" s="4"/>
      <c r="V1138" s="4"/>
      <c r="W1138" s="4"/>
      <c r="X1138" s="4"/>
      <c r="Y1138" s="4"/>
      <c r="Z1138" s="4"/>
      <c r="AA1138" s="4"/>
      <c r="AB1138" s="4"/>
      <c r="AC1138" s="4"/>
      <c r="AD1138" s="4"/>
      <c r="AE1138" s="4"/>
      <c r="AF1138" s="81"/>
      <c r="AG1138" s="81"/>
      <c r="AH1138" s="81"/>
      <c r="AI1138" s="4"/>
      <c r="AJ1138" s="81"/>
      <c r="AK1138" s="81"/>
      <c r="AL1138" s="81"/>
    </row>
    <row r="1139" spans="1:38" s="7" customFormat="1">
      <c r="A1139" s="4"/>
      <c r="B1139" s="4"/>
      <c r="C1139" s="4"/>
      <c r="D1139" s="4"/>
      <c r="E1139" s="4"/>
      <c r="F1139" s="28"/>
      <c r="G1139" s="28"/>
      <c r="H1139" s="83"/>
      <c r="I1139" s="4"/>
      <c r="J1139" s="4"/>
      <c r="K1139" s="4"/>
      <c r="L1139" s="4"/>
      <c r="M1139" s="4"/>
      <c r="N1139" s="28"/>
      <c r="O1139" s="4"/>
      <c r="P1139" s="4"/>
      <c r="Q1139" s="4"/>
      <c r="R1139" s="4"/>
      <c r="S1139" s="4"/>
      <c r="T1139" s="4"/>
      <c r="U1139" s="4"/>
      <c r="V1139" s="4"/>
      <c r="W1139" s="4"/>
      <c r="X1139" s="4"/>
      <c r="Y1139" s="4"/>
      <c r="Z1139" s="4"/>
      <c r="AA1139" s="4"/>
      <c r="AB1139" s="4"/>
      <c r="AC1139" s="4"/>
      <c r="AD1139" s="4"/>
      <c r="AE1139" s="4"/>
      <c r="AF1139" s="81"/>
      <c r="AG1139" s="81"/>
      <c r="AH1139" s="81"/>
      <c r="AI1139" s="4"/>
      <c r="AJ1139" s="81"/>
      <c r="AK1139" s="81"/>
      <c r="AL1139" s="81"/>
    </row>
    <row r="1140" spans="1:38" s="7" customFormat="1">
      <c r="A1140" s="4"/>
      <c r="B1140" s="4"/>
      <c r="C1140" s="4"/>
      <c r="D1140" s="4"/>
      <c r="E1140" s="4"/>
      <c r="F1140" s="28"/>
      <c r="G1140" s="28"/>
      <c r="H1140" s="83"/>
      <c r="I1140" s="4"/>
      <c r="J1140" s="4"/>
      <c r="K1140" s="4"/>
      <c r="L1140" s="4"/>
      <c r="M1140" s="4"/>
      <c r="N1140" s="28"/>
      <c r="O1140" s="4"/>
      <c r="P1140" s="4"/>
      <c r="Q1140" s="4"/>
      <c r="R1140" s="4"/>
      <c r="S1140" s="4"/>
      <c r="T1140" s="4"/>
      <c r="U1140" s="4"/>
      <c r="V1140" s="4"/>
      <c r="W1140" s="4"/>
      <c r="X1140" s="4"/>
      <c r="Y1140" s="4"/>
      <c r="Z1140" s="4"/>
      <c r="AA1140" s="4"/>
      <c r="AB1140" s="4"/>
      <c r="AC1140" s="4"/>
      <c r="AD1140" s="4"/>
      <c r="AE1140" s="4"/>
      <c r="AF1140" s="81"/>
      <c r="AG1140" s="81"/>
      <c r="AH1140" s="81"/>
      <c r="AI1140" s="4"/>
      <c r="AJ1140" s="81"/>
      <c r="AK1140" s="81"/>
      <c r="AL1140" s="81"/>
    </row>
    <row r="1141" spans="1:38" s="7" customFormat="1">
      <c r="A1141" s="4"/>
      <c r="B1141" s="4"/>
      <c r="C1141" s="4"/>
      <c r="D1141" s="4"/>
      <c r="E1141" s="4"/>
      <c r="F1141" s="28"/>
      <c r="G1141" s="28"/>
      <c r="H1141" s="83"/>
      <c r="I1141" s="4"/>
      <c r="J1141" s="4"/>
      <c r="K1141" s="4"/>
      <c r="L1141" s="4"/>
      <c r="M1141" s="4"/>
      <c r="N1141" s="28"/>
      <c r="O1141" s="4"/>
      <c r="P1141" s="4"/>
      <c r="Q1141" s="4"/>
      <c r="R1141" s="4"/>
      <c r="S1141" s="4"/>
      <c r="T1141" s="4"/>
      <c r="U1141" s="4"/>
      <c r="V1141" s="4"/>
      <c r="W1141" s="4"/>
      <c r="X1141" s="4"/>
      <c r="Y1141" s="4"/>
      <c r="Z1141" s="4"/>
      <c r="AA1141" s="4"/>
      <c r="AB1141" s="4"/>
      <c r="AC1141" s="4"/>
      <c r="AD1141" s="4"/>
      <c r="AE1141" s="4"/>
      <c r="AF1141" s="81"/>
      <c r="AG1141" s="81"/>
      <c r="AH1141" s="81"/>
      <c r="AI1141" s="4"/>
      <c r="AJ1141" s="81"/>
      <c r="AK1141" s="81"/>
      <c r="AL1141" s="81"/>
    </row>
    <row r="1142" spans="1:38" s="7" customFormat="1">
      <c r="A1142" s="4"/>
      <c r="B1142" s="4"/>
      <c r="C1142" s="4"/>
      <c r="D1142" s="4"/>
      <c r="E1142" s="4"/>
      <c r="F1142" s="28"/>
      <c r="G1142" s="28"/>
      <c r="H1142" s="83"/>
      <c r="I1142" s="4"/>
      <c r="J1142" s="4"/>
      <c r="K1142" s="4"/>
      <c r="L1142" s="4"/>
      <c r="M1142" s="4"/>
      <c r="N1142" s="28"/>
      <c r="O1142" s="4"/>
      <c r="P1142" s="4"/>
      <c r="Q1142" s="4"/>
      <c r="R1142" s="4"/>
      <c r="S1142" s="4"/>
      <c r="T1142" s="4"/>
      <c r="U1142" s="4"/>
      <c r="V1142" s="4"/>
      <c r="W1142" s="4"/>
      <c r="X1142" s="4"/>
      <c r="Y1142" s="4"/>
      <c r="Z1142" s="4"/>
      <c r="AA1142" s="4"/>
      <c r="AB1142" s="4"/>
      <c r="AC1142" s="4"/>
      <c r="AD1142" s="4"/>
      <c r="AE1142" s="4"/>
      <c r="AF1142" s="81"/>
      <c r="AG1142" s="81"/>
      <c r="AH1142" s="81"/>
      <c r="AI1142" s="4"/>
      <c r="AJ1142" s="81"/>
      <c r="AK1142" s="81"/>
      <c r="AL1142" s="81"/>
    </row>
    <row r="1143" spans="1:38" s="7" customFormat="1">
      <c r="A1143" s="4"/>
      <c r="B1143" s="4"/>
      <c r="C1143" s="4"/>
      <c r="D1143" s="4"/>
      <c r="E1143" s="4"/>
      <c r="F1143" s="28"/>
      <c r="G1143" s="28"/>
      <c r="H1143" s="83"/>
      <c r="I1143" s="4"/>
      <c r="J1143" s="4"/>
      <c r="K1143" s="4"/>
      <c r="L1143" s="4"/>
      <c r="M1143" s="4"/>
      <c r="N1143" s="28"/>
      <c r="O1143" s="4"/>
      <c r="P1143" s="4"/>
      <c r="Q1143" s="4"/>
      <c r="R1143" s="4"/>
      <c r="S1143" s="4"/>
      <c r="T1143" s="4"/>
      <c r="U1143" s="4"/>
      <c r="V1143" s="4"/>
      <c r="W1143" s="4"/>
      <c r="X1143" s="4"/>
      <c r="Y1143" s="4"/>
      <c r="Z1143" s="4"/>
      <c r="AA1143" s="4"/>
      <c r="AB1143" s="4"/>
      <c r="AC1143" s="4"/>
      <c r="AD1143" s="4"/>
      <c r="AE1143" s="4"/>
      <c r="AF1143" s="81"/>
      <c r="AG1143" s="81"/>
      <c r="AH1143" s="81"/>
      <c r="AI1143" s="4"/>
      <c r="AJ1143" s="81"/>
      <c r="AK1143" s="81"/>
      <c r="AL1143" s="81"/>
    </row>
    <row r="1144" spans="1:38" s="7" customFormat="1">
      <c r="A1144" s="4"/>
      <c r="B1144" s="4"/>
      <c r="C1144" s="4"/>
      <c r="D1144" s="4"/>
      <c r="E1144" s="4"/>
      <c r="F1144" s="28"/>
      <c r="G1144" s="28"/>
      <c r="H1144" s="83"/>
      <c r="I1144" s="4"/>
      <c r="J1144" s="4"/>
      <c r="K1144" s="4"/>
      <c r="L1144" s="4"/>
      <c r="M1144" s="4"/>
      <c r="N1144" s="28"/>
      <c r="O1144" s="4"/>
      <c r="P1144" s="4"/>
      <c r="Q1144" s="4"/>
      <c r="R1144" s="4"/>
      <c r="S1144" s="4"/>
      <c r="T1144" s="4"/>
      <c r="U1144" s="4"/>
      <c r="V1144" s="4"/>
      <c r="W1144" s="4"/>
      <c r="X1144" s="4"/>
      <c r="Y1144" s="4"/>
      <c r="Z1144" s="4"/>
      <c r="AA1144" s="4"/>
      <c r="AB1144" s="4"/>
      <c r="AC1144" s="4"/>
      <c r="AD1144" s="4"/>
      <c r="AE1144" s="4"/>
      <c r="AF1144" s="81"/>
      <c r="AG1144" s="81"/>
      <c r="AH1144" s="81"/>
      <c r="AI1144" s="4"/>
      <c r="AJ1144" s="81"/>
      <c r="AK1144" s="81"/>
      <c r="AL1144" s="81"/>
    </row>
    <row r="1145" spans="1:38" s="7" customFormat="1">
      <c r="A1145" s="4"/>
      <c r="B1145" s="4"/>
      <c r="C1145" s="4"/>
      <c r="D1145" s="4"/>
      <c r="E1145" s="4"/>
      <c r="F1145" s="28"/>
      <c r="G1145" s="28"/>
      <c r="H1145" s="83"/>
      <c r="I1145" s="4"/>
      <c r="J1145" s="4"/>
      <c r="K1145" s="4"/>
      <c r="L1145" s="4"/>
      <c r="M1145" s="4"/>
      <c r="N1145" s="28"/>
      <c r="O1145" s="4"/>
      <c r="P1145" s="4"/>
      <c r="Q1145" s="4"/>
      <c r="R1145" s="4"/>
      <c r="S1145" s="4"/>
      <c r="T1145" s="4"/>
      <c r="U1145" s="4"/>
      <c r="V1145" s="4"/>
      <c r="W1145" s="4"/>
      <c r="X1145" s="4"/>
      <c r="Y1145" s="4"/>
      <c r="Z1145" s="4"/>
      <c r="AA1145" s="4"/>
      <c r="AB1145" s="4"/>
      <c r="AC1145" s="4"/>
      <c r="AD1145" s="4"/>
      <c r="AE1145" s="4"/>
      <c r="AF1145" s="81"/>
      <c r="AG1145" s="81"/>
      <c r="AH1145" s="81"/>
      <c r="AI1145" s="4"/>
      <c r="AJ1145" s="81"/>
      <c r="AK1145" s="81"/>
      <c r="AL1145" s="81"/>
    </row>
    <row r="1146" spans="1:38" s="7" customFormat="1">
      <c r="A1146" s="4"/>
      <c r="B1146" s="4"/>
      <c r="C1146" s="4"/>
      <c r="D1146" s="4"/>
      <c r="E1146" s="4"/>
      <c r="F1146" s="28"/>
      <c r="G1146" s="28"/>
      <c r="H1146" s="83"/>
      <c r="I1146" s="4"/>
      <c r="J1146" s="4"/>
      <c r="K1146" s="4"/>
      <c r="L1146" s="4"/>
      <c r="M1146" s="4"/>
      <c r="N1146" s="28"/>
      <c r="O1146" s="4"/>
      <c r="P1146" s="4"/>
      <c r="Q1146" s="4"/>
      <c r="R1146" s="4"/>
      <c r="S1146" s="4"/>
      <c r="T1146" s="4"/>
      <c r="U1146" s="4"/>
      <c r="V1146" s="4"/>
      <c r="W1146" s="4"/>
      <c r="X1146" s="4"/>
      <c r="Y1146" s="4"/>
      <c r="Z1146" s="4"/>
      <c r="AA1146" s="4"/>
      <c r="AB1146" s="4"/>
      <c r="AC1146" s="4"/>
      <c r="AD1146" s="4"/>
      <c r="AE1146" s="4"/>
      <c r="AF1146" s="81"/>
      <c r="AG1146" s="81"/>
      <c r="AH1146" s="81"/>
      <c r="AI1146" s="4"/>
      <c r="AJ1146" s="81"/>
      <c r="AK1146" s="81"/>
      <c r="AL1146" s="81"/>
    </row>
    <row r="1147" spans="1:38" s="7" customFormat="1">
      <c r="A1147" s="4"/>
      <c r="B1147" s="4"/>
      <c r="C1147" s="4"/>
      <c r="D1147" s="4"/>
      <c r="E1147" s="4"/>
      <c r="F1147" s="28"/>
      <c r="G1147" s="28"/>
      <c r="H1147" s="83"/>
      <c r="I1147" s="4"/>
      <c r="J1147" s="4"/>
      <c r="K1147" s="4"/>
      <c r="L1147" s="4"/>
      <c r="M1147" s="4"/>
      <c r="N1147" s="28"/>
      <c r="O1147" s="4"/>
      <c r="P1147" s="4"/>
      <c r="Q1147" s="4"/>
      <c r="R1147" s="4"/>
      <c r="S1147" s="4"/>
      <c r="T1147" s="4"/>
      <c r="U1147" s="4"/>
      <c r="V1147" s="4"/>
      <c r="W1147" s="4"/>
      <c r="X1147" s="4"/>
      <c r="Y1147" s="4"/>
      <c r="Z1147" s="4"/>
      <c r="AA1147" s="4"/>
      <c r="AB1147" s="4"/>
      <c r="AC1147" s="4"/>
      <c r="AD1147" s="4"/>
      <c r="AE1147" s="4"/>
      <c r="AF1147" s="81"/>
      <c r="AG1147" s="81"/>
      <c r="AH1147" s="81"/>
      <c r="AI1147" s="4"/>
      <c r="AJ1147" s="81"/>
      <c r="AK1147" s="81"/>
      <c r="AL1147" s="81"/>
    </row>
    <row r="1148" spans="1:38" s="7" customFormat="1">
      <c r="A1148" s="4"/>
      <c r="B1148" s="4"/>
      <c r="C1148" s="4"/>
      <c r="D1148" s="4"/>
      <c r="E1148" s="4"/>
      <c r="F1148" s="28"/>
      <c r="G1148" s="28"/>
      <c r="H1148" s="83"/>
      <c r="I1148" s="4"/>
      <c r="J1148" s="4"/>
      <c r="K1148" s="4"/>
      <c r="L1148" s="4"/>
      <c r="M1148" s="4"/>
      <c r="N1148" s="28"/>
      <c r="O1148" s="4"/>
      <c r="P1148" s="4"/>
      <c r="Q1148" s="4"/>
      <c r="R1148" s="4"/>
      <c r="S1148" s="4"/>
      <c r="T1148" s="4"/>
      <c r="U1148" s="4"/>
      <c r="V1148" s="4"/>
      <c r="W1148" s="4"/>
      <c r="X1148" s="4"/>
      <c r="Y1148" s="4"/>
      <c r="Z1148" s="4"/>
      <c r="AA1148" s="4"/>
      <c r="AB1148" s="4"/>
      <c r="AC1148" s="4"/>
      <c r="AD1148" s="4"/>
      <c r="AE1148" s="4"/>
      <c r="AF1148" s="81"/>
      <c r="AG1148" s="81"/>
      <c r="AH1148" s="81"/>
      <c r="AI1148" s="4"/>
      <c r="AJ1148" s="81"/>
      <c r="AK1148" s="81"/>
      <c r="AL1148" s="81"/>
    </row>
    <row r="1149" spans="1:38" s="7" customFormat="1">
      <c r="A1149" s="4"/>
      <c r="B1149" s="4"/>
      <c r="C1149" s="4"/>
      <c r="D1149" s="4"/>
      <c r="E1149" s="4"/>
      <c r="F1149" s="28"/>
      <c r="G1149" s="28"/>
      <c r="H1149" s="83"/>
      <c r="I1149" s="4"/>
      <c r="J1149" s="4"/>
      <c r="K1149" s="4"/>
      <c r="L1149" s="4"/>
      <c r="M1149" s="4"/>
      <c r="N1149" s="28"/>
      <c r="O1149" s="4"/>
      <c r="P1149" s="4"/>
      <c r="Q1149" s="4"/>
      <c r="R1149" s="4"/>
      <c r="S1149" s="4"/>
      <c r="T1149" s="4"/>
      <c r="U1149" s="4"/>
      <c r="V1149" s="4"/>
      <c r="W1149" s="4"/>
      <c r="X1149" s="4"/>
      <c r="Y1149" s="4"/>
      <c r="Z1149" s="4"/>
      <c r="AA1149" s="4"/>
      <c r="AB1149" s="4"/>
      <c r="AC1149" s="4"/>
      <c r="AD1149" s="4"/>
      <c r="AE1149" s="4"/>
      <c r="AF1149" s="81"/>
      <c r="AG1149" s="81"/>
      <c r="AH1149" s="81"/>
      <c r="AI1149" s="4"/>
      <c r="AJ1149" s="81"/>
      <c r="AK1149" s="81"/>
      <c r="AL1149" s="81"/>
    </row>
    <row r="1150" spans="1:38" s="7" customFormat="1">
      <c r="A1150" s="4"/>
      <c r="B1150" s="4"/>
      <c r="C1150" s="4"/>
      <c r="D1150" s="4"/>
      <c r="E1150" s="4"/>
      <c r="F1150" s="28"/>
      <c r="G1150" s="28"/>
      <c r="H1150" s="83"/>
      <c r="I1150" s="4"/>
      <c r="J1150" s="4"/>
      <c r="K1150" s="4"/>
      <c r="L1150" s="4"/>
      <c r="M1150" s="4"/>
      <c r="N1150" s="28"/>
      <c r="O1150" s="4"/>
      <c r="P1150" s="4"/>
      <c r="Q1150" s="4"/>
      <c r="R1150" s="4"/>
      <c r="S1150" s="4"/>
      <c r="T1150" s="4"/>
      <c r="U1150" s="4"/>
      <c r="V1150" s="4"/>
      <c r="W1150" s="4"/>
      <c r="X1150" s="4"/>
      <c r="Y1150" s="4"/>
      <c r="Z1150" s="4"/>
      <c r="AA1150" s="4"/>
      <c r="AB1150" s="4"/>
      <c r="AC1150" s="4"/>
      <c r="AD1150" s="4"/>
      <c r="AE1150" s="4"/>
      <c r="AF1150" s="81"/>
      <c r="AG1150" s="81"/>
      <c r="AH1150" s="81"/>
      <c r="AI1150" s="4"/>
      <c r="AJ1150" s="81"/>
      <c r="AK1150" s="81"/>
      <c r="AL1150" s="81"/>
    </row>
    <row r="1151" spans="1:38" s="7" customFormat="1">
      <c r="A1151" s="4"/>
      <c r="B1151" s="4"/>
      <c r="C1151" s="4"/>
      <c r="D1151" s="4"/>
      <c r="E1151" s="4"/>
      <c r="F1151" s="28"/>
      <c r="G1151" s="28"/>
      <c r="H1151" s="83"/>
      <c r="I1151" s="4"/>
      <c r="J1151" s="4"/>
      <c r="K1151" s="4"/>
      <c r="L1151" s="4"/>
      <c r="M1151" s="4"/>
      <c r="N1151" s="28"/>
      <c r="O1151" s="4"/>
      <c r="P1151" s="4"/>
      <c r="Q1151" s="4"/>
      <c r="R1151" s="4"/>
      <c r="S1151" s="4"/>
      <c r="T1151" s="4"/>
      <c r="U1151" s="4"/>
      <c r="V1151" s="4"/>
      <c r="W1151" s="4"/>
      <c r="X1151" s="4"/>
      <c r="Y1151" s="4"/>
      <c r="Z1151" s="4"/>
      <c r="AA1151" s="4"/>
      <c r="AB1151" s="4"/>
      <c r="AC1151" s="4"/>
      <c r="AD1151" s="4"/>
      <c r="AE1151" s="4"/>
      <c r="AF1151" s="81"/>
      <c r="AG1151" s="81"/>
      <c r="AH1151" s="81"/>
      <c r="AI1151" s="4"/>
      <c r="AJ1151" s="81"/>
      <c r="AK1151" s="81"/>
      <c r="AL1151" s="81"/>
    </row>
    <row r="1152" spans="1:38" s="7" customFormat="1">
      <c r="A1152" s="4"/>
      <c r="B1152" s="4"/>
      <c r="C1152" s="4"/>
      <c r="D1152" s="4"/>
      <c r="E1152" s="4"/>
      <c r="F1152" s="28"/>
      <c r="G1152" s="28"/>
      <c r="H1152" s="83"/>
      <c r="I1152" s="4"/>
      <c r="J1152" s="4"/>
      <c r="K1152" s="4"/>
      <c r="L1152" s="4"/>
      <c r="M1152" s="4"/>
      <c r="N1152" s="28"/>
      <c r="O1152" s="4"/>
      <c r="P1152" s="4"/>
      <c r="Q1152" s="4"/>
      <c r="R1152" s="4"/>
      <c r="S1152" s="4"/>
      <c r="T1152" s="4"/>
      <c r="U1152" s="4"/>
      <c r="V1152" s="4"/>
      <c r="W1152" s="4"/>
      <c r="X1152" s="4"/>
      <c r="Y1152" s="4"/>
      <c r="Z1152" s="4"/>
      <c r="AA1152" s="4"/>
      <c r="AB1152" s="4"/>
      <c r="AC1152" s="4"/>
      <c r="AD1152" s="4"/>
      <c r="AE1152" s="4"/>
      <c r="AF1152" s="81"/>
      <c r="AG1152" s="81"/>
      <c r="AH1152" s="81"/>
      <c r="AI1152" s="4"/>
      <c r="AJ1152" s="81"/>
      <c r="AK1152" s="81"/>
      <c r="AL1152" s="81"/>
    </row>
    <row r="1153" spans="1:38" s="7" customFormat="1">
      <c r="A1153" s="4"/>
      <c r="B1153" s="4"/>
      <c r="C1153" s="4"/>
      <c r="D1153" s="4"/>
      <c r="E1153" s="4"/>
      <c r="F1153" s="28"/>
      <c r="G1153" s="28"/>
      <c r="H1153" s="83"/>
      <c r="I1153" s="4"/>
      <c r="J1153" s="4"/>
      <c r="K1153" s="4"/>
      <c r="L1153" s="4"/>
      <c r="M1153" s="4"/>
      <c r="N1153" s="28"/>
      <c r="O1153" s="4"/>
      <c r="P1153" s="4"/>
      <c r="Q1153" s="4"/>
      <c r="R1153" s="4"/>
      <c r="S1153" s="4"/>
      <c r="T1153" s="4"/>
      <c r="U1153" s="4"/>
      <c r="V1153" s="4"/>
      <c r="W1153" s="4"/>
      <c r="X1153" s="4"/>
      <c r="Y1153" s="4"/>
      <c r="Z1153" s="4"/>
      <c r="AA1153" s="4"/>
      <c r="AB1153" s="4"/>
      <c r="AC1153" s="4"/>
      <c r="AD1153" s="4"/>
      <c r="AE1153" s="4"/>
      <c r="AF1153" s="81"/>
      <c r="AG1153" s="81"/>
      <c r="AH1153" s="81"/>
      <c r="AI1153" s="4"/>
      <c r="AJ1153" s="81"/>
      <c r="AK1153" s="81"/>
      <c r="AL1153" s="81"/>
    </row>
    <row r="1154" spans="1:38" s="7" customFormat="1">
      <c r="A1154" s="4"/>
      <c r="B1154" s="4"/>
      <c r="C1154" s="4"/>
      <c r="D1154" s="4"/>
      <c r="E1154" s="4"/>
      <c r="F1154" s="28"/>
      <c r="G1154" s="28"/>
      <c r="H1154" s="83"/>
      <c r="I1154" s="4"/>
      <c r="J1154" s="4"/>
      <c r="K1154" s="4"/>
      <c r="L1154" s="4"/>
      <c r="M1154" s="4"/>
      <c r="N1154" s="28"/>
      <c r="O1154" s="4"/>
      <c r="P1154" s="4"/>
      <c r="Q1154" s="4"/>
      <c r="R1154" s="4"/>
      <c r="S1154" s="4"/>
      <c r="T1154" s="4"/>
      <c r="U1154" s="4"/>
      <c r="V1154" s="4"/>
      <c r="W1154" s="4"/>
      <c r="X1154" s="4"/>
      <c r="Y1154" s="4"/>
      <c r="Z1154" s="4"/>
      <c r="AA1154" s="4"/>
      <c r="AB1154" s="4"/>
      <c r="AC1154" s="4"/>
      <c r="AD1154" s="4"/>
      <c r="AE1154" s="4"/>
      <c r="AF1154" s="81"/>
      <c r="AG1154" s="81"/>
      <c r="AH1154" s="81"/>
      <c r="AI1154" s="4"/>
      <c r="AJ1154" s="81"/>
      <c r="AK1154" s="81"/>
      <c r="AL1154" s="81"/>
    </row>
    <row r="1155" spans="1:38" s="7" customFormat="1">
      <c r="A1155" s="4"/>
      <c r="B1155" s="4"/>
      <c r="C1155" s="4"/>
      <c r="D1155" s="4"/>
      <c r="E1155" s="4"/>
      <c r="F1155" s="28"/>
      <c r="G1155" s="28"/>
      <c r="H1155" s="83"/>
      <c r="I1155" s="4"/>
      <c r="J1155" s="4"/>
      <c r="K1155" s="4"/>
      <c r="L1155" s="4"/>
      <c r="M1155" s="4"/>
      <c r="N1155" s="28"/>
      <c r="O1155" s="4"/>
      <c r="P1155" s="4"/>
      <c r="Q1155" s="4"/>
      <c r="R1155" s="4"/>
      <c r="S1155" s="4"/>
      <c r="T1155" s="4"/>
      <c r="U1155" s="4"/>
      <c r="V1155" s="4"/>
      <c r="W1155" s="4"/>
      <c r="X1155" s="4"/>
      <c r="Y1155" s="4"/>
      <c r="Z1155" s="4"/>
      <c r="AA1155" s="4"/>
      <c r="AB1155" s="4"/>
      <c r="AC1155" s="4"/>
      <c r="AD1155" s="4"/>
      <c r="AE1155" s="4"/>
      <c r="AF1155" s="81"/>
      <c r="AG1155" s="81"/>
      <c r="AH1155" s="81"/>
      <c r="AI1155" s="4"/>
      <c r="AJ1155" s="81"/>
      <c r="AK1155" s="81"/>
      <c r="AL1155" s="81"/>
    </row>
    <row r="1156" spans="1:38" s="7" customFormat="1">
      <c r="A1156" s="4"/>
      <c r="B1156" s="4"/>
      <c r="C1156" s="4"/>
      <c r="D1156" s="4"/>
      <c r="E1156" s="4"/>
      <c r="F1156" s="28"/>
      <c r="G1156" s="28"/>
      <c r="H1156" s="83"/>
      <c r="I1156" s="4"/>
      <c r="J1156" s="4"/>
      <c r="K1156" s="4"/>
      <c r="L1156" s="4"/>
      <c r="M1156" s="4"/>
      <c r="N1156" s="28"/>
      <c r="O1156" s="4"/>
      <c r="P1156" s="4"/>
      <c r="Q1156" s="4"/>
      <c r="R1156" s="4"/>
      <c r="S1156" s="4"/>
      <c r="T1156" s="4"/>
      <c r="U1156" s="4"/>
      <c r="V1156" s="4"/>
      <c r="W1156" s="4"/>
      <c r="X1156" s="4"/>
      <c r="Y1156" s="4"/>
      <c r="Z1156" s="4"/>
      <c r="AA1156" s="4"/>
      <c r="AB1156" s="4"/>
      <c r="AC1156" s="4"/>
      <c r="AD1156" s="4"/>
      <c r="AE1156" s="4"/>
      <c r="AF1156" s="81"/>
      <c r="AG1156" s="81"/>
      <c r="AH1156" s="81"/>
      <c r="AI1156" s="4"/>
      <c r="AJ1156" s="81"/>
      <c r="AK1156" s="81"/>
      <c r="AL1156" s="81"/>
    </row>
    <row r="1157" spans="1:38" s="7" customFormat="1">
      <c r="A1157" s="4"/>
      <c r="B1157" s="4"/>
      <c r="C1157" s="4"/>
      <c r="D1157" s="4"/>
      <c r="E1157" s="4"/>
      <c r="F1157" s="28"/>
      <c r="G1157" s="28"/>
      <c r="H1157" s="83"/>
      <c r="I1157" s="4"/>
      <c r="J1157" s="4"/>
      <c r="K1157" s="4"/>
      <c r="L1157" s="4"/>
      <c r="M1157" s="4"/>
      <c r="N1157" s="28"/>
      <c r="O1157" s="4"/>
      <c r="P1157" s="4"/>
      <c r="Q1157" s="4"/>
      <c r="R1157" s="4"/>
      <c r="S1157" s="4"/>
      <c r="T1157" s="4"/>
      <c r="U1157" s="4"/>
      <c r="V1157" s="4"/>
      <c r="W1157" s="4"/>
      <c r="X1157" s="4"/>
      <c r="Y1157" s="4"/>
      <c r="Z1157" s="4"/>
      <c r="AA1157" s="4"/>
      <c r="AB1157" s="4"/>
      <c r="AC1157" s="4"/>
      <c r="AD1157" s="4"/>
      <c r="AE1157" s="4"/>
      <c r="AF1157" s="81"/>
      <c r="AG1157" s="81"/>
      <c r="AH1157" s="81"/>
      <c r="AI1157" s="4"/>
      <c r="AJ1157" s="81"/>
      <c r="AK1157" s="81"/>
      <c r="AL1157" s="81"/>
    </row>
    <row r="1158" spans="1:38" s="7" customFormat="1">
      <c r="A1158" s="4"/>
      <c r="B1158" s="4"/>
      <c r="C1158" s="4"/>
      <c r="D1158" s="4"/>
      <c r="E1158" s="4"/>
      <c r="F1158" s="28"/>
      <c r="G1158" s="28"/>
      <c r="H1158" s="83"/>
      <c r="I1158" s="4"/>
      <c r="J1158" s="4"/>
      <c r="K1158" s="4"/>
      <c r="L1158" s="4"/>
      <c r="M1158" s="4"/>
      <c r="N1158" s="28"/>
      <c r="O1158" s="4"/>
      <c r="P1158" s="4"/>
      <c r="Q1158" s="4"/>
      <c r="R1158" s="4"/>
      <c r="S1158" s="4"/>
      <c r="T1158" s="4"/>
      <c r="U1158" s="4"/>
      <c r="V1158" s="4"/>
      <c r="W1158" s="4"/>
      <c r="X1158" s="4"/>
      <c r="Y1158" s="4"/>
      <c r="Z1158" s="4"/>
      <c r="AA1158" s="4"/>
      <c r="AB1158" s="4"/>
      <c r="AC1158" s="4"/>
      <c r="AD1158" s="4"/>
      <c r="AE1158" s="4"/>
      <c r="AF1158" s="81"/>
      <c r="AG1158" s="81"/>
      <c r="AH1158" s="81"/>
      <c r="AI1158" s="4"/>
      <c r="AJ1158" s="81"/>
      <c r="AK1158" s="81"/>
      <c r="AL1158" s="81"/>
    </row>
    <row r="1159" spans="1:38" s="7" customFormat="1">
      <c r="A1159" s="4"/>
      <c r="B1159" s="4"/>
      <c r="C1159" s="4"/>
      <c r="D1159" s="4"/>
      <c r="E1159" s="4"/>
      <c r="F1159" s="28"/>
      <c r="G1159" s="28"/>
      <c r="H1159" s="83"/>
      <c r="I1159" s="4"/>
      <c r="J1159" s="4"/>
      <c r="K1159" s="4"/>
      <c r="L1159" s="4"/>
      <c r="M1159" s="4"/>
      <c r="N1159" s="28"/>
      <c r="O1159" s="4"/>
      <c r="P1159" s="4"/>
      <c r="Q1159" s="4"/>
      <c r="R1159" s="4"/>
      <c r="S1159" s="4"/>
      <c r="T1159" s="4"/>
      <c r="U1159" s="4"/>
      <c r="V1159" s="4"/>
      <c r="W1159" s="4"/>
      <c r="X1159" s="4"/>
      <c r="Y1159" s="4"/>
      <c r="Z1159" s="4"/>
      <c r="AA1159" s="4"/>
      <c r="AB1159" s="4"/>
      <c r="AC1159" s="4"/>
      <c r="AD1159" s="4"/>
      <c r="AE1159" s="4"/>
      <c r="AF1159" s="81"/>
      <c r="AG1159" s="81"/>
      <c r="AH1159" s="81"/>
      <c r="AI1159" s="4"/>
      <c r="AJ1159" s="81"/>
      <c r="AK1159" s="81"/>
      <c r="AL1159" s="81"/>
    </row>
    <row r="1160" spans="1:38" s="7" customFormat="1">
      <c r="A1160" s="4"/>
      <c r="B1160" s="4"/>
      <c r="C1160" s="4"/>
      <c r="D1160" s="4"/>
      <c r="E1160" s="4"/>
      <c r="F1160" s="28"/>
      <c r="G1160" s="28"/>
      <c r="H1160" s="83"/>
      <c r="I1160" s="4"/>
      <c r="J1160" s="4"/>
      <c r="K1160" s="4"/>
      <c r="L1160" s="4"/>
      <c r="M1160" s="4"/>
      <c r="N1160" s="28"/>
      <c r="O1160" s="4"/>
      <c r="P1160" s="4"/>
      <c r="Q1160" s="4"/>
      <c r="R1160" s="4"/>
      <c r="S1160" s="4"/>
      <c r="T1160" s="4"/>
      <c r="U1160" s="4"/>
      <c r="V1160" s="4"/>
      <c r="W1160" s="4"/>
      <c r="X1160" s="4"/>
      <c r="Y1160" s="4"/>
      <c r="Z1160" s="4"/>
      <c r="AA1160" s="4"/>
      <c r="AB1160" s="4"/>
      <c r="AC1160" s="4"/>
      <c r="AD1160" s="4"/>
      <c r="AE1160" s="4"/>
      <c r="AF1160" s="81"/>
      <c r="AG1160" s="81"/>
      <c r="AH1160" s="81"/>
      <c r="AI1160" s="4"/>
      <c r="AJ1160" s="81"/>
      <c r="AK1160" s="81"/>
      <c r="AL1160" s="81"/>
    </row>
    <row r="1161" spans="1:38" s="7" customFormat="1">
      <c r="A1161" s="4"/>
      <c r="B1161" s="4"/>
      <c r="C1161" s="4"/>
      <c r="D1161" s="4"/>
      <c r="E1161" s="4"/>
      <c r="F1161" s="28"/>
      <c r="G1161" s="28"/>
      <c r="H1161" s="83"/>
      <c r="I1161" s="4"/>
      <c r="J1161" s="4"/>
      <c r="K1161" s="4"/>
      <c r="L1161" s="4"/>
      <c r="M1161" s="4"/>
      <c r="N1161" s="28"/>
      <c r="O1161" s="4"/>
      <c r="P1161" s="4"/>
      <c r="Q1161" s="4"/>
      <c r="R1161" s="4"/>
      <c r="S1161" s="4"/>
      <c r="T1161" s="4"/>
      <c r="U1161" s="4"/>
      <c r="V1161" s="4"/>
      <c r="W1161" s="4"/>
      <c r="X1161" s="4"/>
      <c r="Y1161" s="4"/>
      <c r="Z1161" s="4"/>
      <c r="AA1161" s="4"/>
      <c r="AB1161" s="4"/>
      <c r="AC1161" s="4"/>
      <c r="AD1161" s="4"/>
      <c r="AE1161" s="4"/>
      <c r="AF1161" s="81"/>
      <c r="AG1161" s="81"/>
      <c r="AH1161" s="81"/>
      <c r="AI1161" s="4"/>
      <c r="AJ1161" s="81"/>
      <c r="AK1161" s="81"/>
      <c r="AL1161" s="81"/>
    </row>
    <row r="1162" spans="1:38" s="7" customFormat="1">
      <c r="A1162" s="4"/>
      <c r="B1162" s="4"/>
      <c r="C1162" s="4"/>
      <c r="D1162" s="4"/>
      <c r="E1162" s="4"/>
      <c r="F1162" s="28"/>
      <c r="G1162" s="28"/>
      <c r="H1162" s="83"/>
      <c r="I1162" s="4"/>
      <c r="J1162" s="4"/>
      <c r="K1162" s="4"/>
      <c r="L1162" s="4"/>
      <c r="M1162" s="4"/>
      <c r="N1162" s="28"/>
      <c r="O1162" s="4"/>
      <c r="P1162" s="4"/>
      <c r="Q1162" s="4"/>
      <c r="R1162" s="4"/>
      <c r="S1162" s="4"/>
      <c r="T1162" s="4"/>
      <c r="U1162" s="4"/>
      <c r="V1162" s="4"/>
      <c r="W1162" s="4"/>
      <c r="X1162" s="4"/>
      <c r="Y1162" s="4"/>
      <c r="Z1162" s="4"/>
      <c r="AA1162" s="4"/>
      <c r="AB1162" s="4"/>
      <c r="AC1162" s="4"/>
      <c r="AD1162" s="4"/>
      <c r="AE1162" s="4"/>
      <c r="AF1162" s="81"/>
      <c r="AG1162" s="81"/>
      <c r="AH1162" s="81"/>
      <c r="AI1162" s="4"/>
      <c r="AJ1162" s="81"/>
      <c r="AK1162" s="81"/>
      <c r="AL1162" s="81"/>
    </row>
    <row r="1163" spans="1:38" s="7" customFormat="1">
      <c r="A1163" s="4"/>
      <c r="B1163" s="4"/>
      <c r="C1163" s="4"/>
      <c r="D1163" s="4"/>
      <c r="E1163" s="4"/>
      <c r="F1163" s="28"/>
      <c r="G1163" s="28"/>
      <c r="H1163" s="83"/>
      <c r="I1163" s="4"/>
      <c r="J1163" s="4"/>
      <c r="K1163" s="4"/>
      <c r="L1163" s="4"/>
      <c r="M1163" s="4"/>
      <c r="N1163" s="28"/>
      <c r="O1163" s="4"/>
      <c r="P1163" s="4"/>
      <c r="Q1163" s="4"/>
      <c r="R1163" s="4"/>
      <c r="S1163" s="4"/>
      <c r="T1163" s="4"/>
      <c r="U1163" s="4"/>
      <c r="V1163" s="4"/>
      <c r="W1163" s="4"/>
      <c r="X1163" s="4"/>
      <c r="Y1163" s="4"/>
      <c r="Z1163" s="4"/>
      <c r="AA1163" s="4"/>
      <c r="AB1163" s="4"/>
      <c r="AC1163" s="4"/>
      <c r="AD1163" s="4"/>
      <c r="AE1163" s="4"/>
      <c r="AF1163" s="81"/>
      <c r="AG1163" s="81"/>
      <c r="AH1163" s="81"/>
      <c r="AI1163" s="4"/>
      <c r="AJ1163" s="81"/>
      <c r="AK1163" s="81"/>
      <c r="AL1163" s="81"/>
    </row>
    <row r="1164" spans="1:38" s="7" customFormat="1">
      <c r="A1164" s="4"/>
      <c r="B1164" s="4"/>
      <c r="C1164" s="4"/>
      <c r="D1164" s="4"/>
      <c r="E1164" s="4"/>
      <c r="F1164" s="28"/>
      <c r="G1164" s="28"/>
      <c r="H1164" s="83"/>
      <c r="I1164" s="4"/>
      <c r="J1164" s="4"/>
      <c r="K1164" s="4"/>
      <c r="L1164" s="4"/>
      <c r="M1164" s="4"/>
      <c r="N1164" s="28"/>
      <c r="O1164" s="4"/>
      <c r="P1164" s="4"/>
      <c r="Q1164" s="4"/>
      <c r="R1164" s="4"/>
      <c r="S1164" s="4"/>
      <c r="T1164" s="4"/>
      <c r="U1164" s="4"/>
      <c r="V1164" s="4"/>
      <c r="W1164" s="4"/>
      <c r="X1164" s="4"/>
      <c r="Y1164" s="4"/>
      <c r="Z1164" s="4"/>
      <c r="AA1164" s="4"/>
      <c r="AB1164" s="4"/>
      <c r="AC1164" s="4"/>
      <c r="AD1164" s="4"/>
      <c r="AE1164" s="4"/>
      <c r="AF1164" s="81"/>
      <c r="AG1164" s="81"/>
      <c r="AH1164" s="81"/>
      <c r="AI1164" s="4"/>
      <c r="AJ1164" s="81"/>
      <c r="AK1164" s="81"/>
      <c r="AL1164" s="81"/>
    </row>
    <row r="1165" spans="1:38" s="7" customFormat="1">
      <c r="A1165" s="4"/>
      <c r="B1165" s="4"/>
      <c r="C1165" s="4"/>
      <c r="D1165" s="4"/>
      <c r="E1165" s="4"/>
      <c r="F1165" s="28"/>
      <c r="G1165" s="28"/>
      <c r="H1165" s="83"/>
      <c r="I1165" s="4"/>
      <c r="J1165" s="4"/>
      <c r="K1165" s="4"/>
      <c r="L1165" s="4"/>
      <c r="M1165" s="4"/>
      <c r="N1165" s="28"/>
      <c r="O1165" s="4"/>
      <c r="P1165" s="4"/>
      <c r="Q1165" s="4"/>
      <c r="R1165" s="4"/>
      <c r="S1165" s="4"/>
      <c r="T1165" s="4"/>
      <c r="U1165" s="4"/>
      <c r="V1165" s="4"/>
      <c r="W1165" s="4"/>
      <c r="X1165" s="4"/>
      <c r="Y1165" s="4"/>
      <c r="Z1165" s="4"/>
      <c r="AA1165" s="4"/>
      <c r="AB1165" s="4"/>
      <c r="AC1165" s="4"/>
      <c r="AD1165" s="4"/>
      <c r="AE1165" s="4"/>
      <c r="AF1165" s="81"/>
      <c r="AG1165" s="81"/>
      <c r="AH1165" s="81"/>
      <c r="AI1165" s="4"/>
      <c r="AJ1165" s="81"/>
      <c r="AK1165" s="81"/>
      <c r="AL1165" s="81"/>
    </row>
    <row r="1166" spans="1:38" s="7" customFormat="1">
      <c r="A1166" s="4"/>
      <c r="B1166" s="4"/>
      <c r="C1166" s="4"/>
      <c r="D1166" s="4"/>
      <c r="E1166" s="4"/>
      <c r="F1166" s="28"/>
      <c r="G1166" s="28"/>
      <c r="H1166" s="83"/>
      <c r="I1166" s="4"/>
      <c r="J1166" s="4"/>
      <c r="K1166" s="4"/>
      <c r="L1166" s="4"/>
      <c r="M1166" s="4"/>
      <c r="N1166" s="28"/>
      <c r="O1166" s="4"/>
      <c r="P1166" s="4"/>
      <c r="Q1166" s="4"/>
      <c r="R1166" s="4"/>
      <c r="S1166" s="4"/>
      <c r="T1166" s="4"/>
      <c r="U1166" s="4"/>
      <c r="V1166" s="4"/>
      <c r="W1166" s="4"/>
      <c r="X1166" s="4"/>
      <c r="Y1166" s="4"/>
      <c r="Z1166" s="4"/>
      <c r="AA1166" s="4"/>
      <c r="AB1166" s="4"/>
      <c r="AC1166" s="4"/>
      <c r="AD1166" s="4"/>
      <c r="AE1166" s="4"/>
      <c r="AF1166" s="81"/>
      <c r="AG1166" s="81"/>
      <c r="AH1166" s="81"/>
      <c r="AI1166" s="4"/>
      <c r="AJ1166" s="81"/>
      <c r="AK1166" s="81"/>
      <c r="AL1166" s="81"/>
    </row>
    <row r="1167" spans="1:38" s="7" customFormat="1">
      <c r="A1167" s="4"/>
      <c r="B1167" s="4"/>
      <c r="C1167" s="4"/>
      <c r="D1167" s="4"/>
      <c r="E1167" s="4"/>
      <c r="F1167" s="28"/>
      <c r="G1167" s="28"/>
      <c r="H1167" s="83"/>
      <c r="I1167" s="4"/>
      <c r="J1167" s="4"/>
      <c r="K1167" s="4"/>
      <c r="L1167" s="4"/>
      <c r="M1167" s="4"/>
      <c r="N1167" s="28"/>
      <c r="O1167" s="4"/>
      <c r="P1167" s="4"/>
      <c r="Q1167" s="4"/>
      <c r="R1167" s="4"/>
      <c r="S1167" s="4"/>
      <c r="T1167" s="4"/>
      <c r="U1167" s="4"/>
      <c r="V1167" s="4"/>
      <c r="W1167" s="4"/>
      <c r="X1167" s="4"/>
      <c r="Y1167" s="4"/>
      <c r="Z1167" s="4"/>
      <c r="AA1167" s="4"/>
      <c r="AB1167" s="4"/>
      <c r="AC1167" s="4"/>
      <c r="AD1167" s="4"/>
      <c r="AE1167" s="4"/>
      <c r="AF1167" s="81"/>
      <c r="AG1167" s="81"/>
      <c r="AH1167" s="81"/>
      <c r="AI1167" s="4"/>
      <c r="AJ1167" s="81"/>
      <c r="AK1167" s="81"/>
      <c r="AL1167" s="81"/>
    </row>
    <row r="1168" spans="1:38" s="7" customFormat="1">
      <c r="A1168" s="4"/>
      <c r="B1168" s="4"/>
      <c r="C1168" s="4"/>
      <c r="D1168" s="4"/>
      <c r="E1168" s="4"/>
      <c r="F1168" s="28"/>
      <c r="G1168" s="28"/>
      <c r="H1168" s="83"/>
      <c r="I1168" s="4"/>
      <c r="J1168" s="4"/>
      <c r="K1168" s="4"/>
      <c r="L1168" s="4"/>
      <c r="M1168" s="4"/>
      <c r="N1168" s="28"/>
      <c r="O1168" s="4"/>
      <c r="P1168" s="4"/>
      <c r="Q1168" s="4"/>
      <c r="R1168" s="4"/>
      <c r="S1168" s="4"/>
      <c r="T1168" s="4"/>
      <c r="U1168" s="4"/>
      <c r="V1168" s="4"/>
      <c r="W1168" s="4"/>
      <c r="X1168" s="4"/>
      <c r="Y1168" s="4"/>
      <c r="Z1168" s="4"/>
      <c r="AA1168" s="4"/>
      <c r="AB1168" s="4"/>
      <c r="AC1168" s="4"/>
      <c r="AD1168" s="4"/>
      <c r="AE1168" s="4"/>
      <c r="AF1168" s="81"/>
      <c r="AG1168" s="81"/>
      <c r="AH1168" s="81"/>
      <c r="AI1168" s="4"/>
      <c r="AJ1168" s="81"/>
      <c r="AK1168" s="81"/>
      <c r="AL1168" s="81"/>
    </row>
    <row r="1169" spans="1:38" s="7" customFormat="1">
      <c r="A1169" s="4"/>
      <c r="B1169" s="4"/>
      <c r="C1169" s="4"/>
      <c r="D1169" s="4"/>
      <c r="E1169" s="4"/>
      <c r="F1169" s="28"/>
      <c r="G1169" s="28"/>
      <c r="H1169" s="83"/>
      <c r="I1169" s="4"/>
      <c r="J1169" s="4"/>
      <c r="K1169" s="4"/>
      <c r="L1169" s="4"/>
      <c r="M1169" s="4"/>
      <c r="N1169" s="28"/>
      <c r="O1169" s="4"/>
      <c r="P1169" s="4"/>
      <c r="Q1169" s="4"/>
      <c r="R1169" s="4"/>
      <c r="S1169" s="4"/>
      <c r="T1169" s="4"/>
      <c r="U1169" s="4"/>
      <c r="V1169" s="4"/>
      <c r="W1169" s="4"/>
      <c r="X1169" s="4"/>
      <c r="Y1169" s="4"/>
      <c r="Z1169" s="4"/>
      <c r="AA1169" s="4"/>
      <c r="AB1169" s="4"/>
      <c r="AC1169" s="4"/>
      <c r="AD1169" s="4"/>
      <c r="AE1169" s="4"/>
      <c r="AF1169" s="81"/>
      <c r="AG1169" s="81"/>
      <c r="AH1169" s="81"/>
      <c r="AI1169" s="4"/>
      <c r="AJ1169" s="81"/>
      <c r="AK1169" s="81"/>
      <c r="AL1169" s="81"/>
    </row>
    <row r="1170" spans="1:38" s="7" customFormat="1">
      <c r="A1170" s="4"/>
      <c r="B1170" s="4"/>
      <c r="C1170" s="4"/>
      <c r="D1170" s="4"/>
      <c r="E1170" s="4"/>
      <c r="F1170" s="28"/>
      <c r="G1170" s="28"/>
      <c r="H1170" s="83"/>
      <c r="I1170" s="4"/>
      <c r="J1170" s="4"/>
      <c r="K1170" s="4"/>
      <c r="L1170" s="4"/>
      <c r="M1170" s="4"/>
      <c r="N1170" s="28"/>
      <c r="O1170" s="4"/>
      <c r="P1170" s="4"/>
      <c r="Q1170" s="4"/>
      <c r="R1170" s="4"/>
      <c r="S1170" s="4"/>
      <c r="T1170" s="4"/>
      <c r="U1170" s="4"/>
      <c r="V1170" s="4"/>
      <c r="W1170" s="4"/>
      <c r="X1170" s="4"/>
      <c r="Y1170" s="4"/>
      <c r="Z1170" s="4"/>
      <c r="AA1170" s="4"/>
      <c r="AB1170" s="4"/>
      <c r="AC1170" s="4"/>
      <c r="AD1170" s="4"/>
      <c r="AE1170" s="4"/>
      <c r="AF1170" s="81"/>
      <c r="AG1170" s="81"/>
      <c r="AH1170" s="81"/>
      <c r="AI1170" s="4"/>
      <c r="AJ1170" s="81"/>
      <c r="AK1170" s="81"/>
      <c r="AL1170" s="81"/>
    </row>
    <row r="1171" spans="1:38" s="7" customFormat="1">
      <c r="A1171" s="4"/>
      <c r="B1171" s="4"/>
      <c r="C1171" s="4"/>
      <c r="D1171" s="4"/>
      <c r="E1171" s="4"/>
      <c r="F1171" s="28"/>
      <c r="G1171" s="28"/>
      <c r="H1171" s="83"/>
      <c r="I1171" s="4"/>
      <c r="J1171" s="4"/>
      <c r="K1171" s="4"/>
      <c r="L1171" s="4"/>
      <c r="M1171" s="4"/>
      <c r="N1171" s="28"/>
      <c r="O1171" s="4"/>
      <c r="P1171" s="4"/>
      <c r="Q1171" s="4"/>
      <c r="R1171" s="4"/>
      <c r="S1171" s="4"/>
      <c r="T1171" s="4"/>
      <c r="U1171" s="4"/>
      <c r="V1171" s="4"/>
      <c r="W1171" s="4"/>
      <c r="X1171" s="4"/>
      <c r="Y1171" s="4"/>
      <c r="Z1171" s="4"/>
      <c r="AA1171" s="4"/>
      <c r="AB1171" s="4"/>
      <c r="AC1171" s="4"/>
      <c r="AD1171" s="4"/>
      <c r="AE1171" s="4"/>
      <c r="AF1171" s="81"/>
      <c r="AG1171" s="81"/>
      <c r="AH1171" s="81"/>
      <c r="AI1171" s="4"/>
      <c r="AJ1171" s="81"/>
      <c r="AK1171" s="81"/>
      <c r="AL1171" s="81"/>
    </row>
    <row r="1172" spans="1:38" s="7" customFormat="1">
      <c r="A1172" s="4"/>
      <c r="B1172" s="4"/>
      <c r="C1172" s="4"/>
      <c r="D1172" s="4"/>
      <c r="E1172" s="4"/>
      <c r="F1172" s="28"/>
      <c r="G1172" s="28"/>
      <c r="H1172" s="83"/>
      <c r="I1172" s="4"/>
      <c r="J1172" s="4"/>
      <c r="K1172" s="4"/>
      <c r="L1172" s="4"/>
      <c r="M1172" s="4"/>
      <c r="N1172" s="28"/>
      <c r="O1172" s="4"/>
      <c r="P1172" s="4"/>
      <c r="Q1172" s="4"/>
      <c r="R1172" s="4"/>
      <c r="S1172" s="4"/>
      <c r="T1172" s="4"/>
      <c r="U1172" s="4"/>
      <c r="V1172" s="4"/>
      <c r="W1172" s="4"/>
      <c r="X1172" s="4"/>
      <c r="Y1172" s="4"/>
      <c r="Z1172" s="4"/>
      <c r="AA1172" s="4"/>
      <c r="AB1172" s="4"/>
      <c r="AC1172" s="4"/>
      <c r="AD1172" s="4"/>
      <c r="AE1172" s="4"/>
      <c r="AF1172" s="81"/>
      <c r="AG1172" s="81"/>
      <c r="AH1172" s="81"/>
      <c r="AI1172" s="4"/>
      <c r="AJ1172" s="81"/>
      <c r="AK1172" s="81"/>
      <c r="AL1172" s="81"/>
    </row>
    <row r="1173" spans="1:38" s="7" customFormat="1">
      <c r="A1173" s="4"/>
      <c r="B1173" s="4"/>
      <c r="C1173" s="4"/>
      <c r="D1173" s="4"/>
      <c r="E1173" s="4"/>
      <c r="F1173" s="28"/>
      <c r="G1173" s="28"/>
      <c r="H1173" s="83"/>
      <c r="I1173" s="4"/>
      <c r="J1173" s="4"/>
      <c r="K1173" s="4"/>
      <c r="L1173" s="4"/>
      <c r="M1173" s="4"/>
      <c r="N1173" s="28"/>
      <c r="O1173" s="4"/>
      <c r="P1173" s="4"/>
      <c r="Q1173" s="4"/>
      <c r="R1173" s="4"/>
      <c r="S1173" s="4"/>
      <c r="T1173" s="4"/>
      <c r="U1173" s="4"/>
      <c r="V1173" s="4"/>
      <c r="W1173" s="4"/>
      <c r="X1173" s="4"/>
      <c r="Y1173" s="4"/>
      <c r="Z1173" s="4"/>
      <c r="AA1173" s="4"/>
      <c r="AB1173" s="4"/>
      <c r="AC1173" s="4"/>
      <c r="AD1173" s="4"/>
      <c r="AE1173" s="4"/>
      <c r="AF1173" s="81"/>
      <c r="AG1173" s="81"/>
      <c r="AH1173" s="81"/>
      <c r="AI1173" s="4"/>
      <c r="AJ1173" s="81"/>
      <c r="AK1173" s="81"/>
      <c r="AL1173" s="81"/>
    </row>
    <row r="1174" spans="1:38" s="7" customFormat="1">
      <c r="A1174" s="4"/>
      <c r="B1174" s="4"/>
      <c r="C1174" s="4"/>
      <c r="D1174" s="4"/>
      <c r="E1174" s="4"/>
      <c r="F1174" s="28"/>
      <c r="G1174" s="28"/>
      <c r="H1174" s="83"/>
      <c r="I1174" s="4"/>
      <c r="J1174" s="4"/>
      <c r="K1174" s="4"/>
      <c r="L1174" s="4"/>
      <c r="M1174" s="4"/>
      <c r="N1174" s="28"/>
      <c r="O1174" s="4"/>
      <c r="P1174" s="4"/>
      <c r="Q1174" s="4"/>
      <c r="R1174" s="4"/>
      <c r="S1174" s="4"/>
      <c r="T1174" s="4"/>
      <c r="U1174" s="4"/>
      <c r="V1174" s="4"/>
      <c r="W1174" s="4"/>
      <c r="X1174" s="4"/>
      <c r="Y1174" s="4"/>
      <c r="Z1174" s="4"/>
      <c r="AA1174" s="4"/>
      <c r="AB1174" s="4"/>
      <c r="AC1174" s="4"/>
      <c r="AD1174" s="4"/>
      <c r="AE1174" s="4"/>
      <c r="AF1174" s="81"/>
      <c r="AG1174" s="81"/>
      <c r="AH1174" s="81"/>
      <c r="AI1174" s="4"/>
      <c r="AJ1174" s="81"/>
      <c r="AK1174" s="81"/>
      <c r="AL1174" s="81"/>
    </row>
    <row r="1175" spans="1:38" s="7" customFormat="1">
      <c r="A1175" s="4"/>
      <c r="B1175" s="4"/>
      <c r="C1175" s="4"/>
      <c r="D1175" s="4"/>
      <c r="E1175" s="4"/>
      <c r="F1175" s="28"/>
      <c r="G1175" s="28"/>
      <c r="H1175" s="83"/>
      <c r="I1175" s="4"/>
      <c r="J1175" s="4"/>
      <c r="K1175" s="4"/>
      <c r="L1175" s="4"/>
      <c r="M1175" s="4"/>
      <c r="N1175" s="28"/>
      <c r="O1175" s="4"/>
      <c r="P1175" s="4"/>
      <c r="Q1175" s="4"/>
      <c r="R1175" s="4"/>
      <c r="S1175" s="4"/>
      <c r="T1175" s="4"/>
      <c r="U1175" s="4"/>
      <c r="V1175" s="4"/>
      <c r="W1175" s="4"/>
      <c r="X1175" s="4"/>
      <c r="Y1175" s="4"/>
      <c r="Z1175" s="4"/>
      <c r="AA1175" s="4"/>
      <c r="AB1175" s="4"/>
      <c r="AC1175" s="4"/>
      <c r="AD1175" s="4"/>
      <c r="AE1175" s="4"/>
      <c r="AF1175" s="81"/>
      <c r="AG1175" s="81"/>
      <c r="AH1175" s="81"/>
      <c r="AI1175" s="4"/>
      <c r="AJ1175" s="81"/>
      <c r="AK1175" s="81"/>
      <c r="AL1175" s="81"/>
    </row>
    <row r="1176" spans="1:38" s="7" customFormat="1">
      <c r="A1176" s="4"/>
      <c r="B1176" s="4"/>
      <c r="C1176" s="4"/>
      <c r="D1176" s="4"/>
      <c r="E1176" s="4"/>
      <c r="F1176" s="28"/>
      <c r="G1176" s="28"/>
      <c r="H1176" s="83"/>
      <c r="I1176" s="4"/>
      <c r="J1176" s="4"/>
      <c r="K1176" s="4"/>
      <c r="L1176" s="4"/>
      <c r="M1176" s="4"/>
      <c r="N1176" s="28"/>
      <c r="O1176" s="4"/>
      <c r="P1176" s="4"/>
      <c r="Q1176" s="4"/>
      <c r="R1176" s="4"/>
      <c r="S1176" s="4"/>
      <c r="T1176" s="4"/>
      <c r="U1176" s="4"/>
      <c r="V1176" s="4"/>
      <c r="W1176" s="4"/>
      <c r="X1176" s="4"/>
      <c r="Y1176" s="4"/>
      <c r="Z1176" s="4"/>
      <c r="AA1176" s="4"/>
      <c r="AB1176" s="4"/>
      <c r="AC1176" s="4"/>
      <c r="AD1176" s="4"/>
      <c r="AE1176" s="4"/>
      <c r="AF1176" s="81"/>
      <c r="AG1176" s="81"/>
      <c r="AH1176" s="81"/>
      <c r="AI1176" s="4"/>
      <c r="AJ1176" s="81"/>
      <c r="AK1176" s="81"/>
      <c r="AL1176" s="81"/>
    </row>
    <row r="1177" spans="1:38" s="7" customFormat="1">
      <c r="A1177" s="4"/>
      <c r="B1177" s="4"/>
      <c r="C1177" s="4"/>
      <c r="D1177" s="4"/>
      <c r="E1177" s="4"/>
      <c r="F1177" s="28"/>
      <c r="G1177" s="28"/>
      <c r="H1177" s="83"/>
      <c r="I1177" s="4"/>
      <c r="J1177" s="4"/>
      <c r="K1177" s="4"/>
      <c r="L1177" s="4"/>
      <c r="M1177" s="4"/>
      <c r="N1177" s="28"/>
      <c r="O1177" s="4"/>
      <c r="P1177" s="4"/>
      <c r="Q1177" s="4"/>
      <c r="R1177" s="4"/>
      <c r="S1177" s="4"/>
      <c r="T1177" s="4"/>
      <c r="U1177" s="4"/>
      <c r="V1177" s="4"/>
      <c r="W1177" s="4"/>
      <c r="X1177" s="4"/>
      <c r="Y1177" s="4"/>
      <c r="Z1177" s="4"/>
      <c r="AA1177" s="4"/>
      <c r="AB1177" s="4"/>
      <c r="AC1177" s="4"/>
      <c r="AD1177" s="4"/>
      <c r="AE1177" s="4"/>
      <c r="AF1177" s="81"/>
      <c r="AG1177" s="81"/>
      <c r="AH1177" s="81"/>
      <c r="AI1177" s="4"/>
      <c r="AJ1177" s="81"/>
      <c r="AK1177" s="81"/>
      <c r="AL1177" s="81"/>
    </row>
    <row r="1178" spans="1:38" s="7" customFormat="1">
      <c r="A1178" s="4"/>
      <c r="B1178" s="4"/>
      <c r="C1178" s="4"/>
      <c r="D1178" s="4"/>
      <c r="E1178" s="4"/>
      <c r="F1178" s="28"/>
      <c r="G1178" s="28"/>
      <c r="H1178" s="83"/>
      <c r="I1178" s="4"/>
      <c r="J1178" s="4"/>
      <c r="K1178" s="4"/>
      <c r="L1178" s="4"/>
      <c r="M1178" s="4"/>
      <c r="N1178" s="28"/>
      <c r="O1178" s="4"/>
      <c r="P1178" s="4"/>
      <c r="Q1178" s="4"/>
      <c r="R1178" s="4"/>
      <c r="S1178" s="4"/>
      <c r="T1178" s="4"/>
      <c r="U1178" s="4"/>
      <c r="V1178" s="4"/>
      <c r="W1178" s="4"/>
      <c r="X1178" s="4"/>
      <c r="Y1178" s="4"/>
      <c r="Z1178" s="4"/>
      <c r="AA1178" s="4"/>
      <c r="AB1178" s="4"/>
      <c r="AC1178" s="4"/>
      <c r="AD1178" s="4"/>
      <c r="AE1178" s="4"/>
      <c r="AF1178" s="81"/>
      <c r="AG1178" s="81"/>
      <c r="AH1178" s="81"/>
      <c r="AI1178" s="4"/>
      <c r="AJ1178" s="81"/>
      <c r="AK1178" s="81"/>
      <c r="AL1178" s="81"/>
    </row>
    <row r="1179" spans="1:38" s="7" customFormat="1">
      <c r="A1179" s="4"/>
      <c r="B1179" s="4"/>
      <c r="C1179" s="4"/>
      <c r="D1179" s="4"/>
      <c r="E1179" s="4"/>
      <c r="F1179" s="28"/>
      <c r="G1179" s="28"/>
      <c r="H1179" s="83"/>
      <c r="I1179" s="4"/>
      <c r="J1179" s="4"/>
      <c r="K1179" s="4"/>
      <c r="L1179" s="4"/>
      <c r="M1179" s="4"/>
      <c r="N1179" s="28"/>
      <c r="O1179" s="4"/>
      <c r="P1179" s="4"/>
      <c r="Q1179" s="4"/>
      <c r="R1179" s="4"/>
      <c r="S1179" s="4"/>
      <c r="T1179" s="4"/>
      <c r="U1179" s="4"/>
      <c r="V1179" s="4"/>
      <c r="W1179" s="4"/>
      <c r="X1179" s="4"/>
      <c r="Y1179" s="4"/>
      <c r="Z1179" s="4"/>
      <c r="AA1179" s="4"/>
      <c r="AB1179" s="4"/>
      <c r="AC1179" s="4"/>
      <c r="AD1179" s="4"/>
      <c r="AE1179" s="4"/>
      <c r="AF1179" s="81"/>
      <c r="AG1179" s="81"/>
      <c r="AH1179" s="81"/>
      <c r="AI1179" s="4"/>
      <c r="AJ1179" s="81"/>
      <c r="AK1179" s="81"/>
      <c r="AL1179" s="81"/>
    </row>
    <row r="1180" spans="1:38" s="7" customFormat="1">
      <c r="A1180" s="4"/>
      <c r="B1180" s="4"/>
      <c r="C1180" s="4"/>
      <c r="D1180" s="4"/>
      <c r="E1180" s="4"/>
      <c r="F1180" s="28"/>
      <c r="G1180" s="28"/>
      <c r="H1180" s="83"/>
      <c r="I1180" s="4"/>
      <c r="J1180" s="4"/>
      <c r="K1180" s="4"/>
      <c r="L1180" s="4"/>
      <c r="M1180" s="4"/>
      <c r="N1180" s="28"/>
      <c r="O1180" s="4"/>
      <c r="P1180" s="4"/>
      <c r="Q1180" s="4"/>
      <c r="R1180" s="4"/>
      <c r="S1180" s="4"/>
      <c r="T1180" s="4"/>
      <c r="U1180" s="4"/>
      <c r="V1180" s="4"/>
      <c r="W1180" s="4"/>
      <c r="X1180" s="4"/>
      <c r="Y1180" s="4"/>
      <c r="Z1180" s="4"/>
      <c r="AA1180" s="4"/>
      <c r="AB1180" s="4"/>
      <c r="AC1180" s="4"/>
      <c r="AD1180" s="4"/>
      <c r="AE1180" s="4"/>
      <c r="AF1180" s="81"/>
      <c r="AG1180" s="81"/>
      <c r="AH1180" s="81"/>
      <c r="AI1180" s="4"/>
      <c r="AJ1180" s="81"/>
      <c r="AK1180" s="81"/>
      <c r="AL1180" s="81"/>
    </row>
    <row r="1181" spans="1:38" s="7" customFormat="1">
      <c r="A1181" s="4"/>
      <c r="B1181" s="4"/>
      <c r="C1181" s="4"/>
      <c r="D1181" s="4"/>
      <c r="E1181" s="4"/>
      <c r="F1181" s="28"/>
      <c r="G1181" s="28"/>
      <c r="H1181" s="83"/>
      <c r="I1181" s="4"/>
      <c r="J1181" s="4"/>
      <c r="K1181" s="4"/>
      <c r="L1181" s="4"/>
      <c r="M1181" s="4"/>
      <c r="N1181" s="28"/>
      <c r="O1181" s="4"/>
      <c r="P1181" s="4"/>
      <c r="Q1181" s="4"/>
      <c r="R1181" s="4"/>
      <c r="S1181" s="4"/>
      <c r="T1181" s="4"/>
      <c r="U1181" s="4"/>
      <c r="V1181" s="4"/>
      <c r="W1181" s="4"/>
      <c r="X1181" s="4"/>
      <c r="Y1181" s="4"/>
      <c r="Z1181" s="4"/>
      <c r="AA1181" s="4"/>
      <c r="AB1181" s="4"/>
      <c r="AC1181" s="4"/>
      <c r="AD1181" s="4"/>
      <c r="AE1181" s="4"/>
      <c r="AF1181" s="81"/>
      <c r="AG1181" s="81"/>
      <c r="AH1181" s="81"/>
      <c r="AI1181" s="4"/>
      <c r="AJ1181" s="81"/>
      <c r="AK1181" s="81"/>
      <c r="AL1181" s="81"/>
    </row>
    <row r="1182" spans="1:38" s="7" customFormat="1">
      <c r="A1182" s="4"/>
      <c r="B1182" s="4"/>
      <c r="C1182" s="4"/>
      <c r="D1182" s="4"/>
      <c r="E1182" s="4"/>
      <c r="F1182" s="28"/>
      <c r="G1182" s="28"/>
      <c r="H1182" s="83"/>
      <c r="I1182" s="4"/>
      <c r="J1182" s="4"/>
      <c r="K1182" s="4"/>
      <c r="L1182" s="4"/>
      <c r="M1182" s="4"/>
      <c r="N1182" s="28"/>
      <c r="O1182" s="4"/>
      <c r="P1182" s="4"/>
      <c r="Q1182" s="4"/>
      <c r="R1182" s="4"/>
      <c r="S1182" s="4"/>
      <c r="T1182" s="4"/>
      <c r="U1182" s="4"/>
      <c r="V1182" s="4"/>
      <c r="W1182" s="4"/>
      <c r="X1182" s="4"/>
      <c r="Y1182" s="4"/>
      <c r="Z1182" s="4"/>
      <c r="AA1182" s="4"/>
      <c r="AB1182" s="4"/>
      <c r="AC1182" s="4"/>
      <c r="AD1182" s="4"/>
      <c r="AE1182" s="4"/>
      <c r="AF1182" s="81"/>
      <c r="AG1182" s="81"/>
      <c r="AH1182" s="81"/>
      <c r="AI1182" s="4"/>
      <c r="AJ1182" s="81"/>
      <c r="AK1182" s="81"/>
      <c r="AL1182" s="81"/>
    </row>
    <row r="1183" spans="1:38" s="7" customFormat="1">
      <c r="A1183" s="4"/>
      <c r="B1183" s="4"/>
      <c r="C1183" s="4"/>
      <c r="D1183" s="4"/>
      <c r="E1183" s="4"/>
      <c r="F1183" s="28"/>
      <c r="G1183" s="28"/>
      <c r="H1183" s="83"/>
      <c r="I1183" s="4"/>
      <c r="J1183" s="4"/>
      <c r="K1183" s="4"/>
      <c r="L1183" s="4"/>
      <c r="M1183" s="4"/>
      <c r="N1183" s="28"/>
      <c r="O1183" s="4"/>
      <c r="P1183" s="4"/>
      <c r="Q1183" s="4"/>
      <c r="R1183" s="4"/>
      <c r="S1183" s="4"/>
      <c r="T1183" s="4"/>
      <c r="U1183" s="4"/>
      <c r="V1183" s="4"/>
      <c r="W1183" s="4"/>
      <c r="X1183" s="4"/>
      <c r="Y1183" s="4"/>
      <c r="Z1183" s="4"/>
      <c r="AA1183" s="4"/>
      <c r="AB1183" s="4"/>
      <c r="AC1183" s="4"/>
      <c r="AD1183" s="4"/>
      <c r="AE1183" s="4"/>
      <c r="AF1183" s="81"/>
      <c r="AG1183" s="81"/>
      <c r="AH1183" s="81"/>
      <c r="AI1183" s="4"/>
      <c r="AJ1183" s="81"/>
      <c r="AK1183" s="81"/>
      <c r="AL1183" s="81"/>
    </row>
    <row r="1184" spans="1:38" s="7" customFormat="1">
      <c r="A1184" s="4"/>
      <c r="B1184" s="4"/>
      <c r="C1184" s="4"/>
      <c r="D1184" s="4"/>
      <c r="E1184" s="4"/>
      <c r="F1184" s="28"/>
      <c r="G1184" s="28"/>
      <c r="H1184" s="83"/>
      <c r="I1184" s="4"/>
      <c r="J1184" s="4"/>
      <c r="K1184" s="4"/>
      <c r="L1184" s="4"/>
      <c r="M1184" s="4"/>
      <c r="N1184" s="28"/>
      <c r="O1184" s="4"/>
      <c r="P1184" s="4"/>
      <c r="Q1184" s="4"/>
      <c r="R1184" s="4"/>
      <c r="S1184" s="4"/>
      <c r="T1184" s="4"/>
      <c r="U1184" s="4"/>
      <c r="V1184" s="4"/>
      <c r="W1184" s="4"/>
      <c r="X1184" s="4"/>
      <c r="Y1184" s="4"/>
      <c r="Z1184" s="4"/>
      <c r="AA1184" s="4"/>
      <c r="AB1184" s="4"/>
      <c r="AC1184" s="4"/>
      <c r="AD1184" s="4"/>
      <c r="AE1184" s="4"/>
      <c r="AF1184" s="81"/>
      <c r="AG1184" s="81"/>
      <c r="AH1184" s="81"/>
      <c r="AI1184" s="4"/>
      <c r="AJ1184" s="81"/>
      <c r="AK1184" s="81"/>
      <c r="AL1184" s="81"/>
    </row>
    <row r="1185" spans="1:38" s="7" customFormat="1">
      <c r="A1185" s="4"/>
      <c r="B1185" s="4"/>
      <c r="C1185" s="4"/>
      <c r="D1185" s="4"/>
      <c r="E1185" s="4"/>
      <c r="F1185" s="28"/>
      <c r="G1185" s="28"/>
      <c r="H1185" s="83"/>
      <c r="I1185" s="4"/>
      <c r="J1185" s="4"/>
      <c r="K1185" s="4"/>
      <c r="L1185" s="4"/>
      <c r="M1185" s="4"/>
      <c r="N1185" s="28"/>
      <c r="O1185" s="4"/>
      <c r="P1185" s="4"/>
      <c r="Q1185" s="4"/>
      <c r="R1185" s="4"/>
      <c r="S1185" s="4"/>
      <c r="T1185" s="4"/>
      <c r="U1185" s="4"/>
      <c r="V1185" s="4"/>
      <c r="W1185" s="4"/>
      <c r="X1185" s="4"/>
      <c r="Y1185" s="4"/>
      <c r="Z1185" s="4"/>
      <c r="AA1185" s="4"/>
      <c r="AB1185" s="4"/>
      <c r="AC1185" s="4"/>
      <c r="AD1185" s="4"/>
      <c r="AE1185" s="4"/>
      <c r="AF1185" s="81"/>
      <c r="AG1185" s="81"/>
      <c r="AH1185" s="81"/>
      <c r="AI1185" s="4"/>
      <c r="AJ1185" s="81"/>
      <c r="AK1185" s="81"/>
      <c r="AL1185" s="81"/>
    </row>
    <row r="1186" spans="1:38" s="7" customFormat="1">
      <c r="A1186" s="4"/>
      <c r="B1186" s="4"/>
      <c r="C1186" s="4"/>
      <c r="D1186" s="4"/>
      <c r="E1186" s="4"/>
      <c r="F1186" s="28"/>
      <c r="G1186" s="28"/>
      <c r="H1186" s="83"/>
      <c r="I1186" s="4"/>
      <c r="J1186" s="4"/>
      <c r="K1186" s="4"/>
      <c r="L1186" s="4"/>
      <c r="M1186" s="4"/>
      <c r="N1186" s="28"/>
      <c r="O1186" s="4"/>
      <c r="P1186" s="4"/>
      <c r="Q1186" s="4"/>
      <c r="R1186" s="4"/>
      <c r="S1186" s="4"/>
      <c r="T1186" s="4"/>
      <c r="U1186" s="4"/>
      <c r="V1186" s="4"/>
      <c r="W1186" s="4"/>
      <c r="X1186" s="4"/>
      <c r="Y1186" s="4"/>
      <c r="Z1186" s="4"/>
      <c r="AA1186" s="4"/>
      <c r="AB1186" s="4"/>
      <c r="AC1186" s="4"/>
      <c r="AD1186" s="4"/>
      <c r="AE1186" s="4"/>
      <c r="AF1186" s="81"/>
      <c r="AG1186" s="81"/>
      <c r="AH1186" s="81"/>
      <c r="AI1186" s="4"/>
      <c r="AJ1186" s="81"/>
      <c r="AK1186" s="81"/>
      <c r="AL1186" s="81"/>
    </row>
    <row r="1187" spans="1:38" s="7" customFormat="1">
      <c r="A1187" s="4"/>
      <c r="B1187" s="4"/>
      <c r="C1187" s="4"/>
      <c r="D1187" s="4"/>
      <c r="E1187" s="4"/>
      <c r="F1187" s="28"/>
      <c r="G1187" s="28"/>
      <c r="H1187" s="83"/>
      <c r="I1187" s="4"/>
      <c r="J1187" s="4"/>
      <c r="K1187" s="4"/>
      <c r="L1187" s="4"/>
      <c r="M1187" s="4"/>
      <c r="N1187" s="28"/>
      <c r="O1187" s="4"/>
      <c r="P1187" s="4"/>
      <c r="Q1187" s="4"/>
      <c r="R1187" s="4"/>
      <c r="S1187" s="4"/>
      <c r="T1187" s="4"/>
      <c r="U1187" s="4"/>
      <c r="V1187" s="4"/>
      <c r="W1187" s="4"/>
      <c r="X1187" s="4"/>
      <c r="Y1187" s="4"/>
      <c r="Z1187" s="4"/>
      <c r="AA1187" s="4"/>
      <c r="AB1187" s="4"/>
      <c r="AC1187" s="4"/>
      <c r="AD1187" s="4"/>
      <c r="AE1187" s="4"/>
      <c r="AF1187" s="81"/>
      <c r="AG1187" s="81"/>
      <c r="AH1187" s="81"/>
      <c r="AI1187" s="4"/>
      <c r="AJ1187" s="81"/>
      <c r="AK1187" s="81"/>
      <c r="AL1187" s="81"/>
    </row>
    <row r="1188" spans="1:38" s="7" customFormat="1">
      <c r="A1188" s="4"/>
      <c r="B1188" s="4"/>
      <c r="C1188" s="4"/>
      <c r="D1188" s="4"/>
      <c r="E1188" s="4"/>
      <c r="F1188" s="28"/>
      <c r="G1188" s="28"/>
      <c r="H1188" s="83"/>
      <c r="I1188" s="4"/>
      <c r="J1188" s="4"/>
      <c r="K1188" s="4"/>
      <c r="L1188" s="4"/>
      <c r="M1188" s="4"/>
      <c r="N1188" s="28"/>
      <c r="O1188" s="4"/>
      <c r="P1188" s="4"/>
      <c r="Q1188" s="4"/>
      <c r="R1188" s="4"/>
      <c r="S1188" s="4"/>
      <c r="T1188" s="4"/>
      <c r="U1188" s="4"/>
      <c r="V1188" s="4"/>
      <c r="W1188" s="4"/>
      <c r="X1188" s="4"/>
      <c r="Y1188" s="4"/>
      <c r="Z1188" s="4"/>
      <c r="AA1188" s="4"/>
      <c r="AB1188" s="4"/>
      <c r="AC1188" s="4"/>
      <c r="AD1188" s="4"/>
      <c r="AE1188" s="4"/>
      <c r="AF1188" s="81"/>
      <c r="AG1188" s="81"/>
      <c r="AH1188" s="81"/>
      <c r="AI1188" s="4"/>
      <c r="AJ1188" s="81"/>
      <c r="AK1188" s="81"/>
      <c r="AL1188" s="81"/>
    </row>
    <row r="1189" spans="1:38" s="7" customFormat="1">
      <c r="A1189" s="4"/>
      <c r="B1189" s="4"/>
      <c r="C1189" s="4"/>
      <c r="D1189" s="4"/>
      <c r="E1189" s="4"/>
      <c r="F1189" s="28"/>
      <c r="G1189" s="28"/>
      <c r="H1189" s="83"/>
      <c r="I1189" s="4"/>
      <c r="J1189" s="4"/>
      <c r="K1189" s="4"/>
      <c r="L1189" s="4"/>
      <c r="M1189" s="4"/>
      <c r="N1189" s="28"/>
      <c r="O1189" s="4"/>
      <c r="P1189" s="4"/>
      <c r="Q1189" s="4"/>
      <c r="R1189" s="4"/>
      <c r="S1189" s="4"/>
      <c r="T1189" s="4"/>
      <c r="U1189" s="4"/>
      <c r="V1189" s="4"/>
      <c r="W1189" s="4"/>
      <c r="X1189" s="4"/>
      <c r="Y1189" s="4"/>
      <c r="Z1189" s="4"/>
      <c r="AA1189" s="4"/>
      <c r="AB1189" s="4"/>
      <c r="AC1189" s="4"/>
      <c r="AD1189" s="4"/>
      <c r="AE1189" s="4"/>
      <c r="AF1189" s="81"/>
      <c r="AG1189" s="81"/>
      <c r="AH1189" s="81"/>
      <c r="AI1189" s="4"/>
      <c r="AJ1189" s="81"/>
      <c r="AK1189" s="81"/>
      <c r="AL1189" s="81"/>
    </row>
    <row r="1190" spans="1:38" s="7" customFormat="1">
      <c r="A1190" s="4"/>
      <c r="B1190" s="4"/>
      <c r="C1190" s="4"/>
      <c r="D1190" s="4"/>
      <c r="E1190" s="4"/>
      <c r="F1190" s="28"/>
      <c r="G1190" s="28"/>
      <c r="H1190" s="83"/>
      <c r="I1190" s="4"/>
      <c r="J1190" s="4"/>
      <c r="K1190" s="4"/>
      <c r="L1190" s="4"/>
      <c r="M1190" s="4"/>
      <c r="N1190" s="28"/>
      <c r="O1190" s="4"/>
      <c r="P1190" s="4"/>
      <c r="Q1190" s="4"/>
      <c r="R1190" s="4"/>
      <c r="S1190" s="4"/>
      <c r="T1190" s="4"/>
      <c r="U1190" s="4"/>
      <c r="V1190" s="4"/>
      <c r="W1190" s="4"/>
      <c r="X1190" s="4"/>
      <c r="Y1190" s="4"/>
      <c r="Z1190" s="4"/>
      <c r="AA1190" s="4"/>
      <c r="AB1190" s="4"/>
      <c r="AC1190" s="4"/>
      <c r="AD1190" s="4"/>
      <c r="AE1190" s="4"/>
      <c r="AF1190" s="81"/>
      <c r="AG1190" s="81"/>
      <c r="AH1190" s="81"/>
      <c r="AI1190" s="4"/>
      <c r="AJ1190" s="81"/>
      <c r="AK1190" s="81"/>
      <c r="AL1190" s="81"/>
    </row>
    <row r="1191" spans="1:38" s="7" customFormat="1">
      <c r="A1191" s="4"/>
      <c r="B1191" s="4"/>
      <c r="C1191" s="4"/>
      <c r="D1191" s="4"/>
      <c r="E1191" s="4"/>
      <c r="F1191" s="28"/>
      <c r="G1191" s="28"/>
      <c r="H1191" s="83"/>
      <c r="I1191" s="4"/>
      <c r="J1191" s="4"/>
      <c r="K1191" s="4"/>
      <c r="L1191" s="4"/>
      <c r="M1191" s="4"/>
      <c r="N1191" s="28"/>
      <c r="O1191" s="4"/>
      <c r="P1191" s="4"/>
      <c r="Q1191" s="4"/>
      <c r="R1191" s="4"/>
      <c r="S1191" s="4"/>
      <c r="T1191" s="4"/>
      <c r="U1191" s="4"/>
      <c r="V1191" s="4"/>
      <c r="W1191" s="4"/>
      <c r="X1191" s="4"/>
      <c r="Y1191" s="4"/>
      <c r="Z1191" s="4"/>
      <c r="AA1191" s="4"/>
      <c r="AB1191" s="4"/>
      <c r="AC1191" s="4"/>
      <c r="AD1191" s="4"/>
      <c r="AE1191" s="4"/>
      <c r="AF1191" s="81"/>
      <c r="AG1191" s="81"/>
      <c r="AH1191" s="81"/>
      <c r="AI1191" s="4"/>
      <c r="AJ1191" s="81"/>
      <c r="AK1191" s="81"/>
      <c r="AL1191" s="81"/>
    </row>
    <row r="1192" spans="1:38" s="7" customFormat="1">
      <c r="A1192" s="4"/>
      <c r="B1192" s="4"/>
      <c r="C1192" s="4"/>
      <c r="D1192" s="4"/>
      <c r="E1192" s="4"/>
      <c r="F1192" s="28"/>
      <c r="G1192" s="28"/>
      <c r="H1192" s="83"/>
      <c r="I1192" s="4"/>
      <c r="J1192" s="4"/>
      <c r="K1192" s="4"/>
      <c r="L1192" s="4"/>
      <c r="M1192" s="4"/>
      <c r="N1192" s="28"/>
      <c r="O1192" s="4"/>
      <c r="P1192" s="4"/>
      <c r="Q1192" s="4"/>
      <c r="R1192" s="4"/>
      <c r="S1192" s="4"/>
      <c r="T1192" s="4"/>
      <c r="U1192" s="4"/>
      <c r="V1192" s="4"/>
      <c r="W1192" s="4"/>
      <c r="X1192" s="4"/>
      <c r="Y1192" s="4"/>
      <c r="Z1192" s="4"/>
      <c r="AA1192" s="4"/>
      <c r="AB1192" s="4"/>
      <c r="AC1192" s="4"/>
      <c r="AD1192" s="4"/>
      <c r="AE1192" s="4"/>
      <c r="AF1192" s="81"/>
      <c r="AG1192" s="81"/>
      <c r="AH1192" s="81"/>
      <c r="AI1192" s="4"/>
      <c r="AJ1192" s="81"/>
      <c r="AK1192" s="81"/>
      <c r="AL1192" s="81"/>
    </row>
    <row r="1193" spans="1:38" s="7" customFormat="1">
      <c r="A1193" s="4"/>
      <c r="B1193" s="4"/>
      <c r="C1193" s="4"/>
      <c r="D1193" s="4"/>
      <c r="E1193" s="4"/>
      <c r="F1193" s="28"/>
      <c r="G1193" s="28"/>
      <c r="H1193" s="83"/>
      <c r="I1193" s="4"/>
      <c r="J1193" s="4"/>
      <c r="K1193" s="4"/>
      <c r="L1193" s="4"/>
      <c r="M1193" s="4"/>
      <c r="N1193" s="28"/>
      <c r="O1193" s="4"/>
      <c r="P1193" s="4"/>
      <c r="Q1193" s="4"/>
      <c r="R1193" s="4"/>
      <c r="S1193" s="4"/>
      <c r="T1193" s="4"/>
      <c r="U1193" s="4"/>
      <c r="V1193" s="4"/>
      <c r="W1193" s="4"/>
      <c r="X1193" s="4"/>
      <c r="Y1193" s="4"/>
      <c r="Z1193" s="4"/>
      <c r="AA1193" s="4"/>
      <c r="AB1193" s="4"/>
      <c r="AC1193" s="4"/>
      <c r="AD1193" s="4"/>
      <c r="AE1193" s="4"/>
      <c r="AF1193" s="81"/>
      <c r="AG1193" s="81"/>
      <c r="AH1193" s="81"/>
      <c r="AI1193" s="4"/>
      <c r="AJ1193" s="81"/>
      <c r="AK1193" s="81"/>
      <c r="AL1193" s="81"/>
    </row>
    <row r="1194" spans="1:38" s="7" customFormat="1">
      <c r="A1194" s="4"/>
      <c r="B1194" s="4"/>
      <c r="C1194" s="4"/>
      <c r="D1194" s="4"/>
      <c r="E1194" s="4"/>
      <c r="F1194" s="28"/>
      <c r="G1194" s="28"/>
      <c r="H1194" s="83"/>
      <c r="I1194" s="4"/>
      <c r="J1194" s="4"/>
      <c r="K1194" s="4"/>
      <c r="L1194" s="4"/>
      <c r="M1194" s="4"/>
      <c r="N1194" s="28"/>
      <c r="O1194" s="4"/>
      <c r="P1194" s="4"/>
      <c r="Q1194" s="4"/>
      <c r="R1194" s="4"/>
      <c r="S1194" s="4"/>
      <c r="T1194" s="4"/>
      <c r="U1194" s="4"/>
      <c r="V1194" s="4"/>
      <c r="W1194" s="4"/>
      <c r="X1194" s="4"/>
      <c r="Y1194" s="4"/>
      <c r="Z1194" s="4"/>
      <c r="AA1194" s="4"/>
      <c r="AB1194" s="4"/>
      <c r="AC1194" s="4"/>
      <c r="AD1194" s="4"/>
      <c r="AE1194" s="4"/>
      <c r="AF1194" s="81"/>
      <c r="AG1194" s="81"/>
      <c r="AH1194" s="81"/>
      <c r="AI1194" s="4"/>
      <c r="AJ1194" s="81"/>
      <c r="AK1194" s="81"/>
      <c r="AL1194" s="81"/>
    </row>
    <row r="1195" spans="1:38" s="7" customFormat="1">
      <c r="A1195" s="4"/>
      <c r="B1195" s="4"/>
      <c r="C1195" s="4"/>
      <c r="D1195" s="4"/>
      <c r="E1195" s="4"/>
      <c r="F1195" s="28"/>
      <c r="G1195" s="28"/>
      <c r="H1195" s="83"/>
      <c r="I1195" s="4"/>
      <c r="J1195" s="4"/>
      <c r="K1195" s="4"/>
      <c r="L1195" s="4"/>
      <c r="M1195" s="4"/>
      <c r="N1195" s="28"/>
      <c r="O1195" s="4"/>
      <c r="P1195" s="4"/>
      <c r="Q1195" s="4"/>
      <c r="R1195" s="4"/>
      <c r="S1195" s="4"/>
      <c r="T1195" s="4"/>
      <c r="U1195" s="4"/>
      <c r="V1195" s="4"/>
      <c r="W1195" s="4"/>
      <c r="X1195" s="4"/>
      <c r="Y1195" s="4"/>
      <c r="Z1195" s="4"/>
      <c r="AA1195" s="4"/>
      <c r="AB1195" s="4"/>
      <c r="AC1195" s="4"/>
      <c r="AD1195" s="4"/>
      <c r="AE1195" s="4"/>
      <c r="AF1195" s="81"/>
      <c r="AG1195" s="81"/>
      <c r="AH1195" s="81"/>
      <c r="AI1195" s="4"/>
      <c r="AJ1195" s="81"/>
      <c r="AK1195" s="81"/>
      <c r="AL1195" s="81"/>
    </row>
    <row r="1196" spans="1:38" s="7" customFormat="1">
      <c r="A1196" s="4"/>
      <c r="B1196" s="4"/>
      <c r="C1196" s="4"/>
      <c r="D1196" s="4"/>
      <c r="E1196" s="4"/>
      <c r="F1196" s="28"/>
      <c r="G1196" s="28"/>
      <c r="H1196" s="83"/>
      <c r="I1196" s="4"/>
      <c r="J1196" s="4"/>
      <c r="K1196" s="4"/>
      <c r="L1196" s="4"/>
      <c r="M1196" s="4"/>
      <c r="N1196" s="28"/>
      <c r="O1196" s="4"/>
      <c r="P1196" s="4"/>
      <c r="Q1196" s="4"/>
      <c r="R1196" s="4"/>
      <c r="S1196" s="4"/>
      <c r="T1196" s="4"/>
      <c r="U1196" s="4"/>
      <c r="V1196" s="4"/>
      <c r="W1196" s="4"/>
      <c r="X1196" s="4"/>
      <c r="Y1196" s="4"/>
      <c r="Z1196" s="4"/>
      <c r="AA1196" s="4"/>
      <c r="AB1196" s="4"/>
      <c r="AC1196" s="4"/>
      <c r="AD1196" s="4"/>
      <c r="AE1196" s="4"/>
      <c r="AF1196" s="81"/>
      <c r="AG1196" s="81"/>
      <c r="AH1196" s="81"/>
      <c r="AI1196" s="4"/>
      <c r="AJ1196" s="81"/>
      <c r="AK1196" s="81"/>
      <c r="AL1196" s="81"/>
    </row>
    <row r="1197" spans="1:38" s="7" customFormat="1">
      <c r="A1197" s="4"/>
      <c r="B1197" s="4"/>
      <c r="C1197" s="4"/>
      <c r="D1197" s="4"/>
      <c r="E1197" s="4"/>
      <c r="F1197" s="28"/>
      <c r="G1197" s="28"/>
      <c r="H1197" s="83"/>
      <c r="I1197" s="4"/>
      <c r="J1197" s="4"/>
      <c r="K1197" s="4"/>
      <c r="L1197" s="4"/>
      <c r="M1197" s="4"/>
      <c r="N1197" s="28"/>
      <c r="O1197" s="4"/>
      <c r="P1197" s="4"/>
      <c r="Q1197" s="4"/>
      <c r="R1197" s="4"/>
      <c r="S1197" s="4"/>
      <c r="T1197" s="4"/>
      <c r="U1197" s="4"/>
      <c r="V1197" s="4"/>
      <c r="W1197" s="4"/>
      <c r="X1197" s="4"/>
      <c r="Y1197" s="4"/>
      <c r="Z1197" s="4"/>
      <c r="AA1197" s="4"/>
      <c r="AB1197" s="4"/>
      <c r="AC1197" s="4"/>
      <c r="AD1197" s="4"/>
      <c r="AE1197" s="4"/>
      <c r="AF1197" s="81"/>
      <c r="AG1197" s="81"/>
      <c r="AH1197" s="81"/>
      <c r="AI1197" s="4"/>
      <c r="AJ1197" s="81"/>
      <c r="AK1197" s="81"/>
      <c r="AL1197" s="81"/>
    </row>
    <row r="1198" spans="1:38" s="7" customFormat="1">
      <c r="A1198" s="4"/>
      <c r="B1198" s="4"/>
      <c r="C1198" s="4"/>
      <c r="D1198" s="4"/>
      <c r="E1198" s="4"/>
      <c r="F1198" s="28"/>
      <c r="G1198" s="28"/>
      <c r="H1198" s="83"/>
      <c r="I1198" s="4"/>
      <c r="J1198" s="4"/>
      <c r="K1198" s="4"/>
      <c r="L1198" s="4"/>
      <c r="M1198" s="4"/>
      <c r="N1198" s="28"/>
      <c r="O1198" s="4"/>
      <c r="P1198" s="4"/>
      <c r="Q1198" s="4"/>
      <c r="R1198" s="4"/>
      <c r="S1198" s="4"/>
      <c r="T1198" s="4"/>
      <c r="U1198" s="4"/>
      <c r="V1198" s="4"/>
      <c r="W1198" s="4"/>
      <c r="X1198" s="4"/>
      <c r="Y1198" s="4"/>
      <c r="Z1198" s="4"/>
      <c r="AA1198" s="4"/>
      <c r="AB1198" s="4"/>
      <c r="AC1198" s="4"/>
      <c r="AD1198" s="4"/>
      <c r="AE1198" s="4"/>
      <c r="AF1198" s="81"/>
      <c r="AG1198" s="81"/>
      <c r="AH1198" s="81"/>
      <c r="AI1198" s="4"/>
      <c r="AJ1198" s="81"/>
      <c r="AK1198" s="81"/>
      <c r="AL1198" s="81"/>
    </row>
    <row r="1199" spans="1:38" s="7" customFormat="1">
      <c r="A1199" s="4"/>
      <c r="B1199" s="4"/>
      <c r="C1199" s="4"/>
      <c r="D1199" s="4"/>
      <c r="E1199" s="4"/>
      <c r="F1199" s="28"/>
      <c r="G1199" s="28"/>
      <c r="H1199" s="83"/>
      <c r="I1199" s="4"/>
      <c r="J1199" s="4"/>
      <c r="K1199" s="4"/>
      <c r="L1199" s="4"/>
      <c r="M1199" s="4"/>
      <c r="N1199" s="28"/>
      <c r="O1199" s="4"/>
      <c r="P1199" s="4"/>
      <c r="Q1199" s="4"/>
      <c r="R1199" s="4"/>
      <c r="S1199" s="4"/>
      <c r="T1199" s="4"/>
      <c r="U1199" s="4"/>
      <c r="V1199" s="4"/>
      <c r="W1199" s="4"/>
      <c r="X1199" s="4"/>
      <c r="Y1199" s="4"/>
      <c r="Z1199" s="4"/>
      <c r="AA1199" s="4"/>
      <c r="AB1199" s="4"/>
      <c r="AC1199" s="4"/>
      <c r="AD1199" s="4"/>
      <c r="AE1199" s="4"/>
      <c r="AF1199" s="81"/>
      <c r="AG1199" s="81"/>
      <c r="AH1199" s="81"/>
      <c r="AI1199" s="4"/>
      <c r="AJ1199" s="81"/>
      <c r="AK1199" s="81"/>
      <c r="AL1199" s="81"/>
    </row>
    <row r="1200" spans="1:38" s="7" customFormat="1">
      <c r="A1200" s="4"/>
      <c r="B1200" s="4"/>
      <c r="C1200" s="4"/>
      <c r="D1200" s="4"/>
      <c r="E1200" s="4"/>
      <c r="F1200" s="28"/>
      <c r="G1200" s="28"/>
      <c r="H1200" s="83"/>
      <c r="I1200" s="4"/>
      <c r="J1200" s="4"/>
      <c r="K1200" s="4"/>
      <c r="L1200" s="4"/>
      <c r="M1200" s="4"/>
      <c r="N1200" s="28"/>
      <c r="O1200" s="4"/>
      <c r="P1200" s="4"/>
      <c r="Q1200" s="4"/>
      <c r="R1200" s="4"/>
      <c r="S1200" s="4"/>
      <c r="T1200" s="4"/>
      <c r="U1200" s="4"/>
      <c r="V1200" s="4"/>
      <c r="W1200" s="4"/>
      <c r="X1200" s="4"/>
      <c r="Y1200" s="4"/>
      <c r="Z1200" s="4"/>
      <c r="AA1200" s="4"/>
      <c r="AB1200" s="4"/>
      <c r="AC1200" s="4"/>
      <c r="AD1200" s="4"/>
      <c r="AE1200" s="4"/>
      <c r="AF1200" s="81"/>
      <c r="AG1200" s="81"/>
      <c r="AH1200" s="81"/>
      <c r="AI1200" s="4"/>
      <c r="AJ1200" s="81"/>
      <c r="AK1200" s="81"/>
      <c r="AL1200" s="81"/>
    </row>
    <row r="1201" spans="1:38" s="7" customFormat="1">
      <c r="A1201" s="4"/>
      <c r="B1201" s="4"/>
      <c r="C1201" s="4"/>
      <c r="D1201" s="4"/>
      <c r="E1201" s="4"/>
      <c r="F1201" s="28"/>
      <c r="G1201" s="28"/>
      <c r="H1201" s="83"/>
      <c r="I1201" s="4"/>
      <c r="J1201" s="4"/>
      <c r="K1201" s="4"/>
      <c r="L1201" s="4"/>
      <c r="M1201" s="4"/>
      <c r="N1201" s="28"/>
      <c r="O1201" s="4"/>
      <c r="P1201" s="4"/>
      <c r="Q1201" s="4"/>
      <c r="R1201" s="4"/>
      <c r="S1201" s="4"/>
      <c r="T1201" s="4"/>
      <c r="U1201" s="4"/>
      <c r="V1201" s="4"/>
      <c r="W1201" s="4"/>
      <c r="X1201" s="4"/>
      <c r="Y1201" s="4"/>
      <c r="Z1201" s="4"/>
      <c r="AA1201" s="4"/>
      <c r="AB1201" s="4"/>
      <c r="AC1201" s="4"/>
      <c r="AD1201" s="4"/>
      <c r="AE1201" s="4"/>
      <c r="AF1201" s="81"/>
      <c r="AG1201" s="81"/>
      <c r="AH1201" s="81"/>
      <c r="AI1201" s="4"/>
      <c r="AJ1201" s="81"/>
      <c r="AK1201" s="81"/>
      <c r="AL1201" s="81"/>
    </row>
    <row r="1202" spans="1:38" s="7" customFormat="1">
      <c r="A1202" s="4"/>
      <c r="B1202" s="4"/>
      <c r="C1202" s="4"/>
      <c r="D1202" s="4"/>
      <c r="E1202" s="4"/>
      <c r="F1202" s="28"/>
      <c r="G1202" s="28"/>
      <c r="H1202" s="83"/>
      <c r="I1202" s="4"/>
      <c r="J1202" s="4"/>
      <c r="K1202" s="4"/>
      <c r="L1202" s="4"/>
      <c r="M1202" s="4"/>
      <c r="N1202" s="28"/>
      <c r="O1202" s="4"/>
      <c r="P1202" s="4"/>
      <c r="Q1202" s="4"/>
      <c r="R1202" s="4"/>
      <c r="S1202" s="4"/>
      <c r="T1202" s="4"/>
      <c r="U1202" s="4"/>
      <c r="V1202" s="4"/>
      <c r="W1202" s="4"/>
      <c r="X1202" s="4"/>
      <c r="Y1202" s="4"/>
      <c r="Z1202" s="4"/>
      <c r="AA1202" s="4"/>
      <c r="AB1202" s="4"/>
      <c r="AC1202" s="4"/>
      <c r="AD1202" s="4"/>
      <c r="AE1202" s="4"/>
      <c r="AF1202" s="81"/>
      <c r="AG1202" s="81"/>
      <c r="AH1202" s="81"/>
      <c r="AI1202" s="4"/>
      <c r="AJ1202" s="81"/>
      <c r="AK1202" s="81"/>
      <c r="AL1202" s="81"/>
    </row>
    <row r="1203" spans="1:38" s="7" customFormat="1">
      <c r="A1203" s="4"/>
      <c r="B1203" s="4"/>
      <c r="C1203" s="4"/>
      <c r="D1203" s="4"/>
      <c r="E1203" s="4"/>
      <c r="F1203" s="28"/>
      <c r="G1203" s="28"/>
      <c r="H1203" s="83"/>
      <c r="I1203" s="4"/>
      <c r="J1203" s="4"/>
      <c r="K1203" s="4"/>
      <c r="L1203" s="4"/>
      <c r="M1203" s="4"/>
      <c r="N1203" s="28"/>
      <c r="O1203" s="4"/>
      <c r="P1203" s="4"/>
      <c r="Q1203" s="4"/>
      <c r="R1203" s="4"/>
      <c r="S1203" s="4"/>
      <c r="T1203" s="4"/>
      <c r="U1203" s="4"/>
      <c r="V1203" s="4"/>
      <c r="W1203" s="4"/>
      <c r="X1203" s="4"/>
      <c r="Y1203" s="4"/>
      <c r="Z1203" s="4"/>
      <c r="AA1203" s="4"/>
      <c r="AB1203" s="4"/>
      <c r="AC1203" s="4"/>
      <c r="AD1203" s="4"/>
      <c r="AE1203" s="4"/>
      <c r="AF1203" s="81"/>
      <c r="AG1203" s="81"/>
      <c r="AH1203" s="81"/>
      <c r="AI1203" s="4"/>
      <c r="AJ1203" s="81"/>
      <c r="AK1203" s="81"/>
      <c r="AL1203" s="81"/>
    </row>
    <row r="1204" spans="1:38" s="7" customFormat="1">
      <c r="A1204" s="4"/>
      <c r="B1204" s="4"/>
      <c r="C1204" s="4"/>
      <c r="D1204" s="4"/>
      <c r="E1204" s="4"/>
      <c r="F1204" s="28"/>
      <c r="G1204" s="28"/>
      <c r="H1204" s="83"/>
      <c r="I1204" s="4"/>
      <c r="J1204" s="4"/>
      <c r="K1204" s="4"/>
      <c r="L1204" s="4"/>
      <c r="M1204" s="4"/>
      <c r="N1204" s="28"/>
      <c r="O1204" s="4"/>
      <c r="P1204" s="4"/>
      <c r="Q1204" s="4"/>
      <c r="R1204" s="4"/>
      <c r="S1204" s="4"/>
      <c r="T1204" s="4"/>
      <c r="U1204" s="4"/>
      <c r="V1204" s="4"/>
      <c r="W1204" s="4"/>
      <c r="X1204" s="4"/>
      <c r="Y1204" s="4"/>
      <c r="Z1204" s="4"/>
      <c r="AA1204" s="4"/>
      <c r="AB1204" s="4"/>
      <c r="AC1204" s="4"/>
      <c r="AD1204" s="4"/>
      <c r="AE1204" s="4"/>
      <c r="AF1204" s="81"/>
      <c r="AG1204" s="81"/>
      <c r="AH1204" s="81"/>
      <c r="AI1204" s="4"/>
      <c r="AJ1204" s="81"/>
      <c r="AK1204" s="81"/>
      <c r="AL1204" s="81"/>
    </row>
    <row r="1205" spans="1:38" s="7" customFormat="1">
      <c r="A1205" s="4"/>
      <c r="B1205" s="4"/>
      <c r="C1205" s="4"/>
      <c r="D1205" s="4"/>
      <c r="E1205" s="4"/>
      <c r="F1205" s="28"/>
      <c r="G1205" s="28"/>
      <c r="H1205" s="83"/>
      <c r="I1205" s="4"/>
      <c r="J1205" s="4"/>
      <c r="K1205" s="4"/>
      <c r="L1205" s="4"/>
      <c r="M1205" s="4"/>
      <c r="N1205" s="28"/>
      <c r="O1205" s="4"/>
      <c r="P1205" s="4"/>
      <c r="Q1205" s="4"/>
      <c r="R1205" s="4"/>
      <c r="S1205" s="4"/>
      <c r="T1205" s="4"/>
      <c r="U1205" s="4"/>
      <c r="V1205" s="4"/>
      <c r="W1205" s="4"/>
      <c r="X1205" s="4"/>
      <c r="Y1205" s="4"/>
      <c r="Z1205" s="4"/>
      <c r="AA1205" s="4"/>
      <c r="AB1205" s="4"/>
      <c r="AC1205" s="4"/>
      <c r="AD1205" s="4"/>
      <c r="AE1205" s="4"/>
      <c r="AF1205" s="81"/>
      <c r="AG1205" s="81"/>
      <c r="AH1205" s="81"/>
      <c r="AI1205" s="4"/>
      <c r="AJ1205" s="81"/>
      <c r="AK1205" s="81"/>
      <c r="AL1205" s="81"/>
    </row>
    <row r="1206" spans="1:38" s="7" customFormat="1">
      <c r="A1206" s="4"/>
      <c r="B1206" s="4"/>
      <c r="C1206" s="4"/>
      <c r="D1206" s="4"/>
      <c r="E1206" s="4"/>
      <c r="F1206" s="28"/>
      <c r="G1206" s="28"/>
      <c r="H1206" s="83"/>
      <c r="I1206" s="4"/>
      <c r="J1206" s="4"/>
      <c r="K1206" s="4"/>
      <c r="L1206" s="4"/>
      <c r="M1206" s="4"/>
      <c r="N1206" s="28"/>
      <c r="O1206" s="4"/>
      <c r="P1206" s="4"/>
      <c r="Q1206" s="4"/>
      <c r="R1206" s="4"/>
      <c r="S1206" s="4"/>
      <c r="T1206" s="4"/>
      <c r="U1206" s="4"/>
      <c r="V1206" s="4"/>
      <c r="W1206" s="4"/>
      <c r="X1206" s="4"/>
      <c r="Y1206" s="4"/>
      <c r="Z1206" s="4"/>
      <c r="AA1206" s="4"/>
      <c r="AB1206" s="4"/>
      <c r="AC1206" s="4"/>
      <c r="AD1206" s="4"/>
      <c r="AE1206" s="4"/>
      <c r="AF1206" s="81"/>
      <c r="AG1206" s="81"/>
      <c r="AH1206" s="81"/>
      <c r="AI1206" s="4"/>
      <c r="AJ1206" s="81"/>
      <c r="AK1206" s="81"/>
      <c r="AL1206" s="81"/>
    </row>
    <row r="1207" spans="1:38" s="7" customFormat="1">
      <c r="A1207" s="4"/>
      <c r="B1207" s="4"/>
      <c r="C1207" s="4"/>
      <c r="D1207" s="4"/>
      <c r="E1207" s="4"/>
      <c r="F1207" s="28"/>
      <c r="G1207" s="28"/>
      <c r="H1207" s="83"/>
      <c r="I1207" s="4"/>
      <c r="J1207" s="4"/>
      <c r="K1207" s="4"/>
      <c r="L1207" s="4"/>
      <c r="M1207" s="4"/>
      <c r="N1207" s="28"/>
      <c r="O1207" s="4"/>
      <c r="P1207" s="4"/>
      <c r="Q1207" s="4"/>
      <c r="R1207" s="4"/>
      <c r="S1207" s="4"/>
      <c r="T1207" s="4"/>
      <c r="U1207" s="4"/>
      <c r="V1207" s="4"/>
      <c r="W1207" s="4"/>
      <c r="X1207" s="4"/>
      <c r="Y1207" s="4"/>
      <c r="Z1207" s="4"/>
      <c r="AA1207" s="4"/>
      <c r="AB1207" s="4"/>
      <c r="AC1207" s="4"/>
      <c r="AD1207" s="4"/>
      <c r="AE1207" s="4"/>
      <c r="AF1207" s="81"/>
      <c r="AG1207" s="81"/>
      <c r="AH1207" s="81"/>
      <c r="AI1207" s="4"/>
      <c r="AJ1207" s="81"/>
      <c r="AK1207" s="81"/>
      <c r="AL1207" s="81"/>
    </row>
    <row r="1208" spans="1:38" s="7" customFormat="1">
      <c r="A1208" s="4"/>
      <c r="B1208" s="4"/>
      <c r="C1208" s="4"/>
      <c r="D1208" s="4"/>
      <c r="E1208" s="4"/>
      <c r="F1208" s="28"/>
      <c r="G1208" s="28"/>
      <c r="H1208" s="83"/>
      <c r="I1208" s="4"/>
      <c r="J1208" s="4"/>
      <c r="K1208" s="4"/>
      <c r="L1208" s="4"/>
      <c r="M1208" s="4"/>
      <c r="N1208" s="28"/>
      <c r="O1208" s="4"/>
      <c r="P1208" s="4"/>
      <c r="Q1208" s="4"/>
      <c r="R1208" s="4"/>
      <c r="S1208" s="4"/>
      <c r="T1208" s="4"/>
      <c r="U1208" s="4"/>
      <c r="V1208" s="4"/>
      <c r="W1208" s="4"/>
      <c r="X1208" s="4"/>
      <c r="Y1208" s="4"/>
      <c r="Z1208" s="4"/>
      <c r="AA1208" s="4"/>
      <c r="AB1208" s="4"/>
      <c r="AC1208" s="4"/>
      <c r="AD1208" s="4"/>
      <c r="AE1208" s="4"/>
      <c r="AF1208" s="81"/>
      <c r="AG1208" s="81"/>
      <c r="AH1208" s="81"/>
      <c r="AI1208" s="4"/>
      <c r="AJ1208" s="81"/>
      <c r="AK1208" s="81"/>
      <c r="AL1208" s="81"/>
    </row>
    <row r="1209" spans="1:38" s="7" customFormat="1">
      <c r="A1209" s="4"/>
      <c r="B1209" s="4"/>
      <c r="C1209" s="4"/>
      <c r="D1209" s="4"/>
      <c r="E1209" s="4"/>
      <c r="F1209" s="28"/>
      <c r="G1209" s="28"/>
      <c r="H1209" s="83"/>
      <c r="I1209" s="4"/>
      <c r="J1209" s="4"/>
      <c r="K1209" s="4"/>
      <c r="L1209" s="4"/>
      <c r="M1209" s="4"/>
      <c r="N1209" s="28"/>
      <c r="O1209" s="4"/>
      <c r="P1209" s="4"/>
      <c r="Q1209" s="4"/>
      <c r="R1209" s="4"/>
      <c r="S1209" s="4"/>
      <c r="T1209" s="4"/>
      <c r="U1209" s="4"/>
      <c r="V1209" s="4"/>
      <c r="W1209" s="4"/>
      <c r="X1209" s="4"/>
      <c r="Y1209" s="4"/>
      <c r="Z1209" s="4"/>
      <c r="AA1209" s="4"/>
      <c r="AB1209" s="4"/>
      <c r="AC1209" s="4"/>
      <c r="AD1209" s="4"/>
      <c r="AE1209" s="4"/>
      <c r="AF1209" s="81"/>
      <c r="AG1209" s="81"/>
      <c r="AH1209" s="81"/>
      <c r="AI1209" s="4"/>
      <c r="AJ1209" s="81"/>
      <c r="AK1209" s="81"/>
      <c r="AL1209" s="81"/>
    </row>
    <row r="1210" spans="1:38" s="7" customFormat="1">
      <c r="A1210" s="4"/>
      <c r="B1210" s="4"/>
      <c r="C1210" s="4"/>
      <c r="D1210" s="4"/>
      <c r="E1210" s="4"/>
      <c r="F1210" s="28"/>
      <c r="G1210" s="28"/>
      <c r="H1210" s="83"/>
      <c r="I1210" s="4"/>
      <c r="J1210" s="4"/>
      <c r="K1210" s="4"/>
      <c r="L1210" s="4"/>
      <c r="M1210" s="4"/>
      <c r="N1210" s="28"/>
      <c r="O1210" s="4"/>
      <c r="P1210" s="4"/>
      <c r="Q1210" s="4"/>
      <c r="R1210" s="4"/>
      <c r="S1210" s="4"/>
      <c r="T1210" s="4"/>
      <c r="U1210" s="4"/>
      <c r="V1210" s="4"/>
      <c r="W1210" s="4"/>
      <c r="X1210" s="4"/>
      <c r="Y1210" s="4"/>
      <c r="Z1210" s="4"/>
      <c r="AA1210" s="4"/>
      <c r="AB1210" s="4"/>
      <c r="AC1210" s="4"/>
      <c r="AD1210" s="4"/>
      <c r="AE1210" s="4"/>
      <c r="AF1210" s="81"/>
      <c r="AG1210" s="81"/>
      <c r="AH1210" s="81"/>
      <c r="AI1210" s="4"/>
      <c r="AJ1210" s="81"/>
      <c r="AK1210" s="81"/>
      <c r="AL1210" s="81"/>
    </row>
    <row r="1211" spans="1:38" s="7" customFormat="1">
      <c r="A1211" s="4"/>
      <c r="B1211" s="4"/>
      <c r="C1211" s="4"/>
      <c r="D1211" s="4"/>
      <c r="E1211" s="4"/>
      <c r="F1211" s="28"/>
      <c r="G1211" s="28"/>
      <c r="H1211" s="83"/>
      <c r="I1211" s="4"/>
      <c r="J1211" s="4"/>
      <c r="K1211" s="4"/>
      <c r="L1211" s="4"/>
      <c r="M1211" s="4"/>
      <c r="N1211" s="28"/>
      <c r="O1211" s="4"/>
      <c r="P1211" s="4"/>
      <c r="Q1211" s="4"/>
      <c r="R1211" s="4"/>
      <c r="S1211" s="4"/>
      <c r="T1211" s="4"/>
      <c r="U1211" s="4"/>
      <c r="V1211" s="4"/>
      <c r="W1211" s="4"/>
      <c r="X1211" s="4"/>
      <c r="Y1211" s="4"/>
      <c r="Z1211" s="4"/>
      <c r="AA1211" s="4"/>
      <c r="AB1211" s="4"/>
      <c r="AC1211" s="4"/>
      <c r="AD1211" s="4"/>
      <c r="AE1211" s="4"/>
      <c r="AF1211" s="81"/>
      <c r="AG1211" s="81"/>
      <c r="AH1211" s="81"/>
      <c r="AI1211" s="4"/>
      <c r="AJ1211" s="81"/>
      <c r="AK1211" s="81"/>
      <c r="AL1211" s="81"/>
    </row>
    <row r="1212" spans="1:38" s="7" customFormat="1">
      <c r="A1212" s="4"/>
      <c r="B1212" s="4"/>
      <c r="C1212" s="4"/>
      <c r="D1212" s="4"/>
      <c r="E1212" s="4"/>
      <c r="F1212" s="28"/>
      <c r="G1212" s="28"/>
      <c r="H1212" s="83"/>
      <c r="I1212" s="4"/>
      <c r="J1212" s="4"/>
      <c r="K1212" s="4"/>
      <c r="L1212" s="4"/>
      <c r="M1212" s="4"/>
      <c r="N1212" s="28"/>
      <c r="O1212" s="4"/>
      <c r="P1212" s="4"/>
      <c r="Q1212" s="4"/>
      <c r="R1212" s="4"/>
      <c r="S1212" s="4"/>
      <c r="T1212" s="4"/>
      <c r="U1212" s="4"/>
      <c r="V1212" s="4"/>
      <c r="W1212" s="4"/>
      <c r="X1212" s="4"/>
      <c r="Y1212" s="4"/>
      <c r="Z1212" s="4"/>
      <c r="AA1212" s="4"/>
      <c r="AB1212" s="4"/>
      <c r="AC1212" s="4"/>
      <c r="AD1212" s="4"/>
      <c r="AE1212" s="4"/>
      <c r="AF1212" s="81"/>
      <c r="AG1212" s="81"/>
      <c r="AH1212" s="81"/>
      <c r="AI1212" s="4"/>
      <c r="AJ1212" s="81"/>
      <c r="AK1212" s="81"/>
      <c r="AL1212" s="81"/>
    </row>
    <row r="1213" spans="1:38" s="7" customFormat="1">
      <c r="A1213" s="4"/>
      <c r="B1213" s="4"/>
      <c r="C1213" s="4"/>
      <c r="D1213" s="4"/>
      <c r="E1213" s="4"/>
      <c r="F1213" s="28"/>
      <c r="G1213" s="28"/>
      <c r="H1213" s="83"/>
      <c r="I1213" s="4"/>
      <c r="J1213" s="4"/>
      <c r="K1213" s="4"/>
      <c r="L1213" s="4"/>
      <c r="M1213" s="4"/>
      <c r="N1213" s="28"/>
      <c r="O1213" s="4"/>
      <c r="P1213" s="4"/>
      <c r="Q1213" s="4"/>
      <c r="R1213" s="4"/>
      <c r="S1213" s="4"/>
      <c r="T1213" s="4"/>
      <c r="U1213" s="4"/>
      <c r="V1213" s="4"/>
      <c r="W1213" s="4"/>
      <c r="X1213" s="4"/>
      <c r="Y1213" s="4"/>
      <c r="Z1213" s="4"/>
      <c r="AA1213" s="4"/>
      <c r="AB1213" s="4"/>
      <c r="AC1213" s="4"/>
      <c r="AD1213" s="4"/>
      <c r="AE1213" s="4"/>
      <c r="AF1213" s="81"/>
      <c r="AG1213" s="81"/>
      <c r="AH1213" s="81"/>
      <c r="AI1213" s="4"/>
      <c r="AJ1213" s="81"/>
      <c r="AK1213" s="81"/>
      <c r="AL1213" s="81"/>
    </row>
    <row r="1214" spans="1:38" s="7" customFormat="1">
      <c r="A1214" s="4"/>
      <c r="B1214" s="4"/>
      <c r="C1214" s="4"/>
      <c r="D1214" s="4"/>
      <c r="E1214" s="4"/>
      <c r="F1214" s="28"/>
      <c r="G1214" s="28"/>
      <c r="H1214" s="83"/>
      <c r="I1214" s="4"/>
      <c r="J1214" s="4"/>
      <c r="K1214" s="4"/>
      <c r="L1214" s="4"/>
      <c r="M1214" s="4"/>
      <c r="N1214" s="28"/>
      <c r="O1214" s="4"/>
      <c r="P1214" s="4"/>
      <c r="Q1214" s="4"/>
      <c r="R1214" s="4"/>
      <c r="S1214" s="4"/>
      <c r="T1214" s="4"/>
      <c r="U1214" s="4"/>
      <c r="V1214" s="4"/>
      <c r="W1214" s="4"/>
      <c r="X1214" s="4"/>
      <c r="Y1214" s="4"/>
      <c r="Z1214" s="4"/>
      <c r="AA1214" s="4"/>
      <c r="AB1214" s="4"/>
      <c r="AC1214" s="4"/>
      <c r="AD1214" s="4"/>
      <c r="AE1214" s="4"/>
      <c r="AF1214" s="81"/>
      <c r="AG1214" s="81"/>
      <c r="AH1214" s="81"/>
      <c r="AI1214" s="4"/>
      <c r="AJ1214" s="81"/>
      <c r="AK1214" s="81"/>
      <c r="AL1214" s="81"/>
    </row>
    <row r="1215" spans="1:38" s="7" customFormat="1">
      <c r="A1215" s="4"/>
      <c r="B1215" s="4"/>
      <c r="C1215" s="4"/>
      <c r="D1215" s="4"/>
      <c r="E1215" s="4"/>
      <c r="F1215" s="28"/>
      <c r="G1215" s="28"/>
      <c r="H1215" s="83"/>
      <c r="I1215" s="4"/>
      <c r="J1215" s="4"/>
      <c r="K1215" s="4"/>
      <c r="L1215" s="4"/>
      <c r="M1215" s="4"/>
      <c r="N1215" s="28"/>
      <c r="O1215" s="4"/>
      <c r="P1215" s="4"/>
      <c r="Q1215" s="4"/>
      <c r="R1215" s="4"/>
      <c r="S1215" s="4"/>
      <c r="T1215" s="4"/>
      <c r="U1215" s="4"/>
      <c r="V1215" s="4"/>
      <c r="W1215" s="4"/>
      <c r="X1215" s="4"/>
      <c r="Y1215" s="4"/>
      <c r="Z1215" s="4"/>
      <c r="AA1215" s="4"/>
      <c r="AB1215" s="4"/>
      <c r="AC1215" s="4"/>
      <c r="AD1215" s="4"/>
      <c r="AE1215" s="4"/>
      <c r="AF1215" s="81"/>
      <c r="AG1215" s="81"/>
      <c r="AH1215" s="81"/>
      <c r="AI1215" s="4"/>
      <c r="AJ1215" s="81"/>
      <c r="AK1215" s="81"/>
      <c r="AL1215" s="81"/>
    </row>
    <row r="1216" spans="1:38" s="7" customFormat="1">
      <c r="A1216" s="4"/>
      <c r="B1216" s="4"/>
      <c r="C1216" s="4"/>
      <c r="D1216" s="4"/>
      <c r="E1216" s="4"/>
      <c r="F1216" s="28"/>
      <c r="G1216" s="28"/>
      <c r="H1216" s="83"/>
      <c r="I1216" s="4"/>
      <c r="J1216" s="4"/>
      <c r="K1216" s="4"/>
      <c r="L1216" s="4"/>
      <c r="M1216" s="4"/>
      <c r="N1216" s="28"/>
      <c r="O1216" s="4"/>
      <c r="P1216" s="4"/>
      <c r="Q1216" s="4"/>
      <c r="R1216" s="4"/>
      <c r="S1216" s="4"/>
      <c r="T1216" s="4"/>
      <c r="U1216" s="4"/>
      <c r="V1216" s="4"/>
      <c r="W1216" s="4"/>
      <c r="X1216" s="4"/>
      <c r="Y1216" s="4"/>
      <c r="Z1216" s="4"/>
      <c r="AA1216" s="4"/>
      <c r="AB1216" s="4"/>
      <c r="AC1216" s="4"/>
      <c r="AD1216" s="4"/>
      <c r="AE1216" s="4"/>
      <c r="AF1216" s="81"/>
      <c r="AG1216" s="81"/>
      <c r="AH1216" s="81"/>
      <c r="AI1216" s="4"/>
      <c r="AJ1216" s="81"/>
      <c r="AK1216" s="81"/>
      <c r="AL1216" s="81"/>
    </row>
    <row r="1217" spans="1:38" s="7" customFormat="1">
      <c r="A1217" s="4"/>
      <c r="B1217" s="4"/>
      <c r="C1217" s="4"/>
      <c r="D1217" s="4"/>
      <c r="E1217" s="4"/>
      <c r="F1217" s="28"/>
      <c r="G1217" s="28"/>
      <c r="H1217" s="83"/>
      <c r="I1217" s="4"/>
      <c r="J1217" s="4"/>
      <c r="K1217" s="4"/>
      <c r="L1217" s="4"/>
      <c r="M1217" s="4"/>
      <c r="N1217" s="28"/>
      <c r="O1217" s="4"/>
      <c r="P1217" s="4"/>
      <c r="Q1217" s="4"/>
      <c r="R1217" s="4"/>
      <c r="S1217" s="4"/>
      <c r="T1217" s="4"/>
      <c r="U1217" s="4"/>
      <c r="V1217" s="4"/>
      <c r="W1217" s="4"/>
      <c r="X1217" s="4"/>
      <c r="Y1217" s="4"/>
      <c r="Z1217" s="4"/>
      <c r="AA1217" s="4"/>
      <c r="AB1217" s="4"/>
      <c r="AC1217" s="4"/>
      <c r="AD1217" s="4"/>
      <c r="AE1217" s="4"/>
      <c r="AF1217" s="81"/>
      <c r="AG1217" s="81"/>
      <c r="AH1217" s="81"/>
      <c r="AI1217" s="4"/>
      <c r="AJ1217" s="81"/>
      <c r="AK1217" s="81"/>
      <c r="AL1217" s="81"/>
    </row>
    <row r="1218" spans="1:38" s="7" customFormat="1">
      <c r="A1218" s="4"/>
      <c r="B1218" s="4"/>
      <c r="C1218" s="4"/>
      <c r="D1218" s="4"/>
      <c r="E1218" s="4"/>
      <c r="F1218" s="28"/>
      <c r="G1218" s="28"/>
      <c r="H1218" s="83"/>
      <c r="I1218" s="4"/>
      <c r="J1218" s="4"/>
      <c r="K1218" s="4"/>
      <c r="L1218" s="4"/>
      <c r="M1218" s="4"/>
      <c r="N1218" s="28"/>
      <c r="O1218" s="4"/>
      <c r="P1218" s="4"/>
      <c r="Q1218" s="4"/>
      <c r="R1218" s="4"/>
      <c r="S1218" s="4"/>
      <c r="T1218" s="4"/>
      <c r="U1218" s="4"/>
      <c r="V1218" s="4"/>
      <c r="W1218" s="4"/>
      <c r="X1218" s="4"/>
      <c r="Y1218" s="4"/>
      <c r="Z1218" s="4"/>
      <c r="AA1218" s="4"/>
      <c r="AB1218" s="4"/>
      <c r="AC1218" s="4"/>
      <c r="AD1218" s="4"/>
      <c r="AE1218" s="4"/>
      <c r="AF1218" s="81"/>
      <c r="AG1218" s="81"/>
      <c r="AH1218" s="81"/>
      <c r="AI1218" s="4"/>
      <c r="AJ1218" s="81"/>
      <c r="AK1218" s="81"/>
      <c r="AL1218" s="81"/>
    </row>
    <row r="1219" spans="1:38" s="7" customFormat="1">
      <c r="A1219" s="4"/>
      <c r="B1219" s="4"/>
      <c r="C1219" s="4"/>
      <c r="D1219" s="4"/>
      <c r="E1219" s="4"/>
      <c r="F1219" s="28"/>
      <c r="G1219" s="28"/>
      <c r="H1219" s="83"/>
      <c r="I1219" s="4"/>
      <c r="J1219" s="4"/>
      <c r="K1219" s="4"/>
      <c r="L1219" s="4"/>
      <c r="M1219" s="4"/>
      <c r="N1219" s="28"/>
      <c r="O1219" s="4"/>
      <c r="P1219" s="4"/>
      <c r="Q1219" s="4"/>
      <c r="R1219" s="4"/>
      <c r="S1219" s="4"/>
      <c r="T1219" s="4"/>
      <c r="U1219" s="4"/>
      <c r="V1219" s="4"/>
      <c r="W1219" s="4"/>
      <c r="X1219" s="4"/>
      <c r="Y1219" s="4"/>
      <c r="Z1219" s="4"/>
      <c r="AA1219" s="4"/>
      <c r="AB1219" s="4"/>
      <c r="AC1219" s="4"/>
      <c r="AD1219" s="4"/>
      <c r="AE1219" s="4"/>
      <c r="AF1219" s="81"/>
      <c r="AG1219" s="81"/>
      <c r="AH1219" s="81"/>
      <c r="AI1219" s="4"/>
      <c r="AJ1219" s="81"/>
      <c r="AK1219" s="81"/>
      <c r="AL1219" s="81"/>
    </row>
    <row r="1220" spans="1:38" s="7" customFormat="1">
      <c r="A1220" s="4"/>
      <c r="B1220" s="4"/>
      <c r="C1220" s="4"/>
      <c r="D1220" s="4"/>
      <c r="E1220" s="4"/>
      <c r="F1220" s="28"/>
      <c r="G1220" s="28"/>
      <c r="H1220" s="83"/>
      <c r="I1220" s="4"/>
      <c r="J1220" s="4"/>
      <c r="K1220" s="4"/>
      <c r="L1220" s="4"/>
      <c r="M1220" s="4"/>
      <c r="N1220" s="28"/>
      <c r="O1220" s="4"/>
      <c r="P1220" s="4"/>
      <c r="Q1220" s="4"/>
      <c r="R1220" s="4"/>
      <c r="S1220" s="4"/>
      <c r="T1220" s="4"/>
      <c r="U1220" s="4"/>
      <c r="V1220" s="4"/>
      <c r="W1220" s="4"/>
      <c r="X1220" s="4"/>
      <c r="Y1220" s="4"/>
      <c r="Z1220" s="4"/>
      <c r="AA1220" s="4"/>
      <c r="AB1220" s="4"/>
      <c r="AC1220" s="4"/>
      <c r="AD1220" s="4"/>
      <c r="AE1220" s="4"/>
      <c r="AF1220" s="81"/>
      <c r="AG1220" s="81"/>
      <c r="AH1220" s="81"/>
      <c r="AI1220" s="4"/>
      <c r="AJ1220" s="81"/>
      <c r="AK1220" s="81"/>
      <c r="AL1220" s="81"/>
    </row>
    <row r="1221" spans="1:38" s="7" customFormat="1">
      <c r="A1221" s="4"/>
      <c r="B1221" s="4"/>
      <c r="C1221" s="4"/>
      <c r="D1221" s="4"/>
      <c r="E1221" s="4"/>
      <c r="F1221" s="28"/>
      <c r="G1221" s="28"/>
      <c r="H1221" s="83"/>
      <c r="I1221" s="4"/>
      <c r="J1221" s="4"/>
      <c r="K1221" s="4"/>
      <c r="L1221" s="4"/>
      <c r="M1221" s="4"/>
      <c r="N1221" s="28"/>
      <c r="O1221" s="4"/>
      <c r="P1221" s="4"/>
      <c r="Q1221" s="4"/>
      <c r="R1221" s="4"/>
      <c r="S1221" s="4"/>
      <c r="T1221" s="4"/>
      <c r="U1221" s="4"/>
      <c r="V1221" s="4"/>
      <c r="W1221" s="4"/>
      <c r="X1221" s="4"/>
      <c r="Y1221" s="4"/>
      <c r="Z1221" s="4"/>
      <c r="AA1221" s="4"/>
      <c r="AB1221" s="4"/>
      <c r="AC1221" s="4"/>
      <c r="AD1221" s="4"/>
      <c r="AE1221" s="4"/>
      <c r="AF1221" s="81"/>
      <c r="AG1221" s="81"/>
      <c r="AH1221" s="81"/>
      <c r="AI1221" s="4"/>
      <c r="AJ1221" s="81"/>
      <c r="AK1221" s="81"/>
      <c r="AL1221" s="81"/>
    </row>
    <row r="1222" spans="1:38" s="7" customFormat="1">
      <c r="A1222" s="4"/>
      <c r="B1222" s="4"/>
      <c r="C1222" s="4"/>
      <c r="D1222" s="4"/>
      <c r="E1222" s="4"/>
      <c r="F1222" s="28"/>
      <c r="G1222" s="28"/>
      <c r="H1222" s="83"/>
      <c r="I1222" s="4"/>
      <c r="J1222" s="4"/>
      <c r="K1222" s="4"/>
      <c r="L1222" s="4"/>
      <c r="M1222" s="4"/>
      <c r="N1222" s="28"/>
      <c r="O1222" s="4"/>
      <c r="P1222" s="4"/>
      <c r="Q1222" s="4"/>
      <c r="R1222" s="4"/>
      <c r="S1222" s="4"/>
      <c r="T1222" s="4"/>
      <c r="U1222" s="4"/>
      <c r="V1222" s="4"/>
      <c r="W1222" s="4"/>
      <c r="X1222" s="4"/>
      <c r="Y1222" s="4"/>
      <c r="Z1222" s="4"/>
      <c r="AA1222" s="4"/>
      <c r="AB1222" s="4"/>
      <c r="AC1222" s="4"/>
      <c r="AD1222" s="4"/>
      <c r="AE1222" s="4"/>
      <c r="AF1222" s="81"/>
      <c r="AG1222" s="81"/>
      <c r="AH1222" s="81"/>
      <c r="AI1222" s="4"/>
      <c r="AJ1222" s="81"/>
      <c r="AK1222" s="81"/>
      <c r="AL1222" s="81"/>
    </row>
    <row r="1223" spans="1:38" s="7" customFormat="1">
      <c r="A1223" s="4"/>
      <c r="B1223" s="4"/>
      <c r="C1223" s="4"/>
      <c r="D1223" s="4"/>
      <c r="E1223" s="4"/>
      <c r="F1223" s="28"/>
      <c r="G1223" s="28"/>
      <c r="H1223" s="83"/>
      <c r="I1223" s="4"/>
      <c r="J1223" s="4"/>
      <c r="K1223" s="4"/>
      <c r="L1223" s="4"/>
      <c r="M1223" s="4"/>
      <c r="N1223" s="28"/>
      <c r="O1223" s="4"/>
      <c r="P1223" s="4"/>
      <c r="Q1223" s="4"/>
      <c r="R1223" s="4"/>
      <c r="S1223" s="4"/>
      <c r="T1223" s="4"/>
      <c r="U1223" s="4"/>
      <c r="V1223" s="4"/>
      <c r="W1223" s="4"/>
      <c r="X1223" s="4"/>
      <c r="Y1223" s="4"/>
      <c r="Z1223" s="4"/>
      <c r="AA1223" s="4"/>
      <c r="AB1223" s="4"/>
      <c r="AC1223" s="4"/>
      <c r="AD1223" s="4"/>
      <c r="AE1223" s="4"/>
      <c r="AF1223" s="81"/>
      <c r="AG1223" s="81"/>
      <c r="AH1223" s="81"/>
      <c r="AI1223" s="4"/>
      <c r="AJ1223" s="81"/>
      <c r="AK1223" s="81"/>
      <c r="AL1223" s="81"/>
    </row>
    <row r="1224" spans="1:38" s="7" customFormat="1">
      <c r="A1224" s="4"/>
      <c r="B1224" s="4"/>
      <c r="C1224" s="4"/>
      <c r="D1224" s="4"/>
      <c r="E1224" s="4"/>
      <c r="F1224" s="28"/>
      <c r="G1224" s="28"/>
      <c r="H1224" s="83"/>
      <c r="I1224" s="4"/>
      <c r="J1224" s="4"/>
      <c r="K1224" s="4"/>
      <c r="L1224" s="4"/>
      <c r="M1224" s="4"/>
      <c r="N1224" s="28"/>
      <c r="O1224" s="4"/>
      <c r="P1224" s="4"/>
      <c r="Q1224" s="4"/>
      <c r="R1224" s="4"/>
      <c r="S1224" s="4"/>
      <c r="T1224" s="4"/>
      <c r="U1224" s="4"/>
      <c r="V1224" s="4"/>
      <c r="W1224" s="4"/>
      <c r="X1224" s="4"/>
      <c r="Y1224" s="4"/>
      <c r="Z1224" s="4"/>
      <c r="AA1224" s="4"/>
      <c r="AB1224" s="4"/>
      <c r="AC1224" s="4"/>
      <c r="AD1224" s="4"/>
      <c r="AE1224" s="4"/>
      <c r="AF1224" s="81"/>
      <c r="AG1224" s="81"/>
      <c r="AH1224" s="81"/>
      <c r="AI1224" s="4"/>
      <c r="AJ1224" s="81"/>
      <c r="AK1224" s="81"/>
      <c r="AL1224" s="81"/>
    </row>
    <row r="1225" spans="1:38" s="7" customFormat="1">
      <c r="A1225" s="4"/>
      <c r="B1225" s="4"/>
      <c r="C1225" s="4"/>
      <c r="D1225" s="4"/>
      <c r="E1225" s="4"/>
      <c r="F1225" s="28"/>
      <c r="G1225" s="28"/>
      <c r="H1225" s="83"/>
      <c r="I1225" s="4"/>
      <c r="J1225" s="4"/>
      <c r="K1225" s="4"/>
      <c r="L1225" s="4"/>
      <c r="M1225" s="4"/>
      <c r="N1225" s="28"/>
      <c r="O1225" s="4"/>
      <c r="P1225" s="4"/>
      <c r="Q1225" s="4"/>
      <c r="R1225" s="4"/>
      <c r="S1225" s="4"/>
      <c r="T1225" s="4"/>
      <c r="U1225" s="4"/>
      <c r="V1225" s="4"/>
      <c r="W1225" s="4"/>
      <c r="X1225" s="4"/>
      <c r="Y1225" s="4"/>
      <c r="Z1225" s="4"/>
      <c r="AA1225" s="4"/>
      <c r="AB1225" s="4"/>
      <c r="AC1225" s="4"/>
      <c r="AD1225" s="4"/>
      <c r="AE1225" s="4"/>
      <c r="AF1225" s="81"/>
      <c r="AG1225" s="81"/>
      <c r="AH1225" s="81"/>
      <c r="AI1225" s="4"/>
      <c r="AJ1225" s="81"/>
      <c r="AK1225" s="81"/>
      <c r="AL1225" s="81"/>
    </row>
    <row r="1226" spans="1:38" s="7" customFormat="1">
      <c r="A1226" s="4"/>
      <c r="B1226" s="4"/>
      <c r="C1226" s="4"/>
      <c r="D1226" s="4"/>
      <c r="E1226" s="4"/>
      <c r="F1226" s="28"/>
      <c r="G1226" s="28"/>
      <c r="H1226" s="83"/>
      <c r="I1226" s="4"/>
      <c r="J1226" s="4"/>
      <c r="K1226" s="4"/>
      <c r="L1226" s="4"/>
      <c r="M1226" s="4"/>
      <c r="N1226" s="28"/>
      <c r="O1226" s="4"/>
      <c r="P1226" s="4"/>
      <c r="Q1226" s="4"/>
      <c r="R1226" s="4"/>
      <c r="S1226" s="4"/>
      <c r="T1226" s="4"/>
      <c r="U1226" s="4"/>
      <c r="V1226" s="4"/>
      <c r="W1226" s="4"/>
      <c r="X1226" s="4"/>
      <c r="Y1226" s="4"/>
      <c r="Z1226" s="4"/>
      <c r="AA1226" s="4"/>
      <c r="AB1226" s="4"/>
      <c r="AC1226" s="4"/>
      <c r="AD1226" s="4"/>
      <c r="AE1226" s="4"/>
      <c r="AF1226" s="81"/>
      <c r="AG1226" s="81"/>
      <c r="AH1226" s="81"/>
      <c r="AI1226" s="4"/>
      <c r="AJ1226" s="81"/>
      <c r="AK1226" s="81"/>
      <c r="AL1226" s="81"/>
    </row>
    <row r="1227" spans="1:38" s="7" customFormat="1">
      <c r="A1227" s="4"/>
      <c r="B1227" s="4"/>
      <c r="C1227" s="4"/>
      <c r="D1227" s="4"/>
      <c r="E1227" s="4"/>
      <c r="F1227" s="28"/>
      <c r="G1227" s="28"/>
      <c r="H1227" s="83"/>
      <c r="I1227" s="4"/>
      <c r="J1227" s="4"/>
      <c r="K1227" s="4"/>
      <c r="L1227" s="4"/>
      <c r="M1227" s="4"/>
      <c r="N1227" s="28"/>
      <c r="O1227" s="4"/>
      <c r="P1227" s="4"/>
      <c r="Q1227" s="4"/>
      <c r="R1227" s="4"/>
      <c r="S1227" s="4"/>
      <c r="T1227" s="4"/>
      <c r="U1227" s="4"/>
      <c r="V1227" s="4"/>
      <c r="W1227" s="4"/>
      <c r="X1227" s="4"/>
      <c r="Y1227" s="4"/>
      <c r="Z1227" s="4"/>
      <c r="AA1227" s="4"/>
      <c r="AB1227" s="4"/>
      <c r="AC1227" s="4"/>
      <c r="AD1227" s="4"/>
      <c r="AE1227" s="4"/>
      <c r="AF1227" s="81"/>
      <c r="AG1227" s="81"/>
      <c r="AH1227" s="81"/>
      <c r="AI1227" s="4"/>
      <c r="AJ1227" s="81"/>
      <c r="AK1227" s="81"/>
      <c r="AL1227" s="81"/>
    </row>
    <row r="1228" spans="1:38" s="7" customFormat="1">
      <c r="A1228" s="4"/>
      <c r="B1228" s="4"/>
      <c r="C1228" s="4"/>
      <c r="D1228" s="4"/>
      <c r="E1228" s="4"/>
      <c r="F1228" s="28"/>
      <c r="G1228" s="28"/>
      <c r="H1228" s="83"/>
      <c r="I1228" s="4"/>
      <c r="J1228" s="4"/>
      <c r="K1228" s="4"/>
      <c r="L1228" s="4"/>
      <c r="M1228" s="4"/>
      <c r="N1228" s="28"/>
      <c r="O1228" s="4"/>
      <c r="P1228" s="4"/>
      <c r="Q1228" s="4"/>
      <c r="R1228" s="4"/>
      <c r="S1228" s="4"/>
      <c r="T1228" s="4"/>
      <c r="U1228" s="4"/>
      <c r="V1228" s="4"/>
      <c r="W1228" s="4"/>
      <c r="X1228" s="4"/>
      <c r="Y1228" s="4"/>
      <c r="Z1228" s="4"/>
      <c r="AA1228" s="4"/>
      <c r="AB1228" s="4"/>
      <c r="AC1228" s="4"/>
      <c r="AD1228" s="4"/>
      <c r="AE1228" s="4"/>
      <c r="AF1228" s="81"/>
      <c r="AG1228" s="81"/>
      <c r="AH1228" s="81"/>
      <c r="AI1228" s="4"/>
      <c r="AJ1228" s="81"/>
      <c r="AK1228" s="81"/>
      <c r="AL1228" s="81"/>
    </row>
    <row r="1229" spans="1:38" s="7" customFormat="1">
      <c r="A1229" s="4"/>
      <c r="B1229" s="4"/>
      <c r="C1229" s="4"/>
      <c r="D1229" s="4"/>
      <c r="E1229" s="4"/>
      <c r="F1229" s="28"/>
      <c r="G1229" s="28"/>
      <c r="H1229" s="83"/>
      <c r="I1229" s="4"/>
      <c r="J1229" s="4"/>
      <c r="K1229" s="4"/>
      <c r="L1229" s="4"/>
      <c r="M1229" s="4"/>
      <c r="N1229" s="28"/>
      <c r="O1229" s="4"/>
      <c r="P1229" s="4"/>
      <c r="Q1229" s="4"/>
      <c r="R1229" s="4"/>
      <c r="S1229" s="4"/>
      <c r="T1229" s="4"/>
      <c r="U1229" s="4"/>
      <c r="V1229" s="4"/>
      <c r="W1229" s="4"/>
      <c r="X1229" s="4"/>
      <c r="Y1229" s="4"/>
      <c r="Z1229" s="4"/>
      <c r="AA1229" s="4"/>
      <c r="AB1229" s="4"/>
      <c r="AC1229" s="4"/>
      <c r="AD1229" s="4"/>
      <c r="AE1229" s="4"/>
      <c r="AF1229" s="81"/>
      <c r="AG1229" s="81"/>
      <c r="AH1229" s="81"/>
      <c r="AI1229" s="4"/>
      <c r="AJ1229" s="81"/>
      <c r="AK1229" s="81"/>
      <c r="AL1229" s="81"/>
    </row>
    <row r="1230" spans="1:38" s="7" customFormat="1">
      <c r="A1230" s="4"/>
      <c r="B1230" s="4"/>
      <c r="C1230" s="4"/>
      <c r="D1230" s="4"/>
      <c r="E1230" s="4"/>
      <c r="F1230" s="28"/>
      <c r="G1230" s="28"/>
      <c r="H1230" s="83"/>
      <c r="I1230" s="4"/>
      <c r="J1230" s="4"/>
      <c r="K1230" s="4"/>
      <c r="L1230" s="4"/>
      <c r="M1230" s="4"/>
      <c r="N1230" s="28"/>
      <c r="O1230" s="4"/>
      <c r="P1230" s="4"/>
      <c r="Q1230" s="4"/>
      <c r="R1230" s="4"/>
      <c r="S1230" s="4"/>
      <c r="T1230" s="4"/>
      <c r="U1230" s="4"/>
      <c r="V1230" s="4"/>
      <c r="W1230" s="4"/>
      <c r="X1230" s="4"/>
      <c r="Y1230" s="4"/>
      <c r="Z1230" s="4"/>
      <c r="AA1230" s="4"/>
      <c r="AB1230" s="4"/>
      <c r="AC1230" s="4"/>
      <c r="AD1230" s="4"/>
      <c r="AE1230" s="4"/>
      <c r="AF1230" s="81"/>
      <c r="AG1230" s="81"/>
      <c r="AH1230" s="81"/>
      <c r="AI1230" s="4"/>
      <c r="AJ1230" s="81"/>
      <c r="AK1230" s="81"/>
      <c r="AL1230" s="81"/>
    </row>
    <row r="1231" spans="1:38" s="7" customFormat="1">
      <c r="A1231" s="4"/>
      <c r="B1231" s="4"/>
      <c r="C1231" s="4"/>
      <c r="D1231" s="4"/>
      <c r="E1231" s="4"/>
      <c r="F1231" s="28"/>
      <c r="G1231" s="28"/>
      <c r="H1231" s="83"/>
      <c r="I1231" s="4"/>
      <c r="J1231" s="4"/>
      <c r="K1231" s="4"/>
      <c r="L1231" s="4"/>
      <c r="M1231" s="4"/>
      <c r="N1231" s="28"/>
      <c r="O1231" s="4"/>
      <c r="P1231" s="4"/>
      <c r="Q1231" s="4"/>
      <c r="R1231" s="4"/>
      <c r="S1231" s="4"/>
      <c r="T1231" s="4"/>
      <c r="U1231" s="4"/>
      <c r="V1231" s="4"/>
      <c r="W1231" s="4"/>
      <c r="X1231" s="4"/>
      <c r="Y1231" s="4"/>
      <c r="Z1231" s="4"/>
      <c r="AA1231" s="4"/>
      <c r="AB1231" s="4"/>
      <c r="AC1231" s="4"/>
      <c r="AD1231" s="4"/>
      <c r="AE1231" s="4"/>
      <c r="AF1231" s="81"/>
      <c r="AG1231" s="81"/>
      <c r="AH1231" s="81"/>
      <c r="AI1231" s="4"/>
      <c r="AJ1231" s="81"/>
      <c r="AK1231" s="81"/>
      <c r="AL1231" s="81"/>
    </row>
    <row r="1232" spans="1:38" s="7" customFormat="1">
      <c r="A1232" s="4"/>
      <c r="B1232" s="4"/>
      <c r="C1232" s="4"/>
      <c r="D1232" s="4"/>
      <c r="E1232" s="4"/>
      <c r="F1232" s="28"/>
      <c r="G1232" s="28"/>
      <c r="H1232" s="83"/>
      <c r="I1232" s="4"/>
      <c r="J1232" s="4"/>
      <c r="K1232" s="4"/>
      <c r="L1232" s="4"/>
      <c r="M1232" s="4"/>
      <c r="N1232" s="28"/>
      <c r="O1232" s="4"/>
      <c r="P1232" s="4"/>
      <c r="Q1232" s="4"/>
      <c r="R1232" s="4"/>
      <c r="S1232" s="4"/>
      <c r="T1232" s="4"/>
      <c r="U1232" s="4"/>
      <c r="V1232" s="4"/>
      <c r="W1232" s="4"/>
      <c r="X1232" s="4"/>
      <c r="Y1232" s="4"/>
      <c r="Z1232" s="4"/>
      <c r="AA1232" s="4"/>
      <c r="AB1232" s="4"/>
      <c r="AC1232" s="4"/>
      <c r="AD1232" s="4"/>
      <c r="AE1232" s="4"/>
      <c r="AF1232" s="81"/>
      <c r="AG1232" s="81"/>
      <c r="AH1232" s="81"/>
      <c r="AI1232" s="4"/>
      <c r="AJ1232" s="81"/>
      <c r="AK1232" s="81"/>
      <c r="AL1232" s="81"/>
    </row>
    <row r="1233" spans="1:38" s="7" customFormat="1">
      <c r="A1233" s="4"/>
      <c r="B1233" s="4"/>
      <c r="C1233" s="4"/>
      <c r="D1233" s="4"/>
      <c r="E1233" s="4"/>
      <c r="F1233" s="28"/>
      <c r="G1233" s="28"/>
      <c r="H1233" s="83"/>
      <c r="I1233" s="4"/>
      <c r="J1233" s="4"/>
      <c r="K1233" s="4"/>
      <c r="L1233" s="4"/>
      <c r="M1233" s="4"/>
      <c r="N1233" s="28"/>
      <c r="O1233" s="4"/>
      <c r="P1233" s="4"/>
      <c r="Q1233" s="4"/>
      <c r="R1233" s="4"/>
      <c r="S1233" s="4"/>
      <c r="T1233" s="4"/>
      <c r="U1233" s="4"/>
      <c r="V1233" s="4"/>
      <c r="W1233" s="4"/>
      <c r="X1233" s="4"/>
      <c r="Y1233" s="4"/>
      <c r="Z1233" s="4"/>
      <c r="AA1233" s="4"/>
      <c r="AB1233" s="4"/>
      <c r="AC1233" s="4"/>
      <c r="AD1233" s="4"/>
      <c r="AE1233" s="4"/>
      <c r="AF1233" s="81"/>
      <c r="AG1233" s="81"/>
      <c r="AH1233" s="81"/>
      <c r="AI1233" s="4"/>
      <c r="AJ1233" s="81"/>
      <c r="AK1233" s="81"/>
      <c r="AL1233" s="81"/>
    </row>
    <row r="1234" spans="1:38" s="7" customFormat="1">
      <c r="A1234" s="4"/>
      <c r="B1234" s="4"/>
      <c r="C1234" s="4"/>
      <c r="D1234" s="4"/>
      <c r="E1234" s="4"/>
      <c r="F1234" s="28"/>
      <c r="G1234" s="28"/>
      <c r="H1234" s="83"/>
      <c r="I1234" s="4"/>
      <c r="J1234" s="4"/>
      <c r="K1234" s="4"/>
      <c r="L1234" s="4"/>
      <c r="M1234" s="4"/>
      <c r="N1234" s="28"/>
      <c r="O1234" s="4"/>
      <c r="P1234" s="4"/>
      <c r="Q1234" s="4"/>
      <c r="R1234" s="4"/>
      <c r="S1234" s="4"/>
      <c r="T1234" s="4"/>
      <c r="U1234" s="4"/>
      <c r="V1234" s="4"/>
      <c r="W1234" s="4"/>
      <c r="X1234" s="4"/>
      <c r="Y1234" s="4"/>
      <c r="Z1234" s="4"/>
      <c r="AA1234" s="4"/>
      <c r="AB1234" s="4"/>
      <c r="AC1234" s="4"/>
      <c r="AD1234" s="4"/>
      <c r="AE1234" s="4"/>
      <c r="AF1234" s="81"/>
      <c r="AG1234" s="81"/>
      <c r="AH1234" s="81"/>
      <c r="AI1234" s="4"/>
      <c r="AJ1234" s="81"/>
      <c r="AK1234" s="81"/>
      <c r="AL1234" s="81"/>
    </row>
    <row r="1235" spans="1:38" s="7" customFormat="1">
      <c r="A1235" s="4"/>
      <c r="B1235" s="4"/>
      <c r="C1235" s="4"/>
      <c r="D1235" s="4"/>
      <c r="E1235" s="4"/>
      <c r="F1235" s="28"/>
      <c r="G1235" s="28"/>
      <c r="H1235" s="83"/>
      <c r="I1235" s="4"/>
      <c r="J1235" s="4"/>
      <c r="K1235" s="4"/>
      <c r="L1235" s="4"/>
      <c r="M1235" s="4"/>
      <c r="N1235" s="28"/>
      <c r="O1235" s="4"/>
      <c r="P1235" s="4"/>
      <c r="Q1235" s="4"/>
      <c r="R1235" s="4"/>
      <c r="S1235" s="4"/>
      <c r="T1235" s="4"/>
      <c r="U1235" s="4"/>
      <c r="V1235" s="4"/>
      <c r="W1235" s="4"/>
      <c r="X1235" s="4"/>
      <c r="Y1235" s="4"/>
      <c r="Z1235" s="4"/>
      <c r="AA1235" s="4"/>
      <c r="AB1235" s="4"/>
      <c r="AC1235" s="4"/>
      <c r="AD1235" s="4"/>
      <c r="AE1235" s="4"/>
      <c r="AF1235" s="81"/>
      <c r="AG1235" s="81"/>
      <c r="AH1235" s="81"/>
      <c r="AI1235" s="4"/>
      <c r="AJ1235" s="81"/>
      <c r="AK1235" s="81"/>
      <c r="AL1235" s="81"/>
    </row>
    <row r="1236" spans="1:38" s="7" customFormat="1">
      <c r="A1236" s="4"/>
      <c r="B1236" s="4"/>
      <c r="C1236" s="4"/>
      <c r="D1236" s="4"/>
      <c r="E1236" s="4"/>
      <c r="F1236" s="28"/>
      <c r="G1236" s="28"/>
      <c r="H1236" s="83"/>
      <c r="I1236" s="4"/>
      <c r="J1236" s="4"/>
      <c r="K1236" s="4"/>
      <c r="L1236" s="4"/>
      <c r="M1236" s="4"/>
      <c r="N1236" s="28"/>
      <c r="O1236" s="4"/>
      <c r="P1236" s="4"/>
      <c r="Q1236" s="4"/>
      <c r="R1236" s="4"/>
      <c r="S1236" s="4"/>
      <c r="T1236" s="4"/>
      <c r="U1236" s="4"/>
      <c r="V1236" s="4"/>
      <c r="W1236" s="4"/>
      <c r="X1236" s="4"/>
      <c r="Y1236" s="4"/>
      <c r="Z1236" s="4"/>
      <c r="AA1236" s="4"/>
      <c r="AB1236" s="4"/>
      <c r="AC1236" s="4"/>
      <c r="AD1236" s="4"/>
      <c r="AE1236" s="4"/>
      <c r="AF1236" s="81"/>
      <c r="AG1236" s="81"/>
      <c r="AH1236" s="81"/>
      <c r="AI1236" s="4"/>
      <c r="AJ1236" s="81"/>
      <c r="AK1236" s="81"/>
      <c r="AL1236" s="81"/>
    </row>
    <row r="1237" spans="1:38" s="7" customFormat="1">
      <c r="A1237" s="4"/>
      <c r="B1237" s="4"/>
      <c r="C1237" s="4"/>
      <c r="D1237" s="4"/>
      <c r="E1237" s="4"/>
      <c r="F1237" s="28"/>
      <c r="G1237" s="28"/>
      <c r="H1237" s="83"/>
      <c r="I1237" s="4"/>
      <c r="J1237" s="4"/>
      <c r="K1237" s="4"/>
      <c r="L1237" s="4"/>
      <c r="M1237" s="4"/>
      <c r="N1237" s="28"/>
      <c r="O1237" s="4"/>
      <c r="P1237" s="4"/>
      <c r="Q1237" s="4"/>
      <c r="R1237" s="4"/>
      <c r="S1237" s="4"/>
      <c r="T1237" s="4"/>
      <c r="U1237" s="4"/>
      <c r="V1237" s="4"/>
      <c r="W1237" s="4"/>
      <c r="X1237" s="4"/>
      <c r="Y1237" s="4"/>
      <c r="Z1237" s="4"/>
      <c r="AA1237" s="4"/>
      <c r="AB1237" s="4"/>
      <c r="AC1237" s="4"/>
      <c r="AD1237" s="4"/>
      <c r="AE1237" s="4"/>
      <c r="AF1237" s="81"/>
      <c r="AG1237" s="81"/>
      <c r="AH1237" s="81"/>
      <c r="AI1237" s="4"/>
      <c r="AJ1237" s="81"/>
      <c r="AK1237" s="81"/>
      <c r="AL1237" s="81"/>
    </row>
    <row r="1238" spans="1:38" s="7" customFormat="1">
      <c r="A1238" s="4"/>
      <c r="B1238" s="4"/>
      <c r="C1238" s="4"/>
      <c r="D1238" s="4"/>
      <c r="E1238" s="4"/>
      <c r="F1238" s="28"/>
      <c r="G1238" s="28"/>
      <c r="H1238" s="83"/>
      <c r="I1238" s="4"/>
      <c r="J1238" s="4"/>
      <c r="K1238" s="4"/>
      <c r="L1238" s="4"/>
      <c r="M1238" s="4"/>
      <c r="N1238" s="28"/>
      <c r="O1238" s="4"/>
      <c r="P1238" s="4"/>
      <c r="Q1238" s="4"/>
      <c r="R1238" s="4"/>
      <c r="S1238" s="4"/>
      <c r="T1238" s="4"/>
      <c r="U1238" s="4"/>
      <c r="V1238" s="4"/>
      <c r="W1238" s="4"/>
      <c r="X1238" s="4"/>
      <c r="Y1238" s="4"/>
      <c r="Z1238" s="4"/>
      <c r="AA1238" s="4"/>
      <c r="AB1238" s="4"/>
      <c r="AC1238" s="4"/>
      <c r="AD1238" s="4"/>
      <c r="AE1238" s="4"/>
      <c r="AF1238" s="81"/>
      <c r="AG1238" s="81"/>
      <c r="AH1238" s="81"/>
      <c r="AI1238" s="4"/>
      <c r="AJ1238" s="81"/>
      <c r="AK1238" s="81"/>
      <c r="AL1238" s="81"/>
    </row>
    <row r="1239" spans="1:38" s="7" customFormat="1">
      <c r="A1239" s="4"/>
      <c r="B1239" s="4"/>
      <c r="C1239" s="4"/>
      <c r="D1239" s="4"/>
      <c r="E1239" s="4"/>
      <c r="F1239" s="28"/>
      <c r="G1239" s="28"/>
      <c r="H1239" s="83"/>
      <c r="I1239" s="4"/>
      <c r="J1239" s="4"/>
      <c r="K1239" s="4"/>
      <c r="L1239" s="4"/>
      <c r="M1239" s="4"/>
      <c r="N1239" s="28"/>
      <c r="O1239" s="4"/>
      <c r="P1239" s="4"/>
      <c r="Q1239" s="4"/>
      <c r="R1239" s="4"/>
      <c r="S1239" s="4"/>
      <c r="T1239" s="4"/>
      <c r="U1239" s="4"/>
      <c r="V1239" s="4"/>
      <c r="W1239" s="4"/>
      <c r="X1239" s="4"/>
      <c r="Y1239" s="4"/>
      <c r="Z1239" s="4"/>
      <c r="AA1239" s="4"/>
      <c r="AB1239" s="4"/>
      <c r="AC1239" s="4"/>
      <c r="AD1239" s="4"/>
      <c r="AE1239" s="4"/>
      <c r="AF1239" s="81"/>
      <c r="AG1239" s="81"/>
      <c r="AH1239" s="81"/>
      <c r="AI1239" s="4"/>
      <c r="AJ1239" s="81"/>
      <c r="AK1239" s="81"/>
      <c r="AL1239" s="81"/>
    </row>
    <row r="1240" spans="1:38" s="7" customFormat="1">
      <c r="A1240" s="4"/>
      <c r="B1240" s="4"/>
      <c r="C1240" s="4"/>
      <c r="D1240" s="4"/>
      <c r="E1240" s="4"/>
      <c r="F1240" s="28"/>
      <c r="G1240" s="28"/>
      <c r="H1240" s="83"/>
      <c r="I1240" s="4"/>
      <c r="J1240" s="4"/>
      <c r="K1240" s="4"/>
      <c r="L1240" s="4"/>
      <c r="M1240" s="4"/>
      <c r="N1240" s="28"/>
      <c r="O1240" s="4"/>
      <c r="P1240" s="4"/>
      <c r="Q1240" s="4"/>
      <c r="R1240" s="4"/>
      <c r="S1240" s="4"/>
      <c r="T1240" s="4"/>
      <c r="U1240" s="4"/>
      <c r="V1240" s="4"/>
      <c r="W1240" s="4"/>
      <c r="X1240" s="4"/>
      <c r="Y1240" s="4"/>
      <c r="Z1240" s="4"/>
      <c r="AA1240" s="4"/>
      <c r="AB1240" s="4"/>
      <c r="AC1240" s="4"/>
      <c r="AD1240" s="4"/>
      <c r="AE1240" s="4"/>
      <c r="AF1240" s="81"/>
      <c r="AG1240" s="81"/>
      <c r="AH1240" s="81"/>
      <c r="AI1240" s="4"/>
      <c r="AJ1240" s="81"/>
      <c r="AK1240" s="81"/>
      <c r="AL1240" s="81"/>
    </row>
    <row r="1241" spans="1:38" s="7" customFormat="1">
      <c r="A1241" s="4"/>
      <c r="B1241" s="4"/>
      <c r="C1241" s="4"/>
      <c r="D1241" s="4"/>
      <c r="E1241" s="4"/>
      <c r="F1241" s="28"/>
      <c r="G1241" s="28"/>
      <c r="H1241" s="83"/>
      <c r="I1241" s="4"/>
      <c r="J1241" s="4"/>
      <c r="K1241" s="4"/>
      <c r="L1241" s="4"/>
      <c r="M1241" s="4"/>
      <c r="N1241" s="28"/>
      <c r="O1241" s="4"/>
      <c r="P1241" s="4"/>
      <c r="Q1241" s="4"/>
      <c r="R1241" s="4"/>
      <c r="S1241" s="4"/>
      <c r="T1241" s="4"/>
      <c r="U1241" s="4"/>
      <c r="V1241" s="4"/>
      <c r="W1241" s="4"/>
      <c r="X1241" s="4"/>
      <c r="Y1241" s="4"/>
      <c r="Z1241" s="4"/>
      <c r="AA1241" s="4"/>
      <c r="AB1241" s="4"/>
      <c r="AC1241" s="4"/>
      <c r="AD1241" s="4"/>
      <c r="AE1241" s="4"/>
      <c r="AF1241" s="81"/>
      <c r="AG1241" s="81"/>
      <c r="AH1241" s="81"/>
      <c r="AI1241" s="4"/>
      <c r="AJ1241" s="81"/>
      <c r="AK1241" s="81"/>
      <c r="AL1241" s="81"/>
    </row>
    <row r="1242" spans="1:38" s="7" customFormat="1">
      <c r="A1242" s="4"/>
      <c r="B1242" s="4"/>
      <c r="C1242" s="4"/>
      <c r="D1242" s="4"/>
      <c r="E1242" s="4"/>
      <c r="F1242" s="28"/>
      <c r="G1242" s="28"/>
      <c r="H1242" s="83"/>
      <c r="I1242" s="4"/>
      <c r="J1242" s="4"/>
      <c r="K1242" s="4"/>
      <c r="L1242" s="4"/>
      <c r="M1242" s="4"/>
      <c r="N1242" s="28"/>
      <c r="O1242" s="4"/>
      <c r="P1242" s="4"/>
      <c r="Q1242" s="4"/>
      <c r="R1242" s="4"/>
      <c r="S1242" s="4"/>
      <c r="T1242" s="4"/>
      <c r="U1242" s="4"/>
      <c r="V1242" s="4"/>
      <c r="W1242" s="4"/>
      <c r="X1242" s="4"/>
      <c r="Y1242" s="4"/>
      <c r="Z1242" s="4"/>
      <c r="AA1242" s="4"/>
      <c r="AB1242" s="4"/>
      <c r="AC1242" s="4"/>
      <c r="AD1242" s="4"/>
      <c r="AE1242" s="4"/>
      <c r="AF1242" s="81"/>
      <c r="AG1242" s="81"/>
      <c r="AH1242" s="81"/>
      <c r="AI1242" s="4"/>
      <c r="AJ1242" s="81"/>
      <c r="AK1242" s="81"/>
      <c r="AL1242" s="81"/>
    </row>
    <row r="1243" spans="1:38" s="7" customFormat="1">
      <c r="A1243" s="4"/>
      <c r="B1243" s="4"/>
      <c r="C1243" s="4"/>
      <c r="D1243" s="4"/>
      <c r="E1243" s="4"/>
      <c r="F1243" s="28"/>
      <c r="G1243" s="28"/>
      <c r="H1243" s="83"/>
      <c r="I1243" s="4"/>
      <c r="J1243" s="4"/>
      <c r="K1243" s="4"/>
      <c r="L1243" s="4"/>
      <c r="M1243" s="4"/>
      <c r="N1243" s="28"/>
      <c r="O1243" s="4"/>
      <c r="P1243" s="4"/>
      <c r="Q1243" s="4"/>
      <c r="R1243" s="4"/>
      <c r="S1243" s="4"/>
      <c r="T1243" s="4"/>
      <c r="U1243" s="4"/>
      <c r="V1243" s="4"/>
      <c r="W1243" s="4"/>
      <c r="X1243" s="4"/>
      <c r="Y1243" s="4"/>
      <c r="Z1243" s="4"/>
      <c r="AA1243" s="4"/>
      <c r="AB1243" s="4"/>
      <c r="AC1243" s="4"/>
      <c r="AD1243" s="4"/>
      <c r="AE1243" s="4"/>
      <c r="AF1243" s="81"/>
      <c r="AG1243" s="81"/>
      <c r="AH1243" s="81"/>
      <c r="AI1243" s="4"/>
      <c r="AJ1243" s="81"/>
      <c r="AK1243" s="81"/>
      <c r="AL1243" s="81"/>
    </row>
    <row r="1244" spans="1:38" s="7" customFormat="1">
      <c r="A1244" s="4"/>
      <c r="B1244" s="4"/>
      <c r="C1244" s="4"/>
      <c r="D1244" s="4"/>
      <c r="E1244" s="4"/>
      <c r="F1244" s="28"/>
      <c r="G1244" s="28"/>
      <c r="H1244" s="83"/>
      <c r="I1244" s="4"/>
      <c r="J1244" s="4"/>
      <c r="K1244" s="4"/>
      <c r="L1244" s="4"/>
      <c r="M1244" s="4"/>
      <c r="N1244" s="28"/>
      <c r="O1244" s="4"/>
      <c r="P1244" s="4"/>
      <c r="Q1244" s="4"/>
      <c r="R1244" s="4"/>
      <c r="S1244" s="4"/>
      <c r="T1244" s="4"/>
      <c r="U1244" s="4"/>
      <c r="V1244" s="4"/>
      <c r="W1244" s="4"/>
      <c r="X1244" s="4"/>
      <c r="Y1244" s="4"/>
      <c r="Z1244" s="4"/>
      <c r="AA1244" s="4"/>
      <c r="AB1244" s="4"/>
      <c r="AC1244" s="4"/>
      <c r="AD1244" s="4"/>
      <c r="AE1244" s="4"/>
      <c r="AF1244" s="81"/>
      <c r="AG1244" s="81"/>
      <c r="AH1244" s="81"/>
      <c r="AI1244" s="4"/>
      <c r="AJ1244" s="81"/>
      <c r="AK1244" s="81"/>
      <c r="AL1244" s="81"/>
    </row>
    <row r="1245" spans="1:38" s="7" customFormat="1">
      <c r="A1245" s="4"/>
      <c r="B1245" s="4"/>
      <c r="C1245" s="4"/>
      <c r="D1245" s="4"/>
      <c r="E1245" s="4"/>
      <c r="F1245" s="28"/>
      <c r="G1245" s="28"/>
      <c r="H1245" s="83"/>
      <c r="I1245" s="4"/>
      <c r="J1245" s="4"/>
      <c r="K1245" s="4"/>
      <c r="L1245" s="4"/>
      <c r="M1245" s="4"/>
      <c r="N1245" s="28"/>
      <c r="O1245" s="4"/>
      <c r="P1245" s="4"/>
      <c r="Q1245" s="4"/>
      <c r="R1245" s="4"/>
      <c r="S1245" s="4"/>
      <c r="T1245" s="4"/>
      <c r="U1245" s="4"/>
      <c r="V1245" s="4"/>
      <c r="W1245" s="4"/>
      <c r="X1245" s="4"/>
      <c r="Y1245" s="4"/>
      <c r="Z1245" s="4"/>
      <c r="AA1245" s="4"/>
      <c r="AB1245" s="4"/>
      <c r="AC1245" s="4"/>
      <c r="AD1245" s="4"/>
      <c r="AE1245" s="4"/>
      <c r="AF1245" s="81"/>
      <c r="AG1245" s="81"/>
      <c r="AH1245" s="81"/>
      <c r="AI1245" s="4"/>
      <c r="AJ1245" s="81"/>
      <c r="AK1245" s="81"/>
      <c r="AL1245" s="81"/>
    </row>
    <row r="1246" spans="1:38" s="7" customFormat="1">
      <c r="A1246" s="4"/>
      <c r="B1246" s="4"/>
      <c r="C1246" s="4"/>
      <c r="D1246" s="4"/>
      <c r="E1246" s="4"/>
      <c r="F1246" s="28"/>
      <c r="G1246" s="28"/>
      <c r="H1246" s="83"/>
      <c r="I1246" s="4"/>
      <c r="J1246" s="4"/>
      <c r="K1246" s="4"/>
      <c r="L1246" s="4"/>
      <c r="M1246" s="4"/>
      <c r="N1246" s="28"/>
      <c r="O1246" s="4"/>
      <c r="P1246" s="4"/>
      <c r="Q1246" s="4"/>
      <c r="R1246" s="4"/>
      <c r="S1246" s="4"/>
      <c r="T1246" s="4"/>
      <c r="U1246" s="4"/>
      <c r="V1246" s="4"/>
      <c r="W1246" s="4"/>
      <c r="X1246" s="4"/>
      <c r="Y1246" s="4"/>
      <c r="Z1246" s="4"/>
      <c r="AA1246" s="4"/>
      <c r="AB1246" s="4"/>
      <c r="AC1246" s="4"/>
      <c r="AD1246" s="4"/>
      <c r="AE1246" s="4"/>
      <c r="AF1246" s="81"/>
      <c r="AG1246" s="81"/>
      <c r="AH1246" s="81"/>
      <c r="AI1246" s="4"/>
      <c r="AJ1246" s="81"/>
      <c r="AK1246" s="81"/>
      <c r="AL1246" s="81"/>
    </row>
    <row r="1247" spans="1:38" s="7" customFormat="1">
      <c r="A1247" s="4"/>
      <c r="B1247" s="4"/>
      <c r="C1247" s="4"/>
      <c r="D1247" s="4"/>
      <c r="E1247" s="4"/>
      <c r="F1247" s="28"/>
      <c r="G1247" s="28"/>
      <c r="H1247" s="83"/>
      <c r="I1247" s="4"/>
      <c r="J1247" s="4"/>
      <c r="K1247" s="4"/>
      <c r="L1247" s="4"/>
      <c r="M1247" s="4"/>
      <c r="N1247" s="28"/>
      <c r="O1247" s="4"/>
      <c r="P1247" s="4"/>
      <c r="Q1247" s="4"/>
      <c r="R1247" s="4"/>
      <c r="S1247" s="4"/>
      <c r="T1247" s="4"/>
      <c r="U1247" s="4"/>
      <c r="V1247" s="4"/>
      <c r="W1247" s="4"/>
      <c r="X1247" s="4"/>
      <c r="Y1247" s="4"/>
      <c r="Z1247" s="4"/>
      <c r="AA1247" s="4"/>
      <c r="AB1247" s="4"/>
      <c r="AC1247" s="4"/>
      <c r="AD1247" s="4"/>
      <c r="AE1247" s="4"/>
      <c r="AF1247" s="81"/>
      <c r="AG1247" s="81"/>
      <c r="AH1247" s="81"/>
      <c r="AI1247" s="4"/>
      <c r="AJ1247" s="81"/>
      <c r="AK1247" s="81"/>
      <c r="AL1247" s="81"/>
    </row>
    <row r="1248" spans="1:38" s="7" customFormat="1">
      <c r="A1248" s="4"/>
      <c r="B1248" s="4"/>
      <c r="C1248" s="4"/>
      <c r="D1248" s="4"/>
      <c r="E1248" s="4"/>
      <c r="F1248" s="28"/>
      <c r="G1248" s="28"/>
      <c r="H1248" s="83"/>
      <c r="I1248" s="4"/>
      <c r="J1248" s="4"/>
      <c r="K1248" s="4"/>
      <c r="L1248" s="4"/>
      <c r="M1248" s="4"/>
      <c r="N1248" s="28"/>
      <c r="O1248" s="4"/>
      <c r="P1248" s="4"/>
      <c r="Q1248" s="4"/>
      <c r="R1248" s="4"/>
      <c r="S1248" s="4"/>
      <c r="T1248" s="4"/>
      <c r="U1248" s="4"/>
      <c r="V1248" s="4"/>
      <c r="W1248" s="4"/>
      <c r="X1248" s="4"/>
      <c r="Y1248" s="4"/>
      <c r="Z1248" s="4"/>
      <c r="AA1248" s="4"/>
      <c r="AB1248" s="4"/>
      <c r="AC1248" s="4"/>
      <c r="AD1248" s="4"/>
      <c r="AE1248" s="4"/>
      <c r="AF1248" s="81"/>
      <c r="AG1248" s="81"/>
      <c r="AH1248" s="81"/>
      <c r="AI1248" s="4"/>
      <c r="AJ1248" s="81"/>
      <c r="AK1248" s="81"/>
      <c r="AL1248" s="81"/>
    </row>
    <row r="1249" spans="1:38" s="7" customFormat="1">
      <c r="A1249" s="4"/>
      <c r="B1249" s="4"/>
      <c r="C1249" s="4"/>
      <c r="D1249" s="4"/>
      <c r="E1249" s="4"/>
      <c r="F1249" s="28"/>
      <c r="G1249" s="28"/>
      <c r="H1249" s="83"/>
      <c r="I1249" s="4"/>
      <c r="J1249" s="4"/>
      <c r="K1249" s="4"/>
      <c r="L1249" s="4"/>
      <c r="M1249" s="4"/>
      <c r="N1249" s="28"/>
      <c r="O1249" s="4"/>
      <c r="P1249" s="4"/>
      <c r="Q1249" s="4"/>
      <c r="R1249" s="4"/>
      <c r="S1249" s="4"/>
      <c r="T1249" s="4"/>
      <c r="U1249" s="4"/>
      <c r="V1249" s="4"/>
      <c r="W1249" s="4"/>
      <c r="X1249" s="4"/>
      <c r="Y1249" s="4"/>
      <c r="Z1249" s="4"/>
      <c r="AA1249" s="4"/>
      <c r="AB1249" s="4"/>
      <c r="AC1249" s="4"/>
      <c r="AD1249" s="4"/>
      <c r="AE1249" s="4"/>
      <c r="AF1249" s="81"/>
      <c r="AG1249" s="81"/>
      <c r="AH1249" s="81"/>
      <c r="AI1249" s="4"/>
      <c r="AJ1249" s="81"/>
      <c r="AK1249" s="81"/>
      <c r="AL1249" s="81"/>
    </row>
    <row r="1250" spans="1:38" s="7" customFormat="1">
      <c r="A1250" s="4"/>
      <c r="B1250" s="4"/>
      <c r="C1250" s="4"/>
      <c r="D1250" s="4"/>
      <c r="E1250" s="4"/>
      <c r="F1250" s="28"/>
      <c r="G1250" s="28"/>
      <c r="H1250" s="83"/>
      <c r="I1250" s="4"/>
      <c r="J1250" s="4"/>
      <c r="K1250" s="4"/>
      <c r="L1250" s="4"/>
      <c r="M1250" s="4"/>
      <c r="N1250" s="28"/>
      <c r="O1250" s="4"/>
      <c r="P1250" s="4"/>
      <c r="Q1250" s="4"/>
      <c r="R1250" s="4"/>
      <c r="S1250" s="4"/>
      <c r="T1250" s="4"/>
      <c r="U1250" s="4"/>
      <c r="V1250" s="4"/>
      <c r="W1250" s="4"/>
      <c r="X1250" s="4"/>
      <c r="Y1250" s="4"/>
      <c r="Z1250" s="4"/>
      <c r="AA1250" s="4"/>
      <c r="AB1250" s="4"/>
      <c r="AC1250" s="4"/>
      <c r="AD1250" s="4"/>
      <c r="AE1250" s="4"/>
      <c r="AF1250" s="81"/>
      <c r="AG1250" s="81"/>
      <c r="AH1250" s="81"/>
      <c r="AI1250" s="4"/>
      <c r="AJ1250" s="81"/>
      <c r="AK1250" s="81"/>
      <c r="AL1250" s="81"/>
    </row>
    <row r="1251" spans="1:38" s="7" customFormat="1">
      <c r="A1251" s="4"/>
      <c r="B1251" s="4"/>
      <c r="C1251" s="4"/>
      <c r="D1251" s="4"/>
      <c r="E1251" s="4"/>
      <c r="F1251" s="28"/>
      <c r="G1251" s="28"/>
      <c r="H1251" s="83"/>
      <c r="I1251" s="4"/>
      <c r="J1251" s="4"/>
      <c r="K1251" s="4"/>
      <c r="L1251" s="4"/>
      <c r="M1251" s="4"/>
      <c r="N1251" s="28"/>
      <c r="O1251" s="4"/>
      <c r="P1251" s="4"/>
      <c r="Q1251" s="4"/>
      <c r="R1251" s="4"/>
      <c r="S1251" s="4"/>
      <c r="T1251" s="4"/>
      <c r="U1251" s="4"/>
      <c r="V1251" s="4"/>
      <c r="W1251" s="4"/>
      <c r="X1251" s="4"/>
      <c r="Y1251" s="4"/>
      <c r="Z1251" s="4"/>
      <c r="AA1251" s="4"/>
      <c r="AB1251" s="4"/>
      <c r="AC1251" s="4"/>
      <c r="AD1251" s="4"/>
      <c r="AE1251" s="4"/>
      <c r="AF1251" s="81"/>
      <c r="AG1251" s="81"/>
      <c r="AH1251" s="81"/>
      <c r="AI1251" s="4"/>
      <c r="AJ1251" s="81"/>
      <c r="AK1251" s="81"/>
      <c r="AL1251" s="81"/>
    </row>
    <row r="1252" spans="1:38" s="7" customFormat="1">
      <c r="A1252" s="4"/>
      <c r="B1252" s="4"/>
      <c r="C1252" s="4"/>
      <c r="D1252" s="4"/>
      <c r="E1252" s="4"/>
      <c r="F1252" s="28"/>
      <c r="G1252" s="28"/>
      <c r="H1252" s="83"/>
      <c r="I1252" s="4"/>
      <c r="J1252" s="4"/>
      <c r="K1252" s="4"/>
      <c r="L1252" s="4"/>
      <c r="M1252" s="4"/>
      <c r="N1252" s="28"/>
      <c r="O1252" s="4"/>
      <c r="P1252" s="4"/>
      <c r="Q1252" s="4"/>
      <c r="R1252" s="4"/>
      <c r="S1252" s="4"/>
      <c r="T1252" s="4"/>
      <c r="U1252" s="4"/>
      <c r="V1252" s="4"/>
      <c r="W1252" s="4"/>
      <c r="X1252" s="4"/>
      <c r="Y1252" s="4"/>
      <c r="Z1252" s="4"/>
      <c r="AA1252" s="4"/>
      <c r="AB1252" s="4"/>
      <c r="AC1252" s="4"/>
      <c r="AD1252" s="4"/>
      <c r="AE1252" s="4"/>
      <c r="AF1252" s="81"/>
      <c r="AG1252" s="81"/>
      <c r="AH1252" s="81"/>
      <c r="AI1252" s="4"/>
      <c r="AJ1252" s="81"/>
      <c r="AK1252" s="81"/>
      <c r="AL1252" s="81"/>
    </row>
    <row r="1253" spans="1:38" s="7" customFormat="1">
      <c r="A1253" s="4"/>
      <c r="B1253" s="4"/>
      <c r="C1253" s="4"/>
      <c r="D1253" s="4"/>
      <c r="E1253" s="4"/>
      <c r="F1253" s="28"/>
      <c r="G1253" s="28"/>
      <c r="H1253" s="83"/>
      <c r="I1253" s="4"/>
      <c r="J1253" s="4"/>
      <c r="K1253" s="4"/>
      <c r="L1253" s="4"/>
      <c r="M1253" s="4"/>
      <c r="N1253" s="28"/>
      <c r="O1253" s="4"/>
      <c r="P1253" s="4"/>
      <c r="Q1253" s="4"/>
      <c r="R1253" s="4"/>
      <c r="S1253" s="4"/>
      <c r="T1253" s="4"/>
      <c r="U1253" s="4"/>
      <c r="V1253" s="4"/>
      <c r="W1253" s="4"/>
      <c r="X1253" s="4"/>
      <c r="Y1253" s="4"/>
      <c r="Z1253" s="4"/>
      <c r="AA1253" s="4"/>
      <c r="AB1253" s="4"/>
      <c r="AC1253" s="4"/>
      <c r="AD1253" s="4"/>
      <c r="AE1253" s="4"/>
      <c r="AF1253" s="81"/>
      <c r="AG1253" s="81"/>
      <c r="AH1253" s="81"/>
      <c r="AI1253" s="4"/>
      <c r="AJ1253" s="81"/>
      <c r="AK1253" s="81"/>
      <c r="AL1253" s="81"/>
    </row>
    <row r="1254" spans="1:38" s="7" customFormat="1">
      <c r="A1254" s="4"/>
      <c r="B1254" s="4"/>
      <c r="C1254" s="4"/>
      <c r="D1254" s="4"/>
      <c r="E1254" s="4"/>
      <c r="F1254" s="28"/>
      <c r="G1254" s="28"/>
      <c r="H1254" s="83"/>
      <c r="I1254" s="4"/>
      <c r="J1254" s="4"/>
      <c r="K1254" s="4"/>
      <c r="L1254" s="4"/>
      <c r="M1254" s="4"/>
      <c r="N1254" s="28"/>
      <c r="O1254" s="4"/>
      <c r="P1254" s="4"/>
      <c r="Q1254" s="4"/>
      <c r="R1254" s="4"/>
      <c r="S1254" s="4"/>
      <c r="T1254" s="4"/>
      <c r="U1254" s="4"/>
      <c r="V1254" s="4"/>
      <c r="W1254" s="4"/>
      <c r="X1254" s="4"/>
      <c r="Y1254" s="4"/>
      <c r="Z1254" s="4"/>
      <c r="AA1254" s="4"/>
      <c r="AB1254" s="4"/>
      <c r="AC1254" s="4"/>
      <c r="AD1254" s="4"/>
      <c r="AE1254" s="4"/>
      <c r="AF1254" s="81"/>
      <c r="AG1254" s="81"/>
      <c r="AH1254" s="81"/>
      <c r="AI1254" s="4"/>
      <c r="AJ1254" s="81"/>
      <c r="AK1254" s="81"/>
      <c r="AL1254" s="81"/>
    </row>
    <row r="1255" spans="1:38" s="7" customFormat="1">
      <c r="A1255" s="4"/>
      <c r="B1255" s="4"/>
      <c r="C1255" s="4"/>
      <c r="D1255" s="4"/>
      <c r="E1255" s="4"/>
      <c r="F1255" s="28"/>
      <c r="G1255" s="28"/>
      <c r="H1255" s="83"/>
      <c r="I1255" s="4"/>
      <c r="J1255" s="4"/>
      <c r="K1255" s="4"/>
      <c r="L1255" s="4"/>
      <c r="M1255" s="4"/>
      <c r="N1255" s="28"/>
      <c r="O1255" s="4"/>
      <c r="P1255" s="4"/>
      <c r="Q1255" s="4"/>
      <c r="R1255" s="4"/>
      <c r="S1255" s="4"/>
      <c r="T1255" s="4"/>
      <c r="U1255" s="4"/>
      <c r="V1255" s="4"/>
      <c r="W1255" s="4"/>
      <c r="X1255" s="4"/>
      <c r="Y1255" s="4"/>
      <c r="Z1255" s="4"/>
      <c r="AA1255" s="4"/>
      <c r="AB1255" s="4"/>
      <c r="AC1255" s="4"/>
      <c r="AD1255" s="4"/>
      <c r="AE1255" s="4"/>
      <c r="AF1255" s="81"/>
      <c r="AG1255" s="81"/>
      <c r="AH1255" s="81"/>
      <c r="AI1255" s="4"/>
      <c r="AJ1255" s="81"/>
      <c r="AK1255" s="81"/>
      <c r="AL1255" s="81"/>
    </row>
    <row r="1256" spans="1:38" s="7" customFormat="1">
      <c r="A1256" s="4"/>
      <c r="B1256" s="4"/>
      <c r="C1256" s="4"/>
      <c r="D1256" s="4"/>
      <c r="E1256" s="4"/>
      <c r="F1256" s="28"/>
      <c r="G1256" s="28"/>
      <c r="H1256" s="83"/>
      <c r="I1256" s="4"/>
      <c r="J1256" s="4"/>
      <c r="K1256" s="4"/>
      <c r="L1256" s="4"/>
      <c r="M1256" s="4"/>
      <c r="N1256" s="28"/>
      <c r="O1256" s="4"/>
      <c r="P1256" s="4"/>
      <c r="Q1256" s="4"/>
      <c r="R1256" s="4"/>
      <c r="S1256" s="4"/>
      <c r="T1256" s="4"/>
      <c r="U1256" s="4"/>
      <c r="V1256" s="4"/>
      <c r="W1256" s="4"/>
      <c r="X1256" s="4"/>
      <c r="Y1256" s="4"/>
      <c r="Z1256" s="4"/>
      <c r="AA1256" s="4"/>
      <c r="AB1256" s="4"/>
      <c r="AC1256" s="4"/>
      <c r="AD1256" s="4"/>
      <c r="AE1256" s="4"/>
      <c r="AF1256" s="81"/>
      <c r="AG1256" s="81"/>
      <c r="AH1256" s="81"/>
      <c r="AI1256" s="4"/>
      <c r="AJ1256" s="81"/>
      <c r="AK1256" s="81"/>
      <c r="AL1256" s="81"/>
    </row>
    <row r="1257" spans="1:38" s="7" customFormat="1">
      <c r="A1257" s="4"/>
      <c r="B1257" s="4"/>
      <c r="C1257" s="4"/>
      <c r="D1257" s="4"/>
      <c r="E1257" s="4"/>
      <c r="F1257" s="28"/>
      <c r="G1257" s="28"/>
      <c r="H1257" s="83"/>
      <c r="I1257" s="4"/>
      <c r="J1257" s="4"/>
      <c r="K1257" s="4"/>
      <c r="L1257" s="4"/>
      <c r="M1257" s="4"/>
      <c r="N1257" s="28"/>
      <c r="O1257" s="4"/>
      <c r="P1257" s="4"/>
      <c r="Q1257" s="4"/>
      <c r="R1257" s="4"/>
      <c r="S1257" s="4"/>
      <c r="T1257" s="4"/>
      <c r="U1257" s="4"/>
      <c r="V1257" s="4"/>
      <c r="W1257" s="4"/>
      <c r="X1257" s="4"/>
      <c r="Y1257" s="4"/>
      <c r="Z1257" s="4"/>
      <c r="AA1257" s="4"/>
      <c r="AB1257" s="4"/>
      <c r="AC1257" s="4"/>
      <c r="AD1257" s="4"/>
      <c r="AE1257" s="4"/>
      <c r="AF1257" s="81"/>
      <c r="AG1257" s="81"/>
      <c r="AH1257" s="81"/>
      <c r="AI1257" s="4"/>
      <c r="AJ1257" s="81"/>
      <c r="AK1257" s="81"/>
      <c r="AL1257" s="81"/>
    </row>
    <row r="1258" spans="1:38" s="7" customFormat="1">
      <c r="A1258" s="4"/>
      <c r="B1258" s="4"/>
      <c r="C1258" s="4"/>
      <c r="D1258" s="4"/>
      <c r="E1258" s="4"/>
      <c r="F1258" s="28"/>
      <c r="G1258" s="28"/>
      <c r="H1258" s="83"/>
      <c r="I1258" s="4"/>
      <c r="J1258" s="4"/>
      <c r="K1258" s="4"/>
      <c r="L1258" s="4"/>
      <c r="M1258" s="4"/>
      <c r="N1258" s="28"/>
      <c r="O1258" s="4"/>
      <c r="P1258" s="4"/>
      <c r="Q1258" s="4"/>
      <c r="R1258" s="4"/>
      <c r="S1258" s="4"/>
      <c r="T1258" s="4"/>
      <c r="U1258" s="4"/>
      <c r="V1258" s="4"/>
      <c r="W1258" s="4"/>
      <c r="X1258" s="4"/>
      <c r="Y1258" s="4"/>
      <c r="Z1258" s="4"/>
      <c r="AA1258" s="4"/>
      <c r="AB1258" s="4"/>
      <c r="AC1258" s="4"/>
      <c r="AD1258" s="4"/>
      <c r="AE1258" s="4"/>
      <c r="AF1258" s="81"/>
      <c r="AG1258" s="81"/>
      <c r="AH1258" s="81"/>
      <c r="AI1258" s="4"/>
      <c r="AJ1258" s="81"/>
      <c r="AK1258" s="81"/>
      <c r="AL1258" s="81"/>
    </row>
    <row r="1259" spans="1:38" s="7" customFormat="1">
      <c r="A1259" s="4"/>
      <c r="B1259" s="4"/>
      <c r="C1259" s="4"/>
      <c r="D1259" s="4"/>
      <c r="E1259" s="4"/>
      <c r="F1259" s="28"/>
      <c r="G1259" s="28"/>
      <c r="H1259" s="83"/>
      <c r="I1259" s="4"/>
      <c r="J1259" s="4"/>
      <c r="K1259" s="4"/>
      <c r="L1259" s="4"/>
      <c r="M1259" s="4"/>
      <c r="N1259" s="28"/>
      <c r="O1259" s="4"/>
      <c r="P1259" s="4"/>
      <c r="Q1259" s="4"/>
      <c r="R1259" s="4"/>
      <c r="S1259" s="4"/>
      <c r="T1259" s="4"/>
      <c r="U1259" s="4"/>
      <c r="V1259" s="4"/>
      <c r="W1259" s="4"/>
      <c r="X1259" s="4"/>
      <c r="Y1259" s="4"/>
      <c r="Z1259" s="4"/>
      <c r="AA1259" s="4"/>
      <c r="AB1259" s="4"/>
      <c r="AC1259" s="4"/>
      <c r="AD1259" s="4"/>
      <c r="AE1259" s="4"/>
      <c r="AF1259" s="81"/>
      <c r="AG1259" s="81"/>
      <c r="AH1259" s="81"/>
      <c r="AI1259" s="4"/>
      <c r="AJ1259" s="81"/>
      <c r="AK1259" s="81"/>
      <c r="AL1259" s="81"/>
    </row>
    <row r="1260" spans="1:38" s="7" customFormat="1">
      <c r="A1260" s="4"/>
      <c r="B1260" s="4"/>
      <c r="C1260" s="4"/>
      <c r="D1260" s="4"/>
      <c r="E1260" s="4"/>
      <c r="F1260" s="28"/>
      <c r="G1260" s="28"/>
      <c r="H1260" s="83"/>
      <c r="I1260" s="4"/>
      <c r="J1260" s="4"/>
      <c r="K1260" s="4"/>
      <c r="L1260" s="4"/>
      <c r="M1260" s="4"/>
      <c r="N1260" s="28"/>
      <c r="O1260" s="4"/>
      <c r="P1260" s="4"/>
      <c r="Q1260" s="4"/>
      <c r="R1260" s="4"/>
      <c r="S1260" s="4"/>
      <c r="T1260" s="4"/>
      <c r="U1260" s="4"/>
      <c r="V1260" s="4"/>
      <c r="W1260" s="4"/>
      <c r="X1260" s="4"/>
      <c r="Y1260" s="4"/>
      <c r="Z1260" s="4"/>
      <c r="AA1260" s="4"/>
      <c r="AB1260" s="4"/>
      <c r="AC1260" s="4"/>
      <c r="AD1260" s="4"/>
      <c r="AE1260" s="4"/>
      <c r="AF1260" s="81"/>
      <c r="AG1260" s="81"/>
      <c r="AH1260" s="81"/>
      <c r="AI1260" s="4"/>
      <c r="AJ1260" s="81"/>
      <c r="AK1260" s="81"/>
      <c r="AL1260" s="81"/>
    </row>
    <row r="1261" spans="1:38" s="7" customFormat="1">
      <c r="A1261" s="4"/>
      <c r="B1261" s="4"/>
      <c r="C1261" s="4"/>
      <c r="D1261" s="4"/>
      <c r="E1261" s="4"/>
      <c r="F1261" s="28"/>
      <c r="G1261" s="28"/>
      <c r="H1261" s="83"/>
      <c r="I1261" s="4"/>
      <c r="J1261" s="4"/>
      <c r="K1261" s="4"/>
      <c r="L1261" s="4"/>
      <c r="M1261" s="4"/>
      <c r="N1261" s="28"/>
      <c r="O1261" s="4"/>
      <c r="P1261" s="4"/>
      <c r="Q1261" s="4"/>
      <c r="R1261" s="4"/>
      <c r="S1261" s="4"/>
      <c r="T1261" s="4"/>
      <c r="U1261" s="4"/>
      <c r="V1261" s="4"/>
      <c r="W1261" s="4"/>
      <c r="X1261" s="4"/>
      <c r="Y1261" s="4"/>
      <c r="Z1261" s="4"/>
      <c r="AA1261" s="4"/>
      <c r="AB1261" s="4"/>
      <c r="AC1261" s="4"/>
      <c r="AD1261" s="4"/>
      <c r="AE1261" s="4"/>
      <c r="AF1261" s="81"/>
      <c r="AG1261" s="81"/>
      <c r="AH1261" s="81"/>
      <c r="AI1261" s="4"/>
      <c r="AJ1261" s="81"/>
      <c r="AK1261" s="81"/>
      <c r="AL1261" s="81"/>
    </row>
    <row r="1262" spans="1:38" s="7" customFormat="1">
      <c r="A1262" s="4"/>
      <c r="B1262" s="4"/>
      <c r="C1262" s="4"/>
      <c r="D1262" s="4"/>
      <c r="E1262" s="4"/>
      <c r="F1262" s="28"/>
      <c r="G1262" s="28"/>
      <c r="H1262" s="83"/>
      <c r="I1262" s="4"/>
      <c r="J1262" s="4"/>
      <c r="K1262" s="4"/>
      <c r="L1262" s="4"/>
      <c r="M1262" s="4"/>
      <c r="N1262" s="28"/>
      <c r="O1262" s="4"/>
      <c r="P1262" s="4"/>
      <c r="Q1262" s="4"/>
      <c r="R1262" s="4"/>
      <c r="S1262" s="4"/>
      <c r="T1262" s="4"/>
      <c r="U1262" s="4"/>
      <c r="V1262" s="4"/>
      <c r="W1262" s="4"/>
      <c r="X1262" s="4"/>
      <c r="Y1262" s="4"/>
      <c r="Z1262" s="4"/>
      <c r="AA1262" s="4"/>
      <c r="AB1262" s="4"/>
      <c r="AC1262" s="4"/>
      <c r="AD1262" s="4"/>
      <c r="AE1262" s="4"/>
      <c r="AF1262" s="81"/>
      <c r="AG1262" s="81"/>
      <c r="AH1262" s="81"/>
      <c r="AI1262" s="4"/>
      <c r="AJ1262" s="81"/>
      <c r="AK1262" s="81"/>
      <c r="AL1262" s="81"/>
    </row>
    <row r="1263" spans="1:38" s="7" customFormat="1">
      <c r="A1263" s="4"/>
      <c r="B1263" s="4"/>
      <c r="C1263" s="4"/>
      <c r="D1263" s="4"/>
      <c r="E1263" s="4"/>
      <c r="F1263" s="28"/>
      <c r="G1263" s="28"/>
      <c r="H1263" s="83"/>
      <c r="I1263" s="4"/>
      <c r="J1263" s="4"/>
      <c r="K1263" s="4"/>
      <c r="L1263" s="4"/>
      <c r="M1263" s="4"/>
      <c r="N1263" s="28"/>
      <c r="O1263" s="4"/>
      <c r="P1263" s="4"/>
      <c r="Q1263" s="4"/>
      <c r="R1263" s="4"/>
      <c r="S1263" s="4"/>
      <c r="T1263" s="4"/>
      <c r="U1263" s="4"/>
      <c r="V1263" s="4"/>
      <c r="W1263" s="4"/>
      <c r="X1263" s="4"/>
      <c r="Y1263" s="4"/>
      <c r="Z1263" s="4"/>
      <c r="AA1263" s="4"/>
      <c r="AB1263" s="4"/>
      <c r="AC1263" s="4"/>
      <c r="AD1263" s="4"/>
      <c r="AE1263" s="4"/>
      <c r="AF1263" s="81"/>
      <c r="AG1263" s="81"/>
      <c r="AH1263" s="81"/>
      <c r="AI1263" s="4"/>
      <c r="AJ1263" s="81"/>
      <c r="AK1263" s="81"/>
      <c r="AL1263" s="81"/>
    </row>
    <row r="1264" spans="1:38" s="7" customFormat="1">
      <c r="A1264" s="4"/>
      <c r="B1264" s="4"/>
      <c r="C1264" s="4"/>
      <c r="D1264" s="4"/>
      <c r="E1264" s="4"/>
      <c r="F1264" s="28"/>
      <c r="G1264" s="28"/>
      <c r="H1264" s="83"/>
      <c r="I1264" s="4"/>
      <c r="J1264" s="4"/>
      <c r="K1264" s="4"/>
      <c r="L1264" s="4"/>
      <c r="M1264" s="4"/>
      <c r="N1264" s="28"/>
      <c r="O1264" s="4"/>
      <c r="P1264" s="4"/>
      <c r="Q1264" s="4"/>
      <c r="R1264" s="4"/>
      <c r="S1264" s="4"/>
      <c r="T1264" s="4"/>
      <c r="U1264" s="4"/>
      <c r="V1264" s="4"/>
      <c r="W1264" s="4"/>
      <c r="X1264" s="4"/>
      <c r="Y1264" s="4"/>
      <c r="Z1264" s="4"/>
      <c r="AA1264" s="4"/>
      <c r="AB1264" s="4"/>
      <c r="AC1264" s="4"/>
      <c r="AD1264" s="4"/>
      <c r="AE1264" s="4"/>
      <c r="AF1264" s="81"/>
      <c r="AG1264" s="81"/>
      <c r="AH1264" s="81"/>
      <c r="AI1264" s="4"/>
      <c r="AJ1264" s="81"/>
      <c r="AK1264" s="81"/>
      <c r="AL1264" s="81"/>
    </row>
    <row r="1265" spans="1:38" s="7" customFormat="1">
      <c r="A1265" s="4"/>
      <c r="B1265" s="4"/>
      <c r="C1265" s="4"/>
      <c r="D1265" s="4"/>
      <c r="E1265" s="4"/>
      <c r="F1265" s="28"/>
      <c r="G1265" s="28"/>
      <c r="H1265" s="83"/>
      <c r="I1265" s="4"/>
      <c r="J1265" s="4"/>
      <c r="K1265" s="4"/>
      <c r="L1265" s="4"/>
      <c r="M1265" s="4"/>
      <c r="N1265" s="28"/>
      <c r="O1265" s="4"/>
      <c r="P1265" s="4"/>
      <c r="Q1265" s="4"/>
      <c r="R1265" s="4"/>
      <c r="S1265" s="4"/>
      <c r="T1265" s="4"/>
      <c r="U1265" s="4"/>
      <c r="V1265" s="4"/>
      <c r="W1265" s="4"/>
      <c r="X1265" s="4"/>
      <c r="Y1265" s="4"/>
      <c r="Z1265" s="4"/>
      <c r="AA1265" s="4"/>
      <c r="AB1265" s="4"/>
      <c r="AC1265" s="4"/>
      <c r="AD1265" s="4"/>
      <c r="AE1265" s="4"/>
      <c r="AF1265" s="81"/>
      <c r="AG1265" s="81"/>
      <c r="AH1265" s="81"/>
      <c r="AI1265" s="4"/>
      <c r="AJ1265" s="81"/>
      <c r="AK1265" s="81"/>
      <c r="AL1265" s="81"/>
    </row>
    <row r="1266" spans="1:38" s="7" customFormat="1">
      <c r="A1266" s="4"/>
      <c r="B1266" s="4"/>
      <c r="C1266" s="4"/>
      <c r="D1266" s="4"/>
      <c r="E1266" s="4"/>
      <c r="F1266" s="28"/>
      <c r="G1266" s="28"/>
      <c r="H1266" s="83"/>
      <c r="I1266" s="4"/>
      <c r="J1266" s="4"/>
      <c r="K1266" s="4"/>
      <c r="L1266" s="4"/>
      <c r="M1266" s="4"/>
      <c r="N1266" s="28"/>
      <c r="O1266" s="4"/>
      <c r="P1266" s="4"/>
      <c r="Q1266" s="4"/>
      <c r="R1266" s="4"/>
      <c r="S1266" s="4"/>
      <c r="T1266" s="4"/>
      <c r="U1266" s="4"/>
      <c r="V1266" s="4"/>
      <c r="W1266" s="4"/>
      <c r="X1266" s="4"/>
      <c r="Y1266" s="4"/>
      <c r="Z1266" s="4"/>
      <c r="AA1266" s="4"/>
      <c r="AB1266" s="4"/>
      <c r="AC1266" s="4"/>
      <c r="AD1266" s="4"/>
      <c r="AE1266" s="4"/>
      <c r="AF1266" s="81"/>
      <c r="AG1266" s="81"/>
      <c r="AH1266" s="81"/>
      <c r="AI1266" s="4"/>
      <c r="AJ1266" s="81"/>
      <c r="AK1266" s="81"/>
      <c r="AL1266" s="81"/>
    </row>
    <row r="1267" spans="1:38" s="7" customFormat="1">
      <c r="A1267" s="4"/>
      <c r="B1267" s="4"/>
      <c r="C1267" s="4"/>
      <c r="D1267" s="4"/>
      <c r="E1267" s="4"/>
      <c r="F1267" s="28"/>
      <c r="G1267" s="28"/>
      <c r="H1267" s="83"/>
      <c r="I1267" s="4"/>
      <c r="J1267" s="4"/>
      <c r="K1267" s="4"/>
      <c r="L1267" s="4"/>
      <c r="M1267" s="4"/>
      <c r="N1267" s="28"/>
      <c r="O1267" s="4"/>
      <c r="P1267" s="4"/>
      <c r="Q1267" s="4"/>
      <c r="R1267" s="4"/>
      <c r="S1267" s="4"/>
      <c r="T1267" s="4"/>
      <c r="U1267" s="4"/>
      <c r="V1267" s="4"/>
      <c r="W1267" s="4"/>
      <c r="X1267" s="4"/>
      <c r="Y1267" s="4"/>
      <c r="Z1267" s="4"/>
      <c r="AA1267" s="4"/>
      <c r="AB1267" s="4"/>
      <c r="AC1267" s="4"/>
      <c r="AD1267" s="4"/>
      <c r="AE1267" s="4"/>
      <c r="AF1267" s="81"/>
      <c r="AG1267" s="81"/>
      <c r="AH1267" s="81"/>
      <c r="AI1267" s="4"/>
      <c r="AJ1267" s="81"/>
      <c r="AK1267" s="81"/>
      <c r="AL1267" s="81"/>
    </row>
    <row r="1268" spans="1:38" s="7" customFormat="1">
      <c r="A1268" s="4"/>
      <c r="B1268" s="4"/>
      <c r="C1268" s="4"/>
      <c r="D1268" s="4"/>
      <c r="E1268" s="4"/>
      <c r="F1268" s="28"/>
      <c r="G1268" s="28"/>
      <c r="H1268" s="83"/>
      <c r="I1268" s="4"/>
      <c r="J1268" s="4"/>
      <c r="K1268" s="4"/>
      <c r="L1268" s="4"/>
      <c r="M1268" s="4"/>
      <c r="N1268" s="28"/>
      <c r="O1268" s="4"/>
      <c r="P1268" s="4"/>
      <c r="Q1268" s="4"/>
      <c r="R1268" s="4"/>
      <c r="S1268" s="4"/>
      <c r="T1268" s="4"/>
      <c r="U1268" s="4"/>
      <c r="V1268" s="4"/>
      <c r="W1268" s="4"/>
      <c r="X1268" s="4"/>
      <c r="Y1268" s="4"/>
      <c r="Z1268" s="4"/>
      <c r="AA1268" s="4"/>
      <c r="AB1268" s="4"/>
      <c r="AC1268" s="4"/>
      <c r="AD1268" s="4"/>
      <c r="AE1268" s="4"/>
      <c r="AF1268" s="81"/>
      <c r="AG1268" s="81"/>
      <c r="AH1268" s="81"/>
      <c r="AI1268" s="4"/>
      <c r="AJ1268" s="81"/>
      <c r="AK1268" s="81"/>
      <c r="AL1268" s="81"/>
    </row>
    <row r="1269" spans="1:38" s="7" customFormat="1">
      <c r="A1269" s="4"/>
      <c r="B1269" s="4"/>
      <c r="C1269" s="4"/>
      <c r="D1269" s="4"/>
      <c r="E1269" s="4"/>
      <c r="F1269" s="28"/>
      <c r="G1269" s="28"/>
      <c r="H1269" s="83"/>
      <c r="I1269" s="4"/>
      <c r="J1269" s="4"/>
      <c r="K1269" s="4"/>
      <c r="L1269" s="4"/>
      <c r="M1269" s="4"/>
      <c r="N1269" s="28"/>
      <c r="O1269" s="4"/>
      <c r="P1269" s="4"/>
      <c r="Q1269" s="4"/>
      <c r="R1269" s="4"/>
      <c r="S1269" s="4"/>
      <c r="T1269" s="4"/>
      <c r="U1269" s="4"/>
      <c r="V1269" s="4"/>
      <c r="W1269" s="4"/>
      <c r="X1269" s="4"/>
      <c r="Y1269" s="4"/>
      <c r="Z1269" s="4"/>
      <c r="AA1269" s="4"/>
      <c r="AB1269" s="4"/>
      <c r="AC1269" s="4"/>
      <c r="AD1269" s="4"/>
      <c r="AE1269" s="4"/>
      <c r="AF1269" s="81"/>
      <c r="AG1269" s="81"/>
      <c r="AH1269" s="81"/>
      <c r="AI1269" s="4"/>
      <c r="AJ1269" s="81"/>
      <c r="AK1269" s="81"/>
      <c r="AL1269" s="81"/>
    </row>
    <row r="1270" spans="1:38" s="7" customFormat="1">
      <c r="A1270" s="4"/>
      <c r="B1270" s="4"/>
      <c r="C1270" s="4"/>
      <c r="D1270" s="4"/>
      <c r="E1270" s="4"/>
      <c r="F1270" s="28"/>
      <c r="G1270" s="28"/>
      <c r="H1270" s="83"/>
      <c r="I1270" s="4"/>
      <c r="J1270" s="4"/>
      <c r="K1270" s="4"/>
      <c r="L1270" s="4"/>
      <c r="M1270" s="4"/>
      <c r="N1270" s="28"/>
      <c r="O1270" s="4"/>
      <c r="P1270" s="4"/>
      <c r="Q1270" s="4"/>
      <c r="R1270" s="4"/>
      <c r="S1270" s="4"/>
      <c r="T1270" s="4"/>
      <c r="U1270" s="4"/>
      <c r="V1270" s="4"/>
      <c r="W1270" s="4"/>
      <c r="X1270" s="4"/>
      <c r="Y1270" s="4"/>
      <c r="Z1270" s="4"/>
      <c r="AA1270" s="4"/>
      <c r="AB1270" s="4"/>
      <c r="AC1270" s="4"/>
      <c r="AD1270" s="4"/>
      <c r="AE1270" s="4"/>
      <c r="AF1270" s="81"/>
      <c r="AG1270" s="81"/>
      <c r="AH1270" s="81"/>
      <c r="AI1270" s="4"/>
      <c r="AJ1270" s="81"/>
      <c r="AK1270" s="81"/>
      <c r="AL1270" s="81"/>
    </row>
    <row r="1271" spans="1:38" s="7" customFormat="1">
      <c r="A1271" s="4"/>
      <c r="B1271" s="4"/>
      <c r="C1271" s="4"/>
      <c r="D1271" s="4"/>
      <c r="E1271" s="4"/>
      <c r="F1271" s="28"/>
      <c r="G1271" s="28"/>
      <c r="H1271" s="83"/>
      <c r="I1271" s="4"/>
      <c r="J1271" s="4"/>
      <c r="K1271" s="4"/>
      <c r="L1271" s="4"/>
      <c r="M1271" s="4"/>
      <c r="N1271" s="28"/>
      <c r="O1271" s="4"/>
      <c r="P1271" s="4"/>
      <c r="Q1271" s="4"/>
      <c r="R1271" s="4"/>
      <c r="S1271" s="4"/>
      <c r="T1271" s="4"/>
      <c r="U1271" s="4"/>
      <c r="V1271" s="4"/>
      <c r="W1271" s="4"/>
      <c r="X1271" s="4"/>
      <c r="Y1271" s="4"/>
      <c r="Z1271" s="4"/>
      <c r="AA1271" s="4"/>
      <c r="AB1271" s="4"/>
      <c r="AC1271" s="4"/>
      <c r="AD1271" s="4"/>
      <c r="AE1271" s="4"/>
      <c r="AF1271" s="81"/>
      <c r="AG1271" s="81"/>
      <c r="AH1271" s="81"/>
      <c r="AI1271" s="4"/>
      <c r="AJ1271" s="81"/>
      <c r="AK1271" s="81"/>
      <c r="AL1271" s="81"/>
    </row>
    <row r="1272" spans="1:38" s="7" customFormat="1">
      <c r="A1272" s="4"/>
      <c r="B1272" s="4"/>
      <c r="C1272" s="4"/>
      <c r="D1272" s="4"/>
      <c r="E1272" s="4"/>
      <c r="F1272" s="28"/>
      <c r="G1272" s="28"/>
      <c r="H1272" s="83"/>
      <c r="I1272" s="4"/>
      <c r="J1272" s="4"/>
      <c r="K1272" s="4"/>
      <c r="L1272" s="4"/>
      <c r="M1272" s="4"/>
      <c r="N1272" s="28"/>
      <c r="O1272" s="4"/>
      <c r="P1272" s="4"/>
      <c r="Q1272" s="4"/>
      <c r="R1272" s="4"/>
      <c r="S1272" s="4"/>
      <c r="T1272" s="4"/>
      <c r="U1272" s="4"/>
      <c r="V1272" s="4"/>
      <c r="W1272" s="4"/>
      <c r="X1272" s="4"/>
      <c r="Y1272" s="4"/>
      <c r="Z1272" s="4"/>
      <c r="AA1272" s="4"/>
      <c r="AB1272" s="4"/>
      <c r="AC1272" s="4"/>
      <c r="AD1272" s="4"/>
      <c r="AE1272" s="4"/>
      <c r="AF1272" s="81"/>
      <c r="AG1272" s="81"/>
      <c r="AH1272" s="81"/>
      <c r="AI1272" s="4"/>
      <c r="AJ1272" s="81"/>
      <c r="AK1272" s="81"/>
      <c r="AL1272" s="81"/>
    </row>
    <row r="1273" spans="1:38" s="7" customFormat="1">
      <c r="A1273" s="4"/>
      <c r="B1273" s="4"/>
      <c r="C1273" s="4"/>
      <c r="D1273" s="4"/>
      <c r="E1273" s="4"/>
      <c r="F1273" s="28"/>
      <c r="G1273" s="28"/>
      <c r="H1273" s="83"/>
      <c r="I1273" s="4"/>
      <c r="J1273" s="4"/>
      <c r="K1273" s="4"/>
      <c r="L1273" s="4"/>
      <c r="M1273" s="4"/>
      <c r="N1273" s="28"/>
      <c r="O1273" s="4"/>
      <c r="P1273" s="4"/>
      <c r="Q1273" s="4"/>
      <c r="R1273" s="4"/>
      <c r="S1273" s="4"/>
      <c r="T1273" s="4"/>
      <c r="U1273" s="4"/>
      <c r="V1273" s="4"/>
      <c r="W1273" s="4"/>
      <c r="X1273" s="4"/>
      <c r="Y1273" s="4"/>
      <c r="Z1273" s="4"/>
      <c r="AA1273" s="4"/>
      <c r="AB1273" s="4"/>
      <c r="AC1273" s="4"/>
      <c r="AD1273" s="4"/>
      <c r="AE1273" s="4"/>
      <c r="AF1273" s="81"/>
      <c r="AG1273" s="81"/>
      <c r="AH1273" s="81"/>
      <c r="AI1273" s="4"/>
      <c r="AJ1273" s="81"/>
      <c r="AK1273" s="81"/>
      <c r="AL1273" s="81"/>
    </row>
    <row r="1274" spans="1:38" s="7" customFormat="1">
      <c r="A1274" s="4"/>
      <c r="B1274" s="4"/>
      <c r="C1274" s="4"/>
      <c r="D1274" s="4"/>
      <c r="E1274" s="4"/>
      <c r="F1274" s="28"/>
      <c r="G1274" s="28"/>
      <c r="H1274" s="83"/>
      <c r="I1274" s="4"/>
      <c r="J1274" s="4"/>
      <c r="K1274" s="4"/>
      <c r="L1274" s="4"/>
      <c r="M1274" s="4"/>
      <c r="N1274" s="28"/>
      <c r="O1274" s="4"/>
      <c r="P1274" s="4"/>
      <c r="Q1274" s="4"/>
      <c r="R1274" s="4"/>
      <c r="S1274" s="4"/>
      <c r="T1274" s="4"/>
      <c r="U1274" s="4"/>
      <c r="V1274" s="4"/>
      <c r="W1274" s="4"/>
      <c r="X1274" s="4"/>
      <c r="Y1274" s="4"/>
      <c r="Z1274" s="4"/>
      <c r="AA1274" s="4"/>
      <c r="AB1274" s="4"/>
      <c r="AC1274" s="4"/>
      <c r="AD1274" s="4"/>
      <c r="AE1274" s="4"/>
      <c r="AF1274" s="81"/>
      <c r="AG1274" s="81"/>
      <c r="AH1274" s="81"/>
      <c r="AI1274" s="4"/>
      <c r="AJ1274" s="81"/>
      <c r="AK1274" s="81"/>
      <c r="AL1274" s="81"/>
    </row>
    <row r="1275" spans="1:38" s="7" customFormat="1">
      <c r="C1275" s="4"/>
      <c r="D1275" s="4"/>
      <c r="E1275" s="4"/>
      <c r="F1275" s="28"/>
      <c r="G1275" s="28"/>
      <c r="H1275" s="83"/>
      <c r="I1275" s="4"/>
      <c r="J1275" s="4"/>
      <c r="K1275" s="4"/>
    </row>
    <row r="1276" spans="1:38" s="7" customFormat="1">
      <c r="C1276" s="4"/>
      <c r="D1276" s="4"/>
      <c r="E1276" s="4"/>
      <c r="F1276" s="28"/>
      <c r="G1276" s="28"/>
      <c r="H1276" s="83"/>
      <c r="I1276" s="4"/>
      <c r="J1276" s="4"/>
      <c r="K1276" s="4"/>
    </row>
    <row r="1277" spans="1:38" s="7" customFormat="1">
      <c r="C1277" s="4"/>
      <c r="D1277" s="4"/>
      <c r="E1277" s="4"/>
      <c r="F1277" s="28"/>
      <c r="G1277" s="28"/>
      <c r="H1277" s="83"/>
      <c r="I1277" s="4"/>
      <c r="J1277" s="4"/>
      <c r="K1277" s="4"/>
    </row>
    <row r="1278" spans="1:38" s="7" customFormat="1">
      <c r="C1278" s="4"/>
      <c r="D1278" s="4"/>
      <c r="E1278" s="4"/>
      <c r="F1278" s="28"/>
      <c r="G1278" s="28"/>
      <c r="H1278" s="83"/>
      <c r="I1278" s="4"/>
      <c r="J1278" s="4"/>
      <c r="K1278" s="4"/>
    </row>
    <row r="1279" spans="1:38" s="7" customFormat="1">
      <c r="C1279" s="4"/>
      <c r="D1279" s="4"/>
      <c r="E1279" s="4"/>
      <c r="F1279" s="28"/>
      <c r="G1279" s="28"/>
      <c r="H1279" s="83"/>
      <c r="I1279" s="4"/>
      <c r="J1279" s="4"/>
      <c r="K1279" s="4"/>
    </row>
    <row r="1280" spans="1:38" s="7" customFormat="1">
      <c r="C1280" s="4"/>
      <c r="D1280" s="4"/>
      <c r="E1280" s="4"/>
      <c r="F1280" s="28"/>
      <c r="G1280" s="28"/>
      <c r="H1280" s="83"/>
      <c r="I1280" s="4"/>
      <c r="J1280" s="4"/>
      <c r="K1280" s="4"/>
    </row>
    <row r="1281" spans="3:11" s="7" customFormat="1">
      <c r="C1281" s="4"/>
      <c r="D1281" s="4"/>
      <c r="E1281" s="4"/>
      <c r="F1281" s="28"/>
      <c r="G1281" s="28"/>
      <c r="H1281" s="83"/>
      <c r="I1281" s="4"/>
      <c r="J1281" s="4"/>
      <c r="K1281" s="4"/>
    </row>
    <row r="1282" spans="3:11" s="7" customFormat="1">
      <c r="C1282" s="4"/>
      <c r="D1282" s="4"/>
      <c r="E1282" s="4"/>
      <c r="F1282" s="28"/>
      <c r="G1282" s="28"/>
      <c r="H1282" s="83"/>
      <c r="I1282" s="4"/>
      <c r="J1282" s="4"/>
      <c r="K1282" s="4"/>
    </row>
    <row r="1283" spans="3:11" s="7" customFormat="1">
      <c r="C1283" s="4"/>
      <c r="D1283" s="4"/>
      <c r="E1283" s="4"/>
      <c r="F1283" s="28"/>
      <c r="G1283" s="28"/>
      <c r="H1283" s="83"/>
      <c r="I1283" s="4"/>
      <c r="J1283" s="4"/>
      <c r="K1283" s="4"/>
    </row>
    <row r="1284" spans="3:11" s="7" customFormat="1">
      <c r="C1284" s="4"/>
      <c r="D1284" s="4"/>
      <c r="E1284" s="4"/>
      <c r="F1284" s="28"/>
      <c r="G1284" s="28"/>
      <c r="H1284" s="83"/>
      <c r="I1284" s="4"/>
      <c r="J1284" s="4"/>
      <c r="K1284" s="4"/>
    </row>
    <row r="1285" spans="3:11" s="7" customFormat="1">
      <c r="C1285" s="4"/>
      <c r="D1285" s="4"/>
      <c r="E1285" s="4"/>
      <c r="F1285" s="28"/>
      <c r="G1285" s="28"/>
      <c r="H1285" s="83"/>
      <c r="I1285" s="4"/>
      <c r="J1285" s="4"/>
      <c r="K1285" s="4"/>
    </row>
    <row r="1286" spans="3:11" s="7" customFormat="1">
      <c r="C1286" s="4"/>
      <c r="D1286" s="4"/>
      <c r="E1286" s="4"/>
      <c r="F1286" s="28"/>
      <c r="G1286" s="28"/>
      <c r="H1286" s="83"/>
      <c r="I1286" s="4"/>
      <c r="J1286" s="4"/>
      <c r="K1286" s="4"/>
    </row>
    <row r="1287" spans="3:11" s="7" customFormat="1">
      <c r="C1287" s="4"/>
      <c r="D1287" s="4"/>
      <c r="E1287" s="4"/>
      <c r="F1287" s="28"/>
      <c r="G1287" s="28"/>
      <c r="H1287" s="83"/>
      <c r="I1287" s="4"/>
      <c r="J1287" s="4"/>
      <c r="K1287" s="4"/>
    </row>
    <row r="1288" spans="3:11" s="7" customFormat="1">
      <c r="C1288" s="4"/>
      <c r="D1288" s="4"/>
      <c r="E1288" s="4"/>
      <c r="F1288" s="28"/>
      <c r="G1288" s="28"/>
      <c r="H1288" s="83"/>
      <c r="I1288" s="4"/>
      <c r="J1288" s="4"/>
      <c r="K1288" s="4"/>
    </row>
    <row r="1289" spans="3:11" s="7" customFormat="1">
      <c r="C1289" s="4"/>
      <c r="D1289" s="4"/>
      <c r="E1289" s="4"/>
      <c r="F1289" s="28"/>
      <c r="G1289" s="28"/>
      <c r="H1289" s="83"/>
      <c r="I1289" s="4"/>
      <c r="J1289" s="4"/>
      <c r="K1289" s="4"/>
    </row>
    <row r="1290" spans="3:11" s="7" customFormat="1">
      <c r="C1290" s="4"/>
      <c r="D1290" s="4"/>
      <c r="E1290" s="4"/>
      <c r="F1290" s="28"/>
      <c r="G1290" s="28"/>
      <c r="H1290" s="83"/>
      <c r="I1290" s="4"/>
      <c r="J1290" s="4"/>
      <c r="K1290" s="4"/>
    </row>
    <row r="1291" spans="3:11" s="7" customFormat="1">
      <c r="C1291" s="4"/>
      <c r="D1291" s="4"/>
      <c r="E1291" s="4"/>
      <c r="F1291" s="28"/>
      <c r="G1291" s="28"/>
      <c r="H1291" s="83"/>
      <c r="I1291" s="4"/>
      <c r="J1291" s="4"/>
      <c r="K1291" s="4"/>
    </row>
    <row r="1292" spans="3:11" s="7" customFormat="1"/>
    <row r="1293" spans="3:11" s="7" customFormat="1"/>
    <row r="1294" spans="3:11" s="7" customFormat="1"/>
    <row r="1295" spans="3:11" s="7" customFormat="1"/>
    <row r="1296" spans="3:11" s="7" customFormat="1"/>
    <row r="1297" spans="3:11" s="7" customFormat="1"/>
    <row r="1298" spans="3:11" s="7" customFormat="1"/>
    <row r="1299" spans="3:11" s="7" customFormat="1"/>
    <row r="1300" spans="3:11" s="7" customFormat="1"/>
    <row r="1301" spans="3:11" s="7" customFormat="1"/>
    <row r="1302" spans="3:11" s="7" customFormat="1">
      <c r="C1302" s="118"/>
      <c r="D1302" s="118"/>
      <c r="E1302" s="118"/>
      <c r="F1302" s="118"/>
      <c r="G1302" s="118"/>
      <c r="H1302" s="118"/>
      <c r="I1302" s="118"/>
      <c r="J1302" s="118"/>
      <c r="K1302" s="118"/>
    </row>
    <row r="1303" spans="3:11" s="7" customFormat="1">
      <c r="C1303" s="118"/>
      <c r="D1303" s="118"/>
      <c r="E1303" s="118"/>
      <c r="F1303" s="118"/>
      <c r="G1303" s="118"/>
      <c r="H1303" s="118"/>
      <c r="I1303" s="118"/>
      <c r="J1303" s="118"/>
      <c r="K1303" s="118"/>
    </row>
    <row r="1304" spans="3:11" s="7" customFormat="1">
      <c r="C1304" s="118"/>
      <c r="D1304" s="118"/>
      <c r="E1304" s="118"/>
      <c r="F1304" s="118"/>
      <c r="G1304" s="118"/>
      <c r="H1304" s="118"/>
      <c r="I1304" s="118"/>
      <c r="J1304" s="118"/>
      <c r="K1304" s="118"/>
    </row>
    <row r="1305" spans="3:11" s="7" customFormat="1">
      <c r="C1305" s="118"/>
      <c r="D1305" s="118"/>
      <c r="E1305" s="118"/>
      <c r="F1305" s="118"/>
      <c r="G1305" s="118"/>
      <c r="H1305" s="118"/>
      <c r="I1305" s="118"/>
      <c r="J1305" s="118"/>
      <c r="K1305" s="118"/>
    </row>
    <row r="1306" spans="3:11" s="7" customFormat="1">
      <c r="C1306" s="118"/>
      <c r="D1306" s="118"/>
      <c r="E1306" s="118"/>
      <c r="F1306" s="118"/>
      <c r="G1306" s="118"/>
      <c r="H1306" s="118"/>
      <c r="I1306" s="118"/>
      <c r="J1306" s="118"/>
      <c r="K1306" s="118"/>
    </row>
    <row r="1307" spans="3:11" s="7" customFormat="1">
      <c r="C1307" s="118"/>
      <c r="D1307" s="118"/>
      <c r="E1307" s="118"/>
      <c r="F1307" s="118"/>
      <c r="G1307" s="118"/>
      <c r="H1307" s="118"/>
      <c r="I1307" s="118"/>
      <c r="J1307" s="118"/>
      <c r="K1307" s="118"/>
    </row>
    <row r="1308" spans="3:11" s="7" customFormat="1">
      <c r="C1308" s="118"/>
      <c r="D1308" s="118"/>
      <c r="E1308" s="118"/>
      <c r="F1308" s="118"/>
      <c r="G1308" s="118"/>
      <c r="H1308" s="118"/>
      <c r="I1308" s="118"/>
      <c r="J1308" s="118"/>
      <c r="K1308" s="118"/>
    </row>
    <row r="1309" spans="3:11" s="7" customFormat="1">
      <c r="C1309" s="118"/>
      <c r="D1309" s="118"/>
      <c r="E1309" s="118"/>
      <c r="F1309" s="118"/>
      <c r="G1309" s="118"/>
      <c r="H1309" s="118"/>
      <c r="I1309" s="118"/>
      <c r="J1309" s="118"/>
      <c r="K1309" s="118"/>
    </row>
    <row r="1310" spans="3:11" s="7" customFormat="1">
      <c r="C1310" s="118"/>
      <c r="D1310" s="118"/>
      <c r="E1310" s="118"/>
      <c r="F1310" s="118"/>
      <c r="G1310" s="118"/>
      <c r="H1310" s="118"/>
      <c r="I1310" s="118"/>
      <c r="J1310" s="118"/>
      <c r="K1310" s="118"/>
    </row>
    <row r="1311" spans="3:11" s="7" customFormat="1">
      <c r="C1311" s="118"/>
      <c r="D1311" s="118"/>
      <c r="E1311" s="118"/>
      <c r="F1311" s="118"/>
      <c r="G1311" s="118"/>
      <c r="H1311" s="118"/>
      <c r="I1311" s="118"/>
      <c r="J1311" s="118"/>
      <c r="K1311" s="118"/>
    </row>
    <row r="1312" spans="3:11" s="7" customFormat="1">
      <c r="C1312" s="118"/>
      <c r="D1312" s="118"/>
      <c r="E1312" s="118"/>
      <c r="F1312" s="118"/>
      <c r="G1312" s="118"/>
      <c r="H1312" s="118"/>
      <c r="I1312" s="118"/>
      <c r="J1312" s="118"/>
      <c r="K1312" s="118"/>
    </row>
    <row r="1313" spans="1:50" s="7" customFormat="1">
      <c r="C1313" s="118"/>
      <c r="D1313" s="118"/>
      <c r="E1313" s="118"/>
      <c r="F1313" s="118"/>
      <c r="G1313" s="118"/>
      <c r="H1313" s="118"/>
      <c r="I1313" s="118"/>
      <c r="J1313" s="118"/>
      <c r="K1313" s="118"/>
    </row>
    <row r="1314" spans="1:50" s="7" customFormat="1">
      <c r="C1314" s="118"/>
      <c r="D1314" s="118"/>
      <c r="E1314" s="118"/>
      <c r="F1314" s="118"/>
      <c r="G1314" s="118"/>
      <c r="H1314" s="118"/>
      <c r="I1314" s="118"/>
      <c r="J1314" s="118"/>
      <c r="K1314" s="118"/>
    </row>
    <row r="1315" spans="1:50" s="7" customFormat="1">
      <c r="C1315" s="118"/>
      <c r="D1315" s="118"/>
      <c r="E1315" s="118"/>
      <c r="F1315" s="118"/>
      <c r="G1315" s="118"/>
      <c r="H1315" s="118"/>
      <c r="I1315" s="118"/>
      <c r="J1315" s="118"/>
      <c r="K1315" s="118"/>
    </row>
    <row r="1316" spans="1:50" s="7" customFormat="1">
      <c r="C1316" s="118"/>
      <c r="D1316" s="118"/>
      <c r="E1316" s="118"/>
      <c r="F1316" s="118"/>
      <c r="G1316" s="118"/>
      <c r="H1316" s="118"/>
      <c r="I1316" s="118"/>
      <c r="J1316" s="118"/>
      <c r="K1316" s="118"/>
    </row>
    <row r="1317" spans="1:50" s="7" customFormat="1">
      <c r="C1317" s="118"/>
      <c r="D1317" s="118"/>
      <c r="E1317" s="118"/>
      <c r="F1317" s="118"/>
      <c r="G1317" s="118"/>
      <c r="H1317" s="118"/>
      <c r="I1317" s="118"/>
      <c r="J1317" s="118"/>
      <c r="K1317" s="118"/>
    </row>
    <row r="1318" spans="1:50" s="7" customFormat="1">
      <c r="C1318" s="118"/>
      <c r="D1318" s="118"/>
      <c r="E1318" s="118"/>
      <c r="F1318" s="118"/>
      <c r="G1318" s="118"/>
      <c r="H1318" s="118"/>
      <c r="I1318" s="118"/>
      <c r="J1318" s="118"/>
      <c r="K1318" s="118"/>
    </row>
    <row r="1319" spans="1:50" s="7" customFormat="1">
      <c r="C1319" s="118"/>
      <c r="D1319" s="118"/>
      <c r="E1319" s="118"/>
      <c r="F1319" s="118"/>
      <c r="G1319" s="118"/>
      <c r="H1319" s="118"/>
      <c r="I1319" s="118"/>
      <c r="J1319" s="118"/>
      <c r="K1319" s="118"/>
    </row>
    <row r="1320" spans="1:50" s="7" customFormat="1">
      <c r="C1320" s="118"/>
      <c r="D1320" s="118"/>
      <c r="E1320" s="118"/>
      <c r="F1320" s="118"/>
      <c r="G1320" s="118"/>
      <c r="H1320" s="118"/>
      <c r="I1320" s="118"/>
      <c r="J1320" s="118"/>
      <c r="K1320" s="118"/>
    </row>
    <row r="1321" spans="1:50" s="7" customFormat="1">
      <c r="C1321" s="118"/>
      <c r="D1321" s="118"/>
      <c r="E1321" s="118"/>
      <c r="F1321" s="118"/>
      <c r="G1321" s="118"/>
      <c r="H1321" s="118"/>
      <c r="I1321" s="118"/>
      <c r="J1321" s="118"/>
      <c r="K1321" s="118"/>
      <c r="AM1321" s="8"/>
      <c r="AN1321" s="8"/>
      <c r="AO1321" s="8"/>
      <c r="AP1321" s="8"/>
      <c r="AQ1321" s="8"/>
      <c r="AR1321" s="8"/>
      <c r="AS1321" s="8"/>
      <c r="AT1321" s="8"/>
      <c r="AU1321" s="8"/>
      <c r="AV1321" s="124"/>
    </row>
    <row r="1322" spans="1:50" s="7" customFormat="1">
      <c r="A1322" s="8"/>
      <c r="B1322" s="8"/>
      <c r="C1322" s="118"/>
      <c r="D1322" s="118"/>
      <c r="E1322" s="118"/>
      <c r="F1322" s="118"/>
      <c r="G1322" s="118"/>
      <c r="H1322" s="118"/>
      <c r="I1322" s="118"/>
      <c r="J1322" s="118"/>
      <c r="K1322" s="118"/>
      <c r="L1322" s="8"/>
      <c r="M1322" s="8"/>
      <c r="N1322" s="8"/>
      <c r="O1322" s="8"/>
      <c r="P1322" s="8"/>
      <c r="Q1322" s="8"/>
      <c r="R1322" s="8"/>
      <c r="S1322" s="8"/>
      <c r="T1322" s="8"/>
      <c r="U1322" s="8"/>
      <c r="V1322" s="8"/>
      <c r="W1322" s="8"/>
      <c r="X1322" s="8"/>
      <c r="Y1322" s="8"/>
      <c r="Z1322" s="8"/>
      <c r="AA1322" s="8"/>
      <c r="AB1322" s="8"/>
      <c r="AC1322" s="8"/>
      <c r="AD1322" s="8"/>
      <c r="AE1322" s="8"/>
      <c r="AF1322" s="8"/>
      <c r="AG1322" s="8"/>
      <c r="AH1322" s="8"/>
      <c r="AI1322" s="8"/>
      <c r="AJ1322" s="8"/>
      <c r="AK1322" s="8"/>
      <c r="AL1322" s="8"/>
      <c r="AM1322" s="8"/>
      <c r="AN1322" s="8"/>
      <c r="AO1322" s="8"/>
      <c r="AP1322" s="8"/>
      <c r="AQ1322" s="8"/>
      <c r="AR1322" s="8"/>
      <c r="AS1322" s="8"/>
      <c r="AT1322" s="8"/>
      <c r="AU1322" s="8"/>
      <c r="AV1322" s="124"/>
      <c r="AW1322" s="124"/>
      <c r="AX1322" s="124"/>
    </row>
    <row r="1323" spans="1:50">
      <c r="C1323" s="118"/>
      <c r="D1323" s="118"/>
      <c r="E1323" s="118"/>
      <c r="F1323" s="118"/>
      <c r="G1323" s="118"/>
      <c r="H1323" s="118"/>
      <c r="I1323" s="118"/>
      <c r="J1323" s="118"/>
      <c r="K1323" s="118"/>
    </row>
    <row r="1324" spans="1:50">
      <c r="C1324" s="118"/>
      <c r="D1324" s="118"/>
      <c r="E1324" s="118"/>
      <c r="F1324" s="118"/>
      <c r="G1324" s="118"/>
      <c r="H1324" s="118"/>
      <c r="I1324" s="118"/>
      <c r="J1324" s="118"/>
      <c r="K1324" s="118"/>
    </row>
    <row r="1325" spans="1:50">
      <c r="C1325" s="118"/>
      <c r="D1325" s="118"/>
      <c r="E1325" s="118"/>
      <c r="F1325" s="118"/>
      <c r="G1325" s="118"/>
      <c r="H1325" s="118"/>
      <c r="I1325" s="118"/>
      <c r="J1325" s="118"/>
      <c r="K1325" s="118"/>
    </row>
    <row r="1326" spans="1:50">
      <c r="C1326" s="118"/>
      <c r="D1326" s="118"/>
      <c r="E1326" s="118"/>
      <c r="F1326" s="118"/>
      <c r="G1326" s="118"/>
      <c r="H1326" s="118"/>
      <c r="I1326" s="118"/>
      <c r="J1326" s="118"/>
      <c r="K1326" s="118"/>
    </row>
    <row r="1327" spans="1:50">
      <c r="C1327" s="118"/>
      <c r="D1327" s="118"/>
      <c r="E1327" s="118"/>
      <c r="F1327" s="118"/>
      <c r="G1327" s="118"/>
      <c r="H1327" s="118"/>
      <c r="I1327" s="118"/>
      <c r="J1327" s="118"/>
      <c r="K1327" s="118"/>
    </row>
    <row r="1328" spans="1:50">
      <c r="C1328" s="118"/>
      <c r="D1328" s="118"/>
      <c r="E1328" s="118"/>
      <c r="F1328" s="118"/>
      <c r="G1328" s="118"/>
      <c r="H1328" s="118"/>
      <c r="I1328" s="118"/>
      <c r="J1328" s="118"/>
      <c r="K1328" s="118"/>
    </row>
    <row r="1329" spans="3:11">
      <c r="C1329" s="118"/>
      <c r="D1329" s="118"/>
      <c r="E1329" s="118"/>
      <c r="F1329" s="118"/>
      <c r="G1329" s="118"/>
      <c r="H1329" s="118"/>
      <c r="I1329" s="118"/>
      <c r="J1329" s="118"/>
      <c r="K1329" s="118"/>
    </row>
    <row r="1330" spans="3:11">
      <c r="C1330" s="118"/>
      <c r="D1330" s="118"/>
      <c r="E1330" s="118"/>
      <c r="F1330" s="118"/>
      <c r="G1330" s="118"/>
      <c r="H1330" s="118"/>
      <c r="I1330" s="118"/>
      <c r="J1330" s="118"/>
      <c r="K1330" s="118"/>
    </row>
    <row r="1331" spans="3:11">
      <c r="C1331" s="118"/>
      <c r="D1331" s="118"/>
      <c r="E1331" s="118"/>
      <c r="F1331" s="118"/>
      <c r="G1331" s="118"/>
      <c r="H1331" s="118"/>
      <c r="I1331" s="118"/>
      <c r="J1331" s="118"/>
      <c r="K1331" s="118"/>
    </row>
    <row r="1332" spans="3:11">
      <c r="C1332" s="118"/>
      <c r="D1332" s="118"/>
      <c r="E1332" s="118"/>
      <c r="F1332" s="118"/>
      <c r="G1332" s="118"/>
      <c r="H1332" s="118"/>
      <c r="I1332" s="118"/>
      <c r="J1332" s="118"/>
      <c r="K1332" s="118"/>
    </row>
    <row r="1333" spans="3:11">
      <c r="C1333" s="118"/>
      <c r="D1333" s="118"/>
      <c r="E1333" s="118"/>
      <c r="F1333" s="118"/>
      <c r="G1333" s="118"/>
      <c r="H1333" s="118"/>
      <c r="I1333" s="118"/>
      <c r="J1333" s="118"/>
      <c r="K1333" s="118"/>
    </row>
    <row r="1334" spans="3:11">
      <c r="C1334" s="118"/>
      <c r="D1334" s="118"/>
      <c r="E1334" s="118"/>
      <c r="F1334" s="118"/>
      <c r="G1334" s="118"/>
      <c r="H1334" s="118"/>
      <c r="I1334" s="118"/>
      <c r="J1334" s="118"/>
      <c r="K1334" s="118"/>
    </row>
    <row r="1335" spans="3:11">
      <c r="C1335" s="118"/>
      <c r="D1335" s="118"/>
      <c r="E1335" s="118"/>
      <c r="F1335" s="118"/>
      <c r="G1335" s="118"/>
      <c r="H1335" s="118"/>
      <c r="I1335" s="118"/>
      <c r="J1335" s="118"/>
      <c r="K1335" s="118"/>
    </row>
    <row r="1336" spans="3:11">
      <c r="C1336" s="118"/>
      <c r="D1336" s="118"/>
      <c r="E1336" s="118"/>
      <c r="F1336" s="118"/>
      <c r="G1336" s="118"/>
      <c r="H1336" s="118"/>
      <c r="I1336" s="118"/>
      <c r="J1336" s="118"/>
      <c r="K1336" s="118"/>
    </row>
    <row r="1337" spans="3:11">
      <c r="C1337" s="118"/>
      <c r="D1337" s="118"/>
      <c r="E1337" s="118"/>
      <c r="F1337" s="118"/>
      <c r="G1337" s="118"/>
      <c r="H1337" s="118"/>
      <c r="I1337" s="118"/>
      <c r="J1337" s="118"/>
      <c r="K1337" s="118"/>
    </row>
    <row r="1338" spans="3:11">
      <c r="C1338" s="118"/>
      <c r="D1338" s="118"/>
      <c r="E1338" s="118"/>
      <c r="F1338" s="118"/>
      <c r="G1338" s="118"/>
      <c r="H1338" s="118"/>
      <c r="I1338" s="118"/>
      <c r="J1338" s="118"/>
      <c r="K1338" s="118"/>
    </row>
  </sheetData>
  <sortState ref="B198:AI207">
    <sortCondition descending="1" ref="B198"/>
  </sortState>
  <dataConsolidate/>
  <mergeCells count="37">
    <mergeCell ref="FI16:FJ16"/>
    <mergeCell ref="FK16:FL16"/>
    <mergeCell ref="FM16:FN16"/>
    <mergeCell ref="FI14:FJ14"/>
    <mergeCell ref="FK14:FL14"/>
    <mergeCell ref="FM14:FN14"/>
    <mergeCell ref="FI15:FJ15"/>
    <mergeCell ref="FK15:FL15"/>
    <mergeCell ref="FM15:FN15"/>
    <mergeCell ref="FI12:FJ12"/>
    <mergeCell ref="FK12:FL12"/>
    <mergeCell ref="FM12:FN12"/>
    <mergeCell ref="FI13:FJ13"/>
    <mergeCell ref="FK13:FL13"/>
    <mergeCell ref="FM13:FN13"/>
    <mergeCell ref="FI10:FJ10"/>
    <mergeCell ref="FK10:FL10"/>
    <mergeCell ref="FM10:FN10"/>
    <mergeCell ref="FI11:FJ11"/>
    <mergeCell ref="FK11:FL11"/>
    <mergeCell ref="FM11:FN11"/>
    <mergeCell ref="CW86:CX86"/>
    <mergeCell ref="O455:R455"/>
    <mergeCell ref="GC2:GI2"/>
    <mergeCell ref="FJ4:FM4"/>
    <mergeCell ref="FI6:FJ6"/>
    <mergeCell ref="FK6:FL6"/>
    <mergeCell ref="FM6:FN6"/>
    <mergeCell ref="FI7:FJ7"/>
    <mergeCell ref="FK7:FL7"/>
    <mergeCell ref="FM7:FN7"/>
    <mergeCell ref="FI8:FJ8"/>
    <mergeCell ref="FK8:FL8"/>
    <mergeCell ref="FM8:FN8"/>
    <mergeCell ref="FI9:FJ9"/>
    <mergeCell ref="FK9:FL9"/>
    <mergeCell ref="FM9:FN9"/>
  </mergeCells>
  <phoneticPr fontId="2" type="noConversion"/>
  <pageMargins left="0.75" right="0.75" top="1" bottom="1" header="0.5" footer="0.5"/>
  <pageSetup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A8"/>
  <sheetViews>
    <sheetView workbookViewId="0">
      <selection activeCell="A8" sqref="A8"/>
    </sheetView>
  </sheetViews>
  <sheetFormatPr defaultColWidth="11.42578125" defaultRowHeight="12.75"/>
  <sheetData>
    <row r="1" spans="1:1">
      <c r="A1" t="s">
        <v>84</v>
      </c>
    </row>
    <row r="2" spans="1:1">
      <c r="A2" t="s">
        <v>85</v>
      </c>
    </row>
    <row r="3" spans="1:1">
      <c r="A3" t="s">
        <v>86</v>
      </c>
    </row>
    <row r="4" spans="1:1">
      <c r="A4" t="s">
        <v>87</v>
      </c>
    </row>
    <row r="5" spans="1:1">
      <c r="A5" t="s">
        <v>88</v>
      </c>
    </row>
    <row r="6" spans="1:1">
      <c r="A6" t="s">
        <v>89</v>
      </c>
    </row>
    <row r="7" spans="1:1">
      <c r="A7" t="s">
        <v>90</v>
      </c>
    </row>
    <row r="8" spans="1:1">
      <c r="A8" t="s">
        <v>91</v>
      </c>
    </row>
  </sheetData>
  <phoneticPr fontId="4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Cobble Gravel</vt:lpstr>
      <vt:lpstr>Notes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A. Chadwick</dc:creator>
  <cp:lastModifiedBy>Jim</cp:lastModifiedBy>
  <dcterms:created xsi:type="dcterms:W3CDTF">2004-12-20T04:17:09Z</dcterms:created>
  <dcterms:modified xsi:type="dcterms:W3CDTF">2011-01-25T23:29:44Z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-642832883</vt:i4>
  </property>
  <property fmtid="{D5CDD505-2E9C-101B-9397-08002B2CF9AE}" pid="3" name="_EmailSubject">
    <vt:lpwstr>bootstrap spreadsheet</vt:lpwstr>
  </property>
  <property fmtid="{D5CDD505-2E9C-101B-9397-08002B2CF9AE}" pid="4" name="_AuthorEmail">
    <vt:lpwstr>chadwick@bama.ua.edu</vt:lpwstr>
  </property>
  <property fmtid="{D5CDD505-2E9C-101B-9397-08002B2CF9AE}" pid="5" name="_AuthorEmailDisplayName">
    <vt:lpwstr>Michael A. Chadwick</vt:lpwstr>
  </property>
  <property fmtid="{D5CDD505-2E9C-101B-9397-08002B2CF9AE}" pid="6" name="_ReviewingToolsShownOnce">
    <vt:lpwstr/>
  </property>
</Properties>
</file>