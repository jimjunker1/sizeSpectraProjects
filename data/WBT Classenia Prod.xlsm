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195" yWindow="45" windowWidth="14325" windowHeight="804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H422" i="1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DE231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4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78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79"/>
  <c r="CX184"/>
  <c r="CZ184"/>
  <c r="DF184"/>
  <c r="DL184"/>
  <c r="DT184"/>
  <c r="EA184"/>
  <c r="EI184"/>
  <c r="DD184"/>
  <c r="BA184"/>
  <c r="CM184"/>
  <c r="CL184"/>
  <c r="CK184"/>
  <c r="AY184"/>
  <c r="B180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5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3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1"/>
  <c r="CX180"/>
  <c r="CZ180"/>
  <c r="DF180"/>
  <c r="DH180"/>
  <c r="DJ180"/>
  <c r="DK180"/>
  <c r="DN180"/>
  <c r="DP180"/>
  <c r="DQ180"/>
  <c r="FA180" s="1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7"/>
  <c r="CX179"/>
  <c r="CZ179"/>
  <c r="DP179"/>
  <c r="DR179"/>
  <c r="EF179"/>
  <c r="EH179"/>
  <c r="DD179"/>
  <c r="DC179" s="1"/>
  <c r="BA179"/>
  <c r="CM179"/>
  <c r="CL179"/>
  <c r="CK179"/>
  <c r="AY179"/>
  <c r="B182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6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69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3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68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1"/>
  <c r="CZ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5"/>
  <c r="CZ172"/>
  <c r="DD172"/>
  <c r="DE172" s="1"/>
  <c r="DC172"/>
  <c r="BA172"/>
  <c r="CM172" s="1"/>
  <c r="CL172"/>
  <c r="CK172"/>
  <c r="AY172"/>
  <c r="B170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6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7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4"/>
  <c r="CX168"/>
  <c r="CZ168"/>
  <c r="DZ168" s="1"/>
  <c r="DJ168"/>
  <c r="DP168"/>
  <c r="EF168"/>
  <c r="DD168"/>
  <c r="DC168" s="1"/>
  <c r="DE168"/>
  <c r="CL168"/>
  <c r="CK168"/>
  <c r="AY168"/>
  <c r="B172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6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2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58"/>
  <c r="CZ164"/>
  <c r="DJ164" s="1"/>
  <c r="DF164"/>
  <c r="DG164"/>
  <c r="DH164"/>
  <c r="DI164"/>
  <c r="DK164"/>
  <c r="DL164"/>
  <c r="DN164"/>
  <c r="DO164"/>
  <c r="DP164"/>
  <c r="DQ164"/>
  <c r="FA164" s="1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3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1"/>
  <c r="CZ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5"/>
  <c r="CX161"/>
  <c r="CZ161"/>
  <c r="DP161"/>
  <c r="DV161"/>
  <c r="DD161"/>
  <c r="BA161"/>
  <c r="CM161"/>
  <c r="CL161"/>
  <c r="CK161"/>
  <c r="AY161"/>
  <c r="B159"/>
  <c r="CW160"/>
  <c r="CX160"/>
  <c r="CZ160"/>
  <c r="EB160"/>
  <c r="ED160"/>
  <c r="DD160"/>
  <c r="DC160" s="1"/>
  <c r="DE160"/>
  <c r="BA160"/>
  <c r="CM160"/>
  <c r="CL160"/>
  <c r="CK160"/>
  <c r="AY160"/>
  <c r="B160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4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7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0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2"/>
  <c r="CZ155"/>
  <c r="DK155" s="1"/>
  <c r="DG155"/>
  <c r="DO155"/>
  <c r="DW155"/>
  <c r="EE155"/>
  <c r="DD155"/>
  <c r="DE155"/>
  <c r="DC155"/>
  <c r="BA155"/>
  <c r="CM155" s="1"/>
  <c r="CL155"/>
  <c r="CK155"/>
  <c r="AY155"/>
  <c r="B155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3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49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48"/>
  <c r="DK151"/>
  <c r="DG151"/>
  <c r="DO151"/>
  <c r="DW151"/>
  <c r="EE151"/>
  <c r="DD151"/>
  <c r="DE151" s="1"/>
  <c r="B156"/>
  <c r="DG150"/>
  <c r="DF150"/>
  <c r="DH150"/>
  <c r="DJ150"/>
  <c r="DL150"/>
  <c r="DN150"/>
  <c r="DP150"/>
  <c r="EZ150" s="1"/>
  <c r="DR150"/>
  <c r="DT150"/>
  <c r="DV150"/>
  <c r="DX150"/>
  <c r="DZ150"/>
  <c r="EB150"/>
  <c r="ED150"/>
  <c r="EF150"/>
  <c r="EH150"/>
  <c r="EJ150"/>
  <c r="DD150"/>
  <c r="DC150" s="1"/>
  <c r="B151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4"/>
  <c r="CZ148"/>
  <c r="DF148"/>
  <c r="DJ148"/>
  <c r="DN148"/>
  <c r="DR148"/>
  <c r="DV148"/>
  <c r="DZ148"/>
  <c r="ED148"/>
  <c r="EH148"/>
  <c r="DD148"/>
  <c r="CL148"/>
  <c r="CK148"/>
  <c r="AY148"/>
  <c r="B157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6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4"/>
  <c r="CX145"/>
  <c r="CZ145"/>
  <c r="DI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5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3"/>
  <c r="CZ143"/>
  <c r="DG143" s="1"/>
  <c r="DF143"/>
  <c r="DH143"/>
  <c r="DJ143"/>
  <c r="DL143"/>
  <c r="DN143"/>
  <c r="DP143"/>
  <c r="EZ143" s="1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39"/>
  <c r="CX142"/>
  <c r="CZ142"/>
  <c r="DI142"/>
  <c r="DM142"/>
  <c r="EW142" s="1"/>
  <c r="DN142"/>
  <c r="DO142"/>
  <c r="DP142"/>
  <c r="EZ142" s="1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38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1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0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2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7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1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2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28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4"/>
  <c r="CZ133"/>
  <c r="DG133" s="1"/>
  <c r="DD133"/>
  <c r="DE133"/>
  <c r="DC133"/>
  <c r="BA133"/>
  <c r="CM133" s="1"/>
  <c r="CL133"/>
  <c r="CK133"/>
  <c r="AY133"/>
  <c r="B135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0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3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7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6"/>
  <c r="CW128"/>
  <c r="CX128"/>
  <c r="CZ128"/>
  <c r="DH128"/>
  <c r="DL128"/>
  <c r="DP128"/>
  <c r="DT128"/>
  <c r="DX128"/>
  <c r="EB128"/>
  <c r="EF128"/>
  <c r="EJ128"/>
  <c r="DD128"/>
  <c r="CL128"/>
  <c r="CK128"/>
  <c r="AY128"/>
  <c r="B129"/>
  <c r="CX127"/>
  <c r="CZ127"/>
  <c r="DD127"/>
  <c r="DE127"/>
  <c r="DC127"/>
  <c r="BA127"/>
  <c r="CM127" s="1"/>
  <c r="CL127"/>
  <c r="CK127"/>
  <c r="AY127"/>
  <c r="B119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6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4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0"/>
  <c r="CX123"/>
  <c r="CZ123"/>
  <c r="DD123"/>
  <c r="DE123"/>
  <c r="DC123"/>
  <c r="BA123"/>
  <c r="CM123" s="1"/>
  <c r="CL123"/>
  <c r="CK123"/>
  <c r="AY123"/>
  <c r="B125"/>
  <c r="CX122"/>
  <c r="CZ122"/>
  <c r="DF122"/>
  <c r="EP122" s="1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1"/>
  <c r="CW121"/>
  <c r="CX121"/>
  <c r="CZ121"/>
  <c r="DD121"/>
  <c r="BA121"/>
  <c r="CM121"/>
  <c r="CL121"/>
  <c r="CK121"/>
  <c r="AY121"/>
  <c r="B118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2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27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3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08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09"/>
  <c r="CZ115"/>
  <c r="DI115"/>
  <c r="DM115"/>
  <c r="DQ115"/>
  <c r="DU115"/>
  <c r="DY115"/>
  <c r="EC115"/>
  <c r="EG115"/>
  <c r="DD115"/>
  <c r="DE115"/>
  <c r="DC115"/>
  <c r="BA115"/>
  <c r="CM115" s="1"/>
  <c r="CL115"/>
  <c r="CK115"/>
  <c r="AY115"/>
  <c r="B110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1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2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7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4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3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6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5"/>
  <c r="CW107"/>
  <c r="CX107"/>
  <c r="DG107" s="1"/>
  <c r="CZ107"/>
  <c r="DO107" s="1"/>
  <c r="DI107"/>
  <c r="DM107"/>
  <c r="DQ107"/>
  <c r="DU107"/>
  <c r="DY107"/>
  <c r="EC107"/>
  <c r="EG107"/>
  <c r="DD107"/>
  <c r="DE107"/>
  <c r="DC107"/>
  <c r="BA107"/>
  <c r="CM107" s="1"/>
  <c r="CL107"/>
  <c r="CK107"/>
  <c r="AY107"/>
  <c r="B98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99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7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2"/>
  <c r="CZ103"/>
  <c r="DI103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103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6"/>
  <c r="CX101"/>
  <c r="DG101" s="1"/>
  <c r="CZ101"/>
  <c r="DI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1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4"/>
  <c r="CZ99"/>
  <c r="DG99" s="1"/>
  <c r="DF99"/>
  <c r="DH99"/>
  <c r="DJ99"/>
  <c r="DL99"/>
  <c r="DN99"/>
  <c r="DP99"/>
  <c r="EZ99" s="1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5"/>
  <c r="CZ98"/>
  <c r="DI98"/>
  <c r="DM98"/>
  <c r="DQ98"/>
  <c r="DU98"/>
  <c r="DY98"/>
  <c r="EC98"/>
  <c r="EG98"/>
  <c r="DD98"/>
  <c r="DE98" s="1"/>
  <c r="DC98"/>
  <c r="CL98"/>
  <c r="CK98"/>
  <c r="AY98"/>
  <c r="B100"/>
  <c r="CZ97"/>
  <c r="DG97" s="1"/>
  <c r="DD97"/>
  <c r="DE97" s="1"/>
  <c r="DC97"/>
  <c r="BA97"/>
  <c r="CM97" s="1"/>
  <c r="CL97"/>
  <c r="CK97"/>
  <c r="AY97"/>
  <c r="B97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89"/>
  <c r="CZ95"/>
  <c r="DD95"/>
  <c r="DE95" s="1"/>
  <c r="DC95"/>
  <c r="BA95"/>
  <c r="CM95" s="1"/>
  <c r="CL95"/>
  <c r="CK95"/>
  <c r="AY95"/>
  <c r="B90"/>
  <c r="CZ94"/>
  <c r="DF94"/>
  <c r="DG94"/>
  <c r="DH94"/>
  <c r="DI94"/>
  <c r="ES94" s="1"/>
  <c r="DJ94"/>
  <c r="DK94"/>
  <c r="DL94"/>
  <c r="DM94"/>
  <c r="EW94" s="1"/>
  <c r="DN94"/>
  <c r="DO94"/>
  <c r="DP94"/>
  <c r="EZ94" s="1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1"/>
  <c r="CZ93"/>
  <c r="DD93"/>
  <c r="DE93" s="1"/>
  <c r="DC93"/>
  <c r="BA93"/>
  <c r="CM93" s="1"/>
  <c r="CL93"/>
  <c r="CK93"/>
  <c r="AY93"/>
  <c r="B94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2"/>
  <c r="CZ91"/>
  <c r="DG91" s="1"/>
  <c r="DD91"/>
  <c r="DE91" s="1"/>
  <c r="DC91"/>
  <c r="BA91"/>
  <c r="CM91" s="1"/>
  <c r="CL91"/>
  <c r="CK91"/>
  <c r="AY91"/>
  <c r="B96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5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88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3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DW217" l="1"/>
  <c r="EI221"/>
  <c r="EH212"/>
  <c r="DP217"/>
  <c r="EE219"/>
  <c r="EF221"/>
  <c r="DN212"/>
  <c r="ED217"/>
  <c r="DN217"/>
  <c r="EH221"/>
  <c r="FJ92"/>
  <c r="EJ216"/>
  <c r="DZ218"/>
  <c r="DP221"/>
  <c r="EC217"/>
  <c r="DP219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W90"/>
  <c r="ES90"/>
  <c r="EW101"/>
  <c r="EW107"/>
  <c r="EW115"/>
  <c r="ES124"/>
  <c r="EP131"/>
  <c r="EW138"/>
  <c r="EW145"/>
  <c r="EW162"/>
  <c r="ES162"/>
  <c r="ES164"/>
  <c r="EW173"/>
  <c r="ES173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DE150"/>
  <c r="DC151"/>
  <c r="FJ96"/>
  <c r="FJ156"/>
  <c r="FJ157"/>
  <c r="FJ165"/>
  <c r="J373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J378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J377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N381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N377"/>
  <c r="N380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K431" s="1"/>
  <c r="AJ28"/>
  <c r="AJ44" s="1"/>
  <c r="AJ430" s="1"/>
  <c r="X28"/>
  <c r="X44" s="1"/>
  <c r="X430" s="1"/>
  <c r="P28"/>
  <c r="P44" s="1"/>
  <c r="P430" s="1"/>
  <c r="L28"/>
  <c r="L44" s="1"/>
  <c r="L430" s="1"/>
  <c r="AE27"/>
  <c r="AE43" s="1"/>
  <c r="AE429" s="1"/>
  <c r="AF24"/>
  <c r="AF40" s="1"/>
  <c r="AF426" s="1"/>
  <c r="X24"/>
  <c r="X40" s="1"/>
  <c r="X426" s="1"/>
  <c r="P24"/>
  <c r="P40" s="1"/>
  <c r="P426" s="1"/>
  <c r="H24"/>
  <c r="H40" s="1"/>
  <c r="H426" s="1"/>
  <c r="O23"/>
  <c r="O39" s="1"/>
  <c r="O425" s="1"/>
  <c r="AK21"/>
  <c r="AK37" s="1"/>
  <c r="AK423" s="1"/>
  <c r="Q21"/>
  <c r="Q37" s="1"/>
  <c r="Q423" s="1"/>
  <c r="L23"/>
  <c r="L39" s="1"/>
  <c r="L425" s="1"/>
  <c r="AJ23"/>
  <c r="AJ39" s="1"/>
  <c r="AJ425" s="1"/>
  <c r="AF23"/>
  <c r="AF39" s="1"/>
  <c r="AF425" s="1"/>
  <c r="X23"/>
  <c r="X39" s="1"/>
  <c r="X425" s="1"/>
  <c r="AH21"/>
  <c r="AH37" s="1"/>
  <c r="AH423" s="1"/>
  <c r="H22"/>
  <c r="H38" s="1"/>
  <c r="H424" s="1"/>
  <c r="AF28"/>
  <c r="AF44" s="1"/>
  <c r="AF430" s="1"/>
  <c r="U25"/>
  <c r="U41" s="1"/>
  <c r="U427" s="1"/>
  <c r="Y29"/>
  <c r="Y45" s="1"/>
  <c r="Y431" s="1"/>
  <c r="I28"/>
  <c r="I44" s="1"/>
  <c r="I430" s="1"/>
  <c r="AJ25"/>
  <c r="AJ41" s="1"/>
  <c r="AJ427" s="1"/>
  <c r="L25"/>
  <c r="L41" s="1"/>
  <c r="L427" s="1"/>
  <c r="AB25"/>
  <c r="AB41" s="1"/>
  <c r="AB427" s="1"/>
  <c r="AD25"/>
  <c r="AD41" s="1"/>
  <c r="AD427" s="1"/>
  <c r="AB24"/>
  <c r="AB40" s="1"/>
  <c r="AB426" s="1"/>
  <c r="T24"/>
  <c r="T40" s="1"/>
  <c r="T426" s="1"/>
  <c r="L24"/>
  <c r="L40" s="1"/>
  <c r="L426" s="1"/>
  <c r="AJ24"/>
  <c r="AJ40" s="1"/>
  <c r="AJ426" s="1"/>
  <c r="AK23"/>
  <c r="AK39" s="1"/>
  <c r="AK425" s="1"/>
  <c r="AG23"/>
  <c r="AG39" s="1"/>
  <c r="AG425" s="1"/>
  <c r="AC23"/>
  <c r="AC39" s="1"/>
  <c r="AC425" s="1"/>
  <c r="Y23"/>
  <c r="Y39" s="1"/>
  <c r="Y425" s="1"/>
  <c r="U23"/>
  <c r="U39" s="1"/>
  <c r="U425" s="1"/>
  <c r="M23"/>
  <c r="M39" s="1"/>
  <c r="M425" s="1"/>
  <c r="I23"/>
  <c r="I39" s="1"/>
  <c r="I425" s="1"/>
  <c r="D73"/>
  <c r="D537" s="1"/>
  <c r="K23"/>
  <c r="K39" s="1"/>
  <c r="K425" s="1"/>
  <c r="T23"/>
  <c r="T39" s="1"/>
  <c r="T425" s="1"/>
  <c r="AJ22"/>
  <c r="AJ38" s="1"/>
  <c r="AJ424" s="1"/>
  <c r="AF22"/>
  <c r="AF38" s="1"/>
  <c r="AF424" s="1"/>
  <c r="AB22"/>
  <c r="AB38" s="1"/>
  <c r="AB424" s="1"/>
  <c r="X22"/>
  <c r="X38" s="1"/>
  <c r="X424" s="1"/>
  <c r="T22"/>
  <c r="T38" s="1"/>
  <c r="T424" s="1"/>
  <c r="P22"/>
  <c r="P38" s="1"/>
  <c r="P424" s="1"/>
  <c r="L22"/>
  <c r="L38" s="1"/>
  <c r="L424" s="1"/>
  <c r="P25"/>
  <c r="P41" s="1"/>
  <c r="P427" s="1"/>
  <c r="AJ26"/>
  <c r="AJ42" s="1"/>
  <c r="AJ428" s="1"/>
  <c r="AB26"/>
  <c r="AB42" s="1"/>
  <c r="AB428" s="1"/>
  <c r="X26"/>
  <c r="X42" s="1"/>
  <c r="X428" s="1"/>
  <c r="T26"/>
  <c r="T42" s="1"/>
  <c r="T428" s="1"/>
  <c r="L26"/>
  <c r="L42" s="1"/>
  <c r="L428" s="1"/>
  <c r="Q22"/>
  <c r="Q38" s="1"/>
  <c r="Q424" s="1"/>
  <c r="AI29"/>
  <c r="AI45" s="1"/>
  <c r="AI431" s="1"/>
  <c r="AA29"/>
  <c r="AA45" s="1"/>
  <c r="AA431" s="1"/>
  <c r="S29"/>
  <c r="S45" s="1"/>
  <c r="S431" s="1"/>
  <c r="G29"/>
  <c r="G45" s="1"/>
  <c r="G431" s="1"/>
  <c r="D79"/>
  <c r="D549" s="1"/>
  <c r="AE29"/>
  <c r="AE45" s="1"/>
  <c r="AE431" s="1"/>
  <c r="W29"/>
  <c r="W45" s="1"/>
  <c r="W431" s="1"/>
  <c r="O29"/>
  <c r="O45" s="1"/>
  <c r="O431" s="1"/>
  <c r="K29"/>
  <c r="K45" s="1"/>
  <c r="K431" s="1"/>
  <c r="AB29"/>
  <c r="AB45" s="1"/>
  <c r="AB431" s="1"/>
  <c r="AF29"/>
  <c r="AF45" s="1"/>
  <c r="AF431" s="1"/>
  <c r="T29"/>
  <c r="T45" s="1"/>
  <c r="T431" s="1"/>
  <c r="H29"/>
  <c r="H45" s="1"/>
  <c r="H431" s="1"/>
  <c r="AG29"/>
  <c r="AG45" s="1"/>
  <c r="AG431" s="1"/>
  <c r="AC29"/>
  <c r="AC45" s="1"/>
  <c r="AC431" s="1"/>
  <c r="U29"/>
  <c r="U45" s="1"/>
  <c r="U431" s="1"/>
  <c r="Q29"/>
  <c r="Q45" s="1"/>
  <c r="Q431" s="1"/>
  <c r="M29"/>
  <c r="M45" s="1"/>
  <c r="M431" s="1"/>
  <c r="I29"/>
  <c r="I45" s="1"/>
  <c r="I431" s="1"/>
  <c r="AJ29"/>
  <c r="AJ45" s="1"/>
  <c r="AJ431" s="1"/>
  <c r="P29"/>
  <c r="P45" s="1"/>
  <c r="P431" s="1"/>
  <c r="L29"/>
  <c r="L45" s="1"/>
  <c r="L431" s="1"/>
  <c r="U28"/>
  <c r="U44" s="1"/>
  <c r="U430" s="1"/>
  <c r="Q28"/>
  <c r="Q44" s="1"/>
  <c r="Q430" s="1"/>
  <c r="M28"/>
  <c r="M44" s="1"/>
  <c r="M430" s="1"/>
  <c r="X29"/>
  <c r="X45" s="1"/>
  <c r="X431" s="1"/>
  <c r="AB28"/>
  <c r="AB44" s="1"/>
  <c r="AB430" s="1"/>
  <c r="D78"/>
  <c r="D547" s="1"/>
  <c r="AK28"/>
  <c r="AK44" s="1"/>
  <c r="AK430" s="1"/>
  <c r="AG28"/>
  <c r="AG44" s="1"/>
  <c r="AG430" s="1"/>
  <c r="AC28"/>
  <c r="AC44" s="1"/>
  <c r="AC430" s="1"/>
  <c r="Y28"/>
  <c r="Y44" s="1"/>
  <c r="Y430" s="1"/>
  <c r="AI28"/>
  <c r="AI44" s="1"/>
  <c r="AI430" s="1"/>
  <c r="AA28"/>
  <c r="AA44" s="1"/>
  <c r="AA430" s="1"/>
  <c r="W28"/>
  <c r="W44" s="1"/>
  <c r="W430" s="1"/>
  <c r="S28"/>
  <c r="S44" s="1"/>
  <c r="S430" s="1"/>
  <c r="O28"/>
  <c r="O44" s="1"/>
  <c r="O430" s="1"/>
  <c r="K28"/>
  <c r="K44" s="1"/>
  <c r="K430" s="1"/>
  <c r="G28"/>
  <c r="G44" s="1"/>
  <c r="G430" s="1"/>
  <c r="T28"/>
  <c r="T44" s="1"/>
  <c r="T430" s="1"/>
  <c r="H28"/>
  <c r="H44" s="1"/>
  <c r="H430" s="1"/>
  <c r="AE28"/>
  <c r="AE44" s="1"/>
  <c r="AE430" s="1"/>
  <c r="AF27"/>
  <c r="AF43" s="1"/>
  <c r="AF429" s="1"/>
  <c r="P27"/>
  <c r="P43" s="1"/>
  <c r="P429" s="1"/>
  <c r="D77"/>
  <c r="C380" s="1"/>
  <c r="AK27"/>
  <c r="AK43" s="1"/>
  <c r="AK429" s="1"/>
  <c r="AG27"/>
  <c r="AG43" s="1"/>
  <c r="AG429" s="1"/>
  <c r="AC27"/>
  <c r="AC43" s="1"/>
  <c r="AC429" s="1"/>
  <c r="Y27"/>
  <c r="Y43" s="1"/>
  <c r="Y429" s="1"/>
  <c r="U27"/>
  <c r="U43" s="1"/>
  <c r="U429" s="1"/>
  <c r="Q27"/>
  <c r="Q43" s="1"/>
  <c r="Q429" s="1"/>
  <c r="M27"/>
  <c r="M43" s="1"/>
  <c r="M429" s="1"/>
  <c r="I27"/>
  <c r="I43" s="1"/>
  <c r="I429" s="1"/>
  <c r="AI27"/>
  <c r="AI43" s="1"/>
  <c r="AI429" s="1"/>
  <c r="AA27"/>
  <c r="AA43" s="1"/>
  <c r="AA429" s="1"/>
  <c r="W27"/>
  <c r="W43" s="1"/>
  <c r="W429" s="1"/>
  <c r="S27"/>
  <c r="S43" s="1"/>
  <c r="S429" s="1"/>
  <c r="O27"/>
  <c r="O43" s="1"/>
  <c r="O429" s="1"/>
  <c r="K27"/>
  <c r="K43" s="1"/>
  <c r="K429" s="1"/>
  <c r="G27"/>
  <c r="G43" s="1"/>
  <c r="G429" s="1"/>
  <c r="U26"/>
  <c r="U42" s="1"/>
  <c r="U428" s="1"/>
  <c r="M26"/>
  <c r="M42" s="1"/>
  <c r="M428" s="1"/>
  <c r="AI26"/>
  <c r="AI42" s="1"/>
  <c r="AI428" s="1"/>
  <c r="AE26"/>
  <c r="AE42" s="1"/>
  <c r="AE428" s="1"/>
  <c r="AA26"/>
  <c r="AA42" s="1"/>
  <c r="AA428" s="1"/>
  <c r="W26"/>
  <c r="W42" s="1"/>
  <c r="W428" s="1"/>
  <c r="S26"/>
  <c r="S42" s="1"/>
  <c r="S428" s="1"/>
  <c r="O26"/>
  <c r="O42" s="1"/>
  <c r="O428" s="1"/>
  <c r="K26"/>
  <c r="K42" s="1"/>
  <c r="K428" s="1"/>
  <c r="AG26"/>
  <c r="AG42" s="1"/>
  <c r="AG428" s="1"/>
  <c r="D76"/>
  <c r="D543" s="1"/>
  <c r="AB27"/>
  <c r="AB43" s="1"/>
  <c r="AB429" s="1"/>
  <c r="P26"/>
  <c r="P42" s="1"/>
  <c r="P428" s="1"/>
  <c r="AJ27"/>
  <c r="AJ43" s="1"/>
  <c r="AJ429" s="1"/>
  <c r="T27"/>
  <c r="T43" s="1"/>
  <c r="T429" s="1"/>
  <c r="H27"/>
  <c r="H43" s="1"/>
  <c r="H429" s="1"/>
  <c r="AF26"/>
  <c r="AF42" s="1"/>
  <c r="AF428" s="1"/>
  <c r="H26"/>
  <c r="H42" s="1"/>
  <c r="H428" s="1"/>
  <c r="L27"/>
  <c r="L43" s="1"/>
  <c r="L429" s="1"/>
  <c r="AK26"/>
  <c r="AK42" s="1"/>
  <c r="AK428" s="1"/>
  <c r="AC26"/>
  <c r="AC42" s="1"/>
  <c r="AC428" s="1"/>
  <c r="Y26"/>
  <c r="Y42" s="1"/>
  <c r="Y428" s="1"/>
  <c r="Q26"/>
  <c r="Q42" s="1"/>
  <c r="Q428" s="1"/>
  <c r="I26"/>
  <c r="I42" s="1"/>
  <c r="I428" s="1"/>
  <c r="X27"/>
  <c r="X43" s="1"/>
  <c r="X429" s="1"/>
  <c r="D75"/>
  <c r="D541" s="1"/>
  <c r="G26"/>
  <c r="G42" s="1"/>
  <c r="G428" s="1"/>
  <c r="G25"/>
  <c r="G41" s="1"/>
  <c r="G427" s="1"/>
  <c r="AI25"/>
  <c r="AI41" s="1"/>
  <c r="AI427" s="1"/>
  <c r="AE25"/>
  <c r="AE41" s="1"/>
  <c r="AE427" s="1"/>
  <c r="AA25"/>
  <c r="AA41" s="1"/>
  <c r="AA427" s="1"/>
  <c r="W25"/>
  <c r="W41" s="1"/>
  <c r="W427" s="1"/>
  <c r="S25"/>
  <c r="S41" s="1"/>
  <c r="S427" s="1"/>
  <c r="K25"/>
  <c r="K41" s="1"/>
  <c r="K427" s="1"/>
  <c r="O25"/>
  <c r="O41" s="1"/>
  <c r="O427" s="1"/>
  <c r="T25"/>
  <c r="T41" s="1"/>
  <c r="T427" s="1"/>
  <c r="AK25"/>
  <c r="AK41" s="1"/>
  <c r="AK427" s="1"/>
  <c r="AG25"/>
  <c r="AG41" s="1"/>
  <c r="AG427" s="1"/>
  <c r="AC25"/>
  <c r="AC41" s="1"/>
  <c r="AC427" s="1"/>
  <c r="Y25"/>
  <c r="Y41" s="1"/>
  <c r="Y427" s="1"/>
  <c r="Q25"/>
  <c r="Q41" s="1"/>
  <c r="Q427" s="1"/>
  <c r="M25"/>
  <c r="M41" s="1"/>
  <c r="M427" s="1"/>
  <c r="I25"/>
  <c r="I41" s="1"/>
  <c r="I427" s="1"/>
  <c r="AF25"/>
  <c r="AF41" s="1"/>
  <c r="AF427" s="1"/>
  <c r="H25"/>
  <c r="H41" s="1"/>
  <c r="H427" s="1"/>
  <c r="D74"/>
  <c r="D539" s="1"/>
  <c r="X25"/>
  <c r="X41" s="1"/>
  <c r="X427" s="1"/>
  <c r="AK24"/>
  <c r="AK40" s="1"/>
  <c r="AK426" s="1"/>
  <c r="AG24"/>
  <c r="AG40" s="1"/>
  <c r="AG426" s="1"/>
  <c r="AC24"/>
  <c r="AC40" s="1"/>
  <c r="AC426" s="1"/>
  <c r="Y24"/>
  <c r="Y40" s="1"/>
  <c r="Y426" s="1"/>
  <c r="U24"/>
  <c r="U40" s="1"/>
  <c r="U426" s="1"/>
  <c r="Q24"/>
  <c r="Q40" s="1"/>
  <c r="Q426" s="1"/>
  <c r="M24"/>
  <c r="M40" s="1"/>
  <c r="M426" s="1"/>
  <c r="I24"/>
  <c r="I40" s="1"/>
  <c r="I426" s="1"/>
  <c r="AI23"/>
  <c r="AI39" s="1"/>
  <c r="AI425" s="1"/>
  <c r="AE23"/>
  <c r="AE39" s="1"/>
  <c r="AE425" s="1"/>
  <c r="AA23"/>
  <c r="AA39" s="1"/>
  <c r="AA425" s="1"/>
  <c r="S23"/>
  <c r="S39" s="1"/>
  <c r="S425" s="1"/>
  <c r="G23"/>
  <c r="G39" s="1"/>
  <c r="G425" s="1"/>
  <c r="AB23"/>
  <c r="AB39" s="1"/>
  <c r="AB425" s="1"/>
  <c r="P23"/>
  <c r="P39" s="1"/>
  <c r="P425" s="1"/>
  <c r="H23"/>
  <c r="H39" s="1"/>
  <c r="H425" s="1"/>
  <c r="AG22"/>
  <c r="AG38" s="1"/>
  <c r="AG424" s="1"/>
  <c r="AC22"/>
  <c r="AC38" s="1"/>
  <c r="AC424" s="1"/>
  <c r="U30"/>
  <c r="U46" s="1"/>
  <c r="U432" s="1"/>
  <c r="M22"/>
  <c r="M38" s="1"/>
  <c r="M424" s="1"/>
  <c r="I22"/>
  <c r="I38" s="1"/>
  <c r="I424" s="1"/>
  <c r="Q23"/>
  <c r="Q39" s="1"/>
  <c r="Q425" s="1"/>
  <c r="D72"/>
  <c r="D535" s="1"/>
  <c r="Y22"/>
  <c r="Y38" s="1"/>
  <c r="Y424" s="1"/>
  <c r="AI30"/>
  <c r="AI46" s="1"/>
  <c r="AI432" s="1"/>
  <c r="AA30"/>
  <c r="AA46" s="1"/>
  <c r="AA432" s="1"/>
  <c r="O30"/>
  <c r="O46" s="1"/>
  <c r="O432" s="1"/>
  <c r="G21"/>
  <c r="G37" s="1"/>
  <c r="G423" s="1"/>
  <c r="X30"/>
  <c r="X46" s="1"/>
  <c r="X432" s="1"/>
  <c r="T30"/>
  <c r="T46" s="1"/>
  <c r="T432" s="1"/>
  <c r="H30"/>
  <c r="H46" s="1"/>
  <c r="H432" s="1"/>
  <c r="AK30"/>
  <c r="AK46" s="1"/>
  <c r="AK432" s="1"/>
  <c r="AG21"/>
  <c r="AG37" s="1"/>
  <c r="AG423" s="1"/>
  <c r="AC30"/>
  <c r="AC46" s="1"/>
  <c r="AC432" s="1"/>
  <c r="Y30"/>
  <c r="Y46" s="1"/>
  <c r="Y432" s="1"/>
  <c r="U21"/>
  <c r="U37" s="1"/>
  <c r="U423" s="1"/>
  <c r="Q30"/>
  <c r="Q46" s="1"/>
  <c r="Q432" s="1"/>
  <c r="M21"/>
  <c r="M37" s="1"/>
  <c r="M423" s="1"/>
  <c r="I21"/>
  <c r="I37" s="1"/>
  <c r="I423" s="1"/>
  <c r="L30"/>
  <c r="L46" s="1"/>
  <c r="L432" s="1"/>
  <c r="J21"/>
  <c r="J37" s="1"/>
  <c r="J423" s="1"/>
  <c r="AD21"/>
  <c r="AD37" s="1"/>
  <c r="AD423" s="1"/>
  <c r="Z21"/>
  <c r="Z37" s="1"/>
  <c r="Z423" s="1"/>
  <c r="V21"/>
  <c r="V37" s="1"/>
  <c r="V423" s="1"/>
  <c r="R21"/>
  <c r="R37" s="1"/>
  <c r="R423" s="1"/>
  <c r="N21"/>
  <c r="N37" s="1"/>
  <c r="N423" s="1"/>
  <c r="AG30"/>
  <c r="AG46" s="1"/>
  <c r="AG432" s="1"/>
  <c r="X21"/>
  <c r="X37" s="1"/>
  <c r="X423" s="1"/>
  <c r="W30"/>
  <c r="W46" s="1"/>
  <c r="W432" s="1"/>
  <c r="S30"/>
  <c r="S46" s="1"/>
  <c r="S432" s="1"/>
  <c r="K30"/>
  <c r="K46" s="1"/>
  <c r="K432" s="1"/>
  <c r="G30"/>
  <c r="G46" s="1"/>
  <c r="G432" s="1"/>
  <c r="AD29"/>
  <c r="AD45" s="1"/>
  <c r="AD431" s="1"/>
  <c r="V29"/>
  <c r="V45" s="1"/>
  <c r="V431" s="1"/>
  <c r="N29"/>
  <c r="N45" s="1"/>
  <c r="N431" s="1"/>
  <c r="AD27"/>
  <c r="AD43" s="1"/>
  <c r="AD429" s="1"/>
  <c r="V27"/>
  <c r="V43" s="1"/>
  <c r="V429" s="1"/>
  <c r="N27"/>
  <c r="N43" s="1"/>
  <c r="N429" s="1"/>
  <c r="AH25"/>
  <c r="AH41" s="1"/>
  <c r="AH427" s="1"/>
  <c r="Z25"/>
  <c r="Z41" s="1"/>
  <c r="Z427" s="1"/>
  <c r="R25"/>
  <c r="R41" s="1"/>
  <c r="R427" s="1"/>
  <c r="J25"/>
  <c r="J41" s="1"/>
  <c r="J427" s="1"/>
  <c r="AK22"/>
  <c r="AK38" s="1"/>
  <c r="AK424" s="1"/>
  <c r="Y21"/>
  <c r="Y37" s="1"/>
  <c r="Y423" s="1"/>
  <c r="L21"/>
  <c r="L37" s="1"/>
  <c r="L423" s="1"/>
  <c r="AE30"/>
  <c r="AE46" s="1"/>
  <c r="AE432" s="1"/>
  <c r="M30"/>
  <c r="M46" s="1"/>
  <c r="M432" s="1"/>
  <c r="W23"/>
  <c r="W39" s="1"/>
  <c r="W425" s="1"/>
  <c r="U22"/>
  <c r="U38" s="1"/>
  <c r="U424" s="1"/>
  <c r="T21"/>
  <c r="T37" s="1"/>
  <c r="T423" s="1"/>
  <c r="AI21"/>
  <c r="AI37" s="1"/>
  <c r="AI423" s="1"/>
  <c r="AE21"/>
  <c r="AE37" s="1"/>
  <c r="AE423" s="1"/>
  <c r="AA21"/>
  <c r="AA37" s="1"/>
  <c r="AA423" s="1"/>
  <c r="W21"/>
  <c r="W37" s="1"/>
  <c r="W423" s="1"/>
  <c r="S21"/>
  <c r="S37" s="1"/>
  <c r="S423" s="1"/>
  <c r="O21"/>
  <c r="O37" s="1"/>
  <c r="O423" s="1"/>
  <c r="K21"/>
  <c r="K37" s="1"/>
  <c r="K423" s="1"/>
  <c r="AH29"/>
  <c r="AH45" s="1"/>
  <c r="AH431" s="1"/>
  <c r="Z29"/>
  <c r="Z45" s="1"/>
  <c r="Z431" s="1"/>
  <c r="R29"/>
  <c r="R45" s="1"/>
  <c r="R431" s="1"/>
  <c r="J29"/>
  <c r="AH27"/>
  <c r="AH43" s="1"/>
  <c r="AH429" s="1"/>
  <c r="Z27"/>
  <c r="Z43" s="1"/>
  <c r="Z429" s="1"/>
  <c r="R27"/>
  <c r="R43" s="1"/>
  <c r="R429" s="1"/>
  <c r="J27"/>
  <c r="V25"/>
  <c r="V41" s="1"/>
  <c r="V427" s="1"/>
  <c r="N25"/>
  <c r="N41" s="1"/>
  <c r="N427" s="1"/>
  <c r="I30"/>
  <c r="I46" s="1"/>
  <c r="I432" s="1"/>
  <c r="AC21"/>
  <c r="AC37" s="1"/>
  <c r="AC423" s="1"/>
  <c r="H21"/>
  <c r="H37" s="1"/>
  <c r="H423" s="1"/>
  <c r="AI22"/>
  <c r="AI38" s="1"/>
  <c r="AI424" s="1"/>
  <c r="AE22"/>
  <c r="AE38" s="1"/>
  <c r="AE424" s="1"/>
  <c r="AA22"/>
  <c r="AA38" s="1"/>
  <c r="AA424" s="1"/>
  <c r="W22"/>
  <c r="W38" s="1"/>
  <c r="W424" s="1"/>
  <c r="S22"/>
  <c r="S38" s="1"/>
  <c r="S424" s="1"/>
  <c r="O22"/>
  <c r="O38" s="1"/>
  <c r="O424" s="1"/>
  <c r="K22"/>
  <c r="K38" s="1"/>
  <c r="K424" s="1"/>
  <c r="EW163"/>
  <c r="S379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AF376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DK148"/>
  <c r="DM148"/>
  <c r="DO148"/>
  <c r="DQ148"/>
  <c r="DS148"/>
  <c r="DU148"/>
  <c r="DW148"/>
  <c r="DY148"/>
  <c r="EA148"/>
  <c r="EC148"/>
  <c r="EE148"/>
  <c r="EG148"/>
  <c r="EI148"/>
  <c r="DH148"/>
  <c r="DL148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W213" s="1"/>
  <c r="DS98"/>
  <c r="DO98"/>
  <c r="DK98"/>
  <c r="DG98"/>
  <c r="DG213" s="1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G215" s="1"/>
  <c r="EC118"/>
  <c r="DY118"/>
  <c r="DU118"/>
  <c r="DQ118"/>
  <c r="DQ215" s="1"/>
  <c r="DM118"/>
  <c r="DK119"/>
  <c r="EU119" s="1"/>
  <c r="EH128"/>
  <c r="ED128"/>
  <c r="ED216" s="1"/>
  <c r="DZ128"/>
  <c r="DV128"/>
  <c r="DR128"/>
  <c r="DN128"/>
  <c r="DN216" s="1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T215" s="1"/>
  <c r="DV118"/>
  <c r="DV215" s="1"/>
  <c r="DX118"/>
  <c r="DZ118"/>
  <c r="EB118"/>
  <c r="EB215" s="1"/>
  <c r="ED118"/>
  <c r="EF118"/>
  <c r="EH118"/>
  <c r="EJ118"/>
  <c r="EJ215" s="1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DM168"/>
  <c r="DO168"/>
  <c r="DQ168"/>
  <c r="DS168"/>
  <c r="DU168"/>
  <c r="DW168"/>
  <c r="DY168"/>
  <c r="EA168"/>
  <c r="EC168"/>
  <c r="EE168"/>
  <c r="EG168"/>
  <c r="EI168"/>
  <c r="DL168"/>
  <c r="DT168"/>
  <c r="DT220" s="1"/>
  <c r="EB168"/>
  <c r="EJ168"/>
  <c r="DF168"/>
  <c r="DN168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DK108"/>
  <c r="DI108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80"/>
  <c r="P376"/>
  <c r="M381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M221" s="1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Y382"/>
  <c r="N379"/>
  <c r="N375"/>
  <c r="N378"/>
  <c r="N376"/>
  <c r="H381"/>
  <c r="H377"/>
  <c r="H373"/>
  <c r="H376"/>
  <c r="H374"/>
  <c r="AJ30"/>
  <c r="AJ46" s="1"/>
  <c r="AJ432" s="1"/>
  <c r="AJ21"/>
  <c r="AJ37" s="1"/>
  <c r="AJ423" s="1"/>
  <c r="AF21"/>
  <c r="AF37" s="1"/>
  <c r="AF423" s="1"/>
  <c r="AF30"/>
  <c r="AF46" s="1"/>
  <c r="AF432" s="1"/>
  <c r="AB30"/>
  <c r="AB46" s="1"/>
  <c r="AB432" s="1"/>
  <c r="AB21"/>
  <c r="AB37" s="1"/>
  <c r="AB423" s="1"/>
  <c r="P21"/>
  <c r="P30"/>
  <c r="P46" s="1"/>
  <c r="P432" s="1"/>
  <c r="AH28"/>
  <c r="AH44" s="1"/>
  <c r="AH430" s="1"/>
  <c r="AD28"/>
  <c r="AD44" s="1"/>
  <c r="AD430" s="1"/>
  <c r="Z28"/>
  <c r="Z44" s="1"/>
  <c r="Z430" s="1"/>
  <c r="V28"/>
  <c r="V44" s="1"/>
  <c r="V430" s="1"/>
  <c r="R28"/>
  <c r="R44" s="1"/>
  <c r="R430" s="1"/>
  <c r="N28"/>
  <c r="N44" s="1"/>
  <c r="N430" s="1"/>
  <c r="J28"/>
  <c r="CM128"/>
  <c r="AF377"/>
  <c r="H480"/>
  <c r="H470"/>
  <c r="O382"/>
  <c r="O378"/>
  <c r="O374"/>
  <c r="AH23"/>
  <c r="AH39" s="1"/>
  <c r="AH425" s="1"/>
  <c r="AH30"/>
  <c r="AH46" s="1"/>
  <c r="AH432" s="1"/>
  <c r="AD23"/>
  <c r="AD39" s="1"/>
  <c r="AD425" s="1"/>
  <c r="AD30"/>
  <c r="AD46" s="1"/>
  <c r="AD432" s="1"/>
  <c r="Z23"/>
  <c r="Z39" s="1"/>
  <c r="Z425" s="1"/>
  <c r="Z30"/>
  <c r="Z46" s="1"/>
  <c r="Z432" s="1"/>
  <c r="V23"/>
  <c r="V39" s="1"/>
  <c r="V425" s="1"/>
  <c r="V30"/>
  <c r="V46" s="1"/>
  <c r="V432" s="1"/>
  <c r="R23"/>
  <c r="R39" s="1"/>
  <c r="R425" s="1"/>
  <c r="R30"/>
  <c r="R46" s="1"/>
  <c r="R432" s="1"/>
  <c r="N23"/>
  <c r="N39" s="1"/>
  <c r="N425" s="1"/>
  <c r="N30"/>
  <c r="N46" s="1"/>
  <c r="N432" s="1"/>
  <c r="J23"/>
  <c r="J30"/>
  <c r="D70"/>
  <c r="E459"/>
  <c r="G22"/>
  <c r="D71"/>
  <c r="AH26"/>
  <c r="AH42" s="1"/>
  <c r="AH428" s="1"/>
  <c r="AD26"/>
  <c r="AD42" s="1"/>
  <c r="AD428" s="1"/>
  <c r="Z26"/>
  <c r="Z42" s="1"/>
  <c r="Z428" s="1"/>
  <c r="V26"/>
  <c r="V42" s="1"/>
  <c r="V428" s="1"/>
  <c r="R26"/>
  <c r="R42" s="1"/>
  <c r="R428" s="1"/>
  <c r="N26"/>
  <c r="N42" s="1"/>
  <c r="N428" s="1"/>
  <c r="J26"/>
  <c r="AH24"/>
  <c r="AH40" s="1"/>
  <c r="AH426" s="1"/>
  <c r="AD24"/>
  <c r="AD40" s="1"/>
  <c r="AD426" s="1"/>
  <c r="Z24"/>
  <c r="Z40" s="1"/>
  <c r="Z426" s="1"/>
  <c r="V24"/>
  <c r="V40" s="1"/>
  <c r="V426" s="1"/>
  <c r="R24"/>
  <c r="R40" s="1"/>
  <c r="R426" s="1"/>
  <c r="N24"/>
  <c r="N40" s="1"/>
  <c r="N426" s="1"/>
  <c r="J24"/>
  <c r="J40" s="1"/>
  <c r="J426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I426" s="1"/>
  <c r="AE24"/>
  <c r="AE40" s="1"/>
  <c r="AE426" s="1"/>
  <c r="AA24"/>
  <c r="AA40" s="1"/>
  <c r="AA426" s="1"/>
  <c r="W24"/>
  <c r="W40" s="1"/>
  <c r="W426" s="1"/>
  <c r="S24"/>
  <c r="S40" s="1"/>
  <c r="S426" s="1"/>
  <c r="O24"/>
  <c r="O40" s="1"/>
  <c r="O426" s="1"/>
  <c r="K24"/>
  <c r="K40" s="1"/>
  <c r="K426" s="1"/>
  <c r="G24"/>
  <c r="D457"/>
  <c r="G553"/>
  <c r="AH22"/>
  <c r="AH38" s="1"/>
  <c r="AH424" s="1"/>
  <c r="AD22"/>
  <c r="AD38" s="1"/>
  <c r="AD424" s="1"/>
  <c r="Z22"/>
  <c r="Z38" s="1"/>
  <c r="Z424" s="1"/>
  <c r="V22"/>
  <c r="V38" s="1"/>
  <c r="V424" s="1"/>
  <c r="R22"/>
  <c r="R38" s="1"/>
  <c r="R424" s="1"/>
  <c r="N22"/>
  <c r="N38" s="1"/>
  <c r="N424" s="1"/>
  <c r="J22"/>
  <c r="J38" s="1"/>
  <c r="J424" s="1"/>
  <c r="EX168" l="1"/>
  <c r="DN220"/>
  <c r="EY168"/>
  <c r="DO220"/>
  <c r="FA88"/>
  <c r="DQ212"/>
  <c r="FB109"/>
  <c r="DR214"/>
  <c r="EY88"/>
  <c r="DO212"/>
  <c r="EX98"/>
  <c r="DN213"/>
  <c r="EA214"/>
  <c r="DX220"/>
  <c r="EE220"/>
  <c r="EJ218"/>
  <c r="EI218"/>
  <c r="DS218"/>
  <c r="EG212"/>
  <c r="EC216"/>
  <c r="DX213"/>
  <c r="DH213"/>
  <c r="DQ217"/>
  <c r="DP214"/>
  <c r="DR219"/>
  <c r="DT214"/>
  <c r="EC219"/>
  <c r="EB214"/>
  <c r="DY214"/>
  <c r="DR220"/>
  <c r="EB220"/>
  <c r="DY220"/>
  <c r="ED215"/>
  <c r="DN215"/>
  <c r="EC215"/>
  <c r="EI213"/>
  <c r="DX218"/>
  <c r="DU218"/>
  <c r="EI212"/>
  <c r="EA212"/>
  <c r="EE216"/>
  <c r="DW216"/>
  <c r="DR213"/>
  <c r="DW215"/>
  <c r="DU214"/>
  <c r="EC214"/>
  <c r="EC220"/>
  <c r="DU220"/>
  <c r="EH215"/>
  <c r="DZ215"/>
  <c r="DR215"/>
  <c r="DR216"/>
  <c r="EH216"/>
  <c r="DU215"/>
  <c r="EA213"/>
  <c r="EF218"/>
  <c r="DP218"/>
  <c r="EG218"/>
  <c r="DY218"/>
  <c r="DQ218"/>
  <c r="EE212"/>
  <c r="DW212"/>
  <c r="EI216"/>
  <c r="EA216"/>
  <c r="DS216"/>
  <c r="ED213"/>
  <c r="DV213"/>
  <c r="DG214"/>
  <c r="DY221"/>
  <c r="DT219"/>
  <c r="EJ219"/>
  <c r="DU217"/>
  <c r="DX216"/>
  <c r="DX214"/>
  <c r="DT212"/>
  <c r="DX221"/>
  <c r="DS219"/>
  <c r="DT217"/>
  <c r="DV214"/>
  <c r="DW221"/>
  <c r="DZ219"/>
  <c r="EA217"/>
  <c r="EJ214"/>
  <c r="DZ221"/>
  <c r="DQ219"/>
  <c r="EG219"/>
  <c r="DR217"/>
  <c r="EH217"/>
  <c r="DZ214"/>
  <c r="DV212"/>
  <c r="DO219"/>
  <c r="DX217"/>
  <c r="DN214"/>
  <c r="DS221"/>
  <c r="DV219"/>
  <c r="EE217"/>
  <c r="DX212"/>
  <c r="EZ98"/>
  <c r="DP213"/>
  <c r="EY98"/>
  <c r="DO213"/>
  <c r="DS214"/>
  <c r="EI214"/>
  <c r="DW220"/>
  <c r="DT218"/>
  <c r="EA218"/>
  <c r="DY212"/>
  <c r="DU216"/>
  <c r="EF213"/>
  <c r="DU221"/>
  <c r="EF219"/>
  <c r="EG217"/>
  <c r="EG213"/>
  <c r="DZ220"/>
  <c r="DO221"/>
  <c r="DS217"/>
  <c r="EF212"/>
  <c r="DV221"/>
  <c r="DP220"/>
  <c r="EI215"/>
  <c r="EA215"/>
  <c r="DN219"/>
  <c r="DQ214"/>
  <c r="EG214"/>
  <c r="DV220"/>
  <c r="EG220"/>
  <c r="DQ220"/>
  <c r="DZ216"/>
  <c r="DS213"/>
  <c r="EC218"/>
  <c r="DS212"/>
  <c r="DO216"/>
  <c r="EH213"/>
  <c r="DZ213"/>
  <c r="DQ221"/>
  <c r="EG221"/>
  <c r="EB219"/>
  <c r="ED218"/>
  <c r="EE215"/>
  <c r="DQ213"/>
  <c r="EJ212"/>
  <c r="EJ221"/>
  <c r="EI219"/>
  <c r="EJ217"/>
  <c r="DZ212"/>
  <c r="EF220"/>
  <c r="DV218"/>
  <c r="DP216"/>
  <c r="DP212"/>
  <c r="DR221"/>
  <c r="DY219"/>
  <c r="EH218"/>
  <c r="DZ217"/>
  <c r="DS215"/>
  <c r="DU213"/>
  <c r="DT221"/>
  <c r="DT216"/>
  <c r="DR212"/>
  <c r="DO217"/>
  <c r="DO214"/>
  <c r="DW214"/>
  <c r="EE214"/>
  <c r="EH220"/>
  <c r="ED220"/>
  <c r="EJ220"/>
  <c r="EI220"/>
  <c r="EA220"/>
  <c r="DS220"/>
  <c r="EF215"/>
  <c r="DX215"/>
  <c r="DP215"/>
  <c r="DV216"/>
  <c r="DY215"/>
  <c r="EE213"/>
  <c r="EB218"/>
  <c r="EE218"/>
  <c r="DW218"/>
  <c r="DO218"/>
  <c r="EC212"/>
  <c r="DU212"/>
  <c r="EG216"/>
  <c r="DY216"/>
  <c r="DQ216"/>
  <c r="EJ213"/>
  <c r="EB213"/>
  <c r="DT213"/>
  <c r="DL216"/>
  <c r="EC221"/>
  <c r="DX219"/>
  <c r="DN218"/>
  <c r="DY217"/>
  <c r="DO215"/>
  <c r="EF214"/>
  <c r="EB212"/>
  <c r="EB221"/>
  <c r="EA219"/>
  <c r="EB217"/>
  <c r="EC213"/>
  <c r="EE221"/>
  <c r="EH219"/>
  <c r="EI217"/>
  <c r="DY213"/>
  <c r="DN221"/>
  <c r="ED221"/>
  <c r="DU219"/>
  <c r="DR218"/>
  <c r="DV217"/>
  <c r="EB216"/>
  <c r="EH214"/>
  <c r="ED212"/>
  <c r="DW219"/>
  <c r="EF217"/>
  <c r="ED214"/>
  <c r="EA221"/>
  <c r="ED219"/>
  <c r="EF216"/>
  <c r="EU148"/>
  <c r="DK218"/>
  <c r="ES168"/>
  <c r="DI220"/>
  <c r="EV118"/>
  <c r="DL215"/>
  <c r="EU88"/>
  <c r="DK212"/>
  <c r="EU168"/>
  <c r="DK220"/>
  <c r="EV148"/>
  <c r="DL218"/>
  <c r="EQ148"/>
  <c r="DG218"/>
  <c r="EW88"/>
  <c r="DM212"/>
  <c r="EV98"/>
  <c r="DL213"/>
  <c r="DG220"/>
  <c r="DI212"/>
  <c r="DH219"/>
  <c r="DH216"/>
  <c r="DL217"/>
  <c r="DJ221"/>
  <c r="DM219"/>
  <c r="DM215"/>
  <c r="DJ220"/>
  <c r="DM217"/>
  <c r="DK217"/>
  <c r="DJ217"/>
  <c r="DK221"/>
  <c r="DH217"/>
  <c r="DJ212"/>
  <c r="DH221"/>
  <c r="DI216"/>
  <c r="DL221"/>
  <c r="DI217"/>
  <c r="DL212"/>
  <c r="DI219"/>
  <c r="DJ214"/>
  <c r="DJ218"/>
  <c r="DM213"/>
  <c r="DG217"/>
  <c r="DH212"/>
  <c r="EU108"/>
  <c r="DK214"/>
  <c r="ES108"/>
  <c r="DI214"/>
  <c r="EW148"/>
  <c r="DM218"/>
  <c r="EQ128"/>
  <c r="DG216"/>
  <c r="EW108"/>
  <c r="DM214"/>
  <c r="EV168"/>
  <c r="DL220"/>
  <c r="EW168"/>
  <c r="DM220"/>
  <c r="EU98"/>
  <c r="DK213"/>
  <c r="ES148"/>
  <c r="DI218"/>
  <c r="ER118"/>
  <c r="DH215"/>
  <c r="DJ215"/>
  <c r="DM216"/>
  <c r="DG219"/>
  <c r="DL214"/>
  <c r="DJ216"/>
  <c r="DH218"/>
  <c r="DJ213"/>
  <c r="DG215"/>
  <c r="DH220"/>
  <c r="DG212"/>
  <c r="DK216"/>
  <c r="DG221"/>
  <c r="DL219"/>
  <c r="DH214"/>
  <c r="DI221"/>
  <c r="DI215"/>
  <c r="DK219"/>
  <c r="DK215"/>
  <c r="DJ219"/>
  <c r="DI213"/>
  <c r="R442"/>
  <c r="K444"/>
  <c r="AA444"/>
  <c r="AH444"/>
  <c r="O442"/>
  <c r="I61"/>
  <c r="I450"/>
  <c r="R449"/>
  <c r="AE441"/>
  <c r="W443"/>
  <c r="Z445"/>
  <c r="AD447"/>
  <c r="X441"/>
  <c r="V441"/>
  <c r="U441"/>
  <c r="M442"/>
  <c r="H443"/>
  <c r="S443"/>
  <c r="I444"/>
  <c r="Y444"/>
  <c r="I445"/>
  <c r="AC445"/>
  <c r="O445"/>
  <c r="AA445"/>
  <c r="Q446"/>
  <c r="L447"/>
  <c r="T447"/>
  <c r="S446"/>
  <c r="AI446"/>
  <c r="K447"/>
  <c r="AA447"/>
  <c r="Q447"/>
  <c r="AG447"/>
  <c r="AF447"/>
  <c r="W448"/>
  <c r="AC448"/>
  <c r="AB448"/>
  <c r="U448"/>
  <c r="I449"/>
  <c r="AC449"/>
  <c r="AF449"/>
  <c r="W449"/>
  <c r="S449"/>
  <c r="L446"/>
  <c r="AJ446"/>
  <c r="T442"/>
  <c r="I443"/>
  <c r="AC443"/>
  <c r="L444"/>
  <c r="AB445"/>
  <c r="Y449"/>
  <c r="AH441"/>
  <c r="L443"/>
  <c r="H444"/>
  <c r="AE447"/>
  <c r="AJ448"/>
  <c r="N442"/>
  <c r="AD442"/>
  <c r="W444"/>
  <c r="N444"/>
  <c r="AD444"/>
  <c r="AH446"/>
  <c r="N443"/>
  <c r="AD443"/>
  <c r="AH448"/>
  <c r="K442"/>
  <c r="AC441"/>
  <c r="AA441"/>
  <c r="L441"/>
  <c r="V447"/>
  <c r="AD449"/>
  <c r="R441"/>
  <c r="J441"/>
  <c r="AG441"/>
  <c r="X450"/>
  <c r="I442"/>
  <c r="AG442"/>
  <c r="G443"/>
  <c r="AI443"/>
  <c r="U444"/>
  <c r="AF445"/>
  <c r="Y445"/>
  <c r="T445"/>
  <c r="W445"/>
  <c r="I446"/>
  <c r="AK446"/>
  <c r="H447"/>
  <c r="AB447"/>
  <c r="O446"/>
  <c r="AE446"/>
  <c r="G447"/>
  <c r="W447"/>
  <c r="M447"/>
  <c r="AC447"/>
  <c r="P447"/>
  <c r="T448"/>
  <c r="S448"/>
  <c r="Y448"/>
  <c r="Q448"/>
  <c r="AJ449"/>
  <c r="U449"/>
  <c r="T449"/>
  <c r="O449"/>
  <c r="G449"/>
  <c r="Q442"/>
  <c r="AB446"/>
  <c r="AF442"/>
  <c r="Y443"/>
  <c r="AJ444"/>
  <c r="AD445"/>
  <c r="I448"/>
  <c r="H442"/>
  <c r="AJ443"/>
  <c r="O443"/>
  <c r="AF444"/>
  <c r="X448"/>
  <c r="J442"/>
  <c r="Z442"/>
  <c r="V442"/>
  <c r="O444"/>
  <c r="AE444"/>
  <c r="V444"/>
  <c r="Z446"/>
  <c r="R443"/>
  <c r="Z443"/>
  <c r="AH443"/>
  <c r="Z448"/>
  <c r="AF441"/>
  <c r="S442"/>
  <c r="AI442"/>
  <c r="N445"/>
  <c r="Z447"/>
  <c r="Z449"/>
  <c r="S441"/>
  <c r="AI441"/>
  <c r="M61"/>
  <c r="M450"/>
  <c r="AK442"/>
  <c r="AH445"/>
  <c r="N449"/>
  <c r="K450"/>
  <c r="AG450"/>
  <c r="Z441"/>
  <c r="I441"/>
  <c r="Y450"/>
  <c r="H450"/>
  <c r="O450"/>
  <c r="U61"/>
  <c r="U450"/>
  <c r="P443"/>
  <c r="AA443"/>
  <c r="M444"/>
  <c r="AC444"/>
  <c r="M445"/>
  <c r="AG445"/>
  <c r="K445"/>
  <c r="AE445"/>
  <c r="Y446"/>
  <c r="H446"/>
  <c r="AJ447"/>
  <c r="AG446"/>
  <c r="W446"/>
  <c r="M446"/>
  <c r="O447"/>
  <c r="AI447"/>
  <c r="U447"/>
  <c r="AK447"/>
  <c r="AE448"/>
  <c r="K448"/>
  <c r="AA448"/>
  <c r="AG448"/>
  <c r="X449"/>
  <c r="L449"/>
  <c r="M449"/>
  <c r="AG449"/>
  <c r="AB449"/>
  <c r="AE449"/>
  <c r="AA449"/>
  <c r="T446"/>
  <c r="P445"/>
  <c r="X442"/>
  <c r="T443"/>
  <c r="M443"/>
  <c r="AG443"/>
  <c r="T444"/>
  <c r="L445"/>
  <c r="U445"/>
  <c r="X443"/>
  <c r="Q441"/>
  <c r="P444"/>
  <c r="L448"/>
  <c r="AK449"/>
  <c r="AH442"/>
  <c r="R444"/>
  <c r="V446"/>
  <c r="V448"/>
  <c r="AE442"/>
  <c r="R447"/>
  <c r="O441"/>
  <c r="Y441"/>
  <c r="G450"/>
  <c r="L450"/>
  <c r="AK61"/>
  <c r="AK450"/>
  <c r="Y442"/>
  <c r="X445"/>
  <c r="AJ442"/>
  <c r="R446"/>
  <c r="V443"/>
  <c r="R448"/>
  <c r="AA442"/>
  <c r="K441"/>
  <c r="U442"/>
  <c r="R445"/>
  <c r="W61"/>
  <c r="W450"/>
  <c r="Q450"/>
  <c r="AI61"/>
  <c r="AI450"/>
  <c r="AK444"/>
  <c r="P442"/>
  <c r="S444"/>
  <c r="AI444"/>
  <c r="J444"/>
  <c r="Z444"/>
  <c r="N446"/>
  <c r="AD446"/>
  <c r="N448"/>
  <c r="AD448"/>
  <c r="AB441"/>
  <c r="AJ441"/>
  <c r="W442"/>
  <c r="H441"/>
  <c r="V445"/>
  <c r="AH447"/>
  <c r="AH449"/>
  <c r="W441"/>
  <c r="T441"/>
  <c r="J445"/>
  <c r="N447"/>
  <c r="V449"/>
  <c r="S61"/>
  <c r="S450"/>
  <c r="N441"/>
  <c r="AD441"/>
  <c r="M441"/>
  <c r="AC450"/>
  <c r="T450"/>
  <c r="AA450"/>
  <c r="Q443"/>
  <c r="AC442"/>
  <c r="AB443"/>
  <c r="AE443"/>
  <c r="Q444"/>
  <c r="AG444"/>
  <c r="H445"/>
  <c r="Q445"/>
  <c r="AK445"/>
  <c r="S445"/>
  <c r="AI445"/>
  <c r="X447"/>
  <c r="AC446"/>
  <c r="AF446"/>
  <c r="P446"/>
  <c r="K446"/>
  <c r="AA446"/>
  <c r="U446"/>
  <c r="S447"/>
  <c r="I447"/>
  <c r="Y447"/>
  <c r="H448"/>
  <c r="O448"/>
  <c r="AI448"/>
  <c r="AK448"/>
  <c r="M448"/>
  <c r="P449"/>
  <c r="Q449"/>
  <c r="H449"/>
  <c r="K449"/>
  <c r="AI449"/>
  <c r="X446"/>
  <c r="L442"/>
  <c r="AB442"/>
  <c r="K443"/>
  <c r="U443"/>
  <c r="AK443"/>
  <c r="AB444"/>
  <c r="AJ445"/>
  <c r="AF448"/>
  <c r="AF443"/>
  <c r="AK441"/>
  <c r="X444"/>
  <c r="P448"/>
  <c r="J379"/>
  <c r="S378"/>
  <c r="J375"/>
  <c r="J374"/>
  <c r="X381"/>
  <c r="J380"/>
  <c r="S377"/>
  <c r="J382"/>
  <c r="L381"/>
  <c r="J381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F216"/>
  <c r="FU131"/>
  <c r="DF214"/>
  <c r="DF212"/>
  <c r="DF218"/>
  <c r="FU137"/>
  <c r="DF219"/>
  <c r="DF217"/>
  <c r="DF221"/>
  <c r="FR168"/>
  <c r="FT168"/>
  <c r="FS168"/>
  <c r="FC168"/>
  <c r="FH118"/>
  <c r="FO98"/>
  <c r="FG148"/>
  <c r="EY148"/>
  <c r="FM88"/>
  <c r="FE88"/>
  <c r="FQ128"/>
  <c r="ES128"/>
  <c r="FT98"/>
  <c r="FD98"/>
  <c r="FK108"/>
  <c r="ER168"/>
  <c r="FR118"/>
  <c r="FB118"/>
  <c r="FB128"/>
  <c r="FK98"/>
  <c r="EZ148"/>
  <c r="FI148"/>
  <c r="FK128"/>
  <c r="EU128"/>
  <c r="FF98"/>
  <c r="FA108"/>
  <c r="FI108"/>
  <c r="FQ108"/>
  <c r="FH168"/>
  <c r="FD168"/>
  <c r="FO168"/>
  <c r="FG168"/>
  <c r="EQ168"/>
  <c r="FT118"/>
  <c r="FL118"/>
  <c r="FD118"/>
  <c r="EX128"/>
  <c r="FN128"/>
  <c r="FA118"/>
  <c r="FQ118"/>
  <c r="EQ98"/>
  <c r="FG98"/>
  <c r="FT148"/>
  <c r="FD148"/>
  <c r="FS148"/>
  <c r="FK148"/>
  <c r="FC148"/>
  <c r="FQ88"/>
  <c r="FI88"/>
  <c r="ES88"/>
  <c r="FM128"/>
  <c r="FE128"/>
  <c r="EW128"/>
  <c r="FP98"/>
  <c r="FH98"/>
  <c r="ER98"/>
  <c r="DF215"/>
  <c r="FU102"/>
  <c r="FU162"/>
  <c r="FE108"/>
  <c r="FM108"/>
  <c r="FN168"/>
  <c r="FK168"/>
  <c r="FP118"/>
  <c r="EZ118"/>
  <c r="FF128"/>
  <c r="FI118"/>
  <c r="FL148"/>
  <c r="FO148"/>
  <c r="FI128"/>
  <c r="FA128"/>
  <c r="FL98"/>
  <c r="EW178"/>
  <c r="FU178" s="1"/>
  <c r="FC108"/>
  <c r="FS108"/>
  <c r="FM168"/>
  <c r="FE168"/>
  <c r="FJ118"/>
  <c r="FR128"/>
  <c r="FE118"/>
  <c r="FP148"/>
  <c r="FQ148"/>
  <c r="FA148"/>
  <c r="FO88"/>
  <c r="FG88"/>
  <c r="EQ88"/>
  <c r="FS128"/>
  <c r="FC128"/>
  <c r="FN98"/>
  <c r="EY108"/>
  <c r="FG108"/>
  <c r="FO108"/>
  <c r="FB168"/>
  <c r="FF168"/>
  <c r="FL168"/>
  <c r="FQ168"/>
  <c r="FI168"/>
  <c r="FA168"/>
  <c r="FN118"/>
  <c r="FF118"/>
  <c r="EX118"/>
  <c r="ET128"/>
  <c r="FJ128"/>
  <c r="FM118"/>
  <c r="FC98"/>
  <c r="FS98"/>
  <c r="FH148"/>
  <c r="FM148"/>
  <c r="FE148"/>
  <c r="FS88"/>
  <c r="FK88"/>
  <c r="FC88"/>
  <c r="FO128"/>
  <c r="FG128"/>
  <c r="EY128"/>
  <c r="FR98"/>
  <c r="FJ98"/>
  <c r="FB98"/>
  <c r="ET98"/>
  <c r="FU170"/>
  <c r="FU173"/>
  <c r="FU125"/>
  <c r="FU106"/>
  <c r="DF220"/>
  <c r="DF213"/>
  <c r="FU129"/>
  <c r="FU158"/>
  <c r="EK171"/>
  <c r="EK156"/>
  <c r="EW147"/>
  <c r="EU14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J429" s="1"/>
  <c r="C379"/>
  <c r="D411" s="1"/>
  <c r="C378"/>
  <c r="D410" s="1"/>
  <c r="H61"/>
  <c r="Y61"/>
  <c r="AC61"/>
  <c r="AG61"/>
  <c r="O61"/>
  <c r="AA61"/>
  <c r="K61"/>
  <c r="J45"/>
  <c r="J431" s="1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47" l="1"/>
  <c r="C447" s="1"/>
  <c r="J449"/>
  <c r="C449" s="1"/>
  <c r="I476"/>
  <c r="J476" s="1"/>
  <c r="K476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DH229" s="1"/>
  <c r="FU147"/>
  <c r="AD9" s="1"/>
  <c r="DG230"/>
  <c r="Z9"/>
  <c r="FU118"/>
  <c r="DG228"/>
  <c r="FU91"/>
  <c r="DG225"/>
  <c r="FU123"/>
  <c r="AE7" s="1"/>
  <c r="FU155"/>
  <c r="DG231"/>
  <c r="DH231" s="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80"/>
  <c r="K468"/>
  <c r="DH230" l="1"/>
  <c r="C431"/>
  <c r="C429"/>
  <c r="K482"/>
  <c r="K478"/>
  <c r="K490"/>
  <c r="K506"/>
  <c r="K498"/>
  <c r="K500"/>
  <c r="AC6"/>
  <c r="AE6"/>
  <c r="AC4"/>
  <c r="AD5"/>
  <c r="AF5" s="1"/>
  <c r="AD6"/>
  <c r="DH226"/>
  <c r="AC12"/>
  <c r="AC5"/>
  <c r="AA11"/>
  <c r="DH232"/>
  <c r="AD8"/>
  <c r="AE8"/>
  <c r="AA13"/>
  <c r="DH234"/>
  <c r="AF13"/>
  <c r="AE10"/>
  <c r="AE9"/>
  <c r="AF9" s="1"/>
  <c r="AC9"/>
  <c r="AA9"/>
  <c r="F395"/>
  <c r="F381" s="1"/>
  <c r="F390"/>
  <c r="F376" s="1"/>
  <c r="F394"/>
  <c r="F380" s="1"/>
  <c r="U58" s="1"/>
  <c r="AC7"/>
  <c r="DH228"/>
  <c r="AD4"/>
  <c r="AE4"/>
  <c r="AD7"/>
  <c r="AF7" s="1"/>
  <c r="DH22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6" l="1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<sst xmlns="http://schemas.openxmlformats.org/spreadsheetml/2006/main" count="1092" uniqueCount="150">
  <si>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</si>
  <si>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</si>
  <si>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</si>
  <si>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</si>
  <si>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</si>
  <si>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</si>
  <si>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</si>
  <si>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</si>
  <si>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</si>
  <si>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</si>
  <si>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</si>
  <si>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</si>
  <si>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</si>
  <si>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</si>
  <si>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</si>
  <si>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</si>
  <si>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</si>
  <si>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</si>
  <si>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</si>
  <si>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</si>
  <si>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</si>
  <si>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</si>
  <si>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</si>
  <si>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</si>
  <si>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</si>
  <si>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</si>
  <si>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</si>
  <si>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</si>
  <si>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</si>
  <si>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</si>
  <si>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</si>
  <si>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</si>
  <si>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</si>
  <si>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</si>
  <si>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</si>
  <si>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</si>
  <si>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</si>
  <si>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</si>
  <si>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</si>
  <si>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</si>
  <si>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</si>
  <si>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</si>
  <si>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</si>
  <si>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</si>
  <si>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</si>
  <si>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</si>
  <si>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</si>
  <si>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</si>
  <si>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</si>
  <si>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</si>
  <si>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</si>
  <si>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</si>
  <si>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</si>
  <si>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</si>
  <si>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</si>
  <si>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</si>
  <si>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</si>
  <si>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</si>
  <si>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</si>
  <si>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</si>
  <si>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</si>
  <si>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</si>
  <si>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</si>
  <si>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</si>
  <si>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</si>
  <si>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</si>
  <si>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</si>
  <si>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</si>
  <si>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</si>
  <si>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</si>
  <si>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</si>
  <si>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</si>
  <si>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</si>
  <si>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</si>
  <si>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</si>
  <si>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</si>
  <si>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</si>
  <si>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</si>
  <si>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</si>
  <si>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</si>
  <si>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</si>
  <si>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</si>
  <si>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</si>
  <si>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</si>
  <si>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3" type="noConversion"/>
  </si>
  <si>
    <t>removed growth equation - none for this taxon</t>
    <phoneticPr fontId="43" type="noConversion"/>
  </si>
  <si>
    <t>checked CPI looks good</t>
    <phoneticPr fontId="43" type="noConversion"/>
  </si>
  <si>
    <t>removed last dates in monthly summary data</t>
    <phoneticPr fontId="43" type="noConversion"/>
  </si>
  <si>
    <t>removed 11th interval</t>
    <phoneticPr fontId="43" type="noConversion"/>
  </si>
  <si>
    <t>changed last interval to 24 days (to make a year)</t>
    <phoneticPr fontId="43" type="noConversion"/>
  </si>
  <si>
    <t>is the length-weight regression correct?</t>
    <phoneticPr fontId="43" type="noConversion"/>
  </si>
  <si>
    <t>temperatures need to be changed</t>
    <phoneticPr fontId="43" type="noConversion"/>
  </si>
  <si>
    <t>Note that the 10th interval</t>
    <phoneticPr fontId="3" type="noConversion"/>
  </si>
  <si>
    <t xml:space="preserve">is the wrap-around interval to make a year </t>
    <phoneticPr fontId="3" type="noConversion"/>
  </si>
  <si>
    <t>uses the remaining days in the year (24)</t>
    <phoneticPr fontId="3" type="noConversion"/>
  </si>
  <si>
    <t>It averages the abundance of the 1st and last date and</t>
    <phoneticPr fontId="3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</si>
  <si>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</si>
  <si>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</si>
  <si>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</si>
  <si>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</si>
  <si>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</si>
  <si>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</si>
  <si>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</si>
  <si>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</si>
  <si>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</si>
  <si>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</si>
  <si>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</si>
  <si>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</si>
  <si>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</si>
  <si>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</si>
  <si>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</si>
  <si>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</si>
  <si>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</si>
  <si>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</si>
  <si>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</si>
  <si>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</si>
  <si>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</si>
  <si>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</si>
  <si>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</si>
  <si>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</si>
  <si>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</si>
  <si>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</si>
  <si>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</si>
  <si>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</si>
  <si>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</si>
  <si>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</si>
  <si>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</si>
  <si>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</si>
  <si>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</si>
  <si>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</si>
  <si>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</si>
  <si>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</si>
  <si>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</si>
  <si>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</si>
  <si>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</si>
  <si>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</si>
  <si>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</si>
  <si>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</si>
  <si>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</si>
  <si>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</si>
  <si>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</si>
  <si>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</si>
  <si>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</si>
  <si>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</si>
  <si>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</si>
  <si>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</si>
  <si>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</si>
  <si>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</si>
  <si>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</si>
  <si>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Classenia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</si>
</sst>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5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6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6" fillId="2" borderId="0" applyNumberFormat="0" applyBorder="0" applyAlignment="0" applyProtection="0"/>
    <xf numFmtId="0" fontId="26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6" fillId="7" borderId="0" applyNumberFormat="0" applyBorder="0" applyAlignment="0" applyProtection="0"/>
    <xf numFmtId="0" fontId="26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2" borderId="0" applyNumberFormat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6" fillId="2" borderId="0" applyNumberFormat="0" applyBorder="0" applyAlignment="0" applyProtection="0"/>
    <xf numFmtId="0" fontId="26" fillId="13" borderId="0" applyNumberFormat="0" applyBorder="0" applyAlignment="0" applyProtection="0"/>
    <xf numFmtId="0" fontId="25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6" borderId="0" applyNumberFormat="0" applyBorder="0" applyAlignment="0" applyProtection="0"/>
    <xf numFmtId="0" fontId="27" fillId="14" borderId="0" applyNumberFormat="0" applyBorder="0" applyAlignment="0" applyProtection="0"/>
    <xf numFmtId="0" fontId="28" fillId="3" borderId="1" applyNumberFormat="0" applyAlignment="0" applyProtection="0"/>
    <xf numFmtId="0" fontId="29" fillId="15" borderId="2" applyNumberFormat="0" applyAlignment="0" applyProtection="0"/>
    <xf numFmtId="0" fontId="30" fillId="0" borderId="0" applyNumberFormat="0" applyFill="0" applyBorder="0" applyAlignment="0" applyProtection="0"/>
    <xf numFmtId="0" fontId="31" fillId="16" borderId="0" applyNumberFormat="0" applyBorder="0" applyAlignment="0" applyProtection="0"/>
    <xf numFmtId="0" fontId="32" fillId="0" borderId="3" applyNumberFormat="0" applyFill="0" applyAlignment="0" applyProtection="0"/>
    <xf numFmtId="0" fontId="33" fillId="0" borderId="4" applyNumberFormat="0" applyFill="0" applyAlignment="0" applyProtection="0"/>
    <xf numFmtId="0" fontId="34" fillId="0" borderId="5" applyNumberFormat="0" applyFill="0" applyAlignment="0" applyProtection="0"/>
    <xf numFmtId="0" fontId="34" fillId="0" borderId="0" applyNumberForma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35" fillId="6" borderId="1" applyNumberFormat="0" applyAlignment="0" applyProtection="0"/>
    <xf numFmtId="0" fontId="36" fillId="0" borderId="6" applyNumberFormat="0" applyFill="0" applyAlignment="0" applyProtection="0"/>
    <xf numFmtId="0" fontId="37" fillId="9" borderId="0" applyNumberFormat="0" applyBorder="0" applyAlignment="0" applyProtection="0"/>
    <xf numFmtId="169" fontId="21" fillId="0" borderId="0"/>
    <xf numFmtId="169" fontId="21" fillId="0" borderId="0"/>
    <xf numFmtId="0" fontId="2" fillId="8" borderId="7" applyNumberFormat="0" applyFont="0" applyAlignment="0" applyProtection="0"/>
    <xf numFmtId="0" fontId="38" fillId="3" borderId="8" applyNumberFormat="0" applyAlignment="0" applyProtection="0"/>
    <xf numFmtId="0" fontId="39" fillId="0" borderId="0" applyNumberFormat="0" applyFill="0" applyBorder="0" applyAlignment="0" applyProtection="0"/>
    <xf numFmtId="0" fontId="40" fillId="0" borderId="9" applyNumberFormat="0" applyFill="0" applyAlignment="0" applyProtection="0"/>
    <xf numFmtId="0" fontId="41" fillId="0" borderId="0" applyNumberFormat="0" applyFill="0" applyBorder="0" applyAlignment="0" applyProtection="0"/>
    <xf numFmtId="0" fontId="1" fillId="0" borderId="0"/>
  </cellStyleXfs>
  <cellXfs count="234">
    <xf numFmtId="0" fontId="0" fillId="0" borderId="0" xfId="0"/>
    <xf numFmtId="0" fontId="4" fillId="17" borderId="0" xfId="0" applyFont="1" applyFill="1" applyBorder="1"/>
    <xf numFmtId="1" fontId="4" fillId="17" borderId="0" xfId="0" applyNumberFormat="1" applyFont="1" applyFill="1" applyBorder="1"/>
    <xf numFmtId="2" fontId="4" fillId="17" borderId="0" xfId="0" applyNumberFormat="1" applyFont="1" applyFill="1" applyBorder="1"/>
    <xf numFmtId="0" fontId="4" fillId="18" borderId="0" xfId="0" applyFont="1" applyFill="1" applyBorder="1"/>
    <xf numFmtId="0" fontId="4" fillId="19" borderId="0" xfId="0" applyFont="1" applyFill="1" applyBorder="1"/>
    <xf numFmtId="1" fontId="4" fillId="19" borderId="0" xfId="0" applyNumberFormat="1" applyFont="1" applyFill="1" applyBorder="1"/>
    <xf numFmtId="0" fontId="2" fillId="18" borderId="0" xfId="0" applyFont="1" applyFill="1"/>
    <xf numFmtId="0" fontId="2" fillId="0" borderId="0" xfId="0" applyFont="1"/>
    <xf numFmtId="0" fontId="5" fillId="20" borderId="0" xfId="0" applyFont="1" applyFill="1" applyBorder="1" applyAlignment="1">
      <alignment horizontal="center"/>
    </xf>
    <xf numFmtId="0" fontId="5" fillId="20" borderId="0" xfId="0" applyFont="1" applyFill="1" applyBorder="1"/>
    <xf numFmtId="1" fontId="5" fillId="20" borderId="0" xfId="0" applyNumberFormat="1" applyFont="1" applyFill="1" applyBorder="1"/>
    <xf numFmtId="1" fontId="5" fillId="20" borderId="0" xfId="0" applyNumberFormat="1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2" fontId="5" fillId="20" borderId="0" xfId="0" applyNumberFormat="1" applyFont="1" applyFill="1" applyBorder="1" applyAlignment="1">
      <alignment horizontal="center"/>
    </xf>
    <xf numFmtId="0" fontId="5" fillId="18" borderId="0" xfId="0" applyFont="1" applyFill="1" applyBorder="1"/>
    <xf numFmtId="164" fontId="6" fillId="20" borderId="0" xfId="0" applyNumberFormat="1" applyFont="1" applyFill="1" applyBorder="1"/>
    <xf numFmtId="1" fontId="4" fillId="0" borderId="0" xfId="0" applyNumberFormat="1" applyFont="1" applyBorder="1"/>
    <xf numFmtId="0" fontId="4" fillId="0" borderId="0" xfId="0" applyFont="1" applyBorder="1"/>
    <xf numFmtId="0" fontId="5" fillId="20" borderId="0" xfId="0" applyFont="1" applyFill="1" applyBorder="1" applyAlignment="1">
      <alignment horizontal="left"/>
    </xf>
    <xf numFmtId="2" fontId="4" fillId="20" borderId="0" xfId="0" applyNumberFormat="1" applyFont="1" applyFill="1" applyBorder="1"/>
    <xf numFmtId="0" fontId="4" fillId="20" borderId="0" xfId="0" applyNumberFormat="1" applyFont="1" applyFill="1" applyBorder="1"/>
    <xf numFmtId="0" fontId="2" fillId="19" borderId="0" xfId="0" applyFont="1" applyFill="1"/>
    <xf numFmtId="0" fontId="5" fillId="19" borderId="0" xfId="0" applyFont="1" applyFill="1" applyBorder="1"/>
    <xf numFmtId="1" fontId="7" fillId="19" borderId="0" xfId="0" applyNumberFormat="1" applyFont="1" applyFill="1" applyBorder="1"/>
    <xf numFmtId="1" fontId="5" fillId="19" borderId="0" xfId="0" applyNumberFormat="1" applyFont="1" applyFill="1" applyBorder="1"/>
    <xf numFmtId="0" fontId="5" fillId="20" borderId="0" xfId="0" applyFont="1" applyFill="1" applyBorder="1" applyAlignment="1">
      <alignment horizontal="right"/>
    </xf>
    <xf numFmtId="1" fontId="4" fillId="18" borderId="0" xfId="0" applyNumberFormat="1" applyFont="1" applyFill="1" applyBorder="1"/>
    <xf numFmtId="1" fontId="7" fillId="18" borderId="0" xfId="0" applyNumberFormat="1" applyFont="1" applyFill="1" applyBorder="1"/>
    <xf numFmtId="1" fontId="5" fillId="18" borderId="0" xfId="0" applyNumberFormat="1" applyFont="1" applyFill="1" applyBorder="1"/>
    <xf numFmtId="16" fontId="2" fillId="17" borderId="0" xfId="0" applyNumberFormat="1" applyFont="1" applyFill="1" applyBorder="1"/>
    <xf numFmtId="16" fontId="4" fillId="17" borderId="0" xfId="0" applyNumberFormat="1" applyFont="1" applyFill="1" applyBorder="1"/>
    <xf numFmtId="16" fontId="2" fillId="18" borderId="0" xfId="0" applyNumberFormat="1" applyFont="1" applyFill="1" applyBorder="1"/>
    <xf numFmtId="16" fontId="4" fillId="18" borderId="0" xfId="0" applyNumberFormat="1" applyFont="1" applyFill="1" applyBorder="1"/>
    <xf numFmtId="0" fontId="5" fillId="21" borderId="0" xfId="0" applyFont="1" applyFill="1" applyBorder="1"/>
    <xf numFmtId="0" fontId="5" fillId="17" borderId="0" xfId="0" applyFont="1" applyFill="1" applyBorder="1"/>
    <xf numFmtId="16" fontId="8" fillId="17" borderId="0" xfId="0" applyNumberFormat="1" applyFont="1" applyFill="1" applyBorder="1"/>
    <xf numFmtId="1" fontId="7" fillId="17" borderId="0" xfId="0" applyNumberFormat="1" applyFont="1" applyFill="1" applyBorder="1"/>
    <xf numFmtId="1" fontId="5" fillId="17" borderId="0" xfId="0" applyNumberFormat="1" applyFont="1" applyFill="1" applyBorder="1"/>
    <xf numFmtId="2" fontId="5" fillId="20" borderId="0" xfId="0" applyNumberFormat="1" applyFont="1" applyFill="1" applyBorder="1"/>
    <xf numFmtId="16" fontId="5" fillId="20" borderId="0" xfId="0" applyNumberFormat="1" applyFont="1" applyFill="1" applyBorder="1"/>
    <xf numFmtId="1" fontId="9" fillId="17" borderId="0" xfId="0" applyNumberFormat="1" applyFont="1" applyFill="1" applyBorder="1"/>
    <xf numFmtId="0" fontId="2" fillId="21" borderId="0" xfId="0" applyFont="1" applyFill="1" applyBorder="1"/>
    <xf numFmtId="0" fontId="10" fillId="20" borderId="0" xfId="0" applyFont="1" applyFill="1" applyBorder="1" applyAlignment="1">
      <alignment horizontal="right"/>
    </xf>
    <xf numFmtId="1" fontId="10" fillId="20" borderId="0" xfId="0" applyNumberFormat="1" applyFont="1" applyFill="1" applyBorder="1"/>
    <xf numFmtId="1" fontId="10" fillId="20" borderId="0" xfId="0" applyNumberFormat="1" applyFont="1" applyFill="1" applyBorder="1" applyAlignment="1">
      <alignment horizontal="right"/>
    </xf>
    <xf numFmtId="1" fontId="5" fillId="20" borderId="0" xfId="0" applyNumberFormat="1" applyFont="1" applyFill="1" applyBorder="1" applyAlignment="1">
      <alignment horizontal="right"/>
    </xf>
    <xf numFmtId="49" fontId="9" fillId="20" borderId="0" xfId="0" applyNumberFormat="1" applyFont="1" applyFill="1" applyBorder="1" applyAlignment="1">
      <alignment horizontal="center"/>
    </xf>
    <xf numFmtId="165" fontId="4" fillId="0" borderId="0" xfId="0" applyNumberFormat="1" applyFont="1" applyBorder="1"/>
    <xf numFmtId="166" fontId="4" fillId="0" borderId="0" xfId="0" applyNumberFormat="1" applyFont="1" applyBorder="1"/>
    <xf numFmtId="0" fontId="5" fillId="18" borderId="0" xfId="0" applyFont="1" applyFill="1" applyBorder="1" applyAlignment="1">
      <alignment horizontal="center"/>
    </xf>
    <xf numFmtId="0" fontId="11" fillId="0" borderId="0" xfId="0" applyFont="1" applyBorder="1"/>
    <xf numFmtId="165" fontId="11" fillId="0" borderId="0" xfId="0" applyNumberFormat="1" applyFont="1" applyBorder="1"/>
    <xf numFmtId="1" fontId="5" fillId="0" borderId="0" xfId="0" applyNumberFormat="1" applyFont="1" applyBorder="1"/>
    <xf numFmtId="0" fontId="5" fillId="0" borderId="0" xfId="0" applyFont="1" applyBorder="1"/>
    <xf numFmtId="2" fontId="5" fillId="0" borderId="0" xfId="0" applyNumberFormat="1" applyFont="1" applyBorder="1"/>
    <xf numFmtId="0" fontId="12" fillId="17" borderId="0" xfId="0" applyFont="1" applyFill="1" applyBorder="1"/>
    <xf numFmtId="0" fontId="12" fillId="20" borderId="0" xfId="0" applyFont="1" applyFill="1" applyBorder="1"/>
    <xf numFmtId="0" fontId="13" fillId="20" borderId="0" xfId="0" applyFont="1" applyFill="1" applyBorder="1"/>
    <xf numFmtId="1" fontId="11" fillId="0" borderId="0" xfId="0" applyNumberFormat="1" applyFont="1" applyBorder="1"/>
    <xf numFmtId="2" fontId="4" fillId="0" borderId="0" xfId="0" applyNumberFormat="1" applyFont="1" applyBorder="1"/>
    <xf numFmtId="2" fontId="4" fillId="0" borderId="0" xfId="0" applyNumberFormat="1" applyFont="1" applyFill="1" applyBorder="1"/>
    <xf numFmtId="0" fontId="2" fillId="0" borderId="0" xfId="0" applyFont="1" applyBorder="1"/>
    <xf numFmtId="0" fontId="4" fillId="0" borderId="0" xfId="0" applyFont="1" applyFill="1" applyBorder="1"/>
    <xf numFmtId="1" fontId="4" fillId="0" borderId="0" xfId="0" applyNumberFormat="1" applyFont="1" applyFill="1" applyBorder="1"/>
    <xf numFmtId="0" fontId="9" fillId="17" borderId="0" xfId="0" applyFont="1" applyFill="1" applyBorder="1"/>
    <xf numFmtId="2" fontId="9" fillId="17" borderId="0" xfId="0" applyNumberFormat="1" applyFont="1" applyFill="1" applyBorder="1"/>
    <xf numFmtId="0" fontId="9" fillId="18" borderId="0" xfId="0" applyFont="1" applyFill="1" applyBorder="1"/>
    <xf numFmtId="2" fontId="9" fillId="18" borderId="0" xfId="0" applyNumberFormat="1" applyFont="1" applyFill="1" applyBorder="1"/>
    <xf numFmtId="1" fontId="9" fillId="18" borderId="0" xfId="0" applyNumberFormat="1" applyFont="1" applyFill="1" applyBorder="1"/>
    <xf numFmtId="16" fontId="2" fillId="20" borderId="0" xfId="0" applyNumberFormat="1" applyFont="1" applyFill="1" applyBorder="1"/>
    <xf numFmtId="1" fontId="14" fillId="0" borderId="0" xfId="0" applyNumberFormat="1" applyFont="1" applyBorder="1"/>
    <xf numFmtId="16" fontId="2" fillId="0" borderId="0" xfId="0" applyNumberFormat="1" applyFont="1" applyBorder="1"/>
    <xf numFmtId="1" fontId="8" fillId="18" borderId="0" xfId="0" applyNumberFormat="1" applyFont="1" applyFill="1" applyBorder="1"/>
    <xf numFmtId="0" fontId="10" fillId="20" borderId="0" xfId="0" applyFont="1" applyFill="1" applyBorder="1" applyAlignment="1">
      <alignment horizontal="center"/>
    </xf>
    <xf numFmtId="0" fontId="10" fillId="20" borderId="0" xfId="0" applyFont="1" applyFill="1" applyBorder="1"/>
    <xf numFmtId="0" fontId="15" fillId="17" borderId="0" xfId="0" applyFont="1" applyFill="1" applyBorder="1" applyAlignment="1">
      <alignment horizontal="center"/>
    </xf>
    <xf numFmtId="0" fontId="2" fillId="17" borderId="0" xfId="0" applyFont="1" applyFill="1" applyBorder="1"/>
    <xf numFmtId="15" fontId="2" fillId="17" borderId="0" xfId="0" applyNumberFormat="1" applyFont="1" applyFill="1" applyBorder="1"/>
    <xf numFmtId="1" fontId="8" fillId="17" borderId="0" xfId="0" applyNumberFormat="1" applyFont="1" applyFill="1" applyBorder="1"/>
    <xf numFmtId="0" fontId="2" fillId="18" borderId="0" xfId="0" applyFont="1" applyFill="1" applyBorder="1"/>
    <xf numFmtId="15" fontId="2" fillId="18" borderId="0" xfId="0" applyNumberFormat="1" applyFont="1" applyFill="1" applyBorder="1"/>
    <xf numFmtId="2" fontId="4" fillId="18" borderId="0" xfId="0" applyNumberFormat="1" applyFont="1" applyFill="1" applyBorder="1"/>
    <xf numFmtId="0" fontId="8" fillId="18" borderId="0" xfId="0" applyFont="1" applyFill="1" applyBorder="1"/>
    <xf numFmtId="16" fontId="8" fillId="18" borderId="0" xfId="0" applyNumberFormat="1" applyFont="1" applyFill="1" applyBorder="1"/>
    <xf numFmtId="1" fontId="10" fillId="18" borderId="0" xfId="0" applyNumberFormat="1" applyFont="1" applyFill="1" applyBorder="1"/>
    <xf numFmtId="0" fontId="5" fillId="18" borderId="0" xfId="0" applyFont="1" applyFill="1" applyBorder="1" applyAlignment="1">
      <alignment horizontal="right"/>
    </xf>
    <xf numFmtId="2" fontId="5" fillId="18" borderId="0" xfId="0" applyNumberFormat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5" fillId="17" borderId="0" xfId="0" applyFont="1" applyFill="1" applyBorder="1" applyAlignment="1">
      <alignment horizontal="center"/>
    </xf>
    <xf numFmtId="16" fontId="9" fillId="17" borderId="0" xfId="0" applyNumberFormat="1" applyFont="1" applyFill="1" applyBorder="1"/>
    <xf numFmtId="1" fontId="12" fillId="17" borderId="0" xfId="0" applyNumberFormat="1" applyFont="1" applyFill="1" applyBorder="1"/>
    <xf numFmtId="0" fontId="6" fillId="17" borderId="0" xfId="0" applyFont="1" applyFill="1" applyBorder="1"/>
    <xf numFmtId="0" fontId="2" fillId="20" borderId="0" xfId="0" applyFont="1" applyFill="1" applyBorder="1"/>
    <xf numFmtId="0" fontId="4" fillId="17" borderId="0" xfId="0" applyFont="1" applyFill="1" applyBorder="1" applyAlignment="1">
      <alignment horizontal="center"/>
    </xf>
    <xf numFmtId="0" fontId="2" fillId="20" borderId="0" xfId="0" applyFont="1" applyFill="1"/>
    <xf numFmtId="0" fontId="16" fillId="20" borderId="0" xfId="0" applyFont="1" applyFill="1" applyBorder="1"/>
    <xf numFmtId="1" fontId="2" fillId="18" borderId="0" xfId="0" applyNumberFormat="1" applyFont="1" applyFill="1" applyBorder="1"/>
    <xf numFmtId="0" fontId="16" fillId="0" borderId="0" xfId="0" applyFont="1" applyBorder="1"/>
    <xf numFmtId="0" fontId="2" fillId="0" borderId="0" xfId="0" applyFont="1" applyBorder="1" applyAlignment="1">
      <alignment horizontal="right"/>
    </xf>
    <xf numFmtId="2" fontId="2" fillId="0" borderId="0" xfId="0" applyNumberFormat="1" applyFont="1" applyBorder="1"/>
    <xf numFmtId="1" fontId="2" fillId="0" borderId="0" xfId="0" applyNumberFormat="1" applyFont="1" applyBorder="1"/>
    <xf numFmtId="1" fontId="2" fillId="20" borderId="0" xfId="0" applyNumberFormat="1" applyFont="1" applyFill="1" applyBorder="1"/>
    <xf numFmtId="0" fontId="2" fillId="0" borderId="0" xfId="0" applyFont="1" applyFill="1" applyBorder="1"/>
    <xf numFmtId="15" fontId="4" fillId="18" borderId="0" xfId="0" applyNumberFormat="1" applyFont="1" applyFill="1" applyBorder="1"/>
    <xf numFmtId="0" fontId="16" fillId="0" borderId="0" xfId="0" applyFont="1" applyFill="1" applyBorder="1"/>
    <xf numFmtId="167" fontId="4" fillId="0" borderId="0" xfId="0" applyNumberFormat="1" applyFont="1" applyBorder="1"/>
    <xf numFmtId="165" fontId="16" fillId="20" borderId="0" xfId="0" applyNumberFormat="1" applyFont="1" applyFill="1" applyBorder="1"/>
    <xf numFmtId="0" fontId="4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4" fillId="0" borderId="0" xfId="0" applyNumberFormat="1" applyFont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68" fontId="5" fillId="17" borderId="0" xfId="0" applyNumberFormat="1" applyFont="1" applyFill="1" applyBorder="1" applyAlignment="1">
      <alignment horizontal="center"/>
    </xf>
    <xf numFmtId="0" fontId="2" fillId="17" borderId="0" xfId="0" applyFont="1" applyFill="1"/>
    <xf numFmtId="164" fontId="2" fillId="0" borderId="0" xfId="0" applyNumberFormat="1" applyFont="1" applyBorder="1" applyAlignment="1">
      <alignment horizontal="right"/>
    </xf>
    <xf numFmtId="164" fontId="2" fillId="0" borderId="0" xfId="0" applyNumberFormat="1" applyFont="1" applyBorder="1"/>
    <xf numFmtId="0" fontId="6" fillId="18" borderId="0" xfId="0" applyFont="1" applyFill="1"/>
    <xf numFmtId="2" fontId="0" fillId="0" borderId="0" xfId="0" applyNumberFormat="1"/>
    <xf numFmtId="0" fontId="16" fillId="20" borderId="0" xfId="0" applyFont="1" applyFill="1" applyAlignment="1">
      <alignment horizontal="center"/>
    </xf>
    <xf numFmtId="0" fontId="2" fillId="21" borderId="0" xfId="0" applyFont="1" applyFill="1"/>
    <xf numFmtId="2" fontId="2" fillId="20" borderId="0" xfId="0" applyNumberFormat="1" applyFont="1" applyFill="1"/>
    <xf numFmtId="2" fontId="20" fillId="0" borderId="0" xfId="0" applyNumberFormat="1" applyFont="1" applyBorder="1"/>
    <xf numFmtId="0" fontId="2" fillId="0" borderId="0" xfId="0" applyFont="1" applyFill="1"/>
    <xf numFmtId="0" fontId="19" fillId="22" borderId="0" xfId="0" applyFont="1" applyFill="1" applyBorder="1"/>
    <xf numFmtId="0" fontId="16" fillId="22" borderId="0" xfId="0" applyFont="1" applyFill="1" applyBorder="1"/>
    <xf numFmtId="164" fontId="4" fillId="20" borderId="0" xfId="0" applyNumberFormat="1" applyFont="1" applyFill="1" applyBorder="1"/>
    <xf numFmtId="0" fontId="4" fillId="23" borderId="0" xfId="0" applyFont="1" applyFill="1" applyBorder="1"/>
    <xf numFmtId="16" fontId="10" fillId="20" borderId="0" xfId="0" applyNumberFormat="1" applyFont="1" applyFill="1" applyBorder="1"/>
    <xf numFmtId="2" fontId="4" fillId="24" borderId="0" xfId="0" applyNumberFormat="1" applyFont="1" applyFill="1" applyBorder="1"/>
    <xf numFmtId="0" fontId="4" fillId="24" borderId="0" xfId="0" applyFont="1" applyFill="1" applyBorder="1"/>
    <xf numFmtId="1" fontId="4" fillId="24" borderId="0" xfId="0" applyNumberFormat="1" applyFont="1" applyFill="1" applyBorder="1"/>
    <xf numFmtId="1" fontId="5" fillId="18" borderId="0" xfId="0" applyNumberFormat="1" applyFont="1" applyFill="1" applyBorder="1" applyAlignment="1">
      <alignment horizontal="center"/>
    </xf>
    <xf numFmtId="0" fontId="22" fillId="20" borderId="0" xfId="0" applyFont="1" applyFill="1"/>
    <xf numFmtId="0" fontId="4" fillId="17" borderId="0" xfId="0" applyFont="1" applyFill="1" applyBorder="1" applyAlignment="1">
      <alignment horizontal="right"/>
    </xf>
    <xf numFmtId="0" fontId="4" fillId="20" borderId="0" xfId="0" applyFont="1" applyFill="1" applyBorder="1" applyAlignment="1">
      <alignment horizontal="center"/>
    </xf>
    <xf numFmtId="1" fontId="4" fillId="20" borderId="0" xfId="0" applyNumberFormat="1" applyFont="1" applyFill="1" applyBorder="1" applyAlignment="1">
      <alignment horizontal="center"/>
    </xf>
    <xf numFmtId="0" fontId="2" fillId="23" borderId="0" xfId="0" applyFont="1" applyFill="1"/>
    <xf numFmtId="2" fontId="9" fillId="0" borderId="0" xfId="0" applyNumberFormat="1" applyFont="1" applyBorder="1"/>
    <xf numFmtId="1" fontId="23" fillId="20" borderId="0" xfId="0" applyNumberFormat="1" applyFont="1" applyFill="1" applyBorder="1"/>
    <xf numFmtId="0" fontId="24" fillId="20" borderId="0" xfId="0" applyFont="1" applyFill="1" applyAlignment="1">
      <alignment horizontal="center"/>
    </xf>
    <xf numFmtId="0" fontId="9" fillId="18" borderId="0" xfId="0" applyFont="1" applyFill="1" applyBorder="1" applyAlignment="1">
      <alignment horizontal="center"/>
    </xf>
    <xf numFmtId="0" fontId="4" fillId="18" borderId="0" xfId="0" applyFont="1" applyFill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18" fillId="18" borderId="0" xfId="34" applyFont="1" applyFill="1" applyBorder="1" applyAlignment="1" applyProtection="1">
      <alignment horizontal="center"/>
    </xf>
    <xf numFmtId="0" fontId="4" fillId="25" borderId="0" xfId="0" applyFont="1" applyFill="1" applyBorder="1"/>
    <xf numFmtId="1" fontId="4" fillId="25" borderId="0" xfId="0" applyNumberFormat="1" applyFont="1" applyFill="1" applyBorder="1"/>
    <xf numFmtId="2" fontId="4" fillId="25" borderId="0" xfId="0" applyNumberFormat="1" applyFont="1" applyFill="1" applyBorder="1"/>
    <xf numFmtId="1" fontId="8" fillId="25" borderId="0" xfId="0" applyNumberFormat="1" applyFont="1" applyFill="1" applyBorder="1"/>
    <xf numFmtId="0" fontId="2" fillId="25" borderId="0" xfId="0" applyFont="1" applyFill="1"/>
    <xf numFmtId="0" fontId="15" fillId="25" borderId="0" xfId="0" applyFont="1" applyFill="1" applyBorder="1" applyAlignment="1">
      <alignment horizontal="center"/>
    </xf>
    <xf numFmtId="0" fontId="2" fillId="25" borderId="0" xfId="0" applyFont="1" applyFill="1" applyBorder="1"/>
    <xf numFmtId="15" fontId="2" fillId="25" borderId="0" xfId="0" applyNumberFormat="1" applyFont="1" applyFill="1" applyBorder="1"/>
    <xf numFmtId="1" fontId="8" fillId="20" borderId="0" xfId="0" applyNumberFormat="1" applyFont="1" applyFill="1" applyBorder="1"/>
    <xf numFmtId="2" fontId="8" fillId="20" borderId="0" xfId="0" applyNumberFormat="1" applyFont="1" applyFill="1" applyBorder="1"/>
    <xf numFmtId="0" fontId="2" fillId="20" borderId="0" xfId="0" applyFont="1" applyFill="1" applyAlignment="1">
      <alignment horizontal="center"/>
    </xf>
    <xf numFmtId="0" fontId="24" fillId="25" borderId="0" xfId="0" applyFont="1" applyFill="1"/>
    <xf numFmtId="1" fontId="2" fillId="18" borderId="0" xfId="0" applyNumberFormat="1" applyFont="1" applyFill="1" applyAlignment="1">
      <alignment horizontal="center"/>
    </xf>
    <xf numFmtId="1" fontId="21" fillId="18" borderId="0" xfId="39" applyNumberFormat="1" applyFill="1" applyAlignment="1" applyProtection="1">
      <alignment horizontal="center"/>
    </xf>
    <xf numFmtId="166" fontId="2" fillId="18" borderId="0" xfId="0" applyNumberFormat="1" applyFont="1" applyFill="1" applyAlignment="1">
      <alignment horizontal="center"/>
    </xf>
    <xf numFmtId="166" fontId="21" fillId="0" borderId="0" xfId="39" applyNumberFormat="1" applyAlignment="1" applyProtection="1">
      <alignment horizontal="center"/>
    </xf>
    <xf numFmtId="167" fontId="2" fillId="18" borderId="0" xfId="0" applyNumberFormat="1" applyFont="1" applyFill="1"/>
    <xf numFmtId="2" fontId="0" fillId="20" borderId="0" xfId="0" applyNumberFormat="1" applyFill="1"/>
    <xf numFmtId="2" fontId="21" fillId="18" borderId="0" xfId="38" applyNumberFormat="1" applyFill="1" applyAlignment="1" applyProtection="1">
      <alignment horizontal="left"/>
    </xf>
    <xf numFmtId="2" fontId="21" fillId="18" borderId="0" xfId="38" applyNumberFormat="1" applyFill="1" applyAlignment="1">
      <alignment horizontal="left"/>
    </xf>
    <xf numFmtId="166" fontId="21" fillId="18" borderId="0" xfId="39" applyNumberFormat="1" applyFill="1" applyAlignment="1" applyProtection="1">
      <alignment horizontal="center"/>
    </xf>
    <xf numFmtId="166" fontId="21" fillId="18" borderId="0" xfId="38" applyNumberFormat="1" applyFill="1" applyAlignment="1" applyProtection="1">
      <alignment horizontal="center"/>
    </xf>
    <xf numFmtId="0" fontId="10" fillId="18" borderId="0" xfId="0" applyFont="1" applyFill="1" applyBorder="1"/>
    <xf numFmtId="1" fontId="10" fillId="18" borderId="0" xfId="0" applyNumberFormat="1" applyFont="1" applyFill="1" applyBorder="1" applyAlignment="1">
      <alignment horizontal="right"/>
    </xf>
    <xf numFmtId="1" fontId="5" fillId="18" borderId="0" xfId="0" applyNumberFormat="1" applyFont="1" applyFill="1" applyBorder="1" applyAlignment="1">
      <alignment horizontal="right"/>
    </xf>
    <xf numFmtId="16" fontId="2" fillId="18" borderId="0" xfId="0" applyNumberFormat="1" applyFont="1" applyFill="1"/>
    <xf numFmtId="171" fontId="2" fillId="18" borderId="0" xfId="0" applyNumberFormat="1" applyFont="1" applyFill="1"/>
    <xf numFmtId="167" fontId="4" fillId="0" borderId="0" xfId="0" applyNumberFormat="1" applyFont="1" applyBorder="1" applyAlignment="1">
      <alignment horizontal="right"/>
    </xf>
    <xf numFmtId="165" fontId="2" fillId="0" borderId="0" xfId="0" applyNumberFormat="1" applyFont="1" applyFill="1"/>
    <xf numFmtId="165" fontId="4" fillId="20" borderId="0" xfId="0" applyNumberFormat="1" applyFont="1" applyFill="1" applyBorder="1"/>
    <xf numFmtId="1" fontId="2" fillId="25" borderId="0" xfId="0" applyNumberFormat="1" applyFont="1" applyFill="1" applyBorder="1"/>
    <xf numFmtId="0" fontId="42" fillId="26" borderId="10" xfId="0" applyFont="1" applyFill="1" applyBorder="1" applyAlignment="1">
      <alignment horizontal="center"/>
    </xf>
    <xf numFmtId="0" fontId="42" fillId="0" borderId="0" xfId="0" applyFont="1"/>
    <xf numFmtId="0" fontId="10" fillId="26" borderId="0" xfId="0" applyFont="1" applyFill="1" applyBorder="1"/>
    <xf numFmtId="170" fontId="10" fillId="27" borderId="0" xfId="0" applyNumberFormat="1" applyFont="1" applyFill="1" applyBorder="1"/>
    <xf numFmtId="0" fontId="5" fillId="23" borderId="0" xfId="0" applyFont="1" applyFill="1" applyBorder="1"/>
    <xf numFmtId="0" fontId="2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10" fillId="26" borderId="10" xfId="0" applyFont="1" applyFill="1" applyBorder="1"/>
    <xf numFmtId="171" fontId="2" fillId="26" borderId="10" xfId="0" applyNumberFormat="1" applyFont="1" applyFill="1" applyBorder="1"/>
    <xf numFmtId="16" fontId="2" fillId="27" borderId="10" xfId="0" applyNumberFormat="1" applyFont="1" applyFill="1" applyBorder="1"/>
    <xf numFmtId="16" fontId="0" fillId="0" borderId="0" xfId="0" applyNumberFormat="1"/>
    <xf numFmtId="0" fontId="2" fillId="28" borderId="0" xfId="0" applyFont="1" applyFill="1" applyBorder="1" applyAlignment="1">
      <alignment horizontal="center"/>
    </xf>
    <xf numFmtId="0" fontId="4" fillId="28" borderId="0" xfId="0" applyFont="1" applyFill="1" applyBorder="1" applyAlignment="1">
      <alignment horizontal="center"/>
    </xf>
    <xf numFmtId="0" fontId="4" fillId="28" borderId="0" xfId="0" applyFont="1" applyFill="1" applyBorder="1"/>
    <xf numFmtId="0" fontId="0" fillId="29" borderId="10" xfId="0" applyFill="1" applyBorder="1"/>
    <xf numFmtId="0" fontId="2" fillId="29" borderId="10" xfId="0" applyFont="1" applyFill="1" applyBorder="1"/>
    <xf numFmtId="0" fontId="2" fillId="29" borderId="0" xfId="0" applyFont="1" applyFill="1"/>
    <xf numFmtId="16" fontId="2" fillId="29" borderId="10" xfId="0" applyNumberFormat="1" applyFont="1" applyFill="1" applyBorder="1"/>
    <xf numFmtId="0" fontId="10" fillId="29" borderId="10" xfId="0" applyFont="1" applyFill="1" applyBorder="1"/>
    <xf numFmtId="170" fontId="2" fillId="29" borderId="10" xfId="0" applyNumberFormat="1" applyFont="1" applyFill="1" applyBorder="1"/>
    <xf numFmtId="171" fontId="2" fillId="29" borderId="10" xfId="0" applyNumberFormat="1" applyFont="1" applyFill="1" applyBorder="1"/>
    <xf numFmtId="16" fontId="2" fillId="29" borderId="0" xfId="0" applyNumberFormat="1" applyFont="1" applyFill="1"/>
    <xf numFmtId="171" fontId="2" fillId="29" borderId="0" xfId="0" applyNumberFormat="1" applyFont="1" applyFill="1"/>
    <xf numFmtId="0" fontId="2" fillId="29" borderId="0" xfId="0" applyFont="1" applyFill="1" applyBorder="1"/>
    <xf numFmtId="1" fontId="2" fillId="29" borderId="0" xfId="0" applyNumberFormat="1" applyFont="1" applyFill="1" applyBorder="1"/>
    <xf numFmtId="0" fontId="10" fillId="0" borderId="0" xfId="0" applyFont="1" applyFill="1" applyBorder="1"/>
    <xf numFmtId="0" fontId="0" fillId="32" borderId="0" xfId="0" applyFill="1"/>
    <xf numFmtId="0" fontId="2" fillId="32" borderId="10" xfId="0" applyFont="1" applyFill="1" applyBorder="1"/>
    <xf numFmtId="2" fontId="4" fillId="29" borderId="0" xfId="0" applyNumberFormat="1" applyFont="1" applyFill="1" applyBorder="1"/>
    <xf numFmtId="0" fontId="0" fillId="30" borderId="0" xfId="0" applyFill="1"/>
    <xf numFmtId="0" fontId="2" fillId="31" borderId="13" xfId="0" applyFont="1" applyFill="1" applyBorder="1" applyAlignment="1"/>
    <xf numFmtId="0" fontId="2" fillId="31" borderId="14" xfId="0" applyFont="1" applyFill="1" applyBorder="1" applyAlignment="1"/>
    <xf numFmtId="0" fontId="2" fillId="33" borderId="0" xfId="0" applyFont="1" applyFill="1"/>
    <xf numFmtId="0" fontId="2" fillId="34" borderId="10" xfId="0" applyFont="1" applyFill="1" applyBorder="1"/>
    <xf numFmtId="0" fontId="2" fillId="31" borderId="14" xfId="0" applyFont="1" applyFill="1" applyBorder="1" applyAlignment="1">
      <alignment horizontal="center"/>
    </xf>
    <xf numFmtId="164" fontId="2" fillId="31" borderId="14" xfId="0" applyNumberFormat="1" applyFont="1" applyFill="1" applyBorder="1" applyAlignment="1"/>
    <xf numFmtId="164" fontId="4" fillId="20" borderId="11" xfId="0" applyNumberFormat="1" applyFont="1" applyFill="1" applyBorder="1"/>
    <xf numFmtId="0" fontId="4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" fillId="20" borderId="0" xfId="0" applyFont="1" applyFill="1" applyAlignment="1">
      <alignment horizontal="center"/>
    </xf>
    <xf numFmtId="0" fontId="19" fillId="29" borderId="0" xfId="0" applyFont="1" applyFill="1" applyBorder="1" applyAlignment="1">
      <alignment horizontal="center"/>
    </xf>
    <xf numFmtId="0" fontId="2" fillId="33" borderId="12" xfId="0" applyFont="1" applyFill="1" applyBorder="1" applyAlignment="1">
      <alignment horizontal="center"/>
    </xf>
    <xf numFmtId="0" fontId="44" fillId="20" borderId="12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44" fillId="19" borderId="0" xfId="0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45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A416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10"/>
      <c r="FY2" s="210"/>
      <c r="FZ2" s="210"/>
      <c r="GA2" s="210"/>
      <c r="GB2" s="210"/>
      <c r="GC2" s="229" t="s">
        <v>144</v>
      </c>
      <c r="GD2" s="229"/>
      <c r="GE2" s="229"/>
      <c r="GF2" s="229"/>
      <c r="GG2" s="229"/>
      <c r="GH2" s="229"/>
      <c r="GI2" s="229"/>
      <c r="GJ2" s="210"/>
      <c r="GK2" s="210"/>
      <c r="GL2" s="210"/>
      <c r="GM2" s="210"/>
      <c r="GN2" s="210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10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10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13.388848824786322</v>
      </c>
      <c r="N4" s="130">
        <v>108.41576179917243</v>
      </c>
      <c r="O4" s="130">
        <v>764.13164688489871</v>
      </c>
      <c r="P4" s="130">
        <v>188.34091521219082</v>
      </c>
      <c r="Q4" s="130">
        <v>100.56711951412396</v>
      </c>
      <c r="R4" s="130">
        <v>725.01026333854554</v>
      </c>
      <c r="S4" s="131" t="e">
        <v>#DIV/0!</v>
      </c>
      <c r="T4" s="131" t="e">
        <v>#DIV/0!</v>
      </c>
      <c r="U4" s="5"/>
      <c r="V4" s="4"/>
      <c r="W4" s="127">
        <f t="shared" ref="W4:W13" si="0">C4</f>
        <v>39646</v>
      </c>
      <c r="X4" s="132">
        <f>AVERAGE(EK88:EK97)</f>
        <v>0</v>
      </c>
      <c r="Y4" s="131">
        <f>COUNT(EK88:EK97)</f>
        <v>10</v>
      </c>
      <c r="Z4" s="130">
        <f>STDEV(EK88:EK97)</f>
        <v>0</v>
      </c>
      <c r="AA4" s="130">
        <f>Z4/SQRT(Y4)</f>
        <v>0</v>
      </c>
      <c r="AB4" s="131"/>
      <c r="AC4" s="130">
        <f>AVERAGE($FU88:$FU97)</f>
        <v>0</v>
      </c>
      <c r="AD4" s="132">
        <f>COUNT($FU88:$FU97)</f>
        <v>10</v>
      </c>
      <c r="AE4" s="130">
        <f>STDEV($FU88:$FU97)</f>
        <v>0</v>
      </c>
      <c r="AF4" s="130">
        <f>AE4/SQRT(AD4)</f>
        <v>0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2" t="s">
        <v>148</v>
      </c>
      <c r="FK4" s="232"/>
      <c r="FL4" s="232"/>
      <c r="FM4" s="232"/>
      <c r="FN4" s="5"/>
      <c r="FO4" s="5"/>
      <c r="FX4" s="210"/>
      <c r="FY4" s="212" t="s">
        <v>143</v>
      </c>
      <c r="FZ4" s="213">
        <f>C4</f>
        <v>39646</v>
      </c>
      <c r="GA4" s="213">
        <f>C5</f>
        <v>39673</v>
      </c>
      <c r="GB4" s="213">
        <f>C6</f>
        <v>39714</v>
      </c>
      <c r="GC4" s="213">
        <f>C7</f>
        <v>39747</v>
      </c>
      <c r="GD4" s="213">
        <f>C8</f>
        <v>39775</v>
      </c>
      <c r="GE4" s="213">
        <f>C9</f>
        <v>39799</v>
      </c>
      <c r="GF4" s="213">
        <f>C10</f>
        <v>39847</v>
      </c>
      <c r="GG4" s="213">
        <f>C11</f>
        <v>39910</v>
      </c>
      <c r="GH4" s="213">
        <f>C12</f>
        <v>39949</v>
      </c>
      <c r="GI4" s="213">
        <f>C13</f>
        <v>39987</v>
      </c>
      <c r="GJ4" s="209"/>
      <c r="GK4" s="209"/>
      <c r="GL4" s="209"/>
      <c r="GM4" s="209"/>
      <c r="GN4" s="210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13.375530221688042</v>
      </c>
      <c r="N5" s="130">
        <f t="shared" si="1"/>
        <v>107.93401784720895</v>
      </c>
      <c r="O5" s="130">
        <f t="shared" si="1"/>
        <v>753.30210967374865</v>
      </c>
      <c r="P5" s="130">
        <f t="shared" si="1"/>
        <v>187.82240783675246</v>
      </c>
      <c r="Q5" s="130">
        <f t="shared" si="1"/>
        <v>100.12000292036852</v>
      </c>
      <c r="R5" s="130">
        <f t="shared" si="1"/>
        <v>744.2718302866873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13.958333333333332</v>
      </c>
      <c r="Y5" s="131">
        <f>COUNT(EK98:EK107)</f>
        <v>10</v>
      </c>
      <c r="Z5" s="130">
        <f>STDEV(EK98:EK107)</f>
        <v>18.764140758240483</v>
      </c>
      <c r="AA5" s="130">
        <f t="shared" ref="AA5:AA13" si="2">Z5/SQRT(Y5)</f>
        <v>5.9337423132038829</v>
      </c>
      <c r="AB5" s="131"/>
      <c r="AC5" s="130">
        <f>AVERAGE($FU98:$FU107)</f>
        <v>11.72778517386141</v>
      </c>
      <c r="AD5" s="132">
        <f>COUNT($FU98:$FU107)</f>
        <v>10</v>
      </c>
      <c r="AE5" s="130">
        <f>STDEV($FU98:$FU107)</f>
        <v>16.981006229541659</v>
      </c>
      <c r="AF5" s="130">
        <f t="shared" ref="AF5:AF13" si="3">AE5/SQRT(AD5)</f>
        <v>5.3698656646859666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10"/>
      <c r="FY5" s="210"/>
      <c r="FZ5" s="210"/>
      <c r="GA5" s="210"/>
      <c r="GB5" s="210"/>
      <c r="GC5" s="210"/>
      <c r="GD5" s="210"/>
      <c r="GE5" s="210"/>
      <c r="GF5" s="210"/>
      <c r="GG5" s="210"/>
      <c r="GH5" s="210"/>
      <c r="GI5" s="210"/>
      <c r="GJ5" s="210"/>
      <c r="GK5" s="210"/>
      <c r="GL5" s="210"/>
      <c r="GM5" s="210"/>
      <c r="GN5" s="210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18.866546474358977</v>
      </c>
      <c r="N6" s="130">
        <f t="shared" si="4"/>
        <v>187.2235223189293</v>
      </c>
      <c r="O6" s="130">
        <f t="shared" si="4"/>
        <v>1336.9283950691065</v>
      </c>
      <c r="P6" s="130">
        <f t="shared" si="4"/>
        <v>280.70578211709585</v>
      </c>
      <c r="Q6" s="130">
        <f t="shared" si="4"/>
        <v>173.69006746210411</v>
      </c>
      <c r="R6" s="130">
        <f t="shared" si="4"/>
        <v>1376.4285804183005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7.2916666666666661</v>
      </c>
      <c r="Y6" s="131">
        <f>COUNT(EK108:EK117)</f>
        <v>10</v>
      </c>
      <c r="Z6" s="130">
        <f>STDEV(EK108:EK117)</f>
        <v>11.03489484866021</v>
      </c>
      <c r="AA6" s="130">
        <f t="shared" si="2"/>
        <v>3.4895401462225308</v>
      </c>
      <c r="AB6" s="131"/>
      <c r="AC6" s="130">
        <f>AVERAGE($FU108:$FU117)</f>
        <v>263.3967951694712</v>
      </c>
      <c r="AD6" s="132">
        <f>COUNT($FU108:$FU117)</f>
        <v>10</v>
      </c>
      <c r="AE6" s="130">
        <f>STDEV($FU108:$FU117)</f>
        <v>535.85900492419501</v>
      </c>
      <c r="AF6" s="130">
        <f t="shared" si="3"/>
        <v>169.45349602718395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0" t="s">
        <v>145</v>
      </c>
      <c r="FJ6" s="230"/>
      <c r="FK6" s="231" t="s">
        <v>146</v>
      </c>
      <c r="FL6" s="231"/>
      <c r="FM6" s="231" t="s">
        <v>147</v>
      </c>
      <c r="FN6" s="231"/>
      <c r="FO6" s="5"/>
      <c r="FY6" s="211">
        <v>1</v>
      </c>
      <c r="FZ6">
        <v>37.964176199473151</v>
      </c>
      <c r="GA6">
        <v>42.796653903635281</v>
      </c>
      <c r="GB6">
        <v>26.184589489930115</v>
      </c>
      <c r="GC6">
        <v>2.0413487415278331</v>
      </c>
      <c r="GD6">
        <v>0.16535710024677736</v>
      </c>
      <c r="GE6">
        <v>0.15784708526603611</v>
      </c>
      <c r="GF6">
        <v>1.0259273963560593</v>
      </c>
      <c r="GG6">
        <v>6.1379703915131945</v>
      </c>
      <c r="GH6">
        <v>18.899809692038044</v>
      </c>
      <c r="GI6">
        <v>35.17372451477587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8.3492437900641008</v>
      </c>
      <c r="N7" s="130">
        <f t="shared" si="5"/>
        <v>45.402584887001687</v>
      </c>
      <c r="O7" s="130">
        <f t="shared" si="5"/>
        <v>266.37693968782094</v>
      </c>
      <c r="P7" s="130">
        <f t="shared" si="5"/>
        <v>110.12179492076798</v>
      </c>
      <c r="Q7" s="130">
        <f t="shared" si="5"/>
        <v>42.181648200728873</v>
      </c>
      <c r="R7" s="130">
        <f t="shared" si="5"/>
        <v>283.86261960381023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36.474116161616166</v>
      </c>
      <c r="Y7" s="131">
        <f>COUNT(EK118:EK127)</f>
        <v>10</v>
      </c>
      <c r="Z7" s="130">
        <f>STDEV(EK118:EK127)</f>
        <v>48.156708490811845</v>
      </c>
      <c r="AA7" s="130">
        <f t="shared" si="2"/>
        <v>15.22848834477352</v>
      </c>
      <c r="AB7" s="131"/>
      <c r="AC7" s="130">
        <f>AVERAGE($FU118:$FU127)</f>
        <v>342.0231547860522</v>
      </c>
      <c r="AD7" s="132">
        <f>COUNT($FU118:$FU127)</f>
        <v>10</v>
      </c>
      <c r="AE7" s="130">
        <f>STDEV($FU118:$FU127)</f>
        <v>685.79234657654297</v>
      </c>
      <c r="AF7" s="130">
        <f t="shared" si="3"/>
        <v>216.86658170934524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33">
        <f>AVERAGE(FZ6:FZ1005)</f>
        <v>35.566259656477683</v>
      </c>
      <c r="FJ7" s="233"/>
      <c r="FK7" s="233">
        <f>PERCENTILE($FZ$6:$FZ$1005,0.975)</f>
        <v>66.485602925521547</v>
      </c>
      <c r="FL7" s="233"/>
      <c r="FM7" s="233">
        <f>PERCENTILE($FZ$6:$FZ$1005,0.025)</f>
        <v>11.181137925809029</v>
      </c>
      <c r="FN7" s="233"/>
      <c r="FO7" s="5"/>
      <c r="FY7" s="211">
        <v>2</v>
      </c>
      <c r="FZ7">
        <v>52.973267637960383</v>
      </c>
      <c r="GA7">
        <v>55.061858432674391</v>
      </c>
      <c r="GB7">
        <v>21.323348051178058</v>
      </c>
      <c r="GC7">
        <v>1.0194820328686687</v>
      </c>
      <c r="GD7">
        <v>7.2416467423622538E-2</v>
      </c>
      <c r="GE7">
        <v>6.4145476115377922E-2</v>
      </c>
      <c r="GF7">
        <v>0.71215933840703993</v>
      </c>
      <c r="GG7">
        <v>10.986278908230709</v>
      </c>
      <c r="GH7">
        <v>22.422890605804085</v>
      </c>
      <c r="GI7">
        <v>31.930669062835186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14.852855477855476</v>
      </c>
      <c r="Y8" s="131">
        <f>COUNT(EK128:EK137)</f>
        <v>10</v>
      </c>
      <c r="Z8" s="130">
        <f>STDEV(EK128:EK137)</f>
        <v>26.688366946693957</v>
      </c>
      <c r="AA8" s="130">
        <f t="shared" si="2"/>
        <v>8.4396026581906476</v>
      </c>
      <c r="AB8" s="131"/>
      <c r="AC8" s="130">
        <f>AVERAGE($FU128:$FU137)</f>
        <v>9.8973079854005199</v>
      </c>
      <c r="AD8" s="132">
        <f>COUNT($FU128:$FU137)</f>
        <v>10</v>
      </c>
      <c r="AE8" s="130">
        <f>STDEV($FU128:$FU137)</f>
        <v>18.252567596458199</v>
      </c>
      <c r="AF8" s="130">
        <f t="shared" si="3"/>
        <v>5.7719686750993011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33">
        <f>AVERAGE(GA6:GA1005)</f>
        <v>40.032138945948581</v>
      </c>
      <c r="FJ8" s="233"/>
      <c r="FK8" s="233">
        <f>PERCENTILE($GA$6:$GA$1005,0.975)</f>
        <v>69.329507310140642</v>
      </c>
      <c r="FL8" s="233"/>
      <c r="FM8" s="233">
        <f>PERCENTILE($GA$6:$GA$1005,0.025)</f>
        <v>16.094303778422177</v>
      </c>
      <c r="FN8" s="233"/>
      <c r="FO8" s="5"/>
      <c r="FY8" s="211">
        <v>3</v>
      </c>
      <c r="FZ8">
        <v>52.973267637960383</v>
      </c>
      <c r="GA8">
        <v>55.061858432674391</v>
      </c>
      <c r="GB8">
        <v>46.822696702232705</v>
      </c>
      <c r="GC8">
        <v>3.8153373782845015</v>
      </c>
      <c r="GD8">
        <v>0.3797548537335943</v>
      </c>
      <c r="GE8">
        <v>0.44402536592756425</v>
      </c>
      <c r="GF8">
        <v>2.2137074874931519</v>
      </c>
      <c r="GG8">
        <v>0</v>
      </c>
      <c r="GH8">
        <v>8.0565532890635385</v>
      </c>
      <c r="GI8">
        <v>41.043351726649995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24.526515151515149</v>
      </c>
      <c r="Y9" s="131">
        <f>COUNT(EK138:EK147)</f>
        <v>10</v>
      </c>
      <c r="Z9" s="130">
        <f>STDEV(EK138:EK147)</f>
        <v>46.472215601375453</v>
      </c>
      <c r="AA9" s="130">
        <f t="shared" si="2"/>
        <v>14.695804921475801</v>
      </c>
      <c r="AB9" s="131"/>
      <c r="AC9" s="130">
        <f>AVERAGE($FU138:$FU147)</f>
        <v>312.04079381068158</v>
      </c>
      <c r="AD9" s="132">
        <f>COUNT($FU138:$FU147)</f>
        <v>10</v>
      </c>
      <c r="AE9" s="130">
        <f>STDEV($FU138:$FU147)</f>
        <v>648.45272830950194</v>
      </c>
      <c r="AF9" s="130">
        <f t="shared" si="3"/>
        <v>205.05875764083734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33">
        <f>AVERAGE(GB6:GB1005)</f>
        <v>43.084711589984707</v>
      </c>
      <c r="FJ9" s="233"/>
      <c r="FK9" s="233">
        <f>PERCENTILE($GB$6:$GB$1005,0.975)</f>
        <v>82.191218699059888</v>
      </c>
      <c r="FL9" s="233"/>
      <c r="FM9" s="233">
        <f>PERCENTILE($GB$6:$GB$1005,0.025)</f>
        <v>11.852551740954869</v>
      </c>
      <c r="FN9" s="233"/>
      <c r="FO9" s="5"/>
      <c r="FY9" s="211">
        <v>4</v>
      </c>
      <c r="FZ9">
        <v>33.632208950475615</v>
      </c>
      <c r="GA9">
        <v>32.488586936579388</v>
      </c>
      <c r="GB9">
        <v>30.467945283966358</v>
      </c>
      <c r="GC9">
        <v>3.9297552342011839</v>
      </c>
      <c r="GD9">
        <v>0.45488231396347317</v>
      </c>
      <c r="GE9">
        <v>0.34571929822117142</v>
      </c>
      <c r="GF9">
        <v>2.8594870570667958</v>
      </c>
      <c r="GG9">
        <v>12.348063656180779</v>
      </c>
      <c r="GH9">
        <v>28.510974516214468</v>
      </c>
      <c r="GI9">
        <v>38.929657035894671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12.586805555555555</v>
      </c>
      <c r="Y10" s="131">
        <f>COUNT(EK148:EK157)</f>
        <v>8</v>
      </c>
      <c r="Z10" s="130">
        <f>STDEV(EK148:EK157)</f>
        <v>24.194580838552724</v>
      </c>
      <c r="AA10" s="130">
        <f t="shared" si="2"/>
        <v>8.5540760894533676</v>
      </c>
      <c r="AB10" s="131"/>
      <c r="AC10" s="130">
        <f>AVERAGE($FU148:$FU157)</f>
        <v>4.197526373807225</v>
      </c>
      <c r="AD10" s="132">
        <f>COUNT($FU148:$FU157)</f>
        <v>8</v>
      </c>
      <c r="AE10" s="130">
        <f>STDEV($FU148:$FU157)</f>
        <v>6.7150950440136308</v>
      </c>
      <c r="AF10" s="130">
        <f t="shared" si="3"/>
        <v>2.3741446209671078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33">
        <f>AVERAGE(GC6:GC1005)</f>
        <v>2.3953382656880748</v>
      </c>
      <c r="FJ10" s="233"/>
      <c r="FK10" s="233">
        <f>PERCENTILE($GC$6:$GC$1005,0.975)</f>
        <v>4.4370798858461251</v>
      </c>
      <c r="FL10" s="233"/>
      <c r="FM10" s="233">
        <f>PERCENTILE($GC$6:$GC$1005,0.025)</f>
        <v>0.8194537858639418</v>
      </c>
      <c r="FN10" s="233"/>
      <c r="FO10" s="5"/>
      <c r="FY10" s="211">
        <v>5</v>
      </c>
      <c r="FZ10">
        <v>38.710644217106292</v>
      </c>
      <c r="GA10">
        <v>43.624882696566331</v>
      </c>
      <c r="GB10">
        <v>17.076754627600259</v>
      </c>
      <c r="GC10">
        <v>1.1823770646965106</v>
      </c>
      <c r="GD10">
        <v>0.26371971868244504</v>
      </c>
      <c r="GE10">
        <v>0.70107626504289478</v>
      </c>
      <c r="GF10">
        <v>2.0545280456163195</v>
      </c>
      <c r="GG10">
        <v>6.7094621722347103</v>
      </c>
      <c r="GH10">
        <v>21.282136914231469</v>
      </c>
      <c r="GI10">
        <v>23.425144969969683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3.125</v>
      </c>
      <c r="Y11" s="131">
        <f>COUNT(EK158:EK167)</f>
        <v>10</v>
      </c>
      <c r="Z11" s="130">
        <f>STDEV(EK158:EK167)</f>
        <v>7.0307141428182591</v>
      </c>
      <c r="AA11" s="130">
        <f t="shared" si="2"/>
        <v>2.2233070268864057</v>
      </c>
      <c r="AB11" s="131"/>
      <c r="AC11" s="130">
        <f>AVERAGE($FU158:$FU167)</f>
        <v>1.0175562791501647</v>
      </c>
      <c r="AD11" s="132">
        <f>COUNT($FU158:$FU167)</f>
        <v>10</v>
      </c>
      <c r="AE11" s="130">
        <f>STDEV($FU158:$FU167)</f>
        <v>2.151663696016072</v>
      </c>
      <c r="AF11" s="130">
        <f t="shared" si="3"/>
        <v>0.68041580381069511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33">
        <f>AVERAGE(GD5:GD1005)</f>
        <v>0.29333683809149336</v>
      </c>
      <c r="FJ11" s="233"/>
      <c r="FK11" s="233">
        <f>PERCENTILE($GD$6:$GD$1005,0.975)</f>
        <v>0.57996213812031394</v>
      </c>
      <c r="FL11" s="233"/>
      <c r="FM11" s="233">
        <f>PERCENTILE($GD$6:$GD$1005,0.025)</f>
        <v>6.9705474617366134E-2</v>
      </c>
      <c r="FN11" s="233"/>
      <c r="FO11" s="5"/>
      <c r="FY11" s="211">
        <v>6</v>
      </c>
      <c r="FZ11">
        <v>21.495882401818548</v>
      </c>
      <c r="GA11">
        <v>30.827122876936354</v>
      </c>
      <c r="GB11">
        <v>45.260397361279587</v>
      </c>
      <c r="GC11">
        <v>2.8936038477782593</v>
      </c>
      <c r="GD11">
        <v>0.40027901913312658</v>
      </c>
      <c r="GE11">
        <v>0.38947731524800216</v>
      </c>
      <c r="GF11">
        <v>1.5861713715951131</v>
      </c>
      <c r="GG11">
        <v>13.80557965020374</v>
      </c>
      <c r="GH11">
        <v>26.03730940679559</v>
      </c>
      <c r="GI11">
        <v>42.824266564369481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8.3333333333333321</v>
      </c>
      <c r="Y12" s="131">
        <f>COUNT(EK168:EK177)</f>
        <v>10</v>
      </c>
      <c r="Z12" s="130">
        <f>STDEV(EK168:EK177)</f>
        <v>12.804922857351233</v>
      </c>
      <c r="AA12" s="130">
        <f t="shared" si="2"/>
        <v>4.0492721491981252</v>
      </c>
      <c r="AB12" s="131"/>
      <c r="AC12" s="130">
        <f>AVERAGE($FU168:$FU177)</f>
        <v>40.337584589212689</v>
      </c>
      <c r="AD12" s="132">
        <f>COUNT($FU168:$FU177)</f>
        <v>10</v>
      </c>
      <c r="AE12" s="130">
        <f>STDEV($FU168:$FU177)</f>
        <v>76.857153136754562</v>
      </c>
      <c r="AF12" s="130">
        <f t="shared" si="3"/>
        <v>24.3043658388499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33">
        <f>AVERAGE(GE6:GE1005)</f>
        <v>0.47847116245429089</v>
      </c>
      <c r="FJ12" s="233"/>
      <c r="FK12" s="233">
        <f>PERCENTILE($GE$6:$GE$1005,0.975)</f>
        <v>1.0810819851062015</v>
      </c>
      <c r="FL12" s="233"/>
      <c r="FM12" s="233">
        <f>PERCENTILE($GE$6:$GE$1005,0.025)</f>
        <v>2.9556133035280256E-2</v>
      </c>
      <c r="FN12" s="233"/>
      <c r="FO12" s="5"/>
      <c r="FY12" s="211">
        <v>7</v>
      </c>
      <c r="FZ12">
        <v>26.543187409331395</v>
      </c>
      <c r="GA12">
        <v>30.416283681518742</v>
      </c>
      <c r="GB12">
        <v>55.309714619435681</v>
      </c>
      <c r="GC12">
        <v>4.0690842147343629</v>
      </c>
      <c r="GD12">
        <v>0.40570100474563942</v>
      </c>
      <c r="GE12">
        <v>0.50817084204294227</v>
      </c>
      <c r="GF12">
        <v>2.8997453776085216</v>
      </c>
      <c r="GG12">
        <v>6.9506554481383152</v>
      </c>
      <c r="GH12">
        <v>11.165776359289314</v>
      </c>
      <c r="GI12">
        <v>51.16537481238241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1.0416666666666665</v>
      </c>
      <c r="Y13" s="131">
        <f>COUNT(EK178:EK187)</f>
        <v>10</v>
      </c>
      <c r="Z13" s="130">
        <f>STDEV(EK178:EK187)</f>
        <v>3.2940392293420615</v>
      </c>
      <c r="AA13" s="130">
        <f t="shared" si="2"/>
        <v>1.0416666666666665</v>
      </c>
      <c r="AB13" s="131"/>
      <c r="AC13" s="130">
        <f>AVERAGE($FU178:$FU187)</f>
        <v>1.7587723455391697</v>
      </c>
      <c r="AD13" s="132">
        <f>COUNT($FU178:$FU187)</f>
        <v>10</v>
      </c>
      <c r="AE13" s="130">
        <f>STDEV($FU178:$FU187)</f>
        <v>5.561726497620457</v>
      </c>
      <c r="AF13" s="130">
        <f t="shared" si="3"/>
        <v>1.7587723455391693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33">
        <f>AVERAGE(GF6:GF1005)</f>
        <v>2.5916046486814448</v>
      </c>
      <c r="FJ13" s="233"/>
      <c r="FK13" s="233">
        <f>PERCENTILE($GF$6:$GF$1005,0.975)</f>
        <v>4.7331595410590532</v>
      </c>
      <c r="FL13" s="233"/>
      <c r="FM13" s="233">
        <f>PERCENTILE($GF$6:$GF$1005,0.025)</f>
        <v>0.68603789011536964</v>
      </c>
      <c r="FN13" s="233"/>
      <c r="FO13" s="5"/>
      <c r="FY13" s="211">
        <v>8</v>
      </c>
      <c r="FZ13">
        <v>28.991312067445723</v>
      </c>
      <c r="GA13">
        <v>29.087622065774767</v>
      </c>
      <c r="GB13">
        <v>76.175094929417256</v>
      </c>
      <c r="GC13">
        <v>2.1007436424719605</v>
      </c>
      <c r="GD13">
        <v>0.22608566057860841</v>
      </c>
      <c r="GE13">
        <v>0.38491309985700373</v>
      </c>
      <c r="GF13">
        <v>1.1212510943445115</v>
      </c>
      <c r="GG13">
        <v>2.8193007419730334</v>
      </c>
      <c r="GH13">
        <v>7.6426954455232705</v>
      </c>
      <c r="GI13">
        <v>57.851778800520087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33">
        <f>AVERAGE(GG6:GG1005)</f>
        <v>6.8994836742487573</v>
      </c>
      <c r="FJ14" s="233"/>
      <c r="FK14" s="233">
        <f>PERCENTILE($GG$6:$GG$1005,0.975)</f>
        <v>13.80656401133265</v>
      </c>
      <c r="FL14" s="233"/>
      <c r="FM14" s="233">
        <f>PERCENTILE($GG$6:$GG$1005,0.025)</f>
        <v>0.82966741238504016</v>
      </c>
      <c r="FN14" s="233"/>
      <c r="FO14" s="5"/>
      <c r="FY14" s="211">
        <v>9</v>
      </c>
      <c r="FZ14">
        <v>35.51605154135882</v>
      </c>
      <c r="GA14">
        <v>37.982319967023059</v>
      </c>
      <c r="GB14">
        <v>50.680045216874682</v>
      </c>
      <c r="GC14">
        <v>2.7117980955919982</v>
      </c>
      <c r="GD14">
        <v>0.14483293484724508</v>
      </c>
      <c r="GE14">
        <v>0.44905857597238164</v>
      </c>
      <c r="GF14">
        <v>0.90356987825034829</v>
      </c>
      <c r="GG14">
        <v>13.290444670398628</v>
      </c>
      <c r="GH14">
        <v>23.654982184602162</v>
      </c>
      <c r="GI14">
        <v>43.354049602218979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10.927350427350428</v>
      </c>
      <c r="AO15" s="163">
        <f>D48</f>
        <v>107.83552246605871</v>
      </c>
      <c r="AP15" s="163">
        <f>D63</f>
        <v>774.10653532111519</v>
      </c>
      <c r="AQ15" s="163">
        <f>C453</f>
        <v>254.32984601190179</v>
      </c>
      <c r="AR15" s="163">
        <f>G520</f>
        <v>99.914876556902954</v>
      </c>
      <c r="AS15" s="163">
        <f>I523</f>
        <v>532.68076531595796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4">
        <f t="shared" si="6"/>
        <v>39949</v>
      </c>
      <c r="FI15" s="233">
        <f>AVERAGE(GH6:GH1005)</f>
        <v>13.4774332236421</v>
      </c>
      <c r="FJ15" s="233"/>
      <c r="FK15" s="233">
        <f>PERCENTILE($GH$6:$GH$1005,0.975)</f>
        <v>28.008062232629381</v>
      </c>
      <c r="FL15" s="233"/>
      <c r="FM15" s="233">
        <f>PERCENTILE($GH$6:$GH$1005,0.025)</f>
        <v>0</v>
      </c>
      <c r="FN15" s="233"/>
      <c r="FO15" s="5"/>
      <c r="FY15" s="211">
        <v>10</v>
      </c>
      <c r="FZ15">
        <v>37.573269643856229</v>
      </c>
      <c r="GA15">
        <v>47.925582318851205</v>
      </c>
      <c r="GB15">
        <v>66.614353754074571</v>
      </c>
      <c r="GC15">
        <v>3.988019167798889</v>
      </c>
      <c r="GD15">
        <v>0.50406362318130704</v>
      </c>
      <c r="GE15">
        <v>0.60234144584741922</v>
      </c>
      <c r="GF15">
        <v>1.8738179812524622</v>
      </c>
      <c r="GG15">
        <v>10.028131821774872</v>
      </c>
      <c r="GH15">
        <v>20.454421227150927</v>
      </c>
      <c r="GI15">
        <v>53.416497718736927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33">
        <f>AVERAGE(GI6:GI1005)</f>
        <v>43.003629831535193</v>
      </c>
      <c r="FJ16" s="233"/>
      <c r="FK16" s="233">
        <f>PERCENTILE($GI$6:$GI$1005,0.975)</f>
        <v>68.552394025675682</v>
      </c>
      <c r="FL16" s="233"/>
      <c r="FM16" s="233">
        <f>PERCENTILE($GI$6:$GI$1005,0.025)</f>
        <v>22.644110416779551</v>
      </c>
      <c r="FN16" s="233"/>
      <c r="FO16" s="5"/>
      <c r="FY16" s="211">
        <v>11</v>
      </c>
      <c r="FZ16">
        <v>30.12868664069579</v>
      </c>
      <c r="GA16">
        <v>36.436852517804184</v>
      </c>
      <c r="GB16">
        <v>81.548639221081459</v>
      </c>
      <c r="GC16">
        <v>3.3532972416541917</v>
      </c>
      <c r="GD16">
        <v>0.23777356767039992</v>
      </c>
      <c r="GE16">
        <v>0.7601885311134553</v>
      </c>
      <c r="GF16">
        <v>3.3907871031507932</v>
      </c>
      <c r="GG16">
        <v>7.6676092586905469</v>
      </c>
      <c r="GH16">
        <v>15.194053003821082</v>
      </c>
      <c r="GI16">
        <v>60.054409425613223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9.7770432692307683</v>
      </c>
      <c r="AO17">
        <v>60.748658788155353</v>
      </c>
      <c r="AP17">
        <v>533.45573313144325</v>
      </c>
      <c r="AQ17">
        <v>170.54740451476235</v>
      </c>
      <c r="AR17">
        <v>56.44305818598729</v>
      </c>
      <c r="AS17">
        <v>317.28401933128464</v>
      </c>
      <c r="AT17" t="e">
        <v>#DIV/0!</v>
      </c>
      <c r="AU17" t="e">
        <v>#DIV/0!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Y17" s="211">
        <v>12</v>
      </c>
      <c r="FZ17">
        <v>46.2751526524331</v>
      </c>
      <c r="GA17">
        <v>47.860626762397828</v>
      </c>
      <c r="GB17">
        <v>17.772271801509333</v>
      </c>
      <c r="GC17">
        <v>1.4332630537834485</v>
      </c>
      <c r="GD17">
        <v>7.5127460229878956E-2</v>
      </c>
      <c r="GE17">
        <v>2.9556133035280256E-2</v>
      </c>
      <c r="GF17">
        <v>3.0544832216398929</v>
      </c>
      <c r="GG17">
        <v>12.460777258013589</v>
      </c>
      <c r="GH17">
        <v>28.510974516214468</v>
      </c>
      <c r="GI17">
        <v>26.37862967509005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7.6025240384615387</v>
      </c>
      <c r="AO18">
        <v>59.196736565529534</v>
      </c>
      <c r="AP18">
        <v>619.92002179985798</v>
      </c>
      <c r="AQ18">
        <v>196.56651601349756</v>
      </c>
      <c r="AR18">
        <v>54.950193824957481</v>
      </c>
      <c r="AS18">
        <v>295.72355300074133</v>
      </c>
      <c r="AT18" t="e">
        <v>#DIV/0!</v>
      </c>
      <c r="AU18" t="e">
        <v>#DIV/0!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Y18" s="211">
        <v>13</v>
      </c>
      <c r="FZ18">
        <v>2.5991803493985239</v>
      </c>
      <c r="GA18">
        <v>4.5891121016317591</v>
      </c>
      <c r="GB18">
        <v>20.003912023396172</v>
      </c>
      <c r="GC18">
        <v>2.1145662505359883</v>
      </c>
      <c r="GD18">
        <v>0.22337466777235199</v>
      </c>
      <c r="GE18">
        <v>0.22659701993714865</v>
      </c>
      <c r="GF18">
        <v>2.1471784907005711</v>
      </c>
      <c r="GG18">
        <v>9.9547926650985517</v>
      </c>
      <c r="GH18">
        <v>24.805217827997517</v>
      </c>
      <c r="GI18">
        <v>34.74250104722536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13.745486111111111</v>
      </c>
      <c r="AO19">
        <v>160.65025828134048</v>
      </c>
      <c r="AP19">
        <v>1017.1037627041749</v>
      </c>
      <c r="AQ19">
        <v>210.81055287401983</v>
      </c>
      <c r="AR19">
        <v>149.12022552547342</v>
      </c>
      <c r="AS19">
        <v>934.88880185624305</v>
      </c>
      <c r="AT19" t="e">
        <v>#DIV/0!</v>
      </c>
      <c r="AU19" t="e">
        <v>#DIV/0!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Y19" s="211">
        <v>14</v>
      </c>
      <c r="FZ19">
        <v>41.823259971269195</v>
      </c>
      <c r="GA19">
        <v>48.688855555328885</v>
      </c>
      <c r="GB19">
        <v>65.860450777023487</v>
      </c>
      <c r="GC19">
        <v>3.6884286069651524</v>
      </c>
      <c r="GD19">
        <v>0.37091859542585343</v>
      </c>
      <c r="GE19">
        <v>0.81976979183783494</v>
      </c>
      <c r="GF19">
        <v>3.5562254226616155</v>
      </c>
      <c r="GG19">
        <v>4.4786355667431135</v>
      </c>
      <c r="GH19">
        <v>15.699248734586812</v>
      </c>
      <c r="GI19">
        <v>58.336074596701515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14.407251602564099</v>
      </c>
      <c r="AO20">
        <v>158.67510235836644</v>
      </c>
      <c r="AP20">
        <v>1131.9794030907474</v>
      </c>
      <c r="AQ20">
        <v>183.96728028276391</v>
      </c>
      <c r="AR20">
        <v>147.36549064191311</v>
      </c>
      <c r="AS20">
        <v>1154.3246349937049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30.12868664069579</v>
      </c>
      <c r="GA20">
        <v>38.060477014990866</v>
      </c>
      <c r="GB20">
        <v>32.312878841434106</v>
      </c>
      <c r="GC20">
        <v>2.5858029526356683</v>
      </c>
      <c r="GD20">
        <v>0.27526696979644222</v>
      </c>
      <c r="GE20">
        <v>0.25201768907051325</v>
      </c>
      <c r="GF20">
        <v>0.49447812231287674</v>
      </c>
      <c r="GG20">
        <v>11.227472184134314</v>
      </c>
      <c r="GH20">
        <v>28.419636628989011</v>
      </c>
      <c r="GI20">
        <v>30.859976139218439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5.7291666666666661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1.5625</v>
      </c>
      <c r="J21" s="18">
        <f t="shared" si="9"/>
        <v>1.0416666666666665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3.1249999999999996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9.0267361111111093</v>
      </c>
      <c r="AO21">
        <v>86.368461327954975</v>
      </c>
      <c r="AP21">
        <v>900.05565656285307</v>
      </c>
      <c r="AQ21">
        <v>155.03072669174691</v>
      </c>
      <c r="AR21">
        <v>80.261705397748074</v>
      </c>
      <c r="AS21">
        <v>356.32585883708106</v>
      </c>
      <c r="AT21" t="e">
        <v>#DIV/0!</v>
      </c>
      <c r="AU21" t="e">
        <v>#DIV/0!</v>
      </c>
      <c r="AV21"/>
      <c r="AW21"/>
      <c r="FY21" s="211">
        <v>16</v>
      </c>
      <c r="FZ21">
        <v>4.3319672489975396</v>
      </c>
      <c r="GA21">
        <v>6.636777285750485</v>
      </c>
      <c r="GB21">
        <v>50.430023628837183</v>
      </c>
      <c r="GC21">
        <v>4.1555341395893715</v>
      </c>
      <c r="GD21">
        <v>0.3736295882321099</v>
      </c>
      <c r="GE21">
        <v>0.60234144584741922</v>
      </c>
      <c r="GF21">
        <v>3.2685788130042668</v>
      </c>
      <c r="GG21">
        <v>3.1495992467909466</v>
      </c>
      <c r="GH21">
        <v>8.0565532890635385</v>
      </c>
      <c r="GI21">
        <v>35.645060592747406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12.499999999999998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1.5625</v>
      </c>
      <c r="J22" s="18">
        <f t="shared" si="10"/>
        <v>4.1666666666666661</v>
      </c>
      <c r="K22" s="18">
        <f t="shared" si="10"/>
        <v>0.52083333333333326</v>
      </c>
      <c r="L22" s="18">
        <f t="shared" si="10"/>
        <v>0</v>
      </c>
      <c r="M22" s="18">
        <f t="shared" si="10"/>
        <v>0</v>
      </c>
      <c r="N22" s="18">
        <f t="shared" si="10"/>
        <v>0</v>
      </c>
      <c r="O22" s="18">
        <f t="shared" si="10"/>
        <v>3.1249999999999996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1.5625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1.5625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12.527564102564103</v>
      </c>
      <c r="AO22">
        <v>83.090079691918646</v>
      </c>
      <c r="AP22">
        <v>631.5036227952545</v>
      </c>
      <c r="AQ22">
        <v>185.5200898151578</v>
      </c>
      <c r="AR22">
        <v>77.147116908336557</v>
      </c>
      <c r="AS22">
        <v>415.65778547139848</v>
      </c>
      <c r="AT22" t="e">
        <v>#DIV/0!</v>
      </c>
      <c r="AU22" t="e">
        <v>#DIV/0!</v>
      </c>
      <c r="AV22"/>
      <c r="AW22"/>
      <c r="FY22" s="211">
        <v>17</v>
      </c>
      <c r="FZ22">
        <v>38.710644217106292</v>
      </c>
      <c r="GA22">
        <v>43.200842009634286</v>
      </c>
      <c r="GB22">
        <v>59.725305601091421</v>
      </c>
      <c r="GC22">
        <v>4.2957060422967324</v>
      </c>
      <c r="GD22">
        <v>0.25203181159065352</v>
      </c>
      <c r="GE22">
        <v>0.53772697507822231</v>
      </c>
      <c r="GF22">
        <v>4.3871566544445777</v>
      </c>
      <c r="GG22">
        <v>9.472406113291342</v>
      </c>
      <c r="GH22">
        <v>20.868279070691202</v>
      </c>
      <c r="GI22">
        <v>55.912894496980414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21.985479797979796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0</v>
      </c>
      <c r="J23" s="18">
        <f t="shared" si="11"/>
        <v>4.6875</v>
      </c>
      <c r="K23" s="18">
        <f t="shared" si="11"/>
        <v>0.52083333333333326</v>
      </c>
      <c r="L23" s="18">
        <f t="shared" si="11"/>
        <v>1.0416666666666665</v>
      </c>
      <c r="M23" s="18">
        <f t="shared" si="11"/>
        <v>0</v>
      </c>
      <c r="N23" s="18">
        <f t="shared" si="11"/>
        <v>11.56881313131313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1.5625</v>
      </c>
      <c r="T23" s="18">
        <f t="shared" si="11"/>
        <v>0</v>
      </c>
      <c r="U23" s="18">
        <f t="shared" si="11"/>
        <v>0</v>
      </c>
      <c r="V23" s="18">
        <f t="shared" si="11"/>
        <v>1.0416666666666665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1.5625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14.257037927350424</v>
      </c>
      <c r="AO23">
        <v>101.75085562809856</v>
      </c>
      <c r="AP23">
        <v>861.49885920433042</v>
      </c>
      <c r="AQ23">
        <v>189.43369376922732</v>
      </c>
      <c r="AR23">
        <v>94.274542661560446</v>
      </c>
      <c r="AS23">
        <v>571.63694739305879</v>
      </c>
      <c r="AT23" t="e">
        <v>#DIV/0!</v>
      </c>
      <c r="AU23" t="e">
        <v>#DIV/0!</v>
      </c>
      <c r="AV23"/>
      <c r="AW23"/>
      <c r="FY23" s="211">
        <v>18</v>
      </c>
      <c r="FZ23">
        <v>31.064158860194919</v>
      </c>
      <c r="GA23">
        <v>44.953544312310299</v>
      </c>
      <c r="GB23">
        <v>63.80958037448481</v>
      </c>
      <c r="GC23">
        <v>2.9250780863368413</v>
      </c>
      <c r="GD23">
        <v>0.3968647464378986</v>
      </c>
      <c r="GE23">
        <v>0.81976979183783494</v>
      </c>
      <c r="GF23">
        <v>3.0913051454110141</v>
      </c>
      <c r="GG23">
        <v>1.6593348247700803</v>
      </c>
      <c r="GH23">
        <v>8.0565532890635385</v>
      </c>
      <c r="GI23">
        <v>49.634325866636274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18.940608003108004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0</v>
      </c>
      <c r="J24" s="18">
        <f t="shared" si="12"/>
        <v>1.5625</v>
      </c>
      <c r="K24" s="18">
        <f t="shared" si="12"/>
        <v>0.52083333333333326</v>
      </c>
      <c r="L24" s="18">
        <f t="shared" si="12"/>
        <v>4.2467948717948723</v>
      </c>
      <c r="M24" s="18">
        <f t="shared" si="12"/>
        <v>0</v>
      </c>
      <c r="N24" s="18">
        <f t="shared" si="12"/>
        <v>11.56881313131313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1.0416666666666665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12.187633547008547</v>
      </c>
      <c r="AO24">
        <v>74.718759730858125</v>
      </c>
      <c r="AP24">
        <v>469.38735989698165</v>
      </c>
      <c r="AQ24">
        <v>206.40079754790622</v>
      </c>
      <c r="AR24">
        <v>69.381513975998445</v>
      </c>
      <c r="AS24">
        <v>445.48239620826166</v>
      </c>
      <c r="AT24" t="e">
        <v>#DIV/0!</v>
      </c>
      <c r="AU24" t="e">
        <v>#DIV/0!</v>
      </c>
      <c r="AV24"/>
      <c r="AW24"/>
      <c r="FY24" s="211">
        <v>19</v>
      </c>
      <c r="FZ24">
        <v>28.464978510796396</v>
      </c>
      <c r="GA24">
        <v>34.009416314856338</v>
      </c>
      <c r="GB24">
        <v>56.601124938606745</v>
      </c>
      <c r="GC24">
        <v>0.68951748528161327</v>
      </c>
      <c r="GD24">
        <v>9.5651625629411235E-2</v>
      </c>
      <c r="GE24">
        <v>0.45822724991911468</v>
      </c>
      <c r="GF24">
        <v>1.8071397565006966</v>
      </c>
      <c r="GG24">
        <v>4.0919802610087963</v>
      </c>
      <c r="GH24">
        <v>11.257114246514771</v>
      </c>
      <c r="GI24">
        <v>48.726605993347341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11.538461538461538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0</v>
      </c>
      <c r="J25" s="18">
        <f t="shared" si="13"/>
        <v>0</v>
      </c>
      <c r="K25" s="18">
        <f t="shared" si="13"/>
        <v>0.52083333333333326</v>
      </c>
      <c r="L25" s="18">
        <f t="shared" si="13"/>
        <v>6.3301282051282053</v>
      </c>
      <c r="M25" s="18">
        <f t="shared" si="13"/>
        <v>1.5625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1.5625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1.5625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12.677310363247861</v>
      </c>
      <c r="AO25">
        <v>109.67503870387827</v>
      </c>
      <c r="AP25">
        <v>875.85378323193936</v>
      </c>
      <c r="AQ25">
        <v>208.68715266713832</v>
      </c>
      <c r="AR25">
        <v>101.68204655136104</v>
      </c>
      <c r="AS25">
        <v>527.96448704518991</v>
      </c>
      <c r="AT25" t="e">
        <v>#DIV/0!</v>
      </c>
      <c r="AU25" t="e">
        <v>#DIV/0!</v>
      </c>
      <c r="AV25"/>
      <c r="AW25"/>
      <c r="FY25" s="211">
        <v>20</v>
      </c>
      <c r="FZ25">
        <v>44.693421444118272</v>
      </c>
      <c r="GA25">
        <v>47.847425270883392</v>
      </c>
      <c r="GB25">
        <v>77.622192191657575</v>
      </c>
      <c r="GC25">
        <v>2.5129482400090484</v>
      </c>
      <c r="GD25">
        <v>0.29579113519597461</v>
      </c>
      <c r="GE25">
        <v>0.84314034977611829</v>
      </c>
      <c r="GF25">
        <v>4.293593837534738</v>
      </c>
      <c r="GG25">
        <v>8.9730372057242143</v>
      </c>
      <c r="GH25">
        <v>13.225583625167928</v>
      </c>
      <c r="GI25">
        <v>67.722921357454624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10.416666666666666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0.65104166666666663</v>
      </c>
      <c r="J26" s="18">
        <f t="shared" si="14"/>
        <v>0</v>
      </c>
      <c r="K26" s="18">
        <f t="shared" si="14"/>
        <v>0</v>
      </c>
      <c r="L26" s="18">
        <f t="shared" si="14"/>
        <v>3.7760416666666665</v>
      </c>
      <c r="M26" s="18">
        <f t="shared" si="14"/>
        <v>2.864583333333333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1.5625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1.5625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16.611805555555556</v>
      </c>
      <c r="AO26">
        <v>178.06864356092746</v>
      </c>
      <c r="AP26">
        <v>1397.3920192197347</v>
      </c>
      <c r="AQ26">
        <v>242.98049870252484</v>
      </c>
      <c r="AR26">
        <v>165.2250490143627</v>
      </c>
      <c r="AS26">
        <v>764.33153274546021</v>
      </c>
      <c r="AT26" t="e">
        <v>#DIV/0!</v>
      </c>
      <c r="AU26" t="e">
        <v>#DIV/0!</v>
      </c>
      <c r="AV26"/>
      <c r="AW26"/>
      <c r="FY26" s="211">
        <v>21</v>
      </c>
      <c r="FZ26">
        <v>20.831391305769973</v>
      </c>
      <c r="GA26">
        <v>24.222468058963813</v>
      </c>
      <c r="GB26">
        <v>44.015097898050698</v>
      </c>
      <c r="GC26">
        <v>1.6169066039989404</v>
      </c>
      <c r="GD26">
        <v>9.2940632823154845E-2</v>
      </c>
      <c r="GE26">
        <v>0.22659701993714865</v>
      </c>
      <c r="GF26">
        <v>2.998654700326763</v>
      </c>
      <c r="GG26">
        <v>5.5494962550317588</v>
      </c>
      <c r="GH26">
        <v>5.582888179644657</v>
      </c>
      <c r="GI26">
        <v>35.636975201742843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5.208333333333333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0.65104166666666663</v>
      </c>
      <c r="J27" s="18">
        <f t="shared" si="15"/>
        <v>1.0416666666666665</v>
      </c>
      <c r="K27" s="18">
        <f t="shared" si="15"/>
        <v>1.5625</v>
      </c>
      <c r="L27" s="18">
        <f t="shared" si="15"/>
        <v>0.65104166666666663</v>
      </c>
      <c r="M27" s="18">
        <f t="shared" si="15"/>
        <v>1.3020833333333333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16.10182959401709</v>
      </c>
      <c r="AO27">
        <v>184.5287822250778</v>
      </c>
      <c r="AP27">
        <v>1609.5956135062399</v>
      </c>
      <c r="AQ27">
        <v>238.77229651129508</v>
      </c>
      <c r="AR27">
        <v>171.14454749853283</v>
      </c>
      <c r="AS27">
        <v>768.07447195187899</v>
      </c>
      <c r="AT27" t="e">
        <v>#DIV/0!</v>
      </c>
      <c r="AU27" t="e">
        <v>#DIV/0!</v>
      </c>
      <c r="AV27"/>
      <c r="AW27"/>
      <c r="FY27" s="211">
        <v>22</v>
      </c>
      <c r="FZ27">
        <v>14.64671172500706</v>
      </c>
      <c r="GA27">
        <v>21.591427514055489</v>
      </c>
      <c r="GB27">
        <v>17.354243934713352</v>
      </c>
      <c r="GC27">
        <v>0.48671048475069517</v>
      </c>
      <c r="GD27">
        <v>7.2416467423622538E-2</v>
      </c>
      <c r="GE27">
        <v>0.6206787937408853</v>
      </c>
      <c r="GF27">
        <v>5.0234756729216228</v>
      </c>
      <c r="GG27">
        <v>5.308302979128154</v>
      </c>
      <c r="GH27">
        <v>3.6144188009915013</v>
      </c>
      <c r="GI27">
        <v>20.663078158406964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7.8124999999999982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1.5624999999999998</v>
      </c>
      <c r="K28" s="18">
        <f t="shared" si="15"/>
        <v>3.645833333333333</v>
      </c>
      <c r="L28" s="18">
        <f t="shared" si="15"/>
        <v>0.52083333333333326</v>
      </c>
      <c r="M28" s="18">
        <f t="shared" si="15"/>
        <v>0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1.0416666666666665</v>
      </c>
      <c r="U28" s="18">
        <f t="shared" si="15"/>
        <v>1.0416666666666665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9.4608974358974347</v>
      </c>
      <c r="AO28">
        <v>121.23549459982878</v>
      </c>
      <c r="AP28">
        <v>868.73817841059792</v>
      </c>
      <c r="AQ28">
        <v>183.85086253434687</v>
      </c>
      <c r="AR28">
        <v>112.59000455838809</v>
      </c>
      <c r="AS28">
        <v>635.7502552533183</v>
      </c>
      <c r="AT28" t="e">
        <v>#DIV/0!</v>
      </c>
      <c r="AU28" t="e">
        <v>#DIV/0!</v>
      </c>
      <c r="AV28"/>
      <c r="AW28"/>
      <c r="FY28" s="211">
        <v>23</v>
      </c>
      <c r="FZ28">
        <v>28.39589974109677</v>
      </c>
      <c r="GA28">
        <v>36.436852517804184</v>
      </c>
      <c r="GB28">
        <v>27.398554784076843</v>
      </c>
      <c r="GC28">
        <v>2.25224405648218</v>
      </c>
      <c r="GD28">
        <v>0.27526696979644222</v>
      </c>
      <c r="GE28">
        <v>0.80855100669602065</v>
      </c>
      <c r="GF28">
        <v>4.9677963795676776</v>
      </c>
      <c r="GG28">
        <v>8.1839605220175926</v>
      </c>
      <c r="GH28">
        <v>11.257114246514771</v>
      </c>
      <c r="GI28">
        <v>29.168420680257597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5.2083333333333321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0.52083333333333326</v>
      </c>
      <c r="K29" s="18">
        <f t="shared" si="15"/>
        <v>2.083333333333333</v>
      </c>
      <c r="L29" s="18">
        <f t="shared" si="15"/>
        <v>0.52083333333333326</v>
      </c>
      <c r="M29" s="18">
        <f t="shared" si="15"/>
        <v>0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1.0416666666666665</v>
      </c>
      <c r="U29" s="18">
        <f t="shared" si="15"/>
        <v>1.0416666666666665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15.080862713675213</v>
      </c>
      <c r="AO29">
        <v>111.114179762253</v>
      </c>
      <c r="AP29">
        <v>506.11661659042682</v>
      </c>
      <c r="AQ29">
        <v>101.40643244369393</v>
      </c>
      <c r="AR29">
        <v>103.151865878092</v>
      </c>
      <c r="AS29">
        <v>1420.781085731378</v>
      </c>
      <c r="AT29" t="e">
        <v>#DIV/0!</v>
      </c>
      <c r="AU29" t="e">
        <v>#DIV/0!</v>
      </c>
      <c r="AV29"/>
      <c r="AW29"/>
      <c r="FY29" s="211">
        <v>24</v>
      </c>
      <c r="FZ29">
        <v>43.675972303034577</v>
      </c>
      <c r="GA29">
        <v>50.826114366842916</v>
      </c>
      <c r="GB29">
        <v>28.087352330509379</v>
      </c>
      <c r="GC29">
        <v>2.0425584143037705</v>
      </c>
      <c r="GD29">
        <v>0.26914170429495787</v>
      </c>
      <c r="GE29">
        <v>0.4348566919808311</v>
      </c>
      <c r="GF29">
        <v>2.7344562860568837</v>
      </c>
      <c r="GG29">
        <v>6.6531053713183059</v>
      </c>
      <c r="GH29">
        <v>13.225583625167928</v>
      </c>
      <c r="GI29">
        <v>32.037756978217836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9.9339549339549347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0.44270833333333331</v>
      </c>
      <c r="J30" s="18">
        <f t="shared" si="16"/>
        <v>1.458333333333333</v>
      </c>
      <c r="K30" s="18">
        <f t="shared" si="16"/>
        <v>0.9375</v>
      </c>
      <c r="L30" s="18">
        <f t="shared" si="16"/>
        <v>1.7087339743589745</v>
      </c>
      <c r="M30" s="18">
        <f t="shared" si="16"/>
        <v>0.57291666666666663</v>
      </c>
      <c r="N30" s="18">
        <f t="shared" si="16"/>
        <v>2.3137626262626259</v>
      </c>
      <c r="O30" s="18">
        <f t="shared" si="16"/>
        <v>0.62499999999999989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0.3125</v>
      </c>
      <c r="T30" s="18">
        <f t="shared" si="16"/>
        <v>0.20833333333333331</v>
      </c>
      <c r="U30" s="18">
        <f t="shared" si="16"/>
        <v>0.20833333333333331</v>
      </c>
      <c r="V30" s="18">
        <f t="shared" si="16"/>
        <v>0.20833333333333331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0.3125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0.3125</v>
      </c>
      <c r="AE30" s="18">
        <f t="shared" si="16"/>
        <v>0.3125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18.803872863247864</v>
      </c>
      <c r="AO30">
        <v>188.5813936218311</v>
      </c>
      <c r="AP30">
        <v>1000.760542703687</v>
      </c>
      <c r="AQ30">
        <v>243.32186761854345</v>
      </c>
      <c r="AR30">
        <v>175.11194533787375</v>
      </c>
      <c r="AS30">
        <v>1267.0718309204588</v>
      </c>
      <c r="AT30" t="e">
        <v>#DIV/0!</v>
      </c>
      <c r="AU30" t="e">
        <v>#DIV/0!</v>
      </c>
      <c r="AV30"/>
      <c r="AW30"/>
      <c r="FY30" s="211">
        <v>25</v>
      </c>
      <c r="FZ30">
        <v>28.39589974109677</v>
      </c>
      <c r="GA30">
        <v>32.553542493032758</v>
      </c>
      <c r="GB30">
        <v>18.87151578203893</v>
      </c>
      <c r="GC30">
        <v>3.0744212203922054</v>
      </c>
      <c r="GD30">
        <v>0.26086806989839428</v>
      </c>
      <c r="GE30">
        <v>2.9556133035280256E-2</v>
      </c>
      <c r="GF30">
        <v>2.3684453315245233</v>
      </c>
      <c r="GG30">
        <v>12.645613733000786</v>
      </c>
      <c r="GH30">
        <v>18.394613961272317</v>
      </c>
      <c r="GI30">
        <v>29.827469612254685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10.265625</v>
      </c>
      <c r="AO31">
        <v>115.99432897957522</v>
      </c>
      <c r="AP31">
        <v>998.24725654742599</v>
      </c>
      <c r="AQ31">
        <v>174.61669318327804</v>
      </c>
      <c r="AR31">
        <v>107.67483648898374</v>
      </c>
      <c r="AS31">
        <v>466.22466528007584</v>
      </c>
      <c r="AT31" t="e">
        <v>#DIV/0!</v>
      </c>
      <c r="AU31" t="e">
        <v>#DIV/0!</v>
      </c>
      <c r="AV31"/>
      <c r="AW31"/>
      <c r="FY31" s="211">
        <v>26</v>
      </c>
      <c r="FZ31">
        <v>19.845072423804108</v>
      </c>
      <c r="GA31">
        <v>26.886341692547575</v>
      </c>
      <c r="GB31">
        <v>26.6262152218846</v>
      </c>
      <c r="GC31">
        <v>1.5155031037334812</v>
      </c>
      <c r="GD31">
        <v>0.11617579102894351</v>
      </c>
      <c r="GE31">
        <v>0.29074249605252656</v>
      </c>
      <c r="GF31">
        <v>2.6155351647217775</v>
      </c>
      <c r="GG31">
        <v>12.07412195227927</v>
      </c>
      <c r="GH31">
        <v>24.068840028142432</v>
      </c>
      <c r="GI31">
        <v>31.831983103153856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10.927350427350428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13.562633547008545</v>
      </c>
      <c r="AO32">
        <v>172.50718005307274</v>
      </c>
      <c r="AP32">
        <v>1237.2278001641037</v>
      </c>
      <c r="AQ32">
        <v>116.65006527886027</v>
      </c>
      <c r="AR32">
        <v>160.14756766874325</v>
      </c>
      <c r="AS32">
        <v>943.15230811855542</v>
      </c>
      <c r="AT32" t="e">
        <v>#DIV/0!</v>
      </c>
      <c r="AU32" t="e">
        <v>#DIV/0!</v>
      </c>
      <c r="AV32"/>
      <c r="AW32"/>
      <c r="FY32" s="211">
        <v>27</v>
      </c>
      <c r="FZ32">
        <v>26.392131718047199</v>
      </c>
      <c r="GA32">
        <v>30.641505516499187</v>
      </c>
      <c r="GB32">
        <v>35.370799380434406</v>
      </c>
      <c r="GC32">
        <v>3.270255041923372</v>
      </c>
      <c r="GD32">
        <v>0.60584051431220265</v>
      </c>
      <c r="GE32">
        <v>0.60690566123841772</v>
      </c>
      <c r="GF32">
        <v>2.1210570424089008</v>
      </c>
      <c r="GG32">
        <v>0.82966741238504016</v>
      </c>
      <c r="GH32">
        <v>0</v>
      </c>
      <c r="GI32">
        <v>44.361664888723908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16.975186965811965</v>
      </c>
      <c r="AO33">
        <v>144.35486538298954</v>
      </c>
      <c r="AP33">
        <v>1151.7187503235687</v>
      </c>
      <c r="AQ33">
        <v>237.36299299220508</v>
      </c>
      <c r="AR33">
        <v>133.97556322764081</v>
      </c>
      <c r="AS33">
        <v>631.59368513445634</v>
      </c>
      <c r="AT33" t="e">
        <v>#DIV/0!</v>
      </c>
      <c r="AU33" t="e">
        <v>#DIV/0!</v>
      </c>
      <c r="AV33"/>
      <c r="AW33"/>
      <c r="FY33" s="211">
        <v>28</v>
      </c>
      <c r="FZ33">
        <v>54.261697902494653</v>
      </c>
      <c r="GA33">
        <v>55.830851153901172</v>
      </c>
      <c r="GB33">
        <v>7.8864040737191745</v>
      </c>
      <c r="GC33">
        <v>1.5797767772292737</v>
      </c>
      <c r="GD33">
        <v>0.34497244441380825</v>
      </c>
      <c r="GE33">
        <v>0.76982619971400745</v>
      </c>
      <c r="GF33">
        <v>1.7775819114384215</v>
      </c>
      <c r="GG33">
        <v>14.046772926107346</v>
      </c>
      <c r="GH33">
        <v>32.034055429980519</v>
      </c>
      <c r="GI33">
        <v>27.556792469194448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15.082986111111108</v>
      </c>
      <c r="AO34">
        <v>154.96860293108452</v>
      </c>
      <c r="AP34">
        <v>1211.5205923408389</v>
      </c>
      <c r="AQ34">
        <v>206.41051529748353</v>
      </c>
      <c r="AR34">
        <v>143.84967325250869</v>
      </c>
      <c r="AS34">
        <v>691.70393513647696</v>
      </c>
      <c r="AT34" t="e">
        <v>#DIV/0!</v>
      </c>
      <c r="AU34" t="e">
        <v>#DIV/0!</v>
      </c>
      <c r="AV34"/>
      <c r="AW34"/>
      <c r="FY34" s="211">
        <v>29</v>
      </c>
      <c r="FZ34">
        <v>48.077018321731728</v>
      </c>
      <c r="GA34">
        <v>51.152145424874107</v>
      </c>
      <c r="GB34">
        <v>21.247804122289857</v>
      </c>
      <c r="GC34">
        <v>2.4066053178553242</v>
      </c>
      <c r="GD34">
        <v>0.32444827901427609</v>
      </c>
      <c r="GE34">
        <v>0.21742834599041555</v>
      </c>
      <c r="GF34">
        <v>2.0950848220764144</v>
      </c>
      <c r="GG34">
        <v>13.716474421289433</v>
      </c>
      <c r="GH34">
        <v>24.391359984457242</v>
      </c>
      <c r="GI34">
        <v>35.437218325745107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13.437152777777778</v>
      </c>
      <c r="AO35">
        <v>97.895641432512846</v>
      </c>
      <c r="AP35">
        <v>552.30460754219598</v>
      </c>
      <c r="AQ35">
        <v>186.20175638246124</v>
      </c>
      <c r="AR35">
        <v>90.779216147279783</v>
      </c>
      <c r="AS35">
        <v>752.81716058992254</v>
      </c>
      <c r="AT35" t="e">
        <v>#DIV/0!</v>
      </c>
      <c r="AU35" t="e">
        <v>#DIV/0!</v>
      </c>
      <c r="AV35"/>
      <c r="AW35"/>
      <c r="FY35" s="211">
        <v>30</v>
      </c>
      <c r="FZ35">
        <v>22.211220160333859</v>
      </c>
      <c r="GA35">
        <v>21.731841211649531</v>
      </c>
      <c r="GB35">
        <v>22.204904970676299</v>
      </c>
      <c r="GC35">
        <v>0.93024996608025101</v>
      </c>
      <c r="GD35">
        <v>0.16806809305303377</v>
      </c>
      <c r="GE35">
        <v>0.44905857597238164</v>
      </c>
      <c r="GF35">
        <v>1.8072889844598812</v>
      </c>
      <c r="GG35">
        <v>6.7094621722347103</v>
      </c>
      <c r="GH35">
        <v>13.225583625167928</v>
      </c>
      <c r="GI35">
        <v>34.272643908807183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1.2734867971584251E-3</v>
      </c>
      <c r="H36" s="59">
        <f t="shared" ref="H36:AK36" si="17">(1-($A$43/100))*($A$39*(H35^$A$41))</f>
        <v>9.4621538461538458E-3</v>
      </c>
      <c r="I36" s="59">
        <f t="shared" si="17"/>
        <v>7.0304894882350283E-2</v>
      </c>
      <c r="J36" s="59">
        <f t="shared" si="17"/>
        <v>0.22724027338399597</v>
      </c>
      <c r="K36" s="59">
        <f t="shared" si="17"/>
        <v>0.52237348121616634</v>
      </c>
      <c r="L36" s="59">
        <f t="shared" si="17"/>
        <v>0.99627460926832734</v>
      </c>
      <c r="M36" s="59">
        <f t="shared" si="17"/>
        <v>1.6884214517176031</v>
      </c>
      <c r="N36" s="59">
        <f t="shared" si="17"/>
        <v>2.6374465828824412</v>
      </c>
      <c r="O36" s="59">
        <f t="shared" si="17"/>
        <v>3.8812952403176153</v>
      </c>
      <c r="P36" s="59">
        <f t="shared" si="17"/>
        <v>5.4573348401667534</v>
      </c>
      <c r="Q36" s="59">
        <f t="shared" si="17"/>
        <v>7.4024353035683674</v>
      </c>
      <c r="R36" s="59">
        <f t="shared" si="17"/>
        <v>9.7530304205567901</v>
      </c>
      <c r="S36" s="59">
        <f t="shared" si="17"/>
        <v>12.545166207412906</v>
      </c>
      <c r="T36" s="59">
        <f t="shared" si="17"/>
        <v>15.814539961409823</v>
      </c>
      <c r="U36" s="59">
        <f t="shared" si="17"/>
        <v>19.596532436717375</v>
      </c>
      <c r="V36" s="59">
        <f t="shared" si="17"/>
        <v>23.926234793539376</v>
      </c>
      <c r="W36" s="59">
        <f t="shared" si="17"/>
        <v>28.838471484884359</v>
      </c>
      <c r="X36" s="59">
        <f t="shared" si="17"/>
        <v>34.367819924948734</v>
      </c>
      <c r="Y36" s="59">
        <f t="shared" si="17"/>
        <v>40.548627565558718</v>
      </c>
      <c r="Z36" s="59">
        <f t="shared" si="17"/>
        <v>47.415026855264593</v>
      </c>
      <c r="AA36" s="59">
        <f t="shared" si="17"/>
        <v>55.000948447093172</v>
      </c>
      <c r="AB36" s="59">
        <f t="shared" si="17"/>
        <v>63.340132941667193</v>
      </c>
      <c r="AC36" s="59">
        <f t="shared" si="17"/>
        <v>72.466141393412812</v>
      </c>
      <c r="AD36" s="59">
        <f t="shared" si="17"/>
        <v>82.41236476297253</v>
      </c>
      <c r="AE36" s="59">
        <f t="shared" si="17"/>
        <v>93.212032464710603</v>
      </c>
      <c r="AF36" s="59">
        <f t="shared" si="17"/>
        <v>104.89822013158376</v>
      </c>
      <c r="AG36" s="59">
        <f t="shared" si="17"/>
        <v>117.5038566987139</v>
      </c>
      <c r="AH36" s="59">
        <f t="shared" si="17"/>
        <v>131.06173089032799</v>
      </c>
      <c r="AI36" s="59">
        <f t="shared" si="17"/>
        <v>145.60449718136854</v>
      </c>
      <c r="AJ36" s="59">
        <f t="shared" si="17"/>
        <v>161.1646812942061</v>
      </c>
      <c r="AK36" s="59">
        <f t="shared" si="17"/>
        <v>177.77468528203724</v>
      </c>
      <c r="AL36" s="42"/>
      <c r="AM36" s="43">
        <v>20</v>
      </c>
      <c r="AN36">
        <v>17.623183760683762</v>
      </c>
      <c r="AO36">
        <v>91.951259024356048</v>
      </c>
      <c r="AP36">
        <v>740.6157213364786</v>
      </c>
      <c r="AQ36">
        <v>268.03005465752187</v>
      </c>
      <c r="AR36">
        <v>85.342225227835499</v>
      </c>
      <c r="AS36">
        <v>1147.6236316893483</v>
      </c>
      <c r="AT36" t="e">
        <v>#DIV/0!</v>
      </c>
      <c r="AU36" t="e">
        <v>#DIV/0!</v>
      </c>
      <c r="AV36"/>
      <c r="AW36"/>
      <c r="FY36" s="211">
        <v>31</v>
      </c>
      <c r="FZ36">
        <v>51.067105226747181</v>
      </c>
      <c r="GA36">
        <v>54.707659479527393</v>
      </c>
      <c r="GB36">
        <v>27.190053728204674</v>
      </c>
      <c r="GC36">
        <v>2.7890514549776366</v>
      </c>
      <c r="GD36">
        <v>0.29579113519597461</v>
      </c>
      <c r="GE36">
        <v>0.1528138752212187</v>
      </c>
      <c r="GF36">
        <v>2.3360650055988628</v>
      </c>
      <c r="GG36">
        <v>6.1379703915131945</v>
      </c>
      <c r="GH36">
        <v>10.843256402974506</v>
      </c>
      <c r="GI36">
        <v>32.592746301698433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12.475607642354548</v>
      </c>
      <c r="E37" s="107">
        <f t="shared" ref="E37:E46" si="19">+D37/D21</f>
        <v>2.1775606066655215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0.10985139825367232</v>
      </c>
      <c r="J37" s="49">
        <f t="shared" si="21"/>
        <v>0.23670861810832911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12.129047625992547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11.302951388888888</v>
      </c>
      <c r="AO37">
        <v>83.185758563030575</v>
      </c>
      <c r="AP37">
        <v>453.52120428727801</v>
      </c>
      <c r="AQ37">
        <v>140.77341585628974</v>
      </c>
      <c r="AR37">
        <v>77.081088110210402</v>
      </c>
      <c r="AS37">
        <v>637.05984344971182</v>
      </c>
      <c r="AT37" t="e">
        <v>#DIV/0!</v>
      </c>
      <c r="AU37" t="e">
        <v>#DIV/0!</v>
      </c>
      <c r="AV37"/>
      <c r="AW37"/>
      <c r="FY37" s="211">
        <v>32</v>
      </c>
      <c r="FZ37">
        <v>57.847197133859034</v>
      </c>
      <c r="GA37">
        <v>60.227795492999924</v>
      </c>
      <c r="GB37">
        <v>76.165066841469368</v>
      </c>
      <c r="GC37">
        <v>4.5590829467863365</v>
      </c>
      <c r="GD37">
        <v>0.42893616295142811</v>
      </c>
      <c r="GE37">
        <v>0.57231631815832007</v>
      </c>
      <c r="GF37">
        <v>3.5857832677238908</v>
      </c>
      <c r="GG37">
        <v>8.8118091036555146</v>
      </c>
      <c r="GH37">
        <v>16.840002426159433</v>
      </c>
      <c r="GI37">
        <v>63.679366991720464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178.70342594333928</v>
      </c>
      <c r="E38" s="107">
        <f t="shared" si="19"/>
        <v>14.296274075467144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0.10985139825367232</v>
      </c>
      <c r="J38" s="49">
        <f t="shared" si="21"/>
        <v>0.94683447243331642</v>
      </c>
      <c r="K38" s="49">
        <f t="shared" si="21"/>
        <v>0.27206952146675328</v>
      </c>
      <c r="L38" s="49">
        <f t="shared" si="21"/>
        <v>0</v>
      </c>
      <c r="M38" s="49">
        <f t="shared" si="21"/>
        <v>0</v>
      </c>
      <c r="N38" s="49">
        <f t="shared" si="21"/>
        <v>0</v>
      </c>
      <c r="O38" s="49">
        <f t="shared" si="21"/>
        <v>12.129047625992547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19.601822199082665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145.64380072611033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8.9260416666666664</v>
      </c>
      <c r="AO38">
        <v>46.582446066915779</v>
      </c>
      <c r="AP38">
        <v>359.95081630046059</v>
      </c>
      <c r="AQ38">
        <v>89.381464531139343</v>
      </c>
      <c r="AR38">
        <v>43.056476515001975</v>
      </c>
      <c r="AS38">
        <v>362.91487125671284</v>
      </c>
      <c r="AT38" t="e">
        <v>#DIV/0!</v>
      </c>
      <c r="AU38" t="e">
        <v>#DIV/0!</v>
      </c>
      <c r="AV38"/>
      <c r="AW38"/>
      <c r="FY38" s="211">
        <v>33</v>
      </c>
      <c r="FZ38">
        <v>66.482604789717385</v>
      </c>
      <c r="GA38">
        <v>65.208725126463008</v>
      </c>
      <c r="GB38">
        <v>41.565367496822027</v>
      </c>
      <c r="GC38">
        <v>2.9828359145666772</v>
      </c>
      <c r="GD38">
        <v>0.42893616295142811</v>
      </c>
      <c r="GE38">
        <v>0.4786147090076619</v>
      </c>
      <c r="GF38">
        <v>2.5598558713678319</v>
      </c>
      <c r="GG38">
        <v>4.7198288426467183</v>
      </c>
      <c r="GH38">
        <v>13.639441468708196</v>
      </c>
      <c r="GI38">
        <v>49.639351991587084</v>
      </c>
      <c r="GJ38"/>
      <c r="GK38"/>
      <c r="GL38"/>
      <c r="GM38"/>
    </row>
    <row r="39" spans="1:195" s="7" customFormat="1">
      <c r="A39" s="114">
        <v>9.8461538461538465E-3</v>
      </c>
      <c r="B39" s="57"/>
      <c r="C39" s="48" t="s">
        <v>40</v>
      </c>
      <c r="D39" s="49">
        <f t="shared" si="18"/>
        <v>223.0559551839259</v>
      </c>
      <c r="E39" s="107">
        <f t="shared" si="19"/>
        <v>10.145603245120995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</v>
      </c>
      <c r="J39" s="49">
        <f t="shared" si="21"/>
        <v>1.0651887814874812</v>
      </c>
      <c r="K39" s="49">
        <f t="shared" si="21"/>
        <v>0.27206952146675328</v>
      </c>
      <c r="L39" s="49">
        <f t="shared" si="21"/>
        <v>1.0377860513211741</v>
      </c>
      <c r="M39" s="49">
        <f t="shared" si="21"/>
        <v>0</v>
      </c>
      <c r="N39" s="49">
        <f t="shared" si="21"/>
        <v>30.512126661187327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19.601822199082665</v>
      </c>
      <c r="T39" s="49">
        <f t="shared" si="21"/>
        <v>0</v>
      </c>
      <c r="U39" s="49">
        <f t="shared" si="21"/>
        <v>0</v>
      </c>
      <c r="V39" s="49">
        <f t="shared" si="21"/>
        <v>24.923161243270179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145.64380072611033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11.711939102564102</v>
      </c>
      <c r="AO39">
        <v>56.195033453102141</v>
      </c>
      <c r="AP39">
        <v>514.42129816948693</v>
      </c>
      <c r="AQ39">
        <v>149.14466090431009</v>
      </c>
      <c r="AR39">
        <v>52.144842454211606</v>
      </c>
      <c r="AS39">
        <v>272.01830333970906</v>
      </c>
      <c r="AT39" t="e">
        <v>#DIV/0!</v>
      </c>
      <c r="AU39" t="e">
        <v>#DIV/0!</v>
      </c>
      <c r="AV39"/>
      <c r="AW39"/>
      <c r="FY39" s="211">
        <v>34</v>
      </c>
      <c r="FZ39">
        <v>40.563356548871674</v>
      </c>
      <c r="GA39">
        <v>43.714476323961634</v>
      </c>
      <c r="GB39">
        <v>73.024162812527479</v>
      </c>
      <c r="GC39">
        <v>2.0253341837475709</v>
      </c>
      <c r="GD39">
        <v>0.37091859542585348</v>
      </c>
      <c r="GE39">
        <v>0.38491309985700373</v>
      </c>
      <c r="GF39">
        <v>2.9025678584719068</v>
      </c>
      <c r="GG39">
        <v>6.0816135905967892</v>
      </c>
      <c r="GH39">
        <v>7.6426954455232705</v>
      </c>
      <c r="GI39">
        <v>64.609219599061731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60.293394254626925</v>
      </c>
      <c r="E40" s="107">
        <f t="shared" si="19"/>
        <v>3.1832871597750851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0</v>
      </c>
      <c r="J40" s="49">
        <f t="shared" si="21"/>
        <v>0.35506292716249371</v>
      </c>
      <c r="K40" s="49">
        <f t="shared" si="21"/>
        <v>0.27206952146675328</v>
      </c>
      <c r="L40" s="49">
        <f t="shared" si="21"/>
        <v>4.2309739015401728</v>
      </c>
      <c r="M40" s="49">
        <f t="shared" si="21"/>
        <v>0</v>
      </c>
      <c r="N40" s="49">
        <f t="shared" si="21"/>
        <v>30.512126661187327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24.923161243270179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10.161418269230769</v>
      </c>
      <c r="AO40">
        <v>72.524055242304897</v>
      </c>
      <c r="AP40">
        <v>685.17739536978013</v>
      </c>
      <c r="AQ40">
        <v>179.98689807172735</v>
      </c>
      <c r="AR40">
        <v>67.256513453297046</v>
      </c>
      <c r="AS40">
        <v>369.0793674470828</v>
      </c>
      <c r="AT40" t="e">
        <v>#DIV/0!</v>
      </c>
      <c r="AU40" t="e">
        <v>#DIV/0!</v>
      </c>
      <c r="AV40"/>
      <c r="AW40"/>
      <c r="FY40" s="211">
        <v>35</v>
      </c>
      <c r="FZ40">
        <v>33.632208950475615</v>
      </c>
      <c r="GA40">
        <v>32.488586936579388</v>
      </c>
      <c r="GB40">
        <v>48.830807046200874</v>
      </c>
      <c r="GC40">
        <v>2.5764262600067878</v>
      </c>
      <c r="GD40">
        <v>0.39144276082538576</v>
      </c>
      <c r="GE40">
        <v>0.89811715194476316</v>
      </c>
      <c r="GF40">
        <v>1.7514604631467512</v>
      </c>
      <c r="GG40">
        <v>3.8901614302616783</v>
      </c>
      <c r="GH40">
        <v>9.6111648241764271</v>
      </c>
      <c r="GI40">
        <v>44.509284852667996</v>
      </c>
      <c r="GJ40"/>
      <c r="GK40"/>
      <c r="GL40"/>
      <c r="GM40"/>
    </row>
    <row r="41" spans="1:195" s="7" customFormat="1">
      <c r="A41" s="114">
        <v>2.8933846153846146</v>
      </c>
      <c r="B41" s="57"/>
      <c r="C41" s="48" t="s">
        <v>42</v>
      </c>
      <c r="D41" s="49">
        <f t="shared" si="18"/>
        <v>212.07207344745353</v>
      </c>
      <c r="E41" s="107">
        <f t="shared" si="19"/>
        <v>18.379579698779306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0</v>
      </c>
      <c r="J41" s="49">
        <f t="shared" si="22"/>
        <v>0</v>
      </c>
      <c r="K41" s="49">
        <f t="shared" si="22"/>
        <v>0.27206952146675328</v>
      </c>
      <c r="L41" s="49">
        <f t="shared" si="22"/>
        <v>6.306546004182521</v>
      </c>
      <c r="M41" s="49">
        <f t="shared" si="22"/>
        <v>2.6381585183087548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74.085979461350931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128.76931994214459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11.37960737179487</v>
      </c>
      <c r="AO41">
        <v>123.95813185075288</v>
      </c>
      <c r="AP41">
        <v>672.74213885227641</v>
      </c>
      <c r="AQ41">
        <v>146.42194607754666</v>
      </c>
      <c r="AR41">
        <v>114.91578158862512</v>
      </c>
      <c r="AS41">
        <v>770.9687591365888</v>
      </c>
      <c r="AT41" t="e">
        <v>#DIV/0!</v>
      </c>
      <c r="AU41" t="e">
        <v>#DIV/0!</v>
      </c>
      <c r="AV41"/>
      <c r="AW41"/>
      <c r="FY41" s="211">
        <v>36</v>
      </c>
      <c r="FZ41">
        <v>36.262519558991968</v>
      </c>
      <c r="GA41">
        <v>42.693858784725556</v>
      </c>
      <c r="GB41">
        <v>26.44017547629543</v>
      </c>
      <c r="GC41">
        <v>3.397826608257394</v>
      </c>
      <c r="GD41">
        <v>0.31276037192248451</v>
      </c>
      <c r="GE41">
        <v>5.9112266070560512E-2</v>
      </c>
      <c r="GF41">
        <v>1.8046157315556801</v>
      </c>
      <c r="GG41">
        <v>5.1064841483810355</v>
      </c>
      <c r="GH41">
        <v>13.225583625167928</v>
      </c>
      <c r="GI41">
        <v>29.963779433105366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211.49966920570654</v>
      </c>
      <c r="E42" s="107">
        <f t="shared" si="19"/>
        <v>20.303968243747828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4.5771415939030127E-2</v>
      </c>
      <c r="J42" s="49">
        <f t="shared" si="22"/>
        <v>0</v>
      </c>
      <c r="K42" s="49">
        <f t="shared" si="22"/>
        <v>0</v>
      </c>
      <c r="L42" s="49">
        <f t="shared" si="22"/>
        <v>3.7619744360392566</v>
      </c>
      <c r="M42" s="49">
        <f t="shared" si="22"/>
        <v>4.8366239502327169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74.085979461350931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128.76931994214459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13.753298611111111</v>
      </c>
      <c r="AO42">
        <v>120.58448645236231</v>
      </c>
      <c r="AP42">
        <v>920.165960370829</v>
      </c>
      <c r="AQ42">
        <v>145.87053097734855</v>
      </c>
      <c r="AR42">
        <v>111.76562802449989</v>
      </c>
      <c r="AS42">
        <v>911.87848386024291</v>
      </c>
      <c r="AT42" t="e">
        <v>#DIV/0!</v>
      </c>
      <c r="AU42" t="e">
        <v>#DIV/0!</v>
      </c>
      <c r="AV42"/>
      <c r="AW42"/>
      <c r="FY42" s="211">
        <v>37</v>
      </c>
      <c r="FZ42">
        <v>39.967944222522725</v>
      </c>
      <c r="GA42">
        <v>43.08506638298217</v>
      </c>
      <c r="GB42">
        <v>58.929607878504768</v>
      </c>
      <c r="GC42">
        <v>3.4792111371184928</v>
      </c>
      <c r="GD42">
        <v>0.65773281633629288</v>
      </c>
      <c r="GE42">
        <v>0.62776211498078394</v>
      </c>
      <c r="GF42">
        <v>0</v>
      </c>
      <c r="GG42">
        <v>4.0919802610087963</v>
      </c>
      <c r="GH42">
        <v>7.2288376019830025</v>
      </c>
      <c r="GI42">
        <v>57.985338242891594</v>
      </c>
      <c r="GJ42"/>
      <c r="GK42"/>
      <c r="GL42"/>
      <c r="GM42"/>
    </row>
    <row r="43" spans="1:195" s="7" customFormat="1">
      <c r="A43" s="95">
        <v>3.9</v>
      </c>
      <c r="B43" s="1"/>
      <c r="C43" s="48" t="s">
        <v>119</v>
      </c>
      <c r="D43" s="49">
        <f>IF(SUM(G43:AK43)&lt;0.0001, 0, SUM(G43:AK43))</f>
        <v>3.9457703124473151</v>
      </c>
      <c r="E43" s="107">
        <f t="shared" si="19"/>
        <v>0.75758789998988452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4.5771415939030127E-2</v>
      </c>
      <c r="J43" s="49">
        <f t="shared" si="22"/>
        <v>0.23670861810832911</v>
      </c>
      <c r="K43" s="49">
        <f t="shared" si="22"/>
        <v>0.81620856440025991</v>
      </c>
      <c r="L43" s="49">
        <f t="shared" si="22"/>
        <v>0.64861628207573385</v>
      </c>
      <c r="M43" s="49">
        <f t="shared" si="22"/>
        <v>2.198465431923962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13.655381944444446</v>
      </c>
      <c r="AO43">
        <v>145.22722287295639</v>
      </c>
      <c r="AP43">
        <v>1112.9406020091512</v>
      </c>
      <c r="AQ43">
        <v>144.19982717597264</v>
      </c>
      <c r="AR43">
        <v>134.63346687637534</v>
      </c>
      <c r="AS43">
        <v>1037.5696516177347</v>
      </c>
      <c r="AT43" t="e">
        <v>#DIV/0!</v>
      </c>
      <c r="AU43" t="e">
        <v>#DIV/0!</v>
      </c>
      <c r="AV43"/>
      <c r="AW43"/>
      <c r="FY43" s="211">
        <v>38</v>
      </c>
      <c r="FZ43">
        <v>25.201307065349297</v>
      </c>
      <c r="GA43">
        <v>33.478016002777707</v>
      </c>
      <c r="GB43">
        <v>75.247311215741888</v>
      </c>
      <c r="GC43">
        <v>2.0323262005859553</v>
      </c>
      <c r="GD43">
        <v>0.56764383229718873</v>
      </c>
      <c r="GE43">
        <v>1.303417710890314</v>
      </c>
      <c r="GF43">
        <v>3.4861108011392457</v>
      </c>
      <c r="GG43">
        <v>4.3659219649103038</v>
      </c>
      <c r="GH43">
        <v>7.6426954455232705</v>
      </c>
      <c r="GI43">
        <v>66.782483627430565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39.664976351139515</v>
      </c>
      <c r="E44" s="107">
        <f t="shared" si="19"/>
        <v>5.0771169729458592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0.35506292716249366</v>
      </c>
      <c r="K44" s="49">
        <f t="shared" si="23"/>
        <v>1.904486650267273</v>
      </c>
      <c r="L44" s="49">
        <f t="shared" si="23"/>
        <v>0.51889302566058704</v>
      </c>
      <c r="M44" s="49">
        <f t="shared" si="23"/>
        <v>0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16.473479126468565</v>
      </c>
      <c r="U44" s="49">
        <f t="shared" si="23"/>
        <v>20.413054621580596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13.501388888888888</v>
      </c>
      <c r="AO44">
        <v>61.236233756995183</v>
      </c>
      <c r="AP44">
        <v>209.46370141808188</v>
      </c>
      <c r="AQ44">
        <v>196.08873128819283</v>
      </c>
      <c r="AR44">
        <v>56.943653457821441</v>
      </c>
      <c r="AS44">
        <v>621.10172529390502</v>
      </c>
      <c r="AT44" t="e">
        <v>#DIV/0!</v>
      </c>
      <c r="AU44" t="e">
        <v>#DIV/0!</v>
      </c>
      <c r="AV44"/>
      <c r="AW44"/>
      <c r="FY44" s="211">
        <v>39</v>
      </c>
      <c r="FZ44">
        <v>33.512283518309246</v>
      </c>
      <c r="GA44">
        <v>39.741572671794898</v>
      </c>
      <c r="GB44">
        <v>45.945041277630054</v>
      </c>
      <c r="GC44">
        <v>4.0742510324582675</v>
      </c>
      <c r="GD44">
        <v>0.72743829095365897</v>
      </c>
      <c r="GE44">
        <v>1.0422313478730678</v>
      </c>
      <c r="GF44">
        <v>2.1471784907005711</v>
      </c>
      <c r="GG44">
        <v>5.8797947598496716</v>
      </c>
      <c r="GH44">
        <v>17.253860269699697</v>
      </c>
      <c r="GI44">
        <v>51.281737290108047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38.612059168630921</v>
      </c>
      <c r="E45" s="107">
        <f t="shared" si="19"/>
        <v>7.4135153603771382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0.11835430905416455</v>
      </c>
      <c r="K45" s="49">
        <f t="shared" si="24"/>
        <v>1.0882780858670131</v>
      </c>
      <c r="L45" s="49">
        <f t="shared" si="24"/>
        <v>0.51889302566058704</v>
      </c>
      <c r="M45" s="49">
        <f t="shared" si="24"/>
        <v>0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16.473479126468565</v>
      </c>
      <c r="U45" s="49">
        <f t="shared" si="24"/>
        <v>20.413054621580596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11.472836538461538</v>
      </c>
      <c r="AO45">
        <v>55.064865503754547</v>
      </c>
      <c r="AP45">
        <v>238.78380073664164</v>
      </c>
      <c r="AQ45">
        <v>199.06558736532389</v>
      </c>
      <c r="AR45">
        <v>51.133813601408946</v>
      </c>
      <c r="AS45">
        <v>465.28726621399403</v>
      </c>
      <c r="AT45" t="e">
        <v>#DIV/0!</v>
      </c>
      <c r="AU45" t="e">
        <v>#DIV/0!</v>
      </c>
      <c r="AV45"/>
      <c r="AW45"/>
      <c r="FY45" s="211">
        <v>40</v>
      </c>
      <c r="FZ45">
        <v>21.344826710534349</v>
      </c>
      <c r="GA45">
        <v>28.580638840866037</v>
      </c>
      <c r="GB45">
        <v>26.089557254564614</v>
      </c>
      <c r="GC45">
        <v>2.8061969801043216</v>
      </c>
      <c r="GD45">
        <v>0.32444827901427609</v>
      </c>
      <c r="GE45">
        <v>0.66648692196279713</v>
      </c>
      <c r="GF45">
        <v>2.3126168102113933</v>
      </c>
      <c r="GG45">
        <v>4.7198288426467183</v>
      </c>
      <c r="GH45">
        <v>9.6111648241764271</v>
      </c>
      <c r="GI45">
        <v>32.069106256141509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98.032293150962445</v>
      </c>
      <c r="E46" s="107">
        <f t="shared" si="19"/>
        <v>9.8684052628305565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3.1124562838540488E-2</v>
      </c>
      <c r="J46" s="49">
        <f t="shared" si="25"/>
        <v>0.33139206535166071</v>
      </c>
      <c r="K46" s="49">
        <f t="shared" si="25"/>
        <v>0.48972513864015593</v>
      </c>
      <c r="L46" s="49">
        <f t="shared" si="25"/>
        <v>1.7023682726480034</v>
      </c>
      <c r="M46" s="49">
        <f t="shared" si="25"/>
        <v>0.96732479004654337</v>
      </c>
      <c r="N46" s="49">
        <f t="shared" si="25"/>
        <v>6.1024253322374653</v>
      </c>
      <c r="O46" s="49">
        <f t="shared" si="25"/>
        <v>2.4258095251985092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3.9203644398165332</v>
      </c>
      <c r="T46" s="49">
        <f t="shared" si="25"/>
        <v>3.2946958252937129</v>
      </c>
      <c r="U46" s="49">
        <f t="shared" si="25"/>
        <v>4.0826109243161195</v>
      </c>
      <c r="V46" s="49">
        <f t="shared" si="25"/>
        <v>4.9846322486540364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14.817195892270185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25.753863988428915</v>
      </c>
      <c r="AE46" s="49">
        <f t="shared" si="25"/>
        <v>29.128760145222063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10.558987713675213</v>
      </c>
      <c r="AO46">
        <v>78.430560281343531</v>
      </c>
      <c r="AP46">
        <v>511.38247132191594</v>
      </c>
      <c r="AQ46">
        <v>123.71032166843507</v>
      </c>
      <c r="AR46">
        <v>72.779876045555994</v>
      </c>
      <c r="AS46">
        <v>936.92724108887535</v>
      </c>
      <c r="AT46" t="e">
        <v>#DIV/0!</v>
      </c>
      <c r="AU46" t="e">
        <v>#DIV/0!</v>
      </c>
      <c r="AV46"/>
      <c r="AW46"/>
      <c r="FY46" s="211">
        <v>41</v>
      </c>
      <c r="FZ46">
        <v>5.1983606987970479</v>
      </c>
      <c r="GA46">
        <v>15.321219755619696</v>
      </c>
      <c r="GB46">
        <v>62.400420970568213</v>
      </c>
      <c r="GC46">
        <v>2.0212983333700882</v>
      </c>
      <c r="GD46">
        <v>0.29850212800223097</v>
      </c>
      <c r="GE46">
        <v>0.6318975788826996</v>
      </c>
      <c r="GF46">
        <v>2.652506316452083</v>
      </c>
      <c r="GG46">
        <v>11.042635709147113</v>
      </c>
      <c r="GH46">
        <v>18.394613961272317</v>
      </c>
      <c r="GI46">
        <v>57.355532963551106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10.194230769230767</v>
      </c>
      <c r="AO47">
        <v>76.164960422603244</v>
      </c>
      <c r="AP47">
        <v>588.99034090628641</v>
      </c>
      <c r="AQ47">
        <v>188.11251300165907</v>
      </c>
      <c r="AR47">
        <v>70.568925089485461</v>
      </c>
      <c r="AS47">
        <v>392.6612063206303</v>
      </c>
      <c r="AT47" t="e">
        <v>#DIV/0!</v>
      </c>
      <c r="AU47" t="e">
        <v>#DIV/0!</v>
      </c>
      <c r="AV47"/>
      <c r="AW47"/>
      <c r="FY47" s="211">
        <v>42</v>
      </c>
      <c r="FZ47">
        <v>46.2751526524331</v>
      </c>
      <c r="GA47">
        <v>43.76529639416038</v>
      </c>
      <c r="GB47">
        <v>24.967034229930505</v>
      </c>
      <c r="GC47">
        <v>1.4450677366587354</v>
      </c>
      <c r="GD47">
        <v>9.2940632823154845E-2</v>
      </c>
      <c r="GE47">
        <v>0.58148499210505311</v>
      </c>
      <c r="GF47">
        <v>4.6774765170061272</v>
      </c>
      <c r="GG47">
        <v>8.3124401960883869</v>
      </c>
      <c r="GH47">
        <v>17.253860269699697</v>
      </c>
      <c r="GI47">
        <v>37.170689829589293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107.83552246605871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17.183119658119661</v>
      </c>
      <c r="AO48">
        <v>150.0119171423965</v>
      </c>
      <c r="AP48">
        <v>1201.9618876690736</v>
      </c>
      <c r="AQ48">
        <v>292.71735668548371</v>
      </c>
      <c r="AR48">
        <v>139.08032549279665</v>
      </c>
      <c r="AS48">
        <v>834.17878884094705</v>
      </c>
      <c r="AT48" t="e">
        <v>#DIV/0!</v>
      </c>
      <c r="AU48" t="e">
        <v>#DIV/0!</v>
      </c>
      <c r="AV48"/>
      <c r="AW48"/>
      <c r="FY48" s="211">
        <v>43</v>
      </c>
      <c r="FZ48">
        <v>12.762869134123846</v>
      </c>
      <c r="GA48">
        <v>17.933339324264509</v>
      </c>
      <c r="GB48">
        <v>65.770579821675327</v>
      </c>
      <c r="GC48">
        <v>3.087239616961174</v>
      </c>
      <c r="GD48">
        <v>0.25203181159065347</v>
      </c>
      <c r="GE48">
        <v>0.12325774218593843</v>
      </c>
      <c r="GF48">
        <v>3.1471336667241445</v>
      </c>
      <c r="GG48">
        <v>10.59962360249639</v>
      </c>
      <c r="GH48">
        <v>18.808471804812587</v>
      </c>
      <c r="GI48">
        <v>59.312261055307872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12.455649038461537</v>
      </c>
      <c r="AO49">
        <v>57.304611447300729</v>
      </c>
      <c r="AP49">
        <v>293.55203109407228</v>
      </c>
      <c r="AQ49">
        <v>247.70556237383801</v>
      </c>
      <c r="AR49">
        <v>53.235754268674292</v>
      </c>
      <c r="AS49">
        <v>418.33304536333048</v>
      </c>
      <c r="AT49" t="e">
        <v>#DIV/0!</v>
      </c>
      <c r="AU49" t="e">
        <v>#DIV/0!</v>
      </c>
      <c r="AV49"/>
      <c r="AW49"/>
      <c r="FY49" s="211">
        <v>44</v>
      </c>
      <c r="FZ49">
        <v>50.525142979846066</v>
      </c>
      <c r="GA49">
        <v>51.87114899324888</v>
      </c>
      <c r="GB49">
        <v>57.386513067863987</v>
      </c>
      <c r="GC49">
        <v>2.6277328465274854</v>
      </c>
      <c r="GD49">
        <v>0.32444827901427609</v>
      </c>
      <c r="GE49">
        <v>0.28157382210579351</v>
      </c>
      <c r="GF49">
        <v>1.9035250542739217</v>
      </c>
      <c r="GG49">
        <v>11.872303121532152</v>
      </c>
      <c r="GH49">
        <v>18.394613961272317</v>
      </c>
      <c r="GI49">
        <v>51.183907331845525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17.532986111111111</v>
      </c>
      <c r="AO50">
        <v>102.15888932800125</v>
      </c>
      <c r="AP50">
        <v>528.69569698671205</v>
      </c>
      <c r="AQ50">
        <v>241.31925805804491</v>
      </c>
      <c r="AR50">
        <v>94.836179650528209</v>
      </c>
      <c r="AS50">
        <v>1150.4098583516834</v>
      </c>
      <c r="AT50" t="e">
        <v>#DIV/0!</v>
      </c>
      <c r="AU50" t="e">
        <v>#DIV/0!</v>
      </c>
      <c r="AV50"/>
      <c r="AW50"/>
      <c r="FY50" s="211">
        <v>45</v>
      </c>
      <c r="FZ50">
        <v>24.810400509732382</v>
      </c>
      <c r="GA50">
        <v>28.580638840866037</v>
      </c>
      <c r="GB50">
        <v>43.586612858711852</v>
      </c>
      <c r="GC50">
        <v>4.4509022266033806</v>
      </c>
      <c r="GD50">
        <v>0.5968636000266675</v>
      </c>
      <c r="GE50">
        <v>0.32029862908780687</v>
      </c>
      <c r="GF50">
        <v>3.6084683192449569</v>
      </c>
      <c r="GG50">
        <v>8.4409198701591812</v>
      </c>
      <c r="GH50">
        <v>19.222329648352854</v>
      </c>
      <c r="GI50">
        <v>54.031281893623671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10.998397435897436</v>
      </c>
      <c r="AO51">
        <v>50.788194222574283</v>
      </c>
      <c r="AP51">
        <v>351.09780366878044</v>
      </c>
      <c r="AQ51">
        <v>178.57966067628567</v>
      </c>
      <c r="AR51">
        <v>47.170018808751095</v>
      </c>
      <c r="AS51">
        <v>315.46538221994024</v>
      </c>
      <c r="AT51" t="e">
        <v>#DIV/0!</v>
      </c>
      <c r="AU51" t="e">
        <v>#DIV/0!</v>
      </c>
      <c r="AV51"/>
      <c r="AW51"/>
      <c r="FY51" s="211">
        <v>46</v>
      </c>
      <c r="FZ51">
        <v>46.2751526524331</v>
      </c>
      <c r="GA51">
        <v>53.579581627821966</v>
      </c>
      <c r="GB51">
        <v>51.296271838224712</v>
      </c>
      <c r="GC51">
        <v>6.3244771637517072</v>
      </c>
      <c r="GD51">
        <v>0.57091744901462238</v>
      </c>
      <c r="GE51">
        <v>0.39408177380373677</v>
      </c>
      <c r="GF51">
        <v>2.4897412498454616</v>
      </c>
      <c r="GG51">
        <v>7.6845916144504649</v>
      </c>
      <c r="GH51">
        <v>18.899809692038044</v>
      </c>
      <c r="GI51">
        <v>58.809975842106702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13.06174054301286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0.11501247100825314</v>
      </c>
      <c r="J52" s="49">
        <f t="shared" si="26"/>
        <v>0.2478297364474171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12.698898335557189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10.592668269230767</v>
      </c>
      <c r="AO52">
        <v>88.37745575961705</v>
      </c>
      <c r="AP52">
        <v>584.40731845388757</v>
      </c>
      <c r="AQ52">
        <v>159.26671600447338</v>
      </c>
      <c r="AR52">
        <v>81.962821910915025</v>
      </c>
      <c r="AS52">
        <v>607.83203840693022</v>
      </c>
      <c r="AT52" t="e">
        <v>#DIV/0!</v>
      </c>
      <c r="AU52" t="e">
        <v>#DIV/0!</v>
      </c>
      <c r="AV52"/>
      <c r="AW52"/>
      <c r="FY52" s="211">
        <v>47</v>
      </c>
      <c r="FZ52">
        <v>43.231615667969812</v>
      </c>
      <c r="GA52">
        <v>56.114478143239168</v>
      </c>
      <c r="GB52">
        <v>34.966090890163116</v>
      </c>
      <c r="GC52">
        <v>3.6404983088152578</v>
      </c>
      <c r="GD52">
        <v>0.63178666532424776</v>
      </c>
      <c r="GE52">
        <v>0.82480300188265221</v>
      </c>
      <c r="GF52">
        <v>2.4637690295129757</v>
      </c>
      <c r="GG52">
        <v>8.3124401960883869</v>
      </c>
      <c r="GH52">
        <v>13.225583625167928</v>
      </c>
      <c r="GI52">
        <v>46.402121216307499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245.93257777088994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0.15117806164963021</v>
      </c>
      <c r="J53" s="49">
        <f t="shared" si="28"/>
        <v>1.3030384912805042</v>
      </c>
      <c r="K53" s="49">
        <f t="shared" si="28"/>
        <v>0.37442348065798253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16.692057988367967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26.976128952085904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200.43575079684794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18.196180555555554</v>
      </c>
      <c r="AO53">
        <v>170.91665565377389</v>
      </c>
      <c r="AP53">
        <v>1118.9628637975513</v>
      </c>
      <c r="AQ53">
        <v>216.05348065832862</v>
      </c>
      <c r="AR53">
        <v>158.54977333374197</v>
      </c>
      <c r="AS53">
        <v>1333.1941086606562</v>
      </c>
      <c r="AT53" t="e">
        <v>#DIV/0!</v>
      </c>
      <c r="AU53" t="e">
        <v>#DIV/0!</v>
      </c>
      <c r="AV53"/>
      <c r="AW53"/>
      <c r="FY53" s="211">
        <v>48</v>
      </c>
      <c r="FZ53">
        <v>16.22844293332188</v>
      </c>
      <c r="GA53">
        <v>19.556963821451191</v>
      </c>
      <c r="GB53">
        <v>14.955494284179432</v>
      </c>
      <c r="GC53">
        <v>1.3436642363932763</v>
      </c>
      <c r="GD53">
        <v>0.14212194204098866</v>
      </c>
      <c r="GE53">
        <v>0.4786147090076619</v>
      </c>
      <c r="GF53">
        <v>2.6120987679511725</v>
      </c>
      <c r="GG53">
        <v>6.6531053713183059</v>
      </c>
      <c r="GH53">
        <v>9.1973069806361583</v>
      </c>
      <c r="GI53">
        <v>23.138139720559959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263.94262223766168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</v>
      </c>
      <c r="I54" s="49">
        <f t="shared" si="29"/>
        <v>0</v>
      </c>
      <c r="J54" s="49">
        <f t="shared" si="29"/>
        <v>1.2604403228423906</v>
      </c>
      <c r="K54" s="49">
        <f t="shared" si="29"/>
        <v>0.32194048738876951</v>
      </c>
      <c r="L54" s="49">
        <f t="shared" si="29"/>
        <v>1.228014609524841</v>
      </c>
      <c r="M54" s="49">
        <f t="shared" si="29"/>
        <v>0</v>
      </c>
      <c r="N54" s="49">
        <f t="shared" si="29"/>
        <v>36.105069305864504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23.19488106738126</v>
      </c>
      <c r="T54" s="49">
        <f t="shared" si="29"/>
        <v>0</v>
      </c>
      <c r="U54" s="49">
        <f t="shared" si="29"/>
        <v>0</v>
      </c>
      <c r="V54" s="49">
        <f t="shared" si="29"/>
        <v>29.491633736371284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172.34064270828861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15.567975427350424</v>
      </c>
      <c r="AO54">
        <v>85.115150126129805</v>
      </c>
      <c r="AP54">
        <v>830.76718615388802</v>
      </c>
      <c r="AQ54">
        <v>220.10723386664571</v>
      </c>
      <c r="AR54">
        <v>78.984863748308499</v>
      </c>
      <c r="AS54">
        <v>648.36193556497471</v>
      </c>
      <c r="AT54" t="e">
        <v>#DIV/0!</v>
      </c>
      <c r="AU54" t="e">
        <v>#DIV/0!</v>
      </c>
      <c r="AV54"/>
      <c r="AW54"/>
      <c r="FY54" s="211">
        <v>49</v>
      </c>
      <c r="FZ54">
        <v>38.830569649272661</v>
      </c>
      <c r="GA54">
        <v>47.385766005267044</v>
      </c>
      <c r="GB54">
        <v>57.095975193685909</v>
      </c>
      <c r="GC54">
        <v>2.6590204616438236</v>
      </c>
      <c r="GD54">
        <v>0.40841199755189572</v>
      </c>
      <c r="GE54">
        <v>0.41446923289228399</v>
      </c>
      <c r="GF54">
        <v>2.803658535753665</v>
      </c>
      <c r="GG54">
        <v>10.543266801579986</v>
      </c>
      <c r="GH54">
        <v>14.780195160280819</v>
      </c>
      <c r="GI54">
        <v>49.167551962143008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8.4410751956477714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0</v>
      </c>
      <c r="I55" s="49">
        <f t="shared" si="30"/>
        <v>0</v>
      </c>
      <c r="J55" s="49">
        <f t="shared" si="30"/>
        <v>4.9708809802749124E-2</v>
      </c>
      <c r="K55" s="49">
        <f t="shared" si="30"/>
        <v>3.8089733005345461E-2</v>
      </c>
      <c r="L55" s="49">
        <f t="shared" si="30"/>
        <v>0.59233634621562425</v>
      </c>
      <c r="M55" s="49">
        <f t="shared" si="30"/>
        <v>0</v>
      </c>
      <c r="N55" s="49">
        <f t="shared" si="30"/>
        <v>4.271697732566226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3.4892425740578257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16.99301549145299</v>
      </c>
      <c r="AO55">
        <v>100.33297102692499</v>
      </c>
      <c r="AP55">
        <v>622.08157041224797</v>
      </c>
      <c r="AQ55">
        <v>201.60538894937716</v>
      </c>
      <c r="AR55">
        <v>93.150744602277499</v>
      </c>
      <c r="AS55">
        <v>835.38382782379517</v>
      </c>
      <c r="AT55" t="e">
        <v>#DIV/0!</v>
      </c>
      <c r="AU55" t="e">
        <v>#DIV/0!</v>
      </c>
      <c r="AV55"/>
      <c r="AW55"/>
      <c r="FY55" s="211">
        <v>50</v>
      </c>
      <c r="FZ55">
        <v>55.994484802093666</v>
      </c>
      <c r="GA55">
        <v>58.090536681485915</v>
      </c>
      <c r="GB55">
        <v>34.396820294365995</v>
      </c>
      <c r="GC55">
        <v>2.3336758540194089</v>
      </c>
      <c r="GD55">
        <v>0.31902629340176314</v>
      </c>
      <c r="GE55">
        <v>0.64149500431851525</v>
      </c>
      <c r="GF55">
        <v>2.0249702005540442</v>
      </c>
      <c r="GG55">
        <v>4.4222787658267091</v>
      </c>
      <c r="GH55">
        <v>7.6426954455232705</v>
      </c>
      <c r="GI55">
        <v>39.438999585730393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25.448648813694426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0</v>
      </c>
      <c r="J56" s="49">
        <f t="shared" si="31"/>
        <v>0</v>
      </c>
      <c r="K56" s="49">
        <f t="shared" si="31"/>
        <v>3.2648342576010396E-2</v>
      </c>
      <c r="L56" s="49">
        <f t="shared" si="31"/>
        <v>0.75678552050190251</v>
      </c>
      <c r="M56" s="49">
        <f t="shared" si="31"/>
        <v>0.31657902219705059</v>
      </c>
      <c r="N56" s="49">
        <f t="shared" si="31"/>
        <v>0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8.8903175353621116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15.45231839305735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11.933386752136752</v>
      </c>
      <c r="AO56">
        <v>87.092515641407118</v>
      </c>
      <c r="AP56">
        <v>527.47470796806715</v>
      </c>
      <c r="AQ56">
        <v>128.52487172022245</v>
      </c>
      <c r="AR56">
        <v>80.83160938586515</v>
      </c>
      <c r="AS56">
        <v>617.28643718611886</v>
      </c>
      <c r="AT56" t="e">
        <v>#DIV/0!</v>
      </c>
      <c r="AU56" t="e">
        <v>#DIV/0!</v>
      </c>
      <c r="AV56"/>
      <c r="AW56"/>
      <c r="FY56" s="211">
        <v>51</v>
      </c>
      <c r="FZ56">
        <v>39.495060745321226</v>
      </c>
      <c r="GA56">
        <v>44.388155933044018</v>
      </c>
      <c r="GB56">
        <v>39.792102339631413</v>
      </c>
      <c r="GC56">
        <v>3.4557237912533436</v>
      </c>
      <c r="GD56">
        <v>0.35923068833406196</v>
      </c>
      <c r="GE56">
        <v>0.29074249605252656</v>
      </c>
      <c r="GF56">
        <v>2.3682961035653389</v>
      </c>
      <c r="GG56">
        <v>2.8756575428894382</v>
      </c>
      <c r="GH56">
        <v>7.6426954455232705</v>
      </c>
      <c r="GI56">
        <v>45.237707522996857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50.759920609369566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1.0985139825367231E-2</v>
      </c>
      <c r="J57" s="49">
        <f t="shared" si="32"/>
        <v>0</v>
      </c>
      <c r="K57" s="49">
        <f t="shared" si="32"/>
        <v>0</v>
      </c>
      <c r="L57" s="49">
        <f t="shared" si="32"/>
        <v>0.90287386464942154</v>
      </c>
      <c r="M57" s="49">
        <f t="shared" si="32"/>
        <v>1.160789748055852</v>
      </c>
      <c r="N57" s="49">
        <f t="shared" si="32"/>
        <v>0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17.780635070724223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30.9046367861147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16.382211538461537</v>
      </c>
      <c r="AO57">
        <v>105.394164762391</v>
      </c>
      <c r="AP57">
        <v>597.22168270511679</v>
      </c>
      <c r="AQ57">
        <v>175.31698841566256</v>
      </c>
      <c r="AR57">
        <v>97.699102377511039</v>
      </c>
      <c r="AS57">
        <v>849.23764958687832</v>
      </c>
      <c r="AT57" t="e">
        <v>#DIV/0!</v>
      </c>
      <c r="AU57" t="e">
        <v>#DIV/0!</v>
      </c>
      <c r="AV57"/>
      <c r="AW57"/>
      <c r="FY57" s="211">
        <v>52</v>
      </c>
      <c r="FZ57">
        <v>42.365222218170302</v>
      </c>
      <c r="GA57">
        <v>49.265680514022662</v>
      </c>
      <c r="GB57">
        <v>101.1865910543403</v>
      </c>
      <c r="GC57">
        <v>2.7521082516502133</v>
      </c>
      <c r="GD57">
        <v>0.12159777664145638</v>
      </c>
      <c r="GE57">
        <v>2.9556133035280256E-2</v>
      </c>
      <c r="GF57">
        <v>1.6824074414091537</v>
      </c>
      <c r="GG57">
        <v>9.7869385458712674</v>
      </c>
      <c r="GH57">
        <v>14.457675203966005</v>
      </c>
      <c r="GI57">
        <v>69.702399820741689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4.9285086874763451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5.717130071711829E-2</v>
      </c>
      <c r="J58" s="49">
        <f t="shared" si="33"/>
        <v>0.29566355574910258</v>
      </c>
      <c r="K58" s="49">
        <f t="shared" si="33"/>
        <v>1.0194944667076307</v>
      </c>
      <c r="L58" s="49">
        <f t="shared" si="33"/>
        <v>0.81016144578018834</v>
      </c>
      <c r="M58" s="49">
        <f t="shared" si="33"/>
        <v>2.7460179185223055</v>
      </c>
      <c r="N58" s="49">
        <f t="shared" si="33"/>
        <v>0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14.959294871794871</v>
      </c>
      <c r="AO58">
        <v>116.81805130432474</v>
      </c>
      <c r="AP58">
        <v>812.04325512978119</v>
      </c>
      <c r="AQ58">
        <v>184.5414434504944</v>
      </c>
      <c r="AR58">
        <v>108.44709634270481</v>
      </c>
      <c r="AS58">
        <v>1136.3141542347187</v>
      </c>
      <c r="AT58" t="e">
        <v>#DIV/0!</v>
      </c>
      <c r="AU58" t="e">
        <v>#DIV/0!</v>
      </c>
      <c r="AV58"/>
      <c r="AW58"/>
      <c r="FY58" s="211">
        <v>53</v>
      </c>
      <c r="FZ58">
        <v>33.241302394858693</v>
      </c>
      <c r="GA58">
        <v>33.734205327023879</v>
      </c>
      <c r="GB58">
        <v>32.578780095822822</v>
      </c>
      <c r="GC58">
        <v>1.8306627663162112</v>
      </c>
      <c r="GD58">
        <v>0.32173728620801967</v>
      </c>
      <c r="GE58">
        <v>0.66145371191797975</v>
      </c>
      <c r="GF58">
        <v>2.9923958226927727</v>
      </c>
      <c r="GG58">
        <v>12.258958427266471</v>
      </c>
      <c r="GH58">
        <v>30.065586051327358</v>
      </c>
      <c r="GI58">
        <v>41.582090621743099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30.669515024369986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</v>
      </c>
      <c r="J59" s="49">
        <f t="shared" si="34"/>
        <v>0.27453962616302036</v>
      </c>
      <c r="K59" s="49">
        <f t="shared" si="34"/>
        <v>1.4725757407997593</v>
      </c>
      <c r="L59" s="49">
        <f t="shared" si="34"/>
        <v>0.40121535194312513</v>
      </c>
      <c r="M59" s="49">
        <f t="shared" si="34"/>
        <v>0</v>
      </c>
      <c r="N59" s="49">
        <f t="shared" si="34"/>
        <v>0</v>
      </c>
      <c r="O59" s="49">
        <f t="shared" si="34"/>
        <v>0</v>
      </c>
      <c r="P59" s="49">
        <f t="shared" si="34"/>
        <v>0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12.737524689293265</v>
      </c>
      <c r="U59" s="49">
        <f t="shared" si="34"/>
        <v>15.783659616170818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15.943843482905981</v>
      </c>
      <c r="AO59">
        <v>136.22016330734215</v>
      </c>
      <c r="AP59">
        <v>704.25598318899119</v>
      </c>
      <c r="AQ59">
        <v>191.79680758014246</v>
      </c>
      <c r="AR59">
        <v>126.34381221492715</v>
      </c>
      <c r="AS59">
        <v>1110.8319223075475</v>
      </c>
      <c r="AT59" t="e">
        <v>#DIV/0!</v>
      </c>
      <c r="AU59" t="e">
        <v>#DIV/0!</v>
      </c>
      <c r="AV59"/>
      <c r="AW59"/>
      <c r="FY59" s="211">
        <v>54</v>
      </c>
      <c r="FZ59">
        <v>32.645890068509736</v>
      </c>
      <c r="GA59">
        <v>40.659395092121251</v>
      </c>
      <c r="GB59">
        <v>26.418992625407405</v>
      </c>
      <c r="GC59">
        <v>2.1630119896937625</v>
      </c>
      <c r="GD59">
        <v>0.29850212800223097</v>
      </c>
      <c r="GE59">
        <v>0.44402536592756425</v>
      </c>
      <c r="GF59">
        <v>3.0913051454110141</v>
      </c>
      <c r="GG59">
        <v>6.7658189731511165</v>
      </c>
      <c r="GH59">
        <v>21.282136914231469</v>
      </c>
      <c r="GI59">
        <v>33.541445386688046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48.574800192184284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0.14889226417794063</v>
      </c>
      <c r="K60" s="49">
        <f t="shared" si="35"/>
        <v>1.3690772186910358</v>
      </c>
      <c r="L60" s="49">
        <f t="shared" si="35"/>
        <v>0.6527785770891501</v>
      </c>
      <c r="M60" s="49">
        <f t="shared" si="35"/>
        <v>0</v>
      </c>
      <c r="N60" s="49">
        <f t="shared" si="35"/>
        <v>0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20.723990749719494</v>
      </c>
      <c r="U60" s="49">
        <f t="shared" si="35"/>
        <v>25.680061382506665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13.23155715811966</v>
      </c>
      <c r="AO60">
        <v>69.559791901810868</v>
      </c>
      <c r="AP60">
        <v>433.69345628055254</v>
      </c>
      <c r="AQ60">
        <v>246.37090945753039</v>
      </c>
      <c r="AR60">
        <v>64.453499632278195</v>
      </c>
      <c r="AS60">
        <v>509.75823436166252</v>
      </c>
      <c r="AT60" t="e">
        <v>#DIV/0!</v>
      </c>
      <c r="AU60" t="e">
        <v>#DIV/0!</v>
      </c>
      <c r="AV60"/>
      <c r="AW60"/>
      <c r="FY60" s="211">
        <v>55</v>
      </c>
      <c r="FZ60">
        <v>72.140950813830955</v>
      </c>
      <c r="GA60">
        <v>73.185600607384941</v>
      </c>
      <c r="GB60">
        <v>14.04103755612854</v>
      </c>
      <c r="GC60">
        <v>2.9327390008219156</v>
      </c>
      <c r="GD60">
        <v>0.33057354451576038</v>
      </c>
      <c r="GE60">
        <v>0.18740321830131634</v>
      </c>
      <c r="GF60">
        <v>2.7083348377652134</v>
      </c>
      <c r="GG60">
        <v>8.7554523027391102</v>
      </c>
      <c r="GH60">
        <v>12.811725781627663</v>
      </c>
      <c r="GI60">
        <v>38.962924937360619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82.347126246808472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0</v>
      </c>
      <c r="I61" s="49">
        <f t="shared" si="36"/>
        <v>2.6144632784374011E-2</v>
      </c>
      <c r="J61" s="49">
        <f t="shared" si="36"/>
        <v>0.278369334895395</v>
      </c>
      <c r="K61" s="49">
        <f t="shared" si="36"/>
        <v>0.411369116457731</v>
      </c>
      <c r="L61" s="49">
        <f t="shared" si="36"/>
        <v>1.429989349024323</v>
      </c>
      <c r="M61" s="49">
        <f t="shared" si="36"/>
        <v>0.81255282363909653</v>
      </c>
      <c r="N61" s="49">
        <f t="shared" si="36"/>
        <v>5.1260372790794717</v>
      </c>
      <c r="O61" s="49">
        <f t="shared" si="36"/>
        <v>2.037680001166748</v>
      </c>
      <c r="P61" s="49">
        <f t="shared" si="36"/>
        <v>0</v>
      </c>
      <c r="Q61" s="49">
        <f t="shared" si="36"/>
        <v>0</v>
      </c>
      <c r="R61" s="49">
        <f t="shared" si="36"/>
        <v>0</v>
      </c>
      <c r="S61" s="49">
        <f t="shared" si="36"/>
        <v>3.2931061294458881</v>
      </c>
      <c r="T61" s="49">
        <f t="shared" si="36"/>
        <v>2.767544493246719</v>
      </c>
      <c r="U61" s="49">
        <f t="shared" si="36"/>
        <v>3.4293931764255405</v>
      </c>
      <c r="V61" s="49">
        <f t="shared" si="36"/>
        <v>4.1870910888693906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12.446444549506957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21.633245750280292</v>
      </c>
      <c r="AE61" s="49">
        <f t="shared" si="36"/>
        <v>24.468158521986535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17.938194444444445</v>
      </c>
      <c r="AO61">
        <v>125.0986569465139</v>
      </c>
      <c r="AP61">
        <v>837.32138032256091</v>
      </c>
      <c r="AQ61">
        <v>187.64871639640876</v>
      </c>
      <c r="AR61">
        <v>116.14100350800904</v>
      </c>
      <c r="AS61">
        <v>1108.5403564900053</v>
      </c>
      <c r="AT61" t="e">
        <v>#DIV/0!</v>
      </c>
      <c r="AU61" t="e">
        <v>#DIV/0!</v>
      </c>
      <c r="AV61"/>
      <c r="AW61"/>
      <c r="FY61" s="211">
        <v>56</v>
      </c>
      <c r="FZ61">
        <v>64.545312119386338</v>
      </c>
      <c r="GA61">
        <v>65.59338232262381</v>
      </c>
      <c r="GB61">
        <v>60.66179455483033</v>
      </c>
      <c r="GC61">
        <v>2.1609940645050214</v>
      </c>
      <c r="GD61">
        <v>0.27255597699018586</v>
      </c>
      <c r="GE61">
        <v>0.51320405208775954</v>
      </c>
      <c r="GF61">
        <v>1.3684901555009499</v>
      </c>
      <c r="GG61">
        <v>8.9402887777263089</v>
      </c>
      <c r="GH61">
        <v>22.836748449344356</v>
      </c>
      <c r="GI61">
        <v>56.394925472137139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21.184254807692305</v>
      </c>
      <c r="AO62">
        <v>195.40504649079597</v>
      </c>
      <c r="AP62">
        <v>1235.1920285805861</v>
      </c>
      <c r="AQ62">
        <v>246.32460090349048</v>
      </c>
      <c r="AR62">
        <v>181.35965206106678</v>
      </c>
      <c r="AS62">
        <v>1259.6883002499308</v>
      </c>
      <c r="AT62" t="e">
        <v>#DIV/0!</v>
      </c>
      <c r="AU62" t="e">
        <v>#DIV/0!</v>
      </c>
      <c r="AV62"/>
      <c r="AW62"/>
      <c r="FY62" s="211">
        <v>57</v>
      </c>
      <c r="FZ62">
        <v>41.15876887522063</v>
      </c>
      <c r="GA62">
        <v>40.24855589670365</v>
      </c>
      <c r="GB62">
        <v>66.274050800367164</v>
      </c>
      <c r="GC62">
        <v>3.1135878101892471</v>
      </c>
      <c r="GD62">
        <v>0.47811747216926187</v>
      </c>
      <c r="GE62">
        <v>0.83397167582938536</v>
      </c>
      <c r="GF62">
        <v>1.9986995243031895</v>
      </c>
      <c r="GG62">
        <v>4.921647673393835</v>
      </c>
      <c r="GH62">
        <v>7.2288376019830025</v>
      </c>
      <c r="GI62">
        <v>62.736128712623113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774.10653532111519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16.159642094017094</v>
      </c>
      <c r="AO63">
        <v>113.27351823762248</v>
      </c>
      <c r="AP63">
        <v>794.60856271396892</v>
      </c>
      <c r="AQ63">
        <v>209.81318674447107</v>
      </c>
      <c r="AR63">
        <v>105.14659607874829</v>
      </c>
      <c r="AS63">
        <v>693.41858971651368</v>
      </c>
      <c r="AT63" t="e">
        <v>#DIV/0!</v>
      </c>
      <c r="AU63" t="e">
        <v>#DIV/0!</v>
      </c>
      <c r="AV63"/>
      <c r="AW63"/>
      <c r="FY63" s="211">
        <v>58</v>
      </c>
      <c r="FZ63">
        <v>48.99425843399797</v>
      </c>
      <c r="GA63">
        <v>48.656022466653447</v>
      </c>
      <c r="GB63">
        <v>12.573486674375946</v>
      </c>
      <c r="GC63">
        <v>1.8819693528369092</v>
      </c>
      <c r="GD63">
        <v>0.32444827901427609</v>
      </c>
      <c r="GE63">
        <v>0.37574442591027063</v>
      </c>
      <c r="GF63">
        <v>1.3981972285224096</v>
      </c>
      <c r="GG63">
        <v>9.7699561901113494</v>
      </c>
      <c r="GH63">
        <v>18.808471804812587</v>
      </c>
      <c r="GI63">
        <v>23.926492931802137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11.094885149572651</v>
      </c>
      <c r="AO64">
        <v>115.37365941701266</v>
      </c>
      <c r="AP64">
        <v>673.39308939014199</v>
      </c>
      <c r="AQ64">
        <v>94.305952766860031</v>
      </c>
      <c r="AR64">
        <v>106.93999428273553</v>
      </c>
      <c r="AS64">
        <v>1013.4497941461782</v>
      </c>
      <c r="AT64" t="e">
        <v>#DIV/0!</v>
      </c>
      <c r="AU64" t="e">
        <v>#DIV/0!</v>
      </c>
      <c r="AV64"/>
      <c r="AW64"/>
      <c r="FY64" s="211">
        <v>59</v>
      </c>
      <c r="FZ64">
        <v>22.293197081918436</v>
      </c>
      <c r="GA64">
        <v>27.605345260922334</v>
      </c>
      <c r="GB64">
        <v>60.830963354748832</v>
      </c>
      <c r="GC64">
        <v>2.1378734692416268</v>
      </c>
      <c r="GD64">
        <v>0.21724940227086759</v>
      </c>
      <c r="GE64">
        <v>0.60234144584741922</v>
      </c>
      <c r="GF64">
        <v>3.2981366580665417</v>
      </c>
      <c r="GG64">
        <v>15.649750949961023</v>
      </c>
      <c r="GH64">
        <v>28.005778785448747</v>
      </c>
      <c r="GI64">
        <v>54.688872690569674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13.328125</v>
      </c>
      <c r="AO65">
        <v>69.839572995393127</v>
      </c>
      <c r="AP65">
        <v>623.04783141313806</v>
      </c>
      <c r="AQ65">
        <v>224.08888500007112</v>
      </c>
      <c r="AR65">
        <v>64.745448659250187</v>
      </c>
      <c r="AS65">
        <v>382.49063502187255</v>
      </c>
      <c r="AT65" t="e">
        <v>#DIV/0!</v>
      </c>
      <c r="AU65" t="e">
        <v>#DIV/0!</v>
      </c>
      <c r="AV65"/>
      <c r="AW65"/>
      <c r="FY65" s="211">
        <v>60</v>
      </c>
      <c r="FZ65">
        <v>11.03008223452483</v>
      </c>
      <c r="GA65">
        <v>16.097694483611804</v>
      </c>
      <c r="GB65">
        <v>50.245275309348266</v>
      </c>
      <c r="GC65">
        <v>2.2855968654633889</v>
      </c>
      <c r="GD65">
        <v>0.42009990464368729</v>
      </c>
      <c r="GE65">
        <v>0.73063239807817504</v>
      </c>
      <c r="GF65">
        <v>2.3126168102113933</v>
      </c>
      <c r="GG65">
        <v>3.7053249552744782</v>
      </c>
      <c r="GH65">
        <v>7.6426954455232705</v>
      </c>
      <c r="GI65">
        <v>39.217502980526461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13.107425213675214</v>
      </c>
      <c r="AO66">
        <v>93.987289183737104</v>
      </c>
      <c r="AP66">
        <v>725.54315628924985</v>
      </c>
      <c r="AQ66">
        <v>205.30498292731971</v>
      </c>
      <c r="AR66">
        <v>87.25584556493996</v>
      </c>
      <c r="AS66">
        <v>661.65244802911411</v>
      </c>
      <c r="AT66" t="e">
        <v>#DIV/0!</v>
      </c>
      <c r="AU66" t="e">
        <v>#DIV/0!</v>
      </c>
      <c r="AV66"/>
      <c r="AW66"/>
      <c r="FY66" s="211">
        <v>61</v>
      </c>
      <c r="FZ66">
        <v>34.974089294457706</v>
      </c>
      <c r="GA66">
        <v>41.500825376566738</v>
      </c>
      <c r="GB66">
        <v>62.893992766252381</v>
      </c>
      <c r="GC66">
        <v>1.3941279007397918</v>
      </c>
      <c r="GD66">
        <v>9.2940632823154845E-2</v>
      </c>
      <c r="GE66">
        <v>0.26118636301724629</v>
      </c>
      <c r="GF66">
        <v>1.8629682778138266</v>
      </c>
      <c r="GG66">
        <v>8.9402887777263089</v>
      </c>
      <c r="GH66">
        <v>18.808471804812587</v>
      </c>
      <c r="GI66">
        <v>50.350740230700893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14.987767094017096</v>
      </c>
      <c r="AO67">
        <v>137.06122776797878</v>
      </c>
      <c r="AP67">
        <v>806.12244216644842</v>
      </c>
      <c r="AQ67">
        <v>185.90537260861149</v>
      </c>
      <c r="AR67">
        <v>127.09504134093659</v>
      </c>
      <c r="AS67">
        <v>1038.0553526833173</v>
      </c>
      <c r="AT67" t="e">
        <v>#DIV/0!</v>
      </c>
      <c r="AU67" t="e">
        <v>#DIV/0!</v>
      </c>
      <c r="AV67"/>
      <c r="AW67"/>
      <c r="FY67" s="211">
        <v>62</v>
      </c>
      <c r="FZ67">
        <v>18.112285524205092</v>
      </c>
      <c r="GA67">
        <v>21.167386827123444</v>
      </c>
      <c r="GB67">
        <v>46.43974962818973</v>
      </c>
      <c r="GC67">
        <v>1.3819564672627505</v>
      </c>
      <c r="GD67">
        <v>0.11888678383519996</v>
      </c>
      <c r="GE67">
        <v>0.18787221295513531</v>
      </c>
      <c r="GF67">
        <v>1.6193148413871776</v>
      </c>
      <c r="GG67">
        <v>1.6593348247700803</v>
      </c>
      <c r="GH67">
        <v>4.0282766445317693</v>
      </c>
      <c r="GI67">
        <v>41.097306456088234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17.183814102564103</v>
      </c>
      <c r="AO68">
        <v>186.86478309238666</v>
      </c>
      <c r="AP68">
        <v>1269.6142141872256</v>
      </c>
      <c r="AQ68">
        <v>291.35017695984828</v>
      </c>
      <c r="AR68">
        <v>173.31561227613545</v>
      </c>
      <c r="AS68">
        <v>1090.8536720443858</v>
      </c>
      <c r="AT68" t="e">
        <v>#DIV/0!</v>
      </c>
      <c r="AU68" t="e">
        <v>#DIV/0!</v>
      </c>
      <c r="AV68"/>
      <c r="AW68"/>
      <c r="FY68" s="211">
        <v>63</v>
      </c>
      <c r="FZ68">
        <v>33.512283518309246</v>
      </c>
      <c r="GA68">
        <v>39.953593015260921</v>
      </c>
      <c r="GB68">
        <v>32.176339040608561</v>
      </c>
      <c r="GC68">
        <v>1.613745112549025</v>
      </c>
      <c r="GD68">
        <v>0.14754392765350149</v>
      </c>
      <c r="GE68">
        <v>0.21742834599041555</v>
      </c>
      <c r="GF68">
        <v>2.4241246248784689</v>
      </c>
      <c r="GG68">
        <v>5.6949582848624711</v>
      </c>
      <c r="GH68">
        <v>11.257114246514771</v>
      </c>
      <c r="GI68">
        <v>40.761243190997959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13.08936965811966</v>
      </c>
      <c r="AO69">
        <v>128.84650068951925</v>
      </c>
      <c r="AP69">
        <v>1004.3664804465707</v>
      </c>
      <c r="AQ69">
        <v>189.26717250517731</v>
      </c>
      <c r="AR69">
        <v>119.58932510753844</v>
      </c>
      <c r="AS69">
        <v>1308.8326571599098</v>
      </c>
      <c r="AT69" t="e">
        <v>#DIV/0!</v>
      </c>
      <c r="AU69" t="e">
        <v>#DIV/0!</v>
      </c>
      <c r="AV69"/>
      <c r="AW69"/>
      <c r="FY69" s="211">
        <v>64</v>
      </c>
      <c r="FZ69">
        <v>38.235157322923712</v>
      </c>
      <c r="GA69">
        <v>43.509107069914208</v>
      </c>
      <c r="GB69">
        <v>34.700482490543905</v>
      </c>
      <c r="GC69">
        <v>1.2051435082729018</v>
      </c>
      <c r="GD69">
        <v>0.382606502517645</v>
      </c>
      <c r="GE69">
        <v>1.1842954326062913</v>
      </c>
      <c r="GF69">
        <v>3.6513998926908831</v>
      </c>
      <c r="GG69">
        <v>4.6634720417303139</v>
      </c>
      <c r="GH69">
        <v>9.6111648241764271</v>
      </c>
      <c r="GI69">
        <v>36.762005744741188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0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0</v>
      </c>
      <c r="J70" s="18">
        <f t="shared" si="39"/>
        <v>0</v>
      </c>
      <c r="K70" s="18">
        <f t="shared" si="39"/>
        <v>0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11.110069444444445</v>
      </c>
      <c r="AO70">
        <v>77.843122758765304</v>
      </c>
      <c r="AP70">
        <v>599.08375661835839</v>
      </c>
      <c r="AQ70">
        <v>167.31052368914357</v>
      </c>
      <c r="AR70">
        <v>72.386276633731072</v>
      </c>
      <c r="AS70">
        <v>390.63371584751724</v>
      </c>
      <c r="AT70" t="e">
        <v>#DIV/0!</v>
      </c>
      <c r="AU70" t="e">
        <v>#DIV/0!</v>
      </c>
      <c r="AV70"/>
      <c r="AW70"/>
      <c r="FY70" s="211">
        <v>65</v>
      </c>
      <c r="FZ70">
        <v>16.22844293332188</v>
      </c>
      <c r="GA70">
        <v>25.063898343409299</v>
      </c>
      <c r="GB70">
        <v>49.357999120297464</v>
      </c>
      <c r="GC70">
        <v>0.96854219694972499</v>
      </c>
      <c r="GD70">
        <v>0.14483293484724508</v>
      </c>
      <c r="GE70">
        <v>0.44402536592756425</v>
      </c>
      <c r="GF70">
        <v>3.1174265937026844</v>
      </c>
      <c r="GG70">
        <v>8.7554523027391102</v>
      </c>
      <c r="GH70">
        <v>16.840002426159433</v>
      </c>
      <c r="GI70">
        <v>40.06711784730831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11.458333333333332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3.125</v>
      </c>
      <c r="J71" s="18">
        <f t="shared" si="40"/>
        <v>2.083333333333333</v>
      </c>
      <c r="K71" s="18">
        <f t="shared" si="40"/>
        <v>0</v>
      </c>
      <c r="L71" s="18">
        <f t="shared" si="40"/>
        <v>0</v>
      </c>
      <c r="M71" s="18">
        <f t="shared" si="40"/>
        <v>0</v>
      </c>
      <c r="N71" s="18">
        <f t="shared" si="40"/>
        <v>0</v>
      </c>
      <c r="O71" s="18">
        <f t="shared" si="40"/>
        <v>6.2499999999999991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14.043149038461536</v>
      </c>
      <c r="AO71">
        <v>66.317807325958057</v>
      </c>
      <c r="AP71">
        <v>361.28197438542048</v>
      </c>
      <c r="AQ71">
        <v>226.05674260047607</v>
      </c>
      <c r="AR71">
        <v>61.417750435093154</v>
      </c>
      <c r="AS71">
        <v>749.26360516076591</v>
      </c>
      <c r="AT71" t="e">
        <v>#DIV/0!</v>
      </c>
      <c r="AU71" t="e">
        <v>#DIV/0!</v>
      </c>
      <c r="AV71"/>
      <c r="AW71"/>
      <c r="FY71" s="211">
        <v>66</v>
      </c>
      <c r="FZ71">
        <v>36.382444991158323</v>
      </c>
      <c r="GA71">
        <v>42.99547275558686</v>
      </c>
      <c r="GB71">
        <v>57.569093369857825</v>
      </c>
      <c r="GC71">
        <v>3.6788692451142468</v>
      </c>
      <c r="GD71">
        <v>0.48082846497551834</v>
      </c>
      <c r="GE71">
        <v>0.4786147090076619</v>
      </c>
      <c r="GF71">
        <v>2.7775370874619951</v>
      </c>
      <c r="GG71">
        <v>11.631109845628547</v>
      </c>
      <c r="GH71">
        <v>20.454421227150927</v>
      </c>
      <c r="GI71">
        <v>49.982547396371515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13.541666666666666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0</v>
      </c>
      <c r="J72" s="18">
        <f t="shared" si="41"/>
        <v>6.25</v>
      </c>
      <c r="K72" s="18">
        <f t="shared" si="41"/>
        <v>1.0416666666666665</v>
      </c>
      <c r="L72" s="18">
        <f t="shared" si="41"/>
        <v>0</v>
      </c>
      <c r="M72" s="18">
        <f t="shared" si="41"/>
        <v>0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3.125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3.125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13.921834935897436</v>
      </c>
      <c r="AO72">
        <v>115.07135958751613</v>
      </c>
      <c r="AP72">
        <v>680.12459622504025</v>
      </c>
      <c r="AQ72">
        <v>283.28769594513221</v>
      </c>
      <c r="AR72">
        <v>106.85106150330144</v>
      </c>
      <c r="AS72">
        <v>727.0397267214006</v>
      </c>
      <c r="AT72" t="e">
        <v>#DIV/0!</v>
      </c>
      <c r="AU72" t="e">
        <v>#DIV/0!</v>
      </c>
      <c r="AV72"/>
      <c r="AW72"/>
      <c r="FY72" s="211">
        <v>67</v>
      </c>
      <c r="FZ72">
        <v>13.90024370737391</v>
      </c>
      <c r="GA72">
        <v>21.18723940805647</v>
      </c>
      <c r="GB72">
        <v>53.232628990931858</v>
      </c>
      <c r="GC72">
        <v>3.9896703423858755</v>
      </c>
      <c r="GD72">
        <v>0.35380870272154913</v>
      </c>
      <c r="GE72">
        <v>0.45319403987429729</v>
      </c>
      <c r="GF72">
        <v>3.7737574107965948</v>
      </c>
      <c r="GG72">
        <v>4.6634720417303139</v>
      </c>
      <c r="GH72">
        <v>9.6111648241764271</v>
      </c>
      <c r="GI72">
        <v>49.316928942506919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30.429292929292924</v>
      </c>
      <c r="E73" s="64"/>
      <c r="F73" s="64"/>
      <c r="G73" s="18">
        <f>AVERAGE(E258:E267)</f>
        <v>0</v>
      </c>
      <c r="H73" s="18">
        <f t="shared" ref="H73:AK73" si="42">AVERAGE(F258:F267)</f>
        <v>0</v>
      </c>
      <c r="I73" s="18">
        <f t="shared" si="42"/>
        <v>0</v>
      </c>
      <c r="J73" s="18">
        <f t="shared" si="42"/>
        <v>3.125</v>
      </c>
      <c r="K73" s="18">
        <f t="shared" si="42"/>
        <v>0</v>
      </c>
      <c r="L73" s="18">
        <f t="shared" si="42"/>
        <v>2.083333333333333</v>
      </c>
      <c r="M73" s="18">
        <f t="shared" si="42"/>
        <v>0</v>
      </c>
      <c r="N73" s="18">
        <f t="shared" si="42"/>
        <v>23.137626262626259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2.083333333333333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17.075654380341881</v>
      </c>
      <c r="AO73">
        <v>107.59645651680134</v>
      </c>
      <c r="AP73">
        <v>527.10378431916297</v>
      </c>
      <c r="AQ73">
        <v>228.99236604278246</v>
      </c>
      <c r="AR73">
        <v>99.741407897292618</v>
      </c>
      <c r="AS73">
        <v>821.59621652002704</v>
      </c>
      <c r="AT73" t="e">
        <v>#DIV/0!</v>
      </c>
      <c r="AU73" t="e">
        <v>#DIV/0!</v>
      </c>
      <c r="AV73"/>
      <c r="AW73"/>
      <c r="FY73" s="211">
        <v>68</v>
      </c>
      <c r="FZ73">
        <v>32.132454663745357</v>
      </c>
      <c r="GA73">
        <v>42.656240206041225</v>
      </c>
      <c r="GB73">
        <v>41.067199702667018</v>
      </c>
      <c r="GC73">
        <v>3.658530791784262</v>
      </c>
      <c r="GD73">
        <v>0.40570100474563942</v>
      </c>
      <c r="GE73">
        <v>0.34068608817635404</v>
      </c>
      <c r="GF73">
        <v>4.3907422791743667</v>
      </c>
      <c r="GG73">
        <v>3.2059560477073514</v>
      </c>
      <c r="GH73">
        <v>0</v>
      </c>
      <c r="GI73">
        <v>43.773965963217975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7.4519230769230766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0</v>
      </c>
      <c r="J74" s="18">
        <f t="shared" si="43"/>
        <v>0</v>
      </c>
      <c r="K74" s="18">
        <f t="shared" si="43"/>
        <v>1.0416666666666665</v>
      </c>
      <c r="L74" s="18">
        <f t="shared" si="43"/>
        <v>6.4102564102564106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7.4827724358974361</v>
      </c>
      <c r="AO74">
        <v>55.3630137558835</v>
      </c>
      <c r="AP74">
        <v>650.35808385013331</v>
      </c>
      <c r="AQ74">
        <v>166.70904778803728</v>
      </c>
      <c r="AR74">
        <v>51.348998046526738</v>
      </c>
      <c r="AS74">
        <v>253.87087054486216</v>
      </c>
      <c r="AT74" t="e">
        <v>#DIV/0!</v>
      </c>
      <c r="AU74" t="e">
        <v>#DIV/0!</v>
      </c>
      <c r="AV74"/>
      <c r="AW74"/>
      <c r="FY74" s="211">
        <v>69</v>
      </c>
      <c r="FZ74">
        <v>35.125144985741898</v>
      </c>
      <c r="GA74">
        <v>37.180273173348837</v>
      </c>
      <c r="GB74">
        <v>48.845134072660834</v>
      </c>
      <c r="GC74">
        <v>4.6551802745617756</v>
      </c>
      <c r="GD74">
        <v>0.50135263037505062</v>
      </c>
      <c r="GE74">
        <v>0.73063239807817504</v>
      </c>
      <c r="GF74">
        <v>3.0770190452017743</v>
      </c>
      <c r="GG74">
        <v>4.3659219649103038</v>
      </c>
      <c r="GH74">
        <v>7.6426954455232705</v>
      </c>
      <c r="GI74">
        <v>48.33878975728117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15.625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0</v>
      </c>
      <c r="J75" s="18">
        <f t="shared" si="44"/>
        <v>0</v>
      </c>
      <c r="K75" s="18">
        <f t="shared" si="44"/>
        <v>0</v>
      </c>
      <c r="L75" s="18">
        <f t="shared" si="44"/>
        <v>6.25</v>
      </c>
      <c r="M75" s="18">
        <f t="shared" si="44"/>
        <v>3.125</v>
      </c>
      <c r="N75" s="18">
        <f t="shared" si="44"/>
        <v>0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3.125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3.125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16.491452991452991</v>
      </c>
      <c r="AO75">
        <v>111.20511843567697</v>
      </c>
      <c r="AP75">
        <v>768.7176779649019</v>
      </c>
      <c r="AQ75">
        <v>215.32950909899549</v>
      </c>
      <c r="AR75">
        <v>103.10978222006294</v>
      </c>
      <c r="AS75">
        <v>743.07551117167895</v>
      </c>
      <c r="AT75" t="e">
        <v>#DIV/0!</v>
      </c>
      <c r="AU75" t="e">
        <v>#DIV/0!</v>
      </c>
      <c r="AV75"/>
      <c r="AW75"/>
      <c r="FY75" s="211">
        <v>70</v>
      </c>
      <c r="FZ75">
        <v>18.896702052420025</v>
      </c>
      <c r="GA75">
        <v>25.601949744906531</v>
      </c>
      <c r="GB75">
        <v>44.127001079086874</v>
      </c>
      <c r="GC75">
        <v>2.8414890088447562</v>
      </c>
      <c r="GD75">
        <v>0.38246584653985072</v>
      </c>
      <c r="GE75">
        <v>0.28157382210579351</v>
      </c>
      <c r="GF75">
        <v>3.2982858860257269</v>
      </c>
      <c r="GG75">
        <v>7.0397606770526249</v>
      </c>
      <c r="GH75">
        <v>21.695994757771736</v>
      </c>
      <c r="GI75">
        <v>47.843626483217236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5.208333333333333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1.3020833333333333</v>
      </c>
      <c r="J76" s="18">
        <f t="shared" si="45"/>
        <v>0</v>
      </c>
      <c r="K76" s="18">
        <f t="shared" si="45"/>
        <v>0</v>
      </c>
      <c r="L76" s="18">
        <f t="shared" si="45"/>
        <v>1.3020833333333333</v>
      </c>
      <c r="M76" s="18">
        <f t="shared" si="45"/>
        <v>2.6041666666666665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10.321180555555554</v>
      </c>
      <c r="AO76">
        <v>96.010213818346003</v>
      </c>
      <c r="AP76">
        <v>760.41812640807223</v>
      </c>
      <c r="AQ76">
        <v>133.68752138720578</v>
      </c>
      <c r="AR76">
        <v>89.104056674305681</v>
      </c>
      <c r="AS76">
        <v>467.11364046649942</v>
      </c>
      <c r="AT76" t="e">
        <v>#DIV/0!</v>
      </c>
      <c r="AU76" t="e">
        <v>#DIV/0!</v>
      </c>
      <c r="AV76"/>
      <c r="AW76"/>
      <c r="FY76" s="211">
        <v>71</v>
      </c>
      <c r="FZ76">
        <v>61.261924270590328</v>
      </c>
      <c r="GA76">
        <v>66.888989865920308</v>
      </c>
      <c r="GB76">
        <v>55.138851275106461</v>
      </c>
      <c r="GC76">
        <v>1.9488890767747371</v>
      </c>
      <c r="GD76">
        <v>0.23777356767039992</v>
      </c>
      <c r="GE76">
        <v>0.67565559590953028</v>
      </c>
      <c r="GF76">
        <v>2.0913499693874407</v>
      </c>
      <c r="GG76">
        <v>2.0459901305043982</v>
      </c>
      <c r="GH76">
        <v>11.67097209005504</v>
      </c>
      <c r="GI76">
        <v>47.550198594821097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5.208333333333333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2.083333333333333</v>
      </c>
      <c r="K77" s="18">
        <f t="shared" si="46"/>
        <v>3.125</v>
      </c>
      <c r="L77" s="18">
        <f t="shared" si="46"/>
        <v>0</v>
      </c>
      <c r="M77" s="18">
        <f t="shared" si="46"/>
        <v>0</v>
      </c>
      <c r="N77" s="18">
        <f t="shared" si="46"/>
        <v>0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12.741145833333333</v>
      </c>
      <c r="AO77">
        <v>100.7619046787644</v>
      </c>
      <c r="AP77">
        <v>654.38938175518786</v>
      </c>
      <c r="AQ77">
        <v>221.07963142491062</v>
      </c>
      <c r="AR77">
        <v>93.405675598817808</v>
      </c>
      <c r="AS77">
        <v>633.37744981363005</v>
      </c>
      <c r="AT77" t="e">
        <v>#DIV/0!</v>
      </c>
      <c r="AU77" t="e">
        <v>#DIV/0!</v>
      </c>
      <c r="AV77"/>
      <c r="AW77"/>
      <c r="FY77" s="211">
        <v>72</v>
      </c>
      <c r="FZ77">
        <v>37.693195076022597</v>
      </c>
      <c r="GA77">
        <v>40.672596583635695</v>
      </c>
      <c r="GB77">
        <v>15.848768161342297</v>
      </c>
      <c r="GC77">
        <v>1.9410762086087963</v>
      </c>
      <c r="GD77">
        <v>0.20556149517907607</v>
      </c>
      <c r="GE77">
        <v>6.4145476115377922E-2</v>
      </c>
      <c r="GF77">
        <v>0.43879882895893124</v>
      </c>
      <c r="GG77">
        <v>8.9966455786427133</v>
      </c>
      <c r="GH77">
        <v>14.780195160280819</v>
      </c>
      <c r="GI77">
        <v>25.247159723567293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10.416666666666664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1.0416666666666665</v>
      </c>
      <c r="K78" s="18">
        <f t="shared" si="47"/>
        <v>4.1666666666666661</v>
      </c>
      <c r="L78" s="18">
        <f t="shared" si="47"/>
        <v>1.0416666666666665</v>
      </c>
      <c r="M78" s="18">
        <f t="shared" si="47"/>
        <v>0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2.083333333333333</v>
      </c>
      <c r="U78" s="18">
        <f t="shared" si="47"/>
        <v>2.083333333333333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11.210029380341881</v>
      </c>
      <c r="AO78">
        <v>121.00487358673224</v>
      </c>
      <c r="AP78">
        <v>740.43588110280848</v>
      </c>
      <c r="AQ78">
        <v>135.81237021034863</v>
      </c>
      <c r="AR78">
        <v>112.19639469898166</v>
      </c>
      <c r="AS78">
        <v>790.24495171230001</v>
      </c>
      <c r="AT78" t="e">
        <v>#DIV/0!</v>
      </c>
      <c r="AU78" t="e">
        <v>#DIV/0!</v>
      </c>
      <c r="AV78"/>
      <c r="AW78"/>
      <c r="FY78" s="211">
        <v>73</v>
      </c>
      <c r="FZ78">
        <v>34.378676968108749</v>
      </c>
      <c r="GA78">
        <v>38.61172990800253</v>
      </c>
      <c r="GB78">
        <v>30.510744275526662</v>
      </c>
      <c r="GC78">
        <v>1.2063531810488388</v>
      </c>
      <c r="GD78">
        <v>0.19130325125882247</v>
      </c>
      <c r="GE78">
        <v>0.52237272603449258</v>
      </c>
      <c r="GF78">
        <v>3.3412174594716539</v>
      </c>
      <c r="GG78">
        <v>11.429291014881432</v>
      </c>
      <c r="GH78">
        <v>26.865025093876127</v>
      </c>
      <c r="GI78">
        <v>32.568170381895712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0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0</v>
      </c>
      <c r="K79" s="18">
        <f t="shared" si="48"/>
        <v>0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11.665024038461537</v>
      </c>
      <c r="AO79">
        <v>70.602567797638613</v>
      </c>
      <c r="AP79">
        <v>424.40855302798997</v>
      </c>
      <c r="AQ79">
        <v>167.75837330762533</v>
      </c>
      <c r="AR79">
        <v>65.41266663979215</v>
      </c>
      <c r="AS79">
        <v>599.28140405520651</v>
      </c>
      <c r="AT79" t="e">
        <v>#DIV/0!</v>
      </c>
      <c r="AU79" t="e">
        <v>#DIV/0!</v>
      </c>
      <c r="AV79"/>
      <c r="AW79"/>
      <c r="FY79" s="211">
        <v>74</v>
      </c>
      <c r="FZ79">
        <v>24.810400509732382</v>
      </c>
      <c r="GA79">
        <v>29.992242994586697</v>
      </c>
      <c r="GB79">
        <v>36.171363910951591</v>
      </c>
      <c r="GC79">
        <v>2.1160639684841653</v>
      </c>
      <c r="GD79">
        <v>0.3100493791162281</v>
      </c>
      <c r="GE79">
        <v>0.48778338295439488</v>
      </c>
      <c r="GF79">
        <v>4.1755850880252199</v>
      </c>
      <c r="GG79">
        <v>4.4786355667431135</v>
      </c>
      <c r="GH79">
        <v>11.67097209005504</v>
      </c>
      <c r="GI79">
        <v>45.15338490568432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12.798611111111112</v>
      </c>
      <c r="AO80">
        <v>90.189105439756815</v>
      </c>
      <c r="AP80">
        <v>826.93491816937319</v>
      </c>
      <c r="AQ80">
        <v>173.90483483011747</v>
      </c>
      <c r="AR80">
        <v>83.679232052221494</v>
      </c>
      <c r="AS80">
        <v>663.36741088349265</v>
      </c>
      <c r="AT80" t="e">
        <v>#DIV/0!</v>
      </c>
      <c r="AU80" t="e">
        <v>#DIV/0!</v>
      </c>
      <c r="AV80"/>
      <c r="AW80"/>
      <c r="FY80" s="211">
        <v>75</v>
      </c>
      <c r="FZ80">
        <v>35.094014726624074</v>
      </c>
      <c r="GA80">
        <v>34.035819297885205</v>
      </c>
      <c r="GB80">
        <v>73.703774353800839</v>
      </c>
      <c r="GC80">
        <v>1.1212522837358825</v>
      </c>
      <c r="GD80">
        <v>0.1913032512588225</v>
      </c>
      <c r="GE80">
        <v>0.66648692196279713</v>
      </c>
      <c r="GF80">
        <v>3.5192542709313104</v>
      </c>
      <c r="GG80">
        <v>13.660117620373027</v>
      </c>
      <c r="GH80">
        <v>24.391359984457242</v>
      </c>
      <c r="GI80">
        <v>61.02728400925232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12.940972222222223</v>
      </c>
      <c r="AO81">
        <v>138.55066352750882</v>
      </c>
      <c r="AP81">
        <v>961.80131925449132</v>
      </c>
      <c r="AQ81">
        <v>160.98774006466272</v>
      </c>
      <c r="AR81">
        <v>128.53809809401824</v>
      </c>
      <c r="AS81">
        <v>764.68167388614199</v>
      </c>
      <c r="AT81" t="e">
        <v>#DIV/0!</v>
      </c>
      <c r="AU81" t="e">
        <v>#DIV/0!</v>
      </c>
      <c r="AV81"/>
      <c r="AW81"/>
      <c r="FY81" s="211">
        <v>76</v>
      </c>
      <c r="FZ81">
        <v>23.944007059932872</v>
      </c>
      <c r="GA81">
        <v>27.450796077073662</v>
      </c>
      <c r="GB81">
        <v>29.065193978483592</v>
      </c>
      <c r="GC81">
        <v>2.1770086222852836</v>
      </c>
      <c r="GD81">
        <v>2.5946151012045119E-2</v>
      </c>
      <c r="GE81">
        <v>0.22659701993714865</v>
      </c>
      <c r="GF81">
        <v>2.6120987679511725</v>
      </c>
      <c r="GG81">
        <v>7.6676092586905469</v>
      </c>
      <c r="GH81">
        <v>15.194053003821082</v>
      </c>
      <c r="GI81">
        <v>27.615231474001881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16.799305555555552</v>
      </c>
      <c r="AO82">
        <v>175.40424710947909</v>
      </c>
      <c r="AP82">
        <v>1018.8666019489749</v>
      </c>
      <c r="AQ82">
        <v>226.43093909231345</v>
      </c>
      <c r="AR82">
        <v>162.75343820596902</v>
      </c>
      <c r="AS82">
        <v>929.15923952093158</v>
      </c>
      <c r="AT82" t="e">
        <v>#DIV/0!</v>
      </c>
      <c r="AU82" t="e">
        <v>#DIV/0!</v>
      </c>
      <c r="AV82"/>
      <c r="AW82"/>
      <c r="FY82" s="211">
        <v>77</v>
      </c>
      <c r="FZ82">
        <v>31.266061213945854</v>
      </c>
      <c r="GA82">
        <v>31.712112208587268</v>
      </c>
      <c r="GB82">
        <v>22.869052930614181</v>
      </c>
      <c r="GC82">
        <v>2.1328867786772321</v>
      </c>
      <c r="GD82">
        <v>0.39415375363164218</v>
      </c>
      <c r="GE82">
        <v>0.46944603506092875</v>
      </c>
      <c r="GF82">
        <v>2.8890449021290707</v>
      </c>
      <c r="GG82">
        <v>10.543266801579986</v>
      </c>
      <c r="GH82">
        <v>22.836748449344356</v>
      </c>
      <c r="GI82">
        <v>31.851047264098458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17.899439102564099</v>
      </c>
      <c r="AO83">
        <v>159.20721343828933</v>
      </c>
      <c r="AP83">
        <v>1029.4817669084346</v>
      </c>
      <c r="AQ83">
        <v>160.48210841055422</v>
      </c>
      <c r="AR83">
        <v>147.68756342683062</v>
      </c>
      <c r="AS83">
        <v>1308.9015472546816</v>
      </c>
      <c r="AT83" t="e">
        <v>#DIV/0!</v>
      </c>
      <c r="AU83" t="e">
        <v>#DIV/0!</v>
      </c>
      <c r="AV83"/>
      <c r="AW83"/>
      <c r="FY83" s="211">
        <v>78</v>
      </c>
      <c r="FZ83">
        <v>20.711465873603615</v>
      </c>
      <c r="GA83">
        <v>31.899494481111375</v>
      </c>
      <c r="GB83">
        <v>52.287121869963798</v>
      </c>
      <c r="GC83">
        <v>0.65939227426508273</v>
      </c>
      <c r="GD83">
        <v>0.2145384094646112</v>
      </c>
      <c r="GE83">
        <v>0.60690566123841772</v>
      </c>
      <c r="GF83">
        <v>3.2981366580665417</v>
      </c>
      <c r="GG83">
        <v>2.3762886353223109</v>
      </c>
      <c r="GH83">
        <v>4.0282766445317693</v>
      </c>
      <c r="GI83">
        <v>42.962753853865848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12.923010149572651</v>
      </c>
      <c r="AO84">
        <v>94.693345621842326</v>
      </c>
      <c r="AP84">
        <v>793.03918988082921</v>
      </c>
      <c r="AQ84">
        <v>171.63147674725951</v>
      </c>
      <c r="AR84">
        <v>87.711799820224542</v>
      </c>
      <c r="AS84">
        <v>469.96673901746669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1">
        <v>79</v>
      </c>
      <c r="FZ84">
        <v>39.766041868771779</v>
      </c>
      <c r="GA84">
        <v>44.46454806892487</v>
      </c>
      <c r="GB84">
        <v>27.519489099047465</v>
      </c>
      <c r="GC84">
        <v>1.3118878507897589</v>
      </c>
      <c r="GD84">
        <v>7.2416467423622538E-2</v>
      </c>
      <c r="GE84">
        <v>0.44402536592756425</v>
      </c>
      <c r="GF84">
        <v>3.5562254226616155</v>
      </c>
      <c r="GG84">
        <v>4.4786355667431135</v>
      </c>
      <c r="GH84">
        <v>7.6426954455232705</v>
      </c>
      <c r="GI84">
        <v>29.352848873961065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16.270018696581197</v>
      </c>
      <c r="AO85">
        <v>96.313440382830166</v>
      </c>
      <c r="AP85">
        <v>650.60170357324034</v>
      </c>
      <c r="AQ85">
        <v>190.46214374768309</v>
      </c>
      <c r="AR85">
        <v>89.340476270763787</v>
      </c>
      <c r="AS85">
        <v>741.67574706986591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69.863598250349753</v>
      </c>
      <c r="GA85">
        <v>71.401930815443237</v>
      </c>
      <c r="GB85">
        <v>58.800981331011378</v>
      </c>
      <c r="GC85">
        <v>2.6277328465274858</v>
      </c>
      <c r="GD85">
        <v>0.27526696979644216</v>
      </c>
      <c r="GE85">
        <v>0.15784708526603611</v>
      </c>
      <c r="GF85">
        <v>2.8594870570667958</v>
      </c>
      <c r="GG85">
        <v>10.302073525676381</v>
      </c>
      <c r="GH85">
        <v>16.840002426159433</v>
      </c>
      <c r="GI85">
        <v>53.716777465914546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11.969537927350427</v>
      </c>
      <c r="AO86">
        <v>70.746986774574339</v>
      </c>
      <c r="AP86">
        <v>466.30625257301057</v>
      </c>
      <c r="AQ86">
        <v>172.00884935797114</v>
      </c>
      <c r="AR86">
        <v>65.881096424366604</v>
      </c>
      <c r="AS86">
        <v>387.71524419697545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7" t="s">
        <v>123</v>
      </c>
      <c r="CX86" s="227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76.592843494994867</v>
      </c>
      <c r="GA86">
        <v>88.314652600471675</v>
      </c>
      <c r="GB86">
        <v>32.394142039874872</v>
      </c>
      <c r="GC86">
        <v>2.6570812418845975</v>
      </c>
      <c r="GD86">
        <v>0.23150764619112119</v>
      </c>
      <c r="GE86">
        <v>0.25615315297242897</v>
      </c>
      <c r="GF86">
        <v>3.1174265937026848</v>
      </c>
      <c r="GG86">
        <v>6.7094621722347103</v>
      </c>
      <c r="GH86">
        <v>17.253860269699697</v>
      </c>
      <c r="GI86">
        <v>37.425692817222242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13.412633547008548</v>
      </c>
      <c r="AO87">
        <v>64.579116462521768</v>
      </c>
      <c r="AP87">
        <v>581.03587741171395</v>
      </c>
      <c r="AQ87">
        <v>249.51059443673975</v>
      </c>
      <c r="AR87">
        <v>60.016315467852948</v>
      </c>
      <c r="AS87">
        <v>379.9881890332635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15.36204948352237</v>
      </c>
      <c r="GA87">
        <v>20.474786241777544</v>
      </c>
      <c r="GB87">
        <v>20.457254713015278</v>
      </c>
      <c r="GC87">
        <v>0.55798877399962366</v>
      </c>
      <c r="GD87">
        <v>0.21724940227086759</v>
      </c>
      <c r="GE87">
        <v>0.54276018512303981</v>
      </c>
      <c r="GF87">
        <v>2.6120987679511725</v>
      </c>
      <c r="GG87">
        <v>4.6071152408139096</v>
      </c>
      <c r="GH87">
        <v>5.582888179644657</v>
      </c>
      <c r="GI87">
        <v>21.540949681872839</v>
      </c>
      <c r="GJ87"/>
      <c r="GK87"/>
      <c r="GL87"/>
      <c r="GM87"/>
    </row>
    <row r="88" spans="1:195" s="7" customFormat="1">
      <c r="A88" s="128"/>
      <c r="B88" s="76">
        <f ca="1">IF(C88="", "", RAND())</f>
        <v>0.24310051363933338</v>
      </c>
      <c r="C88">
        <v>9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9.4395032051282044</v>
      </c>
      <c r="AO88">
        <v>148.47863968079673</v>
      </c>
      <c r="AP88">
        <v>1128.2865842134981</v>
      </c>
      <c r="AQ88">
        <v>145.88814229235362</v>
      </c>
      <c r="AR88">
        <v>137.73528727346635</v>
      </c>
      <c r="AS88">
        <v>796.62464267171754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0.62716091580486655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0.9536116761059259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0.23697859141726901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0</v>
      </c>
      <c r="DI88" s="161">
        <f t="shared" si="51"/>
        <v>0</v>
      </c>
      <c r="DJ88" s="161">
        <f t="shared" si="51"/>
        <v>0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0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0</v>
      </c>
      <c r="ES88" s="139">
        <f t="shared" ref="ES88:ES119" si="57">IF(DI88="", "", DI88*J$36)</f>
        <v>0</v>
      </c>
      <c r="ET88" s="139">
        <f t="shared" ref="ET88:ET119" si="58">IF(DJ88="", "", DJ88*K$36)</f>
        <v>0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0</v>
      </c>
      <c r="FV88" s="149"/>
      <c r="FY88" s="211">
        <v>83</v>
      </c>
      <c r="FZ88">
        <v>49.538824097880187</v>
      </c>
      <c r="GA88">
        <v>56.794708154417378</v>
      </c>
      <c r="GB88">
        <v>58.285506214579407</v>
      </c>
      <c r="GC88">
        <v>3.7920774282549927</v>
      </c>
      <c r="GD88">
        <v>0.57648009060492966</v>
      </c>
      <c r="GE88">
        <v>0.6960430549980775</v>
      </c>
      <c r="GF88">
        <v>2.6786277647437533</v>
      </c>
      <c r="GG88">
        <v>8.9402887777263089</v>
      </c>
      <c r="GH88">
        <v>18.808471804812587</v>
      </c>
      <c r="GI88">
        <v>56.315018763954711</v>
      </c>
      <c r="GJ88"/>
      <c r="GK88"/>
      <c r="GL88"/>
      <c r="GM88"/>
    </row>
    <row r="89" spans="1:195" s="7" customFormat="1">
      <c r="A89" s="115"/>
      <c r="B89" s="76">
        <f ca="1">IF(C89="", "", RAND())</f>
        <v>0.56308890221886121</v>
      </c>
      <c r="C89">
        <v>8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11.4703125</v>
      </c>
      <c r="AO89">
        <v>65.888376690115351</v>
      </c>
      <c r="AP89">
        <v>564.34119328210249</v>
      </c>
      <c r="AQ89">
        <v>179.62488426010498</v>
      </c>
      <c r="AR89">
        <v>61.295894005961365</v>
      </c>
      <c r="AS89">
        <v>467.65441549022802</v>
      </c>
      <c r="AT89" t="e">
        <v>#DIV/0!</v>
      </c>
      <c r="AU89" t="e">
        <v>#DIV/0!</v>
      </c>
      <c r="AV89"/>
      <c r="AW89"/>
      <c r="AX89" s="150"/>
      <c r="AY89" s="76">
        <f t="shared" ref="AY89:AY149" ca="1" si="86">IF(AZ89="", "", RAND())</f>
        <v>0.40326388295169835</v>
      </c>
      <c r="AZ89">
        <v>2</v>
      </c>
      <c r="BA89" s="129">
        <f t="shared" ref="BA89:BA97" si="87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88">IF(AZ89="", "", RAND())</f>
        <v>0.97725104021343867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0.79027703992751985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0</v>
      </c>
      <c r="DI89" s="161">
        <f t="shared" ref="DI89:DI152" si="96">IF($AZ89="", "", ((BE89*$CW89)+(CQ89*$CX89))/$CZ89)</f>
        <v>0</v>
      </c>
      <c r="DJ89" s="161">
        <f t="shared" ref="DJ89:DJ152" si="97">IF($AZ89="", "", ((BF89*$CW89)+(CR89*$CX89))/$CZ89)</f>
        <v>0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0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0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</v>
      </c>
      <c r="ES89" s="139">
        <f t="shared" si="57"/>
        <v>0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0</v>
      </c>
      <c r="FV89" s="149"/>
      <c r="FY89" s="211">
        <v>84</v>
      </c>
      <c r="FZ89">
        <v>19.09860440617096</v>
      </c>
      <c r="GA89">
        <v>26.482153586548563</v>
      </c>
      <c r="GB89">
        <v>27.662884724301087</v>
      </c>
      <c r="GC89">
        <v>2.9808966948074498</v>
      </c>
      <c r="GD89">
        <v>0.32444827901427609</v>
      </c>
      <c r="GE89">
        <v>0.44905857597238164</v>
      </c>
      <c r="GF89">
        <v>0.90356987825034829</v>
      </c>
      <c r="GG89">
        <v>5.1064841483810355</v>
      </c>
      <c r="GH89">
        <v>13.225583625167928</v>
      </c>
      <c r="GI89">
        <v>31.329906927986872</v>
      </c>
      <c r="GJ89"/>
      <c r="GK89"/>
      <c r="GL89"/>
      <c r="GM89"/>
    </row>
    <row r="90" spans="1:195" s="7" customFormat="1">
      <c r="A90" s="115"/>
      <c r="B90" s="76">
        <f ca="1">IF(C90="", "", RAND())</f>
        <v>0.6591302244100643</v>
      </c>
      <c r="C90">
        <v>3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15.694270833333334</v>
      </c>
      <c r="AO90">
        <v>82.507327300799346</v>
      </c>
      <c r="AP90">
        <v>511.69467256727557</v>
      </c>
      <c r="AQ90">
        <v>159.36648179633315</v>
      </c>
      <c r="AR90">
        <v>76.512708899922146</v>
      </c>
      <c r="AS90">
        <v>775.5622272005802</v>
      </c>
      <c r="AT90" t="e">
        <v>#DIV/0!</v>
      </c>
      <c r="AU90" t="e">
        <v>#DIV/0!</v>
      </c>
      <c r="AV90"/>
      <c r="AW90"/>
      <c r="AX90" s="150"/>
      <c r="AY90" s="76">
        <f t="shared" ca="1" si="86"/>
        <v>0.40445098661515022</v>
      </c>
      <c r="AZ90">
        <v>3</v>
      </c>
      <c r="BA90" s="129">
        <f t="shared" si="87"/>
        <v>39646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88"/>
        <v>0.33829088728694057</v>
      </c>
      <c r="CL90" s="179">
        <f t="shared" si="89"/>
        <v>3</v>
      </c>
      <c r="CM90" s="180">
        <f t="shared" si="90"/>
        <v>39646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0.23660815387874612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0</v>
      </c>
      <c r="DH90" s="161">
        <f t="shared" si="95"/>
        <v>0</v>
      </c>
      <c r="DI90" s="161">
        <f t="shared" si="96"/>
        <v>0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0</v>
      </c>
      <c r="EL90" s="149"/>
      <c r="EN90" s="150"/>
      <c r="EO90" s="150"/>
      <c r="EP90" s="139">
        <f t="shared" si="54"/>
        <v>0</v>
      </c>
      <c r="EQ90" s="139">
        <f t="shared" si="55"/>
        <v>0</v>
      </c>
      <c r="ER90" s="139">
        <f t="shared" si="56"/>
        <v>0</v>
      </c>
      <c r="ES90" s="139">
        <f t="shared" si="57"/>
        <v>0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0</v>
      </c>
      <c r="FV90" s="149"/>
      <c r="FY90" s="211">
        <v>85</v>
      </c>
      <c r="FZ90">
        <v>52.339906801029656</v>
      </c>
      <c r="GA90">
        <v>63.887648594877859</v>
      </c>
      <c r="GB90">
        <v>44.761229526289107</v>
      </c>
      <c r="GC90">
        <v>1.4231095454951486</v>
      </c>
      <c r="GD90">
        <v>9.5651625629411235E-2</v>
      </c>
      <c r="GE90">
        <v>6.4145476115377922E-2</v>
      </c>
      <c r="GF90">
        <v>0.71215933840703993</v>
      </c>
      <c r="GG90">
        <v>3.8338046293452734</v>
      </c>
      <c r="GH90">
        <v>5.582888179644657</v>
      </c>
      <c r="GI90">
        <v>43.466308715371049</v>
      </c>
      <c r="GJ90"/>
      <c r="GK90"/>
      <c r="GL90"/>
      <c r="GM90"/>
    </row>
    <row r="91" spans="1:195" s="7" customFormat="1">
      <c r="A91" s="77"/>
      <c r="B91" s="76">
        <f ca="1">IF(C91="", "", RAND())</f>
        <v>0.84467257207864677</v>
      </c>
      <c r="C91">
        <v>1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13.910590277777777</v>
      </c>
      <c r="AO91">
        <v>97.370885393168734</v>
      </c>
      <c r="AP91">
        <v>600.94860715439802</v>
      </c>
      <c r="AQ91">
        <v>247.41066672028151</v>
      </c>
      <c r="AR91">
        <v>90.231675279422348</v>
      </c>
      <c r="AS91">
        <v>751.95068591416646</v>
      </c>
      <c r="AT91" t="e">
        <v>#DIV/0!</v>
      </c>
      <c r="AU91" t="e">
        <v>#DIV/0!</v>
      </c>
      <c r="AV91"/>
      <c r="AW91"/>
      <c r="AX91" s="151"/>
      <c r="AY91" s="76">
        <f t="shared" ca="1" si="86"/>
        <v>0.94076752407767117</v>
      </c>
      <c r="AZ91">
        <v>4</v>
      </c>
      <c r="BA91" s="129">
        <f t="shared" si="87"/>
        <v>39646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88"/>
        <v>0.67291749752000096</v>
      </c>
      <c r="CL91" s="179">
        <f t="shared" si="89"/>
        <v>4</v>
      </c>
      <c r="CM91" s="180">
        <f t="shared" si="90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0.43328204956107008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0</v>
      </c>
      <c r="DI91" s="161">
        <f t="shared" si="96"/>
        <v>0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0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</v>
      </c>
      <c r="ES91" s="139">
        <f t="shared" si="57"/>
        <v>0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0</v>
      </c>
      <c r="FV91" s="149"/>
      <c r="FY91" s="211">
        <v>86</v>
      </c>
      <c r="FZ91">
        <v>21.495882401818548</v>
      </c>
      <c r="GA91">
        <v>28.143396662419562</v>
      </c>
      <c r="GB91">
        <v>39.162587446452285</v>
      </c>
      <c r="GC91">
        <v>4.1073764456038369</v>
      </c>
      <c r="GD91">
        <v>0.40570100474563942</v>
      </c>
      <c r="GE91">
        <v>0.50817084204294227</v>
      </c>
      <c r="GF91">
        <v>3.1174265937026848</v>
      </c>
      <c r="GG91">
        <v>7.7409484153668693</v>
      </c>
      <c r="GH91">
        <v>18.899809692038044</v>
      </c>
      <c r="GI91">
        <v>35.289850610892472</v>
      </c>
      <c r="GJ91"/>
      <c r="GK91"/>
      <c r="GL91"/>
      <c r="GM91"/>
    </row>
    <row r="92" spans="1:195" s="7" customFormat="1">
      <c r="A92" s="77"/>
      <c r="B92" s="76">
        <f ca="1">IF(C92="", "", RAND())</f>
        <v>0.62695832852993427</v>
      </c>
      <c r="C92">
        <v>5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11.291760149572649</v>
      </c>
      <c r="AO92">
        <v>142.0976825375671</v>
      </c>
      <c r="AP92">
        <v>1121.3997347565557</v>
      </c>
      <c r="AQ92">
        <v>135.97854141318928</v>
      </c>
      <c r="AR92">
        <v>131.81194394677209</v>
      </c>
      <c r="AS92">
        <v>734.18783493315709</v>
      </c>
      <c r="AT92" t="e">
        <v>#DIV/0!</v>
      </c>
      <c r="AU92" t="e">
        <v>#DIV/0!</v>
      </c>
      <c r="AV92"/>
      <c r="AW92"/>
      <c r="AX92" s="151"/>
      <c r="AY92" s="76">
        <f t="shared" ca="1" si="86"/>
        <v>0.94918699776168425</v>
      </c>
      <c r="AZ92">
        <v>5</v>
      </c>
      <c r="BA92" s="129">
        <f t="shared" si="87"/>
        <v>39646</v>
      </c>
      <c r="BB92" s="217">
        <v>0</v>
      </c>
      <c r="BC92" s="217">
        <v>0</v>
      </c>
      <c r="BD92" s="217">
        <v>0</v>
      </c>
      <c r="BE92" s="217">
        <v>0</v>
      </c>
      <c r="BF92" s="217">
        <v>0</v>
      </c>
      <c r="BG92" s="217">
        <v>0</v>
      </c>
      <c r="BH92" s="217">
        <v>0</v>
      </c>
      <c r="BI92" s="217">
        <v>0</v>
      </c>
      <c r="BJ92" s="217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88"/>
        <v>0.69061276324570375</v>
      </c>
      <c r="CL92" s="179">
        <f t="shared" si="89"/>
        <v>5</v>
      </c>
      <c r="CM92" s="180">
        <f t="shared" si="90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0.93982350610495002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0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0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0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0</v>
      </c>
      <c r="FV92" s="149"/>
      <c r="FY92" s="211">
        <v>87</v>
      </c>
      <c r="FZ92">
        <v>54.141772470328284</v>
      </c>
      <c r="GA92">
        <v>63.295857232582705</v>
      </c>
      <c r="GB92">
        <v>19.255312230881898</v>
      </c>
      <c r="GC92">
        <v>0.8609896020200638</v>
      </c>
      <c r="GD92">
        <v>0.11617579102894351</v>
      </c>
      <c r="GE92">
        <v>9.3701609150658172E-2</v>
      </c>
      <c r="GF92">
        <v>1.929646502565592</v>
      </c>
      <c r="GG92">
        <v>3.6489681543580739</v>
      </c>
      <c r="GH92">
        <v>7.6426954455232705</v>
      </c>
      <c r="GI92">
        <v>32.230875328435729</v>
      </c>
      <c r="GJ92"/>
      <c r="GK92"/>
      <c r="GL92"/>
      <c r="GM92"/>
    </row>
    <row r="93" spans="1:195" s="7" customFormat="1">
      <c r="A93" s="77"/>
      <c r="B93" s="76">
        <f ca="1">IF(C93="", "", RAND())</f>
        <v>0.16518010797098093</v>
      </c>
      <c r="C93">
        <v>2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11.169270833333332</v>
      </c>
      <c r="AO93">
        <v>90.241357533860295</v>
      </c>
      <c r="AP93">
        <v>575.97943039099971</v>
      </c>
      <c r="AQ93">
        <v>156.96382033766898</v>
      </c>
      <c r="AR93">
        <v>83.712043591089596</v>
      </c>
      <c r="AS93">
        <v>635.73970886295763</v>
      </c>
      <c r="AT93" t="e">
        <v>#DIV/0!</v>
      </c>
      <c r="AU93" t="e">
        <v>#DIV/0!</v>
      </c>
      <c r="AV93"/>
      <c r="AW93"/>
      <c r="AX93" s="151"/>
      <c r="AY93" s="76">
        <f t="shared" ca="1" si="86"/>
        <v>0.71297713529780271</v>
      </c>
      <c r="AZ93">
        <v>6</v>
      </c>
      <c r="BA93" s="129">
        <f t="shared" si="87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88"/>
        <v>1.2409830500977215E-2</v>
      </c>
      <c r="CL93" s="179">
        <f t="shared" si="89"/>
        <v>6</v>
      </c>
      <c r="CM93" s="180">
        <f t="shared" si="90"/>
        <v>39646</v>
      </c>
      <c r="CN93" s="220">
        <v>0</v>
      </c>
      <c r="CO93" s="220">
        <v>0</v>
      </c>
      <c r="CP93" s="220">
        <v>0</v>
      </c>
      <c r="CQ93" s="220">
        <v>0</v>
      </c>
      <c r="CR93" s="220">
        <v>0</v>
      </c>
      <c r="CS93" s="220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0.63364134612337075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0</v>
      </c>
      <c r="DI93" s="161">
        <f t="shared" si="96"/>
        <v>0</v>
      </c>
      <c r="DJ93" s="161">
        <f t="shared" si="97"/>
        <v>0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0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0</v>
      </c>
      <c r="ES93" s="139">
        <f t="shared" si="57"/>
        <v>0</v>
      </c>
      <c r="ET93" s="139">
        <f t="shared" si="58"/>
        <v>0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0</v>
      </c>
      <c r="FV93" s="149"/>
      <c r="FY93" s="211">
        <v>88</v>
      </c>
      <c r="FZ93">
        <v>22.331145592500217</v>
      </c>
      <c r="GA93">
        <v>27.964430391400995</v>
      </c>
      <c r="GB93">
        <v>42.167138186771872</v>
      </c>
      <c r="GC93">
        <v>0.68951748528161327</v>
      </c>
      <c r="GD93">
        <v>9.5651625629411235E-2</v>
      </c>
      <c r="GE93">
        <v>0.12325774218593843</v>
      </c>
      <c r="GF93">
        <v>1.8046157315556801</v>
      </c>
      <c r="GG93">
        <v>6.1209880357532764</v>
      </c>
      <c r="GH93">
        <v>11.165776359289314</v>
      </c>
      <c r="GI93">
        <v>34.880932264330525</v>
      </c>
      <c r="GJ93"/>
      <c r="GK93"/>
      <c r="GL93"/>
      <c r="GM93"/>
    </row>
    <row r="94" spans="1:195" s="7" customFormat="1">
      <c r="A94" s="77"/>
      <c r="B94" s="76">
        <f ca="1">IF(C94="", "", RAND())</f>
        <v>0.60683497309113865</v>
      </c>
      <c r="C94">
        <v>4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11.801041666666666</v>
      </c>
      <c r="AO94">
        <v>80.703442645228549</v>
      </c>
      <c r="AP94">
        <v>554.33684102396728</v>
      </c>
      <c r="AQ94">
        <v>159.04437436143337</v>
      </c>
      <c r="AR94">
        <v>74.815092247476258</v>
      </c>
      <c r="AS94">
        <v>725.9919785497832</v>
      </c>
      <c r="AT94" t="e">
        <v>#DIV/0!</v>
      </c>
      <c r="AU94" t="e">
        <v>#DIV/0!</v>
      </c>
      <c r="AV94"/>
      <c r="AW94"/>
      <c r="AX94" s="151"/>
      <c r="AY94" s="76">
        <f t="shared" ca="1" si="86"/>
        <v>0.79070634463695466</v>
      </c>
      <c r="AZ94">
        <v>7</v>
      </c>
      <c r="BA94" s="129">
        <f t="shared" si="87"/>
        <v>39646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88"/>
        <v>0.39689166739764303</v>
      </c>
      <c r="CL94" s="179">
        <f t="shared" si="89"/>
        <v>7</v>
      </c>
      <c r="CM94" s="180">
        <f t="shared" si="90"/>
        <v>39646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0.99335285663192163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0</v>
      </c>
      <c r="DI94" s="161">
        <f t="shared" si="96"/>
        <v>0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0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</v>
      </c>
      <c r="ES94" s="139">
        <f t="shared" si="57"/>
        <v>0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0</v>
      </c>
      <c r="FV94" s="149"/>
      <c r="FY94" s="211">
        <v>89</v>
      </c>
      <c r="FZ94">
        <v>41.943185403435564</v>
      </c>
      <c r="GA94">
        <v>49.202489869656233</v>
      </c>
      <c r="GB94">
        <v>41.46046204473339</v>
      </c>
      <c r="GC94">
        <v>2.4049541432683372</v>
      </c>
      <c r="GD94">
        <v>0.25203181159065352</v>
      </c>
      <c r="GE94">
        <v>0.71941361293636097</v>
      </c>
      <c r="GF94">
        <v>2.8727115574912627</v>
      </c>
      <c r="GG94">
        <v>5.6949582848624711</v>
      </c>
      <c r="GH94">
        <v>11.257114246514771</v>
      </c>
      <c r="GI94">
        <v>42.575317417040495</v>
      </c>
      <c r="GJ94"/>
      <c r="GK94"/>
      <c r="GL94"/>
      <c r="GM94"/>
    </row>
    <row r="95" spans="1:195" s="7" customFormat="1">
      <c r="A95" s="77"/>
      <c r="B95" s="76">
        <f ca="1">IF(C95="", "", RAND())</f>
        <v>0.79114186192990932</v>
      </c>
      <c r="C95">
        <v>6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12.63346688034188</v>
      </c>
      <c r="AO95">
        <v>140.15098958938202</v>
      </c>
      <c r="AP95">
        <v>1006.6035689878739</v>
      </c>
      <c r="AQ95">
        <v>158.60881402977412</v>
      </c>
      <c r="AR95">
        <v>130.02263061894701</v>
      </c>
      <c r="AS95">
        <v>1111.4482978584174</v>
      </c>
      <c r="AT95" t="e">
        <v>#DIV/0!</v>
      </c>
      <c r="AU95" t="e">
        <v>#DIV/0!</v>
      </c>
      <c r="AV95"/>
      <c r="AW95"/>
      <c r="AX95" s="151"/>
      <c r="AY95" s="76">
        <f t="shared" ca="1" si="86"/>
        <v>0.30397143143209782</v>
      </c>
      <c r="AZ95">
        <v>8</v>
      </c>
      <c r="BA95" s="129">
        <f t="shared" si="87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88"/>
        <v>0.52225928229265861</v>
      </c>
      <c r="CL95" s="179">
        <f t="shared" si="89"/>
        <v>8</v>
      </c>
      <c r="CM95" s="180">
        <f t="shared" si="90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0.32704676663827836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0</v>
      </c>
      <c r="DI95" s="161">
        <f t="shared" si="96"/>
        <v>0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0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0</v>
      </c>
      <c r="ES95" s="139">
        <f t="shared" si="57"/>
        <v>0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0</v>
      </c>
      <c r="FV95" s="149"/>
      <c r="FY95" s="211">
        <v>90</v>
      </c>
      <c r="FZ95">
        <v>26.543187409331395</v>
      </c>
      <c r="GA95">
        <v>30.416283681518742</v>
      </c>
      <c r="GB95">
        <v>53.248092572267339</v>
      </c>
      <c r="GC95">
        <v>3.2422556741083124</v>
      </c>
      <c r="GD95">
        <v>0.30733838630997173</v>
      </c>
      <c r="GE95">
        <v>0.1528138752212187</v>
      </c>
      <c r="GF95">
        <v>3.2397841118083957</v>
      </c>
      <c r="GG95">
        <v>1.6029780238536757</v>
      </c>
      <c r="GH95">
        <v>0</v>
      </c>
      <c r="GI95">
        <v>42.393223761988992</v>
      </c>
      <c r="GJ95"/>
      <c r="GK95"/>
      <c r="GL95"/>
      <c r="GM95"/>
    </row>
    <row r="96" spans="1:195" s="7" customFormat="1">
      <c r="A96" s="77"/>
      <c r="B96" s="76">
        <f ca="1">IF(C96="", "", RAND())</f>
        <v>0.14221324615804187</v>
      </c>
      <c r="C96">
        <v>7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12.108640491452991</v>
      </c>
      <c r="AO96">
        <v>82.763058122157304</v>
      </c>
      <c r="AP96">
        <v>788.33406661396396</v>
      </c>
      <c r="AQ96">
        <v>286.84569777321144</v>
      </c>
      <c r="AR96">
        <v>76.783003192225678</v>
      </c>
      <c r="AS96">
        <v>421.52811494212807</v>
      </c>
      <c r="AT96" t="e">
        <v>#DIV/0!</v>
      </c>
      <c r="AU96" t="e">
        <v>#DIV/0!</v>
      </c>
      <c r="AV96"/>
      <c r="AW96"/>
      <c r="AX96" s="151"/>
      <c r="AY96" s="76">
        <f t="shared" ca="1" si="86"/>
        <v>0.65677727343466796</v>
      </c>
      <c r="AZ96">
        <v>9</v>
      </c>
      <c r="BA96" s="129">
        <f t="shared" si="87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88"/>
        <v>0.40734396491526415</v>
      </c>
      <c r="CL96" s="179">
        <f t="shared" si="89"/>
        <v>9</v>
      </c>
      <c r="CM96" s="180">
        <f t="shared" si="90"/>
        <v>39646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0.33202310696503723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0</v>
      </c>
      <c r="DI96" s="161">
        <f t="shared" si="96"/>
        <v>0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0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</v>
      </c>
      <c r="ES96" s="139">
        <f t="shared" si="57"/>
        <v>0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0</v>
      </c>
      <c r="FV96" s="149"/>
      <c r="FY96" s="211">
        <v>91</v>
      </c>
      <c r="FZ96">
        <v>29.26229319089628</v>
      </c>
      <c r="GA96">
        <v>31.423699729240383</v>
      </c>
      <c r="GB96">
        <v>57.998714964072178</v>
      </c>
      <c r="GC96">
        <v>2.7169649133159033</v>
      </c>
      <c r="GD96">
        <v>0.2287966533848648</v>
      </c>
      <c r="GE96">
        <v>0.32029862908780682</v>
      </c>
      <c r="GF96">
        <v>2.2137074874931515</v>
      </c>
      <c r="GG96">
        <v>0</v>
      </c>
      <c r="GH96">
        <v>8.0565532890635385</v>
      </c>
      <c r="GI96">
        <v>49.006189668647409</v>
      </c>
      <c r="GJ96"/>
      <c r="GK96"/>
      <c r="GL96"/>
      <c r="GM96"/>
    </row>
    <row r="97" spans="1:195" s="7" customFormat="1">
      <c r="A97" s="77"/>
      <c r="B97" s="76">
        <f ca="1">IF(C97="", "", RAND())</f>
        <v>0.42465827098427145</v>
      </c>
      <c r="C97">
        <v>10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15.390277777777774</v>
      </c>
      <c r="AO97">
        <v>133.49554380712596</v>
      </c>
      <c r="AP97">
        <v>977.18381810013716</v>
      </c>
      <c r="AQ97">
        <v>264.95282202924886</v>
      </c>
      <c r="AR97">
        <v>123.9303234158124</v>
      </c>
      <c r="AS97">
        <v>930.03590252632659</v>
      </c>
      <c r="AT97" t="e">
        <v>#DIV/0!</v>
      </c>
      <c r="AU97" t="e">
        <v>#DIV/0!</v>
      </c>
      <c r="AV97"/>
      <c r="AW97"/>
      <c r="AX97" s="151"/>
      <c r="AY97" s="76">
        <f t="shared" ca="1" si="86"/>
        <v>0.22820918283654201</v>
      </c>
      <c r="AZ97">
        <v>10</v>
      </c>
      <c r="BA97" s="129">
        <f t="shared" si="87"/>
        <v>39646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88"/>
        <v>0.40652549022290607</v>
      </c>
      <c r="CL97" s="179">
        <f t="shared" si="89"/>
        <v>10</v>
      </c>
      <c r="CM97" s="180">
        <f t="shared" si="90"/>
        <v>39646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0.62628362563843276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0</v>
      </c>
      <c r="DI97" s="161">
        <f t="shared" si="96"/>
        <v>0</v>
      </c>
      <c r="DJ97" s="161">
        <f t="shared" si="97"/>
        <v>0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0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0</v>
      </c>
      <c r="ES97" s="139">
        <f t="shared" si="57"/>
        <v>0</v>
      </c>
      <c r="ET97" s="139">
        <f t="shared" si="58"/>
        <v>0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0</v>
      </c>
      <c r="FV97" s="149"/>
      <c r="FY97" s="211">
        <v>92</v>
      </c>
      <c r="FZ97">
        <v>47.14154610223261</v>
      </c>
      <c r="GA97">
        <v>50.826114366842916</v>
      </c>
      <c r="GB97">
        <v>42.406818540501462</v>
      </c>
      <c r="GC97">
        <v>1.9990520970342613</v>
      </c>
      <c r="GD97">
        <v>0.21724940227086764</v>
      </c>
      <c r="GE97">
        <v>0.90225261584667882</v>
      </c>
      <c r="GF97">
        <v>4.403966779598834</v>
      </c>
      <c r="GG97">
        <v>7.7803228605233565</v>
      </c>
      <c r="GH97">
        <v>15.194053003821082</v>
      </c>
      <c r="GI97">
        <v>46.127032650046218</v>
      </c>
      <c r="GJ97"/>
      <c r="GK97"/>
      <c r="GL97"/>
      <c r="GM97"/>
    </row>
    <row r="98" spans="1:195" s="7" customFormat="1">
      <c r="A98" s="128"/>
      <c r="B98" s="76">
        <f ca="1">IF(C98="", "", RAND())</f>
        <v>0.56999111115435763</v>
      </c>
      <c r="C98">
        <v>7</v>
      </c>
      <c r="D98">
        <v>39673</v>
      </c>
      <c r="E98">
        <v>0</v>
      </c>
      <c r="F98">
        <v>0</v>
      </c>
      <c r="G98">
        <v>10.416666666666666</v>
      </c>
      <c r="H98">
        <v>0</v>
      </c>
      <c r="I98">
        <v>0</v>
      </c>
      <c r="J98">
        <v>0</v>
      </c>
      <c r="K98">
        <v>0</v>
      </c>
      <c r="L98">
        <v>0</v>
      </c>
      <c r="M98">
        <v>10.416666666666666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7.6866319444444429</v>
      </c>
      <c r="AO98">
        <v>73.568290055903532</v>
      </c>
      <c r="AP98">
        <v>501.03121065363342</v>
      </c>
      <c r="AQ98">
        <v>91.955140669991295</v>
      </c>
      <c r="AR98">
        <v>68.159503224192733</v>
      </c>
      <c r="AS98">
        <v>346.89320625042552</v>
      </c>
      <c r="AT98" t="e">
        <v>#DIV/0!</v>
      </c>
      <c r="AU98" t="e">
        <v>#DIV/0!</v>
      </c>
      <c r="AV98"/>
      <c r="AW98"/>
      <c r="AX98" s="128"/>
      <c r="AY98" s="76">
        <f t="shared" ca="1" si="86"/>
        <v>0.28493960985664302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3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88"/>
        <v>0.97354799735868647</v>
      </c>
      <c r="CL98" s="179">
        <f t="shared" si="89"/>
        <v>1</v>
      </c>
      <c r="CM98" s="180">
        <f t="shared" si="90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4.347704421994969E-2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0</v>
      </c>
      <c r="DI98" s="161">
        <f t="shared" si="96"/>
        <v>31.25</v>
      </c>
      <c r="DJ98" s="161">
        <f t="shared" si="97"/>
        <v>0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31.25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</v>
      </c>
      <c r="ES98" s="139">
        <f t="shared" si="57"/>
        <v>7.101258543249874</v>
      </c>
      <c r="ET98" s="139">
        <f t="shared" si="58"/>
        <v>0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7.101258543249874</v>
      </c>
      <c r="FV98" s="149"/>
      <c r="FY98" s="211">
        <v>93</v>
      </c>
      <c r="FZ98">
        <v>15.513105174806567</v>
      </c>
      <c r="GA98">
        <v>18.413919566144386</v>
      </c>
      <c r="GB98">
        <v>31.532931880258445</v>
      </c>
      <c r="GC98">
        <v>2.4147723377082677</v>
      </c>
      <c r="GD98">
        <v>0.3736295882321099</v>
      </c>
      <c r="GE98">
        <v>0.28157382210579351</v>
      </c>
      <c r="GF98">
        <v>2.3980031765867986</v>
      </c>
      <c r="GG98">
        <v>4.7198288426467183</v>
      </c>
      <c r="GH98">
        <v>9.6111648241764271</v>
      </c>
      <c r="GI98">
        <v>35.306017193726539</v>
      </c>
      <c r="GJ98"/>
      <c r="GK98"/>
      <c r="GL98"/>
      <c r="GM98"/>
    </row>
    <row r="99" spans="1:195" s="7" customFormat="1">
      <c r="A99" s="1"/>
      <c r="B99" s="76">
        <f ca="1">IF(C99="", "", RAND())</f>
        <v>0.10828582492637162</v>
      </c>
      <c r="C99">
        <v>10</v>
      </c>
      <c r="D99">
        <v>39673</v>
      </c>
      <c r="E99">
        <v>0</v>
      </c>
      <c r="F99">
        <v>0</v>
      </c>
      <c r="G99">
        <v>0</v>
      </c>
      <c r="H99">
        <v>18.75</v>
      </c>
      <c r="I99">
        <v>37.5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15.312980769230771</v>
      </c>
      <c r="AO99">
        <v>66.889955596189367</v>
      </c>
      <c r="AP99">
        <v>574.53913586181034</v>
      </c>
      <c r="AQ99">
        <v>256.42604615197234</v>
      </c>
      <c r="AR99">
        <v>62.062487768118977</v>
      </c>
      <c r="AS99">
        <v>414.8402440461914</v>
      </c>
      <c r="AT99" t="e">
        <v>#DIV/0!</v>
      </c>
      <c r="AU99" t="e">
        <v>#DIV/0!</v>
      </c>
      <c r="AV99"/>
      <c r="AW99"/>
      <c r="AX99" s="146"/>
      <c r="AY99" s="76">
        <f t="shared" ca="1" si="86"/>
        <v>0.58123137838774763</v>
      </c>
      <c r="AZ99">
        <v>2</v>
      </c>
      <c r="BA99" s="129">
        <f t="shared" ref="BA99:BA107" si="125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88"/>
        <v>0.71192101191092227</v>
      </c>
      <c r="CL99" s="179">
        <f t="shared" si="89"/>
        <v>2</v>
      </c>
      <c r="CM99" s="180">
        <f t="shared" si="90"/>
        <v>39673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0.27115330528863546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0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0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0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0</v>
      </c>
      <c r="FV99" s="149"/>
      <c r="FY99" s="211">
        <v>94</v>
      </c>
      <c r="FZ99">
        <v>36.262519558991968</v>
      </c>
      <c r="GA99">
        <v>44.317483281912232</v>
      </c>
      <c r="GB99">
        <v>36.347217293457597</v>
      </c>
      <c r="GC99">
        <v>1.8600111616733224</v>
      </c>
      <c r="GD99">
        <v>0.22608566057860841</v>
      </c>
      <c r="GE99">
        <v>0.18787221295513531</v>
      </c>
      <c r="GF99">
        <v>1.1509581673659712</v>
      </c>
      <c r="GG99">
        <v>1.6029780238536757</v>
      </c>
      <c r="GH99">
        <v>0</v>
      </c>
      <c r="GI99">
        <v>34.214050705774412</v>
      </c>
      <c r="GJ99"/>
      <c r="GK99"/>
      <c r="GL99"/>
      <c r="GM99"/>
    </row>
    <row r="100" spans="1:195" s="7" customFormat="1">
      <c r="A100" s="1"/>
      <c r="B100" s="76">
        <f ca="1">IF(C100="", "", RAND())</f>
        <v>0.1845126291634509</v>
      </c>
      <c r="C100">
        <v>2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12.423010149572651</v>
      </c>
      <c r="AO100">
        <v>141.98734153617247</v>
      </c>
      <c r="AP100">
        <v>1056.2995572865643</v>
      </c>
      <c r="AQ100">
        <v>127.56359084660092</v>
      </c>
      <c r="AR100">
        <v>131.73792915764221</v>
      </c>
      <c r="AS100">
        <v>776.87034822426995</v>
      </c>
      <c r="AT100" t="e">
        <v>#DIV/0!</v>
      </c>
      <c r="AU100" t="e">
        <v>#DIV/0!</v>
      </c>
      <c r="AV100"/>
      <c r="AW100"/>
      <c r="AX100" s="146"/>
      <c r="AY100" s="76">
        <f t="shared" ca="1" si="86"/>
        <v>5.3404773419839735E-2</v>
      </c>
      <c r="AZ100">
        <v>3</v>
      </c>
      <c r="BA100" s="129">
        <f t="shared" si="125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88"/>
        <v>0.62753791122333125</v>
      </c>
      <c r="CL100" s="179">
        <f t="shared" si="89"/>
        <v>3</v>
      </c>
      <c r="CM100" s="180">
        <f t="shared" si="90"/>
        <v>39673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0.47206074903795603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0</v>
      </c>
      <c r="DI100" s="161">
        <f t="shared" si="96"/>
        <v>0</v>
      </c>
      <c r="DJ100" s="161">
        <f t="shared" si="97"/>
        <v>0</v>
      </c>
      <c r="DK100" s="161">
        <f t="shared" si="98"/>
        <v>0</v>
      </c>
      <c r="DL100" s="161">
        <f t="shared" si="99"/>
        <v>0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0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0</v>
      </c>
      <c r="ES100" s="139">
        <f t="shared" si="57"/>
        <v>0</v>
      </c>
      <c r="ET100" s="139">
        <f t="shared" si="58"/>
        <v>0</v>
      </c>
      <c r="EU100" s="139">
        <f t="shared" si="59"/>
        <v>0</v>
      </c>
      <c r="EV100" s="139">
        <f t="shared" si="60"/>
        <v>0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0</v>
      </c>
      <c r="FV100" s="149"/>
      <c r="FY100" s="211">
        <v>95</v>
      </c>
      <c r="FZ100">
        <v>6.0647541485965553</v>
      </c>
      <c r="GA100">
        <v>16.239042175946047</v>
      </c>
      <c r="GB100">
        <v>32.63631652416484</v>
      </c>
      <c r="GC100">
        <v>3.7692448781638386</v>
      </c>
      <c r="GD100">
        <v>0.42893616295142811</v>
      </c>
      <c r="GE100">
        <v>0.4786147090076619</v>
      </c>
      <c r="GF100">
        <v>2.5859773196595026</v>
      </c>
      <c r="GG100">
        <v>6.7094621722347103</v>
      </c>
      <c r="GH100">
        <v>9.1973069806361583</v>
      </c>
      <c r="GI100">
        <v>27.086184871960921</v>
      </c>
      <c r="GJ100"/>
      <c r="GK100"/>
      <c r="GL100"/>
      <c r="GM100"/>
    </row>
    <row r="101" spans="1:195" s="7" customFormat="1">
      <c r="A101" s="1"/>
      <c r="B101" s="76">
        <f ca="1">IF(C101="", "", RAND())</f>
        <v>0.81749539604753108</v>
      </c>
      <c r="C101">
        <v>9</v>
      </c>
      <c r="D101">
        <v>39673</v>
      </c>
      <c r="E101">
        <v>0</v>
      </c>
      <c r="F101">
        <v>0</v>
      </c>
      <c r="G101">
        <v>0</v>
      </c>
      <c r="H101">
        <v>20.833333333333332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11.54336271367521</v>
      </c>
      <c r="AO101">
        <v>86.925410400620052</v>
      </c>
      <c r="AP101">
        <v>672.44390586999805</v>
      </c>
      <c r="AQ101">
        <v>216.16685243220462</v>
      </c>
      <c r="AR101">
        <v>80.590950056695476</v>
      </c>
      <c r="AS101">
        <v>443.78991585356931</v>
      </c>
      <c r="AT101" t="e">
        <v>#DIV/0!</v>
      </c>
      <c r="AU101" t="e">
        <v>#DIV/0!</v>
      </c>
      <c r="AV101"/>
      <c r="AW101"/>
      <c r="AX101" s="146"/>
      <c r="AY101" s="76">
        <f t="shared" ca="1" si="86"/>
        <v>0.26558073520718395</v>
      </c>
      <c r="AZ101">
        <v>4</v>
      </c>
      <c r="BA101" s="129">
        <f t="shared" si="125"/>
        <v>39673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88"/>
        <v>0.86405053558378686</v>
      </c>
      <c r="CL101" s="179">
        <f t="shared" si="89"/>
        <v>4</v>
      </c>
      <c r="CM101" s="180">
        <f t="shared" si="90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0.6713919817609626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0</v>
      </c>
      <c r="DJ101" s="161">
        <f t="shared" si="97"/>
        <v>0</v>
      </c>
      <c r="DK101" s="161">
        <f t="shared" si="98"/>
        <v>0</v>
      </c>
      <c r="DL101" s="161">
        <f t="shared" si="99"/>
        <v>0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0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0</v>
      </c>
      <c r="ET101" s="139">
        <f t="shared" si="58"/>
        <v>0</v>
      </c>
      <c r="EU101" s="139">
        <f t="shared" si="59"/>
        <v>0</v>
      </c>
      <c r="EV101" s="139">
        <f t="shared" si="60"/>
        <v>0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0</v>
      </c>
      <c r="FV101" s="149"/>
      <c r="FY101" s="211">
        <v>96</v>
      </c>
      <c r="FZ101">
        <v>52.853342205794036</v>
      </c>
      <c r="GA101">
        <v>56.595889302465793</v>
      </c>
      <c r="GB101">
        <v>29.363578956409206</v>
      </c>
      <c r="GC101">
        <v>4.3221682561695527</v>
      </c>
      <c r="GD101">
        <v>0.66385808183777717</v>
      </c>
      <c r="GE101">
        <v>0.58195398675887211</v>
      </c>
      <c r="GF101">
        <v>2.2163807403973528</v>
      </c>
      <c r="GG101">
        <v>5.6949582848624711</v>
      </c>
      <c r="GH101">
        <v>15.285390891046541</v>
      </c>
      <c r="GI101">
        <v>44.251170042673657</v>
      </c>
      <c r="GJ101"/>
      <c r="GK101"/>
      <c r="GL101"/>
      <c r="GM101"/>
    </row>
    <row r="102" spans="1:195" s="7" customFormat="1">
      <c r="A102" s="1"/>
      <c r="B102" s="76">
        <f ca="1">IF(C102="", "", RAND())</f>
        <v>0.81324394637538244</v>
      </c>
      <c r="C102">
        <v>5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15.117841880341876</v>
      </c>
      <c r="AO102">
        <v>126.91944863974463</v>
      </c>
      <c r="AP102">
        <v>942.41031677132378</v>
      </c>
      <c r="AQ102">
        <v>158.87115011508288</v>
      </c>
      <c r="AR102">
        <v>117.83004960562567</v>
      </c>
      <c r="AS102">
        <v>655.8011698505361</v>
      </c>
      <c r="AT102" t="e">
        <v>#DIV/0!</v>
      </c>
      <c r="AU102" t="e">
        <v>#DIV/0!</v>
      </c>
      <c r="AV102"/>
      <c r="AW102"/>
      <c r="AX102" s="146"/>
      <c r="AY102" s="76">
        <f t="shared" ca="1" si="86"/>
        <v>0.2149182125932656</v>
      </c>
      <c r="AZ102">
        <v>5</v>
      </c>
      <c r="BA102" s="129">
        <f t="shared" si="125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88"/>
        <v>0.54803027140697758</v>
      </c>
      <c r="CL102" s="179">
        <f t="shared" si="89"/>
        <v>5</v>
      </c>
      <c r="CM102" s="180">
        <f t="shared" si="90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2.2377382098979659E-2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0</v>
      </c>
      <c r="DI102" s="161">
        <f t="shared" si="96"/>
        <v>0</v>
      </c>
      <c r="DJ102" s="161">
        <f t="shared" si="97"/>
        <v>0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0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</v>
      </c>
      <c r="ES102" s="139">
        <f t="shared" si="57"/>
        <v>0</v>
      </c>
      <c r="ET102" s="139">
        <f t="shared" si="58"/>
        <v>0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0</v>
      </c>
      <c r="FV102" s="149"/>
      <c r="FY102" s="211">
        <v>97</v>
      </c>
      <c r="FZ102">
        <v>29.142367758729922</v>
      </c>
      <c r="GA102">
        <v>32.95773059903177</v>
      </c>
      <c r="GB102">
        <v>36.628576454487785</v>
      </c>
      <c r="GC102">
        <v>2.5631238591833241</v>
      </c>
      <c r="GD102">
        <v>0.40584166072343364</v>
      </c>
      <c r="GE102">
        <v>0.85435913491793247</v>
      </c>
      <c r="GF102">
        <v>2.1210570424089008</v>
      </c>
      <c r="GG102">
        <v>2.8756575428894382</v>
      </c>
      <c r="GH102">
        <v>11.67097209005504</v>
      </c>
      <c r="GI102">
        <v>37.616026502654933</v>
      </c>
      <c r="GJ102"/>
      <c r="GK102"/>
      <c r="GL102"/>
      <c r="GM102"/>
    </row>
    <row r="103" spans="1:195" s="7" customFormat="1">
      <c r="A103" s="1"/>
      <c r="B103" s="76">
        <f ca="1">IF(C103="", "", RAND())</f>
        <v>0.34527716463505875</v>
      </c>
      <c r="C103">
        <v>1</v>
      </c>
      <c r="D103">
        <v>39673</v>
      </c>
      <c r="E103">
        <v>0</v>
      </c>
      <c r="F103">
        <v>0</v>
      </c>
      <c r="G103">
        <v>0</v>
      </c>
      <c r="H103">
        <v>31.25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16.353645833333335</v>
      </c>
      <c r="AO103">
        <v>131.27642877684971</v>
      </c>
      <c r="AP103">
        <v>621.37935620728354</v>
      </c>
      <c r="AQ103">
        <v>183.21599436687521</v>
      </c>
      <c r="AR103">
        <v>121.78612995910174</v>
      </c>
      <c r="AS103">
        <v>1388.4452831586341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0.77168664384346486</v>
      </c>
      <c r="AZ103">
        <v>6</v>
      </c>
      <c r="BA103" s="129">
        <f t="shared" si="125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88"/>
        <v>0.35505170441106682</v>
      </c>
      <c r="CL103" s="179">
        <f t="shared" si="89"/>
        <v>6</v>
      </c>
      <c r="CM103" s="180">
        <f t="shared" si="90"/>
        <v>39673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0.22867170450845631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0</v>
      </c>
      <c r="DI103" s="161">
        <f t="shared" si="96"/>
        <v>0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0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0</v>
      </c>
      <c r="ES103" s="139">
        <f t="shared" si="57"/>
        <v>0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0</v>
      </c>
      <c r="FV103" s="149"/>
      <c r="FY103" s="211">
        <v>98</v>
      </c>
      <c r="FZ103">
        <v>12.047531375608536</v>
      </c>
      <c r="GA103">
        <v>20.461584750263114</v>
      </c>
      <c r="GB103">
        <v>51.6540243029431</v>
      </c>
      <c r="GC103">
        <v>1.5033316702564401</v>
      </c>
      <c r="GD103">
        <v>9.5651625629411249E-2</v>
      </c>
      <c r="GE103">
        <v>0.19704088690186838</v>
      </c>
      <c r="GF103">
        <v>1.1508089394067866</v>
      </c>
      <c r="GG103">
        <v>5.1064841483810355</v>
      </c>
      <c r="GH103">
        <v>13.225583625167928</v>
      </c>
      <c r="GI103">
        <v>43.273950622188742</v>
      </c>
      <c r="GJ103"/>
      <c r="GK103"/>
      <c r="GL103"/>
      <c r="GM103"/>
    </row>
    <row r="104" spans="1:195" s="7" customFormat="1">
      <c r="A104" s="1"/>
      <c r="B104" s="76">
        <f ca="1">IF(C104="", "", RAND())</f>
        <v>5.4769201915918719E-2</v>
      </c>
      <c r="C104">
        <v>3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7.5460069444444429</v>
      </c>
      <c r="AO104">
        <v>83.671383603027635</v>
      </c>
      <c r="AP104">
        <v>613.51905509548556</v>
      </c>
      <c r="AQ104">
        <v>147.34345341469884</v>
      </c>
      <c r="AR104">
        <v>77.515687612337658</v>
      </c>
      <c r="AS104">
        <v>397.5524276650263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0.8456983468502095</v>
      </c>
      <c r="AZ104">
        <v>7</v>
      </c>
      <c r="BA104" s="129">
        <f t="shared" si="125"/>
        <v>39673</v>
      </c>
      <c r="BB104">
        <v>0</v>
      </c>
      <c r="BC104">
        <v>0</v>
      </c>
      <c r="BD104">
        <v>1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1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88"/>
        <v>0.93120271817125766</v>
      </c>
      <c r="CL104" s="179">
        <f t="shared" si="89"/>
        <v>7</v>
      </c>
      <c r="CM104" s="180">
        <f t="shared" si="90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0.31709518738807319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10.416666666666666</v>
      </c>
      <c r="DI104" s="161">
        <f t="shared" si="96"/>
        <v>0</v>
      </c>
      <c r="DJ104" s="161">
        <f t="shared" si="97"/>
        <v>0</v>
      </c>
      <c r="DK104" s="161">
        <f t="shared" si="98"/>
        <v>0</v>
      </c>
      <c r="DL104" s="161">
        <f t="shared" si="99"/>
        <v>0</v>
      </c>
      <c r="DM104" s="161">
        <f t="shared" si="100"/>
        <v>0</v>
      </c>
      <c r="DN104" s="161">
        <f t="shared" si="101"/>
        <v>10.416666666666666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20.833333333333332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0.73234265502448204</v>
      </c>
      <c r="ES104" s="139">
        <f t="shared" si="57"/>
        <v>0</v>
      </c>
      <c r="ET104" s="139">
        <f t="shared" si="58"/>
        <v>0</v>
      </c>
      <c r="EU104" s="139">
        <f t="shared" si="59"/>
        <v>0</v>
      </c>
      <c r="EV104" s="139">
        <f t="shared" si="60"/>
        <v>0</v>
      </c>
      <c r="EW104" s="139">
        <f t="shared" si="61"/>
        <v>0</v>
      </c>
      <c r="EX104" s="139">
        <f t="shared" si="62"/>
        <v>40.43015875330849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41.162501408332972</v>
      </c>
      <c r="FV104" s="149"/>
      <c r="FY104" s="211">
        <v>99</v>
      </c>
      <c r="FZ104">
        <v>24.214988183383429</v>
      </c>
      <c r="GA104">
        <v>33.882204108776726</v>
      </c>
      <c r="GB104">
        <v>93.948774095261797</v>
      </c>
      <c r="GC104">
        <v>1.9614146619387813</v>
      </c>
      <c r="GD104">
        <v>0.22608566057860841</v>
      </c>
      <c r="GE104">
        <v>0.35488797216790446</v>
      </c>
      <c r="GF104">
        <v>1.9294972746064076</v>
      </c>
      <c r="GG104">
        <v>7.1524742788854336</v>
      </c>
      <c r="GH104">
        <v>12.811725781627663</v>
      </c>
      <c r="GI104">
        <v>69.657869486846252</v>
      </c>
      <c r="GJ104"/>
      <c r="GK104"/>
      <c r="GL104"/>
      <c r="GM104"/>
    </row>
    <row r="105" spans="1:195" s="7" customFormat="1">
      <c r="A105" s="1"/>
      <c r="B105" s="76">
        <f ca="1">IF(C105="", "", RAND())</f>
        <v>0.81567465520279203</v>
      </c>
      <c r="C105">
        <v>8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10.416666666666666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15.447008547008545</v>
      </c>
      <c r="AO105">
        <v>112.36652523487524</v>
      </c>
      <c r="AP105">
        <v>809.22469869801023</v>
      </c>
      <c r="AQ105">
        <v>198.38263839152955</v>
      </c>
      <c r="AR105">
        <v>104.28032004278838</v>
      </c>
      <c r="AS105">
        <v>869.71237879469595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0.53815145876170956</v>
      </c>
      <c r="AZ105">
        <v>8</v>
      </c>
      <c r="BA105" s="129">
        <f t="shared" si="125"/>
        <v>39673</v>
      </c>
      <c r="BB105">
        <v>0</v>
      </c>
      <c r="BC105" s="216">
        <v>0</v>
      </c>
      <c r="BD105" s="216">
        <v>0</v>
      </c>
      <c r="BE105" s="216">
        <v>0</v>
      </c>
      <c r="BF105" s="216">
        <v>0</v>
      </c>
      <c r="BG105" s="216">
        <v>0</v>
      </c>
      <c r="BH105" s="216">
        <v>0</v>
      </c>
      <c r="BI105">
        <v>0</v>
      </c>
      <c r="BJ105">
        <v>1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88"/>
        <v>0.2702892093194702</v>
      </c>
      <c r="CL105" s="179">
        <f t="shared" si="89"/>
        <v>8</v>
      </c>
      <c r="CM105" s="180">
        <f t="shared" si="90"/>
        <v>39673</v>
      </c>
      <c r="CN105" s="224">
        <v>0</v>
      </c>
      <c r="CO105" s="224">
        <v>0</v>
      </c>
      <c r="CP105" s="224">
        <v>0</v>
      </c>
      <c r="CQ105" s="224">
        <v>0</v>
      </c>
      <c r="CR105" s="224">
        <v>0</v>
      </c>
      <c r="CS105" s="224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0.31700042006434592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0</v>
      </c>
      <c r="DH105" s="161">
        <f t="shared" si="95"/>
        <v>0</v>
      </c>
      <c r="DI105" s="161">
        <f t="shared" si="96"/>
        <v>0</v>
      </c>
      <c r="DJ105" s="161">
        <f t="shared" si="97"/>
        <v>0</v>
      </c>
      <c r="DK105" s="161">
        <f t="shared" si="98"/>
        <v>0</v>
      </c>
      <c r="DL105" s="161">
        <f t="shared" si="99"/>
        <v>0</v>
      </c>
      <c r="DM105" s="161">
        <f t="shared" si="100"/>
        <v>0</v>
      </c>
      <c r="DN105" s="161">
        <f t="shared" si="101"/>
        <v>10.416666666666666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10.416666666666666</v>
      </c>
      <c r="EL105" s="149"/>
      <c r="EN105" s="146"/>
      <c r="EO105" s="146"/>
      <c r="EP105" s="139">
        <f t="shared" si="54"/>
        <v>0</v>
      </c>
      <c r="EQ105" s="139">
        <f t="shared" si="55"/>
        <v>0</v>
      </c>
      <c r="ER105" s="139">
        <f t="shared" si="56"/>
        <v>0</v>
      </c>
      <c r="ES105" s="139">
        <f t="shared" si="57"/>
        <v>0</v>
      </c>
      <c r="ET105" s="139">
        <f t="shared" si="58"/>
        <v>0</v>
      </c>
      <c r="EU105" s="139">
        <f t="shared" si="59"/>
        <v>0</v>
      </c>
      <c r="EV105" s="139">
        <f t="shared" si="60"/>
        <v>0</v>
      </c>
      <c r="EW105" s="139">
        <f t="shared" si="61"/>
        <v>0</v>
      </c>
      <c r="EX105" s="139">
        <f t="shared" si="62"/>
        <v>40.43015875330849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40.43015875330849</v>
      </c>
      <c r="FV105" s="149"/>
      <c r="FY105" s="211">
        <v>100</v>
      </c>
      <c r="FZ105">
        <v>33.903190073926169</v>
      </c>
      <c r="GA105">
        <v>38.70797462481643</v>
      </c>
      <c r="GB105">
        <v>23.841895461807091</v>
      </c>
      <c r="GC105">
        <v>1.5456944212647752</v>
      </c>
      <c r="GD105">
        <v>7.5127460229878956E-2</v>
      </c>
      <c r="GE105">
        <v>0.42363790683901698</v>
      </c>
      <c r="GF105">
        <v>2.803509307794481</v>
      </c>
      <c r="GG105">
        <v>5.8797947598496716</v>
      </c>
      <c r="GH105">
        <v>13.225583625167928</v>
      </c>
      <c r="GI105">
        <v>27.045203474233659</v>
      </c>
      <c r="GJ105"/>
      <c r="GK105"/>
      <c r="GL105"/>
      <c r="GM105"/>
    </row>
    <row r="106" spans="1:195" s="7" customFormat="1">
      <c r="A106" s="1"/>
      <c r="B106" s="76">
        <f ca="1">IF(C106="", "", RAND())</f>
        <v>0.33144803419466662</v>
      </c>
      <c r="C106">
        <v>6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11.823611111111109</v>
      </c>
      <c r="AO106">
        <v>161.60810798634299</v>
      </c>
      <c r="AP106">
        <v>1336.4160733543952</v>
      </c>
      <c r="AQ106">
        <v>161.14595749640802</v>
      </c>
      <c r="AR106">
        <v>149.8297298795965</v>
      </c>
      <c r="AS106">
        <v>756.58193855745265</v>
      </c>
      <c r="AT106" t="e">
        <v>#DIV/0!</v>
      </c>
      <c r="AU106" t="e">
        <v>#DIV/0!</v>
      </c>
      <c r="AV106"/>
      <c r="AW106"/>
      <c r="AX106" s="146"/>
      <c r="AY106" s="76">
        <f t="shared" ca="1" si="86"/>
        <v>0.31486573014057928</v>
      </c>
      <c r="AZ106">
        <v>9</v>
      </c>
      <c r="BA106" s="129">
        <f t="shared" si="125"/>
        <v>39673</v>
      </c>
      <c r="BB106">
        <v>0</v>
      </c>
      <c r="BC106">
        <v>0</v>
      </c>
      <c r="BD106">
        <v>0</v>
      </c>
      <c r="BE106">
        <v>2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88"/>
        <v>0.66345272126985844</v>
      </c>
      <c r="CL106" s="179">
        <f t="shared" si="89"/>
        <v>9</v>
      </c>
      <c r="CM106" s="180">
        <f t="shared" si="90"/>
        <v>39673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0.27126249809451353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0</v>
      </c>
      <c r="DH106" s="161">
        <f t="shared" si="95"/>
        <v>0</v>
      </c>
      <c r="DI106" s="161">
        <f t="shared" si="96"/>
        <v>20.833333333333332</v>
      </c>
      <c r="DJ106" s="161">
        <f t="shared" si="97"/>
        <v>0</v>
      </c>
      <c r="DK106" s="161">
        <f t="shared" si="98"/>
        <v>0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20.833333333333332</v>
      </c>
      <c r="EL106" s="149"/>
      <c r="EN106" s="146"/>
      <c r="EO106" s="146"/>
      <c r="EP106" s="139">
        <f t="shared" si="54"/>
        <v>0</v>
      </c>
      <c r="EQ106" s="139">
        <f t="shared" si="55"/>
        <v>0</v>
      </c>
      <c r="ER106" s="139">
        <f t="shared" si="56"/>
        <v>0</v>
      </c>
      <c r="ES106" s="139">
        <f t="shared" si="57"/>
        <v>4.7341723621665821</v>
      </c>
      <c r="ET106" s="139">
        <f t="shared" si="58"/>
        <v>0</v>
      </c>
      <c r="EU106" s="139">
        <f t="shared" si="59"/>
        <v>0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4.7341723621665821</v>
      </c>
      <c r="FV106" s="149"/>
      <c r="FY106" s="211">
        <v>101</v>
      </c>
      <c r="FZ106">
        <v>19.612039810935336</v>
      </c>
      <c r="GA106">
        <v>21.026039134789198</v>
      </c>
      <c r="GB106">
        <v>27.540229898635236</v>
      </c>
      <c r="GC106">
        <v>3.0403703011810919</v>
      </c>
      <c r="GD106">
        <v>0.32987026462678881</v>
      </c>
      <c r="GE106">
        <v>0.24698447902569581</v>
      </c>
      <c r="GF106">
        <v>2.899894605567706</v>
      </c>
      <c r="GG106">
        <v>9.5851197151241507</v>
      </c>
      <c r="GH106">
        <v>16.840002426159433</v>
      </c>
      <c r="GI106">
        <v>26.995274878922949</v>
      </c>
      <c r="GJ106"/>
      <c r="GK106"/>
      <c r="GL106"/>
      <c r="GM106"/>
    </row>
    <row r="107" spans="1:195" s="7" customFormat="1">
      <c r="A107" s="1"/>
      <c r="B107" s="76">
        <f ca="1">IF(C107="", "", RAND())</f>
        <v>0.83112432835449113</v>
      </c>
      <c r="C107">
        <v>4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11.100961538461537</v>
      </c>
      <c r="AO107">
        <v>58.98719108074549</v>
      </c>
      <c r="AP107">
        <v>345.38851298219765</v>
      </c>
      <c r="AQ107">
        <v>181.22721852520152</v>
      </c>
      <c r="AR107">
        <v>54.813113094494739</v>
      </c>
      <c r="AS107">
        <v>357.19434483692999</v>
      </c>
      <c r="AT107" t="e">
        <v>#DIV/0!</v>
      </c>
      <c r="AU107" t="e">
        <v>#DIV/0!</v>
      </c>
      <c r="AV107"/>
      <c r="AW107"/>
      <c r="AX107" s="146"/>
      <c r="AY107" s="76">
        <f t="shared" ca="1" si="86"/>
        <v>0.30346310050934022</v>
      </c>
      <c r="AZ107">
        <v>10</v>
      </c>
      <c r="BA107" s="129">
        <f t="shared" si="125"/>
        <v>39673</v>
      </c>
      <c r="BB107">
        <v>0</v>
      </c>
      <c r="BC107">
        <v>0</v>
      </c>
      <c r="BD107">
        <v>0</v>
      </c>
      <c r="BE107">
        <v>1</v>
      </c>
      <c r="BF107">
        <v>2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88"/>
        <v>0.5234982971309341</v>
      </c>
      <c r="CL107" s="179">
        <f t="shared" si="89"/>
        <v>10</v>
      </c>
      <c r="CM107" s="180">
        <f t="shared" si="90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0.41586975724745745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0</v>
      </c>
      <c r="DI107" s="161">
        <f t="shared" si="96"/>
        <v>18.75</v>
      </c>
      <c r="DJ107" s="161">
        <f t="shared" si="97"/>
        <v>37.5</v>
      </c>
      <c r="DK107" s="161">
        <f t="shared" si="98"/>
        <v>0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56.25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0</v>
      </c>
      <c r="ES107" s="139">
        <f t="shared" si="57"/>
        <v>4.2607551259499248</v>
      </c>
      <c r="ET107" s="139">
        <f t="shared" si="58"/>
        <v>19.589005545606238</v>
      </c>
      <c r="EU107" s="139">
        <f t="shared" si="59"/>
        <v>0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23.849760671556162</v>
      </c>
      <c r="FV107" s="149"/>
      <c r="FY107" s="211">
        <v>102</v>
      </c>
      <c r="FZ107">
        <v>35.396126109192458</v>
      </c>
      <c r="GA107">
        <v>37.468685652695726</v>
      </c>
      <c r="GB107">
        <v>46.720821609144409</v>
      </c>
      <c r="GC107">
        <v>1.765245526559245</v>
      </c>
      <c r="GD107">
        <v>0.2145384094646112</v>
      </c>
      <c r="GE107">
        <v>0.66648692196279713</v>
      </c>
      <c r="GF107">
        <v>2.5859773196595026</v>
      </c>
      <c r="GG107">
        <v>9.7699561901113494</v>
      </c>
      <c r="GH107">
        <v>14.780195160280819</v>
      </c>
      <c r="GI107">
        <v>46.784792375379716</v>
      </c>
      <c r="GJ107"/>
      <c r="GK107"/>
      <c r="GL107"/>
      <c r="GM107"/>
    </row>
    <row r="108" spans="1:195" s="7" customFormat="1">
      <c r="A108" s="128"/>
      <c r="B108" s="76">
        <f ca="1">IF(C108="", "", RAND())</f>
        <v>0.54499888751992231</v>
      </c>
      <c r="C108">
        <v>2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10.416666666666666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18.190197649572646</v>
      </c>
      <c r="AO108">
        <v>148.54498239619062</v>
      </c>
      <c r="AP108">
        <v>881.64478485768313</v>
      </c>
      <c r="AQ108">
        <v>216.99840841871833</v>
      </c>
      <c r="AR108">
        <v>137.7843562616103</v>
      </c>
      <c r="AS108">
        <v>1362.4907145624745</v>
      </c>
      <c r="AT108" t="e">
        <v>#DIV/0!</v>
      </c>
      <c r="AU108" t="e">
        <v>#DIV/0!</v>
      </c>
      <c r="AV108"/>
      <c r="AW108"/>
      <c r="AX108" s="128"/>
      <c r="AY108" s="76">
        <f t="shared" ca="1" si="86"/>
        <v>0.87921425780723994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2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1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88"/>
        <v>0.77090271563712487</v>
      </c>
      <c r="CL108" s="179">
        <f t="shared" si="89"/>
        <v>1</v>
      </c>
      <c r="CM108" s="180">
        <f t="shared" si="90"/>
        <v>39714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0.47699106464420016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0</v>
      </c>
      <c r="DI108" s="161">
        <f t="shared" si="96"/>
        <v>20.833333333333332</v>
      </c>
      <c r="DJ108" s="161">
        <f t="shared" si="97"/>
        <v>0</v>
      </c>
      <c r="DK108" s="161">
        <f t="shared" si="98"/>
        <v>0</v>
      </c>
      <c r="DL108" s="161">
        <f t="shared" si="99"/>
        <v>0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10.416666666666666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31.25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0</v>
      </c>
      <c r="ES108" s="139">
        <f t="shared" si="57"/>
        <v>4.7341723621665821</v>
      </c>
      <c r="ET108" s="139">
        <f t="shared" si="58"/>
        <v>0</v>
      </c>
      <c r="EU108" s="139">
        <f t="shared" si="59"/>
        <v>0</v>
      </c>
      <c r="EV108" s="139">
        <f t="shared" si="60"/>
        <v>0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130.6788146605511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135.41298702271769</v>
      </c>
      <c r="FV108" s="149"/>
      <c r="FY108" s="211">
        <v>103</v>
      </c>
      <c r="FZ108">
        <v>23.077613610133366</v>
      </c>
      <c r="GA108">
        <v>26.532973656747309</v>
      </c>
      <c r="GB108">
        <v>29.065193978483592</v>
      </c>
      <c r="GC108">
        <v>4.1623521319002634</v>
      </c>
      <c r="GD108">
        <v>0.55053393959288444</v>
      </c>
      <c r="GE108">
        <v>0.4348566919808311</v>
      </c>
      <c r="GF108">
        <v>4.0247313246420067</v>
      </c>
      <c r="GG108">
        <v>12.258958427266471</v>
      </c>
      <c r="GH108">
        <v>18.808471804812587</v>
      </c>
      <c r="GI108">
        <v>35.495414577480538</v>
      </c>
      <c r="GJ108"/>
      <c r="GK108"/>
      <c r="GL108"/>
      <c r="GM108"/>
    </row>
    <row r="109" spans="1:195" s="7" customFormat="1">
      <c r="A109" s="1"/>
      <c r="B109" s="76">
        <f ca="1">IF(C109="", "", RAND())</f>
        <v>0.97297336095636955</v>
      </c>
      <c r="C109">
        <v>3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11.447876602564103</v>
      </c>
      <c r="AO109">
        <v>122.98582868675335</v>
      </c>
      <c r="AP109">
        <v>937.56668542449256</v>
      </c>
      <c r="AQ109">
        <v>120.56494640639207</v>
      </c>
      <c r="AR109">
        <v>114.00567303043664</v>
      </c>
      <c r="AS109">
        <v>827.70333296500655</v>
      </c>
      <c r="AT109" t="e">
        <v>#DIV/0!</v>
      </c>
      <c r="AU109" t="e">
        <v>#DIV/0!</v>
      </c>
      <c r="AV109"/>
      <c r="AW109"/>
      <c r="AX109" s="146"/>
      <c r="AY109" s="76">
        <f t="shared" ca="1" si="86"/>
        <v>0.38564143537450524</v>
      </c>
      <c r="AZ109">
        <v>2</v>
      </c>
      <c r="BA109" s="129">
        <f t="shared" ref="BA109:BA117" si="127">IF(AZ109="", "",$C$6)</f>
        <v>39714</v>
      </c>
      <c r="BB109">
        <v>0</v>
      </c>
      <c r="BC109">
        <v>0</v>
      </c>
      <c r="BD109">
        <v>0</v>
      </c>
      <c r="BE109">
        <v>0</v>
      </c>
      <c r="BF109">
        <v>1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88"/>
        <v>0.87744445163037632</v>
      </c>
      <c r="CL109" s="179">
        <f t="shared" si="89"/>
        <v>2</v>
      </c>
      <c r="CM109" s="180">
        <f t="shared" si="90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0.64965017002555925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0</v>
      </c>
      <c r="DI109" s="161">
        <f t="shared" si="96"/>
        <v>0</v>
      </c>
      <c r="DJ109" s="161">
        <f t="shared" si="97"/>
        <v>10.416666666666666</v>
      </c>
      <c r="DK109" s="161">
        <f t="shared" si="98"/>
        <v>0</v>
      </c>
      <c r="DL109" s="161">
        <f t="shared" si="99"/>
        <v>0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10.416666666666666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</v>
      </c>
      <c r="ES109" s="139">
        <f t="shared" si="57"/>
        <v>0</v>
      </c>
      <c r="ET109" s="139">
        <f t="shared" si="58"/>
        <v>5.4413904293350654</v>
      </c>
      <c r="EU109" s="139">
        <f t="shared" si="59"/>
        <v>0</v>
      </c>
      <c r="EV109" s="139">
        <f t="shared" si="60"/>
        <v>0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5.4413904293350654</v>
      </c>
      <c r="FV109" s="149"/>
      <c r="FY109" s="211">
        <v>104</v>
      </c>
      <c r="FZ109">
        <v>5.1983606987970479</v>
      </c>
      <c r="GA109">
        <v>11.437909730848267</v>
      </c>
      <c r="GB109">
        <v>37.074226911584105</v>
      </c>
      <c r="GC109">
        <v>2.9881893557328265</v>
      </c>
      <c r="GD109">
        <v>0.34497244441380825</v>
      </c>
      <c r="GE109">
        <v>0.70107626504289478</v>
      </c>
      <c r="GF109">
        <v>1.5896077683657179</v>
      </c>
      <c r="GG109">
        <v>5.936151560766076</v>
      </c>
      <c r="GH109">
        <v>9.1973069806361583</v>
      </c>
      <c r="GI109">
        <v>30.972455578110949</v>
      </c>
      <c r="GJ109"/>
      <c r="GK109"/>
      <c r="GL109"/>
      <c r="GM109"/>
    </row>
    <row r="110" spans="1:195" s="7" customFormat="1">
      <c r="A110" s="1"/>
      <c r="B110" s="76">
        <f ca="1">IF(C110="", "", RAND())</f>
        <v>0.89017016131066429</v>
      </c>
      <c r="C110">
        <v>1</v>
      </c>
      <c r="D110">
        <v>39714</v>
      </c>
      <c r="E110">
        <v>0</v>
      </c>
      <c r="F110">
        <v>0</v>
      </c>
      <c r="G110">
        <v>0</v>
      </c>
      <c r="H110">
        <v>20.833333333333332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10.416666666666666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12.585590277777776</v>
      </c>
      <c r="AO110">
        <v>120.05647636467037</v>
      </c>
      <c r="AP110">
        <v>922.11133150202522</v>
      </c>
      <c r="AQ110">
        <v>156.16917606656293</v>
      </c>
      <c r="AR110">
        <v>111.32477748160302</v>
      </c>
      <c r="AS110">
        <v>828.78227757190291</v>
      </c>
      <c r="AT110" t="e">
        <v>#DIV/0!</v>
      </c>
      <c r="AU110" t="e">
        <v>#DIV/0!</v>
      </c>
      <c r="AV110"/>
      <c r="AW110"/>
      <c r="AX110" s="146"/>
      <c r="AY110" s="76">
        <f t="shared" ca="1" si="86"/>
        <v>0.26569501593357359</v>
      </c>
      <c r="AZ110">
        <v>3</v>
      </c>
      <c r="BA110" s="129">
        <f t="shared" si="127"/>
        <v>39714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88"/>
        <v>0.36672954356443777</v>
      </c>
      <c r="CL110" s="179">
        <f t="shared" si="89"/>
        <v>3</v>
      </c>
      <c r="CM110" s="180">
        <f t="shared" si="90"/>
        <v>39714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0.45447730371797901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0</v>
      </c>
      <c r="DH110" s="161">
        <f t="shared" si="95"/>
        <v>0</v>
      </c>
      <c r="DI110" s="161">
        <f t="shared" si="96"/>
        <v>0</v>
      </c>
      <c r="DJ110" s="161">
        <f t="shared" si="97"/>
        <v>0</v>
      </c>
      <c r="DK110" s="161">
        <f t="shared" si="98"/>
        <v>0</v>
      </c>
      <c r="DL110" s="161">
        <f t="shared" si="99"/>
        <v>0</v>
      </c>
      <c r="DM110" s="161">
        <f t="shared" si="100"/>
        <v>0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0</v>
      </c>
      <c r="EL110" s="149"/>
      <c r="EN110" s="146"/>
      <c r="EO110" s="146"/>
      <c r="EP110" s="139">
        <f t="shared" si="54"/>
        <v>0</v>
      </c>
      <c r="EQ110" s="139">
        <f t="shared" si="55"/>
        <v>0</v>
      </c>
      <c r="ER110" s="139">
        <f t="shared" si="56"/>
        <v>0</v>
      </c>
      <c r="ES110" s="139">
        <f t="shared" si="57"/>
        <v>0</v>
      </c>
      <c r="ET110" s="139">
        <f t="shared" si="58"/>
        <v>0</v>
      </c>
      <c r="EU110" s="139">
        <f t="shared" si="59"/>
        <v>0</v>
      </c>
      <c r="EV110" s="139">
        <f t="shared" si="60"/>
        <v>0</v>
      </c>
      <c r="EW110" s="139">
        <f t="shared" si="61"/>
        <v>0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0</v>
      </c>
      <c r="FV110" s="149"/>
      <c r="FY110" s="211">
        <v>105</v>
      </c>
      <c r="FZ110">
        <v>41.823259971269195</v>
      </c>
      <c r="GA110">
        <v>44.59352518709143</v>
      </c>
      <c r="GB110">
        <v>27.305826763157942</v>
      </c>
      <c r="GC110">
        <v>2.7874002803906488</v>
      </c>
      <c r="GD110">
        <v>0.29850212800223097</v>
      </c>
      <c r="GE110">
        <v>0.77899487366074038</v>
      </c>
      <c r="GF110">
        <v>3.5848708958983027</v>
      </c>
      <c r="GG110">
        <v>4.4222787658267091</v>
      </c>
      <c r="GH110">
        <v>3.6144188009915013</v>
      </c>
      <c r="GI110">
        <v>27.97984171274414</v>
      </c>
      <c r="GJ110"/>
      <c r="GK110"/>
      <c r="GL110"/>
      <c r="GM110"/>
    </row>
    <row r="111" spans="1:195" s="7" customFormat="1">
      <c r="A111" s="1"/>
      <c r="B111" s="76">
        <f ca="1">IF(C111="", "", RAND())</f>
        <v>0.65088640600721526</v>
      </c>
      <c r="C111">
        <v>7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11.030381944444443</v>
      </c>
      <c r="AO111">
        <v>104.58345063062252</v>
      </c>
      <c r="AP111">
        <v>848.53921397599402</v>
      </c>
      <c r="AQ111">
        <v>105.19583994332167</v>
      </c>
      <c r="AR111">
        <v>96.930524165490525</v>
      </c>
      <c r="AS111">
        <v>445.40184635777251</v>
      </c>
      <c r="AT111" t="e">
        <v>#DIV/0!</v>
      </c>
      <c r="AU111" t="e">
        <v>#DIV/0!</v>
      </c>
      <c r="AV111"/>
      <c r="AW111"/>
      <c r="AX111" s="146"/>
      <c r="AY111" s="76">
        <f t="shared" ca="1" si="86"/>
        <v>0.64193321550797244</v>
      </c>
      <c r="AZ111">
        <v>4</v>
      </c>
      <c r="BA111" s="129">
        <f t="shared" si="127"/>
        <v>39714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88"/>
        <v>0.76667826211904888</v>
      </c>
      <c r="CL111" s="179">
        <f t="shared" si="89"/>
        <v>4</v>
      </c>
      <c r="CM111" s="180">
        <f t="shared" si="90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0.20666324609477638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0</v>
      </c>
      <c r="DI111" s="161">
        <f t="shared" si="96"/>
        <v>0</v>
      </c>
      <c r="DJ111" s="161">
        <f t="shared" si="97"/>
        <v>0</v>
      </c>
      <c r="DK111" s="161">
        <f t="shared" si="98"/>
        <v>0</v>
      </c>
      <c r="DL111" s="161">
        <f t="shared" si="99"/>
        <v>0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0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</v>
      </c>
      <c r="ES111" s="139">
        <f t="shared" si="57"/>
        <v>0</v>
      </c>
      <c r="ET111" s="139">
        <f t="shared" si="58"/>
        <v>0</v>
      </c>
      <c r="EU111" s="139">
        <f t="shared" si="59"/>
        <v>0</v>
      </c>
      <c r="EV111" s="139">
        <f t="shared" si="60"/>
        <v>0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0</v>
      </c>
      <c r="FV111" s="149"/>
      <c r="FY111" s="211">
        <v>106</v>
      </c>
      <c r="FZ111">
        <v>40.956866521469685</v>
      </c>
      <c r="GA111">
        <v>45.511347607417783</v>
      </c>
      <c r="GB111">
        <v>55.969434735921261</v>
      </c>
      <c r="GC111">
        <v>1.1820103140947562</v>
      </c>
      <c r="GD111">
        <v>0.16806809305303377</v>
      </c>
      <c r="GE111">
        <v>0.19243642834613378</v>
      </c>
      <c r="GF111">
        <v>1.1770796156576415</v>
      </c>
      <c r="GG111">
        <v>10.728103276567186</v>
      </c>
      <c r="GH111">
        <v>24.805217827997517</v>
      </c>
      <c r="GI111">
        <v>53.69146187148155</v>
      </c>
      <c r="GJ111"/>
      <c r="GK111"/>
      <c r="GL111"/>
      <c r="GM111"/>
    </row>
    <row r="112" spans="1:195" s="7" customFormat="1">
      <c r="A112" s="1"/>
      <c r="B112" s="76">
        <f ca="1">IF(C112="", "", RAND())</f>
        <v>0.25196062889415227</v>
      </c>
      <c r="C112">
        <v>5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15.060416666666665</v>
      </c>
      <c r="AO112">
        <v>78.171482180905997</v>
      </c>
      <c r="AP112">
        <v>547.89812925376702</v>
      </c>
      <c r="AQ112">
        <v>211.82869074841528</v>
      </c>
      <c r="AR112">
        <v>72.653531402080091</v>
      </c>
      <c r="AS112">
        <v>572.2056843751833</v>
      </c>
      <c r="AT112" t="e">
        <v>#DIV/0!</v>
      </c>
      <c r="AU112" t="e">
        <v>#DIV/0!</v>
      </c>
      <c r="AV112"/>
      <c r="AW112"/>
      <c r="AX112" s="146"/>
      <c r="AY112" s="76">
        <f t="shared" ca="1" si="86"/>
        <v>0.33962265129187319</v>
      </c>
      <c r="AZ112">
        <v>5</v>
      </c>
      <c r="BA112" s="129">
        <f t="shared" si="127"/>
        <v>39714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88"/>
        <v>0.37400086408780364</v>
      </c>
      <c r="CL112" s="179">
        <f t="shared" si="89"/>
        <v>5</v>
      </c>
      <c r="CM112" s="180">
        <f t="shared" si="90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0.44272542388600877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0</v>
      </c>
      <c r="DJ112" s="161">
        <f t="shared" si="97"/>
        <v>0</v>
      </c>
      <c r="DK112" s="161">
        <f t="shared" si="98"/>
        <v>0</v>
      </c>
      <c r="DL112" s="161">
        <f t="shared" si="99"/>
        <v>0</v>
      </c>
      <c r="DM112" s="161">
        <f t="shared" si="100"/>
        <v>0</v>
      </c>
      <c r="DN112" s="161">
        <f t="shared" si="101"/>
        <v>0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0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0</v>
      </c>
      <c r="ET112" s="139">
        <f t="shared" si="58"/>
        <v>0</v>
      </c>
      <c r="EU112" s="139">
        <f t="shared" si="59"/>
        <v>0</v>
      </c>
      <c r="EV112" s="139">
        <f t="shared" si="60"/>
        <v>0</v>
      </c>
      <c r="EW112" s="139">
        <f t="shared" si="61"/>
        <v>0</v>
      </c>
      <c r="EX112" s="139">
        <f t="shared" si="62"/>
        <v>0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0</v>
      </c>
      <c r="FV112" s="149"/>
      <c r="FY112" s="211">
        <v>107</v>
      </c>
      <c r="FZ112">
        <v>12.762869134123846</v>
      </c>
      <c r="GA112">
        <v>19.981004508383233</v>
      </c>
      <c r="GB112">
        <v>53.551754768445242</v>
      </c>
      <c r="GC112">
        <v>1.0679277720264428</v>
      </c>
      <c r="GD112">
        <v>0</v>
      </c>
      <c r="GE112">
        <v>2.9556133035280256E-2</v>
      </c>
      <c r="GF112">
        <v>3.106726118223234</v>
      </c>
      <c r="GG112">
        <v>3.1495992467909466</v>
      </c>
      <c r="GH112">
        <v>4.0282766445317693</v>
      </c>
      <c r="GI112">
        <v>37.158429497971042</v>
      </c>
      <c r="GJ112"/>
      <c r="GK112"/>
      <c r="GL112"/>
      <c r="GM112"/>
    </row>
    <row r="113" spans="1:195" s="7" customFormat="1">
      <c r="A113" s="1"/>
      <c r="B113" s="76">
        <f ca="1">IF(C113="", "", RAND())</f>
        <v>6.3888193982384323E-2</v>
      </c>
      <c r="C113">
        <v>6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14.152737713675213</v>
      </c>
      <c r="AO113">
        <v>140.60791579078963</v>
      </c>
      <c r="AP113">
        <v>1050.4094022821803</v>
      </c>
      <c r="AQ113">
        <v>156.83571264508248</v>
      </c>
      <c r="AR113">
        <v>130.51154679510188</v>
      </c>
      <c r="AS113">
        <v>845.44919142774108</v>
      </c>
      <c r="AT113" t="e">
        <v>#DIV/0!</v>
      </c>
      <c r="AU113" t="e">
        <v>#DIV/0!</v>
      </c>
      <c r="AV113"/>
      <c r="AW113"/>
      <c r="AX113" s="146"/>
      <c r="AY113" s="76">
        <f t="shared" ca="1" si="86"/>
        <v>0.10738349018951365</v>
      </c>
      <c r="AZ113">
        <v>6</v>
      </c>
      <c r="BA113" s="129">
        <f t="shared" si="127"/>
        <v>39714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88"/>
        <v>0.78441423513638986</v>
      </c>
      <c r="CL113" s="179">
        <f t="shared" si="89"/>
        <v>6</v>
      </c>
      <c r="CM113" s="180">
        <f t="shared" si="90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0.68271742574269645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0</v>
      </c>
      <c r="DJ113" s="161">
        <f t="shared" si="97"/>
        <v>0</v>
      </c>
      <c r="DK113" s="161">
        <f t="shared" si="98"/>
        <v>0</v>
      </c>
      <c r="DL113" s="161">
        <f t="shared" si="99"/>
        <v>0</v>
      </c>
      <c r="DM113" s="161">
        <f t="shared" si="100"/>
        <v>0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0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0</v>
      </c>
      <c r="ET113" s="139">
        <f t="shared" si="58"/>
        <v>0</v>
      </c>
      <c r="EU113" s="139">
        <f t="shared" si="59"/>
        <v>0</v>
      </c>
      <c r="EV113" s="139">
        <f t="shared" si="60"/>
        <v>0</v>
      </c>
      <c r="EW113" s="139">
        <f t="shared" si="61"/>
        <v>0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0</v>
      </c>
      <c r="FV113" s="149"/>
      <c r="FY113" s="211">
        <v>108</v>
      </c>
      <c r="FZ113">
        <v>30.197765410395412</v>
      </c>
      <c r="GA113">
        <v>36.057081498975066</v>
      </c>
      <c r="GB113">
        <v>26.860618357361883</v>
      </c>
      <c r="GC113">
        <v>2.475022759741329</v>
      </c>
      <c r="GD113">
        <v>0.39415375363164218</v>
      </c>
      <c r="GE113">
        <v>0.46944603506092875</v>
      </c>
      <c r="GF113">
        <v>1.2436086124502226</v>
      </c>
      <c r="GG113">
        <v>12.000782795602948</v>
      </c>
      <c r="GH113">
        <v>24.391359984457242</v>
      </c>
      <c r="GI113">
        <v>33.924539333834232</v>
      </c>
      <c r="GJ113"/>
      <c r="GK113"/>
      <c r="GL113"/>
      <c r="GM113"/>
    </row>
    <row r="114" spans="1:195" s="7" customFormat="1">
      <c r="A114" s="1"/>
      <c r="B114" s="76">
        <f ca="1">IF(C114="", "", RAND())</f>
        <v>0.9697074798702241</v>
      </c>
      <c r="C114">
        <v>10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11.907077991452992</v>
      </c>
      <c r="AO114">
        <v>86.416047008158088</v>
      </c>
      <c r="AP114">
        <v>462.34351885273486</v>
      </c>
      <c r="AQ114">
        <v>148.71599194674698</v>
      </c>
      <c r="AR114">
        <v>80.142696534713934</v>
      </c>
      <c r="AS114">
        <v>554.5704739007449</v>
      </c>
      <c r="AT114" t="e">
        <v>#DIV/0!</v>
      </c>
      <c r="AU114" t="e">
        <v>#DIV/0!</v>
      </c>
      <c r="AV114"/>
      <c r="AW114"/>
      <c r="AX114" s="146"/>
      <c r="AY114" s="76">
        <f t="shared" ca="1" si="86"/>
        <v>0.60356442843501767</v>
      </c>
      <c r="AZ114">
        <v>7</v>
      </c>
      <c r="BA114" s="129">
        <f t="shared" si="127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88"/>
        <v>0.99145783391764919</v>
      </c>
      <c r="CL114" s="179">
        <f t="shared" si="89"/>
        <v>7</v>
      </c>
      <c r="CM114" s="180">
        <f t="shared" si="90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0.20056467075615902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1">
        <v>109</v>
      </c>
      <c r="FZ114">
        <v>43.675972303034577</v>
      </c>
      <c r="GA114">
        <v>47.154824685537506</v>
      </c>
      <c r="GB114">
        <v>32.149158501608476</v>
      </c>
      <c r="GC114">
        <v>3.485849002269874</v>
      </c>
      <c r="GD114">
        <v>0.37975485373359424</v>
      </c>
      <c r="GE114">
        <v>0.19243642834613378</v>
      </c>
      <c r="GF114">
        <v>0.68603789011536964</v>
      </c>
      <c r="GG114">
        <v>6.9506554481383152</v>
      </c>
      <c r="GH114">
        <v>15.194053003821082</v>
      </c>
      <c r="GI114">
        <v>39.51508505186591</v>
      </c>
      <c r="GJ114"/>
      <c r="GK114"/>
      <c r="GL114"/>
      <c r="GM114"/>
    </row>
    <row r="115" spans="1:195" s="7" customFormat="1">
      <c r="A115" s="1"/>
      <c r="B115" s="76">
        <f ca="1">IF(C115="", "", RAND())</f>
        <v>0.55895388217580333</v>
      </c>
      <c r="C115">
        <v>4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18.028472222222224</v>
      </c>
      <c r="AO115">
        <v>216.6479173174138</v>
      </c>
      <c r="AP115">
        <v>1430.5670433766056</v>
      </c>
      <c r="AQ115">
        <v>246.13992150407302</v>
      </c>
      <c r="AR115">
        <v>200.84156354145429</v>
      </c>
      <c r="AS115">
        <v>1487.5371197429772</v>
      </c>
      <c r="AT115" t="e">
        <v>#DIV/0!</v>
      </c>
      <c r="AU115" t="e">
        <v>#DIV/0!</v>
      </c>
      <c r="AV115"/>
      <c r="AW115"/>
      <c r="AX115" s="146"/>
      <c r="AY115" s="76">
        <f t="shared" ca="1" si="86"/>
        <v>0.90419688992429204</v>
      </c>
      <c r="AZ115">
        <v>8</v>
      </c>
      <c r="BA115" s="129">
        <f t="shared" si="127"/>
        <v>39714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1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88"/>
        <v>0.47404454959734998</v>
      </c>
      <c r="CL115" s="179">
        <f t="shared" si="89"/>
        <v>8</v>
      </c>
      <c r="CM115" s="180">
        <f t="shared" si="90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0.48373121241394568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0</v>
      </c>
      <c r="DI115" s="161">
        <f t="shared" si="96"/>
        <v>0</v>
      </c>
      <c r="DJ115" s="161">
        <f t="shared" si="97"/>
        <v>0</v>
      </c>
      <c r="DK115" s="161">
        <f t="shared" si="98"/>
        <v>0</v>
      </c>
      <c r="DL115" s="161">
        <f t="shared" si="99"/>
        <v>0</v>
      </c>
      <c r="DM115" s="161">
        <f t="shared" si="100"/>
        <v>0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10.416666666666666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10.416666666666666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</v>
      </c>
      <c r="ES115" s="139">
        <f t="shared" si="57"/>
        <v>0</v>
      </c>
      <c r="ET115" s="139">
        <f t="shared" si="58"/>
        <v>0</v>
      </c>
      <c r="EU115" s="139">
        <f t="shared" si="59"/>
        <v>0</v>
      </c>
      <c r="EV115" s="139">
        <f t="shared" si="60"/>
        <v>0</v>
      </c>
      <c r="EW115" s="139">
        <f t="shared" si="61"/>
        <v>0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970.95867150740207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970.95867150740207</v>
      </c>
      <c r="FV115" s="149"/>
      <c r="FY115" s="211">
        <v>110</v>
      </c>
      <c r="FZ115">
        <v>19.88302093438589</v>
      </c>
      <c r="GA115">
        <v>27.457447166492258</v>
      </c>
      <c r="GB115">
        <v>49.427545361073598</v>
      </c>
      <c r="GC115">
        <v>2.5463010489902573</v>
      </c>
      <c r="GD115">
        <v>0.25203181159065352</v>
      </c>
      <c r="GE115">
        <v>0.19704088690186838</v>
      </c>
      <c r="GF115">
        <v>1.0951296460528412</v>
      </c>
      <c r="GG115">
        <v>7.9821416912704741</v>
      </c>
      <c r="GH115">
        <v>16.840002426159433</v>
      </c>
      <c r="GI115">
        <v>46.012689572986929</v>
      </c>
      <c r="GJ115"/>
      <c r="GK115"/>
      <c r="GL115"/>
      <c r="GM115"/>
    </row>
    <row r="116" spans="1:195" s="7" customFormat="1">
      <c r="A116" s="1"/>
      <c r="B116" s="76">
        <f ca="1">IF(C116="", "", RAND())</f>
        <v>0.13459525686822471</v>
      </c>
      <c r="C116">
        <v>9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10.416666666666666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10.416666666666666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10.134682158119658</v>
      </c>
      <c r="AO116">
        <v>123.25602100649908</v>
      </c>
      <c r="AP116">
        <v>867.66455525475533</v>
      </c>
      <c r="AQ116">
        <v>147.4516111159291</v>
      </c>
      <c r="AR116">
        <v>114.32113892536503</v>
      </c>
      <c r="AS116">
        <v>548.19990599648747</v>
      </c>
      <c r="AT116" t="e">
        <v>#DIV/0!</v>
      </c>
      <c r="AU116" t="e">
        <v>#DIV/0!</v>
      </c>
      <c r="AV116"/>
      <c r="AW116"/>
      <c r="AX116" s="146"/>
      <c r="AY116" s="76">
        <f t="shared" ca="1" si="86"/>
        <v>0.9157428211868992</v>
      </c>
      <c r="AZ116">
        <v>9</v>
      </c>
      <c r="BA116" s="129">
        <f t="shared" si="127"/>
        <v>39714</v>
      </c>
      <c r="BB116">
        <v>0</v>
      </c>
      <c r="BC116">
        <v>0</v>
      </c>
      <c r="BD116">
        <v>0</v>
      </c>
      <c r="BE116">
        <v>0</v>
      </c>
      <c r="BF116">
        <v>1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1</v>
      </c>
      <c r="CE116">
        <v>0</v>
      </c>
      <c r="CF116">
        <v>0</v>
      </c>
      <c r="CG116" s="147"/>
      <c r="CH116" s="176"/>
      <c r="CJ116" s="146"/>
      <c r="CK116" s="76">
        <f t="shared" ca="1" si="88"/>
        <v>0.35487100418718054</v>
      </c>
      <c r="CL116" s="179">
        <f t="shared" si="89"/>
        <v>9</v>
      </c>
      <c r="CM116" s="180">
        <f t="shared" si="90"/>
        <v>39714</v>
      </c>
      <c r="CN116" s="221">
        <v>0</v>
      </c>
      <c r="CO116" s="221">
        <v>0</v>
      </c>
      <c r="CP116" s="221">
        <v>0</v>
      </c>
      <c r="CQ116" s="221">
        <v>0</v>
      </c>
      <c r="CR116" s="221">
        <v>0</v>
      </c>
      <c r="CS116" s="221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0.11377321064126167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0</v>
      </c>
      <c r="DI116" s="161">
        <f t="shared" si="96"/>
        <v>0</v>
      </c>
      <c r="DJ116" s="161">
        <f t="shared" si="97"/>
        <v>10.416666666666666</v>
      </c>
      <c r="DK116" s="161">
        <f t="shared" si="98"/>
        <v>0</v>
      </c>
      <c r="DL116" s="161">
        <f t="shared" si="99"/>
        <v>0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10.416666666666666</v>
      </c>
      <c r="EI116" s="161">
        <f t="shared" si="122"/>
        <v>0</v>
      </c>
      <c r="EJ116" s="161">
        <f t="shared" si="123"/>
        <v>0</v>
      </c>
      <c r="EK116" s="147">
        <f t="shared" si="53"/>
        <v>20.833333333333332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0</v>
      </c>
      <c r="ES116" s="139">
        <f t="shared" si="57"/>
        <v>0</v>
      </c>
      <c r="ET116" s="139">
        <f t="shared" si="58"/>
        <v>5.4413904293350654</v>
      </c>
      <c r="EU116" s="139">
        <f t="shared" si="59"/>
        <v>0</v>
      </c>
      <c r="EV116" s="139">
        <f t="shared" si="60"/>
        <v>0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1516.7135123059222</v>
      </c>
      <c r="FS116" s="139">
        <f t="shared" si="83"/>
        <v>0</v>
      </c>
      <c r="FT116" s="139">
        <f t="shared" si="84"/>
        <v>0</v>
      </c>
      <c r="FU116" s="148">
        <f t="shared" si="85"/>
        <v>1522.1549027352573</v>
      </c>
      <c r="FV116" s="149"/>
      <c r="FY116" s="211">
        <v>111</v>
      </c>
      <c r="FZ116">
        <v>29.857705517245233</v>
      </c>
      <c r="GA116">
        <v>30.217464829567149</v>
      </c>
      <c r="GB116">
        <v>73.783188136606128</v>
      </c>
      <c r="GC116">
        <v>3.4798392623717862</v>
      </c>
      <c r="GD116">
        <v>0.22337466777235199</v>
      </c>
      <c r="GE116">
        <v>0.12325774218593843</v>
      </c>
      <c r="GF116">
        <v>3.338693434526637</v>
      </c>
      <c r="GG116">
        <v>10.414787127509191</v>
      </c>
      <c r="GH116">
        <v>16.840002426159433</v>
      </c>
      <c r="GI116">
        <v>58.22660191530958</v>
      </c>
      <c r="GJ116"/>
      <c r="GK116"/>
      <c r="GL116"/>
      <c r="GM116"/>
    </row>
    <row r="117" spans="1:195" s="7" customFormat="1">
      <c r="A117" s="1"/>
      <c r="B117" s="76">
        <f ca="1">IF(C117="", "", RAND())</f>
        <v>0.12822083526116579</v>
      </c>
      <c r="C117">
        <v>8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10.416666666666666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11.065064102564103</v>
      </c>
      <c r="AO117">
        <v>144.65680252570994</v>
      </c>
      <c r="AP117">
        <v>1004.2364034179295</v>
      </c>
      <c r="AQ117">
        <v>128.11582551496758</v>
      </c>
      <c r="AR117">
        <v>134.21487479180109</v>
      </c>
      <c r="AS117">
        <v>787.80194537759689</v>
      </c>
      <c r="AT117" t="e">
        <v>#DIV/0!</v>
      </c>
      <c r="AU117" t="e">
        <v>#DIV/0!</v>
      </c>
      <c r="AV117"/>
      <c r="AW117"/>
      <c r="AX117" s="146"/>
      <c r="AY117" s="76">
        <f t="shared" ca="1" si="86"/>
        <v>0.75189410959296521</v>
      </c>
      <c r="AZ117">
        <v>10</v>
      </c>
      <c r="BA117" s="129">
        <f t="shared" si="127"/>
        <v>39714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88"/>
        <v>0.12471057430159638</v>
      </c>
      <c r="CL117" s="179">
        <f t="shared" si="89"/>
        <v>10</v>
      </c>
      <c r="CM117" s="180">
        <f t="shared" si="90"/>
        <v>39714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0.22066469799846011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0</v>
      </c>
      <c r="DH117" s="161">
        <f t="shared" si="95"/>
        <v>0</v>
      </c>
      <c r="DI117" s="161">
        <f t="shared" si="96"/>
        <v>0</v>
      </c>
      <c r="DJ117" s="161">
        <f t="shared" si="97"/>
        <v>0</v>
      </c>
      <c r="DK117" s="161">
        <f t="shared" si="98"/>
        <v>0</v>
      </c>
      <c r="DL117" s="161">
        <f t="shared" si="99"/>
        <v>0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0</v>
      </c>
      <c r="EL117" s="149"/>
      <c r="EN117" s="146"/>
      <c r="EO117" s="146"/>
      <c r="EP117" s="139">
        <f t="shared" si="54"/>
        <v>0</v>
      </c>
      <c r="EQ117" s="139">
        <f t="shared" si="55"/>
        <v>0</v>
      </c>
      <c r="ER117" s="139">
        <f t="shared" si="56"/>
        <v>0</v>
      </c>
      <c r="ES117" s="139">
        <f t="shared" si="57"/>
        <v>0</v>
      </c>
      <c r="ET117" s="139">
        <f t="shared" si="58"/>
        <v>0</v>
      </c>
      <c r="EU117" s="139">
        <f t="shared" si="59"/>
        <v>0</v>
      </c>
      <c r="EV117" s="139">
        <f t="shared" si="60"/>
        <v>0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0</v>
      </c>
      <c r="FV117" s="149"/>
      <c r="FY117" s="211">
        <v>112</v>
      </c>
      <c r="FZ117">
        <v>32.132454663745357</v>
      </c>
      <c r="GA117">
        <v>32.417914285447594</v>
      </c>
      <c r="GB117">
        <v>30.988581680415674</v>
      </c>
      <c r="GC117">
        <v>2.6065514710233186</v>
      </c>
      <c r="GD117">
        <v>0.34497244441380825</v>
      </c>
      <c r="GE117">
        <v>0.79938233274928749</v>
      </c>
      <c r="GF117">
        <v>2.803509307794481</v>
      </c>
      <c r="GG117">
        <v>6.8942986472219117</v>
      </c>
      <c r="GH117">
        <v>19.222329648352854</v>
      </c>
      <c r="GI117">
        <v>39.638742085730904</v>
      </c>
      <c r="GJ117"/>
      <c r="GK117"/>
      <c r="GL117"/>
      <c r="GM117"/>
    </row>
    <row r="118" spans="1:195" s="7" customFormat="1">
      <c r="A118" s="128"/>
      <c r="B118" s="76">
        <f ca="1">IF(C118="", "", RAND())</f>
        <v>8.7909833082549405E-2</v>
      </c>
      <c r="C118">
        <v>7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10.416666666666666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15.657037927350425</v>
      </c>
      <c r="AO118">
        <v>101.42414899717214</v>
      </c>
      <c r="AP118">
        <v>605.8378357245856</v>
      </c>
      <c r="AQ118">
        <v>196.15282527445061</v>
      </c>
      <c r="AR118">
        <v>93.999817640953978</v>
      </c>
      <c r="AS118">
        <v>924.53773435491189</v>
      </c>
      <c r="AT118" t="e">
        <v>#DIV/0!</v>
      </c>
      <c r="AU118" t="e">
        <v>#DIV/0!</v>
      </c>
      <c r="AV118"/>
      <c r="AW118"/>
      <c r="AX118" s="128"/>
      <c r="AY118" s="76">
        <f t="shared" ca="1" si="86"/>
        <v>0.7566862316785532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1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88"/>
        <v>0.96656421628939437</v>
      </c>
      <c r="CL118" s="179">
        <f t="shared" si="89"/>
        <v>1</v>
      </c>
      <c r="CM118" s="180">
        <f t="shared" si="90"/>
        <v>39747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0.66651496773720709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0</v>
      </c>
      <c r="DH118" s="161">
        <f t="shared" si="95"/>
        <v>0</v>
      </c>
      <c r="DI118" s="161">
        <f t="shared" si="96"/>
        <v>0</v>
      </c>
      <c r="DJ118" s="161">
        <f t="shared" si="97"/>
        <v>0</v>
      </c>
      <c r="DK118" s="161">
        <f t="shared" si="98"/>
        <v>10.416666666666666</v>
      </c>
      <c r="DL118" s="161">
        <f t="shared" si="99"/>
        <v>0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10.416666666666666</v>
      </c>
      <c r="EL118" s="149"/>
      <c r="EN118" s="146"/>
      <c r="EO118" s="146"/>
      <c r="EP118" s="139">
        <f t="shared" si="54"/>
        <v>0</v>
      </c>
      <c r="EQ118" s="139">
        <f t="shared" si="55"/>
        <v>0</v>
      </c>
      <c r="ER118" s="139">
        <f t="shared" si="56"/>
        <v>0</v>
      </c>
      <c r="ES118" s="139">
        <f t="shared" si="57"/>
        <v>0</v>
      </c>
      <c r="ET118" s="139">
        <f t="shared" si="58"/>
        <v>0</v>
      </c>
      <c r="EU118" s="139">
        <f t="shared" si="59"/>
        <v>10.377860513211742</v>
      </c>
      <c r="EV118" s="139">
        <f t="shared" si="60"/>
        <v>0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10.377860513211742</v>
      </c>
      <c r="FV118" s="149"/>
      <c r="FY118" s="211">
        <v>113</v>
      </c>
      <c r="FZ118">
        <v>28.464978510796396</v>
      </c>
      <c r="GA118">
        <v>38.528787370025839</v>
      </c>
      <c r="GB118">
        <v>65.929709837724104</v>
      </c>
      <c r="GC118">
        <v>3.0713037646104269</v>
      </c>
      <c r="GD118">
        <v>0.32173728620801967</v>
      </c>
      <c r="GE118">
        <v>6.4145476115377922E-2</v>
      </c>
      <c r="GF118">
        <v>2.2984799379613374</v>
      </c>
      <c r="GG118">
        <v>6.9834038761362205</v>
      </c>
      <c r="GH118">
        <v>9.6111648241764271</v>
      </c>
      <c r="GI118">
        <v>53.199478605474255</v>
      </c>
      <c r="GJ118"/>
      <c r="GK118"/>
      <c r="GL118"/>
      <c r="GM118"/>
    </row>
    <row r="119" spans="1:195" s="7" customFormat="1">
      <c r="A119" s="1"/>
      <c r="B119" s="76">
        <f ca="1">IF(C119="", "", RAND())</f>
        <v>0.79554739451482348</v>
      </c>
      <c r="C119">
        <v>8</v>
      </c>
      <c r="D119">
        <v>39747</v>
      </c>
      <c r="E119">
        <v>0</v>
      </c>
      <c r="F119">
        <v>0</v>
      </c>
      <c r="G119">
        <v>0</v>
      </c>
      <c r="H119">
        <v>10.416666666666666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14.270793269230769</v>
      </c>
      <c r="AO119">
        <v>94.186347503915783</v>
      </c>
      <c r="AP119">
        <v>487.37085260460907</v>
      </c>
      <c r="AQ119">
        <v>154.41110014303982</v>
      </c>
      <c r="AR119">
        <v>87.351404234012179</v>
      </c>
      <c r="AS119">
        <v>831.30622529495588</v>
      </c>
      <c r="AT119" t="e">
        <v>#DIV/0!</v>
      </c>
      <c r="AU119" t="e">
        <v>#DIV/0!</v>
      </c>
      <c r="AV119"/>
      <c r="AW119"/>
      <c r="AX119" s="146"/>
      <c r="AY119" s="76">
        <f t="shared" ca="1" si="86"/>
        <v>0.49922762792885234</v>
      </c>
      <c r="AZ119">
        <v>2</v>
      </c>
      <c r="BA119" s="129">
        <f t="shared" ref="BA119:BA127" si="129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1</v>
      </c>
      <c r="BI119">
        <v>0</v>
      </c>
      <c r="BJ119">
        <v>1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1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88"/>
        <v>0.75002847680948292</v>
      </c>
      <c r="CL119" s="179">
        <f t="shared" si="89"/>
        <v>2</v>
      </c>
      <c r="CM119" s="180">
        <f t="shared" si="90"/>
        <v>39747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0.73550608847215582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0</v>
      </c>
      <c r="DI119" s="161">
        <f t="shared" si="96"/>
        <v>0</v>
      </c>
      <c r="DJ119" s="161">
        <f t="shared" si="97"/>
        <v>0</v>
      </c>
      <c r="DK119" s="161">
        <f t="shared" si="98"/>
        <v>0</v>
      </c>
      <c r="DL119" s="161">
        <f t="shared" si="99"/>
        <v>26.041666666666668</v>
      </c>
      <c r="DM119" s="161">
        <f t="shared" si="100"/>
        <v>0</v>
      </c>
      <c r="DN119" s="161">
        <f t="shared" si="101"/>
        <v>26.041666666666668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26.041666666666668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78.125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0</v>
      </c>
      <c r="ES119" s="139">
        <f t="shared" si="57"/>
        <v>0</v>
      </c>
      <c r="ET119" s="139">
        <f t="shared" si="58"/>
        <v>0</v>
      </c>
      <c r="EU119" s="139">
        <f t="shared" si="59"/>
        <v>0</v>
      </c>
      <c r="EV119" s="139">
        <f t="shared" si="60"/>
        <v>43.969308638479248</v>
      </c>
      <c r="EW119" s="139">
        <f t="shared" si="61"/>
        <v>0</v>
      </c>
      <c r="EX119" s="139">
        <f t="shared" si="62"/>
        <v>101.07539688327124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510.326365539515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655.37107106126541</v>
      </c>
      <c r="FV119" s="149"/>
      <c r="FY119" s="211">
        <v>114</v>
      </c>
      <c r="FZ119">
        <v>19.612039810935336</v>
      </c>
      <c r="GA119">
        <v>23.073704318907922</v>
      </c>
      <c r="GB119">
        <v>67.348774099342336</v>
      </c>
      <c r="GC119">
        <v>1.742305058455361</v>
      </c>
      <c r="GD119">
        <v>0.39686474643789854</v>
      </c>
      <c r="GE119">
        <v>0.31112995514107378</v>
      </c>
      <c r="GF119">
        <v>1.5573766703992418</v>
      </c>
      <c r="GG119">
        <v>0</v>
      </c>
      <c r="GH119">
        <v>0</v>
      </c>
      <c r="GI119">
        <v>52.486250348888419</v>
      </c>
      <c r="GJ119"/>
      <c r="GK119"/>
      <c r="GL119"/>
      <c r="GM119"/>
    </row>
    <row r="120" spans="1:195" s="7" customFormat="1">
      <c r="A120" s="1"/>
      <c r="B120" s="76">
        <f ca="1">IF(C120="", "", RAND())</f>
        <v>0.61738794164465638</v>
      </c>
      <c r="C120">
        <v>6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10.416666666666666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12.484508547008545</v>
      </c>
      <c r="AO120">
        <v>152.05531293667804</v>
      </c>
      <c r="AP120">
        <v>1055.7141179862042</v>
      </c>
      <c r="AQ120">
        <v>105.44025729429785</v>
      </c>
      <c r="AR120">
        <v>140.95097789950339</v>
      </c>
      <c r="AS120">
        <v>869.89226337956393</v>
      </c>
      <c r="AT120" t="e">
        <v>#DIV/0!</v>
      </c>
      <c r="AU120" t="e">
        <v>#DIV/0!</v>
      </c>
      <c r="AV120"/>
      <c r="AW120"/>
      <c r="AX120" s="146"/>
      <c r="AY120" s="76">
        <f t="shared" ca="1" si="86"/>
        <v>0.72317348626536049</v>
      </c>
      <c r="AZ120">
        <v>3</v>
      </c>
      <c r="BA120" s="129">
        <f t="shared" si="129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88"/>
        <v>0.97715170525109429</v>
      </c>
      <c r="CL120" s="179">
        <f t="shared" si="89"/>
        <v>3</v>
      </c>
      <c r="CM120" s="180">
        <f t="shared" si="90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0.24793293065134403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0</v>
      </c>
      <c r="DJ120" s="161">
        <f t="shared" si="97"/>
        <v>0</v>
      </c>
      <c r="DK120" s="161">
        <f t="shared" si="98"/>
        <v>0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51" si="130">IF(DF120="", "", SUM(DF120:EJ120))</f>
        <v>0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0</v>
      </c>
      <c r="ET120" s="139">
        <f t="shared" ref="ET120:ET151" si="135">IF(DJ120="", "", DJ120*K$36)</f>
        <v>0</v>
      </c>
      <c r="EU120" s="139">
        <f t="shared" ref="EU120:EU151" si="136">IF(DK120="", "", DK120*L$36)</f>
        <v>0</v>
      </c>
      <c r="EV120" s="139">
        <f t="shared" ref="EV120:EV151" si="137">IF(DL120="", "", DL120*M$36)</f>
        <v>0</v>
      </c>
      <c r="EW120" s="139">
        <f t="shared" ref="EW120:EW151" si="138">IF(DM120="", "", DM120*N$36)</f>
        <v>0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0</v>
      </c>
      <c r="FV120" s="149"/>
      <c r="FY120" s="211">
        <v>115</v>
      </c>
      <c r="FZ120">
        <v>18.23221095637145</v>
      </c>
      <c r="GA120">
        <v>17.585690773213326</v>
      </c>
      <c r="GB120">
        <v>41.385612619420435</v>
      </c>
      <c r="GC120">
        <v>1.2304560532525306</v>
      </c>
      <c r="GD120">
        <v>0.16806809305303375</v>
      </c>
      <c r="GE120">
        <v>0.31616316518589116</v>
      </c>
      <c r="GF120">
        <v>1.5897569963249023</v>
      </c>
      <c r="GG120">
        <v>2.4326454362387158</v>
      </c>
      <c r="GH120">
        <v>0</v>
      </c>
      <c r="GI120">
        <v>34.982379085770134</v>
      </c>
      <c r="GJ120"/>
      <c r="GK120"/>
      <c r="GL120"/>
      <c r="GM120"/>
    </row>
    <row r="121" spans="1:195" s="7" customFormat="1">
      <c r="A121" s="1"/>
      <c r="B121" s="76">
        <f ca="1">IF(C121="", "", RAND())</f>
        <v>0.31899180708212693</v>
      </c>
      <c r="C121">
        <v>2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26.041666666666668</v>
      </c>
      <c r="L121">
        <v>0</v>
      </c>
      <c r="M121">
        <v>26.041666666666668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26.041666666666668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14.797395833333329</v>
      </c>
      <c r="AO121">
        <v>111.08591802885346</v>
      </c>
      <c r="AP121">
        <v>554.94053239888285</v>
      </c>
      <c r="AQ121">
        <v>157.18891937903282</v>
      </c>
      <c r="AR121">
        <v>102.96593037414175</v>
      </c>
      <c r="AS121">
        <v>907.89264320005873</v>
      </c>
      <c r="AT121" t="e">
        <v>#DIV/0!</v>
      </c>
      <c r="AU121" t="e">
        <v>#DIV/0!</v>
      </c>
      <c r="AV121"/>
      <c r="AW121"/>
      <c r="AX121" s="146"/>
      <c r="AY121" s="76">
        <f t="shared" ca="1" si="86"/>
        <v>0.13085055836394233</v>
      </c>
      <c r="AZ121">
        <v>4</v>
      </c>
      <c r="BA121" s="129">
        <f t="shared" si="129"/>
        <v>39747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2</v>
      </c>
      <c r="BH121">
        <v>1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1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88"/>
        <v>0.18468294802432283</v>
      </c>
      <c r="CL121" s="179">
        <f t="shared" si="89"/>
        <v>4</v>
      </c>
      <c r="CM121" s="180">
        <f t="shared" si="90"/>
        <v>39747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0.72988303570233737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0</v>
      </c>
      <c r="DH121" s="161">
        <f t="shared" si="95"/>
        <v>0</v>
      </c>
      <c r="DI121" s="161">
        <f t="shared" si="96"/>
        <v>0</v>
      </c>
      <c r="DJ121" s="161">
        <f t="shared" si="97"/>
        <v>0</v>
      </c>
      <c r="DK121" s="161">
        <f t="shared" si="98"/>
        <v>56.818181818181813</v>
      </c>
      <c r="DL121" s="161">
        <f t="shared" si="99"/>
        <v>28.409090909090907</v>
      </c>
      <c r="DM121" s="161">
        <f t="shared" si="100"/>
        <v>0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28.409090909090907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113.63636363636363</v>
      </c>
      <c r="EL121" s="149"/>
      <c r="EN121" s="146"/>
      <c r="EO121" s="146"/>
      <c r="EP121" s="139">
        <f t="shared" si="131"/>
        <v>0</v>
      </c>
      <c r="EQ121" s="139">
        <f t="shared" si="132"/>
        <v>0</v>
      </c>
      <c r="ER121" s="139">
        <f t="shared" si="133"/>
        <v>0</v>
      </c>
      <c r="ES121" s="139">
        <f t="shared" si="134"/>
        <v>0</v>
      </c>
      <c r="ET121" s="139">
        <f t="shared" si="135"/>
        <v>0</v>
      </c>
      <c r="EU121" s="139">
        <f t="shared" si="136"/>
        <v>56.606511890245869</v>
      </c>
      <c r="EV121" s="139">
        <f t="shared" si="137"/>
        <v>47.966518514704624</v>
      </c>
      <c r="EW121" s="139">
        <f t="shared" si="138"/>
        <v>0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2058.6971986765002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2163.2702290814505</v>
      </c>
      <c r="FV121" s="149"/>
      <c r="FY121" s="211">
        <v>116</v>
      </c>
      <c r="FZ121">
        <v>21.615807833984906</v>
      </c>
      <c r="GA121">
        <v>22.938076111322765</v>
      </c>
      <c r="GB121">
        <v>32.530416705934705</v>
      </c>
      <c r="GC121">
        <v>1.7825837777601916</v>
      </c>
      <c r="GD121">
        <v>0.44333506284947599</v>
      </c>
      <c r="GE121">
        <v>0.59270377724686729</v>
      </c>
      <c r="GF121">
        <v>3.5131446212565045</v>
      </c>
      <c r="GG121">
        <v>7.6676092586905469</v>
      </c>
      <c r="GH121">
        <v>15.194053003821082</v>
      </c>
      <c r="GI121">
        <v>36.310746502799944</v>
      </c>
      <c r="GJ121"/>
      <c r="GK121"/>
      <c r="GL121"/>
      <c r="GM121"/>
    </row>
    <row r="122" spans="1:195" s="7" customFormat="1">
      <c r="A122" s="1"/>
      <c r="B122" s="76">
        <f ca="1">IF(C122="", "", RAND())</f>
        <v>0.54915043429090349</v>
      </c>
      <c r="C122">
        <v>4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56.818181818181813</v>
      </c>
      <c r="K122">
        <v>28.409090909090907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28.409090909090907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11.860162927350427</v>
      </c>
      <c r="AO122">
        <v>97.846377496928071</v>
      </c>
      <c r="AP122">
        <v>729.82839208415862</v>
      </c>
      <c r="AQ122">
        <v>234.38202629200654</v>
      </c>
      <c r="AR122">
        <v>90.884868730964442</v>
      </c>
      <c r="AS122">
        <v>519.76234486265548</v>
      </c>
      <c r="AT122" t="e">
        <v>#DIV/0!</v>
      </c>
      <c r="AU122" t="e">
        <v>#DIV/0!</v>
      </c>
      <c r="AV122"/>
      <c r="AW122"/>
      <c r="AX122" s="146"/>
      <c r="AY122" s="76">
        <f t="shared" ca="1" si="86"/>
        <v>0.50264855225792715</v>
      </c>
      <c r="AZ122">
        <v>5</v>
      </c>
      <c r="BA122" s="129">
        <f t="shared" si="129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1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88"/>
        <v>0.15347058871274566</v>
      </c>
      <c r="CL122" s="179">
        <f t="shared" si="89"/>
        <v>5</v>
      </c>
      <c r="CM122" s="180">
        <f t="shared" si="90"/>
        <v>39747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1</v>
      </c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0.68411124296432013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0</v>
      </c>
      <c r="DI122" s="161">
        <f t="shared" si="96"/>
        <v>0</v>
      </c>
      <c r="DJ122" s="161">
        <f t="shared" si="97"/>
        <v>0</v>
      </c>
      <c r="DK122" s="161">
        <f t="shared" si="98"/>
        <v>0</v>
      </c>
      <c r="DL122" s="161">
        <f t="shared" si="99"/>
        <v>0</v>
      </c>
      <c r="DM122" s="161">
        <f t="shared" si="100"/>
        <v>110.47979797979797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10.416666666666666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120.89646464646464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0</v>
      </c>
      <c r="ES122" s="139">
        <f t="shared" si="134"/>
        <v>0</v>
      </c>
      <c r="ET122" s="139">
        <f t="shared" si="135"/>
        <v>0</v>
      </c>
      <c r="EU122" s="139">
        <f t="shared" si="136"/>
        <v>0</v>
      </c>
      <c r="EV122" s="139">
        <f t="shared" si="137"/>
        <v>0</v>
      </c>
      <c r="EW122" s="139">
        <f t="shared" si="138"/>
        <v>291.38456565936059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249.23161243270181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540.61617809206246</v>
      </c>
      <c r="FV122" s="149"/>
      <c r="FY122" s="211">
        <v>117</v>
      </c>
      <c r="FZ122">
        <v>53.124323329244589</v>
      </c>
      <c r="GA122">
        <v>58.719946622465386</v>
      </c>
      <c r="GB122">
        <v>41.794616644293257</v>
      </c>
      <c r="GC122">
        <v>3.4866572546826786</v>
      </c>
      <c r="GD122">
        <v>0.54511195398037171</v>
      </c>
      <c r="GE122">
        <v>0.43988990202564854</v>
      </c>
      <c r="GF122">
        <v>0.71215933840703993</v>
      </c>
      <c r="GG122">
        <v>8.9402887777263089</v>
      </c>
      <c r="GH122">
        <v>14.780195160280819</v>
      </c>
      <c r="GI122">
        <v>43.932152122747361</v>
      </c>
      <c r="GJ122"/>
      <c r="GK122"/>
      <c r="GL122"/>
      <c r="GM122"/>
    </row>
    <row r="123" spans="1:195" s="7" customFormat="1">
      <c r="A123" s="1"/>
      <c r="B123" s="76">
        <f ca="1">IF(C123="", "", RAND())</f>
        <v>0.3319744220560592</v>
      </c>
      <c r="C123">
        <v>1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10.416666666666666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7.6477029914529906</v>
      </c>
      <c r="AO123">
        <v>105.6224166628746</v>
      </c>
      <c r="AP123">
        <v>941.52692926082921</v>
      </c>
      <c r="AQ123">
        <v>134.83614382353105</v>
      </c>
      <c r="AR123">
        <v>97.943478425263677</v>
      </c>
      <c r="AS123">
        <v>434.80613729991444</v>
      </c>
      <c r="AT123" t="e">
        <v>#DIV/0!</v>
      </c>
      <c r="AU123" t="e">
        <v>#DIV/0!</v>
      </c>
      <c r="AV123"/>
      <c r="AW123"/>
      <c r="AX123" s="146"/>
      <c r="AY123" s="76">
        <f t="shared" ca="1" si="86"/>
        <v>0.88728260673950166</v>
      </c>
      <c r="AZ123">
        <v>6</v>
      </c>
      <c r="BA123" s="129">
        <f t="shared" si="129"/>
        <v>39747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1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88"/>
        <v>0.2915300159884211</v>
      </c>
      <c r="CL123" s="179">
        <f t="shared" si="89"/>
        <v>6</v>
      </c>
      <c r="CM123" s="180">
        <f t="shared" si="90"/>
        <v>39747</v>
      </c>
      <c r="CN123" s="219">
        <v>0</v>
      </c>
      <c r="CO123" s="219">
        <v>0</v>
      </c>
      <c r="CP123" s="219">
        <v>0</v>
      </c>
      <c r="CQ123" s="219">
        <v>0</v>
      </c>
      <c r="CR123" s="219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0.80238849050768812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0</v>
      </c>
      <c r="DH123" s="161">
        <f t="shared" si="95"/>
        <v>0</v>
      </c>
      <c r="DI123" s="161">
        <f t="shared" si="96"/>
        <v>0</v>
      </c>
      <c r="DJ123" s="161">
        <f t="shared" si="97"/>
        <v>0</v>
      </c>
      <c r="DK123" s="161">
        <f t="shared" si="98"/>
        <v>10.416666666666666</v>
      </c>
      <c r="DL123" s="161">
        <f t="shared" si="99"/>
        <v>0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10.416666666666666</v>
      </c>
      <c r="EL123" s="149"/>
      <c r="EN123" s="146"/>
      <c r="EO123" s="146"/>
      <c r="EP123" s="139">
        <f t="shared" si="131"/>
        <v>0</v>
      </c>
      <c r="EQ123" s="139">
        <f t="shared" si="132"/>
        <v>0</v>
      </c>
      <c r="ER123" s="139">
        <f t="shared" si="133"/>
        <v>0</v>
      </c>
      <c r="ES123" s="139">
        <f t="shared" si="134"/>
        <v>0</v>
      </c>
      <c r="ET123" s="139">
        <f t="shared" si="135"/>
        <v>0</v>
      </c>
      <c r="EU123" s="139">
        <f t="shared" si="136"/>
        <v>10.377860513211742</v>
      </c>
      <c r="EV123" s="139">
        <f t="shared" si="137"/>
        <v>0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10.377860513211742</v>
      </c>
      <c r="FV123" s="149"/>
      <c r="FY123" s="211">
        <v>118</v>
      </c>
      <c r="FZ123">
        <v>35.51605154135882</v>
      </c>
      <c r="GA123">
        <v>36.146675126370354</v>
      </c>
      <c r="GB123">
        <v>39.578324065506933</v>
      </c>
      <c r="GC123">
        <v>2.9648821370271881</v>
      </c>
      <c r="GD123">
        <v>0.35651969552780555</v>
      </c>
      <c r="GE123">
        <v>0.19704088690186838</v>
      </c>
      <c r="GF123">
        <v>1.3684901555009499</v>
      </c>
      <c r="GG123">
        <v>5.8797947598496716</v>
      </c>
      <c r="GH123">
        <v>9.1973069806361583</v>
      </c>
      <c r="GI123">
        <v>42.614380178928201</v>
      </c>
      <c r="GJ123"/>
      <c r="GK123"/>
      <c r="GL123"/>
      <c r="GM123"/>
    </row>
    <row r="124" spans="1:195" s="7" customFormat="1">
      <c r="A124" s="1"/>
      <c r="B124" s="76">
        <f ca="1">IF(C124="", "", RAND())</f>
        <v>0.96893591156366909</v>
      </c>
      <c r="C124">
        <v>5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110.47979797979797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10.416666666666666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13.475480769230767</v>
      </c>
      <c r="AO124">
        <v>133.2434329770312</v>
      </c>
      <c r="AP124">
        <v>1068.2242441999324</v>
      </c>
      <c r="AQ124">
        <v>168.01437854151089</v>
      </c>
      <c r="AR124">
        <v>123.65567582151716</v>
      </c>
      <c r="AS124">
        <v>1004.6879897303481</v>
      </c>
      <c r="AT124" t="e">
        <v>#DIV/0!</v>
      </c>
      <c r="AU124" t="e">
        <v>#DIV/0!</v>
      </c>
      <c r="AV124"/>
      <c r="AW124"/>
      <c r="AX124" s="146"/>
      <c r="AY124" s="76">
        <f t="shared" ca="1" si="86"/>
        <v>0.52695203841297178</v>
      </c>
      <c r="AZ124">
        <v>7</v>
      </c>
      <c r="BA124" s="129">
        <f t="shared" si="129"/>
        <v>39747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1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88"/>
        <v>0.15892444087755764</v>
      </c>
      <c r="CL124" s="179">
        <f t="shared" si="89"/>
        <v>7</v>
      </c>
      <c r="CM124" s="180">
        <f t="shared" si="90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0.74832321923558265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0</v>
      </c>
      <c r="DH124" s="161">
        <f t="shared" si="95"/>
        <v>0</v>
      </c>
      <c r="DI124" s="161">
        <f t="shared" si="96"/>
        <v>0</v>
      </c>
      <c r="DJ124" s="161">
        <f t="shared" si="97"/>
        <v>0</v>
      </c>
      <c r="DK124" s="161">
        <f t="shared" si="98"/>
        <v>0</v>
      </c>
      <c r="DL124" s="161">
        <f t="shared" si="99"/>
        <v>0</v>
      </c>
      <c r="DM124" s="161">
        <f t="shared" si="100"/>
        <v>10.416666666666666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10.416666666666666</v>
      </c>
      <c r="EL124" s="149"/>
      <c r="EN124" s="146"/>
      <c r="EO124" s="146"/>
      <c r="EP124" s="139">
        <f t="shared" si="131"/>
        <v>0</v>
      </c>
      <c r="EQ124" s="139">
        <f t="shared" si="132"/>
        <v>0</v>
      </c>
      <c r="ER124" s="139">
        <f t="shared" si="133"/>
        <v>0</v>
      </c>
      <c r="ES124" s="139">
        <f t="shared" si="134"/>
        <v>0</v>
      </c>
      <c r="ET124" s="139">
        <f t="shared" si="135"/>
        <v>0</v>
      </c>
      <c r="EU124" s="139">
        <f t="shared" si="136"/>
        <v>0</v>
      </c>
      <c r="EV124" s="139">
        <f t="shared" si="137"/>
        <v>0</v>
      </c>
      <c r="EW124" s="139">
        <f t="shared" si="138"/>
        <v>27.473401905025426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27.473401905025426</v>
      </c>
      <c r="FV124" s="149"/>
      <c r="FY124" s="211">
        <v>119</v>
      </c>
      <c r="FZ124">
        <v>56.167860313707855</v>
      </c>
      <c r="GA124">
        <v>54.561425609861487</v>
      </c>
      <c r="GB124">
        <v>31.644835061294621</v>
      </c>
      <c r="GC124">
        <v>2.3666146437227336</v>
      </c>
      <c r="GD124">
        <v>0.54782294678662813</v>
      </c>
      <c r="GE124">
        <v>0.68687438105134435</v>
      </c>
      <c r="GF124">
        <v>3.1993765633074851</v>
      </c>
      <c r="GG124">
        <v>7.426415982786942</v>
      </c>
      <c r="GH124">
        <v>17.253860269699697</v>
      </c>
      <c r="GI124">
        <v>46.651996315684379</v>
      </c>
      <c r="GJ124"/>
      <c r="GK124"/>
      <c r="GL124"/>
      <c r="GM124"/>
    </row>
    <row r="125" spans="1:195" s="7" customFormat="1">
      <c r="A125" s="1"/>
      <c r="B125" s="76">
        <f ca="1">IF(C125="", "", RAND())</f>
        <v>0.62595863385693806</v>
      </c>
      <c r="C125">
        <v>3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9.9254407051282065</v>
      </c>
      <c r="AO125">
        <v>63.098470289713688</v>
      </c>
      <c r="AP125">
        <v>528.24074973502468</v>
      </c>
      <c r="AQ125">
        <v>189.38382716847082</v>
      </c>
      <c r="AR125">
        <v>58.569612864089351</v>
      </c>
      <c r="AS125">
        <v>350.5268948255266</v>
      </c>
      <c r="AT125" t="e">
        <v>#DIV/0!</v>
      </c>
      <c r="AU125" t="e">
        <v>#DIV/0!</v>
      </c>
      <c r="AV125"/>
      <c r="AW125"/>
      <c r="AX125" s="146"/>
      <c r="AY125" s="76">
        <f t="shared" ca="1" si="86"/>
        <v>0.3638217672848012</v>
      </c>
      <c r="AZ125">
        <v>8</v>
      </c>
      <c r="BA125" s="129">
        <f t="shared" si="129"/>
        <v>39747</v>
      </c>
      <c r="BB125">
        <v>0</v>
      </c>
      <c r="BC125">
        <v>0</v>
      </c>
      <c r="BD125">
        <v>0</v>
      </c>
      <c r="BE125">
        <v>1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88"/>
        <v>0.81015279061358481</v>
      </c>
      <c r="CL125" s="179">
        <f t="shared" si="89"/>
        <v>8</v>
      </c>
      <c r="CM125" s="180">
        <f t="shared" si="90"/>
        <v>39747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9.5976595202764692E-2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0</v>
      </c>
      <c r="DH125" s="161">
        <f t="shared" si="95"/>
        <v>0</v>
      </c>
      <c r="DI125" s="161">
        <f t="shared" si="96"/>
        <v>10.416666666666666</v>
      </c>
      <c r="DJ125" s="161">
        <f t="shared" si="97"/>
        <v>0</v>
      </c>
      <c r="DK125" s="161">
        <f t="shared" si="98"/>
        <v>0</v>
      </c>
      <c r="DL125" s="161">
        <f t="shared" si="99"/>
        <v>0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10.416666666666666</v>
      </c>
      <c r="EL125" s="149"/>
      <c r="EN125" s="146"/>
      <c r="EO125" s="146"/>
      <c r="EP125" s="139">
        <f t="shared" si="131"/>
        <v>0</v>
      </c>
      <c r="EQ125" s="139">
        <f t="shared" si="132"/>
        <v>0</v>
      </c>
      <c r="ER125" s="139">
        <f t="shared" si="133"/>
        <v>0</v>
      </c>
      <c r="ES125" s="139">
        <f t="shared" si="134"/>
        <v>2.3670861810832911</v>
      </c>
      <c r="ET125" s="139">
        <f t="shared" si="135"/>
        <v>0</v>
      </c>
      <c r="EU125" s="139">
        <f t="shared" si="136"/>
        <v>0</v>
      </c>
      <c r="EV125" s="139">
        <f t="shared" si="137"/>
        <v>0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2.3670861810832911</v>
      </c>
      <c r="FV125" s="149"/>
      <c r="FY125" s="211">
        <v>120</v>
      </c>
      <c r="FZ125">
        <v>36.857931885340918</v>
      </c>
      <c r="GA125">
        <v>39.227938357467565</v>
      </c>
      <c r="GB125">
        <v>18.260566378941206</v>
      </c>
      <c r="GC125">
        <v>2.4049541432683372</v>
      </c>
      <c r="GD125">
        <v>0.25203181159065352</v>
      </c>
      <c r="GE125">
        <v>0.35488797216790446</v>
      </c>
      <c r="GF125">
        <v>1.6822582134499693</v>
      </c>
      <c r="GG125">
        <v>7.1524742788854336</v>
      </c>
      <c r="GH125">
        <v>20.868279070691202</v>
      </c>
      <c r="GI125">
        <v>27.345367297528384</v>
      </c>
      <c r="GJ125"/>
      <c r="GK125"/>
      <c r="GL125"/>
      <c r="GM125"/>
    </row>
    <row r="126" spans="1:195" s="7" customFormat="1">
      <c r="A126" s="1"/>
      <c r="B126" s="76">
        <f ca="1">IF(C126="", "", RAND())</f>
        <v>0.14820774754870958</v>
      </c>
      <c r="C126">
        <v>9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13.131036324786328</v>
      </c>
      <c r="AO126">
        <v>117.11514450662773</v>
      </c>
      <c r="AP126">
        <v>684.62801310511611</v>
      </c>
      <c r="AQ126">
        <v>171.6933505459042</v>
      </c>
      <c r="AR126">
        <v>108.71025681066412</v>
      </c>
      <c r="AS126">
        <v>878.29580098609904</v>
      </c>
      <c r="AT126" t="e">
        <v>#DIV/0!</v>
      </c>
      <c r="AU126" t="e">
        <v>#DIV/0!</v>
      </c>
      <c r="AV126"/>
      <c r="AW126"/>
      <c r="AX126" s="146"/>
      <c r="AY126" s="76">
        <f t="shared" ca="1" si="86"/>
        <v>0.32089489029070384</v>
      </c>
      <c r="AZ126">
        <v>9</v>
      </c>
      <c r="BA126" s="129">
        <f t="shared" si="129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88"/>
        <v>0.72051480217022079</v>
      </c>
      <c r="CL126" s="179">
        <f t="shared" si="89"/>
        <v>9</v>
      </c>
      <c r="CM126" s="180">
        <f t="shared" si="90"/>
        <v>39747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0.51832039394442031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0</v>
      </c>
      <c r="DJ126" s="161">
        <f t="shared" si="97"/>
        <v>0</v>
      </c>
      <c r="DK126" s="161">
        <f t="shared" si="98"/>
        <v>0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0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0</v>
      </c>
      <c r="ET126" s="139">
        <f t="shared" si="135"/>
        <v>0</v>
      </c>
      <c r="EU126" s="139">
        <f t="shared" si="136"/>
        <v>0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0</v>
      </c>
      <c r="FV126" s="149"/>
      <c r="FY126" s="211">
        <v>121</v>
      </c>
      <c r="FZ126">
        <v>35.960408176423584</v>
      </c>
      <c r="GA126">
        <v>40.672596583635695</v>
      </c>
      <c r="GB126">
        <v>58.041482314653976</v>
      </c>
      <c r="GC126">
        <v>3.2069636453678769</v>
      </c>
      <c r="GD126">
        <v>0.17690435136077456</v>
      </c>
      <c r="GE126">
        <v>0.29074249605252656</v>
      </c>
      <c r="GF126">
        <v>2.6120987679511725</v>
      </c>
      <c r="GG126">
        <v>1.5466212229372709</v>
      </c>
      <c r="GH126">
        <v>4.0282766445317693</v>
      </c>
      <c r="GI126">
        <v>47.809469722709608</v>
      </c>
      <c r="GJ126"/>
      <c r="GK126"/>
      <c r="GL126"/>
      <c r="GM126"/>
    </row>
    <row r="127" spans="1:195" s="7" customFormat="1">
      <c r="A127" s="1"/>
      <c r="B127" s="76">
        <f ca="1">IF(C127="", "", RAND())</f>
        <v>9.6269115851917775E-2</v>
      </c>
      <c r="C127">
        <v>10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10.416666666666666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18.147702991452991</v>
      </c>
      <c r="AO127">
        <v>213.43756976377648</v>
      </c>
      <c r="AP127">
        <v>1431.9876649821636</v>
      </c>
      <c r="AQ127">
        <v>226.50491505925342</v>
      </c>
      <c r="AR127">
        <v>198.01892603305026</v>
      </c>
      <c r="AS127">
        <v>1624.5340305119448</v>
      </c>
      <c r="AT127" t="e">
        <v>#DIV/0!</v>
      </c>
      <c r="AU127" t="e">
        <v>#DIV/0!</v>
      </c>
      <c r="AV127"/>
      <c r="AW127"/>
      <c r="AX127" s="146"/>
      <c r="AY127" s="76">
        <f t="shared" ca="1" si="86"/>
        <v>0.98180592727898452</v>
      </c>
      <c r="AZ127">
        <v>10</v>
      </c>
      <c r="BA127" s="129">
        <f t="shared" si="129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1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88"/>
        <v>0.2011068627175554</v>
      </c>
      <c r="CL127" s="179">
        <f t="shared" si="89"/>
        <v>10</v>
      </c>
      <c r="CM127" s="180">
        <f t="shared" si="90"/>
        <v>39747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3.5160370025636656E-2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0</v>
      </c>
      <c r="DH127" s="161">
        <f t="shared" si="95"/>
        <v>0</v>
      </c>
      <c r="DI127" s="161">
        <f t="shared" si="96"/>
        <v>0</v>
      </c>
      <c r="DJ127" s="161">
        <f t="shared" si="97"/>
        <v>0</v>
      </c>
      <c r="DK127" s="161">
        <f t="shared" si="98"/>
        <v>10.416666666666666</v>
      </c>
      <c r="DL127" s="161">
        <f t="shared" si="99"/>
        <v>0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10.416666666666666</v>
      </c>
      <c r="EL127" s="149"/>
      <c r="EN127" s="146"/>
      <c r="EO127" s="146"/>
      <c r="EP127" s="139">
        <f t="shared" si="131"/>
        <v>0</v>
      </c>
      <c r="EQ127" s="139">
        <f t="shared" si="132"/>
        <v>0</v>
      </c>
      <c r="ER127" s="139">
        <f t="shared" si="133"/>
        <v>0</v>
      </c>
      <c r="ES127" s="139">
        <f t="shared" si="134"/>
        <v>0</v>
      </c>
      <c r="ET127" s="139">
        <f t="shared" si="135"/>
        <v>0</v>
      </c>
      <c r="EU127" s="139">
        <f t="shared" si="136"/>
        <v>10.377860513211742</v>
      </c>
      <c r="EV127" s="139">
        <f t="shared" si="137"/>
        <v>0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10.377860513211742</v>
      </c>
      <c r="FV127" s="149"/>
      <c r="FY127" s="211">
        <v>122</v>
      </c>
      <c r="FZ127">
        <v>18.112285524205092</v>
      </c>
      <c r="GA127">
        <v>23.215052011242168</v>
      </c>
      <c r="GB127">
        <v>44.21830306139735</v>
      </c>
      <c r="GC127">
        <v>2.1586880941440398</v>
      </c>
      <c r="GD127">
        <v>9.5651625629411235E-2</v>
      </c>
      <c r="GE127">
        <v>0.52237272603449258</v>
      </c>
      <c r="GF127">
        <v>2.958097923866668</v>
      </c>
      <c r="GG127">
        <v>5.6949582848624711</v>
      </c>
      <c r="GH127">
        <v>11.257114246514771</v>
      </c>
      <c r="GI127">
        <v>49.679856926295727</v>
      </c>
      <c r="GJ127"/>
      <c r="GK127"/>
      <c r="GL127"/>
      <c r="GM127"/>
    </row>
    <row r="128" spans="1:195" s="7" customFormat="1">
      <c r="A128" s="128"/>
      <c r="B128" s="76">
        <f ca="1">IF(C128="", "", RAND())</f>
        <v>0.49943933362448623</v>
      </c>
      <c r="C128">
        <v>8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12.337807158119658</v>
      </c>
      <c r="AO128">
        <v>45.405527694306684</v>
      </c>
      <c r="AP128">
        <v>313.02154142305551</v>
      </c>
      <c r="AQ128">
        <v>167.84873656689521</v>
      </c>
      <c r="AR128">
        <v>42.185188373495421</v>
      </c>
      <c r="AS128">
        <v>291.46014514513615</v>
      </c>
      <c r="AT128" t="e">
        <v>#DIV/0!</v>
      </c>
      <c r="AU128" t="e">
        <v>#DIV/0!</v>
      </c>
      <c r="AV128"/>
      <c r="AW128"/>
      <c r="AX128" s="128"/>
      <c r="AY128" s="76">
        <f t="shared" ca="1" si="86"/>
        <v>0.61951125458532452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1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88"/>
        <v>0.15038097786989324</v>
      </c>
      <c r="CL128" s="179">
        <f t="shared" si="89"/>
        <v>1</v>
      </c>
      <c r="CM128" s="180">
        <f t="shared" si="90"/>
        <v>39775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0.61793802419450872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0</v>
      </c>
      <c r="DH128" s="161">
        <f t="shared" si="95"/>
        <v>0</v>
      </c>
      <c r="DI128" s="161">
        <f t="shared" si="96"/>
        <v>0</v>
      </c>
      <c r="DJ128" s="161">
        <f t="shared" si="97"/>
        <v>0</v>
      </c>
      <c r="DK128" s="161">
        <f t="shared" si="98"/>
        <v>32.051282051282051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32.051282051282051</v>
      </c>
      <c r="EL128" s="149"/>
      <c r="EN128" s="146"/>
      <c r="EO128" s="146"/>
      <c r="EP128" s="139">
        <f t="shared" si="131"/>
        <v>0</v>
      </c>
      <c r="EQ128" s="139">
        <f t="shared" si="132"/>
        <v>0</v>
      </c>
      <c r="ER128" s="139">
        <f t="shared" si="133"/>
        <v>0</v>
      </c>
      <c r="ES128" s="139">
        <f t="shared" si="134"/>
        <v>0</v>
      </c>
      <c r="ET128" s="139">
        <f t="shared" si="135"/>
        <v>0</v>
      </c>
      <c r="EU128" s="139">
        <f t="shared" si="136"/>
        <v>31.931878502189978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31.931878502189978</v>
      </c>
      <c r="FV128" s="149"/>
      <c r="FY128" s="211">
        <v>123</v>
      </c>
      <c r="FZ128">
        <v>36.977857317507272</v>
      </c>
      <c r="GA128">
        <v>41.577217512447604</v>
      </c>
      <c r="GB128">
        <v>40.549875170599591</v>
      </c>
      <c r="GC128">
        <v>3.5824524354131828</v>
      </c>
      <c r="GD128">
        <v>0.27526696979644222</v>
      </c>
      <c r="GE128">
        <v>0.28157382210579351</v>
      </c>
      <c r="GF128">
        <v>1.929646502565592</v>
      </c>
      <c r="GG128">
        <v>4.6634720417303139</v>
      </c>
      <c r="GH128">
        <v>9.6111648241764271</v>
      </c>
      <c r="GI128">
        <v>38.237082667892821</v>
      </c>
      <c r="GJ128"/>
      <c r="GK128"/>
      <c r="GL128"/>
      <c r="GM128"/>
    </row>
    <row r="129" spans="1:195" s="7" customFormat="1">
      <c r="A129" s="1"/>
      <c r="B129" s="76">
        <f ca="1">IF(C129="", "", RAND())</f>
        <v>0.78205577220629596</v>
      </c>
      <c r="C129">
        <v>6</v>
      </c>
      <c r="D129">
        <v>39775</v>
      </c>
      <c r="E129">
        <v>0</v>
      </c>
      <c r="F129">
        <v>0</v>
      </c>
      <c r="G129">
        <v>0</v>
      </c>
      <c r="H129">
        <v>10.416666666666666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17.09513888888889</v>
      </c>
      <c r="AO129">
        <v>203.44330670863212</v>
      </c>
      <c r="AP129">
        <v>1601.0050883283643</v>
      </c>
      <c r="AQ129">
        <v>208.47318948922839</v>
      </c>
      <c r="AR129">
        <v>188.80449473646479</v>
      </c>
      <c r="AS129">
        <v>1455.5818356844193</v>
      </c>
      <c r="AT129" t="e">
        <v>#DIV/0!</v>
      </c>
      <c r="AU129" t="e">
        <v>#DIV/0!</v>
      </c>
      <c r="AV129"/>
      <c r="AW129"/>
      <c r="AX129" s="146"/>
      <c r="AY129" s="76">
        <f t="shared" ca="1" si="86"/>
        <v>0.3448841505618665</v>
      </c>
      <c r="AZ129">
        <v>2</v>
      </c>
      <c r="BA129" s="129">
        <f t="shared" ref="BA129:BA137" si="164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88"/>
        <v>0.70087740199058257</v>
      </c>
      <c r="CL129" s="179">
        <f t="shared" si="89"/>
        <v>2</v>
      </c>
      <c r="CM129" s="180">
        <f t="shared" si="90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0.64179307517921824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0</v>
      </c>
      <c r="DI129" s="161">
        <f t="shared" si="96"/>
        <v>0</v>
      </c>
      <c r="DJ129" s="161">
        <f t="shared" si="97"/>
        <v>0</v>
      </c>
      <c r="DK129" s="161">
        <f t="shared" si="98"/>
        <v>0</v>
      </c>
      <c r="DL129" s="161">
        <f t="shared" si="99"/>
        <v>0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0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0</v>
      </c>
      <c r="ES129" s="139">
        <f t="shared" si="134"/>
        <v>0</v>
      </c>
      <c r="ET129" s="139">
        <f t="shared" si="135"/>
        <v>0</v>
      </c>
      <c r="EU129" s="139">
        <f t="shared" si="136"/>
        <v>0</v>
      </c>
      <c r="EV129" s="139">
        <f t="shared" si="137"/>
        <v>0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0</v>
      </c>
      <c r="FV129" s="149"/>
      <c r="FY129" s="211">
        <v>124</v>
      </c>
      <c r="FZ129">
        <v>39.848018790356356</v>
      </c>
      <c r="GA129">
        <v>44.831117596239565</v>
      </c>
      <c r="GB129">
        <v>41.625447844374762</v>
      </c>
      <c r="GC129">
        <v>1.7402871332666197</v>
      </c>
      <c r="GD129">
        <v>0.2493208187843971</v>
      </c>
      <c r="GE129">
        <v>0.21742834599041555</v>
      </c>
      <c r="GF129">
        <v>1.7085288897008239</v>
      </c>
      <c r="GG129">
        <v>3.5926113534416686</v>
      </c>
      <c r="GH129">
        <v>3.6144188009915013</v>
      </c>
      <c r="GI129">
        <v>36.803699227980971</v>
      </c>
      <c r="GJ129"/>
      <c r="GK129"/>
      <c r="GL129"/>
      <c r="GM129"/>
    </row>
    <row r="130" spans="1:195" s="7" customFormat="1">
      <c r="A130" s="1"/>
      <c r="B130" s="76">
        <f ca="1">IF(C130="", "", RAND())</f>
        <v>0.28682309429071573</v>
      </c>
      <c r="C130">
        <v>4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10.416666666666666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9.9572916666666664</v>
      </c>
      <c r="AO130">
        <v>74.458727229130659</v>
      </c>
      <c r="AP130">
        <v>603.70896301550101</v>
      </c>
      <c r="AQ130">
        <v>166.52844500850756</v>
      </c>
      <c r="AR130">
        <v>69.014490827184915</v>
      </c>
      <c r="AS130">
        <v>520.01377238472219</v>
      </c>
      <c r="AT130" t="e">
        <v>#DIV/0!</v>
      </c>
      <c r="AU130" t="e">
        <v>#DIV/0!</v>
      </c>
      <c r="AV130"/>
      <c r="AW130"/>
      <c r="AX130" s="146"/>
      <c r="AY130" s="76">
        <f t="shared" ca="1" si="86"/>
        <v>0.11056803644755409</v>
      </c>
      <c r="AZ130">
        <v>3</v>
      </c>
      <c r="BA130" s="129">
        <f t="shared" si="164"/>
        <v>39775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88"/>
        <v>0.41457039393589978</v>
      </c>
      <c r="CL130" s="179">
        <f t="shared" si="89"/>
        <v>3</v>
      </c>
      <c r="CM130" s="180">
        <f t="shared" si="90"/>
        <v>39775</v>
      </c>
      <c r="CN130" s="226">
        <v>0</v>
      </c>
      <c r="CO130" s="226">
        <v>0</v>
      </c>
      <c r="CP130" s="226">
        <v>0</v>
      </c>
      <c r="CQ130" s="226">
        <v>0</v>
      </c>
      <c r="CR130" s="226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0.36032671669026506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0</v>
      </c>
      <c r="DH130" s="161">
        <f t="shared" si="95"/>
        <v>0</v>
      </c>
      <c r="DI130" s="161">
        <f t="shared" si="96"/>
        <v>0</v>
      </c>
      <c r="DJ130" s="161">
        <f t="shared" si="97"/>
        <v>0</v>
      </c>
      <c r="DK130" s="161">
        <f t="shared" si="98"/>
        <v>0</v>
      </c>
      <c r="DL130" s="161">
        <f t="shared" si="99"/>
        <v>0</v>
      </c>
      <c r="DM130" s="161">
        <f t="shared" si="100"/>
        <v>0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0</v>
      </c>
      <c r="EL130" s="149"/>
      <c r="EN130" s="146"/>
      <c r="EO130" s="146"/>
      <c r="EP130" s="139">
        <f t="shared" si="131"/>
        <v>0</v>
      </c>
      <c r="EQ130" s="139">
        <f t="shared" si="132"/>
        <v>0</v>
      </c>
      <c r="ER130" s="139">
        <f t="shared" si="133"/>
        <v>0</v>
      </c>
      <c r="ES130" s="139">
        <f t="shared" si="134"/>
        <v>0</v>
      </c>
      <c r="ET130" s="139">
        <f t="shared" si="135"/>
        <v>0</v>
      </c>
      <c r="EU130" s="139">
        <f t="shared" si="136"/>
        <v>0</v>
      </c>
      <c r="EV130" s="139">
        <f t="shared" si="137"/>
        <v>0</v>
      </c>
      <c r="EW130" s="139">
        <f t="shared" si="138"/>
        <v>0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0</v>
      </c>
      <c r="FV130" s="149"/>
      <c r="FY130" s="211">
        <v>125</v>
      </c>
      <c r="FZ130">
        <v>30.913103168910723</v>
      </c>
      <c r="GA130">
        <v>37.412146097747886</v>
      </c>
      <c r="GB130">
        <v>39.633243133042328</v>
      </c>
      <c r="GC130">
        <v>1.8063986047916432</v>
      </c>
      <c r="GD130">
        <v>0.17077908585929019</v>
      </c>
      <c r="GE130">
        <v>0.21742834599041555</v>
      </c>
      <c r="GF130">
        <v>2.6418058409726322</v>
      </c>
      <c r="GG130">
        <v>12.589256932084382</v>
      </c>
      <c r="GH130">
        <v>26.451167250335857</v>
      </c>
      <c r="GI130">
        <v>44.850237696936922</v>
      </c>
      <c r="GJ130"/>
      <c r="GK130"/>
      <c r="GL130"/>
      <c r="GM130"/>
    </row>
    <row r="131" spans="1:195" s="7" customFormat="1">
      <c r="A131" s="1"/>
      <c r="B131" s="76">
        <f ca="1">IF(C131="", "", RAND())</f>
        <v>0.46595162356151865</v>
      </c>
      <c r="C131">
        <v>3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9.0391960470085468</v>
      </c>
      <c r="AO131">
        <v>62.774100241330288</v>
      </c>
      <c r="AP131">
        <v>355.08046233468889</v>
      </c>
      <c r="AQ131">
        <v>117.92298317883042</v>
      </c>
      <c r="AR131">
        <v>58.187137292975855</v>
      </c>
      <c r="AS131">
        <v>571.97736961151679</v>
      </c>
      <c r="AT131" t="e">
        <v>#DIV/0!</v>
      </c>
      <c r="AU131" t="e">
        <v>#DIV/0!</v>
      </c>
      <c r="AV131"/>
      <c r="AW131"/>
      <c r="AX131" s="146"/>
      <c r="AY131" s="76">
        <f t="shared" ca="1" si="86"/>
        <v>0.60014069003163972</v>
      </c>
      <c r="AZ131">
        <v>4</v>
      </c>
      <c r="BA131" s="129">
        <f t="shared" si="164"/>
        <v>39775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88"/>
        <v>0.4673279505058725</v>
      </c>
      <c r="CL131" s="179">
        <f t="shared" si="89"/>
        <v>4</v>
      </c>
      <c r="CM131" s="180">
        <f t="shared" si="90"/>
        <v>39775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0.29782560477671494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0</v>
      </c>
      <c r="DH131" s="161">
        <f t="shared" si="95"/>
        <v>0</v>
      </c>
      <c r="DI131" s="161">
        <f t="shared" si="96"/>
        <v>0</v>
      </c>
      <c r="DJ131" s="161">
        <f t="shared" si="97"/>
        <v>10.416666666666666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10.416666666666666</v>
      </c>
      <c r="EL131" s="149"/>
      <c r="EN131" s="146"/>
      <c r="EO131" s="146"/>
      <c r="EP131" s="139">
        <f t="shared" si="131"/>
        <v>0</v>
      </c>
      <c r="EQ131" s="139">
        <f t="shared" si="132"/>
        <v>0</v>
      </c>
      <c r="ER131" s="139">
        <f t="shared" si="133"/>
        <v>0</v>
      </c>
      <c r="ES131" s="139">
        <f t="shared" si="134"/>
        <v>0</v>
      </c>
      <c r="ET131" s="139">
        <f t="shared" si="135"/>
        <v>5.4413904293350654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5.4413904293350654</v>
      </c>
      <c r="FV131" s="149"/>
      <c r="FY131" s="211">
        <v>126</v>
      </c>
      <c r="FZ131">
        <v>17.365817506571943</v>
      </c>
      <c r="GA131">
        <v>22.386823218311108</v>
      </c>
      <c r="GB131">
        <v>40.029972210715322</v>
      </c>
      <c r="GC131">
        <v>1.9451120589862789</v>
      </c>
      <c r="GD131">
        <v>0.27526696979644222</v>
      </c>
      <c r="GE131">
        <v>0.19704088690186838</v>
      </c>
      <c r="GF131">
        <v>2.0545280456163195</v>
      </c>
      <c r="GG131">
        <v>3.6489681543580739</v>
      </c>
      <c r="GH131">
        <v>7.6426954455232705</v>
      </c>
      <c r="GI131">
        <v>44.717085799841676</v>
      </c>
      <c r="GJ131"/>
      <c r="GK131"/>
      <c r="GL131"/>
      <c r="GM131"/>
    </row>
    <row r="132" spans="1:195" s="7" customFormat="1">
      <c r="A132" s="1"/>
      <c r="B132" s="76">
        <f ca="1">IF(C132="", "", RAND())</f>
        <v>0.11480655430465614</v>
      </c>
      <c r="C132">
        <v>10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11.175173611111108</v>
      </c>
      <c r="AO132">
        <v>69.030792503816429</v>
      </c>
      <c r="AP132">
        <v>408.61837046339701</v>
      </c>
      <c r="AQ132">
        <v>142.58847665566699</v>
      </c>
      <c r="AR132">
        <v>63.98766763029046</v>
      </c>
      <c r="AS132">
        <v>626.0350871003086</v>
      </c>
      <c r="AT132" t="e">
        <v>#DIV/0!</v>
      </c>
      <c r="AU132" t="e">
        <v>#DIV/0!</v>
      </c>
      <c r="AV132"/>
      <c r="AW132"/>
      <c r="AX132" s="146"/>
      <c r="AY132" s="76">
        <f t="shared" ca="1" si="86"/>
        <v>0.88708276616983728</v>
      </c>
      <c r="AZ132">
        <v>5</v>
      </c>
      <c r="BA132" s="129">
        <f t="shared" si="164"/>
        <v>39775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88"/>
        <v>0.48155339344342396</v>
      </c>
      <c r="CL132" s="179">
        <f t="shared" si="89"/>
        <v>5</v>
      </c>
      <c r="CM132" s="180">
        <f t="shared" si="90"/>
        <v>39775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0.61604910895937648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0</v>
      </c>
      <c r="DH132" s="161">
        <f t="shared" si="95"/>
        <v>0</v>
      </c>
      <c r="DI132" s="161">
        <f t="shared" si="96"/>
        <v>0</v>
      </c>
      <c r="DJ132" s="161">
        <f t="shared" si="97"/>
        <v>0</v>
      </c>
      <c r="DK132" s="161">
        <f t="shared" si="98"/>
        <v>0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0</v>
      </c>
      <c r="EL132" s="149"/>
      <c r="EN132" s="146"/>
      <c r="EO132" s="146"/>
      <c r="EP132" s="139">
        <f t="shared" si="131"/>
        <v>0</v>
      </c>
      <c r="EQ132" s="139">
        <f t="shared" si="132"/>
        <v>0</v>
      </c>
      <c r="ER132" s="139">
        <f t="shared" si="133"/>
        <v>0</v>
      </c>
      <c r="ES132" s="139">
        <f t="shared" si="134"/>
        <v>0</v>
      </c>
      <c r="ET132" s="139">
        <f t="shared" si="135"/>
        <v>0</v>
      </c>
      <c r="EU132" s="139">
        <f t="shared" si="136"/>
        <v>0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0</v>
      </c>
      <c r="FV132" s="149"/>
      <c r="FY132" s="211">
        <v>127</v>
      </c>
      <c r="FZ132">
        <v>17.365817506571943</v>
      </c>
      <c r="GA132">
        <v>24.85852908936188</v>
      </c>
      <c r="GB132">
        <v>73.624770981317297</v>
      </c>
      <c r="GC132">
        <v>2.6961502884134902</v>
      </c>
      <c r="GD132">
        <v>0.29850212800223097</v>
      </c>
      <c r="GE132">
        <v>0.64609946287425002</v>
      </c>
      <c r="GF132">
        <v>3.2314584333147764</v>
      </c>
      <c r="GG132">
        <v>4.6071152408139096</v>
      </c>
      <c r="GH132">
        <v>9.6111648241764271</v>
      </c>
      <c r="GI132">
        <v>55.638487555847121</v>
      </c>
      <c r="GJ132"/>
      <c r="GK132"/>
      <c r="GL132"/>
      <c r="GM132"/>
    </row>
    <row r="133" spans="1:195" s="7" customFormat="1">
      <c r="A133" s="1"/>
      <c r="B133" s="76">
        <f ca="1">IF(C133="", "", RAND())</f>
        <v>0.50283143455768364</v>
      </c>
      <c r="C133">
        <v>7</v>
      </c>
      <c r="D133">
        <v>39775</v>
      </c>
      <c r="E133">
        <v>0</v>
      </c>
      <c r="F133">
        <v>0</v>
      </c>
      <c r="G133">
        <v>0</v>
      </c>
      <c r="H133">
        <v>14.204545454545453</v>
      </c>
      <c r="I133">
        <v>42.61363636363636</v>
      </c>
      <c r="J133">
        <v>28.409090909090907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12.54752938034188</v>
      </c>
      <c r="AO133">
        <v>116.75964367073338</v>
      </c>
      <c r="AP133">
        <v>1058.7501024620221</v>
      </c>
      <c r="AQ133">
        <v>226.47534110585349</v>
      </c>
      <c r="AR133">
        <v>108.26649112359097</v>
      </c>
      <c r="AS133">
        <v>543.9747436253208</v>
      </c>
      <c r="AT133" t="e">
        <v>#DIV/0!</v>
      </c>
      <c r="AU133" t="e">
        <v>#DIV/0!</v>
      </c>
      <c r="AV133"/>
      <c r="AW133"/>
      <c r="AX133" s="146"/>
      <c r="AY133" s="76">
        <f t="shared" ca="1" si="86"/>
        <v>0.44653445045553219</v>
      </c>
      <c r="AZ133">
        <v>6</v>
      </c>
      <c r="BA133" s="129">
        <f t="shared" si="164"/>
        <v>39775</v>
      </c>
      <c r="BB133">
        <v>0</v>
      </c>
      <c r="BC133">
        <v>0</v>
      </c>
      <c r="BD133">
        <v>0</v>
      </c>
      <c r="BE133">
        <v>1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88"/>
        <v>0.57351551117795863</v>
      </c>
      <c r="CL133" s="179">
        <f t="shared" si="89"/>
        <v>6</v>
      </c>
      <c r="CM133" s="180">
        <f t="shared" si="90"/>
        <v>39775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0.52501784948741426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0</v>
      </c>
      <c r="DH133" s="161">
        <f t="shared" si="95"/>
        <v>0</v>
      </c>
      <c r="DI133" s="161">
        <f t="shared" si="96"/>
        <v>10.416666666666666</v>
      </c>
      <c r="DJ133" s="161">
        <f t="shared" si="97"/>
        <v>0</v>
      </c>
      <c r="DK133" s="161">
        <f t="shared" si="98"/>
        <v>0</v>
      </c>
      <c r="DL133" s="161">
        <f t="shared" si="99"/>
        <v>0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10.416666666666666</v>
      </c>
      <c r="EL133" s="149"/>
      <c r="EN133" s="146"/>
      <c r="EO133" s="146"/>
      <c r="EP133" s="139">
        <f t="shared" si="131"/>
        <v>0</v>
      </c>
      <c r="EQ133" s="139">
        <f t="shared" si="132"/>
        <v>0</v>
      </c>
      <c r="ER133" s="139">
        <f t="shared" si="133"/>
        <v>0</v>
      </c>
      <c r="ES133" s="139">
        <f t="shared" si="134"/>
        <v>2.3670861810832911</v>
      </c>
      <c r="ET133" s="139">
        <f t="shared" si="135"/>
        <v>0</v>
      </c>
      <c r="EU133" s="139">
        <f t="shared" si="136"/>
        <v>0</v>
      </c>
      <c r="EV133" s="139">
        <f t="shared" si="137"/>
        <v>0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2.3670861810832911</v>
      </c>
      <c r="FV133" s="149"/>
      <c r="FY133" s="211">
        <v>128</v>
      </c>
      <c r="FZ133">
        <v>35.245070417908259</v>
      </c>
      <c r="GA133">
        <v>39.529552328328876</v>
      </c>
      <c r="GB133">
        <v>47.411332374260887</v>
      </c>
      <c r="GC133">
        <v>1.3949708229139746</v>
      </c>
      <c r="GD133">
        <v>0.33884717891232391</v>
      </c>
      <c r="GE133">
        <v>0.78104498485582141</v>
      </c>
      <c r="GF133">
        <v>1.7380867347630993</v>
      </c>
      <c r="GG133">
        <v>8.9402887777263089</v>
      </c>
      <c r="GH133">
        <v>18.808471804812587</v>
      </c>
      <c r="GI133">
        <v>47.624429707636459</v>
      </c>
      <c r="GJ133"/>
      <c r="GK133"/>
      <c r="GL133"/>
      <c r="GM133"/>
    </row>
    <row r="134" spans="1:195" s="7" customFormat="1">
      <c r="A134" s="1"/>
      <c r="B134" s="76">
        <f ca="1">IF(C134="", "", RAND())</f>
        <v>0.22000355958429463</v>
      </c>
      <c r="C134">
        <v>5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11.80551549145299</v>
      </c>
      <c r="AO134">
        <v>121.0095626951108</v>
      </c>
      <c r="AP134">
        <v>904.07788712842523</v>
      </c>
      <c r="AQ134">
        <v>173.81946552760797</v>
      </c>
      <c r="AR134">
        <v>112.19644728534294</v>
      </c>
      <c r="AS134">
        <v>522.46403746120848</v>
      </c>
      <c r="AT134" t="e">
        <v>#DIV/0!</v>
      </c>
      <c r="AU134" t="e">
        <v>#DIV/0!</v>
      </c>
      <c r="AV134"/>
      <c r="AW134"/>
      <c r="AX134" s="146"/>
      <c r="AY134" s="76">
        <f t="shared" ca="1" si="86"/>
        <v>0.41290000623873491</v>
      </c>
      <c r="AZ134">
        <v>7</v>
      </c>
      <c r="BA134" s="129">
        <f t="shared" si="164"/>
        <v>39775</v>
      </c>
      <c r="BB134">
        <v>0</v>
      </c>
      <c r="BC134">
        <v>0</v>
      </c>
      <c r="BD134">
        <v>0</v>
      </c>
      <c r="BE134">
        <v>1</v>
      </c>
      <c r="BF134">
        <v>3</v>
      </c>
      <c r="BG134">
        <v>2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88"/>
        <v>0.24276660831778329</v>
      </c>
      <c r="CL134" s="179">
        <f t="shared" si="89"/>
        <v>7</v>
      </c>
      <c r="CM134" s="180">
        <f t="shared" si="90"/>
        <v>39775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0.50912148120197731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0</v>
      </c>
      <c r="DI134" s="161">
        <f t="shared" si="96"/>
        <v>14.204545454545453</v>
      </c>
      <c r="DJ134" s="161">
        <f t="shared" si="97"/>
        <v>42.61363636363636</v>
      </c>
      <c r="DK134" s="161">
        <f t="shared" si="98"/>
        <v>28.409090909090907</v>
      </c>
      <c r="DL134" s="161">
        <f t="shared" si="99"/>
        <v>0</v>
      </c>
      <c r="DM134" s="161">
        <f t="shared" si="100"/>
        <v>0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85.22727272727272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0</v>
      </c>
      <c r="ES134" s="139">
        <f t="shared" si="134"/>
        <v>3.2278447923863061</v>
      </c>
      <c r="ET134" s="139">
        <f t="shared" si="135"/>
        <v>22.26023357455254</v>
      </c>
      <c r="EU134" s="139">
        <f t="shared" si="136"/>
        <v>28.303255945122935</v>
      </c>
      <c r="EV134" s="139">
        <f t="shared" si="137"/>
        <v>0</v>
      </c>
      <c r="EW134" s="139">
        <f t="shared" si="138"/>
        <v>0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53.791334312061778</v>
      </c>
      <c r="FV134" s="149"/>
      <c r="FY134" s="211">
        <v>129</v>
      </c>
      <c r="FZ134">
        <v>33.512283518309246</v>
      </c>
      <c r="GA134">
        <v>39.741572671794898</v>
      </c>
      <c r="GB134">
        <v>41.05102326057159</v>
      </c>
      <c r="GC134">
        <v>3.524141233139348</v>
      </c>
      <c r="GD134">
        <v>0.33599553012827321</v>
      </c>
      <c r="GE134">
        <v>0.25615315297242897</v>
      </c>
      <c r="GF134">
        <v>2.4609465486495905</v>
      </c>
      <c r="GG134">
        <v>7.1524742788854336</v>
      </c>
      <c r="GH134">
        <v>16.840002426159433</v>
      </c>
      <c r="GI134">
        <v>39.857508475965474</v>
      </c>
      <c r="GJ134"/>
      <c r="GK134"/>
      <c r="GL134"/>
      <c r="GM134"/>
    </row>
    <row r="135" spans="1:195" s="7" customFormat="1">
      <c r="A135" s="1"/>
      <c r="B135" s="76">
        <f ca="1">IF(C135="", "", RAND())</f>
        <v>0.61756563169822609</v>
      </c>
      <c r="C135">
        <v>9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10.416666666666666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12.814196047008545</v>
      </c>
      <c r="AO135">
        <v>81.227097519316729</v>
      </c>
      <c r="AP135">
        <v>406.02208437567441</v>
      </c>
      <c r="AQ135">
        <v>220.50708208790317</v>
      </c>
      <c r="AR135">
        <v>75.41141224206217</v>
      </c>
      <c r="AS135">
        <v>668.21664977592775</v>
      </c>
      <c r="AT135" t="e">
        <v>#DIV/0!</v>
      </c>
      <c r="AU135" t="e">
        <v>#DIV/0!</v>
      </c>
      <c r="AV135"/>
      <c r="AW135"/>
      <c r="AX135" s="146"/>
      <c r="AY135" s="76">
        <f t="shared" ca="1" si="86"/>
        <v>0.15803210769891507</v>
      </c>
      <c r="AZ135">
        <v>8</v>
      </c>
      <c r="BA135" s="129">
        <f t="shared" si="164"/>
        <v>39775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88"/>
        <v>0.97692738018165448</v>
      </c>
      <c r="CL135" s="179">
        <f t="shared" si="89"/>
        <v>8</v>
      </c>
      <c r="CM135" s="180">
        <f t="shared" si="90"/>
        <v>39775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0.78544587478585726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0</v>
      </c>
      <c r="DH135" s="161">
        <f t="shared" si="95"/>
        <v>0</v>
      </c>
      <c r="DI135" s="161">
        <f t="shared" si="96"/>
        <v>0</v>
      </c>
      <c r="DJ135" s="161">
        <f t="shared" si="97"/>
        <v>0</v>
      </c>
      <c r="DK135" s="161">
        <f t="shared" si="98"/>
        <v>0</v>
      </c>
      <c r="DL135" s="161">
        <f t="shared" si="99"/>
        <v>0</v>
      </c>
      <c r="DM135" s="161">
        <f t="shared" si="100"/>
        <v>0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0</v>
      </c>
      <c r="EL135" s="149"/>
      <c r="EN135" s="146"/>
      <c r="EO135" s="146"/>
      <c r="EP135" s="139">
        <f t="shared" si="131"/>
        <v>0</v>
      </c>
      <c r="EQ135" s="139">
        <f t="shared" si="132"/>
        <v>0</v>
      </c>
      <c r="ER135" s="139">
        <f t="shared" si="133"/>
        <v>0</v>
      </c>
      <c r="ES135" s="139">
        <f t="shared" si="134"/>
        <v>0</v>
      </c>
      <c r="ET135" s="139">
        <f t="shared" si="135"/>
        <v>0</v>
      </c>
      <c r="EU135" s="139">
        <f t="shared" si="136"/>
        <v>0</v>
      </c>
      <c r="EV135" s="139">
        <f t="shared" si="137"/>
        <v>0</v>
      </c>
      <c r="EW135" s="139">
        <f t="shared" si="138"/>
        <v>0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0</v>
      </c>
      <c r="FV135" s="149"/>
      <c r="FY135" s="211">
        <v>130</v>
      </c>
      <c r="FZ135">
        <v>41.498828768370799</v>
      </c>
      <c r="GA135">
        <v>44.46454806892487</v>
      </c>
      <c r="GB135">
        <v>20.993912680335267</v>
      </c>
      <c r="GC135">
        <v>1.5989402275446998</v>
      </c>
      <c r="GD135">
        <v>0.20556149517907607</v>
      </c>
      <c r="GE135">
        <v>6.4145476115377922E-2</v>
      </c>
      <c r="GF135">
        <v>0.95939839956347828</v>
      </c>
      <c r="GG135">
        <v>5.8797947598496716</v>
      </c>
      <c r="GH135">
        <v>13.225583625167928</v>
      </c>
      <c r="GI135">
        <v>37.798616647159946</v>
      </c>
      <c r="GJ135"/>
      <c r="GK135"/>
      <c r="GL135"/>
      <c r="GM135"/>
    </row>
    <row r="136" spans="1:195" s="7" customFormat="1">
      <c r="A136" s="1"/>
      <c r="B136" s="76">
        <f ca="1">IF(C136="", "", RAND())</f>
        <v>0.28836849506881812</v>
      </c>
      <c r="C136">
        <v>2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11.307946047008546</v>
      </c>
      <c r="AO136">
        <v>80.832023719084148</v>
      </c>
      <c r="AP136">
        <v>502.09463671667646</v>
      </c>
      <c r="AQ136">
        <v>154.40668940933159</v>
      </c>
      <c r="AR136">
        <v>75.060812034707141</v>
      </c>
      <c r="AS136">
        <v>610.55228895772336</v>
      </c>
      <c r="AT136" t="e">
        <v>#DIV/0!</v>
      </c>
      <c r="AU136" t="e">
        <v>#DIV/0!</v>
      </c>
      <c r="AV136"/>
      <c r="AW136"/>
      <c r="AX136" s="146"/>
      <c r="AY136" s="76">
        <f t="shared" ca="1" si="86"/>
        <v>0.30037943228713848</v>
      </c>
      <c r="AZ136">
        <v>9</v>
      </c>
      <c r="BA136" s="129">
        <f t="shared" si="164"/>
        <v>39775</v>
      </c>
      <c r="BB136">
        <v>0</v>
      </c>
      <c r="BC136">
        <v>0</v>
      </c>
      <c r="BD136">
        <v>0</v>
      </c>
      <c r="BE136">
        <v>0</v>
      </c>
      <c r="BF136">
        <v>1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88"/>
        <v>0.91300808926297705</v>
      </c>
      <c r="CL136" s="179">
        <f t="shared" si="89"/>
        <v>9</v>
      </c>
      <c r="CM136" s="180">
        <f t="shared" si="90"/>
        <v>39775</v>
      </c>
      <c r="CN136" s="207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0.88739749021964909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0</v>
      </c>
      <c r="DI136" s="161">
        <f t="shared" si="96"/>
        <v>0</v>
      </c>
      <c r="DJ136" s="161">
        <f t="shared" si="97"/>
        <v>10.416666666666666</v>
      </c>
      <c r="DK136" s="161">
        <f t="shared" si="98"/>
        <v>0</v>
      </c>
      <c r="DL136" s="161">
        <f t="shared" si="99"/>
        <v>0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10.416666666666666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0</v>
      </c>
      <c r="ES136" s="139">
        <f t="shared" si="134"/>
        <v>0</v>
      </c>
      <c r="ET136" s="139">
        <f t="shared" si="135"/>
        <v>5.4413904293350654</v>
      </c>
      <c r="EU136" s="139">
        <f t="shared" si="136"/>
        <v>0</v>
      </c>
      <c r="EV136" s="139">
        <f t="shared" si="137"/>
        <v>0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5.4413904293350654</v>
      </c>
      <c r="FV136" s="149"/>
      <c r="FY136" s="211">
        <v>131</v>
      </c>
      <c r="FZ136">
        <v>36.111463867707769</v>
      </c>
      <c r="GA136">
        <v>36.564064723883803</v>
      </c>
      <c r="GB136">
        <v>19.43491223705875</v>
      </c>
      <c r="GC136">
        <v>1.8185700382686847</v>
      </c>
      <c r="GD136">
        <v>0.26371971868244504</v>
      </c>
      <c r="GE136">
        <v>0.60690566123841772</v>
      </c>
      <c r="GF136">
        <v>3.2424573647125965</v>
      </c>
      <c r="GG136">
        <v>5.2519461782117487</v>
      </c>
      <c r="GH136">
        <v>7.6426954455232705</v>
      </c>
      <c r="GI136">
        <v>22.645737372823461</v>
      </c>
      <c r="GJ136"/>
      <c r="GK136"/>
      <c r="GL136"/>
      <c r="GM136"/>
    </row>
    <row r="137" spans="1:195" s="7" customFormat="1">
      <c r="A137" s="1"/>
      <c r="B137" s="76">
        <f ca="1">IF(C137="", "", RAND())</f>
        <v>0.85272090649876531</v>
      </c>
      <c r="C137">
        <v>1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32.051282051282051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15.504473824786322</v>
      </c>
      <c r="AO137">
        <v>167.03219949438815</v>
      </c>
      <c r="AP137">
        <v>927.15721295623848</v>
      </c>
      <c r="AQ137">
        <v>194.34556392562422</v>
      </c>
      <c r="AR137">
        <v>154.94229362842427</v>
      </c>
      <c r="AS137">
        <v>1065.9262872856564</v>
      </c>
      <c r="AT137" t="e">
        <v>#DIV/0!</v>
      </c>
      <c r="AU137" t="e">
        <v>#DIV/0!</v>
      </c>
      <c r="AV137"/>
      <c r="AW137"/>
      <c r="AX137" s="146"/>
      <c r="AY137" s="76">
        <f t="shared" ca="1" si="86"/>
        <v>0.21167707628464871</v>
      </c>
      <c r="AZ137">
        <v>10</v>
      </c>
      <c r="BA137" s="129">
        <f t="shared" si="164"/>
        <v>39775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88"/>
        <v>0.3461541800485135</v>
      </c>
      <c r="CL137" s="179">
        <f t="shared" si="89"/>
        <v>10</v>
      </c>
      <c r="CM137" s="180">
        <f t="shared" si="90"/>
        <v>39775</v>
      </c>
      <c r="CN137" s="225">
        <v>0</v>
      </c>
      <c r="CO137" s="225">
        <v>0</v>
      </c>
      <c r="CP137" s="225">
        <v>0</v>
      </c>
      <c r="CQ137" s="225">
        <v>0</v>
      </c>
      <c r="CR137" s="225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0.40272898305680771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0</v>
      </c>
      <c r="DH137" s="161">
        <f t="shared" si="95"/>
        <v>0</v>
      </c>
      <c r="DI137" s="161">
        <f t="shared" si="96"/>
        <v>0</v>
      </c>
      <c r="DJ137" s="161">
        <f t="shared" si="97"/>
        <v>0</v>
      </c>
      <c r="DK137" s="161">
        <f t="shared" si="98"/>
        <v>0</v>
      </c>
      <c r="DL137" s="161">
        <f t="shared" si="99"/>
        <v>0</v>
      </c>
      <c r="DM137" s="161">
        <f t="shared" si="100"/>
        <v>0</v>
      </c>
      <c r="DN137" s="161">
        <f t="shared" si="101"/>
        <v>0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0</v>
      </c>
      <c r="EL137" s="149"/>
      <c r="EN137" s="146"/>
      <c r="EO137" s="146"/>
      <c r="EP137" s="139">
        <f t="shared" si="131"/>
        <v>0</v>
      </c>
      <c r="EQ137" s="139">
        <f t="shared" si="132"/>
        <v>0</v>
      </c>
      <c r="ER137" s="139">
        <f t="shared" si="133"/>
        <v>0</v>
      </c>
      <c r="ES137" s="139">
        <f t="shared" si="134"/>
        <v>0</v>
      </c>
      <c r="ET137" s="139">
        <f t="shared" si="135"/>
        <v>0</v>
      </c>
      <c r="EU137" s="139">
        <f t="shared" si="136"/>
        <v>0</v>
      </c>
      <c r="EV137" s="139">
        <f t="shared" si="137"/>
        <v>0</v>
      </c>
      <c r="EW137" s="139">
        <f t="shared" si="138"/>
        <v>0</v>
      </c>
      <c r="EX137" s="139">
        <f t="shared" si="139"/>
        <v>0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0</v>
      </c>
      <c r="FV137" s="149"/>
      <c r="FY137" s="211">
        <v>132</v>
      </c>
      <c r="FZ137">
        <v>39.848018790356356</v>
      </c>
      <c r="GA137">
        <v>44.619097252773543</v>
      </c>
      <c r="GB137">
        <v>30.256852833572069</v>
      </c>
      <c r="GC137">
        <v>2.9327390008219156</v>
      </c>
      <c r="GD137">
        <v>0.45217132115721681</v>
      </c>
      <c r="GE137">
        <v>0.46944603506092875</v>
      </c>
      <c r="GF137">
        <v>1.9557679508572623</v>
      </c>
      <c r="GG137">
        <v>4.6071152408139096</v>
      </c>
      <c r="GH137">
        <v>5.582888179644657</v>
      </c>
      <c r="GI137">
        <v>37.191100162039554</v>
      </c>
      <c r="GJ137"/>
      <c r="GK137"/>
      <c r="GL137"/>
      <c r="GM137"/>
    </row>
    <row r="138" spans="1:195" s="7" customFormat="1">
      <c r="A138" s="128"/>
      <c r="B138" s="76">
        <f ca="1">IF(C138="", "", RAND())</f>
        <v>0.62510290749639918</v>
      </c>
      <c r="C138">
        <v>8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20.833333333333332</v>
      </c>
      <c r="K138">
        <v>10.416666666666666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18.57835202991453</v>
      </c>
      <c r="AO138">
        <v>185.28899438796847</v>
      </c>
      <c r="AP138">
        <v>965.14633441416845</v>
      </c>
      <c r="AQ138">
        <v>157.91238042419218</v>
      </c>
      <c r="AR138">
        <v>171.80425020660567</v>
      </c>
      <c r="AS138">
        <v>1498.8576618023963</v>
      </c>
      <c r="AT138" t="e">
        <v>#DIV/0!</v>
      </c>
      <c r="AU138" t="e">
        <v>#DIV/0!</v>
      </c>
      <c r="AV138"/>
      <c r="AW138"/>
      <c r="AX138" s="128"/>
      <c r="AY138" s="76">
        <f t="shared" ca="1" si="86"/>
        <v>0.37416449680275066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88"/>
        <v>0.34564718609638412</v>
      </c>
      <c r="CL138" s="179">
        <f t="shared" si="89"/>
        <v>1</v>
      </c>
      <c r="CM138" s="180">
        <f t="shared" si="90"/>
        <v>39799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0.35602107274594985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0</v>
      </c>
      <c r="DI138" s="161">
        <f t="shared" si="96"/>
        <v>0</v>
      </c>
      <c r="DJ138" s="161">
        <f t="shared" si="97"/>
        <v>0</v>
      </c>
      <c r="DK138" s="161">
        <f t="shared" si="98"/>
        <v>0</v>
      </c>
      <c r="DL138" s="161">
        <f t="shared" si="99"/>
        <v>0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0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0</v>
      </c>
      <c r="ES138" s="139">
        <f t="shared" si="134"/>
        <v>0</v>
      </c>
      <c r="ET138" s="139">
        <f t="shared" si="135"/>
        <v>0</v>
      </c>
      <c r="EU138" s="139">
        <f t="shared" si="136"/>
        <v>0</v>
      </c>
      <c r="EV138" s="139">
        <f t="shared" si="137"/>
        <v>0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0</v>
      </c>
      <c r="FV138" s="149"/>
      <c r="FY138" s="211">
        <v>133</v>
      </c>
      <c r="FZ138">
        <v>12.913924825408044</v>
      </c>
      <c r="GA138">
        <v>15.660452305165331</v>
      </c>
      <c r="GB138">
        <v>31.298528744781159</v>
      </c>
      <c r="GC138">
        <v>2.4448975487247981</v>
      </c>
      <c r="GD138">
        <v>0.34497244441380825</v>
      </c>
      <c r="GE138">
        <v>0.73980107202490819</v>
      </c>
      <c r="GF138">
        <v>3.4895471979098502</v>
      </c>
      <c r="GG138">
        <v>7.7409484153668693</v>
      </c>
      <c r="GH138">
        <v>18.899809692038044</v>
      </c>
      <c r="GI138">
        <v>37.606864672474472</v>
      </c>
      <c r="GJ138"/>
      <c r="GK138"/>
      <c r="GL138"/>
      <c r="GM138"/>
    </row>
    <row r="139" spans="1:195" s="7" customFormat="1">
      <c r="A139" s="1"/>
      <c r="B139" s="76">
        <f ca="1">IF(C139="", "", RAND())</f>
        <v>0.99466410083238621</v>
      </c>
      <c r="C139">
        <v>3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13.088501602564099</v>
      </c>
      <c r="AO139">
        <v>119.56821255108005</v>
      </c>
      <c r="AP139">
        <v>847.01944815214006</v>
      </c>
      <c r="AQ139">
        <v>177.68560926423504</v>
      </c>
      <c r="AR139">
        <v>110.92507594632839</v>
      </c>
      <c r="AS139">
        <v>767.96380696771359</v>
      </c>
      <c r="AT139" t="e">
        <v>#DIV/0!</v>
      </c>
      <c r="AU139" t="e">
        <v>#DIV/0!</v>
      </c>
      <c r="AV139"/>
      <c r="AW139"/>
      <c r="AX139" s="146"/>
      <c r="AY139" s="76">
        <f t="shared" ca="1" si="86"/>
        <v>0.40169632106370212</v>
      </c>
      <c r="AZ139">
        <v>2</v>
      </c>
      <c r="BA139" s="129">
        <f t="shared" ref="BA139:BA147" si="166">IF(AZ139="", "",$C$9)</f>
        <v>39799</v>
      </c>
      <c r="BB139">
        <v>0</v>
      </c>
      <c r="BC139">
        <v>0</v>
      </c>
      <c r="BD139">
        <v>0</v>
      </c>
      <c r="BE139">
        <v>0</v>
      </c>
      <c r="BF139">
        <v>1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88"/>
        <v>2.849902353478484E-3</v>
      </c>
      <c r="CL139" s="179">
        <f t="shared" si="89"/>
        <v>2</v>
      </c>
      <c r="CM139" s="180">
        <f t="shared" si="90"/>
        <v>39799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0.70469418108908943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0</v>
      </c>
      <c r="DH139" s="161">
        <f t="shared" si="95"/>
        <v>0</v>
      </c>
      <c r="DI139" s="161">
        <f t="shared" si="96"/>
        <v>0</v>
      </c>
      <c r="DJ139" s="161">
        <f t="shared" si="97"/>
        <v>10.416666666666666</v>
      </c>
      <c r="DK139" s="161">
        <f t="shared" si="98"/>
        <v>0</v>
      </c>
      <c r="DL139" s="161">
        <f t="shared" si="99"/>
        <v>0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10.416666666666666</v>
      </c>
      <c r="EL139" s="149"/>
      <c r="EN139" s="146"/>
      <c r="EO139" s="146"/>
      <c r="EP139" s="139">
        <f t="shared" si="131"/>
        <v>0</v>
      </c>
      <c r="EQ139" s="139">
        <f t="shared" si="132"/>
        <v>0</v>
      </c>
      <c r="ER139" s="139">
        <f t="shared" si="133"/>
        <v>0</v>
      </c>
      <c r="ES139" s="139">
        <f t="shared" si="134"/>
        <v>0</v>
      </c>
      <c r="ET139" s="139">
        <f t="shared" si="135"/>
        <v>5.4413904293350654</v>
      </c>
      <c r="EU139" s="139">
        <f t="shared" si="136"/>
        <v>0</v>
      </c>
      <c r="EV139" s="139">
        <f t="shared" si="137"/>
        <v>0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5.4413904293350654</v>
      </c>
      <c r="FV139" s="149"/>
      <c r="FY139" s="211">
        <v>134</v>
      </c>
      <c r="FZ139">
        <v>35.245070417908259</v>
      </c>
      <c r="GA139">
        <v>41.365197168981581</v>
      </c>
      <c r="GB139">
        <v>47.784671650560988</v>
      </c>
      <c r="GC139">
        <v>1.2003308422359997</v>
      </c>
      <c r="GD139">
        <v>9.8362618435667654E-2</v>
      </c>
      <c r="GE139">
        <v>6.4145476115377922E-2</v>
      </c>
      <c r="GF139">
        <v>1.3720757802307393</v>
      </c>
      <c r="GG139">
        <v>8.8118091036555146</v>
      </c>
      <c r="GH139">
        <v>32.95310900428651</v>
      </c>
      <c r="GI139">
        <v>51.476162221998145</v>
      </c>
      <c r="GJ139"/>
      <c r="GK139"/>
      <c r="GL139"/>
      <c r="GM139"/>
    </row>
    <row r="140" spans="1:195" s="7" customFormat="1">
      <c r="A140" s="1"/>
      <c r="B140" s="76">
        <f ca="1">IF(C140="", "", RAND())</f>
        <v>2.7865663719260247E-2</v>
      </c>
      <c r="C140">
        <v>5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8.865411324786324</v>
      </c>
      <c r="AO140">
        <v>48.672471351642031</v>
      </c>
      <c r="AP140">
        <v>520.72092130029398</v>
      </c>
      <c r="AQ140">
        <v>174.23087880112706</v>
      </c>
      <c r="AR140">
        <v>45.122373184535604</v>
      </c>
      <c r="AS140">
        <v>250.68429419074971</v>
      </c>
      <c r="AT140" t="e">
        <v>#DIV/0!</v>
      </c>
      <c r="AU140" t="e">
        <v>#DIV/0!</v>
      </c>
      <c r="AV140"/>
      <c r="AW140"/>
      <c r="AX140" s="146"/>
      <c r="AY140" s="76">
        <f t="shared" ca="1" si="86"/>
        <v>0.30930055353771468</v>
      </c>
      <c r="AZ140">
        <v>3</v>
      </c>
      <c r="BA140" s="129">
        <f t="shared" si="166"/>
        <v>39799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88"/>
        <v>0.68193539238915779</v>
      </c>
      <c r="CL140" s="179">
        <f t="shared" si="89"/>
        <v>3</v>
      </c>
      <c r="CM140" s="180">
        <f t="shared" si="90"/>
        <v>39799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0.55820571427071108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0</v>
      </c>
      <c r="DI140" s="161">
        <f t="shared" si="96"/>
        <v>0</v>
      </c>
      <c r="DJ140" s="161">
        <f t="shared" si="97"/>
        <v>0</v>
      </c>
      <c r="DK140" s="161">
        <f t="shared" si="98"/>
        <v>0</v>
      </c>
      <c r="DL140" s="161">
        <f t="shared" si="99"/>
        <v>0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0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0</v>
      </c>
      <c r="ES140" s="139">
        <f t="shared" si="134"/>
        <v>0</v>
      </c>
      <c r="ET140" s="139">
        <f t="shared" si="135"/>
        <v>0</v>
      </c>
      <c r="EU140" s="139">
        <f t="shared" si="136"/>
        <v>0</v>
      </c>
      <c r="EV140" s="139">
        <f t="shared" si="137"/>
        <v>0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0</v>
      </c>
      <c r="FV140" s="149"/>
      <c r="FY140" s="211">
        <v>135</v>
      </c>
      <c r="FZ140">
        <v>24.214988183383429</v>
      </c>
      <c r="GA140">
        <v>25.903563715767845</v>
      </c>
      <c r="GB140">
        <v>21.147610606907001</v>
      </c>
      <c r="GC140">
        <v>2.1809657672332516</v>
      </c>
      <c r="GD140">
        <v>0.20013950956656326</v>
      </c>
      <c r="GE140">
        <v>0.48778338295439488</v>
      </c>
      <c r="GF140">
        <v>3.0246269206592489</v>
      </c>
      <c r="GG140">
        <v>3.8901614302616783</v>
      </c>
      <c r="GH140">
        <v>13.639441468708196</v>
      </c>
      <c r="GI140">
        <v>27.883683711906862</v>
      </c>
      <c r="GJ140"/>
      <c r="GK140"/>
      <c r="GL140"/>
      <c r="GM140"/>
    </row>
    <row r="141" spans="1:195" s="7" customFormat="1">
      <c r="A141" s="1"/>
      <c r="B141" s="76">
        <f ca="1">IF(C141="", "", RAND())</f>
        <v>0.3213879320534474</v>
      </c>
      <c r="C141">
        <v>2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10.416666666666666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14.987072649572648</v>
      </c>
      <c r="AO141">
        <v>169.74415930748825</v>
      </c>
      <c r="AP141">
        <v>1191.7071837844342</v>
      </c>
      <c r="AQ141">
        <v>196.68556615667205</v>
      </c>
      <c r="AR141">
        <v>157.5071901709878</v>
      </c>
      <c r="AS141">
        <v>1268.0505641768889</v>
      </c>
      <c r="AT141" t="e">
        <v>#DIV/0!</v>
      </c>
      <c r="AU141" t="e">
        <v>#DIV/0!</v>
      </c>
      <c r="AV141"/>
      <c r="AW141"/>
      <c r="AX141" s="146"/>
      <c r="AY141" s="76">
        <f t="shared" ca="1" si="86"/>
        <v>0.66572021610393617</v>
      </c>
      <c r="AZ141">
        <v>4</v>
      </c>
      <c r="BA141" s="129">
        <f t="shared" si="166"/>
        <v>39799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1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1</v>
      </c>
      <c r="BO141">
        <v>2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88"/>
        <v>0.12265953391532447</v>
      </c>
      <c r="CL141" s="179">
        <f t="shared" si="89"/>
        <v>4</v>
      </c>
      <c r="CM141" s="180">
        <f t="shared" si="90"/>
        <v>39799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0.39574806569113541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0</v>
      </c>
      <c r="DH141" s="161">
        <f t="shared" si="95"/>
        <v>0</v>
      </c>
      <c r="DI141" s="161">
        <f t="shared" si="96"/>
        <v>0</v>
      </c>
      <c r="DJ141" s="161">
        <f t="shared" si="97"/>
        <v>0</v>
      </c>
      <c r="DK141" s="161">
        <f t="shared" si="98"/>
        <v>37.878787878787875</v>
      </c>
      <c r="DL141" s="161">
        <f t="shared" si="99"/>
        <v>0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37.878787878787875</v>
      </c>
      <c r="DS141" s="161">
        <f t="shared" si="106"/>
        <v>75.757575757575751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151.5151515151515</v>
      </c>
      <c r="EL141" s="149"/>
      <c r="EN141" s="146"/>
      <c r="EO141" s="146"/>
      <c r="EP141" s="139">
        <f t="shared" si="131"/>
        <v>0</v>
      </c>
      <c r="EQ141" s="139">
        <f t="shared" si="132"/>
        <v>0</v>
      </c>
      <c r="ER141" s="139">
        <f t="shared" si="133"/>
        <v>0</v>
      </c>
      <c r="ES141" s="139">
        <f t="shared" si="134"/>
        <v>0</v>
      </c>
      <c r="ET141" s="139">
        <f t="shared" si="135"/>
        <v>0</v>
      </c>
      <c r="EU141" s="139">
        <f t="shared" si="136"/>
        <v>37.737674593497246</v>
      </c>
      <c r="EV141" s="139">
        <f t="shared" si="137"/>
        <v>0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475.19568967473128</v>
      </c>
      <c r="FC141" s="139">
        <f t="shared" si="144"/>
        <v>1198.0712091977136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1711.004573465942</v>
      </c>
      <c r="FV141" s="149"/>
      <c r="FY141" s="211">
        <v>136</v>
      </c>
      <c r="FZ141">
        <v>31.930552309994425</v>
      </c>
      <c r="GA141">
        <v>39.728371180280469</v>
      </c>
      <c r="GB141">
        <v>45.615605906787259</v>
      </c>
      <c r="GC141">
        <v>1.3440309869950307</v>
      </c>
      <c r="GD141">
        <v>0.14483293484724508</v>
      </c>
      <c r="GE141">
        <v>0.38444410520318484</v>
      </c>
      <c r="GF141">
        <v>3.17310588705663</v>
      </c>
      <c r="GG141">
        <v>3.8338046293452734</v>
      </c>
      <c r="GH141">
        <v>5.582888179644657</v>
      </c>
      <c r="GI141">
        <v>39.450803227789208</v>
      </c>
      <c r="GJ141"/>
      <c r="GK141"/>
      <c r="GL141"/>
      <c r="GM141"/>
    </row>
    <row r="142" spans="1:195" s="7" customFormat="1">
      <c r="A142" s="1"/>
      <c r="B142" s="76">
        <f ca="1">IF(C142="", "", RAND())</f>
        <v>0.26148904854774013</v>
      </c>
      <c r="C142">
        <v>4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37.878787878787875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37.878787878787875</v>
      </c>
      <c r="R142">
        <v>75.757575757575751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16.019097222222221</v>
      </c>
      <c r="AO142">
        <v>145.01790939766718</v>
      </c>
      <c r="AP142">
        <v>633.35197506941017</v>
      </c>
      <c r="AQ142">
        <v>140.26331029662231</v>
      </c>
      <c r="AR142">
        <v>134.50434995726408</v>
      </c>
      <c r="AS142">
        <v>1298.5012377460046</v>
      </c>
      <c r="AT142" t="e">
        <v>#DIV/0!</v>
      </c>
      <c r="AU142" t="e">
        <v>#DIV/0!</v>
      </c>
      <c r="AV142"/>
      <c r="AW142"/>
      <c r="AX142" s="146"/>
      <c r="AY142" s="76">
        <f t="shared" ca="1" si="86"/>
        <v>0.69401793806894729</v>
      </c>
      <c r="AZ142">
        <v>5</v>
      </c>
      <c r="BA142" s="129">
        <f t="shared" si="166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88"/>
        <v>0.81012904241243344</v>
      </c>
      <c r="CL142" s="179">
        <f t="shared" si="89"/>
        <v>5</v>
      </c>
      <c r="CM142" s="180">
        <f t="shared" si="90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0.47861784977488142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0</v>
      </c>
      <c r="DH142" s="161">
        <f t="shared" si="95"/>
        <v>0</v>
      </c>
      <c r="DI142" s="161">
        <f t="shared" si="96"/>
        <v>0</v>
      </c>
      <c r="DJ142" s="161">
        <f t="shared" si="97"/>
        <v>0</v>
      </c>
      <c r="DK142" s="161">
        <f t="shared" si="98"/>
        <v>0</v>
      </c>
      <c r="DL142" s="161">
        <f t="shared" si="99"/>
        <v>0</v>
      </c>
      <c r="DM142" s="161">
        <f t="shared" si="100"/>
        <v>0</v>
      </c>
      <c r="DN142" s="161">
        <f t="shared" si="101"/>
        <v>0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0</v>
      </c>
      <c r="EL142" s="149"/>
      <c r="EN142" s="146"/>
      <c r="EO142" s="146"/>
      <c r="EP142" s="139">
        <f t="shared" si="131"/>
        <v>0</v>
      </c>
      <c r="EQ142" s="139">
        <f t="shared" si="132"/>
        <v>0</v>
      </c>
      <c r="ER142" s="139">
        <f t="shared" si="133"/>
        <v>0</v>
      </c>
      <c r="ES142" s="139">
        <f t="shared" si="134"/>
        <v>0</v>
      </c>
      <c r="ET142" s="139">
        <f t="shared" si="135"/>
        <v>0</v>
      </c>
      <c r="EU142" s="139">
        <f t="shared" si="136"/>
        <v>0</v>
      </c>
      <c r="EV142" s="139">
        <f t="shared" si="137"/>
        <v>0</v>
      </c>
      <c r="EW142" s="139">
        <f t="shared" si="138"/>
        <v>0</v>
      </c>
      <c r="EX142" s="139">
        <f t="shared" si="139"/>
        <v>0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0</v>
      </c>
      <c r="FV142" s="149"/>
      <c r="FY142" s="211">
        <v>137</v>
      </c>
      <c r="FZ142">
        <v>46.990490410948397</v>
      </c>
      <c r="GA142">
        <v>52.886981042476052</v>
      </c>
      <c r="GB142">
        <v>83.797708378174192</v>
      </c>
      <c r="GC142">
        <v>3.7829061969069895</v>
      </c>
      <c r="GD142">
        <v>0.25474280439690988</v>
      </c>
      <c r="GE142">
        <v>0.28570928600770912</v>
      </c>
      <c r="GF142">
        <v>4.7737125868201682</v>
      </c>
      <c r="GG142">
        <v>16.535775163262464</v>
      </c>
      <c r="GH142">
        <v>28.005778785448747</v>
      </c>
      <c r="GI142">
        <v>73.306646994271659</v>
      </c>
      <c r="GJ142"/>
      <c r="GK142"/>
      <c r="GL142"/>
      <c r="GM142"/>
    </row>
    <row r="143" spans="1:195" s="7" customFormat="1">
      <c r="A143" s="1"/>
      <c r="B143" s="76">
        <f ca="1">IF(C143="", "", RAND())</f>
        <v>0.9541254317956227</v>
      </c>
      <c r="C143">
        <v>7</v>
      </c>
      <c r="D143">
        <v>39799</v>
      </c>
      <c r="E143">
        <v>0</v>
      </c>
      <c r="F143">
        <v>0</v>
      </c>
      <c r="G143">
        <v>0</v>
      </c>
      <c r="H143">
        <v>10.416666666666666</v>
      </c>
      <c r="I143">
        <v>20.833333333333332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13.970486111111111</v>
      </c>
      <c r="AO143">
        <v>120.99148593088485</v>
      </c>
      <c r="AP143">
        <v>949.01060602100154</v>
      </c>
      <c r="AQ143">
        <v>192.57809551069332</v>
      </c>
      <c r="AR143">
        <v>112.11419946765763</v>
      </c>
      <c r="AS143">
        <v>613.63176048455125</v>
      </c>
      <c r="AT143" t="e">
        <v>#DIV/0!</v>
      </c>
      <c r="AU143" t="e">
        <v>#DIV/0!</v>
      </c>
      <c r="AV143"/>
      <c r="AW143"/>
      <c r="AX143" s="146"/>
      <c r="AY143" s="76">
        <f t="shared" ca="1" si="86"/>
        <v>0.69820652596968924</v>
      </c>
      <c r="AZ143">
        <v>6</v>
      </c>
      <c r="BA143" s="129">
        <f t="shared" si="166"/>
        <v>39799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88"/>
        <v>0.72146263053017368</v>
      </c>
      <c r="CL143" s="179">
        <f t="shared" si="89"/>
        <v>6</v>
      </c>
      <c r="CM143" s="180">
        <f t="shared" si="90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0.86433508805436876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0</v>
      </c>
      <c r="DK143" s="161">
        <f t="shared" si="98"/>
        <v>0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0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</v>
      </c>
      <c r="EU143" s="139">
        <f t="shared" si="136"/>
        <v>0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0</v>
      </c>
      <c r="FV143" s="149"/>
      <c r="FY143" s="211">
        <v>138</v>
      </c>
      <c r="FZ143">
        <v>31.266061213945854</v>
      </c>
      <c r="GA143">
        <v>35.383401889892674</v>
      </c>
      <c r="GB143">
        <v>46.136242303236571</v>
      </c>
      <c r="GC143">
        <v>2.8646883095376658</v>
      </c>
      <c r="GD143">
        <v>0.48082846497551834</v>
      </c>
      <c r="GE143">
        <v>0.79938233274928749</v>
      </c>
      <c r="GF143">
        <v>3.4338679045559046</v>
      </c>
      <c r="GG143">
        <v>8.5536334719919918</v>
      </c>
      <c r="GH143">
        <v>11.165776359289314</v>
      </c>
      <c r="GI143">
        <v>46.93615490694836</v>
      </c>
      <c r="GJ143"/>
      <c r="GK143"/>
      <c r="GL143"/>
      <c r="GM143"/>
    </row>
    <row r="144" spans="1:195" s="7" customFormat="1">
      <c r="A144" s="1"/>
      <c r="B144" s="76">
        <f ca="1">IF(C144="", "", RAND())</f>
        <v>0.69787939571429947</v>
      </c>
      <c r="C144">
        <v>10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12.47318376068376</v>
      </c>
      <c r="AO144">
        <v>70.565223217637069</v>
      </c>
      <c r="AP144">
        <v>581.21979295841163</v>
      </c>
      <c r="AQ144">
        <v>201.8120951321186</v>
      </c>
      <c r="AR144">
        <v>65.422890813726099</v>
      </c>
      <c r="AS144">
        <v>527.44610765142056</v>
      </c>
      <c r="AT144" t="e">
        <v>#DIV/0!</v>
      </c>
      <c r="AU144" t="e">
        <v>#DIV/0!</v>
      </c>
      <c r="AV144"/>
      <c r="AW144"/>
      <c r="AX144" s="146"/>
      <c r="AY144" s="76">
        <f t="shared" ca="1" si="86"/>
        <v>0.76325250565592562</v>
      </c>
      <c r="AZ144">
        <v>7</v>
      </c>
      <c r="BA144" s="129">
        <f t="shared" si="166"/>
        <v>39799</v>
      </c>
      <c r="BB144">
        <v>0</v>
      </c>
      <c r="BC144">
        <v>0</v>
      </c>
      <c r="BD144">
        <v>0</v>
      </c>
      <c r="BE144">
        <v>1</v>
      </c>
      <c r="BF144">
        <v>2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88"/>
        <v>0.33202707970900214</v>
      </c>
      <c r="CL144" s="179">
        <f t="shared" si="89"/>
        <v>7</v>
      </c>
      <c r="CM144" s="180">
        <f t="shared" si="90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0.88959660667998053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0</v>
      </c>
      <c r="DI144" s="161">
        <f t="shared" si="96"/>
        <v>10.416666666666666</v>
      </c>
      <c r="DJ144" s="161">
        <f t="shared" si="97"/>
        <v>20.833333333333332</v>
      </c>
      <c r="DK144" s="161">
        <f t="shared" si="98"/>
        <v>0</v>
      </c>
      <c r="DL144" s="161">
        <f t="shared" si="99"/>
        <v>0</v>
      </c>
      <c r="DM144" s="161">
        <f t="shared" si="100"/>
        <v>0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31.25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</v>
      </c>
      <c r="ES144" s="139">
        <f t="shared" si="134"/>
        <v>2.3670861810832911</v>
      </c>
      <c r="ET144" s="139">
        <f t="shared" si="135"/>
        <v>10.882780858670131</v>
      </c>
      <c r="EU144" s="139">
        <f t="shared" si="136"/>
        <v>0</v>
      </c>
      <c r="EV144" s="139">
        <f t="shared" si="137"/>
        <v>0</v>
      </c>
      <c r="EW144" s="139">
        <f t="shared" si="138"/>
        <v>0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13.249867039753422</v>
      </c>
      <c r="FV144" s="149"/>
      <c r="FY144" s="211">
        <v>139</v>
      </c>
      <c r="FZ144">
        <v>48.99425843399797</v>
      </c>
      <c r="GA144">
        <v>54.5869976755436</v>
      </c>
      <c r="GB144">
        <v>53.465337581998426</v>
      </c>
      <c r="GC144">
        <v>2.6859967801251905</v>
      </c>
      <c r="GD144">
        <v>0.32173728620801972</v>
      </c>
      <c r="GE144">
        <v>0.25201768907051325</v>
      </c>
      <c r="GF144">
        <v>0.43879882895893124</v>
      </c>
      <c r="GG144">
        <v>5.936151560766076</v>
      </c>
      <c r="GH144">
        <v>9.1973069806361583</v>
      </c>
      <c r="GI144">
        <v>44.626072154235516</v>
      </c>
      <c r="GJ144"/>
      <c r="GK144"/>
      <c r="GL144"/>
      <c r="GM144"/>
    </row>
    <row r="145" spans="1:195" s="7" customFormat="1">
      <c r="A145" s="1"/>
      <c r="B145" s="76">
        <f ca="1">IF(C145="", "", RAND())</f>
        <v>0.58303365585535061</v>
      </c>
      <c r="C145">
        <v>1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12.923571047008545</v>
      </c>
      <c r="AO145">
        <v>129.31252686454133</v>
      </c>
      <c r="AP145">
        <v>1065.2181362967342</v>
      </c>
      <c r="AQ145">
        <v>184.73210109657572</v>
      </c>
      <c r="AR145">
        <v>119.92353139413905</v>
      </c>
      <c r="AS145">
        <v>580.94907602496005</v>
      </c>
      <c r="AT145" t="e">
        <v>#DIV/0!</v>
      </c>
      <c r="AU145" t="e">
        <v>#DIV/0!</v>
      </c>
      <c r="AV145"/>
      <c r="AW145"/>
      <c r="AX145" s="146"/>
      <c r="AY145" s="76">
        <f t="shared" ca="1" si="86"/>
        <v>0.21054225320385012</v>
      </c>
      <c r="AZ145">
        <v>8</v>
      </c>
      <c r="BA145" s="129">
        <f t="shared" si="166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2</v>
      </c>
      <c r="BH145">
        <v>1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88"/>
        <v>0.63894068644620372</v>
      </c>
      <c r="CL145" s="179">
        <f t="shared" si="89"/>
        <v>8</v>
      </c>
      <c r="CM145" s="180">
        <f t="shared" si="90"/>
        <v>39799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7.1428567850784219E-2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0</v>
      </c>
      <c r="DH145" s="161">
        <f t="shared" si="95"/>
        <v>0</v>
      </c>
      <c r="DI145" s="161">
        <f t="shared" si="96"/>
        <v>0</v>
      </c>
      <c r="DJ145" s="161">
        <f t="shared" si="97"/>
        <v>0</v>
      </c>
      <c r="DK145" s="161">
        <f t="shared" si="98"/>
        <v>20.833333333333332</v>
      </c>
      <c r="DL145" s="161">
        <f t="shared" si="99"/>
        <v>10.416666666666666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31.25</v>
      </c>
      <c r="EL145" s="149"/>
      <c r="EN145" s="146"/>
      <c r="EO145" s="146"/>
      <c r="EP145" s="139">
        <f t="shared" si="131"/>
        <v>0</v>
      </c>
      <c r="EQ145" s="139">
        <f t="shared" si="132"/>
        <v>0</v>
      </c>
      <c r="ER145" s="139">
        <f t="shared" si="133"/>
        <v>0</v>
      </c>
      <c r="ES145" s="139">
        <f t="shared" si="134"/>
        <v>0</v>
      </c>
      <c r="ET145" s="139">
        <f t="shared" si="135"/>
        <v>0</v>
      </c>
      <c r="EU145" s="139">
        <f t="shared" si="136"/>
        <v>20.755721026423483</v>
      </c>
      <c r="EV145" s="139">
        <f t="shared" si="137"/>
        <v>17.587723455391696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38.343444481815183</v>
      </c>
      <c r="FV145" s="149"/>
      <c r="FY145" s="211">
        <v>140</v>
      </c>
      <c r="FZ145">
        <v>36.706876194056719</v>
      </c>
      <c r="GA145">
        <v>41.500825376566738</v>
      </c>
      <c r="GB145">
        <v>50.921016996704523</v>
      </c>
      <c r="GC145">
        <v>0.80194885276293981</v>
      </c>
      <c r="GD145">
        <v>0.219960395077124</v>
      </c>
      <c r="GE145">
        <v>0.4786147090076619</v>
      </c>
      <c r="GF145">
        <v>1.8738179812524622</v>
      </c>
      <c r="GG145">
        <v>2.8756575428894382</v>
      </c>
      <c r="GH145">
        <v>11.67097209005504</v>
      </c>
      <c r="GI145">
        <v>44.821625886835299</v>
      </c>
      <c r="GJ145"/>
      <c r="GK145"/>
      <c r="GL145"/>
      <c r="GM145"/>
    </row>
    <row r="146" spans="1:195" s="7" customFormat="1">
      <c r="A146" s="1"/>
      <c r="B146" s="76">
        <f ca="1">IF(C146="", "", RAND())</f>
        <v>0.29244632981148033</v>
      </c>
      <c r="C146">
        <v>6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13.605689102564103</v>
      </c>
      <c r="AO146">
        <v>118.79727041991023</v>
      </c>
      <c r="AP146">
        <v>787.89133493135671</v>
      </c>
      <c r="AQ146">
        <v>166.68933014821113</v>
      </c>
      <c r="AR146">
        <v>110.19339198347173</v>
      </c>
      <c r="AS146">
        <v>1091.4239332536861</v>
      </c>
      <c r="AT146" t="e">
        <v>#DIV/0!</v>
      </c>
      <c r="AU146" t="e">
        <v>#DIV/0!</v>
      </c>
      <c r="AV146"/>
      <c r="AW146"/>
      <c r="AX146" s="146"/>
      <c r="AY146" s="76">
        <f t="shared" ca="1" si="86"/>
        <v>0.64301578951516802</v>
      </c>
      <c r="AZ146">
        <v>9</v>
      </c>
      <c r="BA146" s="129">
        <f t="shared" si="166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1</v>
      </c>
      <c r="BV146">
        <v>0</v>
      </c>
      <c r="BW146">
        <v>0</v>
      </c>
      <c r="BX146">
        <v>0</v>
      </c>
      <c r="BY146">
        <v>1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88"/>
        <v>0.97437651208803899</v>
      </c>
      <c r="CL146" s="179">
        <f t="shared" si="89"/>
        <v>9</v>
      </c>
      <c r="CM146" s="180">
        <f t="shared" si="90"/>
        <v>39799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0.36559538593362273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0</v>
      </c>
      <c r="DJ146" s="161">
        <f t="shared" si="97"/>
        <v>0</v>
      </c>
      <c r="DK146" s="161">
        <f t="shared" si="98"/>
        <v>0</v>
      </c>
      <c r="DL146" s="161">
        <f t="shared" si="99"/>
        <v>0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10.416666666666666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10.416666666666666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20.833333333333332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</v>
      </c>
      <c r="ET146" s="139">
        <f t="shared" si="135"/>
        <v>0</v>
      </c>
      <c r="EU146" s="139">
        <f t="shared" si="136"/>
        <v>0</v>
      </c>
      <c r="EV146" s="139">
        <f t="shared" si="137"/>
        <v>0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493.9065297423395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858.46213294763049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1352.3686626899701</v>
      </c>
      <c r="FV146" s="149"/>
      <c r="FY146" s="211">
        <v>141</v>
      </c>
      <c r="FZ146">
        <v>24.063932492099234</v>
      </c>
      <c r="GA146">
        <v>28.176450734867018</v>
      </c>
      <c r="GB146">
        <v>45.680840242346051</v>
      </c>
      <c r="GC146">
        <v>2.0323262005859553</v>
      </c>
      <c r="GD146">
        <v>0.2287966533848648</v>
      </c>
      <c r="GE146">
        <v>0.48778338295439488</v>
      </c>
      <c r="GF146">
        <v>2.803509307794481</v>
      </c>
      <c r="GG146">
        <v>5.8797947598496716</v>
      </c>
      <c r="GH146">
        <v>9.1973069806361583</v>
      </c>
      <c r="GI146">
        <v>43.977557884505764</v>
      </c>
      <c r="GJ146"/>
      <c r="GK146"/>
      <c r="GL146"/>
      <c r="GM146"/>
    </row>
    <row r="147" spans="1:195" s="7" customFormat="1">
      <c r="A147" s="1"/>
      <c r="B147" s="76">
        <f ca="1">IF(C147="", "", RAND())</f>
        <v>0.74137729227391702</v>
      </c>
      <c r="C147">
        <v>9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10.416666666666666</v>
      </c>
      <c r="Y147">
        <v>0</v>
      </c>
      <c r="Z147">
        <v>0</v>
      </c>
      <c r="AA147">
        <v>0</v>
      </c>
      <c r="AB147">
        <v>10.416666666666666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10.348050213675213</v>
      </c>
      <c r="AO147">
        <v>79.017709753595156</v>
      </c>
      <c r="AP147">
        <v>478.18646320303782</v>
      </c>
      <c r="AQ147">
        <v>133.58247260811095</v>
      </c>
      <c r="AR147">
        <v>73.341065890677811</v>
      </c>
      <c r="AS147">
        <v>621.31166914924586</v>
      </c>
      <c r="AT147" t="e">
        <v>#DIV/0!</v>
      </c>
      <c r="AU147" t="e">
        <v>#DIV/0!</v>
      </c>
      <c r="AV147"/>
      <c r="AW147"/>
      <c r="AX147" s="146"/>
      <c r="AY147" s="76">
        <f t="shared" ca="1" si="86"/>
        <v>0.3886963852917289</v>
      </c>
      <c r="AZ147">
        <v>10</v>
      </c>
      <c r="BA147" s="129">
        <f t="shared" si="166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88"/>
        <v>0.40516896326681917</v>
      </c>
      <c r="CL147" s="179">
        <f t="shared" si="89"/>
        <v>10</v>
      </c>
      <c r="CM147" s="180">
        <f t="shared" si="90"/>
        <v>39799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4.8859469450629689E-2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0</v>
      </c>
      <c r="DH147" s="161">
        <f t="shared" si="95"/>
        <v>0</v>
      </c>
      <c r="DI147" s="161">
        <f t="shared" si="96"/>
        <v>0</v>
      </c>
      <c r="DJ147" s="161">
        <f t="shared" si="97"/>
        <v>0</v>
      </c>
      <c r="DK147" s="161">
        <f t="shared" si="98"/>
        <v>0</v>
      </c>
      <c r="DL147" s="161">
        <f t="shared" si="99"/>
        <v>0</v>
      </c>
      <c r="DM147" s="161">
        <f t="shared" si="100"/>
        <v>0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0</v>
      </c>
      <c r="EL147" s="149"/>
      <c r="EN147" s="146"/>
      <c r="EO147" s="146"/>
      <c r="EP147" s="139">
        <f t="shared" si="131"/>
        <v>0</v>
      </c>
      <c r="EQ147" s="139">
        <f t="shared" si="132"/>
        <v>0</v>
      </c>
      <c r="ER147" s="139">
        <f t="shared" si="133"/>
        <v>0</v>
      </c>
      <c r="ES147" s="139">
        <f t="shared" si="134"/>
        <v>0</v>
      </c>
      <c r="ET147" s="139">
        <f t="shared" si="135"/>
        <v>0</v>
      </c>
      <c r="EU147" s="139">
        <f t="shared" si="136"/>
        <v>0</v>
      </c>
      <c r="EV147" s="139">
        <f t="shared" si="137"/>
        <v>0</v>
      </c>
      <c r="EW147" s="139">
        <f t="shared" si="138"/>
        <v>0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0</v>
      </c>
      <c r="FV147" s="149"/>
      <c r="FY147" s="211">
        <v>142</v>
      </c>
      <c r="FZ147">
        <v>27.529506291297263</v>
      </c>
      <c r="GA147">
        <v>37.566695281596566</v>
      </c>
      <c r="GB147">
        <v>27.269622382234719</v>
      </c>
      <c r="GC147">
        <v>1.7774169600362868</v>
      </c>
      <c r="GD147">
        <v>0.23777356767039992</v>
      </c>
      <c r="GE147">
        <v>0.43988990202564854</v>
      </c>
      <c r="GF147">
        <v>0.43879882895893124</v>
      </c>
      <c r="GG147">
        <v>3.8901614302616783</v>
      </c>
      <c r="GH147">
        <v>17.667718113239967</v>
      </c>
      <c r="GI147">
        <v>26.505789605392952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10.802176816239314</v>
      </c>
      <c r="AO148">
        <v>45.596567810280284</v>
      </c>
      <c r="AP148">
        <v>329.01797033030778</v>
      </c>
      <c r="AQ148">
        <v>167.91519676709743</v>
      </c>
      <c r="AR148">
        <v>42.224163740320321</v>
      </c>
      <c r="AS148">
        <v>278.53360896397305</v>
      </c>
      <c r="AT148" t="e">
        <v>#DIV/0!</v>
      </c>
      <c r="AU148" t="e">
        <v>#DIV/0!</v>
      </c>
      <c r="AV148"/>
      <c r="AW148"/>
      <c r="AX148" s="128"/>
      <c r="AY148" s="76">
        <f t="shared" ca="1" si="86"/>
        <v>7.9209957961117183E-3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1</v>
      </c>
      <c r="BE148">
        <v>0</v>
      </c>
      <c r="BF148">
        <v>0</v>
      </c>
      <c r="BG148">
        <v>1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88"/>
        <v>0.75147796198302341</v>
      </c>
      <c r="CL148" s="179">
        <f t="shared" si="89"/>
        <v>1</v>
      </c>
      <c r="CM148" s="180">
        <f t="shared" si="90"/>
        <v>39847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1"/>
        <v>9.6000000000000002E-2</v>
      </c>
      <c r="DB148" s="128"/>
      <c r="DC148" s="76">
        <f t="shared" ca="1" si="49"/>
        <v>0.90610992472695462</v>
      </c>
      <c r="DD148">
        <f t="shared" si="92"/>
        <v>1</v>
      </c>
      <c r="DE148" s="129">
        <f t="shared" ref="DE148:DE157" si="167">IF((DD148)="", "", $C$10)</f>
        <v>39847</v>
      </c>
      <c r="DF148" s="161">
        <f t="shared" si="93"/>
        <v>0</v>
      </c>
      <c r="DG148" s="161">
        <f t="shared" si="94"/>
        <v>0</v>
      </c>
      <c r="DH148" s="161">
        <f t="shared" si="95"/>
        <v>10.416666666666666</v>
      </c>
      <c r="DI148" s="161">
        <f t="shared" si="96"/>
        <v>0</v>
      </c>
      <c r="DJ148" s="161">
        <f t="shared" si="97"/>
        <v>0</v>
      </c>
      <c r="DK148" s="161">
        <f t="shared" si="98"/>
        <v>10.416666666666666</v>
      </c>
      <c r="DL148" s="161">
        <f t="shared" si="99"/>
        <v>0</v>
      </c>
      <c r="DM148" s="161">
        <f t="shared" si="100"/>
        <v>0</v>
      </c>
      <c r="DN148" s="161">
        <f t="shared" si="101"/>
        <v>0</v>
      </c>
      <c r="DO148" s="161">
        <f t="shared" si="102"/>
        <v>0</v>
      </c>
      <c r="DP148" s="161">
        <f t="shared" si="103"/>
        <v>0</v>
      </c>
      <c r="DQ148" s="161">
        <f t="shared" si="104"/>
        <v>0</v>
      </c>
      <c r="DR148" s="161">
        <f t="shared" si="105"/>
        <v>0</v>
      </c>
      <c r="DS148" s="161">
        <f t="shared" si="106"/>
        <v>0</v>
      </c>
      <c r="DT148" s="161">
        <f t="shared" si="107"/>
        <v>0</v>
      </c>
      <c r="DU148" s="161">
        <f t="shared" si="108"/>
        <v>0</v>
      </c>
      <c r="DV148" s="161">
        <f t="shared" si="109"/>
        <v>0</v>
      </c>
      <c r="DW148" s="161">
        <f t="shared" si="110"/>
        <v>0</v>
      </c>
      <c r="DX148" s="161">
        <f t="shared" si="111"/>
        <v>0</v>
      </c>
      <c r="DY148" s="161">
        <f t="shared" si="112"/>
        <v>0</v>
      </c>
      <c r="DZ148" s="161">
        <f t="shared" si="113"/>
        <v>0</v>
      </c>
      <c r="EA148" s="161">
        <f t="shared" si="114"/>
        <v>0</v>
      </c>
      <c r="EB148" s="161">
        <f t="shared" si="115"/>
        <v>0</v>
      </c>
      <c r="EC148" s="161">
        <f t="shared" si="116"/>
        <v>0</v>
      </c>
      <c r="ED148" s="161">
        <f t="shared" si="117"/>
        <v>0</v>
      </c>
      <c r="EE148" s="161">
        <f t="shared" si="118"/>
        <v>0</v>
      </c>
      <c r="EF148" s="161">
        <f t="shared" si="119"/>
        <v>0</v>
      </c>
      <c r="EG148" s="161">
        <f t="shared" si="120"/>
        <v>0</v>
      </c>
      <c r="EH148" s="161">
        <f t="shared" si="121"/>
        <v>0</v>
      </c>
      <c r="EI148" s="161">
        <f t="shared" si="122"/>
        <v>0</v>
      </c>
      <c r="EJ148" s="161">
        <f t="shared" si="123"/>
        <v>0</v>
      </c>
      <c r="EK148" s="147">
        <f t="shared" si="130"/>
        <v>20.833333333333332</v>
      </c>
      <c r="EL148" s="149"/>
      <c r="EN148" s="146"/>
      <c r="EO148" s="146"/>
      <c r="EP148" s="139">
        <f t="shared" si="131"/>
        <v>0</v>
      </c>
      <c r="EQ148" s="139">
        <f t="shared" si="132"/>
        <v>0</v>
      </c>
      <c r="ER148" s="139">
        <f t="shared" si="133"/>
        <v>0.73234265502448204</v>
      </c>
      <c r="ES148" s="139">
        <f t="shared" si="134"/>
        <v>0</v>
      </c>
      <c r="ET148" s="139">
        <f t="shared" si="135"/>
        <v>0</v>
      </c>
      <c r="EU148" s="139">
        <f t="shared" si="136"/>
        <v>10.377860513211742</v>
      </c>
      <c r="EV148" s="139">
        <f t="shared" si="137"/>
        <v>0</v>
      </c>
      <c r="EW148" s="139">
        <f t="shared" si="138"/>
        <v>0</v>
      </c>
      <c r="EX148" s="139">
        <f t="shared" si="139"/>
        <v>0</v>
      </c>
      <c r="EY148" s="139">
        <f t="shared" si="140"/>
        <v>0</v>
      </c>
      <c r="EZ148" s="139">
        <f t="shared" si="141"/>
        <v>0</v>
      </c>
      <c r="FA148" s="139">
        <f t="shared" si="142"/>
        <v>0</v>
      </c>
      <c r="FB148" s="139">
        <f t="shared" si="143"/>
        <v>0</v>
      </c>
      <c r="FC148" s="139">
        <f t="shared" si="144"/>
        <v>0</v>
      </c>
      <c r="FD148" s="139">
        <f t="shared" si="145"/>
        <v>0</v>
      </c>
      <c r="FE148" s="139">
        <f t="shared" si="146"/>
        <v>0</v>
      </c>
      <c r="FF148" s="139">
        <f t="shared" si="147"/>
        <v>0</v>
      </c>
      <c r="FG148" s="139">
        <f t="shared" si="148"/>
        <v>0</v>
      </c>
      <c r="FH148" s="139">
        <f t="shared" si="149"/>
        <v>0</v>
      </c>
      <c r="FI148" s="139">
        <f t="shared" si="150"/>
        <v>0</v>
      </c>
      <c r="FJ148" s="139">
        <f t="shared" si="151"/>
        <v>0</v>
      </c>
      <c r="FK148" s="139">
        <f t="shared" si="152"/>
        <v>0</v>
      </c>
      <c r="FL148" s="139">
        <f t="shared" si="153"/>
        <v>0</v>
      </c>
      <c r="FM148" s="139">
        <f t="shared" si="154"/>
        <v>0</v>
      </c>
      <c r="FN148" s="139">
        <f t="shared" si="155"/>
        <v>0</v>
      </c>
      <c r="FO148" s="139">
        <f t="shared" si="156"/>
        <v>0</v>
      </c>
      <c r="FP148" s="139">
        <f t="shared" si="157"/>
        <v>0</v>
      </c>
      <c r="FQ148" s="139">
        <f t="shared" si="158"/>
        <v>0</v>
      </c>
      <c r="FR148" s="139">
        <f t="shared" si="159"/>
        <v>0</v>
      </c>
      <c r="FS148" s="139">
        <f t="shared" si="160"/>
        <v>0</v>
      </c>
      <c r="FT148" s="139">
        <f t="shared" si="161"/>
        <v>0</v>
      </c>
      <c r="FU148" s="148">
        <f t="shared" si="162"/>
        <v>11.110203168236223</v>
      </c>
      <c r="FV148" s="149"/>
      <c r="FY148" s="211">
        <v>143</v>
      </c>
      <c r="FZ148">
        <v>25.081381633182939</v>
      </c>
      <c r="GA148">
        <v>30.492675817399608</v>
      </c>
      <c r="GB148">
        <v>57.227653861274902</v>
      </c>
      <c r="GC148">
        <v>2.2143185762144606</v>
      </c>
      <c r="GD148">
        <v>0.44333506284947605</v>
      </c>
      <c r="GE148">
        <v>0.85435913491793247</v>
      </c>
      <c r="GF148">
        <v>2.6120987679511725</v>
      </c>
      <c r="GG148">
        <v>6.6531053713183059</v>
      </c>
      <c r="GH148">
        <v>13.225583625167928</v>
      </c>
      <c r="GI148">
        <v>46.937738146278363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14.943536324786326</v>
      </c>
      <c r="AO149">
        <v>102.66578316747595</v>
      </c>
      <c r="AP149">
        <v>642.75568596591938</v>
      </c>
      <c r="AQ149">
        <v>131.13974691830731</v>
      </c>
      <c r="AR149">
        <v>95.257441837008358</v>
      </c>
      <c r="AS149">
        <v>901.93608142089693</v>
      </c>
      <c r="AT149" t="e">
        <v>#DIV/0!</v>
      </c>
      <c r="AU149" t="e">
        <v>#DIV/0!</v>
      </c>
      <c r="AV149"/>
      <c r="AW149"/>
      <c r="AX149" s="151"/>
      <c r="AY149" s="76">
        <f t="shared" ca="1" si="86"/>
        <v>0.58368542841734783</v>
      </c>
      <c r="AZ149">
        <v>2</v>
      </c>
      <c r="BA149" s="129">
        <f t="shared" ref="BA149:BA157" si="168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88"/>
        <v>0.53654949042222011</v>
      </c>
      <c r="CL149" s="179">
        <f t="shared" si="89"/>
        <v>2</v>
      </c>
      <c r="CM149" s="180">
        <f t="shared" si="90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0.5384199744208209</v>
      </c>
      <c r="DD149">
        <f t="shared" si="92"/>
        <v>2</v>
      </c>
      <c r="DE149" s="129">
        <f t="shared" si="167"/>
        <v>39847</v>
      </c>
      <c r="DF149" s="161">
        <f t="shared" si="93"/>
        <v>0</v>
      </c>
      <c r="DG149" s="161">
        <f t="shared" si="94"/>
        <v>0</v>
      </c>
      <c r="DH149" s="161">
        <f t="shared" si="95"/>
        <v>0</v>
      </c>
      <c r="DI149" s="161">
        <f t="shared" si="96"/>
        <v>0</v>
      </c>
      <c r="DJ149" s="161">
        <f t="shared" si="97"/>
        <v>0</v>
      </c>
      <c r="DK149" s="161">
        <f t="shared" si="98"/>
        <v>0</v>
      </c>
      <c r="DL149" s="161">
        <f t="shared" si="99"/>
        <v>0</v>
      </c>
      <c r="DM149" s="161">
        <f t="shared" si="100"/>
        <v>0</v>
      </c>
      <c r="DN149" s="161">
        <f t="shared" si="101"/>
        <v>0</v>
      </c>
      <c r="DO149" s="161">
        <f t="shared" si="102"/>
        <v>0</v>
      </c>
      <c r="DP149" s="161">
        <f t="shared" si="103"/>
        <v>0</v>
      </c>
      <c r="DQ149" s="161">
        <f t="shared" si="104"/>
        <v>0</v>
      </c>
      <c r="DR149" s="161">
        <f t="shared" si="105"/>
        <v>0</v>
      </c>
      <c r="DS149" s="161">
        <f t="shared" si="106"/>
        <v>0</v>
      </c>
      <c r="DT149" s="161">
        <f t="shared" si="107"/>
        <v>0</v>
      </c>
      <c r="DU149" s="161">
        <f t="shared" si="108"/>
        <v>0</v>
      </c>
      <c r="DV149" s="161">
        <f t="shared" si="109"/>
        <v>0</v>
      </c>
      <c r="DW149" s="161">
        <f t="shared" si="110"/>
        <v>0</v>
      </c>
      <c r="DX149" s="161">
        <f t="shared" si="111"/>
        <v>0</v>
      </c>
      <c r="DY149" s="161">
        <f t="shared" si="112"/>
        <v>0</v>
      </c>
      <c r="DZ149" s="161">
        <f t="shared" si="113"/>
        <v>0</v>
      </c>
      <c r="EA149" s="161">
        <f t="shared" si="114"/>
        <v>0</v>
      </c>
      <c r="EB149" s="161">
        <f t="shared" si="115"/>
        <v>0</v>
      </c>
      <c r="EC149" s="161">
        <f t="shared" si="116"/>
        <v>0</v>
      </c>
      <c r="ED149" s="161">
        <f t="shared" si="117"/>
        <v>0</v>
      </c>
      <c r="EE149" s="161">
        <f t="shared" si="118"/>
        <v>0</v>
      </c>
      <c r="EF149" s="161">
        <f t="shared" si="119"/>
        <v>0</v>
      </c>
      <c r="EG149" s="161">
        <f t="shared" si="120"/>
        <v>0</v>
      </c>
      <c r="EH149" s="161">
        <f t="shared" si="121"/>
        <v>0</v>
      </c>
      <c r="EI149" s="161">
        <f t="shared" si="122"/>
        <v>0</v>
      </c>
      <c r="EJ149" s="161">
        <f t="shared" si="123"/>
        <v>0</v>
      </c>
      <c r="EK149" s="147">
        <f t="shared" si="130"/>
        <v>0</v>
      </c>
      <c r="EL149" s="149"/>
      <c r="EN149" s="151"/>
      <c r="EO149" s="151"/>
      <c r="EP149" s="139">
        <f t="shared" si="131"/>
        <v>0</v>
      </c>
      <c r="EQ149" s="139">
        <f t="shared" si="132"/>
        <v>0</v>
      </c>
      <c r="ER149" s="139">
        <f t="shared" si="133"/>
        <v>0</v>
      </c>
      <c r="ES149" s="139">
        <f t="shared" si="134"/>
        <v>0</v>
      </c>
      <c r="ET149" s="139">
        <f t="shared" si="135"/>
        <v>0</v>
      </c>
      <c r="EU149" s="139">
        <f t="shared" si="136"/>
        <v>0</v>
      </c>
      <c r="EV149" s="139">
        <f t="shared" si="137"/>
        <v>0</v>
      </c>
      <c r="EW149" s="139">
        <f t="shared" si="138"/>
        <v>0</v>
      </c>
      <c r="EX149" s="139">
        <f t="shared" si="139"/>
        <v>0</v>
      </c>
      <c r="EY149" s="139">
        <f t="shared" si="140"/>
        <v>0</v>
      </c>
      <c r="EZ149" s="139">
        <f t="shared" si="141"/>
        <v>0</v>
      </c>
      <c r="FA149" s="139">
        <f t="shared" si="142"/>
        <v>0</v>
      </c>
      <c r="FB149" s="139">
        <f t="shared" si="143"/>
        <v>0</v>
      </c>
      <c r="FC149" s="139">
        <f t="shared" si="144"/>
        <v>0</v>
      </c>
      <c r="FD149" s="139">
        <f t="shared" si="145"/>
        <v>0</v>
      </c>
      <c r="FE149" s="139">
        <f t="shared" si="146"/>
        <v>0</v>
      </c>
      <c r="FF149" s="139">
        <f t="shared" si="147"/>
        <v>0</v>
      </c>
      <c r="FG149" s="139">
        <f t="shared" si="148"/>
        <v>0</v>
      </c>
      <c r="FH149" s="139">
        <f t="shared" si="149"/>
        <v>0</v>
      </c>
      <c r="FI149" s="139">
        <f t="shared" si="150"/>
        <v>0</v>
      </c>
      <c r="FJ149" s="139">
        <f t="shared" si="151"/>
        <v>0</v>
      </c>
      <c r="FK149" s="139">
        <f t="shared" si="152"/>
        <v>0</v>
      </c>
      <c r="FL149" s="139">
        <f t="shared" si="153"/>
        <v>0</v>
      </c>
      <c r="FM149" s="139">
        <f t="shared" si="154"/>
        <v>0</v>
      </c>
      <c r="FN149" s="139">
        <f t="shared" si="155"/>
        <v>0</v>
      </c>
      <c r="FO149" s="139">
        <f t="shared" si="156"/>
        <v>0</v>
      </c>
      <c r="FP149" s="139">
        <f t="shared" si="157"/>
        <v>0</v>
      </c>
      <c r="FQ149" s="139">
        <f t="shared" si="158"/>
        <v>0</v>
      </c>
      <c r="FR149" s="139">
        <f t="shared" si="159"/>
        <v>0</v>
      </c>
      <c r="FS149" s="139">
        <f t="shared" si="160"/>
        <v>0</v>
      </c>
      <c r="FT149" s="139">
        <f t="shared" si="161"/>
        <v>0</v>
      </c>
      <c r="FU149" s="148">
        <f t="shared" si="162"/>
        <v>0</v>
      </c>
      <c r="FV149" s="149"/>
      <c r="FY149" s="211">
        <v>144</v>
      </c>
      <c r="FZ149">
        <v>57.305234886957919</v>
      </c>
      <c r="GA149">
        <v>55.767660509534721</v>
      </c>
      <c r="GB149">
        <v>18.892256581626704</v>
      </c>
      <c r="GC149">
        <v>2.729136346792945</v>
      </c>
      <c r="GD149">
        <v>0.32444827901427609</v>
      </c>
      <c r="GE149">
        <v>0.4786147090076619</v>
      </c>
      <c r="GF149">
        <v>3.2685788130042668</v>
      </c>
      <c r="GG149">
        <v>12.348063656180779</v>
      </c>
      <c r="GH149">
        <v>20.454421227150927</v>
      </c>
      <c r="GI149">
        <v>35.400350962112263</v>
      </c>
      <c r="GJ149"/>
      <c r="GK149"/>
      <c r="GL149"/>
      <c r="GM149"/>
    </row>
    <row r="150" spans="1:195" s="7" customFormat="1">
      <c r="A150" s="77"/>
      <c r="B150" s="76">
        <f ca="1">IF(C150="", "", RAND())</f>
        <v>0.66049919674775603</v>
      </c>
      <c r="C150">
        <v>10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10.416666666666666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13.379300213675213</v>
      </c>
      <c r="AO150">
        <v>129.55200300027815</v>
      </c>
      <c r="AP150">
        <v>986.45830764730124</v>
      </c>
      <c r="AQ150">
        <v>220.3709342844088</v>
      </c>
      <c r="AR150">
        <v>120.49625566573121</v>
      </c>
      <c r="AS150">
        <v>726.25921577280792</v>
      </c>
      <c r="AT150" t="e">
        <v>#DIV/0!</v>
      </c>
      <c r="AU150" t="e">
        <v>#DIV/0!</v>
      </c>
      <c r="AV150"/>
      <c r="AW150"/>
      <c r="AX150" s="151"/>
      <c r="AY150" s="76"/>
      <c r="AZ150"/>
      <c r="BA150" s="129"/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/>
      <c r="CL150" s="179"/>
      <c r="CM150" s="180"/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/>
      <c r="CX150"/>
      <c r="CY150" s="160"/>
      <c r="CZ150" s="177"/>
      <c r="DB150" s="151"/>
      <c r="DC150" s="76" t="str">
        <f t="shared" ca="1" si="49"/>
        <v/>
      </c>
      <c r="DD150" t="str">
        <f t="shared" si="92"/>
        <v/>
      </c>
      <c r="DE150" s="129" t="str">
        <f t="shared" si="167"/>
        <v/>
      </c>
      <c r="DF150" s="161" t="str">
        <f t="shared" si="93"/>
        <v/>
      </c>
      <c r="DG150" s="161" t="str">
        <f t="shared" si="94"/>
        <v/>
      </c>
      <c r="DH150" s="161" t="str">
        <f t="shared" si="95"/>
        <v/>
      </c>
      <c r="DI150" s="161" t="str">
        <f t="shared" si="96"/>
        <v/>
      </c>
      <c r="DJ150" s="161" t="str">
        <f t="shared" si="97"/>
        <v/>
      </c>
      <c r="DK150" s="161" t="str">
        <f t="shared" si="98"/>
        <v/>
      </c>
      <c r="DL150" s="161" t="str">
        <f t="shared" si="99"/>
        <v/>
      </c>
      <c r="DM150" s="161" t="str">
        <f t="shared" si="100"/>
        <v/>
      </c>
      <c r="DN150" s="161" t="str">
        <f t="shared" si="101"/>
        <v/>
      </c>
      <c r="DO150" s="161" t="str">
        <f t="shared" si="102"/>
        <v/>
      </c>
      <c r="DP150" s="161" t="str">
        <f t="shared" si="103"/>
        <v/>
      </c>
      <c r="DQ150" s="161" t="str">
        <f t="shared" si="104"/>
        <v/>
      </c>
      <c r="DR150" s="161" t="str">
        <f t="shared" si="105"/>
        <v/>
      </c>
      <c r="DS150" s="161" t="str">
        <f t="shared" si="106"/>
        <v/>
      </c>
      <c r="DT150" s="161" t="str">
        <f t="shared" si="107"/>
        <v/>
      </c>
      <c r="DU150" s="161" t="str">
        <f t="shared" si="108"/>
        <v/>
      </c>
      <c r="DV150" s="161" t="str">
        <f t="shared" si="109"/>
        <v/>
      </c>
      <c r="DW150" s="161" t="str">
        <f t="shared" si="110"/>
        <v/>
      </c>
      <c r="DX150" s="161" t="str">
        <f t="shared" si="111"/>
        <v/>
      </c>
      <c r="DY150" s="161" t="str">
        <f t="shared" si="112"/>
        <v/>
      </c>
      <c r="DZ150" s="161" t="str">
        <f t="shared" si="113"/>
        <v/>
      </c>
      <c r="EA150" s="161" t="str">
        <f t="shared" si="114"/>
        <v/>
      </c>
      <c r="EB150" s="161" t="str">
        <f t="shared" si="115"/>
        <v/>
      </c>
      <c r="EC150" s="161" t="str">
        <f t="shared" si="116"/>
        <v/>
      </c>
      <c r="ED150" s="161" t="str">
        <f t="shared" si="117"/>
        <v/>
      </c>
      <c r="EE150" s="161" t="str">
        <f t="shared" si="118"/>
        <v/>
      </c>
      <c r="EF150" s="161" t="str">
        <f t="shared" si="119"/>
        <v/>
      </c>
      <c r="EG150" s="161" t="str">
        <f t="shared" si="120"/>
        <v/>
      </c>
      <c r="EH150" s="161" t="str">
        <f t="shared" si="121"/>
        <v/>
      </c>
      <c r="EI150" s="161" t="str">
        <f t="shared" si="122"/>
        <v/>
      </c>
      <c r="EJ150" s="161" t="str">
        <f t="shared" si="123"/>
        <v/>
      </c>
      <c r="EK150" s="147" t="str">
        <f t="shared" si="130"/>
        <v/>
      </c>
      <c r="EL150" s="149"/>
      <c r="EN150" s="151"/>
      <c r="EO150" s="151"/>
      <c r="EP150" s="139" t="str">
        <f t="shared" si="131"/>
        <v/>
      </c>
      <c r="EQ150" s="139" t="str">
        <f t="shared" si="132"/>
        <v/>
      </c>
      <c r="ER150" s="139" t="str">
        <f t="shared" si="133"/>
        <v/>
      </c>
      <c r="ES150" s="139" t="str">
        <f t="shared" si="134"/>
        <v/>
      </c>
      <c r="ET150" s="139" t="str">
        <f t="shared" si="135"/>
        <v/>
      </c>
      <c r="EU150" s="139" t="str">
        <f t="shared" si="136"/>
        <v/>
      </c>
      <c r="EV150" s="139" t="str">
        <f t="shared" si="137"/>
        <v/>
      </c>
      <c r="EW150" s="139" t="str">
        <f t="shared" si="138"/>
        <v/>
      </c>
      <c r="EX150" s="139" t="str">
        <f t="shared" si="139"/>
        <v/>
      </c>
      <c r="EY150" s="139" t="str">
        <f t="shared" si="140"/>
        <v/>
      </c>
      <c r="EZ150" s="139" t="str">
        <f t="shared" si="141"/>
        <v/>
      </c>
      <c r="FA150" s="139" t="str">
        <f t="shared" si="142"/>
        <v/>
      </c>
      <c r="FB150" s="139" t="str">
        <f t="shared" si="143"/>
        <v/>
      </c>
      <c r="FC150" s="139" t="str">
        <f t="shared" si="144"/>
        <v/>
      </c>
      <c r="FD150" s="139" t="str">
        <f t="shared" si="145"/>
        <v/>
      </c>
      <c r="FE150" s="139" t="str">
        <f t="shared" si="146"/>
        <v/>
      </c>
      <c r="FF150" s="139" t="str">
        <f t="shared" si="147"/>
        <v/>
      </c>
      <c r="FG150" s="139" t="str">
        <f t="shared" si="148"/>
        <v/>
      </c>
      <c r="FH150" s="139" t="str">
        <f t="shared" si="149"/>
        <v/>
      </c>
      <c r="FI150" s="139" t="str">
        <f t="shared" si="150"/>
        <v/>
      </c>
      <c r="FJ150" s="139" t="str">
        <f t="shared" si="151"/>
        <v/>
      </c>
      <c r="FK150" s="139" t="str">
        <f t="shared" si="152"/>
        <v/>
      </c>
      <c r="FL150" s="139" t="str">
        <f t="shared" si="153"/>
        <v/>
      </c>
      <c r="FM150" s="139" t="str">
        <f t="shared" si="154"/>
        <v/>
      </c>
      <c r="FN150" s="139" t="str">
        <f t="shared" si="155"/>
        <v/>
      </c>
      <c r="FO150" s="139" t="str">
        <f t="shared" si="156"/>
        <v/>
      </c>
      <c r="FP150" s="139" t="str">
        <f t="shared" si="157"/>
        <v/>
      </c>
      <c r="FQ150" s="139" t="str">
        <f t="shared" si="158"/>
        <v/>
      </c>
      <c r="FR150" s="139" t="str">
        <f t="shared" si="159"/>
        <v/>
      </c>
      <c r="FS150" s="139" t="str">
        <f t="shared" si="160"/>
        <v/>
      </c>
      <c r="FT150" s="139" t="str">
        <f t="shared" si="161"/>
        <v/>
      </c>
      <c r="FU150" s="148" t="str">
        <f t="shared" si="162"/>
        <v/>
      </c>
      <c r="FV150" s="149"/>
      <c r="FY150" s="211">
        <v>145</v>
      </c>
      <c r="FZ150">
        <v>33.512283518309246</v>
      </c>
      <c r="GA150">
        <v>40.165613358726944</v>
      </c>
      <c r="GB150">
        <v>29.253083139708234</v>
      </c>
      <c r="GC150">
        <v>1.0227096308333472</v>
      </c>
      <c r="GD150">
        <v>9.8362618435667654E-2</v>
      </c>
      <c r="GE150">
        <v>0.26118636301724629</v>
      </c>
      <c r="GF150">
        <v>1.1508089394067866</v>
      </c>
      <c r="GG150">
        <v>0</v>
      </c>
      <c r="GH150">
        <v>4.0282766445317693</v>
      </c>
      <c r="GI150">
        <v>25.966225294976084</v>
      </c>
      <c r="GJ150"/>
      <c r="GK150"/>
      <c r="GL150"/>
      <c r="GM150"/>
    </row>
    <row r="151" spans="1:195" s="7" customFormat="1">
      <c r="A151" s="77"/>
      <c r="B151" s="76">
        <f ca="1">IF(C151="", "", RAND())</f>
        <v>0.9466624829884871</v>
      </c>
      <c r="C151">
        <v>2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10.870619658119658</v>
      </c>
      <c r="AO151">
        <v>85.690347591012568</v>
      </c>
      <c r="AP151">
        <v>697.30549003207182</v>
      </c>
      <c r="AQ151">
        <v>122.57296469734845</v>
      </c>
      <c r="AR151">
        <v>79.510284530456076</v>
      </c>
      <c r="AS151">
        <v>660.73343803830392</v>
      </c>
      <c r="AT151" t="e">
        <v>#DIV/0!</v>
      </c>
      <c r="AU151" t="e">
        <v>#DIV/0!</v>
      </c>
      <c r="AV151"/>
      <c r="AW151"/>
      <c r="AX151" s="151"/>
      <c r="AY151" s="76"/>
      <c r="AZ151"/>
      <c r="BA151" s="129"/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/>
      <c r="CL151" s="179"/>
      <c r="CM151" s="180"/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/>
      <c r="CX151"/>
      <c r="CY151" s="160"/>
      <c r="CZ151" s="177"/>
      <c r="DB151" s="151"/>
      <c r="DC151" s="76" t="str">
        <f t="shared" ca="1" si="49"/>
        <v/>
      </c>
      <c r="DD151" t="str">
        <f t="shared" si="92"/>
        <v/>
      </c>
      <c r="DE151" s="129" t="str">
        <f t="shared" si="167"/>
        <v/>
      </c>
      <c r="DF151" s="161" t="str">
        <f t="shared" si="93"/>
        <v/>
      </c>
      <c r="DG151" s="161" t="str">
        <f t="shared" si="94"/>
        <v/>
      </c>
      <c r="DH151" s="161" t="str">
        <f t="shared" si="95"/>
        <v/>
      </c>
      <c r="DI151" s="161" t="str">
        <f t="shared" si="96"/>
        <v/>
      </c>
      <c r="DJ151" s="161" t="str">
        <f t="shared" si="97"/>
        <v/>
      </c>
      <c r="DK151" s="161" t="str">
        <f t="shared" si="98"/>
        <v/>
      </c>
      <c r="DL151" s="161" t="str">
        <f t="shared" si="99"/>
        <v/>
      </c>
      <c r="DM151" s="161" t="str">
        <f t="shared" si="100"/>
        <v/>
      </c>
      <c r="DN151" s="161" t="str">
        <f t="shared" si="101"/>
        <v/>
      </c>
      <c r="DO151" s="161" t="str">
        <f t="shared" si="102"/>
        <v/>
      </c>
      <c r="DP151" s="161" t="str">
        <f t="shared" si="103"/>
        <v/>
      </c>
      <c r="DQ151" s="161" t="str">
        <f t="shared" si="104"/>
        <v/>
      </c>
      <c r="DR151" s="161" t="str">
        <f t="shared" si="105"/>
        <v/>
      </c>
      <c r="DS151" s="161" t="str">
        <f t="shared" si="106"/>
        <v/>
      </c>
      <c r="DT151" s="161" t="str">
        <f t="shared" si="107"/>
        <v/>
      </c>
      <c r="DU151" s="161" t="str">
        <f t="shared" si="108"/>
        <v/>
      </c>
      <c r="DV151" s="161" t="str">
        <f t="shared" si="109"/>
        <v/>
      </c>
      <c r="DW151" s="161" t="str">
        <f t="shared" si="110"/>
        <v/>
      </c>
      <c r="DX151" s="161" t="str">
        <f t="shared" si="111"/>
        <v/>
      </c>
      <c r="DY151" s="161" t="str">
        <f t="shared" si="112"/>
        <v/>
      </c>
      <c r="DZ151" s="161" t="str">
        <f t="shared" si="113"/>
        <v/>
      </c>
      <c r="EA151" s="161" t="str">
        <f t="shared" si="114"/>
        <v/>
      </c>
      <c r="EB151" s="161" t="str">
        <f t="shared" si="115"/>
        <v/>
      </c>
      <c r="EC151" s="161" t="str">
        <f t="shared" si="116"/>
        <v/>
      </c>
      <c r="ED151" s="161" t="str">
        <f t="shared" si="117"/>
        <v/>
      </c>
      <c r="EE151" s="161" t="str">
        <f t="shared" si="118"/>
        <v/>
      </c>
      <c r="EF151" s="161" t="str">
        <f t="shared" si="119"/>
        <v/>
      </c>
      <c r="EG151" s="161" t="str">
        <f t="shared" si="120"/>
        <v/>
      </c>
      <c r="EH151" s="161" t="str">
        <f t="shared" si="121"/>
        <v/>
      </c>
      <c r="EI151" s="161" t="str">
        <f t="shared" si="122"/>
        <v/>
      </c>
      <c r="EJ151" s="161" t="str">
        <f t="shared" si="123"/>
        <v/>
      </c>
      <c r="EK151" s="147" t="str">
        <f t="shared" si="130"/>
        <v/>
      </c>
      <c r="EL151" s="149"/>
      <c r="EN151" s="151"/>
      <c r="EO151" s="151"/>
      <c r="EP151" s="139" t="str">
        <f t="shared" si="131"/>
        <v/>
      </c>
      <c r="EQ151" s="139" t="str">
        <f t="shared" si="132"/>
        <v/>
      </c>
      <c r="ER151" s="139" t="str">
        <f t="shared" si="133"/>
        <v/>
      </c>
      <c r="ES151" s="139" t="str">
        <f t="shared" si="134"/>
        <v/>
      </c>
      <c r="ET151" s="139" t="str">
        <f t="shared" si="135"/>
        <v/>
      </c>
      <c r="EU151" s="139" t="str">
        <f t="shared" si="136"/>
        <v/>
      </c>
      <c r="EV151" s="139" t="str">
        <f t="shared" si="137"/>
        <v/>
      </c>
      <c r="EW151" s="139" t="str">
        <f t="shared" si="138"/>
        <v/>
      </c>
      <c r="EX151" s="139" t="str">
        <f t="shared" si="139"/>
        <v/>
      </c>
      <c r="EY151" s="139" t="str">
        <f t="shared" si="140"/>
        <v/>
      </c>
      <c r="EZ151" s="139" t="str">
        <f t="shared" si="141"/>
        <v/>
      </c>
      <c r="FA151" s="139" t="str">
        <f t="shared" si="142"/>
        <v/>
      </c>
      <c r="FB151" s="139" t="str">
        <f t="shared" si="143"/>
        <v/>
      </c>
      <c r="FC151" s="139" t="str">
        <f t="shared" si="144"/>
        <v/>
      </c>
      <c r="FD151" s="139" t="str">
        <f t="shared" si="145"/>
        <v/>
      </c>
      <c r="FE151" s="139" t="str">
        <f t="shared" si="146"/>
        <v/>
      </c>
      <c r="FF151" s="139" t="str">
        <f t="shared" si="147"/>
        <v/>
      </c>
      <c r="FG151" s="139" t="str">
        <f t="shared" si="148"/>
        <v/>
      </c>
      <c r="FH151" s="139" t="str">
        <f t="shared" si="149"/>
        <v/>
      </c>
      <c r="FI151" s="139" t="str">
        <f t="shared" si="150"/>
        <v/>
      </c>
      <c r="FJ151" s="139" t="str">
        <f t="shared" si="151"/>
        <v/>
      </c>
      <c r="FK151" s="139" t="str">
        <f t="shared" si="152"/>
        <v/>
      </c>
      <c r="FL151" s="139" t="str">
        <f t="shared" si="153"/>
        <v/>
      </c>
      <c r="FM151" s="139" t="str">
        <f t="shared" si="154"/>
        <v/>
      </c>
      <c r="FN151" s="139" t="str">
        <f t="shared" si="155"/>
        <v/>
      </c>
      <c r="FO151" s="139" t="str">
        <f t="shared" si="156"/>
        <v/>
      </c>
      <c r="FP151" s="139" t="str">
        <f t="shared" si="157"/>
        <v/>
      </c>
      <c r="FQ151" s="139" t="str">
        <f t="shared" si="158"/>
        <v/>
      </c>
      <c r="FR151" s="139" t="str">
        <f t="shared" si="159"/>
        <v/>
      </c>
      <c r="FS151" s="139" t="str">
        <f t="shared" si="160"/>
        <v/>
      </c>
      <c r="FT151" s="139" t="str">
        <f t="shared" si="161"/>
        <v/>
      </c>
      <c r="FU151" s="148" t="str">
        <f t="shared" si="162"/>
        <v/>
      </c>
      <c r="FV151" s="149"/>
      <c r="FY151" s="211">
        <v>146</v>
      </c>
      <c r="FZ151">
        <v>26.543187409331395</v>
      </c>
      <c r="GA151">
        <v>38.1829037310616</v>
      </c>
      <c r="GB151">
        <v>40.716581480936206</v>
      </c>
      <c r="GC151">
        <v>1.5766278846941097</v>
      </c>
      <c r="GD151">
        <v>0.13941094923473227</v>
      </c>
      <c r="GE151">
        <v>0.26118636301724629</v>
      </c>
      <c r="GF151">
        <v>1.8334104327515515</v>
      </c>
      <c r="GG151">
        <v>7.6845916144504649</v>
      </c>
      <c r="GH151">
        <v>14.871533047506276</v>
      </c>
      <c r="GI151">
        <v>36.068131886391157</v>
      </c>
      <c r="GJ151"/>
      <c r="GK151"/>
      <c r="GL151"/>
      <c r="GM151"/>
    </row>
    <row r="152" spans="1:195" s="7" customFormat="1">
      <c r="A152" s="77"/>
      <c r="B152" s="76">
        <f ca="1">IF(C152="", "", RAND())</f>
        <v>0.50592524054411792</v>
      </c>
      <c r="C152">
        <v>7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13.83472222222222</v>
      </c>
      <c r="AO152">
        <v>119.77090630715631</v>
      </c>
      <c r="AP152">
        <v>875.08215165718673</v>
      </c>
      <c r="AQ152">
        <v>171.18843934794342</v>
      </c>
      <c r="AR152">
        <v>110.94586403406083</v>
      </c>
      <c r="AS152">
        <v>984.41517283103497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69">IF(AZ152="", "", RAND())</f>
        <v>0.31021025440014593</v>
      </c>
      <c r="AZ152">
        <v>5</v>
      </c>
      <c r="BA152" s="129">
        <f t="shared" si="168"/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88"/>
        <v>0.76517344494135053</v>
      </c>
      <c r="CL152" s="179">
        <f t="shared" si="89"/>
        <v>5</v>
      </c>
      <c r="CM152" s="180">
        <f t="shared" si="90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170">IF(DD152="", "", RAND())</f>
        <v>0.66533862425910439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0</v>
      </c>
      <c r="DJ152" s="161">
        <f t="shared" si="97"/>
        <v>0</v>
      </c>
      <c r="DK152" s="161">
        <f t="shared" si="98"/>
        <v>0</v>
      </c>
      <c r="DL152" s="161">
        <f t="shared" si="99"/>
        <v>0</v>
      </c>
      <c r="DM152" s="161">
        <f t="shared" si="100"/>
        <v>0</v>
      </c>
      <c r="DN152" s="161">
        <f t="shared" si="101"/>
        <v>0</v>
      </c>
      <c r="DO152" s="161">
        <f t="shared" si="102"/>
        <v>0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171">IF(DF152="", "", SUM(DF152:EJ152))</f>
        <v>0</v>
      </c>
      <c r="EL152" s="149"/>
      <c r="EN152" s="151"/>
      <c r="EO152" s="151"/>
      <c r="EP152" s="139">
        <f t="shared" ref="EP152:EP183" si="172">IF(DF152="", "", DF152*G$36)</f>
        <v>0</v>
      </c>
      <c r="EQ152" s="139">
        <f t="shared" ref="EQ152:EQ183" si="173">IF(DG152="", "", DG152*H$36)</f>
        <v>0</v>
      </c>
      <c r="ER152" s="139">
        <f t="shared" ref="ER152:ER183" si="174">IF(DH152="", "", DH152*I$36)</f>
        <v>0</v>
      </c>
      <c r="ES152" s="139">
        <f t="shared" ref="ES152:ES183" si="175">IF(DI152="", "", DI152*J$36)</f>
        <v>0</v>
      </c>
      <c r="ET152" s="139">
        <f t="shared" ref="ET152:ET183" si="176">IF(DJ152="", "", DJ152*K$36)</f>
        <v>0</v>
      </c>
      <c r="EU152" s="139">
        <f t="shared" ref="EU152:EU183" si="177">IF(DK152="", "", DK152*L$36)</f>
        <v>0</v>
      </c>
      <c r="EV152" s="139">
        <f t="shared" ref="EV152:EV183" si="178">IF(DL152="", "", DL152*M$36)</f>
        <v>0</v>
      </c>
      <c r="EW152" s="139">
        <f t="shared" ref="EW152:EW183" si="179">IF(DM152="", "", DM152*N$36)</f>
        <v>0</v>
      </c>
      <c r="EX152" s="139">
        <f t="shared" ref="EX152:EX183" si="180">IF(DN152="", "", DN152*O$36)</f>
        <v>0</v>
      </c>
      <c r="EY152" s="139">
        <f t="shared" ref="EY152:EY183" si="181">IF(DO152="", "", DO152*P$36)</f>
        <v>0</v>
      </c>
      <c r="EZ152" s="139">
        <f t="shared" ref="EZ152:EZ183" si="182">IF(DP152="", "", DP152*Q$36)</f>
        <v>0</v>
      </c>
      <c r="FA152" s="139">
        <f t="shared" ref="FA152:FA183" si="183">IF(DQ152="", "", DQ152*R$36)</f>
        <v>0</v>
      </c>
      <c r="FB152" s="139">
        <f t="shared" ref="FB152:FB183" si="184">IF(DR152="", "", DR152*S$36)</f>
        <v>0</v>
      </c>
      <c r="FC152" s="139">
        <f t="shared" ref="FC152:FC183" si="185">IF(DS152="", "", DS152*T$36)</f>
        <v>0</v>
      </c>
      <c r="FD152" s="139">
        <f t="shared" ref="FD152:FD183" si="186">IF(DT152="", "", DT152*U$36)</f>
        <v>0</v>
      </c>
      <c r="FE152" s="139">
        <f t="shared" ref="FE152:FE183" si="187">IF(DU152="", "", DU152*V$36)</f>
        <v>0</v>
      </c>
      <c r="FF152" s="139">
        <f t="shared" ref="FF152:FF183" si="188">IF(DV152="", "", DV152*W$36)</f>
        <v>0</v>
      </c>
      <c r="FG152" s="139">
        <f t="shared" ref="FG152:FG183" si="189">IF(DW152="", "", DW152*X$36)</f>
        <v>0</v>
      </c>
      <c r="FH152" s="139">
        <f t="shared" ref="FH152:FH183" si="190">IF(DX152="", "", DX152*Y$36)</f>
        <v>0</v>
      </c>
      <c r="FI152" s="139">
        <f t="shared" ref="FI152:FI183" si="191">IF(DY152="", "", DY152*Z$36)</f>
        <v>0</v>
      </c>
      <c r="FJ152" s="139">
        <f t="shared" ref="FJ152:FJ183" si="192">IF(DZ152="", "", DZ152*AA$36)</f>
        <v>0</v>
      </c>
      <c r="FK152" s="139">
        <f t="shared" ref="FK152:FK183" si="193">IF(EA152="", "", EA152*AB$36)</f>
        <v>0</v>
      </c>
      <c r="FL152" s="139">
        <f t="shared" ref="FL152:FL183" si="194">IF(EB152="", "", EB152*AC$36)</f>
        <v>0</v>
      </c>
      <c r="FM152" s="139">
        <f t="shared" ref="FM152:FM183" si="195">IF(EC152="", "", EC152*AD$36)</f>
        <v>0</v>
      </c>
      <c r="FN152" s="139">
        <f t="shared" ref="FN152:FN183" si="196">IF(ED152="", "", ED152*AE$36)</f>
        <v>0</v>
      </c>
      <c r="FO152" s="139">
        <f t="shared" ref="FO152:FO183" si="197">IF(EE152="", "", EE152*AF$36)</f>
        <v>0</v>
      </c>
      <c r="FP152" s="139">
        <f t="shared" ref="FP152:FP183" si="198">IF(EF152="", "", EF152*AG$36)</f>
        <v>0</v>
      </c>
      <c r="FQ152" s="139">
        <f t="shared" ref="FQ152:FQ183" si="199">IF(EG152="", "", EG152*AH$36)</f>
        <v>0</v>
      </c>
      <c r="FR152" s="139">
        <f t="shared" ref="FR152:FR183" si="200">IF(EH152="", "", EH152*AI$36)</f>
        <v>0</v>
      </c>
      <c r="FS152" s="139">
        <f t="shared" ref="FS152:FS183" si="201">IF(EI152="", "", EI152*AJ$36)</f>
        <v>0</v>
      </c>
      <c r="FT152" s="139">
        <f t="shared" ref="FT152:FT183" si="202">IF(EJ152="", "", EJ152*AK$36)</f>
        <v>0</v>
      </c>
      <c r="FU152" s="148">
        <f t="shared" ref="FU152:FU183" si="203">IF(EP152="","",SUM(EP152:FT152))</f>
        <v>0</v>
      </c>
      <c r="FV152" s="149"/>
      <c r="FY152" s="211">
        <v>147</v>
      </c>
      <c r="FZ152">
        <v>49.538824097880187</v>
      </c>
      <c r="GA152">
        <v>54.747042970298651</v>
      </c>
      <c r="GB152">
        <v>12.792426228517767</v>
      </c>
      <c r="GC152">
        <v>1.6576929316295839</v>
      </c>
      <c r="GD152">
        <v>0.11617579102894351</v>
      </c>
      <c r="GE152">
        <v>0.29074249605252656</v>
      </c>
      <c r="GF152">
        <v>3.7369354870254732</v>
      </c>
      <c r="GG152">
        <v>6.2664500655839888</v>
      </c>
      <c r="GH152">
        <v>13.639441468708196</v>
      </c>
      <c r="GI152">
        <v>28.709413311056693</v>
      </c>
      <c r="GJ152"/>
      <c r="GK152"/>
      <c r="GL152"/>
      <c r="GM152"/>
    </row>
    <row r="153" spans="1:195" s="7" customFormat="1">
      <c r="A153" s="77"/>
      <c r="B153" s="76">
        <f ca="1">IF(C153="", "", RAND())</f>
        <v>0.37991870114617754</v>
      </c>
      <c r="C153">
        <v>1</v>
      </c>
      <c r="D153">
        <v>39847</v>
      </c>
      <c r="E153">
        <v>0</v>
      </c>
      <c r="F153">
        <v>0</v>
      </c>
      <c r="G153">
        <v>10.416666666666666</v>
      </c>
      <c r="H153">
        <v>0</v>
      </c>
      <c r="I153">
        <v>0</v>
      </c>
      <c r="J153">
        <v>10.416666666666666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21.975961538461533</v>
      </c>
      <c r="AO153">
        <v>230.80545987665451</v>
      </c>
      <c r="AP153">
        <v>1456.6280424017655</v>
      </c>
      <c r="AQ153">
        <v>310.6204516487133</v>
      </c>
      <c r="AR153">
        <v>214.08934418903959</v>
      </c>
      <c r="AS153">
        <v>1591.2560012993822</v>
      </c>
      <c r="AT153" t="e">
        <v>#DIV/0!</v>
      </c>
      <c r="AU153" t="e">
        <v>#DIV/0!</v>
      </c>
      <c r="AV153"/>
      <c r="AW153"/>
      <c r="AX153" s="151"/>
      <c r="AY153" s="76">
        <f t="shared" ca="1" si="169"/>
        <v>0.43140177430353521</v>
      </c>
      <c r="AZ153">
        <v>6</v>
      </c>
      <c r="BA153" s="129">
        <f t="shared" si="168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4">IF(AZ153="", "", RAND())</f>
        <v>0.91418641228182373</v>
      </c>
      <c r="CL153" s="179">
        <f t="shared" ref="CL153:CL207" si="205">IF(AZ153="", "", AZ153)</f>
        <v>6</v>
      </c>
      <c r="CM153" s="180">
        <f t="shared" ref="CM153:CM207" si="206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07">IF(AZ153="", "", $G$15)</f>
        <v>9.6000000000000002E-2</v>
      </c>
      <c r="DB153" s="151"/>
      <c r="DC153" s="76">
        <f t="shared" ca="1" si="170"/>
        <v>0.49545799299714766</v>
      </c>
      <c r="DD153">
        <f t="shared" ref="DD153:DD207" si="208">IF(AZ153="", "", AZ153)</f>
        <v>6</v>
      </c>
      <c r="DE153" s="129">
        <f t="shared" si="167"/>
        <v>39847</v>
      </c>
      <c r="DF153" s="161">
        <f t="shared" ref="DF153:DF187" si="209">IF($AZ153="", "", ((BB153*$CW153)+(CN153*$CX153))/$CZ153)</f>
        <v>0</v>
      </c>
      <c r="DG153" s="161">
        <f t="shared" ref="DG153:DG187" si="210">IF($AZ153="", "", ((BC153*$CW153)+(CO153*$CX153))/$CZ153)</f>
        <v>0</v>
      </c>
      <c r="DH153" s="161">
        <f t="shared" ref="DH153:DH187" si="211">IF($AZ153="", "", ((BD153*$CW153)+(CP153*$CX153))/$CZ153)</f>
        <v>0</v>
      </c>
      <c r="DI153" s="161">
        <f t="shared" ref="DI153:DI187" si="212">IF($AZ153="", "", ((BE153*$CW153)+(CQ153*$CX153))/$CZ153)</f>
        <v>0</v>
      </c>
      <c r="DJ153" s="161">
        <f t="shared" ref="DJ153:DJ187" si="213">IF($AZ153="", "", ((BF153*$CW153)+(CR153*$CX153))/$CZ153)</f>
        <v>0</v>
      </c>
      <c r="DK153" s="161">
        <f t="shared" ref="DK153:DK187" si="214">IF($AZ153="", "", ((BG153*$CW153)+(CS153*$CX153))/$CZ153)</f>
        <v>0</v>
      </c>
      <c r="DL153" s="161">
        <f t="shared" ref="DL153:DL187" si="215">IF($AZ153="", "", ((BH153*$CW153)+(CT153*$CX153))/$CZ153)</f>
        <v>0</v>
      </c>
      <c r="DM153" s="161">
        <f t="shared" ref="DM153:DM187" si="216">IF($AZ153="", "", ((BI153*$CW153)+(CU153*$CX153))/$CZ153)</f>
        <v>0</v>
      </c>
      <c r="DN153" s="161">
        <f t="shared" ref="DN153:DN187" si="217">IF($AZ153="", "", (BJ153*$CW153)/$CZ153)</f>
        <v>0</v>
      </c>
      <c r="DO153" s="161">
        <f t="shared" ref="DO153:DO187" si="218">IF($AZ153="", "", (BK153*$CW153)/$CZ153)</f>
        <v>0</v>
      </c>
      <c r="DP153" s="161">
        <f t="shared" ref="DP153:DP187" si="219">IF($AZ153="", "", (BL153*$CW153)/$CZ153)</f>
        <v>0</v>
      </c>
      <c r="DQ153" s="161">
        <f t="shared" ref="DQ153:DQ187" si="220">IF($AZ153="", "", (BM153*$CW153)/$CZ153)</f>
        <v>0</v>
      </c>
      <c r="DR153" s="161">
        <f t="shared" ref="DR153:DR187" si="221">IF($AZ153="", "", (BN153*$CW153)/$CZ153)</f>
        <v>0</v>
      </c>
      <c r="DS153" s="161">
        <f t="shared" ref="DS153:DS187" si="222">IF($AZ153="", "", (BO153*$CW153)/$CZ153)</f>
        <v>0</v>
      </c>
      <c r="DT153" s="161">
        <f t="shared" ref="DT153:DT187" si="223">IF($AZ153="", "", (BP153*$CW153)/$CZ153)</f>
        <v>0</v>
      </c>
      <c r="DU153" s="161">
        <f t="shared" ref="DU153:DU187" si="224">IF($AZ153="", "", (BQ153*$CW153)/$CZ153)</f>
        <v>0</v>
      </c>
      <c r="DV153" s="161">
        <f t="shared" ref="DV153:DV187" si="225">IF($AZ153="", "", (BR153*$CW153)/$CZ153)</f>
        <v>0</v>
      </c>
      <c r="DW153" s="161">
        <f t="shared" ref="DW153:DW187" si="226">IF($AZ153="", "", (BS153*$CW153)/$CZ153)</f>
        <v>0</v>
      </c>
      <c r="DX153" s="161">
        <f t="shared" ref="DX153:DX187" si="227">IF($AZ153="", "", (BT153*$CW153)/$CZ153)</f>
        <v>0</v>
      </c>
      <c r="DY153" s="161">
        <f t="shared" ref="DY153:DY187" si="228">IF($AZ153="", "", (BU153*$CW153)/$CZ153)</f>
        <v>0</v>
      </c>
      <c r="DZ153" s="161">
        <f t="shared" ref="DZ153:DZ187" si="229">IF($AZ153="", "", (BV153*$CW153)/$CZ153)</f>
        <v>0</v>
      </c>
      <c r="EA153" s="161">
        <f t="shared" ref="EA153:EA187" si="230">IF($AZ153="", "", (BW153*$CW153)/$CZ153)</f>
        <v>0</v>
      </c>
      <c r="EB153" s="161">
        <f t="shared" ref="EB153:EB187" si="231">IF($AZ153="", "", (BX153*$CW153)/$CZ153)</f>
        <v>0</v>
      </c>
      <c r="EC153" s="161">
        <f t="shared" ref="EC153:EC187" si="232">IF($AZ153="", "", (BY153*$CW153)/$CZ153)</f>
        <v>0</v>
      </c>
      <c r="ED153" s="161">
        <f t="shared" ref="ED153:ED187" si="233">IF($AZ153="", "", (BZ153*$CW153)/$CZ153)</f>
        <v>0</v>
      </c>
      <c r="EE153" s="161">
        <f t="shared" ref="EE153:EE187" si="234">IF($AZ153="", "", (CA153*$CW153)/$CZ153)</f>
        <v>0</v>
      </c>
      <c r="EF153" s="161">
        <f t="shared" ref="EF153:EF187" si="235">IF($AZ153="", "", (CB153*$CW153)/$CZ153)</f>
        <v>0</v>
      </c>
      <c r="EG153" s="161">
        <f t="shared" ref="EG153:EG187" si="236">IF($AZ153="", "", (CC153*$CW153)/$CZ153)</f>
        <v>0</v>
      </c>
      <c r="EH153" s="161">
        <f t="shared" ref="EH153:EH187" si="237">IF($AZ153="", "", (CD153*$CW153)/$CZ153)</f>
        <v>0</v>
      </c>
      <c r="EI153" s="161">
        <f t="shared" ref="EI153:EI187" si="238">IF($AZ153="", "", (CE153*$CW153)/$CZ153)</f>
        <v>0</v>
      </c>
      <c r="EJ153" s="161">
        <f t="shared" ref="EJ153:EJ187" si="239">IF($AZ153="", "", (CF153*$CW153)/$CZ153)</f>
        <v>0</v>
      </c>
      <c r="EK153" s="147">
        <f t="shared" si="171"/>
        <v>0</v>
      </c>
      <c r="EL153" s="149"/>
      <c r="EN153" s="151"/>
      <c r="EO153" s="151"/>
      <c r="EP153" s="139">
        <f t="shared" si="172"/>
        <v>0</v>
      </c>
      <c r="EQ153" s="139">
        <f t="shared" si="173"/>
        <v>0</v>
      </c>
      <c r="ER153" s="139">
        <f t="shared" si="174"/>
        <v>0</v>
      </c>
      <c r="ES153" s="139">
        <f t="shared" si="175"/>
        <v>0</v>
      </c>
      <c r="ET153" s="139">
        <f t="shared" si="176"/>
        <v>0</v>
      </c>
      <c r="EU153" s="139">
        <f t="shared" si="177"/>
        <v>0</v>
      </c>
      <c r="EV153" s="139">
        <f t="shared" si="178"/>
        <v>0</v>
      </c>
      <c r="EW153" s="139">
        <f t="shared" si="179"/>
        <v>0</v>
      </c>
      <c r="EX153" s="139">
        <f t="shared" si="180"/>
        <v>0</v>
      </c>
      <c r="EY153" s="139">
        <f t="shared" si="181"/>
        <v>0</v>
      </c>
      <c r="EZ153" s="139">
        <f t="shared" si="182"/>
        <v>0</v>
      </c>
      <c r="FA153" s="139">
        <f t="shared" si="183"/>
        <v>0</v>
      </c>
      <c r="FB153" s="139">
        <f t="shared" si="184"/>
        <v>0</v>
      </c>
      <c r="FC153" s="139">
        <f t="shared" si="185"/>
        <v>0</v>
      </c>
      <c r="FD153" s="139">
        <f t="shared" si="186"/>
        <v>0</v>
      </c>
      <c r="FE153" s="139">
        <f t="shared" si="187"/>
        <v>0</v>
      </c>
      <c r="FF153" s="139">
        <f t="shared" si="188"/>
        <v>0</v>
      </c>
      <c r="FG153" s="139">
        <f t="shared" si="189"/>
        <v>0</v>
      </c>
      <c r="FH153" s="139">
        <f t="shared" si="190"/>
        <v>0</v>
      </c>
      <c r="FI153" s="139">
        <f t="shared" si="191"/>
        <v>0</v>
      </c>
      <c r="FJ153" s="139">
        <f t="shared" si="192"/>
        <v>0</v>
      </c>
      <c r="FK153" s="139">
        <f t="shared" si="193"/>
        <v>0</v>
      </c>
      <c r="FL153" s="139">
        <f t="shared" si="194"/>
        <v>0</v>
      </c>
      <c r="FM153" s="139">
        <f t="shared" si="195"/>
        <v>0</v>
      </c>
      <c r="FN153" s="139">
        <f t="shared" si="196"/>
        <v>0</v>
      </c>
      <c r="FO153" s="139">
        <f t="shared" si="197"/>
        <v>0</v>
      </c>
      <c r="FP153" s="139">
        <f t="shared" si="198"/>
        <v>0</v>
      </c>
      <c r="FQ153" s="139">
        <f t="shared" si="199"/>
        <v>0</v>
      </c>
      <c r="FR153" s="139">
        <f t="shared" si="200"/>
        <v>0</v>
      </c>
      <c r="FS153" s="139">
        <f t="shared" si="201"/>
        <v>0</v>
      </c>
      <c r="FT153" s="139">
        <f t="shared" si="202"/>
        <v>0</v>
      </c>
      <c r="FU153" s="148">
        <f t="shared" si="203"/>
        <v>0</v>
      </c>
      <c r="FV153" s="149"/>
      <c r="FY153" s="211">
        <v>148</v>
      </c>
      <c r="FZ153">
        <v>39.848018790356356</v>
      </c>
      <c r="GA153">
        <v>40.73578722800211</v>
      </c>
      <c r="GB153">
        <v>26.956787147602896</v>
      </c>
      <c r="GC153">
        <v>0.6573743490763414</v>
      </c>
      <c r="GD153">
        <v>4.9181309217833827E-2</v>
      </c>
      <c r="GE153">
        <v>0.29074249605252656</v>
      </c>
      <c r="GF153">
        <v>2.8332163808159407</v>
      </c>
      <c r="GG153">
        <v>8.7554523027391102</v>
      </c>
      <c r="GH153">
        <v>20.868279070691202</v>
      </c>
      <c r="GI153">
        <v>37.323775271944726</v>
      </c>
      <c r="GJ153"/>
      <c r="GK153"/>
      <c r="GL153"/>
      <c r="GM153"/>
    </row>
    <row r="154" spans="1:195" s="7" customFormat="1">
      <c r="A154" s="77"/>
      <c r="B154" s="76">
        <f ca="1">IF(C154="", "", RAND())</f>
        <v>0.57537032279106626</v>
      </c>
      <c r="C154">
        <v>6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14.290064102564099</v>
      </c>
      <c r="AO154">
        <v>92.75049441187214</v>
      </c>
      <c r="AP154">
        <v>819.58450322629119</v>
      </c>
      <c r="AQ154">
        <v>187.02003715712314</v>
      </c>
      <c r="AR154">
        <v>85.986167707923869</v>
      </c>
      <c r="AS154">
        <v>1249.8416765520831</v>
      </c>
      <c r="AT154" t="e">
        <v>#DIV/0!</v>
      </c>
      <c r="AU154" t="e">
        <v>#DIV/0!</v>
      </c>
      <c r="AV154"/>
      <c r="AW154"/>
      <c r="AX154" s="151"/>
      <c r="AY154" s="76">
        <f t="shared" ca="1" si="169"/>
        <v>0.35108295012973212</v>
      </c>
      <c r="AZ154">
        <v>7</v>
      </c>
      <c r="BA154" s="129">
        <f t="shared" si="168"/>
        <v>39847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4"/>
        <v>0.61021016557161722</v>
      </c>
      <c r="CL154" s="179">
        <f t="shared" si="205"/>
        <v>7</v>
      </c>
      <c r="CM154" s="180">
        <f t="shared" si="206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07"/>
        <v>9.6000000000000002E-2</v>
      </c>
      <c r="DB154" s="151"/>
      <c r="DC154" s="76">
        <f t="shared" ca="1" si="170"/>
        <v>0.90983599142775162</v>
      </c>
      <c r="DD154">
        <f t="shared" si="208"/>
        <v>7</v>
      </c>
      <c r="DE154" s="129">
        <f t="shared" si="167"/>
        <v>39847</v>
      </c>
      <c r="DF154" s="161">
        <f t="shared" si="209"/>
        <v>0</v>
      </c>
      <c r="DG154" s="161">
        <f t="shared" si="210"/>
        <v>0</v>
      </c>
      <c r="DH154" s="161">
        <f t="shared" si="211"/>
        <v>0</v>
      </c>
      <c r="DI154" s="161">
        <f t="shared" si="212"/>
        <v>0</v>
      </c>
      <c r="DJ154" s="161">
        <f t="shared" si="213"/>
        <v>0</v>
      </c>
      <c r="DK154" s="161">
        <f t="shared" si="214"/>
        <v>0</v>
      </c>
      <c r="DL154" s="161">
        <f t="shared" si="215"/>
        <v>0</v>
      </c>
      <c r="DM154" s="161">
        <f t="shared" si="216"/>
        <v>0</v>
      </c>
      <c r="DN154" s="161">
        <f t="shared" si="217"/>
        <v>0</v>
      </c>
      <c r="DO154" s="161">
        <f t="shared" si="218"/>
        <v>0</v>
      </c>
      <c r="DP154" s="161">
        <f t="shared" si="219"/>
        <v>0</v>
      </c>
      <c r="DQ154" s="161">
        <f t="shared" si="220"/>
        <v>0</v>
      </c>
      <c r="DR154" s="161">
        <f t="shared" si="221"/>
        <v>0</v>
      </c>
      <c r="DS154" s="161">
        <f t="shared" si="222"/>
        <v>0</v>
      </c>
      <c r="DT154" s="161">
        <f t="shared" si="223"/>
        <v>0</v>
      </c>
      <c r="DU154" s="161">
        <f t="shared" si="224"/>
        <v>0</v>
      </c>
      <c r="DV154" s="161">
        <f t="shared" si="225"/>
        <v>0</v>
      </c>
      <c r="DW154" s="161">
        <f t="shared" si="226"/>
        <v>0</v>
      </c>
      <c r="DX154" s="161">
        <f t="shared" si="227"/>
        <v>0</v>
      </c>
      <c r="DY154" s="161">
        <f t="shared" si="228"/>
        <v>0</v>
      </c>
      <c r="DZ154" s="161">
        <f t="shared" si="229"/>
        <v>0</v>
      </c>
      <c r="EA154" s="161">
        <f t="shared" si="230"/>
        <v>0</v>
      </c>
      <c r="EB154" s="161">
        <f t="shared" si="231"/>
        <v>0</v>
      </c>
      <c r="EC154" s="161">
        <f t="shared" si="232"/>
        <v>0</v>
      </c>
      <c r="ED154" s="161">
        <f t="shared" si="233"/>
        <v>0</v>
      </c>
      <c r="EE154" s="161">
        <f t="shared" si="234"/>
        <v>0</v>
      </c>
      <c r="EF154" s="161">
        <f t="shared" si="235"/>
        <v>0</v>
      </c>
      <c r="EG154" s="161">
        <f t="shared" si="236"/>
        <v>0</v>
      </c>
      <c r="EH154" s="161">
        <f t="shared" si="237"/>
        <v>0</v>
      </c>
      <c r="EI154" s="161">
        <f t="shared" si="238"/>
        <v>0</v>
      </c>
      <c r="EJ154" s="161">
        <f t="shared" si="239"/>
        <v>0</v>
      </c>
      <c r="EK154" s="147">
        <f t="shared" si="171"/>
        <v>0</v>
      </c>
      <c r="EL154" s="149"/>
      <c r="EN154" s="151"/>
      <c r="EO154" s="151"/>
      <c r="EP154" s="139">
        <f t="shared" si="172"/>
        <v>0</v>
      </c>
      <c r="EQ154" s="139">
        <f t="shared" si="173"/>
        <v>0</v>
      </c>
      <c r="ER154" s="139">
        <f t="shared" si="174"/>
        <v>0</v>
      </c>
      <c r="ES154" s="139">
        <f t="shared" si="175"/>
        <v>0</v>
      </c>
      <c r="ET154" s="139">
        <f t="shared" si="176"/>
        <v>0</v>
      </c>
      <c r="EU154" s="139">
        <f t="shared" si="177"/>
        <v>0</v>
      </c>
      <c r="EV154" s="139">
        <f t="shared" si="178"/>
        <v>0</v>
      </c>
      <c r="EW154" s="139">
        <f t="shared" si="179"/>
        <v>0</v>
      </c>
      <c r="EX154" s="139">
        <f t="shared" si="180"/>
        <v>0</v>
      </c>
      <c r="EY154" s="139">
        <f t="shared" si="181"/>
        <v>0</v>
      </c>
      <c r="EZ154" s="139">
        <f t="shared" si="182"/>
        <v>0</v>
      </c>
      <c r="FA154" s="139">
        <f t="shared" si="183"/>
        <v>0</v>
      </c>
      <c r="FB154" s="139">
        <f t="shared" si="184"/>
        <v>0</v>
      </c>
      <c r="FC154" s="139">
        <f t="shared" si="185"/>
        <v>0</v>
      </c>
      <c r="FD154" s="139">
        <f t="shared" si="186"/>
        <v>0</v>
      </c>
      <c r="FE154" s="139">
        <f t="shared" si="187"/>
        <v>0</v>
      </c>
      <c r="FF154" s="139">
        <f t="shared" si="188"/>
        <v>0</v>
      </c>
      <c r="FG154" s="139">
        <f t="shared" si="189"/>
        <v>0</v>
      </c>
      <c r="FH154" s="139">
        <f t="shared" si="190"/>
        <v>0</v>
      </c>
      <c r="FI154" s="139">
        <f t="shared" si="191"/>
        <v>0</v>
      </c>
      <c r="FJ154" s="139">
        <f t="shared" si="192"/>
        <v>0</v>
      </c>
      <c r="FK154" s="139">
        <f t="shared" si="193"/>
        <v>0</v>
      </c>
      <c r="FL154" s="139">
        <f t="shared" si="194"/>
        <v>0</v>
      </c>
      <c r="FM154" s="139">
        <f t="shared" si="195"/>
        <v>0</v>
      </c>
      <c r="FN154" s="139">
        <f t="shared" si="196"/>
        <v>0</v>
      </c>
      <c r="FO154" s="139">
        <f t="shared" si="197"/>
        <v>0</v>
      </c>
      <c r="FP154" s="139">
        <f t="shared" si="198"/>
        <v>0</v>
      </c>
      <c r="FQ154" s="139">
        <f t="shared" si="199"/>
        <v>0</v>
      </c>
      <c r="FR154" s="139">
        <f t="shared" si="200"/>
        <v>0</v>
      </c>
      <c r="FS154" s="139">
        <f t="shared" si="201"/>
        <v>0</v>
      </c>
      <c r="FT154" s="139">
        <f t="shared" si="202"/>
        <v>0</v>
      </c>
      <c r="FU154" s="148">
        <f t="shared" si="203"/>
        <v>0</v>
      </c>
      <c r="FV154" s="149"/>
      <c r="FY154" s="211">
        <v>149</v>
      </c>
      <c r="FZ154">
        <v>42.365222218170302</v>
      </c>
      <c r="GA154">
        <v>47.430035673369957</v>
      </c>
      <c r="GB154">
        <v>19.233408910134116</v>
      </c>
      <c r="GC154">
        <v>3.3697193224296047</v>
      </c>
      <c r="GD154">
        <v>0.43164715575768448</v>
      </c>
      <c r="GE154">
        <v>0.58195398675887211</v>
      </c>
      <c r="GF154">
        <v>1.7514604631467512</v>
      </c>
      <c r="GG154">
        <v>5.936151560766076</v>
      </c>
      <c r="GH154">
        <v>13.225583625167928</v>
      </c>
      <c r="GI154">
        <v>26.88916789187483</v>
      </c>
      <c r="GJ154"/>
      <c r="GK154"/>
      <c r="GL154"/>
      <c r="GM154"/>
    </row>
    <row r="155" spans="1:195" s="7" customFormat="1">
      <c r="A155" s="77"/>
      <c r="B155" s="76">
        <f ca="1">IF(C155="", "", RAND())</f>
        <v>0.96844733569036379</v>
      </c>
      <c r="C155">
        <v>8</v>
      </c>
      <c r="D155">
        <v>39847</v>
      </c>
      <c r="E155">
        <v>0</v>
      </c>
      <c r="F155">
        <v>0</v>
      </c>
      <c r="G155">
        <v>69.444444444444443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12.793402777777777</v>
      </c>
      <c r="AO155">
        <v>117.81505389935698</v>
      </c>
      <c r="AP155">
        <v>754.36935576785049</v>
      </c>
      <c r="AQ155">
        <v>220.50467497154042</v>
      </c>
      <c r="AR155">
        <v>109.29040250404174</v>
      </c>
      <c r="AS155">
        <v>659.29419847069175</v>
      </c>
      <c r="AT155" t="e">
        <v>#DIV/0!</v>
      </c>
      <c r="AU155" t="e">
        <v>#DIV/0!</v>
      </c>
      <c r="AV155"/>
      <c r="AW155"/>
      <c r="AX155" s="151"/>
      <c r="AY155" s="76">
        <f t="shared" ca="1" si="169"/>
        <v>0.23537725743164639</v>
      </c>
      <c r="AZ155">
        <v>8</v>
      </c>
      <c r="BA155" s="129">
        <f t="shared" si="168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4"/>
        <v>0.10950273981653158</v>
      </c>
      <c r="CL155" s="179">
        <f t="shared" si="205"/>
        <v>8</v>
      </c>
      <c r="CM155" s="180">
        <f t="shared" si="206"/>
        <v>39847</v>
      </c>
      <c r="CN155">
        <v>0</v>
      </c>
      <c r="CO155">
        <v>0</v>
      </c>
      <c r="CP155">
        <v>1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07"/>
        <v>9.6000000000000002E-2</v>
      </c>
      <c r="DB155" s="151"/>
      <c r="DC155" s="76">
        <f t="shared" ca="1" si="170"/>
        <v>0.21742180754822726</v>
      </c>
      <c r="DD155">
        <f t="shared" si="208"/>
        <v>8</v>
      </c>
      <c r="DE155" s="129">
        <f t="shared" si="167"/>
        <v>39847</v>
      </c>
      <c r="DF155" s="161">
        <f t="shared" si="209"/>
        <v>0</v>
      </c>
      <c r="DG155" s="161">
        <f t="shared" si="210"/>
        <v>0</v>
      </c>
      <c r="DH155" s="161">
        <f t="shared" si="211"/>
        <v>69.444444444444443</v>
      </c>
      <c r="DI155" s="161">
        <f t="shared" si="212"/>
        <v>0</v>
      </c>
      <c r="DJ155" s="161">
        <f t="shared" si="213"/>
        <v>0</v>
      </c>
      <c r="DK155" s="161">
        <f t="shared" si="214"/>
        <v>0</v>
      </c>
      <c r="DL155" s="161">
        <f t="shared" si="215"/>
        <v>0</v>
      </c>
      <c r="DM155" s="161">
        <f t="shared" si="216"/>
        <v>0</v>
      </c>
      <c r="DN155" s="161">
        <f t="shared" si="217"/>
        <v>0</v>
      </c>
      <c r="DO155" s="161">
        <f t="shared" si="218"/>
        <v>0</v>
      </c>
      <c r="DP155" s="161">
        <f t="shared" si="219"/>
        <v>0</v>
      </c>
      <c r="DQ155" s="161">
        <f t="shared" si="220"/>
        <v>0</v>
      </c>
      <c r="DR155" s="161">
        <f t="shared" si="221"/>
        <v>0</v>
      </c>
      <c r="DS155" s="161">
        <f t="shared" si="222"/>
        <v>0</v>
      </c>
      <c r="DT155" s="161">
        <f t="shared" si="223"/>
        <v>0</v>
      </c>
      <c r="DU155" s="161">
        <f t="shared" si="224"/>
        <v>0</v>
      </c>
      <c r="DV155" s="161">
        <f t="shared" si="225"/>
        <v>0</v>
      </c>
      <c r="DW155" s="161">
        <f t="shared" si="226"/>
        <v>0</v>
      </c>
      <c r="DX155" s="161">
        <f t="shared" si="227"/>
        <v>0</v>
      </c>
      <c r="DY155" s="161">
        <f t="shared" si="228"/>
        <v>0</v>
      </c>
      <c r="DZ155" s="161">
        <f t="shared" si="229"/>
        <v>0</v>
      </c>
      <c r="EA155" s="161">
        <f t="shared" si="230"/>
        <v>0</v>
      </c>
      <c r="EB155" s="161">
        <f t="shared" si="231"/>
        <v>0</v>
      </c>
      <c r="EC155" s="161">
        <f t="shared" si="232"/>
        <v>0</v>
      </c>
      <c r="ED155" s="161">
        <f t="shared" si="233"/>
        <v>0</v>
      </c>
      <c r="EE155" s="161">
        <f t="shared" si="234"/>
        <v>0</v>
      </c>
      <c r="EF155" s="161">
        <f t="shared" si="235"/>
        <v>0</v>
      </c>
      <c r="EG155" s="161">
        <f t="shared" si="236"/>
        <v>0</v>
      </c>
      <c r="EH155" s="161">
        <f t="shared" si="237"/>
        <v>0</v>
      </c>
      <c r="EI155" s="161">
        <f t="shared" si="238"/>
        <v>0</v>
      </c>
      <c r="EJ155" s="161">
        <f t="shared" si="239"/>
        <v>0</v>
      </c>
      <c r="EK155" s="147">
        <f t="shared" si="171"/>
        <v>69.444444444444443</v>
      </c>
      <c r="EL155" s="149"/>
      <c r="EN155" s="151"/>
      <c r="EO155" s="151"/>
      <c r="EP155" s="139">
        <f t="shared" si="172"/>
        <v>0</v>
      </c>
      <c r="EQ155" s="139">
        <f t="shared" si="173"/>
        <v>0</v>
      </c>
      <c r="ER155" s="139">
        <f t="shared" si="174"/>
        <v>4.8822843668298805</v>
      </c>
      <c r="ES155" s="139">
        <f t="shared" si="175"/>
        <v>0</v>
      </c>
      <c r="ET155" s="139">
        <f t="shared" si="176"/>
        <v>0</v>
      </c>
      <c r="EU155" s="139">
        <f t="shared" si="177"/>
        <v>0</v>
      </c>
      <c r="EV155" s="139">
        <f t="shared" si="178"/>
        <v>0</v>
      </c>
      <c r="EW155" s="139">
        <f t="shared" si="179"/>
        <v>0</v>
      </c>
      <c r="EX155" s="139">
        <f t="shared" si="180"/>
        <v>0</v>
      </c>
      <c r="EY155" s="139">
        <f t="shared" si="181"/>
        <v>0</v>
      </c>
      <c r="EZ155" s="139">
        <f t="shared" si="182"/>
        <v>0</v>
      </c>
      <c r="FA155" s="139">
        <f t="shared" si="183"/>
        <v>0</v>
      </c>
      <c r="FB155" s="139">
        <f t="shared" si="184"/>
        <v>0</v>
      </c>
      <c r="FC155" s="139">
        <f t="shared" si="185"/>
        <v>0</v>
      </c>
      <c r="FD155" s="139">
        <f t="shared" si="186"/>
        <v>0</v>
      </c>
      <c r="FE155" s="139">
        <f t="shared" si="187"/>
        <v>0</v>
      </c>
      <c r="FF155" s="139">
        <f t="shared" si="188"/>
        <v>0</v>
      </c>
      <c r="FG155" s="139">
        <f t="shared" si="189"/>
        <v>0</v>
      </c>
      <c r="FH155" s="139">
        <f t="shared" si="190"/>
        <v>0</v>
      </c>
      <c r="FI155" s="139">
        <f t="shared" si="191"/>
        <v>0</v>
      </c>
      <c r="FJ155" s="139">
        <f t="shared" si="192"/>
        <v>0</v>
      </c>
      <c r="FK155" s="139">
        <f t="shared" si="193"/>
        <v>0</v>
      </c>
      <c r="FL155" s="139">
        <f t="shared" si="194"/>
        <v>0</v>
      </c>
      <c r="FM155" s="139">
        <f t="shared" si="195"/>
        <v>0</v>
      </c>
      <c r="FN155" s="139">
        <f t="shared" si="196"/>
        <v>0</v>
      </c>
      <c r="FO155" s="139">
        <f t="shared" si="197"/>
        <v>0</v>
      </c>
      <c r="FP155" s="139">
        <f t="shared" si="198"/>
        <v>0</v>
      </c>
      <c r="FQ155" s="139">
        <f t="shared" si="199"/>
        <v>0</v>
      </c>
      <c r="FR155" s="139">
        <f t="shared" si="200"/>
        <v>0</v>
      </c>
      <c r="FS155" s="139">
        <f t="shared" si="201"/>
        <v>0</v>
      </c>
      <c r="FT155" s="139">
        <f t="shared" si="202"/>
        <v>0</v>
      </c>
      <c r="FU155" s="148">
        <f t="shared" si="203"/>
        <v>4.8822843668298805</v>
      </c>
      <c r="FV155" s="149"/>
      <c r="FY155" s="211">
        <v>150</v>
      </c>
      <c r="FZ155">
        <v>42.991764803637096</v>
      </c>
      <c r="GA155">
        <v>51.203899489813054</v>
      </c>
      <c r="GB155">
        <v>41.353278092414293</v>
      </c>
      <c r="GC155">
        <v>2.1289296337292636</v>
      </c>
      <c r="GD155">
        <v>0.17349007866554661</v>
      </c>
      <c r="GE155">
        <v>0.38491309985700373</v>
      </c>
      <c r="GF155">
        <v>3.3709245324931132</v>
      </c>
      <c r="GG155">
        <v>9.1984644093898318</v>
      </c>
      <c r="GH155">
        <v>17.253860269699697</v>
      </c>
      <c r="GI155">
        <v>39.672258156129232</v>
      </c>
      <c r="GJ155"/>
      <c r="GK155"/>
      <c r="GL155"/>
      <c r="GM155"/>
    </row>
    <row r="156" spans="1:195" s="7" customFormat="1">
      <c r="A156" s="77"/>
      <c r="B156" s="76">
        <f ca="1">IF(C156="", "", RAND())</f>
        <v>0.13978542110861802</v>
      </c>
      <c r="C156">
        <v>5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10.545833333333334</v>
      </c>
      <c r="AO156">
        <v>81.439656399265573</v>
      </c>
      <c r="AP156">
        <v>722.21663427259159</v>
      </c>
      <c r="AQ156">
        <v>191.87131602520796</v>
      </c>
      <c r="AR156">
        <v>75.669345355378539</v>
      </c>
      <c r="AS156">
        <v>644.20083893807987</v>
      </c>
      <c r="AT156" t="e">
        <v>#DIV/0!</v>
      </c>
      <c r="AU156" t="e">
        <v>#DIV/0!</v>
      </c>
      <c r="AV156"/>
      <c r="AW156"/>
      <c r="AX156" s="151"/>
      <c r="AY156" s="76">
        <f t="shared" ca="1" si="169"/>
        <v>0.85266697480717935</v>
      </c>
      <c r="AZ156">
        <v>9</v>
      </c>
      <c r="BA156" s="129">
        <f t="shared" si="168"/>
        <v>39847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4"/>
        <v>0.28353247367456902</v>
      </c>
      <c r="CL156" s="179">
        <f t="shared" si="205"/>
        <v>9</v>
      </c>
      <c r="CM156" s="180">
        <f t="shared" si="206"/>
        <v>39847</v>
      </c>
      <c r="CN156" s="221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07"/>
        <v>9.6000000000000002E-2</v>
      </c>
      <c r="DB156" s="151"/>
      <c r="DC156" s="76">
        <f t="shared" ca="1" si="170"/>
        <v>0.99200800732243111</v>
      </c>
      <c r="DD156">
        <f t="shared" si="208"/>
        <v>9</v>
      </c>
      <c r="DE156" s="129">
        <f t="shared" si="167"/>
        <v>39847</v>
      </c>
      <c r="DF156" s="161">
        <f t="shared" si="209"/>
        <v>0</v>
      </c>
      <c r="DG156" s="161">
        <f t="shared" si="210"/>
        <v>0</v>
      </c>
      <c r="DH156" s="161">
        <f t="shared" si="211"/>
        <v>0</v>
      </c>
      <c r="DI156" s="161">
        <f t="shared" si="212"/>
        <v>0</v>
      </c>
      <c r="DJ156" s="161">
        <f t="shared" si="213"/>
        <v>0</v>
      </c>
      <c r="DK156" s="161">
        <f t="shared" si="214"/>
        <v>0</v>
      </c>
      <c r="DL156" s="161">
        <f t="shared" si="215"/>
        <v>0</v>
      </c>
      <c r="DM156" s="161">
        <f t="shared" si="216"/>
        <v>0</v>
      </c>
      <c r="DN156" s="161">
        <f t="shared" si="217"/>
        <v>0</v>
      </c>
      <c r="DO156" s="161">
        <f t="shared" si="218"/>
        <v>0</v>
      </c>
      <c r="DP156" s="161">
        <f t="shared" si="219"/>
        <v>0</v>
      </c>
      <c r="DQ156" s="161">
        <f t="shared" si="220"/>
        <v>0</v>
      </c>
      <c r="DR156" s="161">
        <f t="shared" si="221"/>
        <v>0</v>
      </c>
      <c r="DS156" s="161">
        <f t="shared" si="222"/>
        <v>0</v>
      </c>
      <c r="DT156" s="161">
        <f t="shared" si="223"/>
        <v>0</v>
      </c>
      <c r="DU156" s="161">
        <f t="shared" si="224"/>
        <v>0</v>
      </c>
      <c r="DV156" s="161">
        <f t="shared" si="225"/>
        <v>0</v>
      </c>
      <c r="DW156" s="161">
        <f t="shared" si="226"/>
        <v>0</v>
      </c>
      <c r="DX156" s="161">
        <f t="shared" si="227"/>
        <v>0</v>
      </c>
      <c r="DY156" s="161">
        <f t="shared" si="228"/>
        <v>0</v>
      </c>
      <c r="DZ156" s="161">
        <f t="shared" si="229"/>
        <v>0</v>
      </c>
      <c r="EA156" s="161">
        <f t="shared" si="230"/>
        <v>0</v>
      </c>
      <c r="EB156" s="161">
        <f t="shared" si="231"/>
        <v>0</v>
      </c>
      <c r="EC156" s="161">
        <f t="shared" si="232"/>
        <v>0</v>
      </c>
      <c r="ED156" s="161">
        <f t="shared" si="233"/>
        <v>0</v>
      </c>
      <c r="EE156" s="161">
        <f t="shared" si="234"/>
        <v>0</v>
      </c>
      <c r="EF156" s="161">
        <f t="shared" si="235"/>
        <v>0</v>
      </c>
      <c r="EG156" s="161">
        <f t="shared" si="236"/>
        <v>0</v>
      </c>
      <c r="EH156" s="161">
        <f t="shared" si="237"/>
        <v>0</v>
      </c>
      <c r="EI156" s="161">
        <f t="shared" si="238"/>
        <v>0</v>
      </c>
      <c r="EJ156" s="161">
        <f t="shared" si="239"/>
        <v>0</v>
      </c>
      <c r="EK156" s="147">
        <f t="shared" si="171"/>
        <v>0</v>
      </c>
      <c r="EL156" s="149"/>
      <c r="EN156" s="151"/>
      <c r="EO156" s="151"/>
      <c r="EP156" s="139">
        <f t="shared" si="172"/>
        <v>0</v>
      </c>
      <c r="EQ156" s="139">
        <f t="shared" si="173"/>
        <v>0</v>
      </c>
      <c r="ER156" s="139">
        <f t="shared" si="174"/>
        <v>0</v>
      </c>
      <c r="ES156" s="139">
        <f t="shared" si="175"/>
        <v>0</v>
      </c>
      <c r="ET156" s="139">
        <f t="shared" si="176"/>
        <v>0</v>
      </c>
      <c r="EU156" s="139">
        <f t="shared" si="177"/>
        <v>0</v>
      </c>
      <c r="EV156" s="139">
        <f t="shared" si="178"/>
        <v>0</v>
      </c>
      <c r="EW156" s="139">
        <f t="shared" si="179"/>
        <v>0</v>
      </c>
      <c r="EX156" s="139">
        <f t="shared" si="180"/>
        <v>0</v>
      </c>
      <c r="EY156" s="139">
        <f t="shared" si="181"/>
        <v>0</v>
      </c>
      <c r="EZ156" s="139">
        <f t="shared" si="182"/>
        <v>0</v>
      </c>
      <c r="FA156" s="139">
        <f t="shared" si="183"/>
        <v>0</v>
      </c>
      <c r="FB156" s="139">
        <f t="shared" si="184"/>
        <v>0</v>
      </c>
      <c r="FC156" s="139">
        <f t="shared" si="185"/>
        <v>0</v>
      </c>
      <c r="FD156" s="139">
        <f t="shared" si="186"/>
        <v>0</v>
      </c>
      <c r="FE156" s="139">
        <f t="shared" si="187"/>
        <v>0</v>
      </c>
      <c r="FF156" s="139">
        <f t="shared" si="188"/>
        <v>0</v>
      </c>
      <c r="FG156" s="139">
        <f t="shared" si="189"/>
        <v>0</v>
      </c>
      <c r="FH156" s="139">
        <f t="shared" si="190"/>
        <v>0</v>
      </c>
      <c r="FI156" s="139">
        <f t="shared" si="191"/>
        <v>0</v>
      </c>
      <c r="FJ156" s="139">
        <f t="shared" si="192"/>
        <v>0</v>
      </c>
      <c r="FK156" s="139">
        <f t="shared" si="193"/>
        <v>0</v>
      </c>
      <c r="FL156" s="139">
        <f t="shared" si="194"/>
        <v>0</v>
      </c>
      <c r="FM156" s="139">
        <f t="shared" si="195"/>
        <v>0</v>
      </c>
      <c r="FN156" s="139">
        <f t="shared" si="196"/>
        <v>0</v>
      </c>
      <c r="FO156" s="139">
        <f t="shared" si="197"/>
        <v>0</v>
      </c>
      <c r="FP156" s="139">
        <f t="shared" si="198"/>
        <v>0</v>
      </c>
      <c r="FQ156" s="139">
        <f t="shared" si="199"/>
        <v>0</v>
      </c>
      <c r="FR156" s="139">
        <f t="shared" si="200"/>
        <v>0</v>
      </c>
      <c r="FS156" s="139">
        <f t="shared" si="201"/>
        <v>0</v>
      </c>
      <c r="FT156" s="139">
        <f t="shared" si="202"/>
        <v>0</v>
      </c>
      <c r="FU156" s="148">
        <f t="shared" si="203"/>
        <v>0</v>
      </c>
      <c r="FV156" s="149"/>
      <c r="FY156" s="211">
        <v>151</v>
      </c>
      <c r="FZ156">
        <v>20.629488952019038</v>
      </c>
      <c r="GA156">
        <v>27.437594585559232</v>
      </c>
      <c r="GB156">
        <v>40.498778481669888</v>
      </c>
      <c r="GC156">
        <v>1.4763553517750734</v>
      </c>
      <c r="GD156">
        <v>0.32444827901427609</v>
      </c>
      <c r="GE156">
        <v>0.46441282501611136</v>
      </c>
      <c r="GF156">
        <v>3.7342622341212723</v>
      </c>
      <c r="GG156">
        <v>3.6489681543580739</v>
      </c>
      <c r="GH156">
        <v>11.67097209005504</v>
      </c>
      <c r="GI156">
        <v>43.518231627345557</v>
      </c>
      <c r="GJ156"/>
      <c r="GK156"/>
      <c r="GL156"/>
      <c r="GM156"/>
    </row>
    <row r="157" spans="1:195" s="7" customFormat="1">
      <c r="A157" s="77"/>
      <c r="B157" s="76">
        <f ca="1">IF(C157="", "", RAND())</f>
        <v>0.63911457476546674</v>
      </c>
      <c r="C157">
        <v>9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11.339676816239315</v>
      </c>
      <c r="AO157">
        <v>97.254889706483283</v>
      </c>
      <c r="AP157">
        <v>793.56692599914084</v>
      </c>
      <c r="AQ157">
        <v>162.5282986390236</v>
      </c>
      <c r="AR157">
        <v>90.119775365724266</v>
      </c>
      <c r="AS157">
        <v>502.81446397144487</v>
      </c>
      <c r="AT157" t="e">
        <v>#DIV/0!</v>
      </c>
      <c r="AU157" t="e">
        <v>#DIV/0!</v>
      </c>
      <c r="AV157"/>
      <c r="AW157"/>
      <c r="AX157" s="151"/>
      <c r="AY157" s="76">
        <f t="shared" ca="1" si="169"/>
        <v>0.15882475429195519</v>
      </c>
      <c r="AZ157">
        <v>10</v>
      </c>
      <c r="BA157" s="129">
        <f t="shared" si="168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1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4"/>
        <v>0.82150864650778832</v>
      </c>
      <c r="CL157" s="179">
        <f t="shared" si="205"/>
        <v>10</v>
      </c>
      <c r="CM157" s="180">
        <f t="shared" si="206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07"/>
        <v>9.6000000000000002E-2</v>
      </c>
      <c r="DB157" s="151"/>
      <c r="DC157" s="76">
        <f t="shared" ca="1" si="170"/>
        <v>0.34269870872929453</v>
      </c>
      <c r="DD157">
        <f t="shared" si="208"/>
        <v>10</v>
      </c>
      <c r="DE157" s="129">
        <f t="shared" si="167"/>
        <v>39847</v>
      </c>
      <c r="DF157" s="161">
        <f t="shared" si="209"/>
        <v>0</v>
      </c>
      <c r="DG157" s="161">
        <f t="shared" si="210"/>
        <v>0</v>
      </c>
      <c r="DH157" s="161">
        <f t="shared" si="211"/>
        <v>0</v>
      </c>
      <c r="DI157" s="161">
        <f t="shared" si="212"/>
        <v>0</v>
      </c>
      <c r="DJ157" s="161">
        <f t="shared" si="213"/>
        <v>0</v>
      </c>
      <c r="DK157" s="161">
        <f t="shared" si="214"/>
        <v>0</v>
      </c>
      <c r="DL157" s="161">
        <f t="shared" si="215"/>
        <v>10.416666666666666</v>
      </c>
      <c r="DM157" s="161">
        <f t="shared" si="216"/>
        <v>0</v>
      </c>
      <c r="DN157" s="161">
        <f t="shared" si="217"/>
        <v>0</v>
      </c>
      <c r="DO157" s="161">
        <f t="shared" si="218"/>
        <v>0</v>
      </c>
      <c r="DP157" s="161">
        <f t="shared" si="219"/>
        <v>0</v>
      </c>
      <c r="DQ157" s="161">
        <f t="shared" si="220"/>
        <v>0</v>
      </c>
      <c r="DR157" s="161">
        <f t="shared" si="221"/>
        <v>0</v>
      </c>
      <c r="DS157" s="161">
        <f t="shared" si="222"/>
        <v>0</v>
      </c>
      <c r="DT157" s="161">
        <f t="shared" si="223"/>
        <v>0</v>
      </c>
      <c r="DU157" s="161">
        <f t="shared" si="224"/>
        <v>0</v>
      </c>
      <c r="DV157" s="161">
        <f t="shared" si="225"/>
        <v>0</v>
      </c>
      <c r="DW157" s="161">
        <f t="shared" si="226"/>
        <v>0</v>
      </c>
      <c r="DX157" s="161">
        <f t="shared" si="227"/>
        <v>0</v>
      </c>
      <c r="DY157" s="161">
        <f t="shared" si="228"/>
        <v>0</v>
      </c>
      <c r="DZ157" s="161">
        <f t="shared" si="229"/>
        <v>0</v>
      </c>
      <c r="EA157" s="161">
        <f t="shared" si="230"/>
        <v>0</v>
      </c>
      <c r="EB157" s="161">
        <f t="shared" si="231"/>
        <v>0</v>
      </c>
      <c r="EC157" s="161">
        <f t="shared" si="232"/>
        <v>0</v>
      </c>
      <c r="ED157" s="161">
        <f t="shared" si="233"/>
        <v>0</v>
      </c>
      <c r="EE157" s="161">
        <f t="shared" si="234"/>
        <v>0</v>
      </c>
      <c r="EF157" s="161">
        <f t="shared" si="235"/>
        <v>0</v>
      </c>
      <c r="EG157" s="161">
        <f t="shared" si="236"/>
        <v>0</v>
      </c>
      <c r="EH157" s="161">
        <f t="shared" si="237"/>
        <v>0</v>
      </c>
      <c r="EI157" s="161">
        <f t="shared" si="238"/>
        <v>0</v>
      </c>
      <c r="EJ157" s="161">
        <f t="shared" si="239"/>
        <v>0</v>
      </c>
      <c r="EK157" s="147">
        <f t="shared" si="171"/>
        <v>10.416666666666666</v>
      </c>
      <c r="EL157" s="149"/>
      <c r="EN157" s="151"/>
      <c r="EO157" s="151"/>
      <c r="EP157" s="139">
        <f t="shared" si="172"/>
        <v>0</v>
      </c>
      <c r="EQ157" s="139">
        <f t="shared" si="173"/>
        <v>0</v>
      </c>
      <c r="ER157" s="139">
        <f t="shared" si="174"/>
        <v>0</v>
      </c>
      <c r="ES157" s="139">
        <f t="shared" si="175"/>
        <v>0</v>
      </c>
      <c r="ET157" s="139">
        <f t="shared" si="176"/>
        <v>0</v>
      </c>
      <c r="EU157" s="139">
        <f t="shared" si="177"/>
        <v>0</v>
      </c>
      <c r="EV157" s="139">
        <f t="shared" si="178"/>
        <v>17.587723455391696</v>
      </c>
      <c r="EW157" s="139">
        <f t="shared" si="179"/>
        <v>0</v>
      </c>
      <c r="EX157" s="139">
        <f t="shared" si="180"/>
        <v>0</v>
      </c>
      <c r="EY157" s="139">
        <f t="shared" si="181"/>
        <v>0</v>
      </c>
      <c r="EZ157" s="139">
        <f t="shared" si="182"/>
        <v>0</v>
      </c>
      <c r="FA157" s="139">
        <f t="shared" si="183"/>
        <v>0</v>
      </c>
      <c r="FB157" s="139">
        <f t="shared" si="184"/>
        <v>0</v>
      </c>
      <c r="FC157" s="139">
        <f t="shared" si="185"/>
        <v>0</v>
      </c>
      <c r="FD157" s="139">
        <f t="shared" si="186"/>
        <v>0</v>
      </c>
      <c r="FE157" s="139">
        <f t="shared" si="187"/>
        <v>0</v>
      </c>
      <c r="FF157" s="139">
        <f t="shared" si="188"/>
        <v>0</v>
      </c>
      <c r="FG157" s="139">
        <f t="shared" si="189"/>
        <v>0</v>
      </c>
      <c r="FH157" s="139">
        <f t="shared" si="190"/>
        <v>0</v>
      </c>
      <c r="FI157" s="139">
        <f t="shared" si="191"/>
        <v>0</v>
      </c>
      <c r="FJ157" s="139">
        <f t="shared" si="192"/>
        <v>0</v>
      </c>
      <c r="FK157" s="139">
        <f t="shared" si="193"/>
        <v>0</v>
      </c>
      <c r="FL157" s="139">
        <f t="shared" si="194"/>
        <v>0</v>
      </c>
      <c r="FM157" s="139">
        <f t="shared" si="195"/>
        <v>0</v>
      </c>
      <c r="FN157" s="139">
        <f t="shared" si="196"/>
        <v>0</v>
      </c>
      <c r="FO157" s="139">
        <f t="shared" si="197"/>
        <v>0</v>
      </c>
      <c r="FP157" s="139">
        <f t="shared" si="198"/>
        <v>0</v>
      </c>
      <c r="FQ157" s="139">
        <f t="shared" si="199"/>
        <v>0</v>
      </c>
      <c r="FR157" s="139">
        <f t="shared" si="200"/>
        <v>0</v>
      </c>
      <c r="FS157" s="139">
        <f t="shared" si="201"/>
        <v>0</v>
      </c>
      <c r="FT157" s="139">
        <f t="shared" si="202"/>
        <v>0</v>
      </c>
      <c r="FU157" s="148">
        <f t="shared" si="203"/>
        <v>17.587723455391696</v>
      </c>
      <c r="FV157" s="149"/>
      <c r="FY157" s="211">
        <v>152</v>
      </c>
      <c r="FZ157">
        <v>26.694243100615594</v>
      </c>
      <c r="GA157">
        <v>34.286392214775745</v>
      </c>
      <c r="GB157">
        <v>26.345143240929922</v>
      </c>
      <c r="GC157">
        <v>1.9468711515859958</v>
      </c>
      <c r="GD157">
        <v>0.31019003509402243</v>
      </c>
      <c r="GE157">
        <v>0.65731824801606409</v>
      </c>
      <c r="GF157">
        <v>1.9592043476278671</v>
      </c>
      <c r="GG157">
        <v>0.82966741238504016</v>
      </c>
      <c r="GH157">
        <v>0</v>
      </c>
      <c r="GI157">
        <v>30.882848481256335</v>
      </c>
      <c r="GJ157"/>
      <c r="GK157"/>
      <c r="GL157"/>
      <c r="GM157"/>
    </row>
    <row r="158" spans="1:195" s="7" customFormat="1">
      <c r="A158" s="128"/>
      <c r="B158" s="76">
        <f ca="1">IF(C158="", "", RAND())</f>
        <v>0.97015256708078201</v>
      </c>
      <c r="C158">
        <v>3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9.4723557692307683</v>
      </c>
      <c r="AO158">
        <v>104.78092572359867</v>
      </c>
      <c r="AP158">
        <v>620.37033808775664</v>
      </c>
      <c r="AQ158">
        <v>143.32337236271445</v>
      </c>
      <c r="AR158">
        <v>97.444101646966189</v>
      </c>
      <c r="AS158">
        <v>558.71561312640983</v>
      </c>
      <c r="AT158" t="e">
        <v>#DIV/0!</v>
      </c>
      <c r="AU158" t="e">
        <v>#DIV/0!</v>
      </c>
      <c r="AV158"/>
      <c r="AW158"/>
      <c r="AX158" s="128"/>
      <c r="AY158" s="76">
        <f t="shared" ca="1" si="169"/>
        <v>0.56899949743622003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2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4"/>
        <v>0.18027407122269357</v>
      </c>
      <c r="CL158" s="179">
        <f t="shared" si="205"/>
        <v>1</v>
      </c>
      <c r="CM158" s="180">
        <f t="shared" si="206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07"/>
        <v>9.6000000000000002E-2</v>
      </c>
      <c r="DB158" s="128"/>
      <c r="DC158" s="76">
        <f t="shared" ca="1" si="170"/>
        <v>0.74354985854234656</v>
      </c>
      <c r="DD158">
        <f t="shared" si="208"/>
        <v>1</v>
      </c>
      <c r="DE158" s="129">
        <f t="shared" ref="DE158:DE167" si="240">IF((DD158)="", "", $C$11)</f>
        <v>39910</v>
      </c>
      <c r="DF158" s="161">
        <f t="shared" si="209"/>
        <v>0</v>
      </c>
      <c r="DG158" s="161">
        <f t="shared" si="210"/>
        <v>0</v>
      </c>
      <c r="DH158" s="161">
        <f t="shared" si="211"/>
        <v>0</v>
      </c>
      <c r="DI158" s="161">
        <f t="shared" si="212"/>
        <v>20.833333333333332</v>
      </c>
      <c r="DJ158" s="161">
        <f t="shared" si="213"/>
        <v>0</v>
      </c>
      <c r="DK158" s="161">
        <f t="shared" si="214"/>
        <v>0</v>
      </c>
      <c r="DL158" s="161">
        <f t="shared" si="215"/>
        <v>0</v>
      </c>
      <c r="DM158" s="161">
        <f t="shared" si="216"/>
        <v>0</v>
      </c>
      <c r="DN158" s="161">
        <f t="shared" si="217"/>
        <v>0</v>
      </c>
      <c r="DO158" s="161">
        <f t="shared" si="218"/>
        <v>0</v>
      </c>
      <c r="DP158" s="161">
        <f t="shared" si="219"/>
        <v>0</v>
      </c>
      <c r="DQ158" s="161">
        <f t="shared" si="220"/>
        <v>0</v>
      </c>
      <c r="DR158" s="161">
        <f t="shared" si="221"/>
        <v>0</v>
      </c>
      <c r="DS158" s="161">
        <f t="shared" si="222"/>
        <v>0</v>
      </c>
      <c r="DT158" s="161">
        <f t="shared" si="223"/>
        <v>0</v>
      </c>
      <c r="DU158" s="161">
        <f t="shared" si="224"/>
        <v>0</v>
      </c>
      <c r="DV158" s="161">
        <f t="shared" si="225"/>
        <v>0</v>
      </c>
      <c r="DW158" s="161">
        <f t="shared" si="226"/>
        <v>0</v>
      </c>
      <c r="DX158" s="161">
        <f t="shared" si="227"/>
        <v>0</v>
      </c>
      <c r="DY158" s="161">
        <f t="shared" si="228"/>
        <v>0</v>
      </c>
      <c r="DZ158" s="161">
        <f t="shared" si="229"/>
        <v>0</v>
      </c>
      <c r="EA158" s="161">
        <f t="shared" si="230"/>
        <v>0</v>
      </c>
      <c r="EB158" s="161">
        <f t="shared" si="231"/>
        <v>0</v>
      </c>
      <c r="EC158" s="161">
        <f t="shared" si="232"/>
        <v>0</v>
      </c>
      <c r="ED158" s="161">
        <f t="shared" si="233"/>
        <v>0</v>
      </c>
      <c r="EE158" s="161">
        <f t="shared" si="234"/>
        <v>0</v>
      </c>
      <c r="EF158" s="161">
        <f t="shared" si="235"/>
        <v>0</v>
      </c>
      <c r="EG158" s="161">
        <f t="shared" si="236"/>
        <v>0</v>
      </c>
      <c r="EH158" s="161">
        <f t="shared" si="237"/>
        <v>0</v>
      </c>
      <c r="EI158" s="161">
        <f t="shared" si="238"/>
        <v>0</v>
      </c>
      <c r="EJ158" s="161">
        <f t="shared" si="239"/>
        <v>0</v>
      </c>
      <c r="EK158" s="147">
        <f t="shared" si="171"/>
        <v>20.833333333333332</v>
      </c>
      <c r="EL158" s="149"/>
      <c r="EN158" s="146"/>
      <c r="EO158" s="146"/>
      <c r="EP158" s="139">
        <f t="shared" si="172"/>
        <v>0</v>
      </c>
      <c r="EQ158" s="139">
        <f t="shared" si="173"/>
        <v>0</v>
      </c>
      <c r="ER158" s="139">
        <f t="shared" si="174"/>
        <v>0</v>
      </c>
      <c r="ES158" s="139">
        <f t="shared" si="175"/>
        <v>4.7341723621665821</v>
      </c>
      <c r="ET158" s="139">
        <f t="shared" si="176"/>
        <v>0</v>
      </c>
      <c r="EU158" s="139">
        <f t="shared" si="177"/>
        <v>0</v>
      </c>
      <c r="EV158" s="139">
        <f t="shared" si="178"/>
        <v>0</v>
      </c>
      <c r="EW158" s="139">
        <f t="shared" si="179"/>
        <v>0</v>
      </c>
      <c r="EX158" s="139">
        <f t="shared" si="180"/>
        <v>0</v>
      </c>
      <c r="EY158" s="139">
        <f t="shared" si="181"/>
        <v>0</v>
      </c>
      <c r="EZ158" s="139">
        <f t="shared" si="182"/>
        <v>0</v>
      </c>
      <c r="FA158" s="139">
        <f t="shared" si="183"/>
        <v>0</v>
      </c>
      <c r="FB158" s="139">
        <f t="shared" si="184"/>
        <v>0</v>
      </c>
      <c r="FC158" s="139">
        <f t="shared" si="185"/>
        <v>0</v>
      </c>
      <c r="FD158" s="139">
        <f t="shared" si="186"/>
        <v>0</v>
      </c>
      <c r="FE158" s="139">
        <f t="shared" si="187"/>
        <v>0</v>
      </c>
      <c r="FF158" s="139">
        <f t="shared" si="188"/>
        <v>0</v>
      </c>
      <c r="FG158" s="139">
        <f t="shared" si="189"/>
        <v>0</v>
      </c>
      <c r="FH158" s="139">
        <f t="shared" si="190"/>
        <v>0</v>
      </c>
      <c r="FI158" s="139">
        <f t="shared" si="191"/>
        <v>0</v>
      </c>
      <c r="FJ158" s="139">
        <f t="shared" si="192"/>
        <v>0</v>
      </c>
      <c r="FK158" s="139">
        <f t="shared" si="193"/>
        <v>0</v>
      </c>
      <c r="FL158" s="139">
        <f t="shared" si="194"/>
        <v>0</v>
      </c>
      <c r="FM158" s="139">
        <f t="shared" si="195"/>
        <v>0</v>
      </c>
      <c r="FN158" s="139">
        <f t="shared" si="196"/>
        <v>0</v>
      </c>
      <c r="FO158" s="139">
        <f t="shared" si="197"/>
        <v>0</v>
      </c>
      <c r="FP158" s="139">
        <f t="shared" si="198"/>
        <v>0</v>
      </c>
      <c r="FQ158" s="139">
        <f t="shared" si="199"/>
        <v>0</v>
      </c>
      <c r="FR158" s="139">
        <f t="shared" si="200"/>
        <v>0</v>
      </c>
      <c r="FS158" s="139">
        <f t="shared" si="201"/>
        <v>0</v>
      </c>
      <c r="FT158" s="139">
        <f t="shared" si="202"/>
        <v>0</v>
      </c>
      <c r="FU158" s="148">
        <f t="shared" si="203"/>
        <v>4.7341723621665821</v>
      </c>
      <c r="FV158" s="149"/>
      <c r="FY158" s="211">
        <v>153</v>
      </c>
      <c r="FZ158">
        <v>32.374908945059175</v>
      </c>
      <c r="GA158">
        <v>36.911713274934982</v>
      </c>
      <c r="GB158">
        <v>64.403338393540537</v>
      </c>
      <c r="GC158">
        <v>3.8431566189400503</v>
      </c>
      <c r="GD158">
        <v>0.37091859542585337</v>
      </c>
      <c r="GE158">
        <v>0.46944603506092875</v>
      </c>
      <c r="GF158">
        <v>3.2721644377340562</v>
      </c>
      <c r="GG158">
        <v>15.263095644226704</v>
      </c>
      <c r="GH158">
        <v>20.363083339925474</v>
      </c>
      <c r="GI158">
        <v>55.46122359403099</v>
      </c>
      <c r="GJ158"/>
      <c r="GK158"/>
      <c r="GL158"/>
      <c r="GM158"/>
    </row>
    <row r="159" spans="1:195" s="7" customFormat="1">
      <c r="A159" s="1"/>
      <c r="B159" s="76">
        <f ca="1">IF(C159="", "", RAND())</f>
        <v>0.23206057046300477</v>
      </c>
      <c r="C159">
        <v>10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13.965104166666668</v>
      </c>
      <c r="AO159">
        <v>90.667806031737385</v>
      </c>
      <c r="AP159">
        <v>709.91970254031844</v>
      </c>
      <c r="AQ159">
        <v>185.74224999655507</v>
      </c>
      <c r="AR159">
        <v>84.103338653794594</v>
      </c>
      <c r="AS159">
        <v>606.74427402170966</v>
      </c>
      <c r="AT159" t="e">
        <v>#DIV/0!</v>
      </c>
      <c r="AU159" t="e">
        <v>#DIV/0!</v>
      </c>
      <c r="AV159"/>
      <c r="AW159"/>
      <c r="AX159" s="146"/>
      <c r="AY159" s="76">
        <f t="shared" ca="1" si="169"/>
        <v>0.58484284205960346</v>
      </c>
      <c r="AZ159">
        <v>2</v>
      </c>
      <c r="BA159" s="129">
        <f t="shared" ref="BA159:BA167" si="241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4"/>
        <v>0.65275833942599348</v>
      </c>
      <c r="CL159" s="179">
        <f t="shared" si="205"/>
        <v>2</v>
      </c>
      <c r="CM159" s="180">
        <f t="shared" si="206"/>
        <v>39910</v>
      </c>
      <c r="CN159" s="222">
        <v>0</v>
      </c>
      <c r="CO159" s="222">
        <v>0</v>
      </c>
      <c r="CP159" s="222">
        <v>0</v>
      </c>
      <c r="CQ159" s="222">
        <v>0</v>
      </c>
      <c r="CR159" s="222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7"/>
        <v>9.6000000000000002E-2</v>
      </c>
      <c r="DB159" s="146"/>
      <c r="DC159" s="76">
        <f t="shared" ca="1" si="170"/>
        <v>0.83709449078810949</v>
      </c>
      <c r="DD159">
        <f t="shared" si="208"/>
        <v>2</v>
      </c>
      <c r="DE159" s="129">
        <f t="shared" si="240"/>
        <v>39910</v>
      </c>
      <c r="DF159" s="161">
        <f t="shared" si="209"/>
        <v>0</v>
      </c>
      <c r="DG159" s="161">
        <f t="shared" si="210"/>
        <v>0</v>
      </c>
      <c r="DH159" s="161">
        <f t="shared" si="211"/>
        <v>0</v>
      </c>
      <c r="DI159" s="161">
        <f t="shared" si="212"/>
        <v>0</v>
      </c>
      <c r="DJ159" s="161">
        <f t="shared" si="213"/>
        <v>0</v>
      </c>
      <c r="DK159" s="161">
        <f t="shared" si="214"/>
        <v>0</v>
      </c>
      <c r="DL159" s="161">
        <f t="shared" si="215"/>
        <v>0</v>
      </c>
      <c r="DM159" s="161">
        <f t="shared" si="216"/>
        <v>0</v>
      </c>
      <c r="DN159" s="161">
        <f t="shared" si="217"/>
        <v>0</v>
      </c>
      <c r="DO159" s="161">
        <f t="shared" si="218"/>
        <v>0</v>
      </c>
      <c r="DP159" s="161">
        <f t="shared" si="219"/>
        <v>0</v>
      </c>
      <c r="DQ159" s="161">
        <f t="shared" si="220"/>
        <v>0</v>
      </c>
      <c r="DR159" s="161">
        <f t="shared" si="221"/>
        <v>0</v>
      </c>
      <c r="DS159" s="161">
        <f t="shared" si="222"/>
        <v>0</v>
      </c>
      <c r="DT159" s="161">
        <f t="shared" si="223"/>
        <v>0</v>
      </c>
      <c r="DU159" s="161">
        <f t="shared" si="224"/>
        <v>0</v>
      </c>
      <c r="DV159" s="161">
        <f t="shared" si="225"/>
        <v>0</v>
      </c>
      <c r="DW159" s="161">
        <f t="shared" si="226"/>
        <v>0</v>
      </c>
      <c r="DX159" s="161">
        <f t="shared" si="227"/>
        <v>0</v>
      </c>
      <c r="DY159" s="161">
        <f t="shared" si="228"/>
        <v>0</v>
      </c>
      <c r="DZ159" s="161">
        <f t="shared" si="229"/>
        <v>0</v>
      </c>
      <c r="EA159" s="161">
        <f t="shared" si="230"/>
        <v>0</v>
      </c>
      <c r="EB159" s="161">
        <f t="shared" si="231"/>
        <v>0</v>
      </c>
      <c r="EC159" s="161">
        <f t="shared" si="232"/>
        <v>0</v>
      </c>
      <c r="ED159" s="161">
        <f t="shared" si="233"/>
        <v>0</v>
      </c>
      <c r="EE159" s="161">
        <f t="shared" si="234"/>
        <v>0</v>
      </c>
      <c r="EF159" s="161">
        <f t="shared" si="235"/>
        <v>0</v>
      </c>
      <c r="EG159" s="161">
        <f t="shared" si="236"/>
        <v>0</v>
      </c>
      <c r="EH159" s="161">
        <f t="shared" si="237"/>
        <v>0</v>
      </c>
      <c r="EI159" s="161">
        <f t="shared" si="238"/>
        <v>0</v>
      </c>
      <c r="EJ159" s="161">
        <f t="shared" si="239"/>
        <v>0</v>
      </c>
      <c r="EK159" s="147">
        <f t="shared" si="171"/>
        <v>0</v>
      </c>
      <c r="EL159" s="149"/>
      <c r="EN159" s="146"/>
      <c r="EO159" s="146"/>
      <c r="EP159" s="139">
        <f t="shared" si="172"/>
        <v>0</v>
      </c>
      <c r="EQ159" s="139">
        <f t="shared" si="173"/>
        <v>0</v>
      </c>
      <c r="ER159" s="139">
        <f t="shared" si="174"/>
        <v>0</v>
      </c>
      <c r="ES159" s="139">
        <f t="shared" si="175"/>
        <v>0</v>
      </c>
      <c r="ET159" s="139">
        <f t="shared" si="176"/>
        <v>0</v>
      </c>
      <c r="EU159" s="139">
        <f t="shared" si="177"/>
        <v>0</v>
      </c>
      <c r="EV159" s="139">
        <f t="shared" si="178"/>
        <v>0</v>
      </c>
      <c r="EW159" s="139">
        <f t="shared" si="179"/>
        <v>0</v>
      </c>
      <c r="EX159" s="139">
        <f t="shared" si="180"/>
        <v>0</v>
      </c>
      <c r="EY159" s="139">
        <f t="shared" si="181"/>
        <v>0</v>
      </c>
      <c r="EZ159" s="139">
        <f t="shared" si="182"/>
        <v>0</v>
      </c>
      <c r="FA159" s="139">
        <f t="shared" si="183"/>
        <v>0</v>
      </c>
      <c r="FB159" s="139">
        <f t="shared" si="184"/>
        <v>0</v>
      </c>
      <c r="FC159" s="139">
        <f t="shared" si="185"/>
        <v>0</v>
      </c>
      <c r="FD159" s="139">
        <f t="shared" si="186"/>
        <v>0</v>
      </c>
      <c r="FE159" s="139">
        <f t="shared" si="187"/>
        <v>0</v>
      </c>
      <c r="FF159" s="139">
        <f t="shared" si="188"/>
        <v>0</v>
      </c>
      <c r="FG159" s="139">
        <f t="shared" si="189"/>
        <v>0</v>
      </c>
      <c r="FH159" s="139">
        <f t="shared" si="190"/>
        <v>0</v>
      </c>
      <c r="FI159" s="139">
        <f t="shared" si="191"/>
        <v>0</v>
      </c>
      <c r="FJ159" s="139">
        <f t="shared" si="192"/>
        <v>0</v>
      </c>
      <c r="FK159" s="139">
        <f t="shared" si="193"/>
        <v>0</v>
      </c>
      <c r="FL159" s="139">
        <f t="shared" si="194"/>
        <v>0</v>
      </c>
      <c r="FM159" s="139">
        <f t="shared" si="195"/>
        <v>0</v>
      </c>
      <c r="FN159" s="139">
        <f t="shared" si="196"/>
        <v>0</v>
      </c>
      <c r="FO159" s="139">
        <f t="shared" si="197"/>
        <v>0</v>
      </c>
      <c r="FP159" s="139">
        <f t="shared" si="198"/>
        <v>0</v>
      </c>
      <c r="FQ159" s="139">
        <f t="shared" si="199"/>
        <v>0</v>
      </c>
      <c r="FR159" s="139">
        <f t="shared" si="200"/>
        <v>0</v>
      </c>
      <c r="FS159" s="139">
        <f t="shared" si="201"/>
        <v>0</v>
      </c>
      <c r="FT159" s="139">
        <f t="shared" si="202"/>
        <v>0</v>
      </c>
      <c r="FU159" s="148">
        <f t="shared" si="203"/>
        <v>0</v>
      </c>
      <c r="FV159" s="149"/>
      <c r="FY159" s="211">
        <v>154</v>
      </c>
      <c r="FZ159">
        <v>32.645890068509736</v>
      </c>
      <c r="GA159">
        <v>40.659395092121251</v>
      </c>
      <c r="GB159">
        <v>36.155900329616124</v>
      </c>
      <c r="GC159">
        <v>1.1208855331341279</v>
      </c>
      <c r="GD159">
        <v>6.970547461736612E-2</v>
      </c>
      <c r="GE159">
        <v>0.12829095223075584</v>
      </c>
      <c r="GF159">
        <v>2.7929580602742141</v>
      </c>
      <c r="GG159">
        <v>3.9229098582595818</v>
      </c>
      <c r="GH159">
        <v>4.0282766445317693</v>
      </c>
      <c r="GI159">
        <v>37.180081357751234</v>
      </c>
      <c r="GJ159"/>
      <c r="GK159"/>
      <c r="GL159"/>
      <c r="GM159"/>
    </row>
    <row r="160" spans="1:195" s="7" customFormat="1">
      <c r="A160" s="1"/>
      <c r="B160" s="76">
        <f ca="1">IF(C160="", "", RAND())</f>
        <v>0.6443812909326363</v>
      </c>
      <c r="C160">
        <v>4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14.212633547008545</v>
      </c>
      <c r="AO160">
        <v>91.767211888837693</v>
      </c>
      <c r="AP160">
        <v>587.44678805911019</v>
      </c>
      <c r="AQ160">
        <v>206.96876597138248</v>
      </c>
      <c r="AR160">
        <v>85.168062305559573</v>
      </c>
      <c r="AS160">
        <v>843.18439150839038</v>
      </c>
      <c r="AT160" t="e">
        <v>#DIV/0!</v>
      </c>
      <c r="AU160" t="e">
        <v>#DIV/0!</v>
      </c>
      <c r="AV160"/>
      <c r="AW160"/>
      <c r="AX160" s="146"/>
      <c r="AY160" s="76">
        <f t="shared" ca="1" si="169"/>
        <v>0.35621255295912668</v>
      </c>
      <c r="AZ160">
        <v>3</v>
      </c>
      <c r="BA160" s="129">
        <f t="shared" si="241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4"/>
        <v>4.4226857891216831E-2</v>
      </c>
      <c r="CL160" s="179">
        <f t="shared" si="205"/>
        <v>3</v>
      </c>
      <c r="CM160" s="180">
        <f t="shared" si="206"/>
        <v>39910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7"/>
        <v>9.6000000000000002E-2</v>
      </c>
      <c r="DB160" s="146"/>
      <c r="DC160" s="76">
        <f t="shared" ca="1" si="170"/>
        <v>0.29561384559783255</v>
      </c>
      <c r="DD160">
        <f t="shared" si="208"/>
        <v>3</v>
      </c>
      <c r="DE160" s="129">
        <f t="shared" si="240"/>
        <v>39910</v>
      </c>
      <c r="DF160" s="161">
        <f t="shared" si="209"/>
        <v>0</v>
      </c>
      <c r="DG160" s="161">
        <f t="shared" si="210"/>
        <v>0</v>
      </c>
      <c r="DH160" s="161">
        <f t="shared" si="211"/>
        <v>0</v>
      </c>
      <c r="DI160" s="161">
        <f t="shared" si="212"/>
        <v>0</v>
      </c>
      <c r="DJ160" s="161">
        <f t="shared" si="213"/>
        <v>0</v>
      </c>
      <c r="DK160" s="161">
        <f t="shared" si="214"/>
        <v>0</v>
      </c>
      <c r="DL160" s="161">
        <f t="shared" si="215"/>
        <v>0</v>
      </c>
      <c r="DM160" s="161">
        <f t="shared" si="216"/>
        <v>0</v>
      </c>
      <c r="DN160" s="161">
        <f t="shared" si="217"/>
        <v>0</v>
      </c>
      <c r="DO160" s="161">
        <f t="shared" si="218"/>
        <v>0</v>
      </c>
      <c r="DP160" s="161">
        <f t="shared" si="219"/>
        <v>0</v>
      </c>
      <c r="DQ160" s="161">
        <f t="shared" si="220"/>
        <v>0</v>
      </c>
      <c r="DR160" s="161">
        <f t="shared" si="221"/>
        <v>0</v>
      </c>
      <c r="DS160" s="161">
        <f t="shared" si="222"/>
        <v>0</v>
      </c>
      <c r="DT160" s="161">
        <f t="shared" si="223"/>
        <v>0</v>
      </c>
      <c r="DU160" s="161">
        <f t="shared" si="224"/>
        <v>0</v>
      </c>
      <c r="DV160" s="161">
        <f t="shared" si="225"/>
        <v>0</v>
      </c>
      <c r="DW160" s="161">
        <f t="shared" si="226"/>
        <v>0</v>
      </c>
      <c r="DX160" s="161">
        <f t="shared" si="227"/>
        <v>0</v>
      </c>
      <c r="DY160" s="161">
        <f t="shared" si="228"/>
        <v>0</v>
      </c>
      <c r="DZ160" s="161">
        <f t="shared" si="229"/>
        <v>0</v>
      </c>
      <c r="EA160" s="161">
        <f t="shared" si="230"/>
        <v>0</v>
      </c>
      <c r="EB160" s="161">
        <f t="shared" si="231"/>
        <v>0</v>
      </c>
      <c r="EC160" s="161">
        <f t="shared" si="232"/>
        <v>0</v>
      </c>
      <c r="ED160" s="161">
        <f t="shared" si="233"/>
        <v>0</v>
      </c>
      <c r="EE160" s="161">
        <f t="shared" si="234"/>
        <v>0</v>
      </c>
      <c r="EF160" s="161">
        <f t="shared" si="235"/>
        <v>0</v>
      </c>
      <c r="EG160" s="161">
        <f t="shared" si="236"/>
        <v>0</v>
      </c>
      <c r="EH160" s="161">
        <f t="shared" si="237"/>
        <v>0</v>
      </c>
      <c r="EI160" s="161">
        <f t="shared" si="238"/>
        <v>0</v>
      </c>
      <c r="EJ160" s="161">
        <f t="shared" si="239"/>
        <v>0</v>
      </c>
      <c r="EK160" s="147">
        <f t="shared" si="171"/>
        <v>0</v>
      </c>
      <c r="EL160" s="149"/>
      <c r="EN160" s="146"/>
      <c r="EO160" s="146"/>
      <c r="EP160" s="139">
        <f t="shared" si="172"/>
        <v>0</v>
      </c>
      <c r="EQ160" s="139">
        <f t="shared" si="173"/>
        <v>0</v>
      </c>
      <c r="ER160" s="139">
        <f t="shared" si="174"/>
        <v>0</v>
      </c>
      <c r="ES160" s="139">
        <f t="shared" si="175"/>
        <v>0</v>
      </c>
      <c r="ET160" s="139">
        <f t="shared" si="176"/>
        <v>0</v>
      </c>
      <c r="EU160" s="139">
        <f t="shared" si="177"/>
        <v>0</v>
      </c>
      <c r="EV160" s="139">
        <f t="shared" si="178"/>
        <v>0</v>
      </c>
      <c r="EW160" s="139">
        <f t="shared" si="179"/>
        <v>0</v>
      </c>
      <c r="EX160" s="139">
        <f t="shared" si="180"/>
        <v>0</v>
      </c>
      <c r="EY160" s="139">
        <f t="shared" si="181"/>
        <v>0</v>
      </c>
      <c r="EZ160" s="139">
        <f t="shared" si="182"/>
        <v>0</v>
      </c>
      <c r="FA160" s="139">
        <f t="shared" si="183"/>
        <v>0</v>
      </c>
      <c r="FB160" s="139">
        <f t="shared" si="184"/>
        <v>0</v>
      </c>
      <c r="FC160" s="139">
        <f t="shared" si="185"/>
        <v>0</v>
      </c>
      <c r="FD160" s="139">
        <f t="shared" si="186"/>
        <v>0</v>
      </c>
      <c r="FE160" s="139">
        <f t="shared" si="187"/>
        <v>0</v>
      </c>
      <c r="FF160" s="139">
        <f t="shared" si="188"/>
        <v>0</v>
      </c>
      <c r="FG160" s="139">
        <f t="shared" si="189"/>
        <v>0</v>
      </c>
      <c r="FH160" s="139">
        <f t="shared" si="190"/>
        <v>0</v>
      </c>
      <c r="FI160" s="139">
        <f t="shared" si="191"/>
        <v>0</v>
      </c>
      <c r="FJ160" s="139">
        <f t="shared" si="192"/>
        <v>0</v>
      </c>
      <c r="FK160" s="139">
        <f t="shared" si="193"/>
        <v>0</v>
      </c>
      <c r="FL160" s="139">
        <f t="shared" si="194"/>
        <v>0</v>
      </c>
      <c r="FM160" s="139">
        <f t="shared" si="195"/>
        <v>0</v>
      </c>
      <c r="FN160" s="139">
        <f t="shared" si="196"/>
        <v>0</v>
      </c>
      <c r="FO160" s="139">
        <f t="shared" si="197"/>
        <v>0</v>
      </c>
      <c r="FP160" s="139">
        <f t="shared" si="198"/>
        <v>0</v>
      </c>
      <c r="FQ160" s="139">
        <f t="shared" si="199"/>
        <v>0</v>
      </c>
      <c r="FR160" s="139">
        <f t="shared" si="200"/>
        <v>0</v>
      </c>
      <c r="FS160" s="139">
        <f t="shared" si="201"/>
        <v>0</v>
      </c>
      <c r="FT160" s="139">
        <f t="shared" si="202"/>
        <v>0</v>
      </c>
      <c r="FU160" s="148">
        <f t="shared" si="203"/>
        <v>0</v>
      </c>
      <c r="FV160" s="149"/>
      <c r="FY160" s="211">
        <v>155</v>
      </c>
      <c r="FZ160">
        <v>55.329993706045087</v>
      </c>
      <c r="GA160">
        <v>59.676542599988267</v>
      </c>
      <c r="GB160">
        <v>38.457202730514062</v>
      </c>
      <c r="GC160">
        <v>2.6120457699135269</v>
      </c>
      <c r="GD160">
        <v>0.2145384094646112</v>
      </c>
      <c r="GE160">
        <v>0.99642321965115599</v>
      </c>
      <c r="GF160">
        <v>2.9949198476377892</v>
      </c>
      <c r="GG160">
        <v>5.1064841483810355</v>
      </c>
      <c r="GH160">
        <v>13.225583625167928</v>
      </c>
      <c r="GI160">
        <v>43.616651150406234</v>
      </c>
      <c r="GJ160"/>
      <c r="GK160"/>
      <c r="GL160"/>
      <c r="GM160"/>
    </row>
    <row r="161" spans="1:195" s="7" customFormat="1">
      <c r="A161" s="1"/>
      <c r="B161" s="76">
        <f ca="1">IF(C161="", "", RAND())</f>
        <v>7.5548111500034487E-3</v>
      </c>
      <c r="C161">
        <v>7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6.584161324786324</v>
      </c>
      <c r="AO161">
        <v>39.216616429084056</v>
      </c>
      <c r="AP161">
        <v>279.7579583191532</v>
      </c>
      <c r="AQ161">
        <v>135.45854950794535</v>
      </c>
      <c r="AR161">
        <v>36.358438112567327</v>
      </c>
      <c r="AS161">
        <v>205.73146139409658</v>
      </c>
      <c r="AT161" t="e">
        <v>#DIV/0!</v>
      </c>
      <c r="AU161" t="e">
        <v>#DIV/0!</v>
      </c>
      <c r="AV161"/>
      <c r="AW161"/>
      <c r="AX161" s="146"/>
      <c r="AY161" s="76">
        <f t="shared" ca="1" si="169"/>
        <v>0.35089156314624259</v>
      </c>
      <c r="AZ161">
        <v>4</v>
      </c>
      <c r="BA161" s="129">
        <f t="shared" si="241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4"/>
        <v>0.37668566237576862</v>
      </c>
      <c r="CL161" s="179">
        <f t="shared" si="205"/>
        <v>4</v>
      </c>
      <c r="CM161" s="180">
        <f t="shared" si="206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7"/>
        <v>9.6000000000000002E-2</v>
      </c>
      <c r="DB161" s="146"/>
      <c r="DC161" s="76">
        <f t="shared" ca="1" si="170"/>
        <v>0.18114457959725039</v>
      </c>
      <c r="DD161">
        <f t="shared" si="208"/>
        <v>4</v>
      </c>
      <c r="DE161" s="129">
        <f t="shared" si="240"/>
        <v>39910</v>
      </c>
      <c r="DF161" s="161">
        <f t="shared" si="209"/>
        <v>0</v>
      </c>
      <c r="DG161" s="161">
        <f t="shared" si="210"/>
        <v>0</v>
      </c>
      <c r="DH161" s="161">
        <f t="shared" si="211"/>
        <v>0</v>
      </c>
      <c r="DI161" s="161">
        <f t="shared" si="212"/>
        <v>0</v>
      </c>
      <c r="DJ161" s="161">
        <f t="shared" si="213"/>
        <v>0</v>
      </c>
      <c r="DK161" s="161">
        <f t="shared" si="214"/>
        <v>0</v>
      </c>
      <c r="DL161" s="161">
        <f t="shared" si="215"/>
        <v>0</v>
      </c>
      <c r="DM161" s="161">
        <f t="shared" si="216"/>
        <v>0</v>
      </c>
      <c r="DN161" s="161">
        <f t="shared" si="217"/>
        <v>0</v>
      </c>
      <c r="DO161" s="161">
        <f t="shared" si="218"/>
        <v>0</v>
      </c>
      <c r="DP161" s="161">
        <f t="shared" si="219"/>
        <v>0</v>
      </c>
      <c r="DQ161" s="161">
        <f t="shared" si="220"/>
        <v>0</v>
      </c>
      <c r="DR161" s="161">
        <f t="shared" si="221"/>
        <v>0</v>
      </c>
      <c r="DS161" s="161">
        <f t="shared" si="222"/>
        <v>0</v>
      </c>
      <c r="DT161" s="161">
        <f t="shared" si="223"/>
        <v>0</v>
      </c>
      <c r="DU161" s="161">
        <f t="shared" si="224"/>
        <v>0</v>
      </c>
      <c r="DV161" s="161">
        <f t="shared" si="225"/>
        <v>0</v>
      </c>
      <c r="DW161" s="161">
        <f t="shared" si="226"/>
        <v>0</v>
      </c>
      <c r="DX161" s="161">
        <f t="shared" si="227"/>
        <v>0</v>
      </c>
      <c r="DY161" s="161">
        <f t="shared" si="228"/>
        <v>0</v>
      </c>
      <c r="DZ161" s="161">
        <f t="shared" si="229"/>
        <v>0</v>
      </c>
      <c r="EA161" s="161">
        <f t="shared" si="230"/>
        <v>0</v>
      </c>
      <c r="EB161" s="161">
        <f t="shared" si="231"/>
        <v>0</v>
      </c>
      <c r="EC161" s="161">
        <f t="shared" si="232"/>
        <v>0</v>
      </c>
      <c r="ED161" s="161">
        <f t="shared" si="233"/>
        <v>0</v>
      </c>
      <c r="EE161" s="161">
        <f t="shared" si="234"/>
        <v>0</v>
      </c>
      <c r="EF161" s="161">
        <f t="shared" si="235"/>
        <v>0</v>
      </c>
      <c r="EG161" s="161">
        <f t="shared" si="236"/>
        <v>0</v>
      </c>
      <c r="EH161" s="161">
        <f t="shared" si="237"/>
        <v>0</v>
      </c>
      <c r="EI161" s="161">
        <f t="shared" si="238"/>
        <v>0</v>
      </c>
      <c r="EJ161" s="161">
        <f t="shared" si="239"/>
        <v>0</v>
      </c>
      <c r="EK161" s="147">
        <f t="shared" si="171"/>
        <v>0</v>
      </c>
      <c r="EL161" s="149"/>
      <c r="EN161" s="146"/>
      <c r="EO161" s="146"/>
      <c r="EP161" s="139">
        <f t="shared" si="172"/>
        <v>0</v>
      </c>
      <c r="EQ161" s="139">
        <f t="shared" si="173"/>
        <v>0</v>
      </c>
      <c r="ER161" s="139">
        <f t="shared" si="174"/>
        <v>0</v>
      </c>
      <c r="ES161" s="139">
        <f t="shared" si="175"/>
        <v>0</v>
      </c>
      <c r="ET161" s="139">
        <f t="shared" si="176"/>
        <v>0</v>
      </c>
      <c r="EU161" s="139">
        <f t="shared" si="177"/>
        <v>0</v>
      </c>
      <c r="EV161" s="139">
        <f t="shared" si="178"/>
        <v>0</v>
      </c>
      <c r="EW161" s="139">
        <f t="shared" si="179"/>
        <v>0</v>
      </c>
      <c r="EX161" s="139">
        <f t="shared" si="180"/>
        <v>0</v>
      </c>
      <c r="EY161" s="139">
        <f t="shared" si="181"/>
        <v>0</v>
      </c>
      <c r="EZ161" s="139">
        <f t="shared" si="182"/>
        <v>0</v>
      </c>
      <c r="FA161" s="139">
        <f t="shared" si="183"/>
        <v>0</v>
      </c>
      <c r="FB161" s="139">
        <f t="shared" si="184"/>
        <v>0</v>
      </c>
      <c r="FC161" s="139">
        <f t="shared" si="185"/>
        <v>0</v>
      </c>
      <c r="FD161" s="139">
        <f t="shared" si="186"/>
        <v>0</v>
      </c>
      <c r="FE161" s="139">
        <f t="shared" si="187"/>
        <v>0</v>
      </c>
      <c r="FF161" s="139">
        <f t="shared" si="188"/>
        <v>0</v>
      </c>
      <c r="FG161" s="139">
        <f t="shared" si="189"/>
        <v>0</v>
      </c>
      <c r="FH161" s="139">
        <f t="shared" si="190"/>
        <v>0</v>
      </c>
      <c r="FI161" s="139">
        <f t="shared" si="191"/>
        <v>0</v>
      </c>
      <c r="FJ161" s="139">
        <f t="shared" si="192"/>
        <v>0</v>
      </c>
      <c r="FK161" s="139">
        <f t="shared" si="193"/>
        <v>0</v>
      </c>
      <c r="FL161" s="139">
        <f t="shared" si="194"/>
        <v>0</v>
      </c>
      <c r="FM161" s="139">
        <f t="shared" si="195"/>
        <v>0</v>
      </c>
      <c r="FN161" s="139">
        <f t="shared" si="196"/>
        <v>0</v>
      </c>
      <c r="FO161" s="139">
        <f t="shared" si="197"/>
        <v>0</v>
      </c>
      <c r="FP161" s="139">
        <f t="shared" si="198"/>
        <v>0</v>
      </c>
      <c r="FQ161" s="139">
        <f t="shared" si="199"/>
        <v>0</v>
      </c>
      <c r="FR161" s="139">
        <f t="shared" si="200"/>
        <v>0</v>
      </c>
      <c r="FS161" s="139">
        <f t="shared" si="201"/>
        <v>0</v>
      </c>
      <c r="FT161" s="139">
        <f t="shared" si="202"/>
        <v>0</v>
      </c>
      <c r="FU161" s="148">
        <f t="shared" si="203"/>
        <v>0</v>
      </c>
      <c r="FV161" s="149"/>
      <c r="FY161" s="211">
        <v>156</v>
      </c>
      <c r="FZ161">
        <v>41.378903336204445</v>
      </c>
      <c r="GA161">
        <v>43.738893411131514</v>
      </c>
      <c r="GB161">
        <v>30.117327062235542</v>
      </c>
      <c r="GC161">
        <v>4.18151558221569</v>
      </c>
      <c r="GD161">
        <v>0.53000977419335216</v>
      </c>
      <c r="GE161">
        <v>1.0310125627312536</v>
      </c>
      <c r="GF161">
        <v>2.8727115574912627</v>
      </c>
      <c r="GG161">
        <v>8.7554523027391102</v>
      </c>
      <c r="GH161">
        <v>20.868279070691202</v>
      </c>
      <c r="GI161">
        <v>34.629494988810613</v>
      </c>
      <c r="GJ161"/>
      <c r="GK161"/>
      <c r="GL161"/>
      <c r="GM161"/>
    </row>
    <row r="162" spans="1:195" s="7" customFormat="1">
      <c r="A162" s="1"/>
      <c r="B162" s="76">
        <f ca="1">IF(C162="", "", RAND())</f>
        <v>0.40658487467455817</v>
      </c>
      <c r="C162">
        <v>5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12.557118055555552</v>
      </c>
      <c r="AO162">
        <v>131.37525247698034</v>
      </c>
      <c r="AP162">
        <v>1104.0280857543321</v>
      </c>
      <c r="AQ162">
        <v>167.87756479937474</v>
      </c>
      <c r="AR162">
        <v>121.89369069828035</v>
      </c>
      <c r="AS162">
        <v>639.31128452942733</v>
      </c>
      <c r="AT162" t="e">
        <v>#DIV/0!</v>
      </c>
      <c r="AU162" t="e">
        <v>#DIV/0!</v>
      </c>
      <c r="AV162"/>
      <c r="AW162"/>
      <c r="AX162" s="146"/>
      <c r="AY162" s="76">
        <f t="shared" ca="1" si="169"/>
        <v>0.51866156908911787</v>
      </c>
      <c r="AZ162">
        <v>5</v>
      </c>
      <c r="BA162" s="129">
        <f t="shared" si="241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4"/>
        <v>0.80554833599354758</v>
      </c>
      <c r="CL162" s="179">
        <f t="shared" si="205"/>
        <v>5</v>
      </c>
      <c r="CM162" s="180">
        <f t="shared" si="206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07"/>
        <v>9.6000000000000002E-2</v>
      </c>
      <c r="DB162" s="146"/>
      <c r="DC162" s="76">
        <f t="shared" ca="1" si="170"/>
        <v>0.6900797693767764</v>
      </c>
      <c r="DD162">
        <f t="shared" si="208"/>
        <v>5</v>
      </c>
      <c r="DE162" s="129">
        <f t="shared" si="240"/>
        <v>39910</v>
      </c>
      <c r="DF162" s="161">
        <f t="shared" si="209"/>
        <v>0</v>
      </c>
      <c r="DG162" s="161">
        <f t="shared" si="210"/>
        <v>0</v>
      </c>
      <c r="DH162" s="161">
        <f t="shared" si="211"/>
        <v>0</v>
      </c>
      <c r="DI162" s="161">
        <f t="shared" si="212"/>
        <v>0</v>
      </c>
      <c r="DJ162" s="161">
        <f t="shared" si="213"/>
        <v>0</v>
      </c>
      <c r="DK162" s="161">
        <f t="shared" si="214"/>
        <v>0</v>
      </c>
      <c r="DL162" s="161">
        <f t="shared" si="215"/>
        <v>0</v>
      </c>
      <c r="DM162" s="161">
        <f t="shared" si="216"/>
        <v>0</v>
      </c>
      <c r="DN162" s="161">
        <f t="shared" si="217"/>
        <v>0</v>
      </c>
      <c r="DO162" s="161">
        <f t="shared" si="218"/>
        <v>0</v>
      </c>
      <c r="DP162" s="161">
        <f t="shared" si="219"/>
        <v>0</v>
      </c>
      <c r="DQ162" s="161">
        <f t="shared" si="220"/>
        <v>0</v>
      </c>
      <c r="DR162" s="161">
        <f t="shared" si="221"/>
        <v>0</v>
      </c>
      <c r="DS162" s="161">
        <f t="shared" si="222"/>
        <v>0</v>
      </c>
      <c r="DT162" s="161">
        <f t="shared" si="223"/>
        <v>0</v>
      </c>
      <c r="DU162" s="161">
        <f t="shared" si="224"/>
        <v>0</v>
      </c>
      <c r="DV162" s="161">
        <f t="shared" si="225"/>
        <v>0</v>
      </c>
      <c r="DW162" s="161">
        <f t="shared" si="226"/>
        <v>0</v>
      </c>
      <c r="DX162" s="161">
        <f t="shared" si="227"/>
        <v>0</v>
      </c>
      <c r="DY162" s="161">
        <f t="shared" si="228"/>
        <v>0</v>
      </c>
      <c r="DZ162" s="161">
        <f t="shared" si="229"/>
        <v>0</v>
      </c>
      <c r="EA162" s="161">
        <f t="shared" si="230"/>
        <v>0</v>
      </c>
      <c r="EB162" s="161">
        <f t="shared" si="231"/>
        <v>0</v>
      </c>
      <c r="EC162" s="161">
        <f t="shared" si="232"/>
        <v>0</v>
      </c>
      <c r="ED162" s="161">
        <f t="shared" si="233"/>
        <v>0</v>
      </c>
      <c r="EE162" s="161">
        <f t="shared" si="234"/>
        <v>0</v>
      </c>
      <c r="EF162" s="161">
        <f t="shared" si="235"/>
        <v>0</v>
      </c>
      <c r="EG162" s="161">
        <f t="shared" si="236"/>
        <v>0</v>
      </c>
      <c r="EH162" s="161">
        <f t="shared" si="237"/>
        <v>0</v>
      </c>
      <c r="EI162" s="161">
        <f t="shared" si="238"/>
        <v>0</v>
      </c>
      <c r="EJ162" s="161">
        <f t="shared" si="239"/>
        <v>0</v>
      </c>
      <c r="EK162" s="147">
        <f t="shared" si="171"/>
        <v>0</v>
      </c>
      <c r="EL162" s="149"/>
      <c r="EN162" s="146"/>
      <c r="EO162" s="146"/>
      <c r="EP162" s="139">
        <f t="shared" si="172"/>
        <v>0</v>
      </c>
      <c r="EQ162" s="139">
        <f t="shared" si="173"/>
        <v>0</v>
      </c>
      <c r="ER162" s="139">
        <f t="shared" si="174"/>
        <v>0</v>
      </c>
      <c r="ES162" s="139">
        <f t="shared" si="175"/>
        <v>0</v>
      </c>
      <c r="ET162" s="139">
        <f t="shared" si="176"/>
        <v>0</v>
      </c>
      <c r="EU162" s="139">
        <f t="shared" si="177"/>
        <v>0</v>
      </c>
      <c r="EV162" s="139">
        <f t="shared" si="178"/>
        <v>0</v>
      </c>
      <c r="EW162" s="139">
        <f t="shared" si="179"/>
        <v>0</v>
      </c>
      <c r="EX162" s="139">
        <f t="shared" si="180"/>
        <v>0</v>
      </c>
      <c r="EY162" s="139">
        <f t="shared" si="181"/>
        <v>0</v>
      </c>
      <c r="EZ162" s="139">
        <f t="shared" si="182"/>
        <v>0</v>
      </c>
      <c r="FA162" s="139">
        <f t="shared" si="183"/>
        <v>0</v>
      </c>
      <c r="FB162" s="139">
        <f t="shared" si="184"/>
        <v>0</v>
      </c>
      <c r="FC162" s="139">
        <f t="shared" si="185"/>
        <v>0</v>
      </c>
      <c r="FD162" s="139">
        <f t="shared" si="186"/>
        <v>0</v>
      </c>
      <c r="FE162" s="139">
        <f t="shared" si="187"/>
        <v>0</v>
      </c>
      <c r="FF162" s="139">
        <f t="shared" si="188"/>
        <v>0</v>
      </c>
      <c r="FG162" s="139">
        <f t="shared" si="189"/>
        <v>0</v>
      </c>
      <c r="FH162" s="139">
        <f t="shared" si="190"/>
        <v>0</v>
      </c>
      <c r="FI162" s="139">
        <f t="shared" si="191"/>
        <v>0</v>
      </c>
      <c r="FJ162" s="139">
        <f t="shared" si="192"/>
        <v>0</v>
      </c>
      <c r="FK162" s="139">
        <f t="shared" si="193"/>
        <v>0</v>
      </c>
      <c r="FL162" s="139">
        <f t="shared" si="194"/>
        <v>0</v>
      </c>
      <c r="FM162" s="139">
        <f t="shared" si="195"/>
        <v>0</v>
      </c>
      <c r="FN162" s="139">
        <f t="shared" si="196"/>
        <v>0</v>
      </c>
      <c r="FO162" s="139">
        <f t="shared" si="197"/>
        <v>0</v>
      </c>
      <c r="FP162" s="139">
        <f t="shared" si="198"/>
        <v>0</v>
      </c>
      <c r="FQ162" s="139">
        <f t="shared" si="199"/>
        <v>0</v>
      </c>
      <c r="FR162" s="139">
        <f t="shared" si="200"/>
        <v>0</v>
      </c>
      <c r="FS162" s="139">
        <f t="shared" si="201"/>
        <v>0</v>
      </c>
      <c r="FT162" s="139">
        <f t="shared" si="202"/>
        <v>0</v>
      </c>
      <c r="FU162" s="148">
        <f t="shared" si="203"/>
        <v>0</v>
      </c>
      <c r="FV162" s="149"/>
      <c r="FY162" s="211">
        <v>157</v>
      </c>
      <c r="FZ162">
        <v>13.90024370737391</v>
      </c>
      <c r="GA162">
        <v>22.810863905243153</v>
      </c>
      <c r="GB162">
        <v>70.861063115887319</v>
      </c>
      <c r="GC162">
        <v>2.6991504905425288</v>
      </c>
      <c r="GD162">
        <v>0.14483293484724508</v>
      </c>
      <c r="GE162">
        <v>0.35488797216790446</v>
      </c>
      <c r="GF162">
        <v>3.0247761486184337</v>
      </c>
      <c r="GG162">
        <v>2.4326454362387158</v>
      </c>
      <c r="GH162">
        <v>0</v>
      </c>
      <c r="GI162">
        <v>45.448393813981923</v>
      </c>
      <c r="GJ162"/>
      <c r="GK162"/>
      <c r="GL162"/>
      <c r="GM162"/>
    </row>
    <row r="163" spans="1:195" s="7" customFormat="1">
      <c r="A163" s="1"/>
      <c r="B163" s="76">
        <f ca="1">IF(C163="", "", RAND())</f>
        <v>0.11647031207751368</v>
      </c>
      <c r="C163">
        <v>1</v>
      </c>
      <c r="D163">
        <v>39910</v>
      </c>
      <c r="E163">
        <v>0</v>
      </c>
      <c r="F163">
        <v>0</v>
      </c>
      <c r="G163">
        <v>0</v>
      </c>
      <c r="H163">
        <v>20.833333333333332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10.464155982905982</v>
      </c>
      <c r="AO163">
        <v>45.287815402106688</v>
      </c>
      <c r="AP163">
        <v>336.40655365551652</v>
      </c>
      <c r="AQ163">
        <v>171.495144847782</v>
      </c>
      <c r="AR163">
        <v>42.043581462833508</v>
      </c>
      <c r="AS163">
        <v>456.86069803216702</v>
      </c>
      <c r="AT163" t="e">
        <v>#DIV/0!</v>
      </c>
      <c r="AU163" t="e">
        <v>#DIV/0!</v>
      </c>
      <c r="AV163"/>
      <c r="AW163"/>
      <c r="AX163" s="146"/>
      <c r="AY163" s="76">
        <f t="shared" ca="1" si="169"/>
        <v>0.99434970067847961</v>
      </c>
      <c r="AZ163">
        <v>6</v>
      </c>
      <c r="BA163" s="129">
        <f t="shared" si="241"/>
        <v>39910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4"/>
        <v>0.41088868930705158</v>
      </c>
      <c r="CL163" s="179">
        <f t="shared" si="205"/>
        <v>6</v>
      </c>
      <c r="CM163" s="180">
        <f t="shared" si="206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07"/>
        <v>9.6000000000000002E-2</v>
      </c>
      <c r="DB163" s="146"/>
      <c r="DC163" s="76">
        <f t="shared" ca="1" si="170"/>
        <v>0.48008848376821822</v>
      </c>
      <c r="DD163">
        <f t="shared" si="208"/>
        <v>6</v>
      </c>
      <c r="DE163" s="129">
        <f t="shared" si="240"/>
        <v>39910</v>
      </c>
      <c r="DF163" s="161">
        <f t="shared" si="209"/>
        <v>0</v>
      </c>
      <c r="DG163" s="161">
        <f t="shared" si="210"/>
        <v>0</v>
      </c>
      <c r="DH163" s="161">
        <f t="shared" si="211"/>
        <v>0</v>
      </c>
      <c r="DI163" s="161">
        <f t="shared" si="212"/>
        <v>0</v>
      </c>
      <c r="DJ163" s="161">
        <f t="shared" si="213"/>
        <v>0</v>
      </c>
      <c r="DK163" s="161">
        <f t="shared" si="214"/>
        <v>0</v>
      </c>
      <c r="DL163" s="161">
        <f t="shared" si="215"/>
        <v>0</v>
      </c>
      <c r="DM163" s="161">
        <f t="shared" si="216"/>
        <v>0</v>
      </c>
      <c r="DN163" s="161">
        <f t="shared" si="217"/>
        <v>0</v>
      </c>
      <c r="DO163" s="161">
        <f t="shared" si="218"/>
        <v>0</v>
      </c>
      <c r="DP163" s="161">
        <f t="shared" si="219"/>
        <v>0</v>
      </c>
      <c r="DQ163" s="161">
        <f t="shared" si="220"/>
        <v>0</v>
      </c>
      <c r="DR163" s="161">
        <f t="shared" si="221"/>
        <v>0</v>
      </c>
      <c r="DS163" s="161">
        <f t="shared" si="222"/>
        <v>0</v>
      </c>
      <c r="DT163" s="161">
        <f t="shared" si="223"/>
        <v>0</v>
      </c>
      <c r="DU163" s="161">
        <f t="shared" si="224"/>
        <v>0</v>
      </c>
      <c r="DV163" s="161">
        <f t="shared" si="225"/>
        <v>0</v>
      </c>
      <c r="DW163" s="161">
        <f t="shared" si="226"/>
        <v>0</v>
      </c>
      <c r="DX163" s="161">
        <f t="shared" si="227"/>
        <v>0</v>
      </c>
      <c r="DY163" s="161">
        <f t="shared" si="228"/>
        <v>0</v>
      </c>
      <c r="DZ163" s="161">
        <f t="shared" si="229"/>
        <v>0</v>
      </c>
      <c r="EA163" s="161">
        <f t="shared" si="230"/>
        <v>0</v>
      </c>
      <c r="EB163" s="161">
        <f t="shared" si="231"/>
        <v>0</v>
      </c>
      <c r="EC163" s="161">
        <f t="shared" si="232"/>
        <v>0</v>
      </c>
      <c r="ED163" s="161">
        <f t="shared" si="233"/>
        <v>0</v>
      </c>
      <c r="EE163" s="161">
        <f t="shared" si="234"/>
        <v>0</v>
      </c>
      <c r="EF163" s="161">
        <f t="shared" si="235"/>
        <v>0</v>
      </c>
      <c r="EG163" s="161">
        <f t="shared" si="236"/>
        <v>0</v>
      </c>
      <c r="EH163" s="161">
        <f t="shared" si="237"/>
        <v>0</v>
      </c>
      <c r="EI163" s="161">
        <f t="shared" si="238"/>
        <v>0</v>
      </c>
      <c r="EJ163" s="161">
        <f t="shared" si="239"/>
        <v>0</v>
      </c>
      <c r="EK163" s="147">
        <f t="shared" si="171"/>
        <v>0</v>
      </c>
      <c r="EL163" s="149"/>
      <c r="EN163" s="146"/>
      <c r="EO163" s="146"/>
      <c r="EP163" s="139">
        <f t="shared" si="172"/>
        <v>0</v>
      </c>
      <c r="EQ163" s="139">
        <f t="shared" si="173"/>
        <v>0</v>
      </c>
      <c r="ER163" s="139">
        <f t="shared" si="174"/>
        <v>0</v>
      </c>
      <c r="ES163" s="139">
        <f t="shared" si="175"/>
        <v>0</v>
      </c>
      <c r="ET163" s="139">
        <f t="shared" si="176"/>
        <v>0</v>
      </c>
      <c r="EU163" s="139">
        <f t="shared" si="177"/>
        <v>0</v>
      </c>
      <c r="EV163" s="139">
        <f t="shared" si="178"/>
        <v>0</v>
      </c>
      <c r="EW163" s="139">
        <f t="shared" si="179"/>
        <v>0</v>
      </c>
      <c r="EX163" s="139">
        <f t="shared" si="180"/>
        <v>0</v>
      </c>
      <c r="EY163" s="139">
        <f t="shared" si="181"/>
        <v>0</v>
      </c>
      <c r="EZ163" s="139">
        <f t="shared" si="182"/>
        <v>0</v>
      </c>
      <c r="FA163" s="139">
        <f t="shared" si="183"/>
        <v>0</v>
      </c>
      <c r="FB163" s="139">
        <f t="shared" si="184"/>
        <v>0</v>
      </c>
      <c r="FC163" s="139">
        <f t="shared" si="185"/>
        <v>0</v>
      </c>
      <c r="FD163" s="139">
        <f t="shared" si="186"/>
        <v>0</v>
      </c>
      <c r="FE163" s="139">
        <f t="shared" si="187"/>
        <v>0</v>
      </c>
      <c r="FF163" s="139">
        <f t="shared" si="188"/>
        <v>0</v>
      </c>
      <c r="FG163" s="139">
        <f t="shared" si="189"/>
        <v>0</v>
      </c>
      <c r="FH163" s="139">
        <f t="shared" si="190"/>
        <v>0</v>
      </c>
      <c r="FI163" s="139">
        <f t="shared" si="191"/>
        <v>0</v>
      </c>
      <c r="FJ163" s="139">
        <f t="shared" si="192"/>
        <v>0</v>
      </c>
      <c r="FK163" s="139">
        <f t="shared" si="193"/>
        <v>0</v>
      </c>
      <c r="FL163" s="139">
        <f t="shared" si="194"/>
        <v>0</v>
      </c>
      <c r="FM163" s="139">
        <f t="shared" si="195"/>
        <v>0</v>
      </c>
      <c r="FN163" s="139">
        <f t="shared" si="196"/>
        <v>0</v>
      </c>
      <c r="FO163" s="139">
        <f t="shared" si="197"/>
        <v>0</v>
      </c>
      <c r="FP163" s="139">
        <f t="shared" si="198"/>
        <v>0</v>
      </c>
      <c r="FQ163" s="139">
        <f t="shared" si="199"/>
        <v>0</v>
      </c>
      <c r="FR163" s="139">
        <f t="shared" si="200"/>
        <v>0</v>
      </c>
      <c r="FS163" s="139">
        <f t="shared" si="201"/>
        <v>0</v>
      </c>
      <c r="FT163" s="139">
        <f t="shared" si="202"/>
        <v>0</v>
      </c>
      <c r="FU163" s="148">
        <f t="shared" si="203"/>
        <v>0</v>
      </c>
      <c r="FV163" s="149"/>
      <c r="FY163" s="211">
        <v>158</v>
      </c>
      <c r="FZ163">
        <v>14.64671172500706</v>
      </c>
      <c r="GA163">
        <v>21.591427514055489</v>
      </c>
      <c r="GB163">
        <v>100.87402662916817</v>
      </c>
      <c r="GC163">
        <v>1.6129021903748426</v>
      </c>
      <c r="GD163">
        <v>0.1913032512588225</v>
      </c>
      <c r="GE163">
        <v>0.31112995514107378</v>
      </c>
      <c r="GF163">
        <v>2.9555738989216516</v>
      </c>
      <c r="GG163">
        <v>4.6634720417303139</v>
      </c>
      <c r="GH163">
        <v>5.582888179644657</v>
      </c>
      <c r="GI163">
        <v>65.994622916466597</v>
      </c>
      <c r="GJ163"/>
      <c r="GK163"/>
      <c r="GL163"/>
      <c r="GM163"/>
    </row>
    <row r="164" spans="1:195" s="7" customFormat="1">
      <c r="A164" s="1"/>
      <c r="B164" s="76">
        <f ca="1">IF(C164="", "", RAND())</f>
        <v>0.28604193008205714</v>
      </c>
      <c r="C164">
        <v>9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11.681383547008547</v>
      </c>
      <c r="AO164">
        <v>98.127042141775789</v>
      </c>
      <c r="AP164">
        <v>738.59806045175287</v>
      </c>
      <c r="AQ164">
        <v>178.31861434649903</v>
      </c>
      <c r="AR164">
        <v>91.059561740819689</v>
      </c>
      <c r="AS164">
        <v>907.05981043489589</v>
      </c>
      <c r="AT164" t="e">
        <v>#DIV/0!</v>
      </c>
      <c r="AU164" t="e">
        <v>#DIV/0!</v>
      </c>
      <c r="AV164"/>
      <c r="AW164"/>
      <c r="AX164" s="146"/>
      <c r="AY164" s="76">
        <f t="shared" ca="1" si="169"/>
        <v>0.77256755994648807</v>
      </c>
      <c r="AZ164">
        <v>7</v>
      </c>
      <c r="BA164" s="129">
        <f t="shared" si="241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4"/>
        <v>0.53776203702446002</v>
      </c>
      <c r="CL164" s="179">
        <f t="shared" si="205"/>
        <v>7</v>
      </c>
      <c r="CM164" s="180">
        <f t="shared" si="206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07"/>
        <v>9.6000000000000002E-2</v>
      </c>
      <c r="DB164" s="146"/>
      <c r="DC164" s="76">
        <f t="shared" ca="1" si="170"/>
        <v>0.75388809184178029</v>
      </c>
      <c r="DD164">
        <f t="shared" si="208"/>
        <v>7</v>
      </c>
      <c r="DE164" s="129">
        <f t="shared" si="240"/>
        <v>39910</v>
      </c>
      <c r="DF164" s="161">
        <f t="shared" si="209"/>
        <v>0</v>
      </c>
      <c r="DG164" s="161">
        <f t="shared" si="210"/>
        <v>0</v>
      </c>
      <c r="DH164" s="161">
        <f t="shared" si="211"/>
        <v>0</v>
      </c>
      <c r="DI164" s="161">
        <f t="shared" si="212"/>
        <v>0</v>
      </c>
      <c r="DJ164" s="161">
        <f t="shared" si="213"/>
        <v>0</v>
      </c>
      <c r="DK164" s="161">
        <f t="shared" si="214"/>
        <v>0</v>
      </c>
      <c r="DL164" s="161">
        <f t="shared" si="215"/>
        <v>0</v>
      </c>
      <c r="DM164" s="161">
        <f t="shared" si="216"/>
        <v>0</v>
      </c>
      <c r="DN164" s="161">
        <f t="shared" si="217"/>
        <v>0</v>
      </c>
      <c r="DO164" s="161">
        <f t="shared" si="218"/>
        <v>0</v>
      </c>
      <c r="DP164" s="161">
        <f t="shared" si="219"/>
        <v>0</v>
      </c>
      <c r="DQ164" s="161">
        <f t="shared" si="220"/>
        <v>0</v>
      </c>
      <c r="DR164" s="161">
        <f t="shared" si="221"/>
        <v>0</v>
      </c>
      <c r="DS164" s="161">
        <f t="shared" si="222"/>
        <v>0</v>
      </c>
      <c r="DT164" s="161">
        <f t="shared" si="223"/>
        <v>0</v>
      </c>
      <c r="DU164" s="161">
        <f t="shared" si="224"/>
        <v>0</v>
      </c>
      <c r="DV164" s="161">
        <f t="shared" si="225"/>
        <v>0</v>
      </c>
      <c r="DW164" s="161">
        <f t="shared" si="226"/>
        <v>0</v>
      </c>
      <c r="DX164" s="161">
        <f t="shared" si="227"/>
        <v>0</v>
      </c>
      <c r="DY164" s="161">
        <f t="shared" si="228"/>
        <v>0</v>
      </c>
      <c r="DZ164" s="161">
        <f t="shared" si="229"/>
        <v>0</v>
      </c>
      <c r="EA164" s="161">
        <f t="shared" si="230"/>
        <v>0</v>
      </c>
      <c r="EB164" s="161">
        <f t="shared" si="231"/>
        <v>0</v>
      </c>
      <c r="EC164" s="161">
        <f t="shared" si="232"/>
        <v>0</v>
      </c>
      <c r="ED164" s="161">
        <f t="shared" si="233"/>
        <v>0</v>
      </c>
      <c r="EE164" s="161">
        <f t="shared" si="234"/>
        <v>0</v>
      </c>
      <c r="EF164" s="161">
        <f t="shared" si="235"/>
        <v>0</v>
      </c>
      <c r="EG164" s="161">
        <f t="shared" si="236"/>
        <v>0</v>
      </c>
      <c r="EH164" s="161">
        <f t="shared" si="237"/>
        <v>0</v>
      </c>
      <c r="EI164" s="161">
        <f t="shared" si="238"/>
        <v>0</v>
      </c>
      <c r="EJ164" s="161">
        <f t="shared" si="239"/>
        <v>0</v>
      </c>
      <c r="EK164" s="147">
        <f t="shared" si="171"/>
        <v>0</v>
      </c>
      <c r="EL164" s="149"/>
      <c r="EN164" s="146"/>
      <c r="EO164" s="146"/>
      <c r="EP164" s="139">
        <f t="shared" si="172"/>
        <v>0</v>
      </c>
      <c r="EQ164" s="139">
        <f t="shared" si="173"/>
        <v>0</v>
      </c>
      <c r="ER164" s="139">
        <f t="shared" si="174"/>
        <v>0</v>
      </c>
      <c r="ES164" s="139">
        <f t="shared" si="175"/>
        <v>0</v>
      </c>
      <c r="ET164" s="139">
        <f t="shared" si="176"/>
        <v>0</v>
      </c>
      <c r="EU164" s="139">
        <f t="shared" si="177"/>
        <v>0</v>
      </c>
      <c r="EV164" s="139">
        <f t="shared" si="178"/>
        <v>0</v>
      </c>
      <c r="EW164" s="139">
        <f t="shared" si="179"/>
        <v>0</v>
      </c>
      <c r="EX164" s="139">
        <f t="shared" si="180"/>
        <v>0</v>
      </c>
      <c r="EY164" s="139">
        <f t="shared" si="181"/>
        <v>0</v>
      </c>
      <c r="EZ164" s="139">
        <f t="shared" si="182"/>
        <v>0</v>
      </c>
      <c r="FA164" s="139">
        <f t="shared" si="183"/>
        <v>0</v>
      </c>
      <c r="FB164" s="139">
        <f t="shared" si="184"/>
        <v>0</v>
      </c>
      <c r="FC164" s="139">
        <f t="shared" si="185"/>
        <v>0</v>
      </c>
      <c r="FD164" s="139">
        <f t="shared" si="186"/>
        <v>0</v>
      </c>
      <c r="FE164" s="139">
        <f t="shared" si="187"/>
        <v>0</v>
      </c>
      <c r="FF164" s="139">
        <f t="shared" si="188"/>
        <v>0</v>
      </c>
      <c r="FG164" s="139">
        <f t="shared" si="189"/>
        <v>0</v>
      </c>
      <c r="FH164" s="139">
        <f t="shared" si="190"/>
        <v>0</v>
      </c>
      <c r="FI164" s="139">
        <f t="shared" si="191"/>
        <v>0</v>
      </c>
      <c r="FJ164" s="139">
        <f t="shared" si="192"/>
        <v>0</v>
      </c>
      <c r="FK164" s="139">
        <f t="shared" si="193"/>
        <v>0</v>
      </c>
      <c r="FL164" s="139">
        <f t="shared" si="194"/>
        <v>0</v>
      </c>
      <c r="FM164" s="139">
        <f t="shared" si="195"/>
        <v>0</v>
      </c>
      <c r="FN164" s="139">
        <f t="shared" si="196"/>
        <v>0</v>
      </c>
      <c r="FO164" s="139">
        <f t="shared" si="197"/>
        <v>0</v>
      </c>
      <c r="FP164" s="139">
        <f t="shared" si="198"/>
        <v>0</v>
      </c>
      <c r="FQ164" s="139">
        <f t="shared" si="199"/>
        <v>0</v>
      </c>
      <c r="FR164" s="139">
        <f t="shared" si="200"/>
        <v>0</v>
      </c>
      <c r="FS164" s="139">
        <f t="shared" si="201"/>
        <v>0</v>
      </c>
      <c r="FT164" s="139">
        <f t="shared" si="202"/>
        <v>0</v>
      </c>
      <c r="FU164" s="148">
        <f t="shared" si="203"/>
        <v>0</v>
      </c>
      <c r="FV164" s="149"/>
      <c r="FY164" s="211">
        <v>159</v>
      </c>
      <c r="FZ164">
        <v>36.977857317507272</v>
      </c>
      <c r="GA164">
        <v>41.365197168981581</v>
      </c>
      <c r="GB164">
        <v>49.277293911391915</v>
      </c>
      <c r="GC164">
        <v>3.138546203481873</v>
      </c>
      <c r="GD164">
        <v>0.27526696979644222</v>
      </c>
      <c r="GE164">
        <v>0.4786147090076619</v>
      </c>
      <c r="GF164">
        <v>2.80709493252427</v>
      </c>
      <c r="GG164">
        <v>10.857799234159911</v>
      </c>
      <c r="GH164">
        <v>24.482697871682696</v>
      </c>
      <c r="GI164">
        <v>53.4447136493092</v>
      </c>
      <c r="GJ164"/>
      <c r="GK164"/>
      <c r="GL164"/>
      <c r="GM164"/>
    </row>
    <row r="165" spans="1:195" s="7" customFormat="1">
      <c r="A165" s="1"/>
      <c r="B165" s="76">
        <f ca="1">IF(C165="", "", RAND())</f>
        <v>0.16166028317295744</v>
      </c>
      <c r="C165">
        <v>2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13.043055555555558</v>
      </c>
      <c r="AO165">
        <v>139.76401686734206</v>
      </c>
      <c r="AP165">
        <v>1083.3846127951404</v>
      </c>
      <c r="AQ165">
        <v>161.21435080757612</v>
      </c>
      <c r="AR165">
        <v>129.70788768144848</v>
      </c>
      <c r="AS165">
        <v>794.91220078739195</v>
      </c>
      <c r="AT165" t="e">
        <v>#DIV/0!</v>
      </c>
      <c r="AU165" t="e">
        <v>#DIV/0!</v>
      </c>
      <c r="AV165"/>
      <c r="AW165"/>
      <c r="AX165" s="146"/>
      <c r="AY165" s="76">
        <f t="shared" ca="1" si="169"/>
        <v>0.61723673735040308</v>
      </c>
      <c r="AZ165">
        <v>8</v>
      </c>
      <c r="BA165" s="129">
        <f t="shared" si="241"/>
        <v>39910</v>
      </c>
      <c r="BB165">
        <v>0</v>
      </c>
      <c r="BC165">
        <v>0</v>
      </c>
      <c r="BD165">
        <v>0</v>
      </c>
      <c r="BE165">
        <v>0</v>
      </c>
      <c r="BF165">
        <v>1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4"/>
        <v>0.11373364482869608</v>
      </c>
      <c r="CL165" s="179">
        <f t="shared" si="205"/>
        <v>8</v>
      </c>
      <c r="CM165" s="180">
        <f t="shared" si="206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07"/>
        <v>9.6000000000000002E-2</v>
      </c>
      <c r="DB165" s="146"/>
      <c r="DC165" s="76">
        <f t="shared" ca="1" si="170"/>
        <v>0.50841959383617841</v>
      </c>
      <c r="DD165">
        <f t="shared" si="208"/>
        <v>8</v>
      </c>
      <c r="DE165" s="129">
        <f t="shared" si="240"/>
        <v>39910</v>
      </c>
      <c r="DF165" s="161">
        <f t="shared" si="209"/>
        <v>0</v>
      </c>
      <c r="DG165" s="161">
        <f t="shared" si="210"/>
        <v>0</v>
      </c>
      <c r="DH165" s="161">
        <f t="shared" si="211"/>
        <v>0</v>
      </c>
      <c r="DI165" s="161">
        <f t="shared" si="212"/>
        <v>0</v>
      </c>
      <c r="DJ165" s="161">
        <f t="shared" si="213"/>
        <v>10.416666666666666</v>
      </c>
      <c r="DK165" s="161">
        <f t="shared" si="214"/>
        <v>0</v>
      </c>
      <c r="DL165" s="161">
        <f t="shared" si="215"/>
        <v>0</v>
      </c>
      <c r="DM165" s="161">
        <f t="shared" si="216"/>
        <v>0</v>
      </c>
      <c r="DN165" s="161">
        <f t="shared" si="217"/>
        <v>0</v>
      </c>
      <c r="DO165" s="161">
        <f t="shared" si="218"/>
        <v>0</v>
      </c>
      <c r="DP165" s="161">
        <f t="shared" si="219"/>
        <v>0</v>
      </c>
      <c r="DQ165" s="161">
        <f t="shared" si="220"/>
        <v>0</v>
      </c>
      <c r="DR165" s="161">
        <f t="shared" si="221"/>
        <v>0</v>
      </c>
      <c r="DS165" s="161">
        <f t="shared" si="222"/>
        <v>0</v>
      </c>
      <c r="DT165" s="161">
        <f t="shared" si="223"/>
        <v>0</v>
      </c>
      <c r="DU165" s="161">
        <f t="shared" si="224"/>
        <v>0</v>
      </c>
      <c r="DV165" s="161">
        <f t="shared" si="225"/>
        <v>0</v>
      </c>
      <c r="DW165" s="161">
        <f t="shared" si="226"/>
        <v>0</v>
      </c>
      <c r="DX165" s="161">
        <f t="shared" si="227"/>
        <v>0</v>
      </c>
      <c r="DY165" s="161">
        <f t="shared" si="228"/>
        <v>0</v>
      </c>
      <c r="DZ165" s="161">
        <f t="shared" si="229"/>
        <v>0</v>
      </c>
      <c r="EA165" s="161">
        <f t="shared" si="230"/>
        <v>0</v>
      </c>
      <c r="EB165" s="161">
        <f t="shared" si="231"/>
        <v>0</v>
      </c>
      <c r="EC165" s="161">
        <f t="shared" si="232"/>
        <v>0</v>
      </c>
      <c r="ED165" s="161">
        <f t="shared" si="233"/>
        <v>0</v>
      </c>
      <c r="EE165" s="161">
        <f t="shared" si="234"/>
        <v>0</v>
      </c>
      <c r="EF165" s="161">
        <f t="shared" si="235"/>
        <v>0</v>
      </c>
      <c r="EG165" s="161">
        <f t="shared" si="236"/>
        <v>0</v>
      </c>
      <c r="EH165" s="161">
        <f t="shared" si="237"/>
        <v>0</v>
      </c>
      <c r="EI165" s="161">
        <f t="shared" si="238"/>
        <v>0</v>
      </c>
      <c r="EJ165" s="161">
        <f t="shared" si="239"/>
        <v>0</v>
      </c>
      <c r="EK165" s="147">
        <f t="shared" si="171"/>
        <v>10.416666666666666</v>
      </c>
      <c r="EL165" s="149"/>
      <c r="EN165" s="146"/>
      <c r="EO165" s="146"/>
      <c r="EP165" s="139">
        <f t="shared" si="172"/>
        <v>0</v>
      </c>
      <c r="EQ165" s="139">
        <f t="shared" si="173"/>
        <v>0</v>
      </c>
      <c r="ER165" s="139">
        <f t="shared" si="174"/>
        <v>0</v>
      </c>
      <c r="ES165" s="139">
        <f t="shared" si="175"/>
        <v>0</v>
      </c>
      <c r="ET165" s="139">
        <f t="shared" si="176"/>
        <v>5.4413904293350654</v>
      </c>
      <c r="EU165" s="139">
        <f t="shared" si="177"/>
        <v>0</v>
      </c>
      <c r="EV165" s="139">
        <f t="shared" si="178"/>
        <v>0</v>
      </c>
      <c r="EW165" s="139">
        <f t="shared" si="179"/>
        <v>0</v>
      </c>
      <c r="EX165" s="139">
        <f t="shared" si="180"/>
        <v>0</v>
      </c>
      <c r="EY165" s="139">
        <f t="shared" si="181"/>
        <v>0</v>
      </c>
      <c r="EZ165" s="139">
        <f t="shared" si="182"/>
        <v>0</v>
      </c>
      <c r="FA165" s="139">
        <f t="shared" si="183"/>
        <v>0</v>
      </c>
      <c r="FB165" s="139">
        <f t="shared" si="184"/>
        <v>0</v>
      </c>
      <c r="FC165" s="139">
        <f t="shared" si="185"/>
        <v>0</v>
      </c>
      <c r="FD165" s="139">
        <f t="shared" si="186"/>
        <v>0</v>
      </c>
      <c r="FE165" s="139">
        <f t="shared" si="187"/>
        <v>0</v>
      </c>
      <c r="FF165" s="139">
        <f t="shared" si="188"/>
        <v>0</v>
      </c>
      <c r="FG165" s="139">
        <f t="shared" si="189"/>
        <v>0</v>
      </c>
      <c r="FH165" s="139">
        <f t="shared" si="190"/>
        <v>0</v>
      </c>
      <c r="FI165" s="139">
        <f t="shared" si="191"/>
        <v>0</v>
      </c>
      <c r="FJ165" s="139">
        <f t="shared" si="192"/>
        <v>0</v>
      </c>
      <c r="FK165" s="139">
        <f t="shared" si="193"/>
        <v>0</v>
      </c>
      <c r="FL165" s="139">
        <f t="shared" si="194"/>
        <v>0</v>
      </c>
      <c r="FM165" s="139">
        <f t="shared" si="195"/>
        <v>0</v>
      </c>
      <c r="FN165" s="139">
        <f t="shared" si="196"/>
        <v>0</v>
      </c>
      <c r="FO165" s="139">
        <f t="shared" si="197"/>
        <v>0</v>
      </c>
      <c r="FP165" s="139">
        <f t="shared" si="198"/>
        <v>0</v>
      </c>
      <c r="FQ165" s="139">
        <f t="shared" si="199"/>
        <v>0</v>
      </c>
      <c r="FR165" s="139">
        <f t="shared" si="200"/>
        <v>0</v>
      </c>
      <c r="FS165" s="139">
        <f t="shared" si="201"/>
        <v>0</v>
      </c>
      <c r="FT165" s="139">
        <f t="shared" si="202"/>
        <v>0</v>
      </c>
      <c r="FU165" s="148">
        <f t="shared" si="203"/>
        <v>5.4413904293350654</v>
      </c>
      <c r="FV165" s="149"/>
      <c r="FY165" s="211">
        <v>160</v>
      </c>
      <c r="FZ165">
        <v>51.473513351230153</v>
      </c>
      <c r="GA165">
        <v>56.614810278729308</v>
      </c>
      <c r="GB165">
        <v>59.534838012049946</v>
      </c>
      <c r="GC165">
        <v>1.5797767772292737</v>
      </c>
      <c r="GD165">
        <v>0.29850212800223097</v>
      </c>
      <c r="GE165">
        <v>0.58195398675887211</v>
      </c>
      <c r="GF165">
        <v>2.5192990949077365</v>
      </c>
      <c r="GG165">
        <v>3.8338046293452734</v>
      </c>
      <c r="GH165">
        <v>5.582888179644657</v>
      </c>
      <c r="GI165">
        <v>60.335128258835582</v>
      </c>
      <c r="GJ165"/>
      <c r="GK165"/>
      <c r="GL165"/>
      <c r="GM165"/>
    </row>
    <row r="166" spans="1:195" s="7" customFormat="1">
      <c r="A166" s="1"/>
      <c r="B166" s="76">
        <f ca="1">IF(C166="", "", RAND())</f>
        <v>0.30930590594435325</v>
      </c>
      <c r="C166">
        <v>6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14.777216880341879</v>
      </c>
      <c r="AO166">
        <v>100.4913269403547</v>
      </c>
      <c r="AP166">
        <v>686.68994965132606</v>
      </c>
      <c r="AQ166">
        <v>207.73178256582813</v>
      </c>
      <c r="AR166">
        <v>93.281118194707943</v>
      </c>
      <c r="AS166">
        <v>713.97902454497444</v>
      </c>
      <c r="AT166" t="e">
        <v>#DIV/0!</v>
      </c>
      <c r="AU166" t="e">
        <v>#DIV/0!</v>
      </c>
      <c r="AV166"/>
      <c r="AW166"/>
      <c r="AX166" s="146"/>
      <c r="AY166" s="76">
        <f t="shared" ca="1" si="169"/>
        <v>0.43330832042066381</v>
      </c>
      <c r="AZ166">
        <v>9</v>
      </c>
      <c r="BA166" s="129">
        <f t="shared" si="241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4"/>
        <v>0.46215147395334544</v>
      </c>
      <c r="CL166" s="179">
        <f t="shared" si="205"/>
        <v>9</v>
      </c>
      <c r="CM166" s="180">
        <f t="shared" si="206"/>
        <v>39910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7"/>
        <v>9.6000000000000002E-2</v>
      </c>
      <c r="DB166" s="146"/>
      <c r="DC166" s="76">
        <f t="shared" ca="1" si="170"/>
        <v>0.81246188400548225</v>
      </c>
      <c r="DD166">
        <f t="shared" si="208"/>
        <v>9</v>
      </c>
      <c r="DE166" s="129">
        <f t="shared" si="240"/>
        <v>39910</v>
      </c>
      <c r="DF166" s="161">
        <f t="shared" si="209"/>
        <v>0</v>
      </c>
      <c r="DG166" s="161">
        <f t="shared" si="210"/>
        <v>0</v>
      </c>
      <c r="DH166" s="161">
        <f t="shared" si="211"/>
        <v>0</v>
      </c>
      <c r="DI166" s="161">
        <f t="shared" si="212"/>
        <v>0</v>
      </c>
      <c r="DJ166" s="161">
        <f t="shared" si="213"/>
        <v>0</v>
      </c>
      <c r="DK166" s="161">
        <f t="shared" si="214"/>
        <v>0</v>
      </c>
      <c r="DL166" s="161">
        <f t="shared" si="215"/>
        <v>0</v>
      </c>
      <c r="DM166" s="161">
        <f t="shared" si="216"/>
        <v>0</v>
      </c>
      <c r="DN166" s="161">
        <f t="shared" si="217"/>
        <v>0</v>
      </c>
      <c r="DO166" s="161">
        <f t="shared" si="218"/>
        <v>0</v>
      </c>
      <c r="DP166" s="161">
        <f t="shared" si="219"/>
        <v>0</v>
      </c>
      <c r="DQ166" s="161">
        <f t="shared" si="220"/>
        <v>0</v>
      </c>
      <c r="DR166" s="161">
        <f t="shared" si="221"/>
        <v>0</v>
      </c>
      <c r="DS166" s="161">
        <f t="shared" si="222"/>
        <v>0</v>
      </c>
      <c r="DT166" s="161">
        <f t="shared" si="223"/>
        <v>0</v>
      </c>
      <c r="DU166" s="161">
        <f t="shared" si="224"/>
        <v>0</v>
      </c>
      <c r="DV166" s="161">
        <f t="shared" si="225"/>
        <v>0</v>
      </c>
      <c r="DW166" s="161">
        <f t="shared" si="226"/>
        <v>0</v>
      </c>
      <c r="DX166" s="161">
        <f t="shared" si="227"/>
        <v>0</v>
      </c>
      <c r="DY166" s="161">
        <f t="shared" si="228"/>
        <v>0</v>
      </c>
      <c r="DZ166" s="161">
        <f t="shared" si="229"/>
        <v>0</v>
      </c>
      <c r="EA166" s="161">
        <f t="shared" si="230"/>
        <v>0</v>
      </c>
      <c r="EB166" s="161">
        <f t="shared" si="231"/>
        <v>0</v>
      </c>
      <c r="EC166" s="161">
        <f t="shared" si="232"/>
        <v>0</v>
      </c>
      <c r="ED166" s="161">
        <f t="shared" si="233"/>
        <v>0</v>
      </c>
      <c r="EE166" s="161">
        <f t="shared" si="234"/>
        <v>0</v>
      </c>
      <c r="EF166" s="161">
        <f t="shared" si="235"/>
        <v>0</v>
      </c>
      <c r="EG166" s="161">
        <f t="shared" si="236"/>
        <v>0</v>
      </c>
      <c r="EH166" s="161">
        <f t="shared" si="237"/>
        <v>0</v>
      </c>
      <c r="EI166" s="161">
        <f t="shared" si="238"/>
        <v>0</v>
      </c>
      <c r="EJ166" s="161">
        <f t="shared" si="239"/>
        <v>0</v>
      </c>
      <c r="EK166" s="147">
        <f t="shared" si="171"/>
        <v>0</v>
      </c>
      <c r="EL166" s="149"/>
      <c r="EN166" s="146"/>
      <c r="EO166" s="146"/>
      <c r="EP166" s="139">
        <f t="shared" si="172"/>
        <v>0</v>
      </c>
      <c r="EQ166" s="139">
        <f t="shared" si="173"/>
        <v>0</v>
      </c>
      <c r="ER166" s="139">
        <f t="shared" si="174"/>
        <v>0</v>
      </c>
      <c r="ES166" s="139">
        <f t="shared" si="175"/>
        <v>0</v>
      </c>
      <c r="ET166" s="139">
        <f t="shared" si="176"/>
        <v>0</v>
      </c>
      <c r="EU166" s="139">
        <f t="shared" si="177"/>
        <v>0</v>
      </c>
      <c r="EV166" s="139">
        <f t="shared" si="178"/>
        <v>0</v>
      </c>
      <c r="EW166" s="139">
        <f t="shared" si="179"/>
        <v>0</v>
      </c>
      <c r="EX166" s="139">
        <f t="shared" si="180"/>
        <v>0</v>
      </c>
      <c r="EY166" s="139">
        <f t="shared" si="181"/>
        <v>0</v>
      </c>
      <c r="EZ166" s="139">
        <f t="shared" si="182"/>
        <v>0</v>
      </c>
      <c r="FA166" s="139">
        <f t="shared" si="183"/>
        <v>0</v>
      </c>
      <c r="FB166" s="139">
        <f t="shared" si="184"/>
        <v>0</v>
      </c>
      <c r="FC166" s="139">
        <f t="shared" si="185"/>
        <v>0</v>
      </c>
      <c r="FD166" s="139">
        <f t="shared" si="186"/>
        <v>0</v>
      </c>
      <c r="FE166" s="139">
        <f t="shared" si="187"/>
        <v>0</v>
      </c>
      <c r="FF166" s="139">
        <f t="shared" si="188"/>
        <v>0</v>
      </c>
      <c r="FG166" s="139">
        <f t="shared" si="189"/>
        <v>0</v>
      </c>
      <c r="FH166" s="139">
        <f t="shared" si="190"/>
        <v>0</v>
      </c>
      <c r="FI166" s="139">
        <f t="shared" si="191"/>
        <v>0</v>
      </c>
      <c r="FJ166" s="139">
        <f t="shared" si="192"/>
        <v>0</v>
      </c>
      <c r="FK166" s="139">
        <f t="shared" si="193"/>
        <v>0</v>
      </c>
      <c r="FL166" s="139">
        <f t="shared" si="194"/>
        <v>0</v>
      </c>
      <c r="FM166" s="139">
        <f t="shared" si="195"/>
        <v>0</v>
      </c>
      <c r="FN166" s="139">
        <f t="shared" si="196"/>
        <v>0</v>
      </c>
      <c r="FO166" s="139">
        <f t="shared" si="197"/>
        <v>0</v>
      </c>
      <c r="FP166" s="139">
        <f t="shared" si="198"/>
        <v>0</v>
      </c>
      <c r="FQ166" s="139">
        <f t="shared" si="199"/>
        <v>0</v>
      </c>
      <c r="FR166" s="139">
        <f t="shared" si="200"/>
        <v>0</v>
      </c>
      <c r="FS166" s="139">
        <f t="shared" si="201"/>
        <v>0</v>
      </c>
      <c r="FT166" s="139">
        <f t="shared" si="202"/>
        <v>0</v>
      </c>
      <c r="FU166" s="148">
        <f t="shared" si="203"/>
        <v>0</v>
      </c>
      <c r="FV166" s="149"/>
      <c r="FY166" s="211">
        <v>161</v>
      </c>
      <c r="FZ166">
        <v>35.245070417908259</v>
      </c>
      <c r="GA166">
        <v>45.884568224151081</v>
      </c>
      <c r="GB166">
        <v>25.793021692274468</v>
      </c>
      <c r="GC166">
        <v>2.4962041352454962</v>
      </c>
      <c r="GD166">
        <v>0.25203181159065347</v>
      </c>
      <c r="GE166">
        <v>0.48778338295439488</v>
      </c>
      <c r="GF166">
        <v>2.9950690755969736</v>
      </c>
      <c r="GG166">
        <v>10.78446007748359</v>
      </c>
      <c r="GH166">
        <v>24.805217827997517</v>
      </c>
      <c r="GI166">
        <v>34.521193637863504</v>
      </c>
      <c r="GJ166"/>
      <c r="GK166"/>
      <c r="GL166"/>
      <c r="GM166"/>
    </row>
    <row r="167" spans="1:195" s="7" customFormat="1">
      <c r="A167" s="1"/>
      <c r="B167" s="76">
        <f ca="1">IF(C167="", "", RAND())</f>
        <v>0.58069939133741277</v>
      </c>
      <c r="C167">
        <v>8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10.416666666666666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11.08659188034188</v>
      </c>
      <c r="AO167">
        <v>72.692207339913608</v>
      </c>
      <c r="AP167">
        <v>603.34300094227456</v>
      </c>
      <c r="AQ167">
        <v>153.40351258093358</v>
      </c>
      <c r="AR167">
        <v>67.42086541681347</v>
      </c>
      <c r="AS167">
        <v>366.15081620400196</v>
      </c>
      <c r="AT167" t="e">
        <v>#DIV/0!</v>
      </c>
      <c r="AU167" t="e">
        <v>#DIV/0!</v>
      </c>
      <c r="AV167"/>
      <c r="AW167"/>
      <c r="AX167" s="146"/>
      <c r="AY167" s="76">
        <f t="shared" ca="1" si="169"/>
        <v>0.52589998532820736</v>
      </c>
      <c r="AZ167">
        <v>10</v>
      </c>
      <c r="BA167" s="129">
        <f t="shared" si="241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4"/>
        <v>0.35624870145009568</v>
      </c>
      <c r="CL167" s="179">
        <f t="shared" si="205"/>
        <v>10</v>
      </c>
      <c r="CM167" s="180">
        <f t="shared" si="206"/>
        <v>39910</v>
      </c>
      <c r="CN167" s="223">
        <v>0</v>
      </c>
      <c r="CO167" s="223">
        <v>0</v>
      </c>
      <c r="CP167" s="223">
        <v>0</v>
      </c>
      <c r="CQ167" s="223">
        <v>0</v>
      </c>
      <c r="CR167" s="223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07"/>
        <v>9.6000000000000002E-2</v>
      </c>
      <c r="DB167" s="146"/>
      <c r="DC167" s="76">
        <f t="shared" ca="1" si="170"/>
        <v>6.1666168932608123E-3</v>
      </c>
      <c r="DD167">
        <f t="shared" si="208"/>
        <v>10</v>
      </c>
      <c r="DE167" s="129">
        <f t="shared" si="240"/>
        <v>39910</v>
      </c>
      <c r="DF167" s="161">
        <f t="shared" si="209"/>
        <v>0</v>
      </c>
      <c r="DG167" s="161">
        <f t="shared" si="210"/>
        <v>0</v>
      </c>
      <c r="DH167" s="161">
        <f t="shared" si="211"/>
        <v>0</v>
      </c>
      <c r="DI167" s="161">
        <f t="shared" si="212"/>
        <v>0</v>
      </c>
      <c r="DJ167" s="161">
        <f t="shared" si="213"/>
        <v>0</v>
      </c>
      <c r="DK167" s="161">
        <f t="shared" si="214"/>
        <v>0</v>
      </c>
      <c r="DL167" s="161">
        <f t="shared" si="215"/>
        <v>0</v>
      </c>
      <c r="DM167" s="161">
        <f t="shared" si="216"/>
        <v>0</v>
      </c>
      <c r="DN167" s="161">
        <f t="shared" si="217"/>
        <v>0</v>
      </c>
      <c r="DO167" s="161">
        <f t="shared" si="218"/>
        <v>0</v>
      </c>
      <c r="DP167" s="161">
        <f t="shared" si="219"/>
        <v>0</v>
      </c>
      <c r="DQ167" s="161">
        <f t="shared" si="220"/>
        <v>0</v>
      </c>
      <c r="DR167" s="161">
        <f t="shared" si="221"/>
        <v>0</v>
      </c>
      <c r="DS167" s="161">
        <f t="shared" si="222"/>
        <v>0</v>
      </c>
      <c r="DT167" s="161">
        <f t="shared" si="223"/>
        <v>0</v>
      </c>
      <c r="DU167" s="161">
        <f t="shared" si="224"/>
        <v>0</v>
      </c>
      <c r="DV167" s="161">
        <f t="shared" si="225"/>
        <v>0</v>
      </c>
      <c r="DW167" s="161">
        <f t="shared" si="226"/>
        <v>0</v>
      </c>
      <c r="DX167" s="161">
        <f t="shared" si="227"/>
        <v>0</v>
      </c>
      <c r="DY167" s="161">
        <f t="shared" si="228"/>
        <v>0</v>
      </c>
      <c r="DZ167" s="161">
        <f t="shared" si="229"/>
        <v>0</v>
      </c>
      <c r="EA167" s="161">
        <f t="shared" si="230"/>
        <v>0</v>
      </c>
      <c r="EB167" s="161">
        <f t="shared" si="231"/>
        <v>0</v>
      </c>
      <c r="EC167" s="161">
        <f t="shared" si="232"/>
        <v>0</v>
      </c>
      <c r="ED167" s="161">
        <f t="shared" si="233"/>
        <v>0</v>
      </c>
      <c r="EE167" s="161">
        <f t="shared" si="234"/>
        <v>0</v>
      </c>
      <c r="EF167" s="161">
        <f t="shared" si="235"/>
        <v>0</v>
      </c>
      <c r="EG167" s="161">
        <f t="shared" si="236"/>
        <v>0</v>
      </c>
      <c r="EH167" s="161">
        <f t="shared" si="237"/>
        <v>0</v>
      </c>
      <c r="EI167" s="161">
        <f t="shared" si="238"/>
        <v>0</v>
      </c>
      <c r="EJ167" s="161">
        <f t="shared" si="239"/>
        <v>0</v>
      </c>
      <c r="EK167" s="147">
        <f t="shared" si="171"/>
        <v>0</v>
      </c>
      <c r="EL167" s="149"/>
      <c r="EN167" s="146"/>
      <c r="EO167" s="146"/>
      <c r="EP167" s="139">
        <f t="shared" si="172"/>
        <v>0</v>
      </c>
      <c r="EQ167" s="139">
        <f t="shared" si="173"/>
        <v>0</v>
      </c>
      <c r="ER167" s="139">
        <f t="shared" si="174"/>
        <v>0</v>
      </c>
      <c r="ES167" s="139">
        <f t="shared" si="175"/>
        <v>0</v>
      </c>
      <c r="ET167" s="139">
        <f t="shared" si="176"/>
        <v>0</v>
      </c>
      <c r="EU167" s="139">
        <f t="shared" si="177"/>
        <v>0</v>
      </c>
      <c r="EV167" s="139">
        <f t="shared" si="178"/>
        <v>0</v>
      </c>
      <c r="EW167" s="139">
        <f t="shared" si="179"/>
        <v>0</v>
      </c>
      <c r="EX167" s="139">
        <f t="shared" si="180"/>
        <v>0</v>
      </c>
      <c r="EY167" s="139">
        <f t="shared" si="181"/>
        <v>0</v>
      </c>
      <c r="EZ167" s="139">
        <f t="shared" si="182"/>
        <v>0</v>
      </c>
      <c r="FA167" s="139">
        <f t="shared" si="183"/>
        <v>0</v>
      </c>
      <c r="FB167" s="139">
        <f t="shared" si="184"/>
        <v>0</v>
      </c>
      <c r="FC167" s="139">
        <f t="shared" si="185"/>
        <v>0</v>
      </c>
      <c r="FD167" s="139">
        <f t="shared" si="186"/>
        <v>0</v>
      </c>
      <c r="FE167" s="139">
        <f t="shared" si="187"/>
        <v>0</v>
      </c>
      <c r="FF167" s="139">
        <f t="shared" si="188"/>
        <v>0</v>
      </c>
      <c r="FG167" s="139">
        <f t="shared" si="189"/>
        <v>0</v>
      </c>
      <c r="FH167" s="139">
        <f t="shared" si="190"/>
        <v>0</v>
      </c>
      <c r="FI167" s="139">
        <f t="shared" si="191"/>
        <v>0</v>
      </c>
      <c r="FJ167" s="139">
        <f t="shared" si="192"/>
        <v>0</v>
      </c>
      <c r="FK167" s="139">
        <f t="shared" si="193"/>
        <v>0</v>
      </c>
      <c r="FL167" s="139">
        <f t="shared" si="194"/>
        <v>0</v>
      </c>
      <c r="FM167" s="139">
        <f t="shared" si="195"/>
        <v>0</v>
      </c>
      <c r="FN167" s="139">
        <f t="shared" si="196"/>
        <v>0</v>
      </c>
      <c r="FO167" s="139">
        <f t="shared" si="197"/>
        <v>0</v>
      </c>
      <c r="FP167" s="139">
        <f t="shared" si="198"/>
        <v>0</v>
      </c>
      <c r="FQ167" s="139">
        <f t="shared" si="199"/>
        <v>0</v>
      </c>
      <c r="FR167" s="139">
        <f t="shared" si="200"/>
        <v>0</v>
      </c>
      <c r="FS167" s="139">
        <f t="shared" si="201"/>
        <v>0</v>
      </c>
      <c r="FT167" s="139">
        <f t="shared" si="202"/>
        <v>0</v>
      </c>
      <c r="FU167" s="148">
        <f t="shared" si="203"/>
        <v>0</v>
      </c>
      <c r="FV167" s="149"/>
      <c r="FY167" s="211">
        <v>162</v>
      </c>
      <c r="FZ167">
        <v>22.211220160333859</v>
      </c>
      <c r="GA167">
        <v>25.615151236420957</v>
      </c>
      <c r="GB167">
        <v>11.589205286989415</v>
      </c>
      <c r="GC167">
        <v>1.1965349866089083</v>
      </c>
      <c r="GD167">
        <v>0.14212194204098866</v>
      </c>
      <c r="GE167">
        <v>0.50817084204294227</v>
      </c>
      <c r="GF167">
        <v>2.2137074874931519</v>
      </c>
      <c r="GG167">
        <v>6.1379703915131945</v>
      </c>
      <c r="GH167">
        <v>22.928086336569816</v>
      </c>
      <c r="GI167">
        <v>16.625553423564234</v>
      </c>
      <c r="GJ167"/>
      <c r="GK167"/>
      <c r="GL167"/>
      <c r="GM167"/>
    </row>
    <row r="168" spans="1:195" s="7" customFormat="1">
      <c r="A168" s="128"/>
      <c r="B168" s="76">
        <f ca="1">IF(C168="", "", RAND())</f>
        <v>0.6659264554651374</v>
      </c>
      <c r="C168">
        <v>6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11.247315705128205</v>
      </c>
      <c r="AO168">
        <v>119.10428613341905</v>
      </c>
      <c r="AP168">
        <v>1076.9017076141488</v>
      </c>
      <c r="AQ168">
        <v>123.91187823228658</v>
      </c>
      <c r="AR168">
        <v>110.3234084936915</v>
      </c>
      <c r="AS168">
        <v>710.56083475193998</v>
      </c>
      <c r="AT168" t="e">
        <v>#DIV/0!</v>
      </c>
      <c r="AU168" t="e">
        <v>#DIV/0!</v>
      </c>
      <c r="AV168"/>
      <c r="AW168"/>
      <c r="AX168" s="128"/>
      <c r="AY168" s="76">
        <f t="shared" ca="1" si="169"/>
        <v>3.6082086573807848E-2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4"/>
        <v>0.53460594192129052</v>
      </c>
      <c r="CL168" s="179">
        <f t="shared" si="205"/>
        <v>1</v>
      </c>
      <c r="CM168" s="180">
        <f t="shared" si="206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7"/>
        <v>9.6000000000000002E-2</v>
      </c>
      <c r="DB168" s="128"/>
      <c r="DC168" s="76">
        <f t="shared" ca="1" si="170"/>
        <v>0.14014305604033739</v>
      </c>
      <c r="DD168">
        <f t="shared" si="208"/>
        <v>1</v>
      </c>
      <c r="DE168" s="129">
        <f t="shared" ref="DE168:DE177" si="242">IF((DD168)="", "", $C$12)</f>
        <v>39949</v>
      </c>
      <c r="DF168" s="161">
        <f t="shared" si="209"/>
        <v>0</v>
      </c>
      <c r="DG168" s="161">
        <f t="shared" si="210"/>
        <v>0</v>
      </c>
      <c r="DH168" s="161">
        <f t="shared" si="211"/>
        <v>0</v>
      </c>
      <c r="DI168" s="161">
        <f t="shared" si="212"/>
        <v>0</v>
      </c>
      <c r="DJ168" s="161">
        <f t="shared" si="213"/>
        <v>0</v>
      </c>
      <c r="DK168" s="161">
        <f t="shared" si="214"/>
        <v>0</v>
      </c>
      <c r="DL168" s="161">
        <f t="shared" si="215"/>
        <v>0</v>
      </c>
      <c r="DM168" s="161">
        <f t="shared" si="216"/>
        <v>0</v>
      </c>
      <c r="DN168" s="161">
        <f t="shared" si="217"/>
        <v>0</v>
      </c>
      <c r="DO168" s="161">
        <f t="shared" si="218"/>
        <v>0</v>
      </c>
      <c r="DP168" s="161">
        <f t="shared" si="219"/>
        <v>0</v>
      </c>
      <c r="DQ168" s="161">
        <f t="shared" si="220"/>
        <v>0</v>
      </c>
      <c r="DR168" s="161">
        <f t="shared" si="221"/>
        <v>0</v>
      </c>
      <c r="DS168" s="161">
        <f t="shared" si="222"/>
        <v>0</v>
      </c>
      <c r="DT168" s="161">
        <f t="shared" si="223"/>
        <v>0</v>
      </c>
      <c r="DU168" s="161">
        <f t="shared" si="224"/>
        <v>0</v>
      </c>
      <c r="DV168" s="161">
        <f t="shared" si="225"/>
        <v>0</v>
      </c>
      <c r="DW168" s="161">
        <f t="shared" si="226"/>
        <v>0</v>
      </c>
      <c r="DX168" s="161">
        <f t="shared" si="227"/>
        <v>0</v>
      </c>
      <c r="DY168" s="161">
        <f t="shared" si="228"/>
        <v>0</v>
      </c>
      <c r="DZ168" s="161">
        <f t="shared" si="229"/>
        <v>0</v>
      </c>
      <c r="EA168" s="161">
        <f t="shared" si="230"/>
        <v>0</v>
      </c>
      <c r="EB168" s="161">
        <f t="shared" si="231"/>
        <v>0</v>
      </c>
      <c r="EC168" s="161">
        <f t="shared" si="232"/>
        <v>0</v>
      </c>
      <c r="ED168" s="161">
        <f t="shared" si="233"/>
        <v>0</v>
      </c>
      <c r="EE168" s="161">
        <f t="shared" si="234"/>
        <v>0</v>
      </c>
      <c r="EF168" s="161">
        <f t="shared" si="235"/>
        <v>0</v>
      </c>
      <c r="EG168" s="161">
        <f t="shared" si="236"/>
        <v>0</v>
      </c>
      <c r="EH168" s="161">
        <f t="shared" si="237"/>
        <v>0</v>
      </c>
      <c r="EI168" s="161">
        <f t="shared" si="238"/>
        <v>0</v>
      </c>
      <c r="EJ168" s="161">
        <f t="shared" si="239"/>
        <v>0</v>
      </c>
      <c r="EK168" s="147">
        <f t="shared" si="171"/>
        <v>0</v>
      </c>
      <c r="EL168" s="149"/>
      <c r="EN168" s="146"/>
      <c r="EO168" s="146"/>
      <c r="EP168" s="139">
        <f t="shared" si="172"/>
        <v>0</v>
      </c>
      <c r="EQ168" s="139">
        <f t="shared" si="173"/>
        <v>0</v>
      </c>
      <c r="ER168" s="139">
        <f t="shared" si="174"/>
        <v>0</v>
      </c>
      <c r="ES168" s="139">
        <f t="shared" si="175"/>
        <v>0</v>
      </c>
      <c r="ET168" s="139">
        <f t="shared" si="176"/>
        <v>0</v>
      </c>
      <c r="EU168" s="139">
        <f t="shared" si="177"/>
        <v>0</v>
      </c>
      <c r="EV168" s="139">
        <f t="shared" si="178"/>
        <v>0</v>
      </c>
      <c r="EW168" s="139">
        <f t="shared" si="179"/>
        <v>0</v>
      </c>
      <c r="EX168" s="139">
        <f t="shared" si="180"/>
        <v>0</v>
      </c>
      <c r="EY168" s="139">
        <f t="shared" si="181"/>
        <v>0</v>
      </c>
      <c r="EZ168" s="139">
        <f t="shared" si="182"/>
        <v>0</v>
      </c>
      <c r="FA168" s="139">
        <f t="shared" si="183"/>
        <v>0</v>
      </c>
      <c r="FB168" s="139">
        <f t="shared" si="184"/>
        <v>0</v>
      </c>
      <c r="FC168" s="139">
        <f t="shared" si="185"/>
        <v>0</v>
      </c>
      <c r="FD168" s="139">
        <f t="shared" si="186"/>
        <v>0</v>
      </c>
      <c r="FE168" s="139">
        <f t="shared" si="187"/>
        <v>0</v>
      </c>
      <c r="FF168" s="139">
        <f t="shared" si="188"/>
        <v>0</v>
      </c>
      <c r="FG168" s="139">
        <f t="shared" si="189"/>
        <v>0</v>
      </c>
      <c r="FH168" s="139">
        <f t="shared" si="190"/>
        <v>0</v>
      </c>
      <c r="FI168" s="139">
        <f t="shared" si="191"/>
        <v>0</v>
      </c>
      <c r="FJ168" s="139">
        <f t="shared" si="192"/>
        <v>0</v>
      </c>
      <c r="FK168" s="139">
        <f t="shared" si="193"/>
        <v>0</v>
      </c>
      <c r="FL168" s="139">
        <f t="shared" si="194"/>
        <v>0</v>
      </c>
      <c r="FM168" s="139">
        <f t="shared" si="195"/>
        <v>0</v>
      </c>
      <c r="FN168" s="139">
        <f t="shared" si="196"/>
        <v>0</v>
      </c>
      <c r="FO168" s="139">
        <f t="shared" si="197"/>
        <v>0</v>
      </c>
      <c r="FP168" s="139">
        <f t="shared" si="198"/>
        <v>0</v>
      </c>
      <c r="FQ168" s="139">
        <f t="shared" si="199"/>
        <v>0</v>
      </c>
      <c r="FR168" s="139">
        <f t="shared" si="200"/>
        <v>0</v>
      </c>
      <c r="FS168" s="139">
        <f t="shared" si="201"/>
        <v>0</v>
      </c>
      <c r="FT168" s="139">
        <f t="shared" si="202"/>
        <v>0</v>
      </c>
      <c r="FU168" s="148">
        <f t="shared" si="203"/>
        <v>0</v>
      </c>
      <c r="FV168" s="149"/>
      <c r="FY168" s="211">
        <v>163</v>
      </c>
      <c r="FZ168">
        <v>33.241302394858693</v>
      </c>
      <c r="GA168">
        <v>35.781870511142607</v>
      </c>
      <c r="GB168">
        <v>45.382455264420436</v>
      </c>
      <c r="GC168">
        <v>1.8336629684452497</v>
      </c>
      <c r="GD168">
        <v>9.2940632823154845E-2</v>
      </c>
      <c r="GE168">
        <v>0.35488797216790446</v>
      </c>
      <c r="GF168">
        <v>2.338738258503064</v>
      </c>
      <c r="GG168">
        <v>5.6949582848624711</v>
      </c>
      <c r="GH168">
        <v>11.257114246514771</v>
      </c>
      <c r="GI168">
        <v>40.540079181022733</v>
      </c>
      <c r="GJ168"/>
      <c r="GK168"/>
      <c r="GL168"/>
      <c r="GM168"/>
    </row>
    <row r="169" spans="1:195" s="7" customFormat="1">
      <c r="A169" s="1"/>
      <c r="B169" s="76">
        <f ca="1">IF(C169="", "", RAND())</f>
        <v>0.86999272737114763</v>
      </c>
      <c r="C169">
        <v>1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16.026135149572646</v>
      </c>
      <c r="AO169">
        <v>172.27070622792402</v>
      </c>
      <c r="AP169">
        <v>1282.7860919113764</v>
      </c>
      <c r="AQ169">
        <v>232.73304887887878</v>
      </c>
      <c r="AR169">
        <v>159.73264093665031</v>
      </c>
      <c r="AS169">
        <v>943.62234963516073</v>
      </c>
      <c r="AT169" t="e">
        <v>#DIV/0!</v>
      </c>
      <c r="AU169" t="e">
        <v>#DIV/0!</v>
      </c>
      <c r="AV169"/>
      <c r="AW169"/>
      <c r="AX169" s="146"/>
      <c r="AY169" s="76">
        <f t="shared" ca="1" si="169"/>
        <v>0.79906701996904284</v>
      </c>
      <c r="AZ169">
        <v>2</v>
      </c>
      <c r="BA169" s="129">
        <f t="shared" ref="BA169:BA177" si="243">IF(AZ169="", "",$C$12)</f>
        <v>39949</v>
      </c>
      <c r="BB169">
        <v>0</v>
      </c>
      <c r="BC169">
        <v>0</v>
      </c>
      <c r="BD169">
        <v>0</v>
      </c>
      <c r="BE169">
        <v>1</v>
      </c>
      <c r="BF169">
        <v>2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4"/>
        <v>0.76944370603816581</v>
      </c>
      <c r="CL169" s="179">
        <f t="shared" si="205"/>
        <v>2</v>
      </c>
      <c r="CM169" s="180">
        <f t="shared" si="206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07"/>
        <v>9.6000000000000002E-2</v>
      </c>
      <c r="DB169" s="146"/>
      <c r="DC169" s="76">
        <f t="shared" ca="1" si="170"/>
        <v>0.8106630076103718</v>
      </c>
      <c r="DD169">
        <f t="shared" si="208"/>
        <v>2</v>
      </c>
      <c r="DE169" s="129">
        <f t="shared" si="242"/>
        <v>39949</v>
      </c>
      <c r="DF169" s="161">
        <f t="shared" si="209"/>
        <v>0</v>
      </c>
      <c r="DG169" s="161">
        <f t="shared" si="210"/>
        <v>0</v>
      </c>
      <c r="DH169" s="161">
        <f t="shared" si="211"/>
        <v>0</v>
      </c>
      <c r="DI169" s="161">
        <f t="shared" si="212"/>
        <v>10.416666666666666</v>
      </c>
      <c r="DJ169" s="161">
        <f t="shared" si="213"/>
        <v>20.833333333333332</v>
      </c>
      <c r="DK169" s="161">
        <f t="shared" si="214"/>
        <v>0</v>
      </c>
      <c r="DL169" s="161">
        <f t="shared" si="215"/>
        <v>0</v>
      </c>
      <c r="DM169" s="161">
        <f t="shared" si="216"/>
        <v>0</v>
      </c>
      <c r="DN169" s="161">
        <f t="shared" si="217"/>
        <v>0</v>
      </c>
      <c r="DO169" s="161">
        <f t="shared" si="218"/>
        <v>0</v>
      </c>
      <c r="DP169" s="161">
        <f t="shared" si="219"/>
        <v>0</v>
      </c>
      <c r="DQ169" s="161">
        <f t="shared" si="220"/>
        <v>0</v>
      </c>
      <c r="DR169" s="161">
        <f t="shared" si="221"/>
        <v>0</v>
      </c>
      <c r="DS169" s="161">
        <f t="shared" si="222"/>
        <v>0</v>
      </c>
      <c r="DT169" s="161">
        <f t="shared" si="223"/>
        <v>0</v>
      </c>
      <c r="DU169" s="161">
        <f t="shared" si="224"/>
        <v>0</v>
      </c>
      <c r="DV169" s="161">
        <f t="shared" si="225"/>
        <v>0</v>
      </c>
      <c r="DW169" s="161">
        <f t="shared" si="226"/>
        <v>0</v>
      </c>
      <c r="DX169" s="161">
        <f t="shared" si="227"/>
        <v>0</v>
      </c>
      <c r="DY169" s="161">
        <f t="shared" si="228"/>
        <v>0</v>
      </c>
      <c r="DZ169" s="161">
        <f t="shared" si="229"/>
        <v>0</v>
      </c>
      <c r="EA169" s="161">
        <f t="shared" si="230"/>
        <v>0</v>
      </c>
      <c r="EB169" s="161">
        <f t="shared" si="231"/>
        <v>0</v>
      </c>
      <c r="EC169" s="161">
        <f t="shared" si="232"/>
        <v>0</v>
      </c>
      <c r="ED169" s="161">
        <f t="shared" si="233"/>
        <v>0</v>
      </c>
      <c r="EE169" s="161">
        <f t="shared" si="234"/>
        <v>0</v>
      </c>
      <c r="EF169" s="161">
        <f t="shared" si="235"/>
        <v>0</v>
      </c>
      <c r="EG169" s="161">
        <f t="shared" si="236"/>
        <v>0</v>
      </c>
      <c r="EH169" s="161">
        <f t="shared" si="237"/>
        <v>0</v>
      </c>
      <c r="EI169" s="161">
        <f t="shared" si="238"/>
        <v>0</v>
      </c>
      <c r="EJ169" s="161">
        <f t="shared" si="239"/>
        <v>0</v>
      </c>
      <c r="EK169" s="147">
        <f t="shared" si="171"/>
        <v>31.25</v>
      </c>
      <c r="EL169" s="149"/>
      <c r="EN169" s="146"/>
      <c r="EO169" s="146"/>
      <c r="EP169" s="139">
        <f t="shared" si="172"/>
        <v>0</v>
      </c>
      <c r="EQ169" s="139">
        <f t="shared" si="173"/>
        <v>0</v>
      </c>
      <c r="ER169" s="139">
        <f t="shared" si="174"/>
        <v>0</v>
      </c>
      <c r="ES169" s="139">
        <f t="shared" si="175"/>
        <v>2.3670861810832911</v>
      </c>
      <c r="ET169" s="139">
        <f t="shared" si="176"/>
        <v>10.882780858670131</v>
      </c>
      <c r="EU169" s="139">
        <f t="shared" si="177"/>
        <v>0</v>
      </c>
      <c r="EV169" s="139">
        <f t="shared" si="178"/>
        <v>0</v>
      </c>
      <c r="EW169" s="139">
        <f t="shared" si="179"/>
        <v>0</v>
      </c>
      <c r="EX169" s="139">
        <f t="shared" si="180"/>
        <v>0</v>
      </c>
      <c r="EY169" s="139">
        <f t="shared" si="181"/>
        <v>0</v>
      </c>
      <c r="EZ169" s="139">
        <f t="shared" si="182"/>
        <v>0</v>
      </c>
      <c r="FA169" s="139">
        <f t="shared" si="183"/>
        <v>0</v>
      </c>
      <c r="FB169" s="139">
        <f t="shared" si="184"/>
        <v>0</v>
      </c>
      <c r="FC169" s="139">
        <f t="shared" si="185"/>
        <v>0</v>
      </c>
      <c r="FD169" s="139">
        <f t="shared" si="186"/>
        <v>0</v>
      </c>
      <c r="FE169" s="139">
        <f t="shared" si="187"/>
        <v>0</v>
      </c>
      <c r="FF169" s="139">
        <f t="shared" si="188"/>
        <v>0</v>
      </c>
      <c r="FG169" s="139">
        <f t="shared" si="189"/>
        <v>0</v>
      </c>
      <c r="FH169" s="139">
        <f t="shared" si="190"/>
        <v>0</v>
      </c>
      <c r="FI169" s="139">
        <f t="shared" si="191"/>
        <v>0</v>
      </c>
      <c r="FJ169" s="139">
        <f t="shared" si="192"/>
        <v>0</v>
      </c>
      <c r="FK169" s="139">
        <f t="shared" si="193"/>
        <v>0</v>
      </c>
      <c r="FL169" s="139">
        <f t="shared" si="194"/>
        <v>0</v>
      </c>
      <c r="FM169" s="139">
        <f t="shared" si="195"/>
        <v>0</v>
      </c>
      <c r="FN169" s="139">
        <f t="shared" si="196"/>
        <v>0</v>
      </c>
      <c r="FO169" s="139">
        <f t="shared" si="197"/>
        <v>0</v>
      </c>
      <c r="FP169" s="139">
        <f t="shared" si="198"/>
        <v>0</v>
      </c>
      <c r="FQ169" s="139">
        <f t="shared" si="199"/>
        <v>0</v>
      </c>
      <c r="FR169" s="139">
        <f t="shared" si="200"/>
        <v>0</v>
      </c>
      <c r="FS169" s="139">
        <f t="shared" si="201"/>
        <v>0</v>
      </c>
      <c r="FT169" s="139">
        <f t="shared" si="202"/>
        <v>0</v>
      </c>
      <c r="FU169" s="148">
        <f t="shared" si="203"/>
        <v>13.249867039753422</v>
      </c>
      <c r="FV169" s="149"/>
      <c r="FY169" s="211">
        <v>164</v>
      </c>
      <c r="FZ169">
        <v>26.543187409331395</v>
      </c>
      <c r="GA169">
        <v>32.039908178705424</v>
      </c>
      <c r="GB169">
        <v>31.7178350709721</v>
      </c>
      <c r="GC169">
        <v>2.0564416717043983</v>
      </c>
      <c r="GD169">
        <v>0.11888678383519996</v>
      </c>
      <c r="GE169">
        <v>9.3701609150658172E-2</v>
      </c>
      <c r="GF169">
        <v>1.4908476736066609</v>
      </c>
      <c r="GG169">
        <v>3.8338046293452734</v>
      </c>
      <c r="GH169">
        <v>17.667718113239967</v>
      </c>
      <c r="GI169">
        <v>27.568364750623576</v>
      </c>
      <c r="GJ169"/>
      <c r="GK169"/>
      <c r="GL169"/>
      <c r="GM169"/>
    </row>
    <row r="170" spans="1:195" s="7" customFormat="1">
      <c r="A170" s="1"/>
      <c r="B170" s="76">
        <f ca="1">IF(C170="", "", RAND())</f>
        <v>0.60900082190811045</v>
      </c>
      <c r="C170">
        <v>8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20.833333333333332</v>
      </c>
      <c r="J170">
        <v>10.416666666666666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11.028739316239314</v>
      </c>
      <c r="AO170">
        <v>133.69361280561759</v>
      </c>
      <c r="AP170">
        <v>1066.5894377128275</v>
      </c>
      <c r="AQ170">
        <v>158.70429337104616</v>
      </c>
      <c r="AR170">
        <v>124.011891413627</v>
      </c>
      <c r="AS170">
        <v>1221.5074319087598</v>
      </c>
      <c r="AT170" t="e">
        <v>#DIV/0!</v>
      </c>
      <c r="AU170" t="e">
        <v>#DIV/0!</v>
      </c>
      <c r="AV170"/>
      <c r="AW170"/>
      <c r="AX170" s="146"/>
      <c r="AY170" s="76">
        <f t="shared" ca="1" si="169"/>
        <v>0.67419899969996422</v>
      </c>
      <c r="AZ170">
        <v>3</v>
      </c>
      <c r="BA170" s="129">
        <f t="shared" si="243"/>
        <v>39949</v>
      </c>
      <c r="BB170">
        <v>0</v>
      </c>
      <c r="BC170">
        <v>0</v>
      </c>
      <c r="BD170" s="207">
        <v>0</v>
      </c>
      <c r="BE170" s="207">
        <v>0</v>
      </c>
      <c r="BF170" s="207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1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4"/>
        <v>0.34137829919681395</v>
      </c>
      <c r="CL170" s="179">
        <f t="shared" si="205"/>
        <v>3</v>
      </c>
      <c r="CM170" s="180">
        <f t="shared" si="206"/>
        <v>39949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7"/>
        <v>9.6000000000000002E-2</v>
      </c>
      <c r="DB170" s="146"/>
      <c r="DC170" s="76">
        <f t="shared" ca="1" si="170"/>
        <v>0.77678455821937287</v>
      </c>
      <c r="DD170">
        <f t="shared" si="208"/>
        <v>3</v>
      </c>
      <c r="DE170" s="129">
        <f t="shared" si="242"/>
        <v>39949</v>
      </c>
      <c r="DF170" s="161">
        <f t="shared" si="209"/>
        <v>0</v>
      </c>
      <c r="DG170" s="161">
        <f t="shared" si="210"/>
        <v>0</v>
      </c>
      <c r="DH170" s="161">
        <f t="shared" si="211"/>
        <v>0</v>
      </c>
      <c r="DI170" s="161">
        <f t="shared" si="212"/>
        <v>0</v>
      </c>
      <c r="DJ170" s="161">
        <f t="shared" si="213"/>
        <v>0</v>
      </c>
      <c r="DK170" s="161">
        <f t="shared" si="214"/>
        <v>0</v>
      </c>
      <c r="DL170" s="161">
        <f t="shared" si="215"/>
        <v>0</v>
      </c>
      <c r="DM170" s="161">
        <f t="shared" si="216"/>
        <v>0</v>
      </c>
      <c r="DN170" s="161">
        <f t="shared" si="217"/>
        <v>0</v>
      </c>
      <c r="DO170" s="161">
        <f t="shared" si="218"/>
        <v>0</v>
      </c>
      <c r="DP170" s="161">
        <f t="shared" si="219"/>
        <v>0</v>
      </c>
      <c r="DQ170" s="161">
        <f t="shared" si="220"/>
        <v>0</v>
      </c>
      <c r="DR170" s="161">
        <f t="shared" si="221"/>
        <v>0</v>
      </c>
      <c r="DS170" s="161">
        <f t="shared" si="222"/>
        <v>0</v>
      </c>
      <c r="DT170" s="161">
        <f t="shared" si="223"/>
        <v>10.416666666666666</v>
      </c>
      <c r="DU170" s="161">
        <f t="shared" si="224"/>
        <v>0</v>
      </c>
      <c r="DV170" s="161">
        <f t="shared" si="225"/>
        <v>0</v>
      </c>
      <c r="DW170" s="161">
        <f t="shared" si="226"/>
        <v>0</v>
      </c>
      <c r="DX170" s="161">
        <f t="shared" si="227"/>
        <v>0</v>
      </c>
      <c r="DY170" s="161">
        <f t="shared" si="228"/>
        <v>0</v>
      </c>
      <c r="DZ170" s="161">
        <f t="shared" si="229"/>
        <v>0</v>
      </c>
      <c r="EA170" s="161">
        <f t="shared" si="230"/>
        <v>0</v>
      </c>
      <c r="EB170" s="161">
        <f t="shared" si="231"/>
        <v>0</v>
      </c>
      <c r="EC170" s="161">
        <f t="shared" si="232"/>
        <v>0</v>
      </c>
      <c r="ED170" s="161">
        <f t="shared" si="233"/>
        <v>0</v>
      </c>
      <c r="EE170" s="161">
        <f t="shared" si="234"/>
        <v>0</v>
      </c>
      <c r="EF170" s="161">
        <f t="shared" si="235"/>
        <v>0</v>
      </c>
      <c r="EG170" s="161">
        <f t="shared" si="236"/>
        <v>0</v>
      </c>
      <c r="EH170" s="161">
        <f t="shared" si="237"/>
        <v>0</v>
      </c>
      <c r="EI170" s="161">
        <f t="shared" si="238"/>
        <v>0</v>
      </c>
      <c r="EJ170" s="161">
        <f t="shared" si="239"/>
        <v>0</v>
      </c>
      <c r="EK170" s="147">
        <f t="shared" si="171"/>
        <v>10.416666666666666</v>
      </c>
      <c r="EL170" s="149"/>
      <c r="EN170" s="146"/>
      <c r="EO170" s="146"/>
      <c r="EP170" s="139">
        <f t="shared" si="172"/>
        <v>0</v>
      </c>
      <c r="EQ170" s="139">
        <f t="shared" si="173"/>
        <v>0</v>
      </c>
      <c r="ER170" s="139">
        <f t="shared" si="174"/>
        <v>0</v>
      </c>
      <c r="ES170" s="139">
        <f t="shared" si="175"/>
        <v>0</v>
      </c>
      <c r="ET170" s="139">
        <f t="shared" si="176"/>
        <v>0</v>
      </c>
      <c r="EU170" s="139">
        <f t="shared" si="177"/>
        <v>0</v>
      </c>
      <c r="EV170" s="139">
        <f t="shared" si="178"/>
        <v>0</v>
      </c>
      <c r="EW170" s="139">
        <f t="shared" si="179"/>
        <v>0</v>
      </c>
      <c r="EX170" s="139">
        <f t="shared" si="180"/>
        <v>0</v>
      </c>
      <c r="EY170" s="139">
        <f t="shared" si="181"/>
        <v>0</v>
      </c>
      <c r="EZ170" s="139">
        <f t="shared" si="182"/>
        <v>0</v>
      </c>
      <c r="FA170" s="139">
        <f t="shared" si="183"/>
        <v>0</v>
      </c>
      <c r="FB170" s="139">
        <f t="shared" si="184"/>
        <v>0</v>
      </c>
      <c r="FC170" s="139">
        <f t="shared" si="185"/>
        <v>0</v>
      </c>
      <c r="FD170" s="139">
        <f t="shared" si="186"/>
        <v>204.13054621580596</v>
      </c>
      <c r="FE170" s="139">
        <f t="shared" si="187"/>
        <v>0</v>
      </c>
      <c r="FF170" s="139">
        <f t="shared" si="188"/>
        <v>0</v>
      </c>
      <c r="FG170" s="139">
        <f t="shared" si="189"/>
        <v>0</v>
      </c>
      <c r="FH170" s="139">
        <f t="shared" si="190"/>
        <v>0</v>
      </c>
      <c r="FI170" s="139">
        <f t="shared" si="191"/>
        <v>0</v>
      </c>
      <c r="FJ170" s="139">
        <f t="shared" si="192"/>
        <v>0</v>
      </c>
      <c r="FK170" s="139">
        <f t="shared" si="193"/>
        <v>0</v>
      </c>
      <c r="FL170" s="139">
        <f t="shared" si="194"/>
        <v>0</v>
      </c>
      <c r="FM170" s="139">
        <f t="shared" si="195"/>
        <v>0</v>
      </c>
      <c r="FN170" s="139">
        <f t="shared" si="196"/>
        <v>0</v>
      </c>
      <c r="FO170" s="139">
        <f t="shared" si="197"/>
        <v>0</v>
      </c>
      <c r="FP170" s="139">
        <f t="shared" si="198"/>
        <v>0</v>
      </c>
      <c r="FQ170" s="139">
        <f t="shared" si="199"/>
        <v>0</v>
      </c>
      <c r="FR170" s="139">
        <f t="shared" si="200"/>
        <v>0</v>
      </c>
      <c r="FS170" s="139">
        <f t="shared" si="201"/>
        <v>0</v>
      </c>
      <c r="FT170" s="139">
        <f t="shared" si="202"/>
        <v>0</v>
      </c>
      <c r="FU170" s="148">
        <f t="shared" si="203"/>
        <v>204.13054621580596</v>
      </c>
      <c r="FV170" s="149"/>
      <c r="FY170" s="211">
        <v>165</v>
      </c>
      <c r="FZ170">
        <v>55.248016784460511</v>
      </c>
      <c r="GA170">
        <v>57.050287545088821</v>
      </c>
      <c r="GB170">
        <v>8.5180942764046677</v>
      </c>
      <c r="GC170">
        <v>0.86219927479600078</v>
      </c>
      <c r="GD170">
        <v>0.26643071148870145</v>
      </c>
      <c r="GE170">
        <v>0.63646179427369809</v>
      </c>
      <c r="GF170">
        <v>3.6084683192449569</v>
      </c>
      <c r="GG170">
        <v>11.51839624379574</v>
      </c>
      <c r="GH170">
        <v>16.426144582619159</v>
      </c>
      <c r="GI170">
        <v>20.113206692816739</v>
      </c>
      <c r="GJ170"/>
      <c r="GK170"/>
      <c r="GL170"/>
      <c r="GM170"/>
    </row>
    <row r="171" spans="1:195" s="7" customFormat="1">
      <c r="A171" s="1"/>
      <c r="B171" s="76">
        <f ca="1">IF(C171="", "", RAND())</f>
        <v>0.54322245121643942</v>
      </c>
      <c r="C171">
        <v>2</v>
      </c>
      <c r="D171">
        <v>39949</v>
      </c>
      <c r="E171">
        <v>0</v>
      </c>
      <c r="F171">
        <v>0</v>
      </c>
      <c r="G171">
        <v>0</v>
      </c>
      <c r="H171">
        <v>10.416666666666666</v>
      </c>
      <c r="I171">
        <v>20.833333333333332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15.20105502136752</v>
      </c>
      <c r="AO171">
        <v>109.34518276601503</v>
      </c>
      <c r="AP171">
        <v>818.82667078505074</v>
      </c>
      <c r="AQ171">
        <v>222.23038520716969</v>
      </c>
      <c r="AR171">
        <v>101.4043814833494</v>
      </c>
      <c r="AS171">
        <v>623.6159175008047</v>
      </c>
      <c r="AT171" t="e">
        <v>#DIV/0!</v>
      </c>
      <c r="AU171" t="e">
        <v>#DIV/0!</v>
      </c>
      <c r="AV171"/>
      <c r="AW171"/>
      <c r="AX171" s="146"/>
      <c r="AY171" s="76">
        <f t="shared" ca="1" si="169"/>
        <v>0.60074640108678334</v>
      </c>
      <c r="AZ171">
        <v>4</v>
      </c>
      <c r="BA171" s="129">
        <f t="shared" si="243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4"/>
        <v>0.45076272305866594</v>
      </c>
      <c r="CL171" s="179">
        <f t="shared" si="205"/>
        <v>4</v>
      </c>
      <c r="CM171" s="180">
        <f t="shared" si="206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7"/>
        <v>9.6000000000000002E-2</v>
      </c>
      <c r="DB171" s="146"/>
      <c r="DC171" s="76">
        <f t="shared" ca="1" si="170"/>
        <v>0.10131160784925974</v>
      </c>
      <c r="DD171">
        <f t="shared" si="208"/>
        <v>4</v>
      </c>
      <c r="DE171" s="129">
        <f t="shared" si="242"/>
        <v>39949</v>
      </c>
      <c r="DF171" s="161">
        <f t="shared" si="209"/>
        <v>0</v>
      </c>
      <c r="DG171" s="161">
        <f t="shared" si="210"/>
        <v>0</v>
      </c>
      <c r="DH171" s="161">
        <f t="shared" si="211"/>
        <v>0</v>
      </c>
      <c r="DI171" s="161">
        <f t="shared" si="212"/>
        <v>0</v>
      </c>
      <c r="DJ171" s="161">
        <f t="shared" si="213"/>
        <v>0</v>
      </c>
      <c r="DK171" s="161">
        <f t="shared" si="214"/>
        <v>0</v>
      </c>
      <c r="DL171" s="161">
        <f t="shared" si="215"/>
        <v>0</v>
      </c>
      <c r="DM171" s="161">
        <f t="shared" si="216"/>
        <v>0</v>
      </c>
      <c r="DN171" s="161">
        <f t="shared" si="217"/>
        <v>0</v>
      </c>
      <c r="DO171" s="161">
        <f t="shared" si="218"/>
        <v>0</v>
      </c>
      <c r="DP171" s="161">
        <f t="shared" si="219"/>
        <v>0</v>
      </c>
      <c r="DQ171" s="161">
        <f t="shared" si="220"/>
        <v>0</v>
      </c>
      <c r="DR171" s="161">
        <f t="shared" si="221"/>
        <v>0</v>
      </c>
      <c r="DS171" s="161">
        <f t="shared" si="222"/>
        <v>0</v>
      </c>
      <c r="DT171" s="161">
        <f t="shared" si="223"/>
        <v>0</v>
      </c>
      <c r="DU171" s="161">
        <f t="shared" si="224"/>
        <v>0</v>
      </c>
      <c r="DV171" s="161">
        <f t="shared" si="225"/>
        <v>0</v>
      </c>
      <c r="DW171" s="161">
        <f t="shared" si="226"/>
        <v>0</v>
      </c>
      <c r="DX171" s="161">
        <f t="shared" si="227"/>
        <v>0</v>
      </c>
      <c r="DY171" s="161">
        <f t="shared" si="228"/>
        <v>0</v>
      </c>
      <c r="DZ171" s="161">
        <f t="shared" si="229"/>
        <v>0</v>
      </c>
      <c r="EA171" s="161">
        <f t="shared" si="230"/>
        <v>0</v>
      </c>
      <c r="EB171" s="161">
        <f t="shared" si="231"/>
        <v>0</v>
      </c>
      <c r="EC171" s="161">
        <f t="shared" si="232"/>
        <v>0</v>
      </c>
      <c r="ED171" s="161">
        <f t="shared" si="233"/>
        <v>0</v>
      </c>
      <c r="EE171" s="161">
        <f t="shared" si="234"/>
        <v>0</v>
      </c>
      <c r="EF171" s="161">
        <f t="shared" si="235"/>
        <v>0</v>
      </c>
      <c r="EG171" s="161">
        <f t="shared" si="236"/>
        <v>0</v>
      </c>
      <c r="EH171" s="161">
        <f t="shared" si="237"/>
        <v>0</v>
      </c>
      <c r="EI171" s="161">
        <f t="shared" si="238"/>
        <v>0</v>
      </c>
      <c r="EJ171" s="161">
        <f t="shared" si="239"/>
        <v>0</v>
      </c>
      <c r="EK171" s="147">
        <f t="shared" si="171"/>
        <v>0</v>
      </c>
      <c r="EL171" s="149"/>
      <c r="EN171" s="146"/>
      <c r="EO171" s="146"/>
      <c r="EP171" s="139">
        <f t="shared" si="172"/>
        <v>0</v>
      </c>
      <c r="EQ171" s="139">
        <f t="shared" si="173"/>
        <v>0</v>
      </c>
      <c r="ER171" s="139">
        <f t="shared" si="174"/>
        <v>0</v>
      </c>
      <c r="ES171" s="139">
        <f t="shared" si="175"/>
        <v>0</v>
      </c>
      <c r="ET171" s="139">
        <f t="shared" si="176"/>
        <v>0</v>
      </c>
      <c r="EU171" s="139">
        <f t="shared" si="177"/>
        <v>0</v>
      </c>
      <c r="EV171" s="139">
        <f t="shared" si="178"/>
        <v>0</v>
      </c>
      <c r="EW171" s="139">
        <f t="shared" si="179"/>
        <v>0</v>
      </c>
      <c r="EX171" s="139">
        <f t="shared" si="180"/>
        <v>0</v>
      </c>
      <c r="EY171" s="139">
        <f t="shared" si="181"/>
        <v>0</v>
      </c>
      <c r="EZ171" s="139">
        <f t="shared" si="182"/>
        <v>0</v>
      </c>
      <c r="FA171" s="139">
        <f t="shared" si="183"/>
        <v>0</v>
      </c>
      <c r="FB171" s="139">
        <f t="shared" si="184"/>
        <v>0</v>
      </c>
      <c r="FC171" s="139">
        <f t="shared" si="185"/>
        <v>0</v>
      </c>
      <c r="FD171" s="139">
        <f t="shared" si="186"/>
        <v>0</v>
      </c>
      <c r="FE171" s="139">
        <f t="shared" si="187"/>
        <v>0</v>
      </c>
      <c r="FF171" s="139">
        <f t="shared" si="188"/>
        <v>0</v>
      </c>
      <c r="FG171" s="139">
        <f t="shared" si="189"/>
        <v>0</v>
      </c>
      <c r="FH171" s="139">
        <f t="shared" si="190"/>
        <v>0</v>
      </c>
      <c r="FI171" s="139">
        <f t="shared" si="191"/>
        <v>0</v>
      </c>
      <c r="FJ171" s="139">
        <f t="shared" si="192"/>
        <v>0</v>
      </c>
      <c r="FK171" s="139">
        <f t="shared" si="193"/>
        <v>0</v>
      </c>
      <c r="FL171" s="139">
        <f t="shared" si="194"/>
        <v>0</v>
      </c>
      <c r="FM171" s="139">
        <f t="shared" si="195"/>
        <v>0</v>
      </c>
      <c r="FN171" s="139">
        <f t="shared" si="196"/>
        <v>0</v>
      </c>
      <c r="FO171" s="139">
        <f t="shared" si="197"/>
        <v>0</v>
      </c>
      <c r="FP171" s="139">
        <f t="shared" si="198"/>
        <v>0</v>
      </c>
      <c r="FQ171" s="139">
        <f t="shared" si="199"/>
        <v>0</v>
      </c>
      <c r="FR171" s="139">
        <f t="shared" si="200"/>
        <v>0</v>
      </c>
      <c r="FS171" s="139">
        <f t="shared" si="201"/>
        <v>0</v>
      </c>
      <c r="FT171" s="139">
        <f t="shared" si="202"/>
        <v>0</v>
      </c>
      <c r="FU171" s="148">
        <f t="shared" si="203"/>
        <v>0</v>
      </c>
      <c r="FV171" s="149"/>
      <c r="FY171" s="211">
        <v>166</v>
      </c>
      <c r="FZ171">
        <v>76.271015709077588</v>
      </c>
      <c r="GA171">
        <v>77.106529210840719</v>
      </c>
      <c r="GB171">
        <v>68.654798625048883</v>
      </c>
      <c r="GC171">
        <v>3.179005049946213</v>
      </c>
      <c r="GD171">
        <v>0.683678967348338</v>
      </c>
      <c r="GE171">
        <v>0.56361663886540603</v>
      </c>
      <c r="GF171">
        <v>0.43879882895893124</v>
      </c>
      <c r="GG171">
        <v>5.936151560766076</v>
      </c>
      <c r="GH171">
        <v>9.1973069806361583</v>
      </c>
      <c r="GI171">
        <v>71.710693922119631</v>
      </c>
      <c r="GJ171"/>
      <c r="GK171"/>
      <c r="GL171"/>
      <c r="GM171"/>
    </row>
    <row r="172" spans="1:195" s="7" customFormat="1">
      <c r="A172" s="1"/>
      <c r="B172" s="76">
        <f ca="1">IF(C172="", "", RAND())</f>
        <v>8.8353210306002961E-2</v>
      </c>
      <c r="C172">
        <v>9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15.082211538461541</v>
      </c>
      <c r="AO172">
        <v>88.659033155435083</v>
      </c>
      <c r="AP172">
        <v>490.94524788763232</v>
      </c>
      <c r="AQ172">
        <v>188.103599648444</v>
      </c>
      <c r="AR172">
        <v>82.369788074176853</v>
      </c>
      <c r="AS172">
        <v>444.12148861953631</v>
      </c>
      <c r="AT172" t="e">
        <v>#DIV/0!</v>
      </c>
      <c r="AU172" t="e">
        <v>#DIV/0!</v>
      </c>
      <c r="AV172"/>
      <c r="AW172"/>
      <c r="AX172" s="146"/>
      <c r="AY172" s="76">
        <f t="shared" ca="1" si="169"/>
        <v>0.24567934313393525</v>
      </c>
      <c r="AZ172">
        <v>5</v>
      </c>
      <c r="BA172" s="129">
        <f t="shared" si="243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4"/>
        <v>0.1349637747090684</v>
      </c>
      <c r="CL172" s="179">
        <f t="shared" si="205"/>
        <v>5</v>
      </c>
      <c r="CM172" s="180">
        <f t="shared" si="206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07"/>
        <v>9.6000000000000002E-2</v>
      </c>
      <c r="DB172" s="146"/>
      <c r="DC172" s="76">
        <f t="shared" ca="1" si="170"/>
        <v>0.64307537683109084</v>
      </c>
      <c r="DD172">
        <f t="shared" si="208"/>
        <v>5</v>
      </c>
      <c r="DE172" s="129">
        <f t="shared" si="242"/>
        <v>39949</v>
      </c>
      <c r="DF172" s="161">
        <f t="shared" si="209"/>
        <v>0</v>
      </c>
      <c r="DG172" s="161">
        <f t="shared" si="210"/>
        <v>0</v>
      </c>
      <c r="DH172" s="161">
        <f t="shared" si="211"/>
        <v>0</v>
      </c>
      <c r="DI172" s="161">
        <f t="shared" si="212"/>
        <v>0</v>
      </c>
      <c r="DJ172" s="161">
        <f t="shared" si="213"/>
        <v>0</v>
      </c>
      <c r="DK172" s="161">
        <f t="shared" si="214"/>
        <v>0</v>
      </c>
      <c r="DL172" s="161">
        <f t="shared" si="215"/>
        <v>0</v>
      </c>
      <c r="DM172" s="161">
        <f t="shared" si="216"/>
        <v>0</v>
      </c>
      <c r="DN172" s="161">
        <f t="shared" si="217"/>
        <v>0</v>
      </c>
      <c r="DO172" s="161">
        <f t="shared" si="218"/>
        <v>0</v>
      </c>
      <c r="DP172" s="161">
        <f t="shared" si="219"/>
        <v>0</v>
      </c>
      <c r="DQ172" s="161">
        <f t="shared" si="220"/>
        <v>0</v>
      </c>
      <c r="DR172" s="161">
        <f t="shared" si="221"/>
        <v>0</v>
      </c>
      <c r="DS172" s="161">
        <f t="shared" si="222"/>
        <v>0</v>
      </c>
      <c r="DT172" s="161">
        <f t="shared" si="223"/>
        <v>0</v>
      </c>
      <c r="DU172" s="161">
        <f t="shared" si="224"/>
        <v>0</v>
      </c>
      <c r="DV172" s="161">
        <f t="shared" si="225"/>
        <v>0</v>
      </c>
      <c r="DW172" s="161">
        <f t="shared" si="226"/>
        <v>0</v>
      </c>
      <c r="DX172" s="161">
        <f t="shared" si="227"/>
        <v>0</v>
      </c>
      <c r="DY172" s="161">
        <f t="shared" si="228"/>
        <v>0</v>
      </c>
      <c r="DZ172" s="161">
        <f t="shared" si="229"/>
        <v>0</v>
      </c>
      <c r="EA172" s="161">
        <f t="shared" si="230"/>
        <v>0</v>
      </c>
      <c r="EB172" s="161">
        <f t="shared" si="231"/>
        <v>0</v>
      </c>
      <c r="EC172" s="161">
        <f t="shared" si="232"/>
        <v>0</v>
      </c>
      <c r="ED172" s="161">
        <f t="shared" si="233"/>
        <v>0</v>
      </c>
      <c r="EE172" s="161">
        <f t="shared" si="234"/>
        <v>0</v>
      </c>
      <c r="EF172" s="161">
        <f t="shared" si="235"/>
        <v>0</v>
      </c>
      <c r="EG172" s="161">
        <f t="shared" si="236"/>
        <v>0</v>
      </c>
      <c r="EH172" s="161">
        <f t="shared" si="237"/>
        <v>0</v>
      </c>
      <c r="EI172" s="161">
        <f t="shared" si="238"/>
        <v>0</v>
      </c>
      <c r="EJ172" s="161">
        <f t="shared" si="239"/>
        <v>0</v>
      </c>
      <c r="EK172" s="147">
        <f t="shared" si="171"/>
        <v>0</v>
      </c>
      <c r="EL172" s="149"/>
      <c r="EN172" s="146"/>
      <c r="EO172" s="146"/>
      <c r="EP172" s="139">
        <f t="shared" si="172"/>
        <v>0</v>
      </c>
      <c r="EQ172" s="139">
        <f t="shared" si="173"/>
        <v>0</v>
      </c>
      <c r="ER172" s="139">
        <f t="shared" si="174"/>
        <v>0</v>
      </c>
      <c r="ES172" s="139">
        <f t="shared" si="175"/>
        <v>0</v>
      </c>
      <c r="ET172" s="139">
        <f t="shared" si="176"/>
        <v>0</v>
      </c>
      <c r="EU172" s="139">
        <f t="shared" si="177"/>
        <v>0</v>
      </c>
      <c r="EV172" s="139">
        <f t="shared" si="178"/>
        <v>0</v>
      </c>
      <c r="EW172" s="139">
        <f t="shared" si="179"/>
        <v>0</v>
      </c>
      <c r="EX172" s="139">
        <f t="shared" si="180"/>
        <v>0</v>
      </c>
      <c r="EY172" s="139">
        <f t="shared" si="181"/>
        <v>0</v>
      </c>
      <c r="EZ172" s="139">
        <f t="shared" si="182"/>
        <v>0</v>
      </c>
      <c r="FA172" s="139">
        <f t="shared" si="183"/>
        <v>0</v>
      </c>
      <c r="FB172" s="139">
        <f t="shared" si="184"/>
        <v>0</v>
      </c>
      <c r="FC172" s="139">
        <f t="shared" si="185"/>
        <v>0</v>
      </c>
      <c r="FD172" s="139">
        <f t="shared" si="186"/>
        <v>0</v>
      </c>
      <c r="FE172" s="139">
        <f t="shared" si="187"/>
        <v>0</v>
      </c>
      <c r="FF172" s="139">
        <f t="shared" si="188"/>
        <v>0</v>
      </c>
      <c r="FG172" s="139">
        <f t="shared" si="189"/>
        <v>0</v>
      </c>
      <c r="FH172" s="139">
        <f t="shared" si="190"/>
        <v>0</v>
      </c>
      <c r="FI172" s="139">
        <f t="shared" si="191"/>
        <v>0</v>
      </c>
      <c r="FJ172" s="139">
        <f t="shared" si="192"/>
        <v>0</v>
      </c>
      <c r="FK172" s="139">
        <f t="shared" si="193"/>
        <v>0</v>
      </c>
      <c r="FL172" s="139">
        <f t="shared" si="194"/>
        <v>0</v>
      </c>
      <c r="FM172" s="139">
        <f t="shared" si="195"/>
        <v>0</v>
      </c>
      <c r="FN172" s="139">
        <f t="shared" si="196"/>
        <v>0</v>
      </c>
      <c r="FO172" s="139">
        <f t="shared" si="197"/>
        <v>0</v>
      </c>
      <c r="FP172" s="139">
        <f t="shared" si="198"/>
        <v>0</v>
      </c>
      <c r="FQ172" s="139">
        <f t="shared" si="199"/>
        <v>0</v>
      </c>
      <c r="FR172" s="139">
        <f t="shared" si="200"/>
        <v>0</v>
      </c>
      <c r="FS172" s="139">
        <f t="shared" si="201"/>
        <v>0</v>
      </c>
      <c r="FT172" s="139">
        <f t="shared" si="202"/>
        <v>0</v>
      </c>
      <c r="FU172" s="148">
        <f t="shared" si="203"/>
        <v>0</v>
      </c>
      <c r="FV172" s="149"/>
      <c r="FY172" s="211">
        <v>167</v>
      </c>
      <c r="FZ172">
        <v>26.663112841497757</v>
      </c>
      <c r="GA172">
        <v>30.505877308914034</v>
      </c>
      <c r="GB172">
        <v>18.712214524149594</v>
      </c>
      <c r="GC172">
        <v>2.0416367867000731</v>
      </c>
      <c r="GD172">
        <v>0.17690435136077456</v>
      </c>
      <c r="GE172">
        <v>0.22659701993714865</v>
      </c>
      <c r="GF172">
        <v>3.0770190452017743</v>
      </c>
      <c r="GG172">
        <v>4.3659219649103038</v>
      </c>
      <c r="GH172">
        <v>11.67097209005504</v>
      </c>
      <c r="GI172">
        <v>24.697494330359238</v>
      </c>
      <c r="GJ172"/>
      <c r="GK172"/>
      <c r="GL172"/>
      <c r="GM172"/>
    </row>
    <row r="173" spans="1:195" s="7" customFormat="1">
      <c r="A173" s="1"/>
      <c r="B173" s="76">
        <f ca="1">IF(C173="", "", RAND())</f>
        <v>0.34968824105237961</v>
      </c>
      <c r="C173">
        <v>5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16.381076388888886</v>
      </c>
      <c r="AO173">
        <v>210.59936275522114</v>
      </c>
      <c r="AP173">
        <v>1459.4630198866212</v>
      </c>
      <c r="AQ173">
        <v>161.67685752490112</v>
      </c>
      <c r="AR173">
        <v>195.27552613636118</v>
      </c>
      <c r="AS173">
        <v>1408.1608506498524</v>
      </c>
      <c r="AT173" t="e">
        <v>#DIV/0!</v>
      </c>
      <c r="AU173" t="e">
        <v>#DIV/0!</v>
      </c>
      <c r="AV173"/>
      <c r="AW173"/>
      <c r="AX173" s="146"/>
      <c r="AY173" s="76">
        <f t="shared" ca="1" si="169"/>
        <v>0.52655877978578181</v>
      </c>
      <c r="AZ173">
        <v>6</v>
      </c>
      <c r="BA173" s="129">
        <f t="shared" si="243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4"/>
        <v>0.38403503685497675</v>
      </c>
      <c r="CL173" s="179">
        <f t="shared" si="205"/>
        <v>6</v>
      </c>
      <c r="CM173" s="180">
        <f t="shared" si="206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07"/>
        <v>9.6000000000000002E-2</v>
      </c>
      <c r="DB173" s="146"/>
      <c r="DC173" s="76">
        <f t="shared" ca="1" si="170"/>
        <v>0.18445640225970106</v>
      </c>
      <c r="DD173">
        <f t="shared" si="208"/>
        <v>6</v>
      </c>
      <c r="DE173" s="129">
        <f t="shared" si="242"/>
        <v>39949</v>
      </c>
      <c r="DF173" s="161">
        <f t="shared" si="209"/>
        <v>0</v>
      </c>
      <c r="DG173" s="161">
        <f t="shared" si="210"/>
        <v>0</v>
      </c>
      <c r="DH173" s="161">
        <f t="shared" si="211"/>
        <v>0</v>
      </c>
      <c r="DI173" s="161">
        <f t="shared" si="212"/>
        <v>0</v>
      </c>
      <c r="DJ173" s="161">
        <f t="shared" si="213"/>
        <v>0</v>
      </c>
      <c r="DK173" s="161">
        <f t="shared" si="214"/>
        <v>0</v>
      </c>
      <c r="DL173" s="161">
        <f t="shared" si="215"/>
        <v>0</v>
      </c>
      <c r="DM173" s="161">
        <f t="shared" si="216"/>
        <v>0</v>
      </c>
      <c r="DN173" s="161">
        <f t="shared" si="217"/>
        <v>0</v>
      </c>
      <c r="DO173" s="161">
        <f t="shared" si="218"/>
        <v>0</v>
      </c>
      <c r="DP173" s="161">
        <f t="shared" si="219"/>
        <v>0</v>
      </c>
      <c r="DQ173" s="161">
        <f t="shared" si="220"/>
        <v>0</v>
      </c>
      <c r="DR173" s="161">
        <f t="shared" si="221"/>
        <v>0</v>
      </c>
      <c r="DS173" s="161">
        <f t="shared" si="222"/>
        <v>0</v>
      </c>
      <c r="DT173" s="161">
        <f t="shared" si="223"/>
        <v>0</v>
      </c>
      <c r="DU173" s="161">
        <f t="shared" si="224"/>
        <v>0</v>
      </c>
      <c r="DV173" s="161">
        <f t="shared" si="225"/>
        <v>0</v>
      </c>
      <c r="DW173" s="161">
        <f t="shared" si="226"/>
        <v>0</v>
      </c>
      <c r="DX173" s="161">
        <f t="shared" si="227"/>
        <v>0</v>
      </c>
      <c r="DY173" s="161">
        <f t="shared" si="228"/>
        <v>0</v>
      </c>
      <c r="DZ173" s="161">
        <f t="shared" si="229"/>
        <v>0</v>
      </c>
      <c r="EA173" s="161">
        <f t="shared" si="230"/>
        <v>0</v>
      </c>
      <c r="EB173" s="161">
        <f t="shared" si="231"/>
        <v>0</v>
      </c>
      <c r="EC173" s="161">
        <f t="shared" si="232"/>
        <v>0</v>
      </c>
      <c r="ED173" s="161">
        <f t="shared" si="233"/>
        <v>0</v>
      </c>
      <c r="EE173" s="161">
        <f t="shared" si="234"/>
        <v>0</v>
      </c>
      <c r="EF173" s="161">
        <f t="shared" si="235"/>
        <v>0</v>
      </c>
      <c r="EG173" s="161">
        <f t="shared" si="236"/>
        <v>0</v>
      </c>
      <c r="EH173" s="161">
        <f t="shared" si="237"/>
        <v>0</v>
      </c>
      <c r="EI173" s="161">
        <f t="shared" si="238"/>
        <v>0</v>
      </c>
      <c r="EJ173" s="161">
        <f t="shared" si="239"/>
        <v>0</v>
      </c>
      <c r="EK173" s="147">
        <f t="shared" si="171"/>
        <v>0</v>
      </c>
      <c r="EL173" s="149"/>
      <c r="EN173" s="146"/>
      <c r="EO173" s="146"/>
      <c r="EP173" s="139">
        <f t="shared" si="172"/>
        <v>0</v>
      </c>
      <c r="EQ173" s="139">
        <f t="shared" si="173"/>
        <v>0</v>
      </c>
      <c r="ER173" s="139">
        <f t="shared" si="174"/>
        <v>0</v>
      </c>
      <c r="ES173" s="139">
        <f t="shared" si="175"/>
        <v>0</v>
      </c>
      <c r="ET173" s="139">
        <f t="shared" si="176"/>
        <v>0</v>
      </c>
      <c r="EU173" s="139">
        <f t="shared" si="177"/>
        <v>0</v>
      </c>
      <c r="EV173" s="139">
        <f t="shared" si="178"/>
        <v>0</v>
      </c>
      <c r="EW173" s="139">
        <f t="shared" si="179"/>
        <v>0</v>
      </c>
      <c r="EX173" s="139">
        <f t="shared" si="180"/>
        <v>0</v>
      </c>
      <c r="EY173" s="139">
        <f t="shared" si="181"/>
        <v>0</v>
      </c>
      <c r="EZ173" s="139">
        <f t="shared" si="182"/>
        <v>0</v>
      </c>
      <c r="FA173" s="139">
        <f t="shared" si="183"/>
        <v>0</v>
      </c>
      <c r="FB173" s="139">
        <f t="shared" si="184"/>
        <v>0</v>
      </c>
      <c r="FC173" s="139">
        <f t="shared" si="185"/>
        <v>0</v>
      </c>
      <c r="FD173" s="139">
        <f t="shared" si="186"/>
        <v>0</v>
      </c>
      <c r="FE173" s="139">
        <f t="shared" si="187"/>
        <v>0</v>
      </c>
      <c r="FF173" s="139">
        <f t="shared" si="188"/>
        <v>0</v>
      </c>
      <c r="FG173" s="139">
        <f t="shared" si="189"/>
        <v>0</v>
      </c>
      <c r="FH173" s="139">
        <f t="shared" si="190"/>
        <v>0</v>
      </c>
      <c r="FI173" s="139">
        <f t="shared" si="191"/>
        <v>0</v>
      </c>
      <c r="FJ173" s="139">
        <f t="shared" si="192"/>
        <v>0</v>
      </c>
      <c r="FK173" s="139">
        <f t="shared" si="193"/>
        <v>0</v>
      </c>
      <c r="FL173" s="139">
        <f t="shared" si="194"/>
        <v>0</v>
      </c>
      <c r="FM173" s="139">
        <f t="shared" si="195"/>
        <v>0</v>
      </c>
      <c r="FN173" s="139">
        <f t="shared" si="196"/>
        <v>0</v>
      </c>
      <c r="FO173" s="139">
        <f t="shared" si="197"/>
        <v>0</v>
      </c>
      <c r="FP173" s="139">
        <f t="shared" si="198"/>
        <v>0</v>
      </c>
      <c r="FQ173" s="139">
        <f t="shared" si="199"/>
        <v>0</v>
      </c>
      <c r="FR173" s="139">
        <f t="shared" si="200"/>
        <v>0</v>
      </c>
      <c r="FS173" s="139">
        <f t="shared" si="201"/>
        <v>0</v>
      </c>
      <c r="FT173" s="139">
        <f t="shared" si="202"/>
        <v>0</v>
      </c>
      <c r="FU173" s="148">
        <f t="shared" si="203"/>
        <v>0</v>
      </c>
      <c r="FV173" s="149"/>
      <c r="FY173" s="211">
        <v>168</v>
      </c>
      <c r="FZ173">
        <v>36.706876194056719</v>
      </c>
      <c r="GA173">
        <v>39.45316019244801</v>
      </c>
      <c r="GB173">
        <v>33.408227001762107</v>
      </c>
      <c r="GC173">
        <v>3.6547537739958038</v>
      </c>
      <c r="GD173">
        <v>0.61126249992471549</v>
      </c>
      <c r="GE173">
        <v>0.46944603506092875</v>
      </c>
      <c r="GF173">
        <v>2.8333656087751251</v>
      </c>
      <c r="GG173">
        <v>8.3124401960883869</v>
      </c>
      <c r="GH173">
        <v>17.253860269699697</v>
      </c>
      <c r="GI173">
        <v>47.237085322375087</v>
      </c>
      <c r="GJ173"/>
      <c r="GK173"/>
      <c r="GL173"/>
      <c r="GM173"/>
    </row>
    <row r="174" spans="1:195" s="7" customFormat="1">
      <c r="A174" s="1"/>
      <c r="B174" s="76">
        <f ca="1">IF(C174="", "", RAND())</f>
        <v>0.461019511479555</v>
      </c>
      <c r="C174">
        <v>4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13.880902777777777</v>
      </c>
      <c r="AO174">
        <v>190.16975511413108</v>
      </c>
      <c r="AP174">
        <v>1334.5082501432487</v>
      </c>
      <c r="AQ174">
        <v>218.42405830176867</v>
      </c>
      <c r="AR174">
        <v>176.26337339304371</v>
      </c>
      <c r="AS174">
        <v>860.81550929913897</v>
      </c>
      <c r="AT174" t="e">
        <v>#DIV/0!</v>
      </c>
      <c r="AU174" t="e">
        <v>#DIV/0!</v>
      </c>
      <c r="AV174"/>
      <c r="AW174"/>
      <c r="AX174" s="146"/>
      <c r="AY174" s="76">
        <f t="shared" ca="1" si="169"/>
        <v>0.71981532677729021</v>
      </c>
      <c r="AZ174">
        <v>7</v>
      </c>
      <c r="BA174" s="129">
        <f t="shared" si="243"/>
        <v>39949</v>
      </c>
      <c r="BB174" s="218">
        <v>0</v>
      </c>
      <c r="BC174" s="218">
        <v>0</v>
      </c>
      <c r="BD174" s="218">
        <v>0</v>
      </c>
      <c r="BE174" s="218">
        <v>0</v>
      </c>
      <c r="BF174" s="218">
        <v>0</v>
      </c>
      <c r="BG174" s="218">
        <v>0</v>
      </c>
      <c r="BH174" s="218">
        <v>0</v>
      </c>
      <c r="BI174" s="218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4"/>
        <v>0.50253295719799285</v>
      </c>
      <c r="CL174" s="179">
        <f t="shared" si="205"/>
        <v>7</v>
      </c>
      <c r="CM174" s="180">
        <f t="shared" si="206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07"/>
        <v>9.6000000000000002E-2</v>
      </c>
      <c r="DB174" s="146"/>
      <c r="DC174" s="76">
        <f t="shared" ca="1" si="170"/>
        <v>0.13915826878411597</v>
      </c>
      <c r="DD174">
        <f t="shared" si="208"/>
        <v>7</v>
      </c>
      <c r="DE174" s="129">
        <f t="shared" si="242"/>
        <v>39949</v>
      </c>
      <c r="DF174" s="161">
        <f t="shared" si="209"/>
        <v>0</v>
      </c>
      <c r="DG174" s="161">
        <f t="shared" si="210"/>
        <v>0</v>
      </c>
      <c r="DH174" s="161">
        <f t="shared" si="211"/>
        <v>0</v>
      </c>
      <c r="DI174" s="161">
        <f t="shared" si="212"/>
        <v>0</v>
      </c>
      <c r="DJ174" s="161">
        <f t="shared" si="213"/>
        <v>0</v>
      </c>
      <c r="DK174" s="161">
        <f t="shared" si="214"/>
        <v>0</v>
      </c>
      <c r="DL174" s="161">
        <f t="shared" si="215"/>
        <v>0</v>
      </c>
      <c r="DM174" s="161">
        <f t="shared" si="216"/>
        <v>0</v>
      </c>
      <c r="DN174" s="161">
        <f t="shared" si="217"/>
        <v>0</v>
      </c>
      <c r="DO174" s="161">
        <f t="shared" si="218"/>
        <v>0</v>
      </c>
      <c r="DP174" s="161">
        <f t="shared" si="219"/>
        <v>0</v>
      </c>
      <c r="DQ174" s="161">
        <f t="shared" si="220"/>
        <v>0</v>
      </c>
      <c r="DR174" s="161">
        <f t="shared" si="221"/>
        <v>0</v>
      </c>
      <c r="DS174" s="161">
        <f t="shared" si="222"/>
        <v>0</v>
      </c>
      <c r="DT174" s="161">
        <f t="shared" si="223"/>
        <v>0</v>
      </c>
      <c r="DU174" s="161">
        <f t="shared" si="224"/>
        <v>0</v>
      </c>
      <c r="DV174" s="161">
        <f t="shared" si="225"/>
        <v>0</v>
      </c>
      <c r="DW174" s="161">
        <f t="shared" si="226"/>
        <v>0</v>
      </c>
      <c r="DX174" s="161">
        <f t="shared" si="227"/>
        <v>0</v>
      </c>
      <c r="DY174" s="161">
        <f t="shared" si="228"/>
        <v>0</v>
      </c>
      <c r="DZ174" s="161">
        <f t="shared" si="229"/>
        <v>0</v>
      </c>
      <c r="EA174" s="161">
        <f t="shared" si="230"/>
        <v>0</v>
      </c>
      <c r="EB174" s="161">
        <f t="shared" si="231"/>
        <v>0</v>
      </c>
      <c r="EC174" s="161">
        <f t="shared" si="232"/>
        <v>0</v>
      </c>
      <c r="ED174" s="161">
        <f t="shared" si="233"/>
        <v>0</v>
      </c>
      <c r="EE174" s="161">
        <f t="shared" si="234"/>
        <v>0</v>
      </c>
      <c r="EF174" s="161">
        <f t="shared" si="235"/>
        <v>0</v>
      </c>
      <c r="EG174" s="161">
        <f t="shared" si="236"/>
        <v>0</v>
      </c>
      <c r="EH174" s="161">
        <f t="shared" si="237"/>
        <v>0</v>
      </c>
      <c r="EI174" s="161">
        <f t="shared" si="238"/>
        <v>0</v>
      </c>
      <c r="EJ174" s="161">
        <f t="shared" si="239"/>
        <v>0</v>
      </c>
      <c r="EK174" s="147">
        <f t="shared" si="171"/>
        <v>0</v>
      </c>
      <c r="EL174" s="149"/>
      <c r="EN174" s="146"/>
      <c r="EO174" s="146"/>
      <c r="EP174" s="139">
        <f t="shared" si="172"/>
        <v>0</v>
      </c>
      <c r="EQ174" s="139">
        <f t="shared" si="173"/>
        <v>0</v>
      </c>
      <c r="ER174" s="139">
        <f t="shared" si="174"/>
        <v>0</v>
      </c>
      <c r="ES174" s="139">
        <f t="shared" si="175"/>
        <v>0</v>
      </c>
      <c r="ET174" s="139">
        <f t="shared" si="176"/>
        <v>0</v>
      </c>
      <c r="EU174" s="139">
        <f t="shared" si="177"/>
        <v>0</v>
      </c>
      <c r="EV174" s="139">
        <f t="shared" si="178"/>
        <v>0</v>
      </c>
      <c r="EW174" s="139">
        <f t="shared" si="179"/>
        <v>0</v>
      </c>
      <c r="EX174" s="139">
        <f t="shared" si="180"/>
        <v>0</v>
      </c>
      <c r="EY174" s="139">
        <f t="shared" si="181"/>
        <v>0</v>
      </c>
      <c r="EZ174" s="139">
        <f t="shared" si="182"/>
        <v>0</v>
      </c>
      <c r="FA174" s="139">
        <f t="shared" si="183"/>
        <v>0</v>
      </c>
      <c r="FB174" s="139">
        <f t="shared" si="184"/>
        <v>0</v>
      </c>
      <c r="FC174" s="139">
        <f t="shared" si="185"/>
        <v>0</v>
      </c>
      <c r="FD174" s="139">
        <f t="shared" si="186"/>
        <v>0</v>
      </c>
      <c r="FE174" s="139">
        <f t="shared" si="187"/>
        <v>0</v>
      </c>
      <c r="FF174" s="139">
        <f t="shared" si="188"/>
        <v>0</v>
      </c>
      <c r="FG174" s="139">
        <f t="shared" si="189"/>
        <v>0</v>
      </c>
      <c r="FH174" s="139">
        <f t="shared" si="190"/>
        <v>0</v>
      </c>
      <c r="FI174" s="139">
        <f t="shared" si="191"/>
        <v>0</v>
      </c>
      <c r="FJ174" s="139">
        <f t="shared" si="192"/>
        <v>0</v>
      </c>
      <c r="FK174" s="139">
        <f t="shared" si="193"/>
        <v>0</v>
      </c>
      <c r="FL174" s="139">
        <f t="shared" si="194"/>
        <v>0</v>
      </c>
      <c r="FM174" s="139">
        <f t="shared" si="195"/>
        <v>0</v>
      </c>
      <c r="FN174" s="139">
        <f t="shared" si="196"/>
        <v>0</v>
      </c>
      <c r="FO174" s="139">
        <f t="shared" si="197"/>
        <v>0</v>
      </c>
      <c r="FP174" s="139">
        <f t="shared" si="198"/>
        <v>0</v>
      </c>
      <c r="FQ174" s="139">
        <f t="shared" si="199"/>
        <v>0</v>
      </c>
      <c r="FR174" s="139">
        <f t="shared" si="200"/>
        <v>0</v>
      </c>
      <c r="FS174" s="139">
        <f t="shared" si="201"/>
        <v>0</v>
      </c>
      <c r="FT174" s="139">
        <f t="shared" si="202"/>
        <v>0</v>
      </c>
      <c r="FU174" s="148">
        <f t="shared" si="203"/>
        <v>0</v>
      </c>
      <c r="FV174" s="149"/>
      <c r="FY174" s="211">
        <v>169</v>
      </c>
      <c r="FZ174">
        <v>49.891782142915325</v>
      </c>
      <c r="GA174">
        <v>59.49735534519769</v>
      </c>
      <c r="GB174">
        <v>32.999788258435785</v>
      </c>
      <c r="GC174">
        <v>1.9680525270901632</v>
      </c>
      <c r="GD174">
        <v>9.5651625629411235E-2</v>
      </c>
      <c r="GE174">
        <v>0.5173395159896752</v>
      </c>
      <c r="GF174">
        <v>3.994875023661363</v>
      </c>
      <c r="GG174">
        <v>6.7658189731511165</v>
      </c>
      <c r="GH174">
        <v>13.225583625167928</v>
      </c>
      <c r="GI174">
        <v>38.654722766734366</v>
      </c>
      <c r="GJ174"/>
      <c r="GK174"/>
      <c r="GL174"/>
      <c r="GM174"/>
    </row>
    <row r="175" spans="1:195" s="7" customFormat="1">
      <c r="A175" s="1"/>
      <c r="B175" s="76">
        <f ca="1">IF(C175="", "", RAND())</f>
        <v>0.38950257224011864</v>
      </c>
      <c r="C175">
        <v>10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10.416666666666666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18.81693376068376</v>
      </c>
      <c r="AO175">
        <v>144.82105424704349</v>
      </c>
      <c r="AP175">
        <v>884.21491426924035</v>
      </c>
      <c r="AQ175">
        <v>223.10508196784281</v>
      </c>
      <c r="AR175">
        <v>134.3749718570235</v>
      </c>
      <c r="AS175">
        <v>1233.2901328776245</v>
      </c>
      <c r="AT175" t="e">
        <v>#DIV/0!</v>
      </c>
      <c r="AU175" t="e">
        <v>#DIV/0!</v>
      </c>
      <c r="AV175"/>
      <c r="AW175"/>
      <c r="AX175" s="146"/>
      <c r="AY175" s="76">
        <f t="shared" ca="1" si="169"/>
        <v>0.63636641050215226</v>
      </c>
      <c r="AZ175">
        <v>8</v>
      </c>
      <c r="BA175" s="129">
        <f t="shared" si="243"/>
        <v>39949</v>
      </c>
      <c r="BB175">
        <v>0</v>
      </c>
      <c r="BC175">
        <v>0</v>
      </c>
      <c r="BD175">
        <v>0</v>
      </c>
      <c r="BE175">
        <v>0</v>
      </c>
      <c r="BF175">
        <v>2</v>
      </c>
      <c r="BG175">
        <v>1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4"/>
        <v>0.51472820502745531</v>
      </c>
      <c r="CL175" s="179">
        <f t="shared" si="205"/>
        <v>8</v>
      </c>
      <c r="CM175" s="180">
        <f t="shared" si="206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07"/>
        <v>9.6000000000000002E-2</v>
      </c>
      <c r="DB175" s="146"/>
      <c r="DC175" s="76">
        <f t="shared" ca="1" si="170"/>
        <v>0.85317798689146684</v>
      </c>
      <c r="DD175">
        <f t="shared" si="208"/>
        <v>8</v>
      </c>
      <c r="DE175" s="129">
        <f t="shared" si="242"/>
        <v>39949</v>
      </c>
      <c r="DF175" s="161">
        <f t="shared" si="209"/>
        <v>0</v>
      </c>
      <c r="DG175" s="161">
        <f t="shared" si="210"/>
        <v>0</v>
      </c>
      <c r="DH175" s="161">
        <f t="shared" si="211"/>
        <v>0</v>
      </c>
      <c r="DI175" s="161">
        <f t="shared" si="212"/>
        <v>0</v>
      </c>
      <c r="DJ175" s="161">
        <f t="shared" si="213"/>
        <v>20.833333333333332</v>
      </c>
      <c r="DK175" s="161">
        <f t="shared" si="214"/>
        <v>10.416666666666666</v>
      </c>
      <c r="DL175" s="161">
        <f t="shared" si="215"/>
        <v>0</v>
      </c>
      <c r="DM175" s="161">
        <f t="shared" si="216"/>
        <v>0</v>
      </c>
      <c r="DN175" s="161">
        <f t="shared" si="217"/>
        <v>0</v>
      </c>
      <c r="DO175" s="161">
        <f t="shared" si="218"/>
        <v>0</v>
      </c>
      <c r="DP175" s="161">
        <f t="shared" si="219"/>
        <v>0</v>
      </c>
      <c r="DQ175" s="161">
        <f t="shared" si="220"/>
        <v>0</v>
      </c>
      <c r="DR175" s="161">
        <f t="shared" si="221"/>
        <v>0</v>
      </c>
      <c r="DS175" s="161">
        <f t="shared" si="222"/>
        <v>0</v>
      </c>
      <c r="DT175" s="161">
        <f t="shared" si="223"/>
        <v>0</v>
      </c>
      <c r="DU175" s="161">
        <f t="shared" si="224"/>
        <v>0</v>
      </c>
      <c r="DV175" s="161">
        <f t="shared" si="225"/>
        <v>0</v>
      </c>
      <c r="DW175" s="161">
        <f t="shared" si="226"/>
        <v>0</v>
      </c>
      <c r="DX175" s="161">
        <f t="shared" si="227"/>
        <v>0</v>
      </c>
      <c r="DY175" s="161">
        <f t="shared" si="228"/>
        <v>0</v>
      </c>
      <c r="DZ175" s="161">
        <f t="shared" si="229"/>
        <v>0</v>
      </c>
      <c r="EA175" s="161">
        <f t="shared" si="230"/>
        <v>0</v>
      </c>
      <c r="EB175" s="161">
        <f t="shared" si="231"/>
        <v>0</v>
      </c>
      <c r="EC175" s="161">
        <f t="shared" si="232"/>
        <v>0</v>
      </c>
      <c r="ED175" s="161">
        <f t="shared" si="233"/>
        <v>0</v>
      </c>
      <c r="EE175" s="161">
        <f t="shared" si="234"/>
        <v>0</v>
      </c>
      <c r="EF175" s="161">
        <f t="shared" si="235"/>
        <v>0</v>
      </c>
      <c r="EG175" s="161">
        <f t="shared" si="236"/>
        <v>0</v>
      </c>
      <c r="EH175" s="161">
        <f t="shared" si="237"/>
        <v>0</v>
      </c>
      <c r="EI175" s="161">
        <f t="shared" si="238"/>
        <v>0</v>
      </c>
      <c r="EJ175" s="161">
        <f t="shared" si="239"/>
        <v>0</v>
      </c>
      <c r="EK175" s="147">
        <f t="shared" si="171"/>
        <v>31.25</v>
      </c>
      <c r="EL175" s="149"/>
      <c r="EN175" s="146"/>
      <c r="EO175" s="146"/>
      <c r="EP175" s="139">
        <f t="shared" si="172"/>
        <v>0</v>
      </c>
      <c r="EQ175" s="139">
        <f t="shared" si="173"/>
        <v>0</v>
      </c>
      <c r="ER175" s="139">
        <f t="shared" si="174"/>
        <v>0</v>
      </c>
      <c r="ES175" s="139">
        <f t="shared" si="175"/>
        <v>0</v>
      </c>
      <c r="ET175" s="139">
        <f t="shared" si="176"/>
        <v>10.882780858670131</v>
      </c>
      <c r="EU175" s="139">
        <f t="shared" si="177"/>
        <v>10.377860513211742</v>
      </c>
      <c r="EV175" s="139">
        <f t="shared" si="178"/>
        <v>0</v>
      </c>
      <c r="EW175" s="139">
        <f t="shared" si="179"/>
        <v>0</v>
      </c>
      <c r="EX175" s="139">
        <f t="shared" si="180"/>
        <v>0</v>
      </c>
      <c r="EY175" s="139">
        <f t="shared" si="181"/>
        <v>0</v>
      </c>
      <c r="EZ175" s="139">
        <f t="shared" si="182"/>
        <v>0</v>
      </c>
      <c r="FA175" s="139">
        <f t="shared" si="183"/>
        <v>0</v>
      </c>
      <c r="FB175" s="139">
        <f t="shared" si="184"/>
        <v>0</v>
      </c>
      <c r="FC175" s="139">
        <f t="shared" si="185"/>
        <v>0</v>
      </c>
      <c r="FD175" s="139">
        <f t="shared" si="186"/>
        <v>0</v>
      </c>
      <c r="FE175" s="139">
        <f t="shared" si="187"/>
        <v>0</v>
      </c>
      <c r="FF175" s="139">
        <f t="shared" si="188"/>
        <v>0</v>
      </c>
      <c r="FG175" s="139">
        <f t="shared" si="189"/>
        <v>0</v>
      </c>
      <c r="FH175" s="139">
        <f t="shared" si="190"/>
        <v>0</v>
      </c>
      <c r="FI175" s="139">
        <f t="shared" si="191"/>
        <v>0</v>
      </c>
      <c r="FJ175" s="139">
        <f t="shared" si="192"/>
        <v>0</v>
      </c>
      <c r="FK175" s="139">
        <f t="shared" si="193"/>
        <v>0</v>
      </c>
      <c r="FL175" s="139">
        <f t="shared" si="194"/>
        <v>0</v>
      </c>
      <c r="FM175" s="139">
        <f t="shared" si="195"/>
        <v>0</v>
      </c>
      <c r="FN175" s="139">
        <f t="shared" si="196"/>
        <v>0</v>
      </c>
      <c r="FO175" s="139">
        <f t="shared" si="197"/>
        <v>0</v>
      </c>
      <c r="FP175" s="139">
        <f t="shared" si="198"/>
        <v>0</v>
      </c>
      <c r="FQ175" s="139">
        <f t="shared" si="199"/>
        <v>0</v>
      </c>
      <c r="FR175" s="139">
        <f t="shared" si="200"/>
        <v>0</v>
      </c>
      <c r="FS175" s="139">
        <f t="shared" si="201"/>
        <v>0</v>
      </c>
      <c r="FT175" s="139">
        <f t="shared" si="202"/>
        <v>0</v>
      </c>
      <c r="FU175" s="148">
        <f t="shared" si="203"/>
        <v>21.260641371881874</v>
      </c>
      <c r="FV175" s="149"/>
      <c r="FY175" s="211">
        <v>170</v>
      </c>
      <c r="FZ175">
        <v>19.612039810935336</v>
      </c>
      <c r="GA175">
        <v>23.073704318907922</v>
      </c>
      <c r="GB175">
        <v>62.091726399313188</v>
      </c>
      <c r="GC175">
        <v>1.5566561819658793</v>
      </c>
      <c r="GD175">
        <v>0.31290102790027885</v>
      </c>
      <c r="GE175">
        <v>0.66648692196279713</v>
      </c>
      <c r="GF175">
        <v>2.3648597067947339</v>
      </c>
      <c r="GG175">
        <v>7.6676092586905469</v>
      </c>
      <c r="GH175">
        <v>15.194053003821082</v>
      </c>
      <c r="GI175">
        <v>51.130638777718673</v>
      </c>
      <c r="GJ175"/>
      <c r="GK175"/>
      <c r="GL175"/>
      <c r="GM175"/>
    </row>
    <row r="176" spans="1:195" s="7" customFormat="1">
      <c r="A176" s="1"/>
      <c r="B176" s="76">
        <f ca="1">IF(C176="", "", RAND())</f>
        <v>0.25975943702627013</v>
      </c>
      <c r="C176">
        <v>7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16.472048611111113</v>
      </c>
      <c r="AO176">
        <v>84.563496201763684</v>
      </c>
      <c r="AP176">
        <v>525.9919701865756</v>
      </c>
      <c r="AQ176">
        <v>242.35451469673302</v>
      </c>
      <c r="AR176">
        <v>78.285292132874901</v>
      </c>
      <c r="AS176">
        <v>554.35418346637789</v>
      </c>
      <c r="AT176" t="e">
        <v>#DIV/0!</v>
      </c>
      <c r="AU176" t="e">
        <v>#DIV/0!</v>
      </c>
      <c r="AV176"/>
      <c r="AW176"/>
      <c r="AX176" s="146"/>
      <c r="AY176" s="76">
        <f t="shared" ca="1" si="169"/>
        <v>0.15677062100447214</v>
      </c>
      <c r="AZ176">
        <v>9</v>
      </c>
      <c r="BA176" s="129">
        <f t="shared" si="243"/>
        <v>39949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4"/>
        <v>9.0120615436052764E-2</v>
      </c>
      <c r="CL176" s="179">
        <f t="shared" si="205"/>
        <v>9</v>
      </c>
      <c r="CM176" s="180">
        <f t="shared" si="206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07"/>
        <v>9.6000000000000002E-2</v>
      </c>
      <c r="DB176" s="146"/>
      <c r="DC176" s="76">
        <f t="shared" ca="1" si="170"/>
        <v>0.68281393191464179</v>
      </c>
      <c r="DD176">
        <f t="shared" si="208"/>
        <v>9</v>
      </c>
      <c r="DE176" s="129">
        <f t="shared" si="242"/>
        <v>39949</v>
      </c>
      <c r="DF176" s="161">
        <f t="shared" si="209"/>
        <v>0</v>
      </c>
      <c r="DG176" s="161">
        <f t="shared" si="210"/>
        <v>0</v>
      </c>
      <c r="DH176" s="161">
        <f t="shared" si="211"/>
        <v>0</v>
      </c>
      <c r="DI176" s="161">
        <f t="shared" si="212"/>
        <v>0</v>
      </c>
      <c r="DJ176" s="161">
        <f t="shared" si="213"/>
        <v>0</v>
      </c>
      <c r="DK176" s="161">
        <f t="shared" si="214"/>
        <v>0</v>
      </c>
      <c r="DL176" s="161">
        <f t="shared" si="215"/>
        <v>0</v>
      </c>
      <c r="DM176" s="161">
        <f t="shared" si="216"/>
        <v>0</v>
      </c>
      <c r="DN176" s="161">
        <f t="shared" si="217"/>
        <v>0</v>
      </c>
      <c r="DO176" s="161">
        <f t="shared" si="218"/>
        <v>0</v>
      </c>
      <c r="DP176" s="161">
        <f t="shared" si="219"/>
        <v>0</v>
      </c>
      <c r="DQ176" s="161">
        <f t="shared" si="220"/>
        <v>0</v>
      </c>
      <c r="DR176" s="161">
        <f t="shared" si="221"/>
        <v>0</v>
      </c>
      <c r="DS176" s="161">
        <f t="shared" si="222"/>
        <v>0</v>
      </c>
      <c r="DT176" s="161">
        <f t="shared" si="223"/>
        <v>0</v>
      </c>
      <c r="DU176" s="161">
        <f t="shared" si="224"/>
        <v>0</v>
      </c>
      <c r="DV176" s="161">
        <f t="shared" si="225"/>
        <v>0</v>
      </c>
      <c r="DW176" s="161">
        <f t="shared" si="226"/>
        <v>0</v>
      </c>
      <c r="DX176" s="161">
        <f t="shared" si="227"/>
        <v>0</v>
      </c>
      <c r="DY176" s="161">
        <f t="shared" si="228"/>
        <v>0</v>
      </c>
      <c r="DZ176" s="161">
        <f t="shared" si="229"/>
        <v>0</v>
      </c>
      <c r="EA176" s="161">
        <f t="shared" si="230"/>
        <v>0</v>
      </c>
      <c r="EB176" s="161">
        <f t="shared" si="231"/>
        <v>0</v>
      </c>
      <c r="EC176" s="161">
        <f t="shared" si="232"/>
        <v>0</v>
      </c>
      <c r="ED176" s="161">
        <f t="shared" si="233"/>
        <v>0</v>
      </c>
      <c r="EE176" s="161">
        <f t="shared" si="234"/>
        <v>0</v>
      </c>
      <c r="EF176" s="161">
        <f t="shared" si="235"/>
        <v>0</v>
      </c>
      <c r="EG176" s="161">
        <f t="shared" si="236"/>
        <v>0</v>
      </c>
      <c r="EH176" s="161">
        <f t="shared" si="237"/>
        <v>0</v>
      </c>
      <c r="EI176" s="161">
        <f t="shared" si="238"/>
        <v>0</v>
      </c>
      <c r="EJ176" s="161">
        <f t="shared" si="239"/>
        <v>0</v>
      </c>
      <c r="EK176" s="147">
        <f t="shared" si="171"/>
        <v>0</v>
      </c>
      <c r="EL176" s="149"/>
      <c r="EN176" s="146"/>
      <c r="EO176" s="146"/>
      <c r="EP176" s="139">
        <f t="shared" si="172"/>
        <v>0</v>
      </c>
      <c r="EQ176" s="139">
        <f t="shared" si="173"/>
        <v>0</v>
      </c>
      <c r="ER176" s="139">
        <f t="shared" si="174"/>
        <v>0</v>
      </c>
      <c r="ES176" s="139">
        <f t="shared" si="175"/>
        <v>0</v>
      </c>
      <c r="ET176" s="139">
        <f t="shared" si="176"/>
        <v>0</v>
      </c>
      <c r="EU176" s="139">
        <f t="shared" si="177"/>
        <v>0</v>
      </c>
      <c r="EV176" s="139">
        <f t="shared" si="178"/>
        <v>0</v>
      </c>
      <c r="EW176" s="139">
        <f t="shared" si="179"/>
        <v>0</v>
      </c>
      <c r="EX176" s="139">
        <f t="shared" si="180"/>
        <v>0</v>
      </c>
      <c r="EY176" s="139">
        <f t="shared" si="181"/>
        <v>0</v>
      </c>
      <c r="EZ176" s="139">
        <f t="shared" si="182"/>
        <v>0</v>
      </c>
      <c r="FA176" s="139">
        <f t="shared" si="183"/>
        <v>0</v>
      </c>
      <c r="FB176" s="139">
        <f t="shared" si="184"/>
        <v>0</v>
      </c>
      <c r="FC176" s="139">
        <f t="shared" si="185"/>
        <v>0</v>
      </c>
      <c r="FD176" s="139">
        <f t="shared" si="186"/>
        <v>0</v>
      </c>
      <c r="FE176" s="139">
        <f t="shared" si="187"/>
        <v>0</v>
      </c>
      <c r="FF176" s="139">
        <f t="shared" si="188"/>
        <v>0</v>
      </c>
      <c r="FG176" s="139">
        <f t="shared" si="189"/>
        <v>0</v>
      </c>
      <c r="FH176" s="139">
        <f t="shared" si="190"/>
        <v>0</v>
      </c>
      <c r="FI176" s="139">
        <f t="shared" si="191"/>
        <v>0</v>
      </c>
      <c r="FJ176" s="139">
        <f t="shared" si="192"/>
        <v>0</v>
      </c>
      <c r="FK176" s="139">
        <f t="shared" si="193"/>
        <v>0</v>
      </c>
      <c r="FL176" s="139">
        <f t="shared" si="194"/>
        <v>0</v>
      </c>
      <c r="FM176" s="139">
        <f t="shared" si="195"/>
        <v>0</v>
      </c>
      <c r="FN176" s="139">
        <f t="shared" si="196"/>
        <v>0</v>
      </c>
      <c r="FO176" s="139">
        <f t="shared" si="197"/>
        <v>0</v>
      </c>
      <c r="FP176" s="139">
        <f t="shared" si="198"/>
        <v>0</v>
      </c>
      <c r="FQ176" s="139">
        <f t="shared" si="199"/>
        <v>0</v>
      </c>
      <c r="FR176" s="139">
        <f t="shared" si="200"/>
        <v>0</v>
      </c>
      <c r="FS176" s="139">
        <f t="shared" si="201"/>
        <v>0</v>
      </c>
      <c r="FT176" s="139">
        <f t="shared" si="202"/>
        <v>0</v>
      </c>
      <c r="FU176" s="148">
        <f t="shared" si="203"/>
        <v>0</v>
      </c>
      <c r="FV176" s="149"/>
      <c r="FY176" s="211">
        <v>171</v>
      </c>
      <c r="FZ176">
        <v>24.063932492099234</v>
      </c>
      <c r="GA176">
        <v>27.752410047934973</v>
      </c>
      <c r="GB176">
        <v>71.088623393641811</v>
      </c>
      <c r="GC176">
        <v>2.5110090202498219</v>
      </c>
      <c r="GD176">
        <v>0.1913032512588225</v>
      </c>
      <c r="GE176">
        <v>0.28157382210579351</v>
      </c>
      <c r="GF176">
        <v>1.2436086124502226</v>
      </c>
      <c r="GG176">
        <v>2.8193007419730334</v>
      </c>
      <c r="GH176">
        <v>7.6426954455232705</v>
      </c>
      <c r="GI176">
        <v>55.121408158087085</v>
      </c>
      <c r="GJ176"/>
      <c r="GK176"/>
      <c r="GL176"/>
      <c r="GM176"/>
    </row>
    <row r="177" spans="1:195" s="7" customFormat="1">
      <c r="A177" s="1"/>
      <c r="B177" s="76">
        <f ca="1">IF(C177="", "", RAND())</f>
        <v>0.91752742143808441</v>
      </c>
      <c r="C177">
        <v>3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10.416666666666666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15.40186965811966</v>
      </c>
      <c r="AO177">
        <v>175.54754995716493</v>
      </c>
      <c r="AP177">
        <v>1295.8412753765733</v>
      </c>
      <c r="AQ177">
        <v>183.26462028306594</v>
      </c>
      <c r="AR177">
        <v>162.95549310666851</v>
      </c>
      <c r="AS177">
        <v>1119.3058864675995</v>
      </c>
      <c r="AT177" t="e">
        <v>#DIV/0!</v>
      </c>
      <c r="AU177" t="e">
        <v>#DIV/0!</v>
      </c>
      <c r="AV177"/>
      <c r="AW177"/>
      <c r="AX177" s="146"/>
      <c r="AY177" s="76">
        <f t="shared" ca="1" si="169"/>
        <v>0.9893563737406883</v>
      </c>
      <c r="AZ177">
        <v>10</v>
      </c>
      <c r="BA177" s="129">
        <f t="shared" si="243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1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4"/>
        <v>0.2233370992325896</v>
      </c>
      <c r="CL177" s="179">
        <f t="shared" si="205"/>
        <v>10</v>
      </c>
      <c r="CM177" s="180">
        <f t="shared" si="206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7"/>
        <v>9.6000000000000002E-2</v>
      </c>
      <c r="DB177" s="146"/>
      <c r="DC177" s="76">
        <f t="shared" ca="1" si="170"/>
        <v>0.7977959304643234</v>
      </c>
      <c r="DD177">
        <f t="shared" si="208"/>
        <v>10</v>
      </c>
      <c r="DE177" s="129">
        <f t="shared" si="242"/>
        <v>39949</v>
      </c>
      <c r="DF177" s="161">
        <f t="shared" si="209"/>
        <v>0</v>
      </c>
      <c r="DG177" s="161">
        <f t="shared" si="210"/>
        <v>0</v>
      </c>
      <c r="DH177" s="161">
        <f t="shared" si="211"/>
        <v>0</v>
      </c>
      <c r="DI177" s="161">
        <f t="shared" si="212"/>
        <v>0</v>
      </c>
      <c r="DJ177" s="161">
        <f t="shared" si="213"/>
        <v>0</v>
      </c>
      <c r="DK177" s="161">
        <f t="shared" si="214"/>
        <v>0</v>
      </c>
      <c r="DL177" s="161">
        <f t="shared" si="215"/>
        <v>0</v>
      </c>
      <c r="DM177" s="161">
        <f t="shared" si="216"/>
        <v>0</v>
      </c>
      <c r="DN177" s="161">
        <f t="shared" si="217"/>
        <v>0</v>
      </c>
      <c r="DO177" s="161">
        <f t="shared" si="218"/>
        <v>0</v>
      </c>
      <c r="DP177" s="161">
        <f t="shared" si="219"/>
        <v>0</v>
      </c>
      <c r="DQ177" s="161">
        <f t="shared" si="220"/>
        <v>0</v>
      </c>
      <c r="DR177" s="161">
        <f t="shared" si="221"/>
        <v>0</v>
      </c>
      <c r="DS177" s="161">
        <f t="shared" si="222"/>
        <v>10.416666666666666</v>
      </c>
      <c r="DT177" s="161">
        <f t="shared" si="223"/>
        <v>0</v>
      </c>
      <c r="DU177" s="161">
        <f t="shared" si="224"/>
        <v>0</v>
      </c>
      <c r="DV177" s="161">
        <f t="shared" si="225"/>
        <v>0</v>
      </c>
      <c r="DW177" s="161">
        <f t="shared" si="226"/>
        <v>0</v>
      </c>
      <c r="DX177" s="161">
        <f t="shared" si="227"/>
        <v>0</v>
      </c>
      <c r="DY177" s="161">
        <f t="shared" si="228"/>
        <v>0</v>
      </c>
      <c r="DZ177" s="161">
        <f t="shared" si="229"/>
        <v>0</v>
      </c>
      <c r="EA177" s="161">
        <f t="shared" si="230"/>
        <v>0</v>
      </c>
      <c r="EB177" s="161">
        <f t="shared" si="231"/>
        <v>0</v>
      </c>
      <c r="EC177" s="161">
        <f t="shared" si="232"/>
        <v>0</v>
      </c>
      <c r="ED177" s="161">
        <f t="shared" si="233"/>
        <v>0</v>
      </c>
      <c r="EE177" s="161">
        <f t="shared" si="234"/>
        <v>0</v>
      </c>
      <c r="EF177" s="161">
        <f t="shared" si="235"/>
        <v>0</v>
      </c>
      <c r="EG177" s="161">
        <f t="shared" si="236"/>
        <v>0</v>
      </c>
      <c r="EH177" s="161">
        <f t="shared" si="237"/>
        <v>0</v>
      </c>
      <c r="EI177" s="161">
        <f t="shared" si="238"/>
        <v>0</v>
      </c>
      <c r="EJ177" s="161">
        <f t="shared" si="239"/>
        <v>0</v>
      </c>
      <c r="EK177" s="147">
        <f t="shared" si="171"/>
        <v>10.416666666666666</v>
      </c>
      <c r="EL177" s="149"/>
      <c r="EN177" s="146"/>
      <c r="EO177" s="146"/>
      <c r="EP177" s="139">
        <f t="shared" si="172"/>
        <v>0</v>
      </c>
      <c r="EQ177" s="139">
        <f t="shared" si="173"/>
        <v>0</v>
      </c>
      <c r="ER177" s="139">
        <f t="shared" si="174"/>
        <v>0</v>
      </c>
      <c r="ES177" s="139">
        <f t="shared" si="175"/>
        <v>0</v>
      </c>
      <c r="ET177" s="139">
        <f t="shared" si="176"/>
        <v>0</v>
      </c>
      <c r="EU177" s="139">
        <f t="shared" si="177"/>
        <v>0</v>
      </c>
      <c r="EV177" s="139">
        <f t="shared" si="178"/>
        <v>0</v>
      </c>
      <c r="EW177" s="139">
        <f t="shared" si="179"/>
        <v>0</v>
      </c>
      <c r="EX177" s="139">
        <f t="shared" si="180"/>
        <v>0</v>
      </c>
      <c r="EY177" s="139">
        <f t="shared" si="181"/>
        <v>0</v>
      </c>
      <c r="EZ177" s="139">
        <f t="shared" si="182"/>
        <v>0</v>
      </c>
      <c r="FA177" s="139">
        <f t="shared" si="183"/>
        <v>0</v>
      </c>
      <c r="FB177" s="139">
        <f t="shared" si="184"/>
        <v>0</v>
      </c>
      <c r="FC177" s="139">
        <f t="shared" si="185"/>
        <v>164.73479126468564</v>
      </c>
      <c r="FD177" s="139">
        <f t="shared" si="186"/>
        <v>0</v>
      </c>
      <c r="FE177" s="139">
        <f t="shared" si="187"/>
        <v>0</v>
      </c>
      <c r="FF177" s="139">
        <f t="shared" si="188"/>
        <v>0</v>
      </c>
      <c r="FG177" s="139">
        <f t="shared" si="189"/>
        <v>0</v>
      </c>
      <c r="FH177" s="139">
        <f t="shared" si="190"/>
        <v>0</v>
      </c>
      <c r="FI177" s="139">
        <f t="shared" si="191"/>
        <v>0</v>
      </c>
      <c r="FJ177" s="139">
        <f t="shared" si="192"/>
        <v>0</v>
      </c>
      <c r="FK177" s="139">
        <f t="shared" si="193"/>
        <v>0</v>
      </c>
      <c r="FL177" s="139">
        <f t="shared" si="194"/>
        <v>0</v>
      </c>
      <c r="FM177" s="139">
        <f t="shared" si="195"/>
        <v>0</v>
      </c>
      <c r="FN177" s="139">
        <f t="shared" si="196"/>
        <v>0</v>
      </c>
      <c r="FO177" s="139">
        <f t="shared" si="197"/>
        <v>0</v>
      </c>
      <c r="FP177" s="139">
        <f t="shared" si="198"/>
        <v>0</v>
      </c>
      <c r="FQ177" s="139">
        <f t="shared" si="199"/>
        <v>0</v>
      </c>
      <c r="FR177" s="139">
        <f t="shared" si="200"/>
        <v>0</v>
      </c>
      <c r="FS177" s="139">
        <f t="shared" si="201"/>
        <v>0</v>
      </c>
      <c r="FT177" s="139">
        <f t="shared" si="202"/>
        <v>0</v>
      </c>
      <c r="FU177" s="148">
        <f t="shared" si="203"/>
        <v>164.73479126468564</v>
      </c>
      <c r="FV177" s="149"/>
      <c r="FY177" s="211">
        <v>172</v>
      </c>
      <c r="FZ177">
        <v>26.694243100615594</v>
      </c>
      <c r="GA177">
        <v>31.814686343724972</v>
      </c>
      <c r="GB177">
        <v>51.998923255121355</v>
      </c>
      <c r="GC177">
        <v>2.9298781534589917</v>
      </c>
      <c r="GD177">
        <v>0.4986416375687942</v>
      </c>
      <c r="GE177">
        <v>0.59773698729168467</v>
      </c>
      <c r="GF177">
        <v>3.5194034988904943</v>
      </c>
      <c r="GG177">
        <v>9.1421076084734274</v>
      </c>
      <c r="GH177">
        <v>13.225583625167928</v>
      </c>
      <c r="GI177">
        <v>55.850377813294635</v>
      </c>
      <c r="GJ177"/>
      <c r="GK177"/>
      <c r="GL177"/>
      <c r="GM177"/>
    </row>
    <row r="178" spans="1:195" s="7" customFormat="1">
      <c r="A178" s="128"/>
      <c r="B178" s="76">
        <f ca="1">IF(C178="", "", RAND())</f>
        <v>0.98686837884180445</v>
      </c>
      <c r="C178">
        <v>3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10.416666666666666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8.469444444444445</v>
      </c>
      <c r="AO178">
        <v>57.38239938364309</v>
      </c>
      <c r="AP178">
        <v>203.80373131502611</v>
      </c>
      <c r="AQ178">
        <v>109.16772209357748</v>
      </c>
      <c r="AR178">
        <v>53.406013762560185</v>
      </c>
      <c r="AS178">
        <v>471.40110320529334</v>
      </c>
      <c r="AT178" t="e">
        <v>#DIV/0!</v>
      </c>
      <c r="AU178" t="e">
        <v>#DIV/0!</v>
      </c>
      <c r="AV178"/>
      <c r="AW178"/>
      <c r="AX178" s="128"/>
      <c r="AY178" s="76">
        <f t="shared" ca="1" si="169"/>
        <v>0.69855114372468341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4"/>
        <v>8.8347200285224581E-2</v>
      </c>
      <c r="CL178" s="179">
        <f t="shared" si="205"/>
        <v>1</v>
      </c>
      <c r="CM178" s="180">
        <f t="shared" si="206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7"/>
        <v>9.6000000000000002E-2</v>
      </c>
      <c r="DB178" s="128"/>
      <c r="DC178" s="76">
        <f t="shared" ca="1" si="170"/>
        <v>0.37775842379909297</v>
      </c>
      <c r="DD178">
        <f t="shared" si="208"/>
        <v>1</v>
      </c>
      <c r="DE178" s="129">
        <f t="shared" ref="DE178:DE187" si="244">IF((DD178)="", "", $C$13)</f>
        <v>39987</v>
      </c>
      <c r="DF178" s="161">
        <f t="shared" si="209"/>
        <v>0</v>
      </c>
      <c r="DG178" s="161">
        <f t="shared" si="210"/>
        <v>0</v>
      </c>
      <c r="DH178" s="161">
        <f t="shared" si="211"/>
        <v>0</v>
      </c>
      <c r="DI178" s="161">
        <f t="shared" si="212"/>
        <v>0</v>
      </c>
      <c r="DJ178" s="161">
        <f t="shared" si="213"/>
        <v>0</v>
      </c>
      <c r="DK178" s="161">
        <f t="shared" si="214"/>
        <v>0</v>
      </c>
      <c r="DL178" s="161">
        <f t="shared" si="215"/>
        <v>0</v>
      </c>
      <c r="DM178" s="161">
        <f t="shared" si="216"/>
        <v>0</v>
      </c>
      <c r="DN178" s="161">
        <f t="shared" si="217"/>
        <v>0</v>
      </c>
      <c r="DO178" s="161">
        <f t="shared" si="218"/>
        <v>0</v>
      </c>
      <c r="DP178" s="161">
        <f t="shared" si="219"/>
        <v>0</v>
      </c>
      <c r="DQ178" s="161">
        <f t="shared" si="220"/>
        <v>0</v>
      </c>
      <c r="DR178" s="161">
        <f t="shared" si="221"/>
        <v>0</v>
      </c>
      <c r="DS178" s="161">
        <f t="shared" si="222"/>
        <v>0</v>
      </c>
      <c r="DT178" s="161">
        <f t="shared" si="223"/>
        <v>0</v>
      </c>
      <c r="DU178" s="161">
        <f t="shared" si="224"/>
        <v>0</v>
      </c>
      <c r="DV178" s="161">
        <f t="shared" si="225"/>
        <v>0</v>
      </c>
      <c r="DW178" s="161">
        <f t="shared" si="226"/>
        <v>0</v>
      </c>
      <c r="DX178" s="161">
        <f t="shared" si="227"/>
        <v>0</v>
      </c>
      <c r="DY178" s="161">
        <f t="shared" si="228"/>
        <v>0</v>
      </c>
      <c r="DZ178" s="161">
        <f t="shared" si="229"/>
        <v>0</v>
      </c>
      <c r="EA178" s="161">
        <f t="shared" si="230"/>
        <v>0</v>
      </c>
      <c r="EB178" s="161">
        <f t="shared" si="231"/>
        <v>0</v>
      </c>
      <c r="EC178" s="161">
        <f t="shared" si="232"/>
        <v>0</v>
      </c>
      <c r="ED178" s="161">
        <f t="shared" si="233"/>
        <v>0</v>
      </c>
      <c r="EE178" s="161">
        <f t="shared" si="234"/>
        <v>0</v>
      </c>
      <c r="EF178" s="161">
        <f t="shared" si="235"/>
        <v>0</v>
      </c>
      <c r="EG178" s="161">
        <f t="shared" si="236"/>
        <v>0</v>
      </c>
      <c r="EH178" s="161">
        <f t="shared" si="237"/>
        <v>0</v>
      </c>
      <c r="EI178" s="161">
        <f t="shared" si="238"/>
        <v>0</v>
      </c>
      <c r="EJ178" s="161">
        <f t="shared" si="239"/>
        <v>0</v>
      </c>
      <c r="EK178" s="147">
        <f t="shared" si="171"/>
        <v>0</v>
      </c>
      <c r="EL178" s="149"/>
      <c r="EN178" s="146"/>
      <c r="EO178" s="146"/>
      <c r="EP178" s="139">
        <f t="shared" si="172"/>
        <v>0</v>
      </c>
      <c r="EQ178" s="139">
        <f t="shared" si="173"/>
        <v>0</v>
      </c>
      <c r="ER178" s="139">
        <f t="shared" si="174"/>
        <v>0</v>
      </c>
      <c r="ES178" s="139">
        <f t="shared" si="175"/>
        <v>0</v>
      </c>
      <c r="ET178" s="139">
        <f t="shared" si="176"/>
        <v>0</v>
      </c>
      <c r="EU178" s="139">
        <f t="shared" si="177"/>
        <v>0</v>
      </c>
      <c r="EV178" s="139">
        <f t="shared" si="178"/>
        <v>0</v>
      </c>
      <c r="EW178" s="139">
        <f t="shared" si="179"/>
        <v>0</v>
      </c>
      <c r="EX178" s="139">
        <f t="shared" si="180"/>
        <v>0</v>
      </c>
      <c r="EY178" s="139">
        <f t="shared" si="181"/>
        <v>0</v>
      </c>
      <c r="EZ178" s="139">
        <f t="shared" si="182"/>
        <v>0</v>
      </c>
      <c r="FA178" s="139">
        <f t="shared" si="183"/>
        <v>0</v>
      </c>
      <c r="FB178" s="139">
        <f t="shared" si="184"/>
        <v>0</v>
      </c>
      <c r="FC178" s="139">
        <f t="shared" si="185"/>
        <v>0</v>
      </c>
      <c r="FD178" s="139">
        <f t="shared" si="186"/>
        <v>0</v>
      </c>
      <c r="FE178" s="139">
        <f t="shared" si="187"/>
        <v>0</v>
      </c>
      <c r="FF178" s="139">
        <f t="shared" si="188"/>
        <v>0</v>
      </c>
      <c r="FG178" s="139">
        <f t="shared" si="189"/>
        <v>0</v>
      </c>
      <c r="FH178" s="139">
        <f t="shared" si="190"/>
        <v>0</v>
      </c>
      <c r="FI178" s="139">
        <f t="shared" si="191"/>
        <v>0</v>
      </c>
      <c r="FJ178" s="139">
        <f t="shared" si="192"/>
        <v>0</v>
      </c>
      <c r="FK178" s="139">
        <f t="shared" si="193"/>
        <v>0</v>
      </c>
      <c r="FL178" s="139">
        <f t="shared" si="194"/>
        <v>0</v>
      </c>
      <c r="FM178" s="139">
        <f t="shared" si="195"/>
        <v>0</v>
      </c>
      <c r="FN178" s="139">
        <f t="shared" si="196"/>
        <v>0</v>
      </c>
      <c r="FO178" s="139">
        <f t="shared" si="197"/>
        <v>0</v>
      </c>
      <c r="FP178" s="139">
        <f t="shared" si="198"/>
        <v>0</v>
      </c>
      <c r="FQ178" s="139">
        <f t="shared" si="199"/>
        <v>0</v>
      </c>
      <c r="FR178" s="139">
        <f t="shared" si="200"/>
        <v>0</v>
      </c>
      <c r="FS178" s="139">
        <f t="shared" si="201"/>
        <v>0</v>
      </c>
      <c r="FT178" s="139">
        <f t="shared" si="202"/>
        <v>0</v>
      </c>
      <c r="FU178" s="148">
        <f t="shared" si="203"/>
        <v>0</v>
      </c>
      <c r="FV178" s="149"/>
      <c r="FY178" s="211">
        <v>173</v>
      </c>
      <c r="FZ178">
        <v>21.615807833984906</v>
      </c>
      <c r="GA178">
        <v>24.985741295441493</v>
      </c>
      <c r="GB178">
        <v>75.686800351985383</v>
      </c>
      <c r="GC178">
        <v>1.7586076614078636</v>
      </c>
      <c r="GD178">
        <v>0.17961534416703098</v>
      </c>
      <c r="GE178">
        <v>0.59112266070560515</v>
      </c>
      <c r="GF178">
        <v>3.3376318347418641</v>
      </c>
      <c r="GG178">
        <v>10.543266801579986</v>
      </c>
      <c r="GH178">
        <v>18.808471804812587</v>
      </c>
      <c r="GI178">
        <v>61.409067507164309</v>
      </c>
      <c r="GJ178"/>
      <c r="GK178"/>
      <c r="GL178"/>
      <c r="GM178"/>
    </row>
    <row r="179" spans="1:195" s="7" customFormat="1">
      <c r="A179" s="1"/>
      <c r="B179" s="76">
        <f ca="1">IF(C179="", "", RAND())</f>
        <v>0.56152907342546943</v>
      </c>
      <c r="C179">
        <v>8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11.896661324786324</v>
      </c>
      <c r="AO179">
        <v>104.5387039396838</v>
      </c>
      <c r="AP179">
        <v>628.80275717611482</v>
      </c>
      <c r="AQ179">
        <v>176.51800971476109</v>
      </c>
      <c r="AR179">
        <v>97.015457528978985</v>
      </c>
      <c r="AS179">
        <v>705.70400851364457</v>
      </c>
      <c r="AT179" t="e">
        <v>#DIV/0!</v>
      </c>
      <c r="AU179" t="e">
        <v>#DIV/0!</v>
      </c>
      <c r="AV179"/>
      <c r="AW179"/>
      <c r="AX179" s="146"/>
      <c r="AY179" s="76">
        <f t="shared" ca="1" si="169"/>
        <v>0.36892174181643789</v>
      </c>
      <c r="AZ179">
        <v>2</v>
      </c>
      <c r="BA179" s="129">
        <f t="shared" ref="BA179:BA187" si="245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4"/>
        <v>0.70927870189488829</v>
      </c>
      <c r="CL179" s="179">
        <f t="shared" si="205"/>
        <v>2</v>
      </c>
      <c r="CM179" s="180">
        <f t="shared" si="206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07"/>
        <v>9.6000000000000002E-2</v>
      </c>
      <c r="DB179" s="146"/>
      <c r="DC179" s="76">
        <f t="shared" ca="1" si="170"/>
        <v>0.63834989016379606</v>
      </c>
      <c r="DD179">
        <f t="shared" si="208"/>
        <v>2</v>
      </c>
      <c r="DE179" s="129">
        <f t="shared" si="244"/>
        <v>39987</v>
      </c>
      <c r="DF179" s="161">
        <f t="shared" si="209"/>
        <v>0</v>
      </c>
      <c r="DG179" s="161">
        <f t="shared" si="210"/>
        <v>0</v>
      </c>
      <c r="DH179" s="161">
        <f t="shared" si="211"/>
        <v>0</v>
      </c>
      <c r="DI179" s="161">
        <f t="shared" si="212"/>
        <v>0</v>
      </c>
      <c r="DJ179" s="161">
        <f t="shared" si="213"/>
        <v>0</v>
      </c>
      <c r="DK179" s="161">
        <f t="shared" si="214"/>
        <v>0</v>
      </c>
      <c r="DL179" s="161">
        <f t="shared" si="215"/>
        <v>0</v>
      </c>
      <c r="DM179" s="161">
        <f t="shared" si="216"/>
        <v>0</v>
      </c>
      <c r="DN179" s="161">
        <f t="shared" si="217"/>
        <v>0</v>
      </c>
      <c r="DO179" s="161">
        <f t="shared" si="218"/>
        <v>0</v>
      </c>
      <c r="DP179" s="161">
        <f t="shared" si="219"/>
        <v>0</v>
      </c>
      <c r="DQ179" s="161">
        <f t="shared" si="220"/>
        <v>0</v>
      </c>
      <c r="DR179" s="161">
        <f t="shared" si="221"/>
        <v>0</v>
      </c>
      <c r="DS179" s="161">
        <f t="shared" si="222"/>
        <v>0</v>
      </c>
      <c r="DT179" s="161">
        <f t="shared" si="223"/>
        <v>0</v>
      </c>
      <c r="DU179" s="161">
        <f t="shared" si="224"/>
        <v>0</v>
      </c>
      <c r="DV179" s="161">
        <f t="shared" si="225"/>
        <v>0</v>
      </c>
      <c r="DW179" s="161">
        <f t="shared" si="226"/>
        <v>0</v>
      </c>
      <c r="DX179" s="161">
        <f t="shared" si="227"/>
        <v>0</v>
      </c>
      <c r="DY179" s="161">
        <f t="shared" si="228"/>
        <v>0</v>
      </c>
      <c r="DZ179" s="161">
        <f t="shared" si="229"/>
        <v>0</v>
      </c>
      <c r="EA179" s="161">
        <f t="shared" si="230"/>
        <v>0</v>
      </c>
      <c r="EB179" s="161">
        <f t="shared" si="231"/>
        <v>0</v>
      </c>
      <c r="EC179" s="161">
        <f t="shared" si="232"/>
        <v>0</v>
      </c>
      <c r="ED179" s="161">
        <f t="shared" si="233"/>
        <v>0</v>
      </c>
      <c r="EE179" s="161">
        <f t="shared" si="234"/>
        <v>0</v>
      </c>
      <c r="EF179" s="161">
        <f t="shared" si="235"/>
        <v>0</v>
      </c>
      <c r="EG179" s="161">
        <f t="shared" si="236"/>
        <v>0</v>
      </c>
      <c r="EH179" s="161">
        <f t="shared" si="237"/>
        <v>0</v>
      </c>
      <c r="EI179" s="161">
        <f t="shared" si="238"/>
        <v>0</v>
      </c>
      <c r="EJ179" s="161">
        <f t="shared" si="239"/>
        <v>0</v>
      </c>
      <c r="EK179" s="147">
        <f t="shared" si="171"/>
        <v>0</v>
      </c>
      <c r="EL179" s="149"/>
      <c r="EN179" s="146"/>
      <c r="EO179" s="146"/>
      <c r="EP179" s="139">
        <f t="shared" si="172"/>
        <v>0</v>
      </c>
      <c r="EQ179" s="139">
        <f t="shared" si="173"/>
        <v>0</v>
      </c>
      <c r="ER179" s="139">
        <f t="shared" si="174"/>
        <v>0</v>
      </c>
      <c r="ES179" s="139">
        <f t="shared" si="175"/>
        <v>0</v>
      </c>
      <c r="ET179" s="139">
        <f t="shared" si="176"/>
        <v>0</v>
      </c>
      <c r="EU179" s="139">
        <f t="shared" si="177"/>
        <v>0</v>
      </c>
      <c r="EV179" s="139">
        <f t="shared" si="178"/>
        <v>0</v>
      </c>
      <c r="EW179" s="139">
        <f t="shared" si="179"/>
        <v>0</v>
      </c>
      <c r="EX179" s="139">
        <f t="shared" si="180"/>
        <v>0</v>
      </c>
      <c r="EY179" s="139">
        <f t="shared" si="181"/>
        <v>0</v>
      </c>
      <c r="EZ179" s="139">
        <f t="shared" si="182"/>
        <v>0</v>
      </c>
      <c r="FA179" s="139">
        <f t="shared" si="183"/>
        <v>0</v>
      </c>
      <c r="FB179" s="139">
        <f t="shared" si="184"/>
        <v>0</v>
      </c>
      <c r="FC179" s="139">
        <f t="shared" si="185"/>
        <v>0</v>
      </c>
      <c r="FD179" s="139">
        <f t="shared" si="186"/>
        <v>0</v>
      </c>
      <c r="FE179" s="139">
        <f t="shared" si="187"/>
        <v>0</v>
      </c>
      <c r="FF179" s="139">
        <f t="shared" si="188"/>
        <v>0</v>
      </c>
      <c r="FG179" s="139">
        <f t="shared" si="189"/>
        <v>0</v>
      </c>
      <c r="FH179" s="139">
        <f t="shared" si="190"/>
        <v>0</v>
      </c>
      <c r="FI179" s="139">
        <f t="shared" si="191"/>
        <v>0</v>
      </c>
      <c r="FJ179" s="139">
        <f t="shared" si="192"/>
        <v>0</v>
      </c>
      <c r="FK179" s="139">
        <f t="shared" si="193"/>
        <v>0</v>
      </c>
      <c r="FL179" s="139">
        <f t="shared" si="194"/>
        <v>0</v>
      </c>
      <c r="FM179" s="139">
        <f t="shared" si="195"/>
        <v>0</v>
      </c>
      <c r="FN179" s="139">
        <f t="shared" si="196"/>
        <v>0</v>
      </c>
      <c r="FO179" s="139">
        <f t="shared" si="197"/>
        <v>0</v>
      </c>
      <c r="FP179" s="139">
        <f t="shared" si="198"/>
        <v>0</v>
      </c>
      <c r="FQ179" s="139">
        <f t="shared" si="199"/>
        <v>0</v>
      </c>
      <c r="FR179" s="139">
        <f t="shared" si="200"/>
        <v>0</v>
      </c>
      <c r="FS179" s="139">
        <f t="shared" si="201"/>
        <v>0</v>
      </c>
      <c r="FT179" s="139">
        <f t="shared" si="202"/>
        <v>0</v>
      </c>
      <c r="FU179" s="148">
        <f t="shared" si="203"/>
        <v>0</v>
      </c>
      <c r="FV179" s="149"/>
      <c r="FY179" s="211">
        <v>174</v>
      </c>
      <c r="FZ179">
        <v>35.364995850074628</v>
      </c>
      <c r="GA179">
        <v>42.302872170240974</v>
      </c>
      <c r="GB179">
        <v>58.388230682467707</v>
      </c>
      <c r="GC179">
        <v>1.905784179868361</v>
      </c>
      <c r="GD179">
        <v>0.11888678383519996</v>
      </c>
      <c r="GE179">
        <v>0.51273505743394066</v>
      </c>
      <c r="GF179">
        <v>3.3907871031507932</v>
      </c>
      <c r="GG179">
        <v>7.6845916144504649</v>
      </c>
      <c r="GH179">
        <v>14.871533047506276</v>
      </c>
      <c r="GI179">
        <v>51.741786848086434</v>
      </c>
      <c r="GJ179"/>
      <c r="GK179"/>
      <c r="GL179"/>
      <c r="GM179"/>
    </row>
    <row r="180" spans="1:195" s="7" customFormat="1">
      <c r="A180" s="1"/>
      <c r="B180" s="76">
        <f ca="1">IF(C180="", "", RAND())</f>
        <v>0.92631782704846088</v>
      </c>
      <c r="C180">
        <v>1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10.453084935897436</v>
      </c>
      <c r="AO180">
        <v>134.29439517520569</v>
      </c>
      <c r="AP180">
        <v>732.94596443030218</v>
      </c>
      <c r="AQ180">
        <v>143.13069589051463</v>
      </c>
      <c r="AR180">
        <v>124.74887915475101</v>
      </c>
      <c r="AS180">
        <v>731.39407603817915</v>
      </c>
      <c r="AT180" t="e">
        <v>#DIV/0!</v>
      </c>
      <c r="AU180" t="e">
        <v>#DIV/0!</v>
      </c>
      <c r="AV180"/>
      <c r="AW180"/>
      <c r="AX180" s="146"/>
      <c r="AY180" s="76">
        <f t="shared" ca="1" si="169"/>
        <v>0.31676068905511645</v>
      </c>
      <c r="AZ180">
        <v>3</v>
      </c>
      <c r="BA180" s="129">
        <f t="shared" si="245"/>
        <v>39987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1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4"/>
        <v>0.12017709630906559</v>
      </c>
      <c r="CL180" s="179">
        <f t="shared" si="205"/>
        <v>3</v>
      </c>
      <c r="CM180" s="180">
        <f t="shared" si="206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7"/>
        <v>9.6000000000000002E-2</v>
      </c>
      <c r="DB180" s="146"/>
      <c r="DC180" s="76">
        <f t="shared" ca="1" si="170"/>
        <v>0.71595647127407425</v>
      </c>
      <c r="DD180">
        <f t="shared" si="208"/>
        <v>3</v>
      </c>
      <c r="DE180" s="129">
        <f t="shared" si="244"/>
        <v>39987</v>
      </c>
      <c r="DF180" s="161">
        <f t="shared" si="209"/>
        <v>0</v>
      </c>
      <c r="DG180" s="161">
        <f t="shared" si="210"/>
        <v>0</v>
      </c>
      <c r="DH180" s="161">
        <f t="shared" si="211"/>
        <v>0</v>
      </c>
      <c r="DI180" s="161">
        <f t="shared" si="212"/>
        <v>0</v>
      </c>
      <c r="DJ180" s="161">
        <f t="shared" si="213"/>
        <v>0</v>
      </c>
      <c r="DK180" s="161">
        <f t="shared" si="214"/>
        <v>0</v>
      </c>
      <c r="DL180" s="161">
        <f t="shared" si="215"/>
        <v>10.416666666666666</v>
      </c>
      <c r="DM180" s="161">
        <f t="shared" si="216"/>
        <v>0</v>
      </c>
      <c r="DN180" s="161">
        <f t="shared" si="217"/>
        <v>0</v>
      </c>
      <c r="DO180" s="161">
        <f t="shared" si="218"/>
        <v>0</v>
      </c>
      <c r="DP180" s="161">
        <f t="shared" si="219"/>
        <v>0</v>
      </c>
      <c r="DQ180" s="161">
        <f t="shared" si="220"/>
        <v>0</v>
      </c>
      <c r="DR180" s="161">
        <f t="shared" si="221"/>
        <v>0</v>
      </c>
      <c r="DS180" s="161">
        <f t="shared" si="222"/>
        <v>0</v>
      </c>
      <c r="DT180" s="161">
        <f t="shared" si="223"/>
        <v>0</v>
      </c>
      <c r="DU180" s="161">
        <f t="shared" si="224"/>
        <v>0</v>
      </c>
      <c r="DV180" s="161">
        <f t="shared" si="225"/>
        <v>0</v>
      </c>
      <c r="DW180" s="161">
        <f t="shared" si="226"/>
        <v>0</v>
      </c>
      <c r="DX180" s="161">
        <f t="shared" si="227"/>
        <v>0</v>
      </c>
      <c r="DY180" s="161">
        <f t="shared" si="228"/>
        <v>0</v>
      </c>
      <c r="DZ180" s="161">
        <f t="shared" si="229"/>
        <v>0</v>
      </c>
      <c r="EA180" s="161">
        <f t="shared" si="230"/>
        <v>0</v>
      </c>
      <c r="EB180" s="161">
        <f t="shared" si="231"/>
        <v>0</v>
      </c>
      <c r="EC180" s="161">
        <f t="shared" si="232"/>
        <v>0</v>
      </c>
      <c r="ED180" s="161">
        <f t="shared" si="233"/>
        <v>0</v>
      </c>
      <c r="EE180" s="161">
        <f t="shared" si="234"/>
        <v>0</v>
      </c>
      <c r="EF180" s="161">
        <f t="shared" si="235"/>
        <v>0</v>
      </c>
      <c r="EG180" s="161">
        <f t="shared" si="236"/>
        <v>0</v>
      </c>
      <c r="EH180" s="161">
        <f t="shared" si="237"/>
        <v>0</v>
      </c>
      <c r="EI180" s="161">
        <f t="shared" si="238"/>
        <v>0</v>
      </c>
      <c r="EJ180" s="161">
        <f t="shared" si="239"/>
        <v>0</v>
      </c>
      <c r="EK180" s="147">
        <f t="shared" si="171"/>
        <v>10.416666666666666</v>
      </c>
      <c r="EL180" s="149"/>
      <c r="EN180" s="146"/>
      <c r="EO180" s="146"/>
      <c r="EP180" s="139">
        <f t="shared" si="172"/>
        <v>0</v>
      </c>
      <c r="EQ180" s="139">
        <f t="shared" si="173"/>
        <v>0</v>
      </c>
      <c r="ER180" s="139">
        <f t="shared" si="174"/>
        <v>0</v>
      </c>
      <c r="ES180" s="139">
        <f t="shared" si="175"/>
        <v>0</v>
      </c>
      <c r="ET180" s="139">
        <f t="shared" si="176"/>
        <v>0</v>
      </c>
      <c r="EU180" s="139">
        <f t="shared" si="177"/>
        <v>0</v>
      </c>
      <c r="EV180" s="139">
        <f t="shared" si="178"/>
        <v>17.587723455391696</v>
      </c>
      <c r="EW180" s="139">
        <f t="shared" si="179"/>
        <v>0</v>
      </c>
      <c r="EX180" s="139">
        <f t="shared" si="180"/>
        <v>0</v>
      </c>
      <c r="EY180" s="139">
        <f t="shared" si="181"/>
        <v>0</v>
      </c>
      <c r="EZ180" s="139">
        <f t="shared" si="182"/>
        <v>0</v>
      </c>
      <c r="FA180" s="139">
        <f t="shared" si="183"/>
        <v>0</v>
      </c>
      <c r="FB180" s="139">
        <f t="shared" si="184"/>
        <v>0</v>
      </c>
      <c r="FC180" s="139">
        <f t="shared" si="185"/>
        <v>0</v>
      </c>
      <c r="FD180" s="139">
        <f t="shared" si="186"/>
        <v>0</v>
      </c>
      <c r="FE180" s="139">
        <f t="shared" si="187"/>
        <v>0</v>
      </c>
      <c r="FF180" s="139">
        <f t="shared" si="188"/>
        <v>0</v>
      </c>
      <c r="FG180" s="139">
        <f t="shared" si="189"/>
        <v>0</v>
      </c>
      <c r="FH180" s="139">
        <f t="shared" si="190"/>
        <v>0</v>
      </c>
      <c r="FI180" s="139">
        <f t="shared" si="191"/>
        <v>0</v>
      </c>
      <c r="FJ180" s="139">
        <f t="shared" si="192"/>
        <v>0</v>
      </c>
      <c r="FK180" s="139">
        <f t="shared" si="193"/>
        <v>0</v>
      </c>
      <c r="FL180" s="139">
        <f t="shared" si="194"/>
        <v>0</v>
      </c>
      <c r="FM180" s="139">
        <f t="shared" si="195"/>
        <v>0</v>
      </c>
      <c r="FN180" s="139">
        <f t="shared" si="196"/>
        <v>0</v>
      </c>
      <c r="FO180" s="139">
        <f t="shared" si="197"/>
        <v>0</v>
      </c>
      <c r="FP180" s="139">
        <f t="shared" si="198"/>
        <v>0</v>
      </c>
      <c r="FQ180" s="139">
        <f t="shared" si="199"/>
        <v>0</v>
      </c>
      <c r="FR180" s="139">
        <f t="shared" si="200"/>
        <v>0</v>
      </c>
      <c r="FS180" s="139">
        <f t="shared" si="201"/>
        <v>0</v>
      </c>
      <c r="FT180" s="139">
        <f t="shared" si="202"/>
        <v>0</v>
      </c>
      <c r="FU180" s="148">
        <f t="shared" si="203"/>
        <v>17.587723455391696</v>
      </c>
      <c r="FV180" s="149"/>
      <c r="FY180" s="211">
        <v>175</v>
      </c>
      <c r="FZ180">
        <v>35.51605154135882</v>
      </c>
      <c r="GA180">
        <v>39.817964807675764</v>
      </c>
      <c r="GB180">
        <v>37.372169838209459</v>
      </c>
      <c r="GC180">
        <v>1.8666490268247042</v>
      </c>
      <c r="GD180">
        <v>0.2145384094646112</v>
      </c>
      <c r="GE180">
        <v>0.57734952820313745</v>
      </c>
      <c r="GF180">
        <v>1.1508089394067866</v>
      </c>
      <c r="GG180">
        <v>2.0459901305043982</v>
      </c>
      <c r="GH180">
        <v>7.6426954455232705</v>
      </c>
      <c r="GI180">
        <v>36.450954589999597</v>
      </c>
      <c r="GJ180"/>
      <c r="GK180"/>
      <c r="GL180"/>
      <c r="GM180"/>
    </row>
    <row r="181" spans="1:195" s="7" customFormat="1">
      <c r="A181" s="1"/>
      <c r="B181" s="76">
        <f ca="1">IF(C181="", "", RAND())</f>
        <v>0.43367398698946413</v>
      </c>
      <c r="C181">
        <v>6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9.0215277777777771</v>
      </c>
      <c r="AO181">
        <v>41.054091791360392</v>
      </c>
      <c r="AP181">
        <v>188.25380578933456</v>
      </c>
      <c r="AQ181">
        <v>174.24770622498897</v>
      </c>
      <c r="AR181">
        <v>38.014433573215499</v>
      </c>
      <c r="AS181">
        <v>224.99382688407476</v>
      </c>
      <c r="AT181" t="e">
        <v>#DIV/0!</v>
      </c>
      <c r="AU181" t="e">
        <v>#DIV/0!</v>
      </c>
      <c r="AV181"/>
      <c r="AW181"/>
      <c r="AX181" s="146"/>
      <c r="AY181" s="76">
        <f t="shared" ca="1" si="169"/>
        <v>0.91279334447736438</v>
      </c>
      <c r="AZ181">
        <v>4</v>
      </c>
      <c r="BA181" s="129">
        <f t="shared" si="245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4"/>
        <v>0.24306490646164747</v>
      </c>
      <c r="CL181" s="179">
        <f t="shared" si="205"/>
        <v>4</v>
      </c>
      <c r="CM181" s="180">
        <f t="shared" si="206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07"/>
        <v>9.6000000000000002E-2</v>
      </c>
      <c r="DB181" s="146"/>
      <c r="DC181" s="76">
        <f t="shared" ca="1" si="170"/>
        <v>0.57804115874704687</v>
      </c>
      <c r="DD181">
        <f t="shared" si="208"/>
        <v>4</v>
      </c>
      <c r="DE181" s="129">
        <f t="shared" si="244"/>
        <v>39987</v>
      </c>
      <c r="DF181" s="161">
        <f t="shared" si="209"/>
        <v>0</v>
      </c>
      <c r="DG181" s="161">
        <f t="shared" si="210"/>
        <v>0</v>
      </c>
      <c r="DH181" s="161">
        <f t="shared" si="211"/>
        <v>0</v>
      </c>
      <c r="DI181" s="161">
        <f t="shared" si="212"/>
        <v>0</v>
      </c>
      <c r="DJ181" s="161">
        <f t="shared" si="213"/>
        <v>0</v>
      </c>
      <c r="DK181" s="161">
        <f t="shared" si="214"/>
        <v>0</v>
      </c>
      <c r="DL181" s="161">
        <f t="shared" si="215"/>
        <v>0</v>
      </c>
      <c r="DM181" s="161">
        <f t="shared" si="216"/>
        <v>0</v>
      </c>
      <c r="DN181" s="161">
        <f t="shared" si="217"/>
        <v>0</v>
      </c>
      <c r="DO181" s="161">
        <f t="shared" si="218"/>
        <v>0</v>
      </c>
      <c r="DP181" s="161">
        <f t="shared" si="219"/>
        <v>0</v>
      </c>
      <c r="DQ181" s="161">
        <f t="shared" si="220"/>
        <v>0</v>
      </c>
      <c r="DR181" s="161">
        <f t="shared" si="221"/>
        <v>0</v>
      </c>
      <c r="DS181" s="161">
        <f t="shared" si="222"/>
        <v>0</v>
      </c>
      <c r="DT181" s="161">
        <f t="shared" si="223"/>
        <v>0</v>
      </c>
      <c r="DU181" s="161">
        <f t="shared" si="224"/>
        <v>0</v>
      </c>
      <c r="DV181" s="161">
        <f t="shared" si="225"/>
        <v>0</v>
      </c>
      <c r="DW181" s="161">
        <f t="shared" si="226"/>
        <v>0</v>
      </c>
      <c r="DX181" s="161">
        <f t="shared" si="227"/>
        <v>0</v>
      </c>
      <c r="DY181" s="161">
        <f t="shared" si="228"/>
        <v>0</v>
      </c>
      <c r="DZ181" s="161">
        <f t="shared" si="229"/>
        <v>0</v>
      </c>
      <c r="EA181" s="161">
        <f t="shared" si="230"/>
        <v>0</v>
      </c>
      <c r="EB181" s="161">
        <f t="shared" si="231"/>
        <v>0</v>
      </c>
      <c r="EC181" s="161">
        <f t="shared" si="232"/>
        <v>0</v>
      </c>
      <c r="ED181" s="161">
        <f t="shared" si="233"/>
        <v>0</v>
      </c>
      <c r="EE181" s="161">
        <f t="shared" si="234"/>
        <v>0</v>
      </c>
      <c r="EF181" s="161">
        <f t="shared" si="235"/>
        <v>0</v>
      </c>
      <c r="EG181" s="161">
        <f t="shared" si="236"/>
        <v>0</v>
      </c>
      <c r="EH181" s="161">
        <f t="shared" si="237"/>
        <v>0</v>
      </c>
      <c r="EI181" s="161">
        <f t="shared" si="238"/>
        <v>0</v>
      </c>
      <c r="EJ181" s="161">
        <f t="shared" si="239"/>
        <v>0</v>
      </c>
      <c r="EK181" s="147">
        <f t="shared" si="171"/>
        <v>0</v>
      </c>
      <c r="EL181" s="149"/>
      <c r="EN181" s="146"/>
      <c r="EO181" s="146"/>
      <c r="EP181" s="139">
        <f t="shared" si="172"/>
        <v>0</v>
      </c>
      <c r="EQ181" s="139">
        <f t="shared" si="173"/>
        <v>0</v>
      </c>
      <c r="ER181" s="139">
        <f t="shared" si="174"/>
        <v>0</v>
      </c>
      <c r="ES181" s="139">
        <f t="shared" si="175"/>
        <v>0</v>
      </c>
      <c r="ET181" s="139">
        <f t="shared" si="176"/>
        <v>0</v>
      </c>
      <c r="EU181" s="139">
        <f t="shared" si="177"/>
        <v>0</v>
      </c>
      <c r="EV181" s="139">
        <f t="shared" si="178"/>
        <v>0</v>
      </c>
      <c r="EW181" s="139">
        <f t="shared" si="179"/>
        <v>0</v>
      </c>
      <c r="EX181" s="139">
        <f t="shared" si="180"/>
        <v>0</v>
      </c>
      <c r="EY181" s="139">
        <f t="shared" si="181"/>
        <v>0</v>
      </c>
      <c r="EZ181" s="139">
        <f t="shared" si="182"/>
        <v>0</v>
      </c>
      <c r="FA181" s="139">
        <f t="shared" si="183"/>
        <v>0</v>
      </c>
      <c r="FB181" s="139">
        <f t="shared" si="184"/>
        <v>0</v>
      </c>
      <c r="FC181" s="139">
        <f t="shared" si="185"/>
        <v>0</v>
      </c>
      <c r="FD181" s="139">
        <f t="shared" si="186"/>
        <v>0</v>
      </c>
      <c r="FE181" s="139">
        <f t="shared" si="187"/>
        <v>0</v>
      </c>
      <c r="FF181" s="139">
        <f t="shared" si="188"/>
        <v>0</v>
      </c>
      <c r="FG181" s="139">
        <f t="shared" si="189"/>
        <v>0</v>
      </c>
      <c r="FH181" s="139">
        <f t="shared" si="190"/>
        <v>0</v>
      </c>
      <c r="FI181" s="139">
        <f t="shared" si="191"/>
        <v>0</v>
      </c>
      <c r="FJ181" s="139">
        <f t="shared" si="192"/>
        <v>0</v>
      </c>
      <c r="FK181" s="139">
        <f t="shared" si="193"/>
        <v>0</v>
      </c>
      <c r="FL181" s="139">
        <f t="shared" si="194"/>
        <v>0</v>
      </c>
      <c r="FM181" s="139">
        <f t="shared" si="195"/>
        <v>0</v>
      </c>
      <c r="FN181" s="139">
        <f t="shared" si="196"/>
        <v>0</v>
      </c>
      <c r="FO181" s="139">
        <f t="shared" si="197"/>
        <v>0</v>
      </c>
      <c r="FP181" s="139">
        <f t="shared" si="198"/>
        <v>0</v>
      </c>
      <c r="FQ181" s="139">
        <f t="shared" si="199"/>
        <v>0</v>
      </c>
      <c r="FR181" s="139">
        <f t="shared" si="200"/>
        <v>0</v>
      </c>
      <c r="FS181" s="139">
        <f t="shared" si="201"/>
        <v>0</v>
      </c>
      <c r="FT181" s="139">
        <f t="shared" si="202"/>
        <v>0</v>
      </c>
      <c r="FU181" s="148">
        <f t="shared" si="203"/>
        <v>0</v>
      </c>
      <c r="FV181" s="149"/>
      <c r="FY181" s="211">
        <v>176</v>
      </c>
      <c r="FZ181">
        <v>35.245070417908259</v>
      </c>
      <c r="GA181">
        <v>39.953593015260921</v>
      </c>
      <c r="GB181">
        <v>7.9193038822718229</v>
      </c>
      <c r="GC181">
        <v>2.2962579820775022</v>
      </c>
      <c r="GD181">
        <v>0.29579113519597455</v>
      </c>
      <c r="GE181">
        <v>0.31616316518589116</v>
      </c>
      <c r="GF181">
        <v>0</v>
      </c>
      <c r="GG181">
        <v>7.1524742788854336</v>
      </c>
      <c r="GH181">
        <v>20.868279070691202</v>
      </c>
      <c r="GI181">
        <v>24.378044191146149</v>
      </c>
      <c r="GJ181"/>
      <c r="GK181"/>
      <c r="GL181"/>
      <c r="GM181"/>
    </row>
    <row r="182" spans="1:195" s="7" customFormat="1">
      <c r="A182" s="1"/>
      <c r="B182" s="76">
        <f ca="1">IF(C182="", "", RAND())</f>
        <v>0.77401612771373252</v>
      </c>
      <c r="C182">
        <v>7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19.651041666666664</v>
      </c>
      <c r="AO182">
        <v>91.731749723470188</v>
      </c>
      <c r="AP182">
        <v>391.97885405112402</v>
      </c>
      <c r="AQ182">
        <v>313.74159549360797</v>
      </c>
      <c r="AR182">
        <v>85.0943874985809</v>
      </c>
      <c r="AS182">
        <v>1156.6718480495229</v>
      </c>
      <c r="AT182" t="e">
        <v>#DIV/0!</v>
      </c>
      <c r="AU182" t="e">
        <v>#DIV/0!</v>
      </c>
      <c r="AV182"/>
      <c r="AW182"/>
      <c r="AX182" s="146"/>
      <c r="AY182" s="76">
        <f t="shared" ca="1" si="169"/>
        <v>0.74936721529517403</v>
      </c>
      <c r="AZ182">
        <v>5</v>
      </c>
      <c r="BA182" s="129">
        <f t="shared" si="245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4"/>
        <v>0.33247892103407217</v>
      </c>
      <c r="CL182" s="179">
        <f t="shared" si="205"/>
        <v>5</v>
      </c>
      <c r="CM182" s="180">
        <f t="shared" si="206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07"/>
        <v>9.6000000000000002E-2</v>
      </c>
      <c r="DB182" s="146"/>
      <c r="DC182" s="76">
        <f t="shared" ca="1" si="170"/>
        <v>0.51579330641365484</v>
      </c>
      <c r="DD182">
        <f t="shared" si="208"/>
        <v>5</v>
      </c>
      <c r="DE182" s="129">
        <f t="shared" si="244"/>
        <v>39987</v>
      </c>
      <c r="DF182" s="161">
        <f t="shared" si="209"/>
        <v>0</v>
      </c>
      <c r="DG182" s="161">
        <f t="shared" si="210"/>
        <v>0</v>
      </c>
      <c r="DH182" s="161">
        <f t="shared" si="211"/>
        <v>0</v>
      </c>
      <c r="DI182" s="161">
        <f t="shared" si="212"/>
        <v>0</v>
      </c>
      <c r="DJ182" s="161">
        <f t="shared" si="213"/>
        <v>0</v>
      </c>
      <c r="DK182" s="161">
        <f t="shared" si="214"/>
        <v>0</v>
      </c>
      <c r="DL182" s="161">
        <f t="shared" si="215"/>
        <v>0</v>
      </c>
      <c r="DM182" s="161">
        <f t="shared" si="216"/>
        <v>0</v>
      </c>
      <c r="DN182" s="161">
        <f t="shared" si="217"/>
        <v>0</v>
      </c>
      <c r="DO182" s="161">
        <f t="shared" si="218"/>
        <v>0</v>
      </c>
      <c r="DP182" s="161">
        <f t="shared" si="219"/>
        <v>0</v>
      </c>
      <c r="DQ182" s="161">
        <f t="shared" si="220"/>
        <v>0</v>
      </c>
      <c r="DR182" s="161">
        <f t="shared" si="221"/>
        <v>0</v>
      </c>
      <c r="DS182" s="161">
        <f t="shared" si="222"/>
        <v>0</v>
      </c>
      <c r="DT182" s="161">
        <f t="shared" si="223"/>
        <v>0</v>
      </c>
      <c r="DU182" s="161">
        <f t="shared" si="224"/>
        <v>0</v>
      </c>
      <c r="DV182" s="161">
        <f t="shared" si="225"/>
        <v>0</v>
      </c>
      <c r="DW182" s="161">
        <f t="shared" si="226"/>
        <v>0</v>
      </c>
      <c r="DX182" s="161">
        <f t="shared" si="227"/>
        <v>0</v>
      </c>
      <c r="DY182" s="161">
        <f t="shared" si="228"/>
        <v>0</v>
      </c>
      <c r="DZ182" s="161">
        <f t="shared" si="229"/>
        <v>0</v>
      </c>
      <c r="EA182" s="161">
        <f t="shared" si="230"/>
        <v>0</v>
      </c>
      <c r="EB182" s="161">
        <f t="shared" si="231"/>
        <v>0</v>
      </c>
      <c r="EC182" s="161">
        <f t="shared" si="232"/>
        <v>0</v>
      </c>
      <c r="ED182" s="161">
        <f t="shared" si="233"/>
        <v>0</v>
      </c>
      <c r="EE182" s="161">
        <f t="shared" si="234"/>
        <v>0</v>
      </c>
      <c r="EF182" s="161">
        <f t="shared" si="235"/>
        <v>0</v>
      </c>
      <c r="EG182" s="161">
        <f t="shared" si="236"/>
        <v>0</v>
      </c>
      <c r="EH182" s="161">
        <f t="shared" si="237"/>
        <v>0</v>
      </c>
      <c r="EI182" s="161">
        <f t="shared" si="238"/>
        <v>0</v>
      </c>
      <c r="EJ182" s="161">
        <f t="shared" si="239"/>
        <v>0</v>
      </c>
      <c r="EK182" s="147">
        <f t="shared" si="171"/>
        <v>0</v>
      </c>
      <c r="EL182" s="149"/>
      <c r="EN182" s="146"/>
      <c r="EO182" s="146"/>
      <c r="EP182" s="139">
        <f t="shared" si="172"/>
        <v>0</v>
      </c>
      <c r="EQ182" s="139">
        <f t="shared" si="173"/>
        <v>0</v>
      </c>
      <c r="ER182" s="139">
        <f t="shared" si="174"/>
        <v>0</v>
      </c>
      <c r="ES182" s="139">
        <f t="shared" si="175"/>
        <v>0</v>
      </c>
      <c r="ET182" s="139">
        <f t="shared" si="176"/>
        <v>0</v>
      </c>
      <c r="EU182" s="139">
        <f t="shared" si="177"/>
        <v>0</v>
      </c>
      <c r="EV182" s="139">
        <f t="shared" si="178"/>
        <v>0</v>
      </c>
      <c r="EW182" s="139">
        <f t="shared" si="179"/>
        <v>0</v>
      </c>
      <c r="EX182" s="139">
        <f t="shared" si="180"/>
        <v>0</v>
      </c>
      <c r="EY182" s="139">
        <f t="shared" si="181"/>
        <v>0</v>
      </c>
      <c r="EZ182" s="139">
        <f t="shared" si="182"/>
        <v>0</v>
      </c>
      <c r="FA182" s="139">
        <f t="shared" si="183"/>
        <v>0</v>
      </c>
      <c r="FB182" s="139">
        <f t="shared" si="184"/>
        <v>0</v>
      </c>
      <c r="FC182" s="139">
        <f t="shared" si="185"/>
        <v>0</v>
      </c>
      <c r="FD182" s="139">
        <f t="shared" si="186"/>
        <v>0</v>
      </c>
      <c r="FE182" s="139">
        <f t="shared" si="187"/>
        <v>0</v>
      </c>
      <c r="FF182" s="139">
        <f t="shared" si="188"/>
        <v>0</v>
      </c>
      <c r="FG182" s="139">
        <f t="shared" si="189"/>
        <v>0</v>
      </c>
      <c r="FH182" s="139">
        <f t="shared" si="190"/>
        <v>0</v>
      </c>
      <c r="FI182" s="139">
        <f t="shared" si="191"/>
        <v>0</v>
      </c>
      <c r="FJ182" s="139">
        <f t="shared" si="192"/>
        <v>0</v>
      </c>
      <c r="FK182" s="139">
        <f t="shared" si="193"/>
        <v>0</v>
      </c>
      <c r="FL182" s="139">
        <f t="shared" si="194"/>
        <v>0</v>
      </c>
      <c r="FM182" s="139">
        <f t="shared" si="195"/>
        <v>0</v>
      </c>
      <c r="FN182" s="139">
        <f t="shared" si="196"/>
        <v>0</v>
      </c>
      <c r="FO182" s="139">
        <f t="shared" si="197"/>
        <v>0</v>
      </c>
      <c r="FP182" s="139">
        <f t="shared" si="198"/>
        <v>0</v>
      </c>
      <c r="FQ182" s="139">
        <f t="shared" si="199"/>
        <v>0</v>
      </c>
      <c r="FR182" s="139">
        <f t="shared" si="200"/>
        <v>0</v>
      </c>
      <c r="FS182" s="139">
        <f t="shared" si="201"/>
        <v>0</v>
      </c>
      <c r="FT182" s="139">
        <f t="shared" si="202"/>
        <v>0</v>
      </c>
      <c r="FU182" s="148">
        <f t="shared" si="203"/>
        <v>0</v>
      </c>
      <c r="FV182" s="149"/>
      <c r="FY182" s="211">
        <v>177</v>
      </c>
      <c r="FZ182">
        <v>31.266061213945854</v>
      </c>
      <c r="GA182">
        <v>37.643087417477425</v>
      </c>
      <c r="GB182">
        <v>26.467356015295518</v>
      </c>
      <c r="GC182">
        <v>2.1340964514531691</v>
      </c>
      <c r="GD182">
        <v>0.3736295882321099</v>
      </c>
      <c r="GE182">
        <v>0.66648692196279713</v>
      </c>
      <c r="GF182">
        <v>2.338738258503064</v>
      </c>
      <c r="GG182">
        <v>6.7094621722347103</v>
      </c>
      <c r="GH182">
        <v>9.1973069806361583</v>
      </c>
      <c r="GI182">
        <v>30.903261898352095</v>
      </c>
      <c r="GJ182"/>
      <c r="GK182"/>
      <c r="GL182"/>
      <c r="GM182"/>
    </row>
    <row r="183" spans="1:195" s="7" customFormat="1">
      <c r="A183" s="1"/>
      <c r="B183" s="76">
        <f ca="1">IF(C183="", "", RAND())</f>
        <v>0.92905795641950695</v>
      </c>
      <c r="C183">
        <v>10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9.9470486111111107</v>
      </c>
      <c r="AO183">
        <v>75.440716134485953</v>
      </c>
      <c r="AP183">
        <v>441.3262206628234</v>
      </c>
      <c r="AQ183">
        <v>122.13775026308574</v>
      </c>
      <c r="AR183">
        <v>70.059599061981572</v>
      </c>
      <c r="AS183">
        <v>440.02271389825142</v>
      </c>
      <c r="AT183" t="e">
        <v>#DIV/0!</v>
      </c>
      <c r="AU183" t="e">
        <v>#DIV/0!</v>
      </c>
      <c r="AV183"/>
      <c r="AW183"/>
      <c r="AX183" s="146"/>
      <c r="AY183" s="76">
        <f t="shared" ca="1" si="169"/>
        <v>0.66580877761704049</v>
      </c>
      <c r="AZ183">
        <v>6</v>
      </c>
      <c r="BA183" s="129">
        <f t="shared" si="245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4"/>
        <v>0.8280054625094655</v>
      </c>
      <c r="CL183" s="179">
        <f t="shared" si="205"/>
        <v>6</v>
      </c>
      <c r="CM183" s="180">
        <f t="shared" si="206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07"/>
        <v>9.6000000000000002E-2</v>
      </c>
      <c r="DB183" s="146"/>
      <c r="DC183" s="76">
        <f t="shared" ca="1" si="170"/>
        <v>0.98125536916860678</v>
      </c>
      <c r="DD183">
        <f t="shared" si="208"/>
        <v>6</v>
      </c>
      <c r="DE183" s="129">
        <f t="shared" si="244"/>
        <v>39987</v>
      </c>
      <c r="DF183" s="161">
        <f t="shared" si="209"/>
        <v>0</v>
      </c>
      <c r="DG183" s="161">
        <f t="shared" si="210"/>
        <v>0</v>
      </c>
      <c r="DH183" s="161">
        <f t="shared" si="211"/>
        <v>0</v>
      </c>
      <c r="DI183" s="161">
        <f t="shared" si="212"/>
        <v>0</v>
      </c>
      <c r="DJ183" s="161">
        <f t="shared" si="213"/>
        <v>0</v>
      </c>
      <c r="DK183" s="161">
        <f t="shared" si="214"/>
        <v>0</v>
      </c>
      <c r="DL183" s="161">
        <f t="shared" si="215"/>
        <v>0</v>
      </c>
      <c r="DM183" s="161">
        <f t="shared" si="216"/>
        <v>0</v>
      </c>
      <c r="DN183" s="161">
        <f t="shared" si="217"/>
        <v>0</v>
      </c>
      <c r="DO183" s="161">
        <f t="shared" si="218"/>
        <v>0</v>
      </c>
      <c r="DP183" s="161">
        <f t="shared" si="219"/>
        <v>0</v>
      </c>
      <c r="DQ183" s="161">
        <f t="shared" si="220"/>
        <v>0</v>
      </c>
      <c r="DR183" s="161">
        <f t="shared" si="221"/>
        <v>0</v>
      </c>
      <c r="DS183" s="161">
        <f t="shared" si="222"/>
        <v>0</v>
      </c>
      <c r="DT183" s="161">
        <f t="shared" si="223"/>
        <v>0</v>
      </c>
      <c r="DU183" s="161">
        <f t="shared" si="224"/>
        <v>0</v>
      </c>
      <c r="DV183" s="161">
        <f t="shared" si="225"/>
        <v>0</v>
      </c>
      <c r="DW183" s="161">
        <f t="shared" si="226"/>
        <v>0</v>
      </c>
      <c r="DX183" s="161">
        <f t="shared" si="227"/>
        <v>0</v>
      </c>
      <c r="DY183" s="161">
        <f t="shared" si="228"/>
        <v>0</v>
      </c>
      <c r="DZ183" s="161">
        <f t="shared" si="229"/>
        <v>0</v>
      </c>
      <c r="EA183" s="161">
        <f t="shared" si="230"/>
        <v>0</v>
      </c>
      <c r="EB183" s="161">
        <f t="shared" si="231"/>
        <v>0</v>
      </c>
      <c r="EC183" s="161">
        <f t="shared" si="232"/>
        <v>0</v>
      </c>
      <c r="ED183" s="161">
        <f t="shared" si="233"/>
        <v>0</v>
      </c>
      <c r="EE183" s="161">
        <f t="shared" si="234"/>
        <v>0</v>
      </c>
      <c r="EF183" s="161">
        <f t="shared" si="235"/>
        <v>0</v>
      </c>
      <c r="EG183" s="161">
        <f t="shared" si="236"/>
        <v>0</v>
      </c>
      <c r="EH183" s="161">
        <f t="shared" si="237"/>
        <v>0</v>
      </c>
      <c r="EI183" s="161">
        <f t="shared" si="238"/>
        <v>0</v>
      </c>
      <c r="EJ183" s="161">
        <f t="shared" si="239"/>
        <v>0</v>
      </c>
      <c r="EK183" s="147">
        <f t="shared" si="171"/>
        <v>0</v>
      </c>
      <c r="EL183" s="149"/>
      <c r="EN183" s="146"/>
      <c r="EO183" s="146"/>
      <c r="EP183" s="139">
        <f t="shared" si="172"/>
        <v>0</v>
      </c>
      <c r="EQ183" s="139">
        <f t="shared" si="173"/>
        <v>0</v>
      </c>
      <c r="ER183" s="139">
        <f t="shared" si="174"/>
        <v>0</v>
      </c>
      <c r="ES183" s="139">
        <f t="shared" si="175"/>
        <v>0</v>
      </c>
      <c r="ET183" s="139">
        <f t="shared" si="176"/>
        <v>0</v>
      </c>
      <c r="EU183" s="139">
        <f t="shared" si="177"/>
        <v>0</v>
      </c>
      <c r="EV183" s="139">
        <f t="shared" si="178"/>
        <v>0</v>
      </c>
      <c r="EW183" s="139">
        <f t="shared" si="179"/>
        <v>0</v>
      </c>
      <c r="EX183" s="139">
        <f t="shared" si="180"/>
        <v>0</v>
      </c>
      <c r="EY183" s="139">
        <f t="shared" si="181"/>
        <v>0</v>
      </c>
      <c r="EZ183" s="139">
        <f t="shared" si="182"/>
        <v>0</v>
      </c>
      <c r="FA183" s="139">
        <f t="shared" si="183"/>
        <v>0</v>
      </c>
      <c r="FB183" s="139">
        <f t="shared" si="184"/>
        <v>0</v>
      </c>
      <c r="FC183" s="139">
        <f t="shared" si="185"/>
        <v>0</v>
      </c>
      <c r="FD183" s="139">
        <f t="shared" si="186"/>
        <v>0</v>
      </c>
      <c r="FE183" s="139">
        <f t="shared" si="187"/>
        <v>0</v>
      </c>
      <c r="FF183" s="139">
        <f t="shared" si="188"/>
        <v>0</v>
      </c>
      <c r="FG183" s="139">
        <f t="shared" si="189"/>
        <v>0</v>
      </c>
      <c r="FH183" s="139">
        <f t="shared" si="190"/>
        <v>0</v>
      </c>
      <c r="FI183" s="139">
        <f t="shared" si="191"/>
        <v>0</v>
      </c>
      <c r="FJ183" s="139">
        <f t="shared" si="192"/>
        <v>0</v>
      </c>
      <c r="FK183" s="139">
        <f t="shared" si="193"/>
        <v>0</v>
      </c>
      <c r="FL183" s="139">
        <f t="shared" si="194"/>
        <v>0</v>
      </c>
      <c r="FM183" s="139">
        <f t="shared" si="195"/>
        <v>0</v>
      </c>
      <c r="FN183" s="139">
        <f t="shared" si="196"/>
        <v>0</v>
      </c>
      <c r="FO183" s="139">
        <f t="shared" si="197"/>
        <v>0</v>
      </c>
      <c r="FP183" s="139">
        <f t="shared" si="198"/>
        <v>0</v>
      </c>
      <c r="FQ183" s="139">
        <f t="shared" si="199"/>
        <v>0</v>
      </c>
      <c r="FR183" s="139">
        <f t="shared" si="200"/>
        <v>0</v>
      </c>
      <c r="FS183" s="139">
        <f t="shared" si="201"/>
        <v>0</v>
      </c>
      <c r="FT183" s="139">
        <f t="shared" si="202"/>
        <v>0</v>
      </c>
      <c r="FU183" s="148">
        <f t="shared" si="203"/>
        <v>0</v>
      </c>
      <c r="FV183" s="149"/>
      <c r="FY183" s="211">
        <v>178</v>
      </c>
      <c r="FZ183">
        <v>46.546133775883661</v>
      </c>
      <c r="GA183">
        <v>48.149039241744717</v>
      </c>
      <c r="GB183">
        <v>33.201291585360423</v>
      </c>
      <c r="GC183">
        <v>2.736936616044134</v>
      </c>
      <c r="GD183">
        <v>0.29850212800223097</v>
      </c>
      <c r="GE183">
        <v>0.50817084204294227</v>
      </c>
      <c r="GF183">
        <v>3.1174265937026848</v>
      </c>
      <c r="GG183">
        <v>4.6634720417303139</v>
      </c>
      <c r="GH183">
        <v>9.6111648241764271</v>
      </c>
      <c r="GI183">
        <v>40.15170786849427</v>
      </c>
      <c r="GJ183"/>
      <c r="GK183"/>
      <c r="GL183"/>
      <c r="GM183"/>
    </row>
    <row r="184" spans="1:195" s="7" customFormat="1">
      <c r="A184" s="1"/>
      <c r="B184" s="76">
        <f ca="1">IF(C184="", "", RAND())</f>
        <v>0.76191771439054623</v>
      </c>
      <c r="C184">
        <v>5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15.131904380341879</v>
      </c>
      <c r="AO184">
        <v>88.721177974283563</v>
      </c>
      <c r="AP184">
        <v>461.93529907494667</v>
      </c>
      <c r="AQ184">
        <v>189.9404770941866</v>
      </c>
      <c r="AR184">
        <v>82.391591753824216</v>
      </c>
      <c r="AS184">
        <v>834.07672273464618</v>
      </c>
      <c r="AT184" t="e">
        <v>#DIV/0!</v>
      </c>
      <c r="AU184" t="e">
        <v>#DIV/0!</v>
      </c>
      <c r="AV184"/>
      <c r="AW184"/>
      <c r="AX184" s="146"/>
      <c r="AY184" s="76">
        <f t="shared" ca="1" si="169"/>
        <v>0.46533344311808378</v>
      </c>
      <c r="AZ184">
        <v>7</v>
      </c>
      <c r="BA184" s="129">
        <f t="shared" si="245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4"/>
        <v>0.95232570143716799</v>
      </c>
      <c r="CL184" s="179">
        <f t="shared" si="205"/>
        <v>7</v>
      </c>
      <c r="CM184" s="180">
        <f t="shared" si="206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7"/>
        <v>9.6000000000000002E-2</v>
      </c>
      <c r="DB184" s="146"/>
      <c r="DC184" s="76">
        <f t="shared" ca="1" si="170"/>
        <v>0.86623666091232909</v>
      </c>
      <c r="DD184">
        <f t="shared" si="208"/>
        <v>7</v>
      </c>
      <c r="DE184" s="129">
        <f t="shared" si="244"/>
        <v>39987</v>
      </c>
      <c r="DF184" s="161">
        <f t="shared" si="209"/>
        <v>0</v>
      </c>
      <c r="DG184" s="161">
        <f t="shared" si="210"/>
        <v>0</v>
      </c>
      <c r="DH184" s="161">
        <f t="shared" si="211"/>
        <v>0</v>
      </c>
      <c r="DI184" s="161">
        <f t="shared" si="212"/>
        <v>0</v>
      </c>
      <c r="DJ184" s="161">
        <f t="shared" si="213"/>
        <v>0</v>
      </c>
      <c r="DK184" s="161">
        <f t="shared" si="214"/>
        <v>0</v>
      </c>
      <c r="DL184" s="161">
        <f t="shared" si="215"/>
        <v>0</v>
      </c>
      <c r="DM184" s="161">
        <f t="shared" si="216"/>
        <v>0</v>
      </c>
      <c r="DN184" s="161">
        <f t="shared" si="217"/>
        <v>0</v>
      </c>
      <c r="DO184" s="161">
        <f t="shared" si="218"/>
        <v>0</v>
      </c>
      <c r="DP184" s="161">
        <f t="shared" si="219"/>
        <v>0</v>
      </c>
      <c r="DQ184" s="161">
        <f t="shared" si="220"/>
        <v>0</v>
      </c>
      <c r="DR184" s="161">
        <f t="shared" si="221"/>
        <v>0</v>
      </c>
      <c r="DS184" s="161">
        <f t="shared" si="222"/>
        <v>0</v>
      </c>
      <c r="DT184" s="161">
        <f t="shared" si="223"/>
        <v>0</v>
      </c>
      <c r="DU184" s="161">
        <f t="shared" si="224"/>
        <v>0</v>
      </c>
      <c r="DV184" s="161">
        <f t="shared" si="225"/>
        <v>0</v>
      </c>
      <c r="DW184" s="161">
        <f t="shared" si="226"/>
        <v>0</v>
      </c>
      <c r="DX184" s="161">
        <f t="shared" si="227"/>
        <v>0</v>
      </c>
      <c r="DY184" s="161">
        <f t="shared" si="228"/>
        <v>0</v>
      </c>
      <c r="DZ184" s="161">
        <f t="shared" si="229"/>
        <v>0</v>
      </c>
      <c r="EA184" s="161">
        <f t="shared" si="230"/>
        <v>0</v>
      </c>
      <c r="EB184" s="161">
        <f t="shared" si="231"/>
        <v>0</v>
      </c>
      <c r="EC184" s="161">
        <f t="shared" si="232"/>
        <v>0</v>
      </c>
      <c r="ED184" s="161">
        <f t="shared" si="233"/>
        <v>0</v>
      </c>
      <c r="EE184" s="161">
        <f t="shared" si="234"/>
        <v>0</v>
      </c>
      <c r="EF184" s="161">
        <f t="shared" si="235"/>
        <v>0</v>
      </c>
      <c r="EG184" s="161">
        <f t="shared" si="236"/>
        <v>0</v>
      </c>
      <c r="EH184" s="161">
        <f t="shared" si="237"/>
        <v>0</v>
      </c>
      <c r="EI184" s="161">
        <f t="shared" si="238"/>
        <v>0</v>
      </c>
      <c r="EJ184" s="161">
        <f t="shared" si="239"/>
        <v>0</v>
      </c>
      <c r="EK184" s="147">
        <f t="shared" ref="EK184:EK207" si="246">IF(DF184="", "", SUM(DF184:EJ184))</f>
        <v>0</v>
      </c>
      <c r="EL184" s="149"/>
      <c r="EN184" s="146"/>
      <c r="EO184" s="146"/>
      <c r="EP184" s="139">
        <f t="shared" ref="EP184:EP207" si="247">IF(DF184="", "", DF184*G$36)</f>
        <v>0</v>
      </c>
      <c r="EQ184" s="139">
        <f t="shared" ref="EQ184:EQ207" si="248">IF(DG184="", "", DG184*H$36)</f>
        <v>0</v>
      </c>
      <c r="ER184" s="139">
        <f t="shared" ref="ER184:ER207" si="249">IF(DH184="", "", DH184*I$36)</f>
        <v>0</v>
      </c>
      <c r="ES184" s="139">
        <f t="shared" ref="ES184:ES207" si="250">IF(DI184="", "", DI184*J$36)</f>
        <v>0</v>
      </c>
      <c r="ET184" s="139">
        <f t="shared" ref="ET184:ET207" si="251">IF(DJ184="", "", DJ184*K$36)</f>
        <v>0</v>
      </c>
      <c r="EU184" s="139">
        <f t="shared" ref="EU184:EU207" si="252">IF(DK184="", "", DK184*L$36)</f>
        <v>0</v>
      </c>
      <c r="EV184" s="139">
        <f t="shared" ref="EV184:EV207" si="253">IF(DL184="", "", DL184*M$36)</f>
        <v>0</v>
      </c>
      <c r="EW184" s="139">
        <f t="shared" ref="EW184:EW207" si="254">IF(DM184="", "", DM184*N$36)</f>
        <v>0</v>
      </c>
      <c r="EX184" s="139">
        <f t="shared" ref="EX184:EX207" si="255">IF(DN184="", "", DN184*O$36)</f>
        <v>0</v>
      </c>
      <c r="EY184" s="139">
        <f t="shared" ref="EY184:EY207" si="256">IF(DO184="", "", DO184*P$36)</f>
        <v>0</v>
      </c>
      <c r="EZ184" s="139">
        <f t="shared" ref="EZ184:EZ207" si="257">IF(DP184="", "", DP184*Q$36)</f>
        <v>0</v>
      </c>
      <c r="FA184" s="139">
        <f t="shared" ref="FA184:FA207" si="258">IF(DQ184="", "", DQ184*R$36)</f>
        <v>0</v>
      </c>
      <c r="FB184" s="139">
        <f t="shared" ref="FB184:FB207" si="259">IF(DR184="", "", DR184*S$36)</f>
        <v>0</v>
      </c>
      <c r="FC184" s="139">
        <f t="shared" ref="FC184:FC207" si="260">IF(DS184="", "", DS184*T$36)</f>
        <v>0</v>
      </c>
      <c r="FD184" s="139">
        <f t="shared" ref="FD184:FD207" si="261">IF(DT184="", "", DT184*U$36)</f>
        <v>0</v>
      </c>
      <c r="FE184" s="139">
        <f t="shared" ref="FE184:FE207" si="262">IF(DU184="", "", DU184*V$36)</f>
        <v>0</v>
      </c>
      <c r="FF184" s="139">
        <f t="shared" ref="FF184:FF207" si="263">IF(DV184="", "", DV184*W$36)</f>
        <v>0</v>
      </c>
      <c r="FG184" s="139">
        <f t="shared" ref="FG184:FG207" si="264">IF(DW184="", "", DW184*X$36)</f>
        <v>0</v>
      </c>
      <c r="FH184" s="139">
        <f t="shared" ref="FH184:FH207" si="265">IF(DX184="", "", DX184*Y$36)</f>
        <v>0</v>
      </c>
      <c r="FI184" s="139">
        <f t="shared" ref="FI184:FI207" si="266">IF(DY184="", "", DY184*Z$36)</f>
        <v>0</v>
      </c>
      <c r="FJ184" s="139">
        <f t="shared" ref="FJ184:FJ207" si="267">IF(DZ184="", "", DZ184*AA$36)</f>
        <v>0</v>
      </c>
      <c r="FK184" s="139">
        <f t="shared" ref="FK184:FK207" si="268">IF(EA184="", "", EA184*AB$36)</f>
        <v>0</v>
      </c>
      <c r="FL184" s="139">
        <f t="shared" ref="FL184:FL207" si="269">IF(EB184="", "", EB184*AC$36)</f>
        <v>0</v>
      </c>
      <c r="FM184" s="139">
        <f t="shared" ref="FM184:FM207" si="270">IF(EC184="", "", EC184*AD$36)</f>
        <v>0</v>
      </c>
      <c r="FN184" s="139">
        <f t="shared" ref="FN184:FN207" si="271">IF(ED184="", "", ED184*AE$36)</f>
        <v>0</v>
      </c>
      <c r="FO184" s="139">
        <f t="shared" ref="FO184:FO207" si="272">IF(EE184="", "", EE184*AF$36)</f>
        <v>0</v>
      </c>
      <c r="FP184" s="139">
        <f t="shared" ref="FP184:FP207" si="273">IF(EF184="", "", EF184*AG$36)</f>
        <v>0</v>
      </c>
      <c r="FQ184" s="139">
        <f t="shared" ref="FQ184:FQ207" si="274">IF(EG184="", "", EG184*AH$36)</f>
        <v>0</v>
      </c>
      <c r="FR184" s="139">
        <f t="shared" ref="FR184:FR207" si="275">IF(EH184="", "", EH184*AI$36)</f>
        <v>0</v>
      </c>
      <c r="FS184" s="139">
        <f t="shared" ref="FS184:FS207" si="276">IF(EI184="", "", EI184*AJ$36)</f>
        <v>0</v>
      </c>
      <c r="FT184" s="139">
        <f t="shared" ref="FT184:FT207" si="277">IF(EJ184="", "", EJ184*AK$36)</f>
        <v>0</v>
      </c>
      <c r="FU184" s="148">
        <f t="shared" ref="FU184:FU207" si="278">IF(EP184="","",SUM(EP184:FT184))</f>
        <v>0</v>
      </c>
      <c r="FV184" s="149"/>
      <c r="FY184" s="211">
        <v>179</v>
      </c>
      <c r="FZ184">
        <v>28.39589974109677</v>
      </c>
      <c r="GA184">
        <v>38.484517701922911</v>
      </c>
      <c r="GB184">
        <v>72.99279359855629</v>
      </c>
      <c r="GC184">
        <v>2.796043471816021</v>
      </c>
      <c r="GD184">
        <v>0.25203181159065352</v>
      </c>
      <c r="GE184">
        <v>0.18787221295513531</v>
      </c>
      <c r="GF184">
        <v>0.93327695127180799</v>
      </c>
      <c r="GG184">
        <v>7.9821416912704741</v>
      </c>
      <c r="GH184">
        <v>20.868279070691202</v>
      </c>
      <c r="GI184">
        <v>67.917290155423501</v>
      </c>
      <c r="GJ184"/>
      <c r="GK184"/>
      <c r="GL184"/>
      <c r="GM184"/>
    </row>
    <row r="185" spans="1:195" s="7" customFormat="1">
      <c r="A185" s="1"/>
      <c r="B185" s="76">
        <f ca="1">IF(C185="", "", RAND())</f>
        <v>0.18467288818689132</v>
      </c>
      <c r="C185">
        <v>4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16.433079594017094</v>
      </c>
      <c r="AO185">
        <v>146.37460452179423</v>
      </c>
      <c r="AP185">
        <v>595.78088574273409</v>
      </c>
      <c r="AQ185">
        <v>207.61096980397281</v>
      </c>
      <c r="AR185">
        <v>135.73860688137847</v>
      </c>
      <c r="AS185">
        <v>1344.9258162287601</v>
      </c>
      <c r="AT185" t="e">
        <v>#DIV/0!</v>
      </c>
      <c r="AU185" t="e">
        <v>#DIV/0!</v>
      </c>
      <c r="AV185"/>
      <c r="AW185"/>
      <c r="AX185" s="146"/>
      <c r="AY185" s="76">
        <f t="shared" ca="1" si="169"/>
        <v>1.6803220226698556E-2</v>
      </c>
      <c r="AZ185">
        <v>8</v>
      </c>
      <c r="BA185" s="129">
        <f t="shared" si="245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4"/>
        <v>0.74354567133372917</v>
      </c>
      <c r="CL185" s="179">
        <f t="shared" si="205"/>
        <v>8</v>
      </c>
      <c r="CM185" s="180">
        <f t="shared" si="206"/>
        <v>39987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07"/>
        <v>9.6000000000000002E-2</v>
      </c>
      <c r="DB185" s="146"/>
      <c r="DC185" s="76">
        <f t="shared" ca="1" si="170"/>
        <v>0.61395692509893807</v>
      </c>
      <c r="DD185">
        <f t="shared" si="208"/>
        <v>8</v>
      </c>
      <c r="DE185" s="129">
        <f t="shared" si="244"/>
        <v>39987</v>
      </c>
      <c r="DF185" s="161">
        <f t="shared" si="209"/>
        <v>0</v>
      </c>
      <c r="DG185" s="161">
        <f t="shared" si="210"/>
        <v>0</v>
      </c>
      <c r="DH185" s="161">
        <f t="shared" si="211"/>
        <v>0</v>
      </c>
      <c r="DI185" s="161">
        <f t="shared" si="212"/>
        <v>0</v>
      </c>
      <c r="DJ185" s="161">
        <f t="shared" si="213"/>
        <v>0</v>
      </c>
      <c r="DK185" s="161">
        <f t="shared" si="214"/>
        <v>0</v>
      </c>
      <c r="DL185" s="161">
        <f t="shared" si="215"/>
        <v>0</v>
      </c>
      <c r="DM185" s="161">
        <f t="shared" si="216"/>
        <v>0</v>
      </c>
      <c r="DN185" s="161">
        <f t="shared" si="217"/>
        <v>0</v>
      </c>
      <c r="DO185" s="161">
        <f t="shared" si="218"/>
        <v>0</v>
      </c>
      <c r="DP185" s="161">
        <f t="shared" si="219"/>
        <v>0</v>
      </c>
      <c r="DQ185" s="161">
        <f t="shared" si="220"/>
        <v>0</v>
      </c>
      <c r="DR185" s="161">
        <f t="shared" si="221"/>
        <v>0</v>
      </c>
      <c r="DS185" s="161">
        <f t="shared" si="222"/>
        <v>0</v>
      </c>
      <c r="DT185" s="161">
        <f t="shared" si="223"/>
        <v>0</v>
      </c>
      <c r="DU185" s="161">
        <f t="shared" si="224"/>
        <v>0</v>
      </c>
      <c r="DV185" s="161">
        <f t="shared" si="225"/>
        <v>0</v>
      </c>
      <c r="DW185" s="161">
        <f t="shared" si="226"/>
        <v>0</v>
      </c>
      <c r="DX185" s="161">
        <f t="shared" si="227"/>
        <v>0</v>
      </c>
      <c r="DY185" s="161">
        <f t="shared" si="228"/>
        <v>0</v>
      </c>
      <c r="DZ185" s="161">
        <f t="shared" si="229"/>
        <v>0</v>
      </c>
      <c r="EA185" s="161">
        <f t="shared" si="230"/>
        <v>0</v>
      </c>
      <c r="EB185" s="161">
        <f t="shared" si="231"/>
        <v>0</v>
      </c>
      <c r="EC185" s="161">
        <f t="shared" si="232"/>
        <v>0</v>
      </c>
      <c r="ED185" s="161">
        <f t="shared" si="233"/>
        <v>0</v>
      </c>
      <c r="EE185" s="161">
        <f t="shared" si="234"/>
        <v>0</v>
      </c>
      <c r="EF185" s="161">
        <f t="shared" si="235"/>
        <v>0</v>
      </c>
      <c r="EG185" s="161">
        <f t="shared" si="236"/>
        <v>0</v>
      </c>
      <c r="EH185" s="161">
        <f t="shared" si="237"/>
        <v>0</v>
      </c>
      <c r="EI185" s="161">
        <f t="shared" si="238"/>
        <v>0</v>
      </c>
      <c r="EJ185" s="161">
        <f t="shared" si="239"/>
        <v>0</v>
      </c>
      <c r="EK185" s="147">
        <f t="shared" si="246"/>
        <v>0</v>
      </c>
      <c r="EL185" s="149"/>
      <c r="EN185" s="146"/>
      <c r="EO185" s="146"/>
      <c r="EP185" s="139">
        <f t="shared" si="247"/>
        <v>0</v>
      </c>
      <c r="EQ185" s="139">
        <f t="shared" si="248"/>
        <v>0</v>
      </c>
      <c r="ER185" s="139">
        <f t="shared" si="249"/>
        <v>0</v>
      </c>
      <c r="ES185" s="139">
        <f t="shared" si="250"/>
        <v>0</v>
      </c>
      <c r="ET185" s="139">
        <f t="shared" si="251"/>
        <v>0</v>
      </c>
      <c r="EU185" s="139">
        <f t="shared" si="252"/>
        <v>0</v>
      </c>
      <c r="EV185" s="139">
        <f t="shared" si="253"/>
        <v>0</v>
      </c>
      <c r="EW185" s="139">
        <f t="shared" si="254"/>
        <v>0</v>
      </c>
      <c r="EX185" s="139">
        <f t="shared" si="255"/>
        <v>0</v>
      </c>
      <c r="EY185" s="139">
        <f t="shared" si="256"/>
        <v>0</v>
      </c>
      <c r="EZ185" s="139">
        <f t="shared" si="257"/>
        <v>0</v>
      </c>
      <c r="FA185" s="139">
        <f t="shared" si="258"/>
        <v>0</v>
      </c>
      <c r="FB185" s="139">
        <f t="shared" si="259"/>
        <v>0</v>
      </c>
      <c r="FC185" s="139">
        <f t="shared" si="260"/>
        <v>0</v>
      </c>
      <c r="FD185" s="139">
        <f t="shared" si="261"/>
        <v>0</v>
      </c>
      <c r="FE185" s="139">
        <f t="shared" si="262"/>
        <v>0</v>
      </c>
      <c r="FF185" s="139">
        <f t="shared" si="263"/>
        <v>0</v>
      </c>
      <c r="FG185" s="139">
        <f t="shared" si="264"/>
        <v>0</v>
      </c>
      <c r="FH185" s="139">
        <f t="shared" si="265"/>
        <v>0</v>
      </c>
      <c r="FI185" s="139">
        <f t="shared" si="266"/>
        <v>0</v>
      </c>
      <c r="FJ185" s="139">
        <f t="shared" si="267"/>
        <v>0</v>
      </c>
      <c r="FK185" s="139">
        <f t="shared" si="268"/>
        <v>0</v>
      </c>
      <c r="FL185" s="139">
        <f t="shared" si="269"/>
        <v>0</v>
      </c>
      <c r="FM185" s="139">
        <f t="shared" si="270"/>
        <v>0</v>
      </c>
      <c r="FN185" s="139">
        <f t="shared" si="271"/>
        <v>0</v>
      </c>
      <c r="FO185" s="139">
        <f t="shared" si="272"/>
        <v>0</v>
      </c>
      <c r="FP185" s="139">
        <f t="shared" si="273"/>
        <v>0</v>
      </c>
      <c r="FQ185" s="139">
        <f t="shared" si="274"/>
        <v>0</v>
      </c>
      <c r="FR185" s="139">
        <f t="shared" si="275"/>
        <v>0</v>
      </c>
      <c r="FS185" s="139">
        <f t="shared" si="276"/>
        <v>0</v>
      </c>
      <c r="FT185" s="139">
        <f t="shared" si="277"/>
        <v>0</v>
      </c>
      <c r="FU185" s="148">
        <f t="shared" si="278"/>
        <v>0</v>
      </c>
      <c r="FV185" s="149"/>
      <c r="FY185" s="211">
        <v>180</v>
      </c>
      <c r="FZ185">
        <v>38.861699908390491</v>
      </c>
      <c r="GA185">
        <v>47.282970886357312</v>
      </c>
      <c r="GB185">
        <v>44.261217991192609</v>
      </c>
      <c r="GC185">
        <v>1.5957913350095361</v>
      </c>
      <c r="GD185">
        <v>0.18859225845256608</v>
      </c>
      <c r="GE185">
        <v>0.5473244005140383</v>
      </c>
      <c r="GF185">
        <v>2.3648597067947339</v>
      </c>
      <c r="GG185">
        <v>6.6531053713183059</v>
      </c>
      <c r="GH185">
        <v>13.225583625167928</v>
      </c>
      <c r="GI185">
        <v>41.022774758648438</v>
      </c>
      <c r="GJ185"/>
      <c r="GK185"/>
      <c r="GL185"/>
      <c r="GM185"/>
    </row>
    <row r="186" spans="1:195" s="7" customFormat="1">
      <c r="A186" s="1"/>
      <c r="B186" s="76">
        <f ca="1">IF(C186="", "", RAND())</f>
        <v>0.43158300629931468</v>
      </c>
      <c r="C186">
        <v>2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13.514583333333329</v>
      </c>
      <c r="AO186">
        <v>130.82813183384368</v>
      </c>
      <c r="AP186">
        <v>1007.1913728991873</v>
      </c>
      <c r="AQ186">
        <v>183.67067540801042</v>
      </c>
      <c r="AR186">
        <v>121.40268192059297</v>
      </c>
      <c r="AS186">
        <v>809.53616490947411</v>
      </c>
      <c r="AT186" t="e">
        <v>#DIV/0!</v>
      </c>
      <c r="AU186" t="e">
        <v>#DIV/0!</v>
      </c>
      <c r="AV186"/>
      <c r="AW186"/>
      <c r="AX186" s="146"/>
      <c r="AY186" s="76">
        <f t="shared" ca="1" si="169"/>
        <v>0.10608235213877548</v>
      </c>
      <c r="AZ186">
        <v>9</v>
      </c>
      <c r="BA186" s="129">
        <f t="shared" si="245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4"/>
        <v>0.91891380061114614</v>
      </c>
      <c r="CL186" s="179">
        <f t="shared" si="205"/>
        <v>9</v>
      </c>
      <c r="CM186" s="180">
        <f t="shared" si="206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7"/>
        <v>9.6000000000000002E-2</v>
      </c>
      <c r="DB186" s="146"/>
      <c r="DC186" s="76">
        <f t="shared" ca="1" si="170"/>
        <v>0.27857646196798158</v>
      </c>
      <c r="DD186">
        <f t="shared" si="208"/>
        <v>9</v>
      </c>
      <c r="DE186" s="129">
        <f t="shared" si="244"/>
        <v>39987</v>
      </c>
      <c r="DF186" s="161">
        <f t="shared" si="209"/>
        <v>0</v>
      </c>
      <c r="DG186" s="161">
        <f t="shared" si="210"/>
        <v>0</v>
      </c>
      <c r="DH186" s="161">
        <f t="shared" si="211"/>
        <v>0</v>
      </c>
      <c r="DI186" s="161">
        <f t="shared" si="212"/>
        <v>0</v>
      </c>
      <c r="DJ186" s="161">
        <f t="shared" si="213"/>
        <v>0</v>
      </c>
      <c r="DK186" s="161">
        <f t="shared" si="214"/>
        <v>0</v>
      </c>
      <c r="DL186" s="161">
        <f t="shared" si="215"/>
        <v>0</v>
      </c>
      <c r="DM186" s="161">
        <f t="shared" si="216"/>
        <v>0</v>
      </c>
      <c r="DN186" s="161">
        <f t="shared" si="217"/>
        <v>0</v>
      </c>
      <c r="DO186" s="161">
        <f t="shared" si="218"/>
        <v>0</v>
      </c>
      <c r="DP186" s="161">
        <f t="shared" si="219"/>
        <v>0</v>
      </c>
      <c r="DQ186" s="161">
        <f t="shared" si="220"/>
        <v>0</v>
      </c>
      <c r="DR186" s="161">
        <f t="shared" si="221"/>
        <v>0</v>
      </c>
      <c r="DS186" s="161">
        <f t="shared" si="222"/>
        <v>0</v>
      </c>
      <c r="DT186" s="161">
        <f t="shared" si="223"/>
        <v>0</v>
      </c>
      <c r="DU186" s="161">
        <f t="shared" si="224"/>
        <v>0</v>
      </c>
      <c r="DV186" s="161">
        <f t="shared" si="225"/>
        <v>0</v>
      </c>
      <c r="DW186" s="161">
        <f t="shared" si="226"/>
        <v>0</v>
      </c>
      <c r="DX186" s="161">
        <f t="shared" si="227"/>
        <v>0</v>
      </c>
      <c r="DY186" s="161">
        <f t="shared" si="228"/>
        <v>0</v>
      </c>
      <c r="DZ186" s="161">
        <f t="shared" si="229"/>
        <v>0</v>
      </c>
      <c r="EA186" s="161">
        <f t="shared" si="230"/>
        <v>0</v>
      </c>
      <c r="EB186" s="161">
        <f t="shared" si="231"/>
        <v>0</v>
      </c>
      <c r="EC186" s="161">
        <f t="shared" si="232"/>
        <v>0</v>
      </c>
      <c r="ED186" s="161">
        <f t="shared" si="233"/>
        <v>0</v>
      </c>
      <c r="EE186" s="161">
        <f t="shared" si="234"/>
        <v>0</v>
      </c>
      <c r="EF186" s="161">
        <f t="shared" si="235"/>
        <v>0</v>
      </c>
      <c r="EG186" s="161">
        <f t="shared" si="236"/>
        <v>0</v>
      </c>
      <c r="EH186" s="161">
        <f t="shared" si="237"/>
        <v>0</v>
      </c>
      <c r="EI186" s="161">
        <f t="shared" si="238"/>
        <v>0</v>
      </c>
      <c r="EJ186" s="161">
        <f t="shared" si="239"/>
        <v>0</v>
      </c>
      <c r="EK186" s="147">
        <f t="shared" si="246"/>
        <v>0</v>
      </c>
      <c r="EL186" s="149"/>
      <c r="EN186" s="146"/>
      <c r="EO186" s="146"/>
      <c r="EP186" s="139">
        <f t="shared" si="247"/>
        <v>0</v>
      </c>
      <c r="EQ186" s="139">
        <f t="shared" si="248"/>
        <v>0</v>
      </c>
      <c r="ER186" s="139">
        <f t="shared" si="249"/>
        <v>0</v>
      </c>
      <c r="ES186" s="139">
        <f t="shared" si="250"/>
        <v>0</v>
      </c>
      <c r="ET186" s="139">
        <f t="shared" si="251"/>
        <v>0</v>
      </c>
      <c r="EU186" s="139">
        <f t="shared" si="252"/>
        <v>0</v>
      </c>
      <c r="EV186" s="139">
        <f t="shared" si="253"/>
        <v>0</v>
      </c>
      <c r="EW186" s="139">
        <f t="shared" si="254"/>
        <v>0</v>
      </c>
      <c r="EX186" s="139">
        <f t="shared" si="255"/>
        <v>0</v>
      </c>
      <c r="EY186" s="139">
        <f t="shared" si="256"/>
        <v>0</v>
      </c>
      <c r="EZ186" s="139">
        <f t="shared" si="257"/>
        <v>0</v>
      </c>
      <c r="FA186" s="139">
        <f t="shared" si="258"/>
        <v>0</v>
      </c>
      <c r="FB186" s="139">
        <f t="shared" si="259"/>
        <v>0</v>
      </c>
      <c r="FC186" s="139">
        <f t="shared" si="260"/>
        <v>0</v>
      </c>
      <c r="FD186" s="139">
        <f t="shared" si="261"/>
        <v>0</v>
      </c>
      <c r="FE186" s="139">
        <f t="shared" si="262"/>
        <v>0</v>
      </c>
      <c r="FF186" s="139">
        <f t="shared" si="263"/>
        <v>0</v>
      </c>
      <c r="FG186" s="139">
        <f t="shared" si="264"/>
        <v>0</v>
      </c>
      <c r="FH186" s="139">
        <f t="shared" si="265"/>
        <v>0</v>
      </c>
      <c r="FI186" s="139">
        <f t="shared" si="266"/>
        <v>0</v>
      </c>
      <c r="FJ186" s="139">
        <f t="shared" si="267"/>
        <v>0</v>
      </c>
      <c r="FK186" s="139">
        <f t="shared" si="268"/>
        <v>0</v>
      </c>
      <c r="FL186" s="139">
        <f t="shared" si="269"/>
        <v>0</v>
      </c>
      <c r="FM186" s="139">
        <f t="shared" si="270"/>
        <v>0</v>
      </c>
      <c r="FN186" s="139">
        <f t="shared" si="271"/>
        <v>0</v>
      </c>
      <c r="FO186" s="139">
        <f t="shared" si="272"/>
        <v>0</v>
      </c>
      <c r="FP186" s="139">
        <f t="shared" si="273"/>
        <v>0</v>
      </c>
      <c r="FQ186" s="139">
        <f t="shared" si="274"/>
        <v>0</v>
      </c>
      <c r="FR186" s="139">
        <f t="shared" si="275"/>
        <v>0</v>
      </c>
      <c r="FS186" s="139">
        <f t="shared" si="276"/>
        <v>0</v>
      </c>
      <c r="FT186" s="139">
        <f t="shared" si="277"/>
        <v>0</v>
      </c>
      <c r="FU186" s="148">
        <f t="shared" si="278"/>
        <v>0</v>
      </c>
      <c r="FV186" s="149"/>
      <c r="FY186" s="211">
        <v>181</v>
      </c>
      <c r="FZ186">
        <v>32.012529231579009</v>
      </c>
      <c r="GA186">
        <v>34.163965498705018</v>
      </c>
      <c r="GB186">
        <v>29.539161529455516</v>
      </c>
      <c r="GC186">
        <v>2.0291773080507918</v>
      </c>
      <c r="GD186">
        <v>0.219960395077124</v>
      </c>
      <c r="GE186">
        <v>0.41446923289228399</v>
      </c>
      <c r="GF186">
        <v>3.6812561936715276</v>
      </c>
      <c r="GG186">
        <v>7.0961174779690293</v>
      </c>
      <c r="GH186">
        <v>5.582888179644657</v>
      </c>
      <c r="GI186">
        <v>37.139436102555067</v>
      </c>
      <c r="GJ186"/>
      <c r="GK186"/>
      <c r="GL186"/>
      <c r="GM186"/>
    </row>
    <row r="187" spans="1:195" s="7" customFormat="1">
      <c r="A187" s="1"/>
      <c r="B187" s="76">
        <f ca="1">IF(C187="", "", RAND())</f>
        <v>0.944601752822261</v>
      </c>
      <c r="C187">
        <v>9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13.323183760683762</v>
      </c>
      <c r="AO187">
        <v>125.86528762216605</v>
      </c>
      <c r="AP187">
        <v>958.96033840201494</v>
      </c>
      <c r="AQ187">
        <v>192.71586498532403</v>
      </c>
      <c r="AR187">
        <v>116.81138513982408</v>
      </c>
      <c r="AS187">
        <v>718.27623194259206</v>
      </c>
      <c r="AT187" t="e">
        <v>#DIV/0!</v>
      </c>
      <c r="AU187" t="e">
        <v>#DIV/0!</v>
      </c>
      <c r="AV187"/>
      <c r="AW187"/>
      <c r="AX187" s="146"/>
      <c r="AY187" s="76">
        <f t="shared" ca="1" si="169"/>
        <v>6.8434468135436965E-2</v>
      </c>
      <c r="AZ187">
        <v>10</v>
      </c>
      <c r="BA187" s="129">
        <f t="shared" si="245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4"/>
        <v>0.5526897189636184</v>
      </c>
      <c r="CL187" s="179">
        <f t="shared" si="205"/>
        <v>10</v>
      </c>
      <c r="CM187" s="180">
        <f t="shared" si="206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7"/>
        <v>9.6000000000000002E-2</v>
      </c>
      <c r="DB187" s="146"/>
      <c r="DC187" s="76">
        <f t="shared" ca="1" si="170"/>
        <v>0.95707478059207318</v>
      </c>
      <c r="DD187">
        <f t="shared" si="208"/>
        <v>10</v>
      </c>
      <c r="DE187" s="129">
        <f t="shared" si="244"/>
        <v>39987</v>
      </c>
      <c r="DF187" s="161">
        <f t="shared" si="209"/>
        <v>0</v>
      </c>
      <c r="DG187" s="161">
        <f t="shared" si="210"/>
        <v>0</v>
      </c>
      <c r="DH187" s="161">
        <f t="shared" si="211"/>
        <v>0</v>
      </c>
      <c r="DI187" s="161">
        <f t="shared" si="212"/>
        <v>0</v>
      </c>
      <c r="DJ187" s="161">
        <f t="shared" si="213"/>
        <v>0</v>
      </c>
      <c r="DK187" s="161">
        <f t="shared" si="214"/>
        <v>0</v>
      </c>
      <c r="DL187" s="161">
        <f t="shared" si="215"/>
        <v>0</v>
      </c>
      <c r="DM187" s="161">
        <f t="shared" si="216"/>
        <v>0</v>
      </c>
      <c r="DN187" s="161">
        <f t="shared" si="217"/>
        <v>0</v>
      </c>
      <c r="DO187" s="161">
        <f t="shared" si="218"/>
        <v>0</v>
      </c>
      <c r="DP187" s="161">
        <f t="shared" si="219"/>
        <v>0</v>
      </c>
      <c r="DQ187" s="161">
        <f t="shared" si="220"/>
        <v>0</v>
      </c>
      <c r="DR187" s="161">
        <f t="shared" si="221"/>
        <v>0</v>
      </c>
      <c r="DS187" s="161">
        <f t="shared" si="222"/>
        <v>0</v>
      </c>
      <c r="DT187" s="161">
        <f t="shared" si="223"/>
        <v>0</v>
      </c>
      <c r="DU187" s="161">
        <f t="shared" si="224"/>
        <v>0</v>
      </c>
      <c r="DV187" s="161">
        <f t="shared" si="225"/>
        <v>0</v>
      </c>
      <c r="DW187" s="161">
        <f t="shared" si="226"/>
        <v>0</v>
      </c>
      <c r="DX187" s="161">
        <f t="shared" si="227"/>
        <v>0</v>
      </c>
      <c r="DY187" s="161">
        <f t="shared" si="228"/>
        <v>0</v>
      </c>
      <c r="DZ187" s="161">
        <f t="shared" si="229"/>
        <v>0</v>
      </c>
      <c r="EA187" s="161">
        <f t="shared" si="230"/>
        <v>0</v>
      </c>
      <c r="EB187" s="161">
        <f t="shared" si="231"/>
        <v>0</v>
      </c>
      <c r="EC187" s="161">
        <f t="shared" si="232"/>
        <v>0</v>
      </c>
      <c r="ED187" s="161">
        <f t="shared" si="233"/>
        <v>0</v>
      </c>
      <c r="EE187" s="161">
        <f t="shared" si="234"/>
        <v>0</v>
      </c>
      <c r="EF187" s="161">
        <f t="shared" si="235"/>
        <v>0</v>
      </c>
      <c r="EG187" s="161">
        <f t="shared" si="236"/>
        <v>0</v>
      </c>
      <c r="EH187" s="161">
        <f t="shared" si="237"/>
        <v>0</v>
      </c>
      <c r="EI187" s="161">
        <f t="shared" si="238"/>
        <v>0</v>
      </c>
      <c r="EJ187" s="161">
        <f t="shared" si="239"/>
        <v>0</v>
      </c>
      <c r="EK187" s="147">
        <f t="shared" si="246"/>
        <v>0</v>
      </c>
      <c r="EL187" s="149"/>
      <c r="EN187" s="146"/>
      <c r="EO187" s="146"/>
      <c r="EP187" s="139">
        <f t="shared" si="247"/>
        <v>0</v>
      </c>
      <c r="EQ187" s="139">
        <f t="shared" si="248"/>
        <v>0</v>
      </c>
      <c r="ER187" s="139">
        <f t="shared" si="249"/>
        <v>0</v>
      </c>
      <c r="ES187" s="139">
        <f t="shared" si="250"/>
        <v>0</v>
      </c>
      <c r="ET187" s="139">
        <f t="shared" si="251"/>
        <v>0</v>
      </c>
      <c r="EU187" s="139">
        <f t="shared" si="252"/>
        <v>0</v>
      </c>
      <c r="EV187" s="139">
        <f t="shared" si="253"/>
        <v>0</v>
      </c>
      <c r="EW187" s="139">
        <f t="shared" si="254"/>
        <v>0</v>
      </c>
      <c r="EX187" s="139">
        <f t="shared" si="255"/>
        <v>0</v>
      </c>
      <c r="EY187" s="139">
        <f t="shared" si="256"/>
        <v>0</v>
      </c>
      <c r="EZ187" s="139">
        <f t="shared" si="257"/>
        <v>0</v>
      </c>
      <c r="FA187" s="139">
        <f t="shared" si="258"/>
        <v>0</v>
      </c>
      <c r="FB187" s="139">
        <f t="shared" si="259"/>
        <v>0</v>
      </c>
      <c r="FC187" s="139">
        <f t="shared" si="260"/>
        <v>0</v>
      </c>
      <c r="FD187" s="139">
        <f t="shared" si="261"/>
        <v>0</v>
      </c>
      <c r="FE187" s="139">
        <f t="shared" si="262"/>
        <v>0</v>
      </c>
      <c r="FF187" s="139">
        <f t="shared" si="263"/>
        <v>0</v>
      </c>
      <c r="FG187" s="139">
        <f t="shared" si="264"/>
        <v>0</v>
      </c>
      <c r="FH187" s="139">
        <f t="shared" si="265"/>
        <v>0</v>
      </c>
      <c r="FI187" s="139">
        <f t="shared" si="266"/>
        <v>0</v>
      </c>
      <c r="FJ187" s="139">
        <f t="shared" si="267"/>
        <v>0</v>
      </c>
      <c r="FK187" s="139">
        <f t="shared" si="268"/>
        <v>0</v>
      </c>
      <c r="FL187" s="139">
        <f t="shared" si="269"/>
        <v>0</v>
      </c>
      <c r="FM187" s="139">
        <f t="shared" si="270"/>
        <v>0</v>
      </c>
      <c r="FN187" s="139">
        <f t="shared" si="271"/>
        <v>0</v>
      </c>
      <c r="FO187" s="139">
        <f t="shared" si="272"/>
        <v>0</v>
      </c>
      <c r="FP187" s="139">
        <f t="shared" si="273"/>
        <v>0</v>
      </c>
      <c r="FQ187" s="139">
        <f t="shared" si="274"/>
        <v>0</v>
      </c>
      <c r="FR187" s="139">
        <f t="shared" si="275"/>
        <v>0</v>
      </c>
      <c r="FS187" s="139">
        <f t="shared" si="276"/>
        <v>0</v>
      </c>
      <c r="FT187" s="139">
        <f t="shared" si="277"/>
        <v>0</v>
      </c>
      <c r="FU187" s="148">
        <f t="shared" si="278"/>
        <v>0</v>
      </c>
      <c r="FV187" s="149"/>
      <c r="FY187" s="211">
        <v>182</v>
      </c>
      <c r="FZ187">
        <v>41.429749998671184</v>
      </c>
      <c r="GA187">
        <v>46.679963928406707</v>
      </c>
      <c r="GB187">
        <v>53.077671279238366</v>
      </c>
      <c r="GC187">
        <v>0.98478415056562718</v>
      </c>
      <c r="GD187">
        <v>0.12701976225396919</v>
      </c>
      <c r="GE187">
        <v>0.22659701993714865</v>
      </c>
      <c r="GF187">
        <v>2.1471784907005711</v>
      </c>
      <c r="GG187">
        <v>5.8797947598496716</v>
      </c>
      <c r="GH187">
        <v>17.253860269699697</v>
      </c>
      <c r="GI187">
        <v>50.212558549330971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18.899091880341881</v>
      </c>
      <c r="AO188">
        <v>123.75812770697834</v>
      </c>
      <c r="AP188">
        <v>678.91917405374022</v>
      </c>
      <c r="AQ188">
        <v>196.27158202360789</v>
      </c>
      <c r="AR188">
        <v>114.76695805801299</v>
      </c>
      <c r="AS188">
        <v>1180.6476836484828</v>
      </c>
      <c r="AT188" t="e">
        <v>#DIV/0!</v>
      </c>
      <c r="AU188" t="e">
        <v>#DIV/0!</v>
      </c>
      <c r="AV188"/>
      <c r="AW188"/>
      <c r="AX188" s="128"/>
      <c r="AY188" s="76" t="str">
        <f t="shared" ca="1" si="169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4"/>
        <v/>
      </c>
      <c r="CL188" s="179" t="str">
        <f t="shared" si="205"/>
        <v/>
      </c>
      <c r="CM188" s="180" t="str">
        <f t="shared" si="206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7"/>
        <v/>
      </c>
      <c r="DB188" s="128"/>
      <c r="DC188" s="76" t="str">
        <f t="shared" ca="1" si="170"/>
        <v/>
      </c>
      <c r="DD188" t="str">
        <f t="shared" si="208"/>
        <v/>
      </c>
      <c r="DE188" s="129" t="str">
        <f t="shared" ref="DE188:DE197" si="279">IF((DD188)="", "", $C$14)</f>
        <v/>
      </c>
      <c r="DF188" s="161" t="str">
        <f t="shared" ref="DF188:DF207" si="280">IF($AZ188="", "", ((BB188*$CW188)+(CN188*$CX188))/$CZ188)</f>
        <v/>
      </c>
      <c r="DG188" s="161" t="str">
        <f t="shared" ref="DG188:DG207" si="281">IF($AZ188="", "", ((BC188*$CW188)+(CO188*$CX188))/$CZ188)</f>
        <v/>
      </c>
      <c r="DH188" s="161" t="str">
        <f t="shared" ref="DH188:DH207" si="282">IF($AZ188="", "", ((BD188*$CW188)+(CP188*$CX188))/$CZ188)</f>
        <v/>
      </c>
      <c r="DI188" s="161" t="str">
        <f t="shared" ref="DI188:DI207" si="283">IF($AZ188="", "", ((BE188*$CW188)+(CQ188*$CX188))/$CZ188)</f>
        <v/>
      </c>
      <c r="DJ188" s="161" t="str">
        <f t="shared" ref="DJ188:DJ207" si="284">IF($AZ188="", "", ((BF188*$CW188)+(CR188*$CX188))/$CZ188)</f>
        <v/>
      </c>
      <c r="DK188" s="161" t="str">
        <f t="shared" ref="DK188:DK207" si="285">IF($AZ188="", "", ((BG188*$CW188)+(CS188*$CX188))/$CZ188)</f>
        <v/>
      </c>
      <c r="DL188" s="161" t="str">
        <f t="shared" ref="DL188:DL207" si="286">IF($AZ188="", "", ((BH188*$CW188)+(CT188*$CX188))/$CZ188)</f>
        <v/>
      </c>
      <c r="DM188" s="161" t="str">
        <f t="shared" ref="DM188:DM207" si="287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8">IF($AZ188="", "", (BK187*$CW188)/$CZ188)</f>
        <v/>
      </c>
      <c r="DP188" s="161" t="str">
        <f t="shared" ref="DP188:DP193" si="289">IF($AZ188="", "", (BL187*$CW188)/$CZ188)</f>
        <v/>
      </c>
      <c r="DQ188" s="161" t="str">
        <f t="shared" ref="DQ188:DQ193" si="290">IF($AZ188="", "", (BM187*$CW188)/$CZ188)</f>
        <v/>
      </c>
      <c r="DR188" s="161" t="str">
        <f t="shared" ref="DR188:DR193" si="291">IF($AZ188="", "", (BN187*$CW188)/$CZ188)</f>
        <v/>
      </c>
      <c r="DS188" s="161" t="str">
        <f t="shared" ref="DS188:DS193" si="292">IF($AZ188="", "", (BO187*$CW188)/$CZ188)</f>
        <v/>
      </c>
      <c r="DT188" s="161" t="str">
        <f t="shared" ref="DT188:DT193" si="293">IF($AZ188="", "", (BP187*$CW188)/$CZ188)</f>
        <v/>
      </c>
      <c r="DU188" s="161" t="str">
        <f t="shared" ref="DU188:DU193" si="294">IF($AZ188="", "", (BQ187*$CW188)/$CZ188)</f>
        <v/>
      </c>
      <c r="DV188" s="161" t="str">
        <f t="shared" ref="DV188:DV193" si="295">IF($AZ188="", "", (BR187*$CW188)/$CZ188)</f>
        <v/>
      </c>
      <c r="DW188" s="161" t="str">
        <f t="shared" ref="DW188:DW193" si="296">IF($AZ188="", "", (BS187*$CW188)/$CZ188)</f>
        <v/>
      </c>
      <c r="DX188" s="161" t="str">
        <f t="shared" ref="DX188:DX193" si="297">IF($AZ188="", "", (BT187*$CW188)/$CZ188)</f>
        <v/>
      </c>
      <c r="DY188" s="161" t="str">
        <f t="shared" ref="DY188:DY193" si="298">IF($AZ188="", "", (BU187*$CW188)/$CZ188)</f>
        <v/>
      </c>
      <c r="DZ188" s="161" t="str">
        <f t="shared" ref="DZ188:DZ193" si="299">IF($AZ188="", "", (BV187*$CW188)/$CZ188)</f>
        <v/>
      </c>
      <c r="EA188" s="161" t="str">
        <f t="shared" ref="EA188:EA193" si="300">IF($AZ188="", "", (BW187*$CW188)/$CZ188)</f>
        <v/>
      </c>
      <c r="EB188" s="161" t="str">
        <f t="shared" ref="EB188:EB193" si="301">IF($AZ188="", "", (BX187*$CW188)/$CZ188)</f>
        <v/>
      </c>
      <c r="EC188" s="161" t="str">
        <f t="shared" ref="EC188:EC193" si="302">IF($AZ188="", "", (BY187*$CW188)/$CZ188)</f>
        <v/>
      </c>
      <c r="ED188" s="161" t="str">
        <f t="shared" ref="ED188:ED193" si="303">IF($AZ188="", "", (BZ187*$CW188)/$CZ188)</f>
        <v/>
      </c>
      <c r="EE188" s="161" t="str">
        <f t="shared" ref="EE188:EE193" si="304">IF($AZ188="", "", (CA187*$CW188)/$CZ188)</f>
        <v/>
      </c>
      <c r="EF188" s="161" t="str">
        <f t="shared" ref="EF188:EF193" si="305">IF($AZ188="", "", (CB187*$CW188)/$CZ188)</f>
        <v/>
      </c>
      <c r="EG188" s="161" t="str">
        <f t="shared" ref="EG188:EG193" si="306">IF($AZ188="", "", (CC187*$CW188)/$CZ188)</f>
        <v/>
      </c>
      <c r="EH188" s="161" t="str">
        <f t="shared" ref="EH188:EH193" si="307">IF($AZ188="", "", (CD187*$CW188)/$CZ188)</f>
        <v/>
      </c>
      <c r="EI188" s="161" t="str">
        <f t="shared" ref="EI188:EI193" si="308">IF($AZ188="", "", (CE187*$CW188)/$CZ188)</f>
        <v/>
      </c>
      <c r="EJ188" s="161" t="str">
        <f t="shared" ref="EJ188:EJ193" si="309">IF($AZ188="", "", (CF187*$CW188)/$CZ188)</f>
        <v/>
      </c>
      <c r="EK188" s="147" t="str">
        <f t="shared" si="246"/>
        <v/>
      </c>
      <c r="EL188" s="149"/>
      <c r="EN188" s="146"/>
      <c r="EO188" s="146"/>
      <c r="EP188" s="139" t="str">
        <f t="shared" si="247"/>
        <v/>
      </c>
      <c r="EQ188" s="139" t="str">
        <f t="shared" si="248"/>
        <v/>
      </c>
      <c r="ER188" s="139" t="str">
        <f t="shared" si="249"/>
        <v/>
      </c>
      <c r="ES188" s="139" t="str">
        <f t="shared" si="250"/>
        <v/>
      </c>
      <c r="ET188" s="139" t="str">
        <f t="shared" si="251"/>
        <v/>
      </c>
      <c r="EU188" s="139" t="str">
        <f t="shared" si="252"/>
        <v/>
      </c>
      <c r="EV188" s="139" t="str">
        <f t="shared" si="253"/>
        <v/>
      </c>
      <c r="EW188" s="139" t="str">
        <f t="shared" si="254"/>
        <v/>
      </c>
      <c r="EX188" s="139" t="str">
        <f t="shared" si="255"/>
        <v/>
      </c>
      <c r="EY188" s="139" t="str">
        <f t="shared" si="256"/>
        <v/>
      </c>
      <c r="EZ188" s="139" t="str">
        <f t="shared" si="257"/>
        <v/>
      </c>
      <c r="FA188" s="139" t="str">
        <f t="shared" si="258"/>
        <v/>
      </c>
      <c r="FB188" s="139" t="str">
        <f t="shared" si="259"/>
        <v/>
      </c>
      <c r="FC188" s="139" t="str">
        <f t="shared" si="260"/>
        <v/>
      </c>
      <c r="FD188" s="139" t="str">
        <f t="shared" si="261"/>
        <v/>
      </c>
      <c r="FE188" s="139" t="str">
        <f t="shared" si="262"/>
        <v/>
      </c>
      <c r="FF188" s="139" t="str">
        <f t="shared" si="263"/>
        <v/>
      </c>
      <c r="FG188" s="139" t="str">
        <f t="shared" si="264"/>
        <v/>
      </c>
      <c r="FH188" s="139" t="str">
        <f t="shared" si="265"/>
        <v/>
      </c>
      <c r="FI188" s="139" t="str">
        <f t="shared" si="266"/>
        <v/>
      </c>
      <c r="FJ188" s="139" t="str">
        <f t="shared" si="267"/>
        <v/>
      </c>
      <c r="FK188" s="139" t="str">
        <f t="shared" si="268"/>
        <v/>
      </c>
      <c r="FL188" s="139" t="str">
        <f t="shared" si="269"/>
        <v/>
      </c>
      <c r="FM188" s="139" t="str">
        <f t="shared" si="270"/>
        <v/>
      </c>
      <c r="FN188" s="139" t="str">
        <f t="shared" si="271"/>
        <v/>
      </c>
      <c r="FO188" s="139" t="str">
        <f t="shared" si="272"/>
        <v/>
      </c>
      <c r="FP188" s="139" t="str">
        <f t="shared" si="273"/>
        <v/>
      </c>
      <c r="FQ188" s="139" t="str">
        <f t="shared" si="274"/>
        <v/>
      </c>
      <c r="FR188" s="139" t="str">
        <f t="shared" si="275"/>
        <v/>
      </c>
      <c r="FS188" s="139" t="str">
        <f t="shared" si="276"/>
        <v/>
      </c>
      <c r="FT188" s="139" t="str">
        <f t="shared" si="277"/>
        <v/>
      </c>
      <c r="FU188" s="148" t="str">
        <f t="shared" si="278"/>
        <v/>
      </c>
      <c r="FV188" s="149"/>
      <c r="FY188" s="211">
        <v>183</v>
      </c>
      <c r="FZ188">
        <v>41.227847644920246</v>
      </c>
      <c r="GA188">
        <v>49.895090455002119</v>
      </c>
      <c r="GB188">
        <v>34.237673907701399</v>
      </c>
      <c r="GC188">
        <v>1.9129689227810074</v>
      </c>
      <c r="GD188">
        <v>0.34497244441380825</v>
      </c>
      <c r="GE188">
        <v>0.43988990202564854</v>
      </c>
      <c r="GF188">
        <v>2.1364780152211202</v>
      </c>
      <c r="GG188">
        <v>8.4409198701591812</v>
      </c>
      <c r="GH188">
        <v>11.165776359289314</v>
      </c>
      <c r="GI188">
        <v>37.776169928182611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16.259374999999999</v>
      </c>
      <c r="AO189">
        <v>87.378751416339497</v>
      </c>
      <c r="AP189">
        <v>591.72969771815838</v>
      </c>
      <c r="AQ189">
        <v>218.91613309599106</v>
      </c>
      <c r="AR189">
        <v>81.100566964369307</v>
      </c>
      <c r="AS189">
        <v>666.04708971803962</v>
      </c>
      <c r="AT189" t="e">
        <v>#DIV/0!</v>
      </c>
      <c r="AU189" t="e">
        <v>#DIV/0!</v>
      </c>
      <c r="AV189"/>
      <c r="AW189"/>
      <c r="AX189" s="146"/>
      <c r="AY189" s="76" t="str">
        <f t="shared" ca="1" si="169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4"/>
        <v/>
      </c>
      <c r="CL189" s="179" t="str">
        <f t="shared" si="205"/>
        <v/>
      </c>
      <c r="CM189" s="180" t="str">
        <f t="shared" si="206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7"/>
        <v/>
      </c>
      <c r="DB189" s="146"/>
      <c r="DC189" s="76" t="str">
        <f t="shared" ca="1" si="170"/>
        <v/>
      </c>
      <c r="DD189" t="str">
        <f t="shared" si="208"/>
        <v/>
      </c>
      <c r="DE189" s="129" t="str">
        <f t="shared" si="279"/>
        <v/>
      </c>
      <c r="DF189" s="161" t="str">
        <f t="shared" si="280"/>
        <v/>
      </c>
      <c r="DG189" s="161" t="str">
        <f t="shared" si="281"/>
        <v/>
      </c>
      <c r="DH189" s="161" t="str">
        <f t="shared" si="282"/>
        <v/>
      </c>
      <c r="DI189" s="161" t="str">
        <f t="shared" si="283"/>
        <v/>
      </c>
      <c r="DJ189" s="161" t="str">
        <f t="shared" si="284"/>
        <v/>
      </c>
      <c r="DK189" s="161" t="str">
        <f t="shared" si="285"/>
        <v/>
      </c>
      <c r="DL189" s="161" t="str">
        <f t="shared" si="286"/>
        <v/>
      </c>
      <c r="DM189" s="161" t="str">
        <f t="shared" si="287"/>
        <v/>
      </c>
      <c r="DN189" s="161" t="str">
        <f>IF($AZ189="", "", (BJ189*$CW189)/$CZ189)</f>
        <v/>
      </c>
      <c r="DO189" s="161" t="str">
        <f t="shared" si="288"/>
        <v/>
      </c>
      <c r="DP189" s="161" t="str">
        <f t="shared" si="289"/>
        <v/>
      </c>
      <c r="DQ189" s="161" t="str">
        <f t="shared" si="290"/>
        <v/>
      </c>
      <c r="DR189" s="161" t="str">
        <f t="shared" si="291"/>
        <v/>
      </c>
      <c r="DS189" s="161" t="str">
        <f t="shared" si="292"/>
        <v/>
      </c>
      <c r="DT189" s="161" t="str">
        <f t="shared" si="293"/>
        <v/>
      </c>
      <c r="DU189" s="161" t="str">
        <f t="shared" si="294"/>
        <v/>
      </c>
      <c r="DV189" s="161" t="str">
        <f t="shared" si="295"/>
        <v/>
      </c>
      <c r="DW189" s="161" t="str">
        <f t="shared" si="296"/>
        <v/>
      </c>
      <c r="DX189" s="161" t="str">
        <f t="shared" si="297"/>
        <v/>
      </c>
      <c r="DY189" s="161" t="str">
        <f t="shared" si="298"/>
        <v/>
      </c>
      <c r="DZ189" s="161" t="str">
        <f t="shared" si="299"/>
        <v/>
      </c>
      <c r="EA189" s="161" t="str">
        <f t="shared" si="300"/>
        <v/>
      </c>
      <c r="EB189" s="161" t="str">
        <f t="shared" si="301"/>
        <v/>
      </c>
      <c r="EC189" s="161" t="str">
        <f t="shared" si="302"/>
        <v/>
      </c>
      <c r="ED189" s="161" t="str">
        <f t="shared" si="303"/>
        <v/>
      </c>
      <c r="EE189" s="161" t="str">
        <f t="shared" si="304"/>
        <v/>
      </c>
      <c r="EF189" s="161" t="str">
        <f t="shared" si="305"/>
        <v/>
      </c>
      <c r="EG189" s="161" t="str">
        <f t="shared" si="306"/>
        <v/>
      </c>
      <c r="EH189" s="161" t="str">
        <f t="shared" si="307"/>
        <v/>
      </c>
      <c r="EI189" s="161" t="str">
        <f t="shared" si="308"/>
        <v/>
      </c>
      <c r="EJ189" s="161" t="str">
        <f t="shared" si="309"/>
        <v/>
      </c>
      <c r="EK189" s="147" t="str">
        <f t="shared" si="246"/>
        <v/>
      </c>
      <c r="EL189" s="149"/>
      <c r="EN189" s="146"/>
      <c r="EO189" s="146"/>
      <c r="EP189" s="139" t="str">
        <f t="shared" si="247"/>
        <v/>
      </c>
      <c r="EQ189" s="139" t="str">
        <f t="shared" si="248"/>
        <v/>
      </c>
      <c r="ER189" s="139" t="str">
        <f t="shared" si="249"/>
        <v/>
      </c>
      <c r="ES189" s="139" t="str">
        <f t="shared" si="250"/>
        <v/>
      </c>
      <c r="ET189" s="139" t="str">
        <f t="shared" si="251"/>
        <v/>
      </c>
      <c r="EU189" s="139" t="str">
        <f t="shared" si="252"/>
        <v/>
      </c>
      <c r="EV189" s="139" t="str">
        <f t="shared" si="253"/>
        <v/>
      </c>
      <c r="EW189" s="139" t="str">
        <f t="shared" si="254"/>
        <v/>
      </c>
      <c r="EX189" s="139" t="str">
        <f t="shared" si="255"/>
        <v/>
      </c>
      <c r="EY189" s="139" t="str">
        <f t="shared" si="256"/>
        <v/>
      </c>
      <c r="EZ189" s="139" t="str">
        <f t="shared" si="257"/>
        <v/>
      </c>
      <c r="FA189" s="139" t="str">
        <f t="shared" si="258"/>
        <v/>
      </c>
      <c r="FB189" s="139" t="str">
        <f t="shared" si="259"/>
        <v/>
      </c>
      <c r="FC189" s="139" t="str">
        <f t="shared" si="260"/>
        <v/>
      </c>
      <c r="FD189" s="139" t="str">
        <f t="shared" si="261"/>
        <v/>
      </c>
      <c r="FE189" s="139" t="str">
        <f t="shared" si="262"/>
        <v/>
      </c>
      <c r="FF189" s="139" t="str">
        <f t="shared" si="263"/>
        <v/>
      </c>
      <c r="FG189" s="139" t="str">
        <f t="shared" si="264"/>
        <v/>
      </c>
      <c r="FH189" s="139" t="str">
        <f t="shared" si="265"/>
        <v/>
      </c>
      <c r="FI189" s="139" t="str">
        <f t="shared" si="266"/>
        <v/>
      </c>
      <c r="FJ189" s="139" t="str">
        <f t="shared" si="267"/>
        <v/>
      </c>
      <c r="FK189" s="139" t="str">
        <f t="shared" si="268"/>
        <v/>
      </c>
      <c r="FL189" s="139" t="str">
        <f t="shared" si="269"/>
        <v/>
      </c>
      <c r="FM189" s="139" t="str">
        <f t="shared" si="270"/>
        <v/>
      </c>
      <c r="FN189" s="139" t="str">
        <f t="shared" si="271"/>
        <v/>
      </c>
      <c r="FO189" s="139" t="str">
        <f t="shared" si="272"/>
        <v/>
      </c>
      <c r="FP189" s="139" t="str">
        <f t="shared" si="273"/>
        <v/>
      </c>
      <c r="FQ189" s="139" t="str">
        <f t="shared" si="274"/>
        <v/>
      </c>
      <c r="FR189" s="139" t="str">
        <f t="shared" si="275"/>
        <v/>
      </c>
      <c r="FS189" s="139" t="str">
        <f t="shared" si="276"/>
        <v/>
      </c>
      <c r="FT189" s="139" t="str">
        <f t="shared" si="277"/>
        <v/>
      </c>
      <c r="FU189" s="148" t="str">
        <f t="shared" si="278"/>
        <v/>
      </c>
      <c r="FV189" s="149"/>
      <c r="FY189" s="211">
        <v>184</v>
      </c>
      <c r="FZ189">
        <v>13.90024370737391</v>
      </c>
      <c r="GA189">
        <v>15.044243855700294</v>
      </c>
      <c r="GB189">
        <v>79.412757379113856</v>
      </c>
      <c r="GC189">
        <v>2.1664883633952292</v>
      </c>
      <c r="GD189">
        <v>7.2416467423622538E-2</v>
      </c>
      <c r="GE189">
        <v>0.48778338295439488</v>
      </c>
      <c r="GF189">
        <v>5.023624900880808</v>
      </c>
      <c r="GG189">
        <v>15.078259169239505</v>
      </c>
      <c r="GH189">
        <v>22.422890605804085</v>
      </c>
      <c r="GI189">
        <v>69.098295569300845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13.75300480769231</v>
      </c>
      <c r="AO190">
        <v>141.19051100749058</v>
      </c>
      <c r="AP190">
        <v>1328.2564662314162</v>
      </c>
      <c r="AQ190">
        <v>216.28220333711474</v>
      </c>
      <c r="AR190">
        <v>130.94206956014023</v>
      </c>
      <c r="AS190">
        <v>746.3443067810183</v>
      </c>
      <c r="AT190" t="e">
        <v>#DIV/0!</v>
      </c>
      <c r="AU190" t="e">
        <v>#DIV/0!</v>
      </c>
      <c r="AV190"/>
      <c r="AW190"/>
      <c r="AX190" s="146"/>
      <c r="AY190" s="76" t="str">
        <f t="shared" ca="1" si="169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4"/>
        <v/>
      </c>
      <c r="CL190" s="179" t="str">
        <f t="shared" si="205"/>
        <v/>
      </c>
      <c r="CM190" s="180" t="str">
        <f t="shared" si="206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7"/>
        <v/>
      </c>
      <c r="DB190" s="146"/>
      <c r="DC190" s="76" t="str">
        <f t="shared" ca="1" si="170"/>
        <v/>
      </c>
      <c r="DD190" t="str">
        <f t="shared" si="208"/>
        <v/>
      </c>
      <c r="DE190" s="129" t="str">
        <f t="shared" si="279"/>
        <v/>
      </c>
      <c r="DF190" s="161" t="str">
        <f t="shared" si="280"/>
        <v/>
      </c>
      <c r="DG190" s="161" t="str">
        <f t="shared" si="281"/>
        <v/>
      </c>
      <c r="DH190" s="161" t="str">
        <f t="shared" si="282"/>
        <v/>
      </c>
      <c r="DI190" s="161" t="str">
        <f t="shared" si="283"/>
        <v/>
      </c>
      <c r="DJ190" s="161" t="str">
        <f t="shared" si="284"/>
        <v/>
      </c>
      <c r="DK190" s="161" t="str">
        <f t="shared" si="285"/>
        <v/>
      </c>
      <c r="DL190" s="161" t="str">
        <f t="shared" si="286"/>
        <v/>
      </c>
      <c r="DM190" s="161" t="str">
        <f t="shared" si="287"/>
        <v/>
      </c>
      <c r="DN190" s="161" t="str">
        <f>IF($AZ190="", "", (BJ190*$CW190)/$CZ190)</f>
        <v/>
      </c>
      <c r="DO190" s="161" t="str">
        <f t="shared" si="288"/>
        <v/>
      </c>
      <c r="DP190" s="161" t="str">
        <f t="shared" si="289"/>
        <v/>
      </c>
      <c r="DQ190" s="161" t="str">
        <f t="shared" si="290"/>
        <v/>
      </c>
      <c r="DR190" s="161" t="str">
        <f t="shared" si="291"/>
        <v/>
      </c>
      <c r="DS190" s="161" t="str">
        <f t="shared" si="292"/>
        <v/>
      </c>
      <c r="DT190" s="161" t="str">
        <f t="shared" si="293"/>
        <v/>
      </c>
      <c r="DU190" s="161" t="str">
        <f t="shared" si="294"/>
        <v/>
      </c>
      <c r="DV190" s="161" t="str">
        <f t="shared" si="295"/>
        <v/>
      </c>
      <c r="DW190" s="161" t="str">
        <f t="shared" si="296"/>
        <v/>
      </c>
      <c r="DX190" s="161" t="str">
        <f t="shared" si="297"/>
        <v/>
      </c>
      <c r="DY190" s="161" t="str">
        <f t="shared" si="298"/>
        <v/>
      </c>
      <c r="DZ190" s="161" t="str">
        <f t="shared" si="299"/>
        <v/>
      </c>
      <c r="EA190" s="161" t="str">
        <f t="shared" si="300"/>
        <v/>
      </c>
      <c r="EB190" s="161" t="str">
        <f t="shared" si="301"/>
        <v/>
      </c>
      <c r="EC190" s="161" t="str">
        <f t="shared" si="302"/>
        <v/>
      </c>
      <c r="ED190" s="161" t="str">
        <f t="shared" si="303"/>
        <v/>
      </c>
      <c r="EE190" s="161" t="str">
        <f t="shared" si="304"/>
        <v/>
      </c>
      <c r="EF190" s="161" t="str">
        <f t="shared" si="305"/>
        <v/>
      </c>
      <c r="EG190" s="161" t="str">
        <f t="shared" si="306"/>
        <v/>
      </c>
      <c r="EH190" s="161" t="str">
        <f t="shared" si="307"/>
        <v/>
      </c>
      <c r="EI190" s="161" t="str">
        <f t="shared" si="308"/>
        <v/>
      </c>
      <c r="EJ190" s="161" t="str">
        <f t="shared" si="309"/>
        <v/>
      </c>
      <c r="EK190" s="147" t="str">
        <f t="shared" si="246"/>
        <v/>
      </c>
      <c r="EL190" s="149"/>
      <c r="EN190" s="146"/>
      <c r="EO190" s="146"/>
      <c r="EP190" s="139" t="str">
        <f t="shared" si="247"/>
        <v/>
      </c>
      <c r="EQ190" s="139" t="str">
        <f t="shared" si="248"/>
        <v/>
      </c>
      <c r="ER190" s="139" t="str">
        <f t="shared" si="249"/>
        <v/>
      </c>
      <c r="ES190" s="139" t="str">
        <f t="shared" si="250"/>
        <v/>
      </c>
      <c r="ET190" s="139" t="str">
        <f t="shared" si="251"/>
        <v/>
      </c>
      <c r="EU190" s="139" t="str">
        <f t="shared" si="252"/>
        <v/>
      </c>
      <c r="EV190" s="139" t="str">
        <f t="shared" si="253"/>
        <v/>
      </c>
      <c r="EW190" s="139" t="str">
        <f t="shared" si="254"/>
        <v/>
      </c>
      <c r="EX190" s="139" t="str">
        <f t="shared" si="255"/>
        <v/>
      </c>
      <c r="EY190" s="139" t="str">
        <f t="shared" si="256"/>
        <v/>
      </c>
      <c r="EZ190" s="139" t="str">
        <f t="shared" si="257"/>
        <v/>
      </c>
      <c r="FA190" s="139" t="str">
        <f t="shared" si="258"/>
        <v/>
      </c>
      <c r="FB190" s="139" t="str">
        <f t="shared" si="259"/>
        <v/>
      </c>
      <c r="FC190" s="139" t="str">
        <f t="shared" si="260"/>
        <v/>
      </c>
      <c r="FD190" s="139" t="str">
        <f t="shared" si="261"/>
        <v/>
      </c>
      <c r="FE190" s="139" t="str">
        <f t="shared" si="262"/>
        <v/>
      </c>
      <c r="FF190" s="139" t="str">
        <f t="shared" si="263"/>
        <v/>
      </c>
      <c r="FG190" s="139" t="str">
        <f t="shared" si="264"/>
        <v/>
      </c>
      <c r="FH190" s="139" t="str">
        <f t="shared" si="265"/>
        <v/>
      </c>
      <c r="FI190" s="139" t="str">
        <f t="shared" si="266"/>
        <v/>
      </c>
      <c r="FJ190" s="139" t="str">
        <f t="shared" si="267"/>
        <v/>
      </c>
      <c r="FK190" s="139" t="str">
        <f t="shared" si="268"/>
        <v/>
      </c>
      <c r="FL190" s="139" t="str">
        <f t="shared" si="269"/>
        <v/>
      </c>
      <c r="FM190" s="139" t="str">
        <f t="shared" si="270"/>
        <v/>
      </c>
      <c r="FN190" s="139" t="str">
        <f t="shared" si="271"/>
        <v/>
      </c>
      <c r="FO190" s="139" t="str">
        <f t="shared" si="272"/>
        <v/>
      </c>
      <c r="FP190" s="139" t="str">
        <f t="shared" si="273"/>
        <v/>
      </c>
      <c r="FQ190" s="139" t="str">
        <f t="shared" si="274"/>
        <v/>
      </c>
      <c r="FR190" s="139" t="str">
        <f t="shared" si="275"/>
        <v/>
      </c>
      <c r="FS190" s="139" t="str">
        <f t="shared" si="276"/>
        <v/>
      </c>
      <c r="FT190" s="139" t="str">
        <f t="shared" si="277"/>
        <v/>
      </c>
      <c r="FU190" s="148" t="str">
        <f t="shared" si="278"/>
        <v/>
      </c>
      <c r="FV190" s="149"/>
      <c r="FY190" s="211">
        <v>185</v>
      </c>
      <c r="FZ190">
        <v>44.933272308450988</v>
      </c>
      <c r="GA190">
        <v>46.615008371953316</v>
      </c>
      <c r="GB190">
        <v>30.638521448220061</v>
      </c>
      <c r="GC190">
        <v>2.0686131051814391</v>
      </c>
      <c r="GD190">
        <v>0.16535710024677736</v>
      </c>
      <c r="GE190">
        <v>0.35488797216790446</v>
      </c>
      <c r="GF190">
        <v>2.3682961035653389</v>
      </c>
      <c r="GG190">
        <v>7.9821416912704741</v>
      </c>
      <c r="GH190">
        <v>12.811725781627663</v>
      </c>
      <c r="GI190">
        <v>26.052846598541255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11.342975427350428</v>
      </c>
      <c r="AO191">
        <v>73.090470857060822</v>
      </c>
      <c r="AP191">
        <v>372.75002767487371</v>
      </c>
      <c r="AQ191">
        <v>162.65517225717053</v>
      </c>
      <c r="AR191">
        <v>67.781308639447445</v>
      </c>
      <c r="AS191">
        <v>473.90537277949647</v>
      </c>
      <c r="AT191" t="e">
        <v>#DIV/0!</v>
      </c>
      <c r="AU191" t="e">
        <v>#DIV/0!</v>
      </c>
      <c r="AV191"/>
      <c r="AW191"/>
      <c r="AX191" s="146"/>
      <c r="AY191" s="76" t="str">
        <f t="shared" ca="1" si="169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4"/>
        <v/>
      </c>
      <c r="CL191" s="179" t="str">
        <f t="shared" si="205"/>
        <v/>
      </c>
      <c r="CM191" s="180" t="str">
        <f t="shared" si="206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7"/>
        <v/>
      </c>
      <c r="DB191" s="146"/>
      <c r="DC191" s="76" t="str">
        <f t="shared" ca="1" si="170"/>
        <v/>
      </c>
      <c r="DD191" t="str">
        <f t="shared" si="208"/>
        <v/>
      </c>
      <c r="DE191" s="129" t="str">
        <f t="shared" si="279"/>
        <v/>
      </c>
      <c r="DF191" s="161" t="str">
        <f t="shared" si="280"/>
        <v/>
      </c>
      <c r="DG191" s="161" t="str">
        <f t="shared" si="281"/>
        <v/>
      </c>
      <c r="DH191" s="161" t="str">
        <f t="shared" si="282"/>
        <v/>
      </c>
      <c r="DI191" s="161" t="str">
        <f t="shared" si="283"/>
        <v/>
      </c>
      <c r="DJ191" s="161" t="str">
        <f t="shared" si="284"/>
        <v/>
      </c>
      <c r="DK191" s="161" t="str">
        <f t="shared" si="285"/>
        <v/>
      </c>
      <c r="DL191" s="161" t="str">
        <f t="shared" si="286"/>
        <v/>
      </c>
      <c r="DM191" s="161" t="str">
        <f t="shared" si="287"/>
        <v/>
      </c>
      <c r="DN191" s="161" t="str">
        <f>IF($AZ191="", "", (BJ191*$CW191)/$CZ191)</f>
        <v/>
      </c>
      <c r="DO191" s="161" t="str">
        <f t="shared" si="288"/>
        <v/>
      </c>
      <c r="DP191" s="161" t="str">
        <f t="shared" si="289"/>
        <v/>
      </c>
      <c r="DQ191" s="161" t="str">
        <f t="shared" si="290"/>
        <v/>
      </c>
      <c r="DR191" s="161" t="str">
        <f t="shared" si="291"/>
        <v/>
      </c>
      <c r="DS191" s="161" t="str">
        <f t="shared" si="292"/>
        <v/>
      </c>
      <c r="DT191" s="161" t="str">
        <f t="shared" si="293"/>
        <v/>
      </c>
      <c r="DU191" s="161" t="str">
        <f t="shared" si="294"/>
        <v/>
      </c>
      <c r="DV191" s="161" t="str">
        <f t="shared" si="295"/>
        <v/>
      </c>
      <c r="DW191" s="161" t="str">
        <f t="shared" si="296"/>
        <v/>
      </c>
      <c r="DX191" s="161" t="str">
        <f t="shared" si="297"/>
        <v/>
      </c>
      <c r="DY191" s="161" t="str">
        <f t="shared" si="298"/>
        <v/>
      </c>
      <c r="DZ191" s="161" t="str">
        <f t="shared" si="299"/>
        <v/>
      </c>
      <c r="EA191" s="161" t="str">
        <f t="shared" si="300"/>
        <v/>
      </c>
      <c r="EB191" s="161" t="str">
        <f t="shared" si="301"/>
        <v/>
      </c>
      <c r="EC191" s="161" t="str">
        <f t="shared" si="302"/>
        <v/>
      </c>
      <c r="ED191" s="161" t="str">
        <f t="shared" si="303"/>
        <v/>
      </c>
      <c r="EE191" s="161" t="str">
        <f t="shared" si="304"/>
        <v/>
      </c>
      <c r="EF191" s="161" t="str">
        <f t="shared" si="305"/>
        <v/>
      </c>
      <c r="EG191" s="161" t="str">
        <f t="shared" si="306"/>
        <v/>
      </c>
      <c r="EH191" s="161" t="str">
        <f t="shared" si="307"/>
        <v/>
      </c>
      <c r="EI191" s="161" t="str">
        <f t="shared" si="308"/>
        <v/>
      </c>
      <c r="EJ191" s="161" t="str">
        <f t="shared" si="309"/>
        <v/>
      </c>
      <c r="EK191" s="147" t="str">
        <f t="shared" si="246"/>
        <v/>
      </c>
      <c r="EL191" s="149"/>
      <c r="EN191" s="146"/>
      <c r="EO191" s="146"/>
      <c r="EP191" s="139" t="str">
        <f t="shared" si="247"/>
        <v/>
      </c>
      <c r="EQ191" s="139" t="str">
        <f t="shared" si="248"/>
        <v/>
      </c>
      <c r="ER191" s="139" t="str">
        <f t="shared" si="249"/>
        <v/>
      </c>
      <c r="ES191" s="139" t="str">
        <f t="shared" si="250"/>
        <v/>
      </c>
      <c r="ET191" s="139" t="str">
        <f t="shared" si="251"/>
        <v/>
      </c>
      <c r="EU191" s="139" t="str">
        <f t="shared" si="252"/>
        <v/>
      </c>
      <c r="EV191" s="139" t="str">
        <f t="shared" si="253"/>
        <v/>
      </c>
      <c r="EW191" s="139" t="str">
        <f t="shared" si="254"/>
        <v/>
      </c>
      <c r="EX191" s="139" t="str">
        <f t="shared" si="255"/>
        <v/>
      </c>
      <c r="EY191" s="139" t="str">
        <f t="shared" si="256"/>
        <v/>
      </c>
      <c r="EZ191" s="139" t="str">
        <f t="shared" si="257"/>
        <v/>
      </c>
      <c r="FA191" s="139" t="str">
        <f t="shared" si="258"/>
        <v/>
      </c>
      <c r="FB191" s="139" t="str">
        <f t="shared" si="259"/>
        <v/>
      </c>
      <c r="FC191" s="139" t="str">
        <f t="shared" si="260"/>
        <v/>
      </c>
      <c r="FD191" s="139" t="str">
        <f t="shared" si="261"/>
        <v/>
      </c>
      <c r="FE191" s="139" t="str">
        <f t="shared" si="262"/>
        <v/>
      </c>
      <c r="FF191" s="139" t="str">
        <f t="shared" si="263"/>
        <v/>
      </c>
      <c r="FG191" s="139" t="str">
        <f t="shared" si="264"/>
        <v/>
      </c>
      <c r="FH191" s="139" t="str">
        <f t="shared" si="265"/>
        <v/>
      </c>
      <c r="FI191" s="139" t="str">
        <f t="shared" si="266"/>
        <v/>
      </c>
      <c r="FJ191" s="139" t="str">
        <f t="shared" si="267"/>
        <v/>
      </c>
      <c r="FK191" s="139" t="str">
        <f t="shared" si="268"/>
        <v/>
      </c>
      <c r="FL191" s="139" t="str">
        <f t="shared" si="269"/>
        <v/>
      </c>
      <c r="FM191" s="139" t="str">
        <f t="shared" si="270"/>
        <v/>
      </c>
      <c r="FN191" s="139" t="str">
        <f t="shared" si="271"/>
        <v/>
      </c>
      <c r="FO191" s="139" t="str">
        <f t="shared" si="272"/>
        <v/>
      </c>
      <c r="FP191" s="139" t="str">
        <f t="shared" si="273"/>
        <v/>
      </c>
      <c r="FQ191" s="139" t="str">
        <f t="shared" si="274"/>
        <v/>
      </c>
      <c r="FR191" s="139" t="str">
        <f t="shared" si="275"/>
        <v/>
      </c>
      <c r="FS191" s="139" t="str">
        <f t="shared" si="276"/>
        <v/>
      </c>
      <c r="FT191" s="139" t="str">
        <f t="shared" si="277"/>
        <v/>
      </c>
      <c r="FU191" s="148" t="str">
        <f t="shared" si="278"/>
        <v/>
      </c>
      <c r="FV191" s="149"/>
      <c r="FY191" s="211">
        <v>186</v>
      </c>
      <c r="FZ191">
        <v>1.7327868995990159</v>
      </c>
      <c r="GA191">
        <v>3.8833100247714296</v>
      </c>
      <c r="GB191">
        <v>60.188963558733924</v>
      </c>
      <c r="GC191">
        <v>2.8105208756540438</v>
      </c>
      <c r="GD191">
        <v>0.33057354451576043</v>
      </c>
      <c r="GE191">
        <v>0.65526813682098306</v>
      </c>
      <c r="GF191">
        <v>3.6109923441899734</v>
      </c>
      <c r="GG191">
        <v>8.457902225919101</v>
      </c>
      <c r="GH191">
        <v>10.843256402974506</v>
      </c>
      <c r="GI191">
        <v>49.762705792456437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9.4384615384615387</v>
      </c>
      <c r="AO192">
        <v>85.380464919737761</v>
      </c>
      <c r="AP192">
        <v>684.49079149877673</v>
      </c>
      <c r="AQ192">
        <v>138.42497713862315</v>
      </c>
      <c r="AR192">
        <v>79.365809048508041</v>
      </c>
      <c r="AS192">
        <v>537.07058825091224</v>
      </c>
      <c r="AT192" t="e">
        <v>#DIV/0!</v>
      </c>
      <c r="AU192" t="e">
        <v>#DIV/0!</v>
      </c>
      <c r="AV192"/>
      <c r="AW192"/>
      <c r="AX192" s="146"/>
      <c r="AY192" s="76" t="str">
        <f t="shared" ca="1" si="169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4"/>
        <v/>
      </c>
      <c r="CL192" s="179" t="str">
        <f t="shared" si="205"/>
        <v/>
      </c>
      <c r="CM192" s="180" t="str">
        <f t="shared" si="206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7"/>
        <v/>
      </c>
      <c r="DB192" s="146"/>
      <c r="DC192" s="76" t="str">
        <f t="shared" ca="1" si="170"/>
        <v/>
      </c>
      <c r="DD192" t="str">
        <f t="shared" si="208"/>
        <v/>
      </c>
      <c r="DE192" s="129" t="str">
        <f t="shared" si="279"/>
        <v/>
      </c>
      <c r="DF192" s="161" t="str">
        <f t="shared" si="280"/>
        <v/>
      </c>
      <c r="DG192" s="161" t="str">
        <f t="shared" si="281"/>
        <v/>
      </c>
      <c r="DH192" s="161" t="str">
        <f t="shared" si="282"/>
        <v/>
      </c>
      <c r="DI192" s="161" t="str">
        <f t="shared" si="283"/>
        <v/>
      </c>
      <c r="DJ192" s="161" t="str">
        <f t="shared" si="284"/>
        <v/>
      </c>
      <c r="DK192" s="161" t="str">
        <f t="shared" si="285"/>
        <v/>
      </c>
      <c r="DL192" s="161" t="str">
        <f t="shared" si="286"/>
        <v/>
      </c>
      <c r="DM192" s="161" t="str">
        <f t="shared" si="287"/>
        <v/>
      </c>
      <c r="DN192" s="161" t="str">
        <f>IF($AZ192="", "", (BJ192*$CW192)/$CZ192)</f>
        <v/>
      </c>
      <c r="DO192" s="161" t="str">
        <f t="shared" si="288"/>
        <v/>
      </c>
      <c r="DP192" s="161" t="str">
        <f t="shared" si="289"/>
        <v/>
      </c>
      <c r="DQ192" s="161" t="str">
        <f t="shared" si="290"/>
        <v/>
      </c>
      <c r="DR192" s="161" t="str">
        <f t="shared" si="291"/>
        <v/>
      </c>
      <c r="DS192" s="161" t="str">
        <f t="shared" si="292"/>
        <v/>
      </c>
      <c r="DT192" s="161" t="str">
        <f t="shared" si="293"/>
        <v/>
      </c>
      <c r="DU192" s="161" t="str">
        <f t="shared" si="294"/>
        <v/>
      </c>
      <c r="DV192" s="161" t="str">
        <f t="shared" si="295"/>
        <v/>
      </c>
      <c r="DW192" s="161" t="str">
        <f t="shared" si="296"/>
        <v/>
      </c>
      <c r="DX192" s="161" t="str">
        <f t="shared" si="297"/>
        <v/>
      </c>
      <c r="DY192" s="161" t="str">
        <f t="shared" si="298"/>
        <v/>
      </c>
      <c r="DZ192" s="161" t="str">
        <f t="shared" si="299"/>
        <v/>
      </c>
      <c r="EA192" s="161" t="str">
        <f t="shared" si="300"/>
        <v/>
      </c>
      <c r="EB192" s="161" t="str">
        <f t="shared" si="301"/>
        <v/>
      </c>
      <c r="EC192" s="161" t="str">
        <f t="shared" si="302"/>
        <v/>
      </c>
      <c r="ED192" s="161" t="str">
        <f t="shared" si="303"/>
        <v/>
      </c>
      <c r="EE192" s="161" t="str">
        <f t="shared" si="304"/>
        <v/>
      </c>
      <c r="EF192" s="161" t="str">
        <f t="shared" si="305"/>
        <v/>
      </c>
      <c r="EG192" s="161" t="str">
        <f t="shared" si="306"/>
        <v/>
      </c>
      <c r="EH192" s="161" t="str">
        <f t="shared" si="307"/>
        <v/>
      </c>
      <c r="EI192" s="161" t="str">
        <f t="shared" si="308"/>
        <v/>
      </c>
      <c r="EJ192" s="161" t="str">
        <f t="shared" si="309"/>
        <v/>
      </c>
      <c r="EK192" s="147" t="str">
        <f t="shared" si="246"/>
        <v/>
      </c>
      <c r="EL192" s="149"/>
      <c r="EN192" s="146"/>
      <c r="EO192" s="146"/>
      <c r="EP192" s="139" t="str">
        <f t="shared" si="247"/>
        <v/>
      </c>
      <c r="EQ192" s="139" t="str">
        <f t="shared" si="248"/>
        <v/>
      </c>
      <c r="ER192" s="139" t="str">
        <f t="shared" si="249"/>
        <v/>
      </c>
      <c r="ES192" s="139" t="str">
        <f t="shared" si="250"/>
        <v/>
      </c>
      <c r="ET192" s="139" t="str">
        <f t="shared" si="251"/>
        <v/>
      </c>
      <c r="EU192" s="139" t="str">
        <f t="shared" si="252"/>
        <v/>
      </c>
      <c r="EV192" s="139" t="str">
        <f t="shared" si="253"/>
        <v/>
      </c>
      <c r="EW192" s="139" t="str">
        <f t="shared" si="254"/>
        <v/>
      </c>
      <c r="EX192" s="139" t="str">
        <f t="shared" si="255"/>
        <v/>
      </c>
      <c r="EY192" s="139" t="str">
        <f t="shared" si="256"/>
        <v/>
      </c>
      <c r="EZ192" s="139" t="str">
        <f t="shared" si="257"/>
        <v/>
      </c>
      <c r="FA192" s="139" t="str">
        <f t="shared" si="258"/>
        <v/>
      </c>
      <c r="FB192" s="139" t="str">
        <f t="shared" si="259"/>
        <v/>
      </c>
      <c r="FC192" s="139" t="str">
        <f t="shared" si="260"/>
        <v/>
      </c>
      <c r="FD192" s="139" t="str">
        <f t="shared" si="261"/>
        <v/>
      </c>
      <c r="FE192" s="139" t="str">
        <f t="shared" si="262"/>
        <v/>
      </c>
      <c r="FF192" s="139" t="str">
        <f t="shared" si="263"/>
        <v/>
      </c>
      <c r="FG192" s="139" t="str">
        <f t="shared" si="264"/>
        <v/>
      </c>
      <c r="FH192" s="139" t="str">
        <f t="shared" si="265"/>
        <v/>
      </c>
      <c r="FI192" s="139" t="str">
        <f t="shared" si="266"/>
        <v/>
      </c>
      <c r="FJ192" s="139" t="str">
        <f t="shared" si="267"/>
        <v/>
      </c>
      <c r="FK192" s="139" t="str">
        <f t="shared" si="268"/>
        <v/>
      </c>
      <c r="FL192" s="139" t="str">
        <f t="shared" si="269"/>
        <v/>
      </c>
      <c r="FM192" s="139" t="str">
        <f t="shared" si="270"/>
        <v/>
      </c>
      <c r="FN192" s="139" t="str">
        <f t="shared" si="271"/>
        <v/>
      </c>
      <c r="FO192" s="139" t="str">
        <f t="shared" si="272"/>
        <v/>
      </c>
      <c r="FP192" s="139" t="str">
        <f t="shared" si="273"/>
        <v/>
      </c>
      <c r="FQ192" s="139" t="str">
        <f t="shared" si="274"/>
        <v/>
      </c>
      <c r="FR192" s="139" t="str">
        <f t="shared" si="275"/>
        <v/>
      </c>
      <c r="FS192" s="139" t="str">
        <f t="shared" si="276"/>
        <v/>
      </c>
      <c r="FT192" s="139" t="str">
        <f t="shared" si="277"/>
        <v/>
      </c>
      <c r="FU192" s="148" t="str">
        <f t="shared" si="278"/>
        <v/>
      </c>
      <c r="FV192" s="149"/>
      <c r="FY192" s="211">
        <v>187</v>
      </c>
      <c r="FZ192">
        <v>61.706280905655092</v>
      </c>
      <c r="GA192">
        <v>69.579266482532944</v>
      </c>
      <c r="GB192">
        <v>43.883419230461705</v>
      </c>
      <c r="GC192">
        <v>2.6143517402745076</v>
      </c>
      <c r="GD192">
        <v>0.20013950956656329</v>
      </c>
      <c r="GE192">
        <v>0.39408177380373677</v>
      </c>
      <c r="GF192">
        <v>4.2710580139728567</v>
      </c>
      <c r="GG192">
        <v>15.021902368323101</v>
      </c>
      <c r="GH192">
        <v>18.394613961272317</v>
      </c>
      <c r="GI192">
        <v>47.438542125550704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10.934027777777777</v>
      </c>
      <c r="AO193">
        <v>60.555439016267847</v>
      </c>
      <c r="AP193">
        <v>530.98575775570407</v>
      </c>
      <c r="AQ193">
        <v>147.6994869180929</v>
      </c>
      <c r="AR193">
        <v>56.133079476388154</v>
      </c>
      <c r="AS193">
        <v>295.58936496358643</v>
      </c>
      <c r="AT193" t="e">
        <v>#DIV/0!</v>
      </c>
      <c r="AU193" t="e">
        <v>#DIV/0!</v>
      </c>
      <c r="AV193"/>
      <c r="AW193"/>
      <c r="AX193" s="146"/>
      <c r="AY193" s="76" t="str">
        <f t="shared" ca="1" si="169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4"/>
        <v/>
      </c>
      <c r="CL193" s="179" t="str">
        <f t="shared" si="205"/>
        <v/>
      </c>
      <c r="CM193" s="180" t="str">
        <f t="shared" si="206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7"/>
        <v/>
      </c>
      <c r="DB193" s="146"/>
      <c r="DC193" s="76" t="str">
        <f t="shared" ca="1" si="170"/>
        <v/>
      </c>
      <c r="DD193" t="str">
        <f t="shared" si="208"/>
        <v/>
      </c>
      <c r="DE193" s="129" t="str">
        <f t="shared" si="279"/>
        <v/>
      </c>
      <c r="DF193" s="161" t="str">
        <f t="shared" si="280"/>
        <v/>
      </c>
      <c r="DG193" s="161" t="str">
        <f t="shared" si="281"/>
        <v/>
      </c>
      <c r="DH193" s="161" t="str">
        <f t="shared" si="282"/>
        <v/>
      </c>
      <c r="DI193" s="161" t="str">
        <f t="shared" si="283"/>
        <v/>
      </c>
      <c r="DJ193" s="161" t="str">
        <f t="shared" si="284"/>
        <v/>
      </c>
      <c r="DK193" s="161" t="str">
        <f t="shared" si="285"/>
        <v/>
      </c>
      <c r="DL193" s="161" t="str">
        <f t="shared" si="286"/>
        <v/>
      </c>
      <c r="DM193" s="161" t="str">
        <f t="shared" si="287"/>
        <v/>
      </c>
      <c r="DN193" s="161" t="str">
        <f t="shared" ref="DN193:DN207" si="310">IF($AZ193="", "", (BJ193*$CW193)/$CZ193)</f>
        <v/>
      </c>
      <c r="DO193" s="161" t="str">
        <f t="shared" si="288"/>
        <v/>
      </c>
      <c r="DP193" s="161" t="str">
        <f t="shared" si="289"/>
        <v/>
      </c>
      <c r="DQ193" s="161" t="str">
        <f t="shared" si="290"/>
        <v/>
      </c>
      <c r="DR193" s="161" t="str">
        <f t="shared" si="291"/>
        <v/>
      </c>
      <c r="DS193" s="161" t="str">
        <f t="shared" si="292"/>
        <v/>
      </c>
      <c r="DT193" s="161" t="str">
        <f t="shared" si="293"/>
        <v/>
      </c>
      <c r="DU193" s="161" t="str">
        <f t="shared" si="294"/>
        <v/>
      </c>
      <c r="DV193" s="161" t="str">
        <f t="shared" si="295"/>
        <v/>
      </c>
      <c r="DW193" s="161" t="str">
        <f t="shared" si="296"/>
        <v/>
      </c>
      <c r="DX193" s="161" t="str">
        <f t="shared" si="297"/>
        <v/>
      </c>
      <c r="DY193" s="161" t="str">
        <f t="shared" si="298"/>
        <v/>
      </c>
      <c r="DZ193" s="161" t="str">
        <f t="shared" si="299"/>
        <v/>
      </c>
      <c r="EA193" s="161" t="str">
        <f t="shared" si="300"/>
        <v/>
      </c>
      <c r="EB193" s="161" t="str">
        <f t="shared" si="301"/>
        <v/>
      </c>
      <c r="EC193" s="161" t="str">
        <f t="shared" si="302"/>
        <v/>
      </c>
      <c r="ED193" s="161" t="str">
        <f t="shared" si="303"/>
        <v/>
      </c>
      <c r="EE193" s="161" t="str">
        <f t="shared" si="304"/>
        <v/>
      </c>
      <c r="EF193" s="161" t="str">
        <f t="shared" si="305"/>
        <v/>
      </c>
      <c r="EG193" s="161" t="str">
        <f t="shared" si="306"/>
        <v/>
      </c>
      <c r="EH193" s="161" t="str">
        <f t="shared" si="307"/>
        <v/>
      </c>
      <c r="EI193" s="161" t="str">
        <f t="shared" si="308"/>
        <v/>
      </c>
      <c r="EJ193" s="161" t="str">
        <f t="shared" si="309"/>
        <v/>
      </c>
      <c r="EK193" s="147" t="str">
        <f t="shared" si="246"/>
        <v/>
      </c>
      <c r="EL193" s="149"/>
      <c r="EN193" s="146"/>
      <c r="EO193" s="146"/>
      <c r="EP193" s="139" t="str">
        <f t="shared" si="247"/>
        <v/>
      </c>
      <c r="EQ193" s="139" t="str">
        <f t="shared" si="248"/>
        <v/>
      </c>
      <c r="ER193" s="139" t="str">
        <f t="shared" si="249"/>
        <v/>
      </c>
      <c r="ES193" s="139" t="str">
        <f t="shared" si="250"/>
        <v/>
      </c>
      <c r="ET193" s="139" t="str">
        <f t="shared" si="251"/>
        <v/>
      </c>
      <c r="EU193" s="139" t="str">
        <f t="shared" si="252"/>
        <v/>
      </c>
      <c r="EV193" s="139" t="str">
        <f t="shared" si="253"/>
        <v/>
      </c>
      <c r="EW193" s="139" t="str">
        <f t="shared" si="254"/>
        <v/>
      </c>
      <c r="EX193" s="139" t="str">
        <f t="shared" si="255"/>
        <v/>
      </c>
      <c r="EY193" s="139" t="str">
        <f t="shared" si="256"/>
        <v/>
      </c>
      <c r="EZ193" s="139" t="str">
        <f t="shared" si="257"/>
        <v/>
      </c>
      <c r="FA193" s="139" t="str">
        <f t="shared" si="258"/>
        <v/>
      </c>
      <c r="FB193" s="139" t="str">
        <f t="shared" si="259"/>
        <v/>
      </c>
      <c r="FC193" s="139" t="str">
        <f t="shared" si="260"/>
        <v/>
      </c>
      <c r="FD193" s="139" t="str">
        <f t="shared" si="261"/>
        <v/>
      </c>
      <c r="FE193" s="139" t="str">
        <f t="shared" si="262"/>
        <v/>
      </c>
      <c r="FF193" s="139" t="str">
        <f t="shared" si="263"/>
        <v/>
      </c>
      <c r="FG193" s="139" t="str">
        <f t="shared" si="264"/>
        <v/>
      </c>
      <c r="FH193" s="139" t="str">
        <f t="shared" si="265"/>
        <v/>
      </c>
      <c r="FI193" s="139" t="str">
        <f t="shared" si="266"/>
        <v/>
      </c>
      <c r="FJ193" s="139" t="str">
        <f t="shared" si="267"/>
        <v/>
      </c>
      <c r="FK193" s="139" t="str">
        <f t="shared" si="268"/>
        <v/>
      </c>
      <c r="FL193" s="139" t="str">
        <f t="shared" si="269"/>
        <v/>
      </c>
      <c r="FM193" s="139" t="str">
        <f t="shared" si="270"/>
        <v/>
      </c>
      <c r="FN193" s="139" t="str">
        <f t="shared" si="271"/>
        <v/>
      </c>
      <c r="FO193" s="139" t="str">
        <f t="shared" si="272"/>
        <v/>
      </c>
      <c r="FP193" s="139" t="str">
        <f t="shared" si="273"/>
        <v/>
      </c>
      <c r="FQ193" s="139" t="str">
        <f t="shared" si="274"/>
        <v/>
      </c>
      <c r="FR193" s="139" t="str">
        <f t="shared" si="275"/>
        <v/>
      </c>
      <c r="FS193" s="139" t="str">
        <f t="shared" si="276"/>
        <v/>
      </c>
      <c r="FT193" s="139" t="str">
        <f t="shared" si="277"/>
        <v/>
      </c>
      <c r="FU193" s="148" t="str">
        <f t="shared" si="278"/>
        <v/>
      </c>
      <c r="FV193" s="149"/>
      <c r="FY193" s="211">
        <v>188</v>
      </c>
      <c r="FZ193">
        <v>32.796945759793935</v>
      </c>
      <c r="GA193">
        <v>39.022569103420146</v>
      </c>
      <c r="GB193">
        <v>50.624197658249393</v>
      </c>
      <c r="GC193">
        <v>2.3566477588766772</v>
      </c>
      <c r="GD193">
        <v>0.21724940227086759</v>
      </c>
      <c r="GE193">
        <v>0.31616316518589116</v>
      </c>
      <c r="GF193">
        <v>0.87759765791786248</v>
      </c>
      <c r="GG193">
        <v>6.7658189731511165</v>
      </c>
      <c r="GH193">
        <v>9.1973069806361583</v>
      </c>
      <c r="GI193">
        <v>44.561915296931829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11.747489316239315</v>
      </c>
      <c r="AO194">
        <v>107.96425356522118</v>
      </c>
      <c r="AP194">
        <v>940.26877812813552</v>
      </c>
      <c r="AQ194">
        <v>188.98384551718181</v>
      </c>
      <c r="AR194">
        <v>100.16480499356591</v>
      </c>
      <c r="AS194">
        <v>500.4493665595935</v>
      </c>
      <c r="AT194" t="e">
        <v>#DIV/0!</v>
      </c>
      <c r="AU194" t="e">
        <v>#DIV/0!</v>
      </c>
      <c r="AV194"/>
      <c r="AW194"/>
      <c r="AX194" s="146"/>
      <c r="AY194" s="76" t="str">
        <f t="shared" ca="1" si="169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4"/>
        <v/>
      </c>
      <c r="CL194" s="179" t="str">
        <f t="shared" si="205"/>
        <v/>
      </c>
      <c r="CM194" s="180" t="str">
        <f t="shared" si="206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7"/>
        <v/>
      </c>
      <c r="DB194" s="146"/>
      <c r="DC194" s="76" t="str">
        <f t="shared" ca="1" si="170"/>
        <v/>
      </c>
      <c r="DD194" t="str">
        <f t="shared" si="208"/>
        <v/>
      </c>
      <c r="DE194" s="129" t="str">
        <f t="shared" si="279"/>
        <v/>
      </c>
      <c r="DF194" s="161" t="str">
        <f t="shared" si="280"/>
        <v/>
      </c>
      <c r="DG194" s="161" t="str">
        <f t="shared" si="281"/>
        <v/>
      </c>
      <c r="DH194" s="161" t="str">
        <f t="shared" si="282"/>
        <v/>
      </c>
      <c r="DI194" s="161" t="str">
        <f t="shared" si="283"/>
        <v/>
      </c>
      <c r="DJ194" s="161" t="str">
        <f t="shared" si="284"/>
        <v/>
      </c>
      <c r="DK194" s="161" t="str">
        <f t="shared" si="285"/>
        <v/>
      </c>
      <c r="DL194" s="161" t="str">
        <f t="shared" si="286"/>
        <v/>
      </c>
      <c r="DM194" s="161" t="str">
        <f t="shared" si="287"/>
        <v/>
      </c>
      <c r="DN194" s="161" t="str">
        <f t="shared" si="310"/>
        <v/>
      </c>
      <c r="DO194" s="161" t="str">
        <f t="shared" ref="DO194:DO206" si="311">IF($AZ194="", "", (BK193*$CW194)/$CZ194)</f>
        <v/>
      </c>
      <c r="DP194" s="161" t="str">
        <f t="shared" ref="DP194:DP206" si="312">IF($AZ194="", "", (BL193*$CW194)/$CZ194)</f>
        <v/>
      </c>
      <c r="DQ194" s="161" t="str">
        <f t="shared" ref="DQ194:DQ206" si="313">IF($AZ194="", "", (BM193*$CW194)/$CZ194)</f>
        <v/>
      </c>
      <c r="DR194" s="161" t="str">
        <f t="shared" ref="DR194:DR206" si="314">IF($AZ194="", "", (BN193*$CW194)/$CZ194)</f>
        <v/>
      </c>
      <c r="DS194" s="161" t="str">
        <f t="shared" ref="DS194:DS206" si="315">IF($AZ194="", "", (BO193*$CW194)/$CZ194)</f>
        <v/>
      </c>
      <c r="DT194" s="161" t="str">
        <f t="shared" ref="DT194:DT206" si="316">IF($AZ194="", "", (BP193*$CW194)/$CZ194)</f>
        <v/>
      </c>
      <c r="DU194" s="161" t="str">
        <f t="shared" ref="DU194:DU206" si="317">IF($AZ194="", "", (BQ193*$CW194)/$CZ194)</f>
        <v/>
      </c>
      <c r="DV194" s="161" t="str">
        <f t="shared" ref="DV194:DV206" si="318">IF($AZ194="", "", (BR193*$CW194)/$CZ194)</f>
        <v/>
      </c>
      <c r="DW194" s="161" t="str">
        <f t="shared" ref="DW194:DW206" si="319">IF($AZ194="", "", (BS193*$CW194)/$CZ194)</f>
        <v/>
      </c>
      <c r="DX194" s="161" t="str">
        <f t="shared" ref="DX194:DX206" si="320">IF($AZ194="", "", (BT193*$CW194)/$CZ194)</f>
        <v/>
      </c>
      <c r="DY194" s="161" t="str">
        <f t="shared" ref="DY194:DY206" si="321">IF($AZ194="", "", (BU193*$CW194)/$CZ194)</f>
        <v/>
      </c>
      <c r="DZ194" s="161" t="str">
        <f t="shared" ref="DZ194:DZ206" si="322">IF($AZ194="", "", (BV193*$CW194)/$CZ194)</f>
        <v/>
      </c>
      <c r="EA194" s="161" t="str">
        <f t="shared" ref="EA194:EA206" si="323">IF($AZ194="", "", (BW193*$CW194)/$CZ194)</f>
        <v/>
      </c>
      <c r="EB194" s="161" t="str">
        <f t="shared" ref="EB194:EB206" si="324">IF($AZ194="", "", (BX193*$CW194)/$CZ194)</f>
        <v/>
      </c>
      <c r="EC194" s="161" t="str">
        <f t="shared" ref="EC194:EC206" si="325">IF($AZ194="", "", (BY193*$CW194)/$CZ194)</f>
        <v/>
      </c>
      <c r="ED194" s="161" t="str">
        <f t="shared" ref="ED194:ED206" si="326">IF($AZ194="", "", (BZ193*$CW194)/$CZ194)</f>
        <v/>
      </c>
      <c r="EE194" s="161" t="str">
        <f t="shared" ref="EE194:EE206" si="327">IF($AZ194="", "", (CA193*$CW194)/$CZ194)</f>
        <v/>
      </c>
      <c r="EF194" s="161" t="str">
        <f t="shared" ref="EF194:EF206" si="328">IF($AZ194="", "", (CB193*$CW194)/$CZ194)</f>
        <v/>
      </c>
      <c r="EG194" s="161" t="str">
        <f t="shared" ref="EG194:EG206" si="329">IF($AZ194="", "", (CC193*$CW194)/$CZ194)</f>
        <v/>
      </c>
      <c r="EH194" s="161" t="str">
        <f t="shared" ref="EH194:EH206" si="330">IF($AZ194="", "", (CD193*$CW194)/$CZ194)</f>
        <v/>
      </c>
      <c r="EI194" s="161" t="str">
        <f t="shared" ref="EI194:EI206" si="331">IF($AZ194="", "", (CE193*$CW194)/$CZ194)</f>
        <v/>
      </c>
      <c r="EJ194" s="161" t="str">
        <f t="shared" ref="EJ194:EJ206" si="332">IF($AZ194="", "", (CF193*$CW194)/$CZ194)</f>
        <v/>
      </c>
      <c r="EK194" s="147" t="str">
        <f t="shared" si="246"/>
        <v/>
      </c>
      <c r="EL194" s="149"/>
      <c r="EN194" s="146"/>
      <c r="EO194" s="146"/>
      <c r="EP194" s="139" t="str">
        <f t="shared" si="247"/>
        <v/>
      </c>
      <c r="EQ194" s="139" t="str">
        <f t="shared" si="248"/>
        <v/>
      </c>
      <c r="ER194" s="139" t="str">
        <f t="shared" si="249"/>
        <v/>
      </c>
      <c r="ES194" s="139" t="str">
        <f t="shared" si="250"/>
        <v/>
      </c>
      <c r="ET194" s="139" t="str">
        <f t="shared" si="251"/>
        <v/>
      </c>
      <c r="EU194" s="139" t="str">
        <f t="shared" si="252"/>
        <v/>
      </c>
      <c r="EV194" s="139" t="str">
        <f t="shared" si="253"/>
        <v/>
      </c>
      <c r="EW194" s="139" t="str">
        <f t="shared" si="254"/>
        <v/>
      </c>
      <c r="EX194" s="139" t="str">
        <f t="shared" si="255"/>
        <v/>
      </c>
      <c r="EY194" s="139" t="str">
        <f t="shared" si="256"/>
        <v/>
      </c>
      <c r="EZ194" s="139" t="str">
        <f t="shared" si="257"/>
        <v/>
      </c>
      <c r="FA194" s="139" t="str">
        <f t="shared" si="258"/>
        <v/>
      </c>
      <c r="FB194" s="139" t="str">
        <f t="shared" si="259"/>
        <v/>
      </c>
      <c r="FC194" s="139" t="str">
        <f t="shared" si="260"/>
        <v/>
      </c>
      <c r="FD194" s="139" t="str">
        <f t="shared" si="261"/>
        <v/>
      </c>
      <c r="FE194" s="139" t="str">
        <f t="shared" si="262"/>
        <v/>
      </c>
      <c r="FF194" s="139" t="str">
        <f t="shared" si="263"/>
        <v/>
      </c>
      <c r="FG194" s="139" t="str">
        <f t="shared" si="264"/>
        <v/>
      </c>
      <c r="FH194" s="139" t="str">
        <f t="shared" si="265"/>
        <v/>
      </c>
      <c r="FI194" s="139" t="str">
        <f t="shared" si="266"/>
        <v/>
      </c>
      <c r="FJ194" s="139" t="str">
        <f t="shared" si="267"/>
        <v/>
      </c>
      <c r="FK194" s="139" t="str">
        <f t="shared" si="268"/>
        <v/>
      </c>
      <c r="FL194" s="139" t="str">
        <f t="shared" si="269"/>
        <v/>
      </c>
      <c r="FM194" s="139" t="str">
        <f t="shared" si="270"/>
        <v/>
      </c>
      <c r="FN194" s="139" t="str">
        <f t="shared" si="271"/>
        <v/>
      </c>
      <c r="FO194" s="139" t="str">
        <f t="shared" si="272"/>
        <v/>
      </c>
      <c r="FP194" s="139" t="str">
        <f t="shared" si="273"/>
        <v/>
      </c>
      <c r="FQ194" s="139" t="str">
        <f t="shared" si="274"/>
        <v/>
      </c>
      <c r="FR194" s="139" t="str">
        <f t="shared" si="275"/>
        <v/>
      </c>
      <c r="FS194" s="139" t="str">
        <f t="shared" si="276"/>
        <v/>
      </c>
      <c r="FT194" s="139" t="str">
        <f t="shared" si="277"/>
        <v/>
      </c>
      <c r="FU194" s="148" t="str">
        <f t="shared" si="278"/>
        <v/>
      </c>
      <c r="FV194" s="149"/>
      <c r="FY194" s="211">
        <v>189</v>
      </c>
      <c r="FZ194">
        <v>46.817114899334214</v>
      </c>
      <c r="GA194">
        <v>52.108741402397015</v>
      </c>
      <c r="GB194">
        <v>31.346604954593758</v>
      </c>
      <c r="GC194">
        <v>2.4680181439881927</v>
      </c>
      <c r="GD194">
        <v>0.44946032835096039</v>
      </c>
      <c r="GE194">
        <v>0.38030864130126907</v>
      </c>
      <c r="GF194">
        <v>2.0546772735755043</v>
      </c>
      <c r="GG194">
        <v>7.2979363087161477</v>
      </c>
      <c r="GH194">
        <v>11.257114246514771</v>
      </c>
      <c r="GI194">
        <v>39.923477717645461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15.729567307692303</v>
      </c>
      <c r="AO195">
        <v>130.93575931960842</v>
      </c>
      <c r="AP195">
        <v>1005.1698559594377</v>
      </c>
      <c r="AQ195">
        <v>240.81014640659478</v>
      </c>
      <c r="AR195">
        <v>121.53516147973812</v>
      </c>
      <c r="AS195">
        <v>713.51793136675144</v>
      </c>
      <c r="AT195" t="e">
        <v>#DIV/0!</v>
      </c>
      <c r="AU195" t="e">
        <v>#DIV/0!</v>
      </c>
      <c r="AV195"/>
      <c r="AW195"/>
      <c r="AX195" s="146"/>
      <c r="AY195" s="76" t="str">
        <f t="shared" ca="1" si="169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4"/>
        <v/>
      </c>
      <c r="CL195" s="179" t="str">
        <f t="shared" si="205"/>
        <v/>
      </c>
      <c r="CM195" s="180" t="str">
        <f t="shared" si="206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7"/>
        <v/>
      </c>
      <c r="DB195" s="146"/>
      <c r="DC195" s="76" t="str">
        <f t="shared" ca="1" si="170"/>
        <v/>
      </c>
      <c r="DD195" t="str">
        <f t="shared" si="208"/>
        <v/>
      </c>
      <c r="DE195" s="129" t="str">
        <f t="shared" si="279"/>
        <v/>
      </c>
      <c r="DF195" s="161" t="str">
        <f t="shared" si="280"/>
        <v/>
      </c>
      <c r="DG195" s="161" t="str">
        <f t="shared" si="281"/>
        <v/>
      </c>
      <c r="DH195" s="161" t="str">
        <f t="shared" si="282"/>
        <v/>
      </c>
      <c r="DI195" s="161" t="str">
        <f t="shared" si="283"/>
        <v/>
      </c>
      <c r="DJ195" s="161" t="str">
        <f t="shared" si="284"/>
        <v/>
      </c>
      <c r="DK195" s="161" t="str">
        <f t="shared" si="285"/>
        <v/>
      </c>
      <c r="DL195" s="161" t="str">
        <f t="shared" si="286"/>
        <v/>
      </c>
      <c r="DM195" s="161" t="str">
        <f t="shared" si="287"/>
        <v/>
      </c>
      <c r="DN195" s="161" t="str">
        <f t="shared" si="310"/>
        <v/>
      </c>
      <c r="DO195" s="161" t="str">
        <f t="shared" si="311"/>
        <v/>
      </c>
      <c r="DP195" s="161" t="str">
        <f t="shared" si="312"/>
        <v/>
      </c>
      <c r="DQ195" s="161" t="str">
        <f t="shared" si="313"/>
        <v/>
      </c>
      <c r="DR195" s="161" t="str">
        <f t="shared" si="314"/>
        <v/>
      </c>
      <c r="DS195" s="161" t="str">
        <f t="shared" si="315"/>
        <v/>
      </c>
      <c r="DT195" s="161" t="str">
        <f t="shared" si="316"/>
        <v/>
      </c>
      <c r="DU195" s="161" t="str">
        <f t="shared" si="317"/>
        <v/>
      </c>
      <c r="DV195" s="161" t="str">
        <f t="shared" si="318"/>
        <v/>
      </c>
      <c r="DW195" s="161" t="str">
        <f t="shared" si="319"/>
        <v/>
      </c>
      <c r="DX195" s="161" t="str">
        <f t="shared" si="320"/>
        <v/>
      </c>
      <c r="DY195" s="161" t="str">
        <f t="shared" si="321"/>
        <v/>
      </c>
      <c r="DZ195" s="161" t="str">
        <f t="shared" si="322"/>
        <v/>
      </c>
      <c r="EA195" s="161" t="str">
        <f t="shared" si="323"/>
        <v/>
      </c>
      <c r="EB195" s="161" t="str">
        <f t="shared" si="324"/>
        <v/>
      </c>
      <c r="EC195" s="161" t="str">
        <f t="shared" si="325"/>
        <v/>
      </c>
      <c r="ED195" s="161" t="str">
        <f t="shared" si="326"/>
        <v/>
      </c>
      <c r="EE195" s="161" t="str">
        <f t="shared" si="327"/>
        <v/>
      </c>
      <c r="EF195" s="161" t="str">
        <f t="shared" si="328"/>
        <v/>
      </c>
      <c r="EG195" s="161" t="str">
        <f t="shared" si="329"/>
        <v/>
      </c>
      <c r="EH195" s="161" t="str">
        <f t="shared" si="330"/>
        <v/>
      </c>
      <c r="EI195" s="161" t="str">
        <f t="shared" si="331"/>
        <v/>
      </c>
      <c r="EJ195" s="161" t="str">
        <f t="shared" si="332"/>
        <v/>
      </c>
      <c r="EK195" s="147" t="str">
        <f t="shared" si="246"/>
        <v/>
      </c>
      <c r="EL195" s="149"/>
      <c r="EN195" s="146"/>
      <c r="EO195" s="146"/>
      <c r="EP195" s="139" t="str">
        <f t="shared" si="247"/>
        <v/>
      </c>
      <c r="EQ195" s="139" t="str">
        <f t="shared" si="248"/>
        <v/>
      </c>
      <c r="ER195" s="139" t="str">
        <f t="shared" si="249"/>
        <v/>
      </c>
      <c r="ES195" s="139" t="str">
        <f t="shared" si="250"/>
        <v/>
      </c>
      <c r="ET195" s="139" t="str">
        <f t="shared" si="251"/>
        <v/>
      </c>
      <c r="EU195" s="139" t="str">
        <f t="shared" si="252"/>
        <v/>
      </c>
      <c r="EV195" s="139" t="str">
        <f t="shared" si="253"/>
        <v/>
      </c>
      <c r="EW195" s="139" t="str">
        <f t="shared" si="254"/>
        <v/>
      </c>
      <c r="EX195" s="139" t="str">
        <f t="shared" si="255"/>
        <v/>
      </c>
      <c r="EY195" s="139" t="str">
        <f t="shared" si="256"/>
        <v/>
      </c>
      <c r="EZ195" s="139" t="str">
        <f t="shared" si="257"/>
        <v/>
      </c>
      <c r="FA195" s="139" t="str">
        <f t="shared" si="258"/>
        <v/>
      </c>
      <c r="FB195" s="139" t="str">
        <f t="shared" si="259"/>
        <v/>
      </c>
      <c r="FC195" s="139" t="str">
        <f t="shared" si="260"/>
        <v/>
      </c>
      <c r="FD195" s="139" t="str">
        <f t="shared" si="261"/>
        <v/>
      </c>
      <c r="FE195" s="139" t="str">
        <f t="shared" si="262"/>
        <v/>
      </c>
      <c r="FF195" s="139" t="str">
        <f t="shared" si="263"/>
        <v/>
      </c>
      <c r="FG195" s="139" t="str">
        <f t="shared" si="264"/>
        <v/>
      </c>
      <c r="FH195" s="139" t="str">
        <f t="shared" si="265"/>
        <v/>
      </c>
      <c r="FI195" s="139" t="str">
        <f t="shared" si="266"/>
        <v/>
      </c>
      <c r="FJ195" s="139" t="str">
        <f t="shared" si="267"/>
        <v/>
      </c>
      <c r="FK195" s="139" t="str">
        <f t="shared" si="268"/>
        <v/>
      </c>
      <c r="FL195" s="139" t="str">
        <f t="shared" si="269"/>
        <v/>
      </c>
      <c r="FM195" s="139" t="str">
        <f t="shared" si="270"/>
        <v/>
      </c>
      <c r="FN195" s="139" t="str">
        <f t="shared" si="271"/>
        <v/>
      </c>
      <c r="FO195" s="139" t="str">
        <f t="shared" si="272"/>
        <v/>
      </c>
      <c r="FP195" s="139" t="str">
        <f t="shared" si="273"/>
        <v/>
      </c>
      <c r="FQ195" s="139" t="str">
        <f t="shared" si="274"/>
        <v/>
      </c>
      <c r="FR195" s="139" t="str">
        <f t="shared" si="275"/>
        <v/>
      </c>
      <c r="FS195" s="139" t="str">
        <f t="shared" si="276"/>
        <v/>
      </c>
      <c r="FT195" s="139" t="str">
        <f t="shared" si="277"/>
        <v/>
      </c>
      <c r="FU195" s="148" t="str">
        <f t="shared" si="278"/>
        <v/>
      </c>
      <c r="FV195" s="149"/>
      <c r="FY195" s="211">
        <v>190</v>
      </c>
      <c r="FZ195">
        <v>29.533274314346837</v>
      </c>
      <c r="GA195">
        <v>31.712112208587264</v>
      </c>
      <c r="GB195">
        <v>39.121079880992241</v>
      </c>
      <c r="GC195">
        <v>3.3080003950315819</v>
      </c>
      <c r="GD195">
        <v>0.20285050237281971</v>
      </c>
      <c r="GE195">
        <v>0.12325774218593843</v>
      </c>
      <c r="GF195">
        <v>2.899894605567706</v>
      </c>
      <c r="GG195">
        <v>12.645613733000786</v>
      </c>
      <c r="GH195">
        <v>18.394613961272317</v>
      </c>
      <c r="GI195">
        <v>42.059925476608129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12.406036324786324</v>
      </c>
      <c r="AO196">
        <v>78.581667985505149</v>
      </c>
      <c r="AP196">
        <v>738.0784348128027</v>
      </c>
      <c r="AQ196">
        <v>196.00392024184595</v>
      </c>
      <c r="AR196">
        <v>72.936574454601754</v>
      </c>
      <c r="AS196">
        <v>383.68143705044923</v>
      </c>
      <c r="AT196" t="e">
        <v>#DIV/0!</v>
      </c>
      <c r="AU196" t="e">
        <v>#DIV/0!</v>
      </c>
      <c r="AV196"/>
      <c r="AW196"/>
      <c r="AX196" s="146"/>
      <c r="AY196" s="76" t="str">
        <f t="shared" ca="1" si="169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4"/>
        <v/>
      </c>
      <c r="CL196" s="179" t="str">
        <f t="shared" si="205"/>
        <v/>
      </c>
      <c r="CM196" s="180" t="str">
        <f t="shared" si="206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7"/>
        <v/>
      </c>
      <c r="DB196" s="146"/>
      <c r="DC196" s="76" t="str">
        <f t="shared" ca="1" si="170"/>
        <v/>
      </c>
      <c r="DD196" t="str">
        <f t="shared" si="208"/>
        <v/>
      </c>
      <c r="DE196" s="129" t="str">
        <f t="shared" si="279"/>
        <v/>
      </c>
      <c r="DF196" s="161" t="str">
        <f t="shared" si="280"/>
        <v/>
      </c>
      <c r="DG196" s="161" t="str">
        <f t="shared" si="281"/>
        <v/>
      </c>
      <c r="DH196" s="161" t="str">
        <f t="shared" si="282"/>
        <v/>
      </c>
      <c r="DI196" s="161" t="str">
        <f t="shared" si="283"/>
        <v/>
      </c>
      <c r="DJ196" s="161" t="str">
        <f t="shared" si="284"/>
        <v/>
      </c>
      <c r="DK196" s="161" t="str">
        <f t="shared" si="285"/>
        <v/>
      </c>
      <c r="DL196" s="161" t="str">
        <f t="shared" si="286"/>
        <v/>
      </c>
      <c r="DM196" s="161" t="str">
        <f t="shared" si="287"/>
        <v/>
      </c>
      <c r="DN196" s="161" t="str">
        <f t="shared" si="310"/>
        <v/>
      </c>
      <c r="DO196" s="161" t="str">
        <f t="shared" si="311"/>
        <v/>
      </c>
      <c r="DP196" s="161" t="str">
        <f t="shared" si="312"/>
        <v/>
      </c>
      <c r="DQ196" s="161" t="str">
        <f t="shared" si="313"/>
        <v/>
      </c>
      <c r="DR196" s="161" t="str">
        <f t="shared" si="314"/>
        <v/>
      </c>
      <c r="DS196" s="161" t="str">
        <f t="shared" si="315"/>
        <v/>
      </c>
      <c r="DT196" s="161" t="str">
        <f t="shared" si="316"/>
        <v/>
      </c>
      <c r="DU196" s="161" t="str">
        <f t="shared" si="317"/>
        <v/>
      </c>
      <c r="DV196" s="161" t="str">
        <f t="shared" si="318"/>
        <v/>
      </c>
      <c r="DW196" s="161" t="str">
        <f t="shared" si="319"/>
        <v/>
      </c>
      <c r="DX196" s="161" t="str">
        <f t="shared" si="320"/>
        <v/>
      </c>
      <c r="DY196" s="161" t="str">
        <f t="shared" si="321"/>
        <v/>
      </c>
      <c r="DZ196" s="161" t="str">
        <f t="shared" si="322"/>
        <v/>
      </c>
      <c r="EA196" s="161" t="str">
        <f t="shared" si="323"/>
        <v/>
      </c>
      <c r="EB196" s="161" t="str">
        <f t="shared" si="324"/>
        <v/>
      </c>
      <c r="EC196" s="161" t="str">
        <f t="shared" si="325"/>
        <v/>
      </c>
      <c r="ED196" s="161" t="str">
        <f t="shared" si="326"/>
        <v/>
      </c>
      <c r="EE196" s="161" t="str">
        <f t="shared" si="327"/>
        <v/>
      </c>
      <c r="EF196" s="161" t="str">
        <f t="shared" si="328"/>
        <v/>
      </c>
      <c r="EG196" s="161" t="str">
        <f t="shared" si="329"/>
        <v/>
      </c>
      <c r="EH196" s="161" t="str">
        <f t="shared" si="330"/>
        <v/>
      </c>
      <c r="EI196" s="161" t="str">
        <f t="shared" si="331"/>
        <v/>
      </c>
      <c r="EJ196" s="161" t="str">
        <f t="shared" si="332"/>
        <v/>
      </c>
      <c r="EK196" s="147" t="str">
        <f t="shared" si="246"/>
        <v/>
      </c>
      <c r="EL196" s="149"/>
      <c r="EN196" s="146"/>
      <c r="EO196" s="146"/>
      <c r="EP196" s="139" t="str">
        <f t="shared" si="247"/>
        <v/>
      </c>
      <c r="EQ196" s="139" t="str">
        <f t="shared" si="248"/>
        <v/>
      </c>
      <c r="ER196" s="139" t="str">
        <f t="shared" si="249"/>
        <v/>
      </c>
      <c r="ES196" s="139" t="str">
        <f t="shared" si="250"/>
        <v/>
      </c>
      <c r="ET196" s="139" t="str">
        <f t="shared" si="251"/>
        <v/>
      </c>
      <c r="EU196" s="139" t="str">
        <f t="shared" si="252"/>
        <v/>
      </c>
      <c r="EV196" s="139" t="str">
        <f t="shared" si="253"/>
        <v/>
      </c>
      <c r="EW196" s="139" t="str">
        <f t="shared" si="254"/>
        <v/>
      </c>
      <c r="EX196" s="139" t="str">
        <f t="shared" si="255"/>
        <v/>
      </c>
      <c r="EY196" s="139" t="str">
        <f t="shared" si="256"/>
        <v/>
      </c>
      <c r="EZ196" s="139" t="str">
        <f t="shared" si="257"/>
        <v/>
      </c>
      <c r="FA196" s="139" t="str">
        <f t="shared" si="258"/>
        <v/>
      </c>
      <c r="FB196" s="139" t="str">
        <f t="shared" si="259"/>
        <v/>
      </c>
      <c r="FC196" s="139" t="str">
        <f t="shared" si="260"/>
        <v/>
      </c>
      <c r="FD196" s="139" t="str">
        <f t="shared" si="261"/>
        <v/>
      </c>
      <c r="FE196" s="139" t="str">
        <f t="shared" si="262"/>
        <v/>
      </c>
      <c r="FF196" s="139" t="str">
        <f t="shared" si="263"/>
        <v/>
      </c>
      <c r="FG196" s="139" t="str">
        <f t="shared" si="264"/>
        <v/>
      </c>
      <c r="FH196" s="139" t="str">
        <f t="shared" si="265"/>
        <v/>
      </c>
      <c r="FI196" s="139" t="str">
        <f t="shared" si="266"/>
        <v/>
      </c>
      <c r="FJ196" s="139" t="str">
        <f t="shared" si="267"/>
        <v/>
      </c>
      <c r="FK196" s="139" t="str">
        <f t="shared" si="268"/>
        <v/>
      </c>
      <c r="FL196" s="139" t="str">
        <f t="shared" si="269"/>
        <v/>
      </c>
      <c r="FM196" s="139" t="str">
        <f t="shared" si="270"/>
        <v/>
      </c>
      <c r="FN196" s="139" t="str">
        <f t="shared" si="271"/>
        <v/>
      </c>
      <c r="FO196" s="139" t="str">
        <f t="shared" si="272"/>
        <v/>
      </c>
      <c r="FP196" s="139" t="str">
        <f t="shared" si="273"/>
        <v/>
      </c>
      <c r="FQ196" s="139" t="str">
        <f t="shared" si="274"/>
        <v/>
      </c>
      <c r="FR196" s="139" t="str">
        <f t="shared" si="275"/>
        <v/>
      </c>
      <c r="FS196" s="139" t="str">
        <f t="shared" si="276"/>
        <v/>
      </c>
      <c r="FT196" s="139" t="str">
        <f t="shared" si="277"/>
        <v/>
      </c>
      <c r="FU196" s="148" t="str">
        <f t="shared" si="278"/>
        <v/>
      </c>
      <c r="FV196" s="149"/>
      <c r="FY196" s="211">
        <v>191</v>
      </c>
      <c r="FZ196">
        <v>68.997204800550236</v>
      </c>
      <c r="GA196">
        <v>68.860483897930195</v>
      </c>
      <c r="GB196">
        <v>51.457674964024505</v>
      </c>
      <c r="GC196">
        <v>1.8526523942331834</v>
      </c>
      <c r="GD196">
        <v>0.39144276082538576</v>
      </c>
      <c r="GE196">
        <v>0.40483156429173195</v>
      </c>
      <c r="GF196">
        <v>3.9519434502154356</v>
      </c>
      <c r="GG196">
        <v>5.43678265319895</v>
      </c>
      <c r="GH196">
        <v>9.6111648241764271</v>
      </c>
      <c r="GI196">
        <v>52.604499033628599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13.388114316239315</v>
      </c>
      <c r="AO197">
        <v>91.454130224914564</v>
      </c>
      <c r="AP197">
        <v>542.1937100927255</v>
      </c>
      <c r="AQ197">
        <v>151.8789611496</v>
      </c>
      <c r="AR197">
        <v>84.796058334130933</v>
      </c>
      <c r="AS197">
        <v>692.34633286592702</v>
      </c>
      <c r="AT197" t="e">
        <v>#DIV/0!</v>
      </c>
      <c r="AU197" t="e">
        <v>#DIV/0!</v>
      </c>
      <c r="AV197"/>
      <c r="AW197"/>
      <c r="AX197" s="146"/>
      <c r="AY197" s="76" t="str">
        <f t="shared" ca="1" si="169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4"/>
        <v/>
      </c>
      <c r="CL197" s="179" t="str">
        <f t="shared" si="205"/>
        <v/>
      </c>
      <c r="CM197" s="180" t="str">
        <f t="shared" si="206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7"/>
        <v/>
      </c>
      <c r="DB197" s="146"/>
      <c r="DC197" s="76" t="str">
        <f t="shared" ca="1" si="170"/>
        <v/>
      </c>
      <c r="DD197" t="str">
        <f t="shared" si="208"/>
        <v/>
      </c>
      <c r="DE197" s="129" t="str">
        <f t="shared" si="279"/>
        <v/>
      </c>
      <c r="DF197" s="161" t="str">
        <f t="shared" si="280"/>
        <v/>
      </c>
      <c r="DG197" s="161" t="str">
        <f t="shared" si="281"/>
        <v/>
      </c>
      <c r="DH197" s="161" t="str">
        <f t="shared" si="282"/>
        <v/>
      </c>
      <c r="DI197" s="161" t="str">
        <f t="shared" si="283"/>
        <v/>
      </c>
      <c r="DJ197" s="161" t="str">
        <f t="shared" si="284"/>
        <v/>
      </c>
      <c r="DK197" s="161" t="str">
        <f t="shared" si="285"/>
        <v/>
      </c>
      <c r="DL197" s="161" t="str">
        <f t="shared" si="286"/>
        <v/>
      </c>
      <c r="DM197" s="161" t="str">
        <f t="shared" si="287"/>
        <v/>
      </c>
      <c r="DN197" s="161" t="str">
        <f t="shared" si="310"/>
        <v/>
      </c>
      <c r="DO197" s="161" t="str">
        <f t="shared" si="311"/>
        <v/>
      </c>
      <c r="DP197" s="161" t="str">
        <f t="shared" si="312"/>
        <v/>
      </c>
      <c r="DQ197" s="161" t="str">
        <f t="shared" si="313"/>
        <v/>
      </c>
      <c r="DR197" s="161" t="str">
        <f t="shared" si="314"/>
        <v/>
      </c>
      <c r="DS197" s="161" t="str">
        <f t="shared" si="315"/>
        <v/>
      </c>
      <c r="DT197" s="161" t="str">
        <f t="shared" si="316"/>
        <v/>
      </c>
      <c r="DU197" s="161" t="str">
        <f t="shared" si="317"/>
        <v/>
      </c>
      <c r="DV197" s="161" t="str">
        <f t="shared" si="318"/>
        <v/>
      </c>
      <c r="DW197" s="161" t="str">
        <f t="shared" si="319"/>
        <v/>
      </c>
      <c r="DX197" s="161" t="str">
        <f t="shared" si="320"/>
        <v/>
      </c>
      <c r="DY197" s="161" t="str">
        <f t="shared" si="321"/>
        <v/>
      </c>
      <c r="DZ197" s="161" t="str">
        <f t="shared" si="322"/>
        <v/>
      </c>
      <c r="EA197" s="161" t="str">
        <f t="shared" si="323"/>
        <v/>
      </c>
      <c r="EB197" s="161" t="str">
        <f t="shared" si="324"/>
        <v/>
      </c>
      <c r="EC197" s="161" t="str">
        <f t="shared" si="325"/>
        <v/>
      </c>
      <c r="ED197" s="161" t="str">
        <f t="shared" si="326"/>
        <v/>
      </c>
      <c r="EE197" s="161" t="str">
        <f t="shared" si="327"/>
        <v/>
      </c>
      <c r="EF197" s="161" t="str">
        <f t="shared" si="328"/>
        <v/>
      </c>
      <c r="EG197" s="161" t="str">
        <f t="shared" si="329"/>
        <v/>
      </c>
      <c r="EH197" s="161" t="str">
        <f t="shared" si="330"/>
        <v/>
      </c>
      <c r="EI197" s="161" t="str">
        <f t="shared" si="331"/>
        <v/>
      </c>
      <c r="EJ197" s="161" t="str">
        <f t="shared" si="332"/>
        <v/>
      </c>
      <c r="EK197" s="147" t="str">
        <f t="shared" si="246"/>
        <v/>
      </c>
      <c r="EL197" s="149"/>
      <c r="EN197" s="146"/>
      <c r="EO197" s="146"/>
      <c r="EP197" s="139" t="str">
        <f t="shared" si="247"/>
        <v/>
      </c>
      <c r="EQ197" s="139" t="str">
        <f t="shared" si="248"/>
        <v/>
      </c>
      <c r="ER197" s="139" t="str">
        <f t="shared" si="249"/>
        <v/>
      </c>
      <c r="ES197" s="139" t="str">
        <f t="shared" si="250"/>
        <v/>
      </c>
      <c r="ET197" s="139" t="str">
        <f t="shared" si="251"/>
        <v/>
      </c>
      <c r="EU197" s="139" t="str">
        <f t="shared" si="252"/>
        <v/>
      </c>
      <c r="EV197" s="139" t="str">
        <f t="shared" si="253"/>
        <v/>
      </c>
      <c r="EW197" s="139" t="str">
        <f t="shared" si="254"/>
        <v/>
      </c>
      <c r="EX197" s="139" t="str">
        <f t="shared" si="255"/>
        <v/>
      </c>
      <c r="EY197" s="139" t="str">
        <f t="shared" si="256"/>
        <v/>
      </c>
      <c r="EZ197" s="139" t="str">
        <f t="shared" si="257"/>
        <v/>
      </c>
      <c r="FA197" s="139" t="str">
        <f t="shared" si="258"/>
        <v/>
      </c>
      <c r="FB197" s="139" t="str">
        <f t="shared" si="259"/>
        <v/>
      </c>
      <c r="FC197" s="139" t="str">
        <f t="shared" si="260"/>
        <v/>
      </c>
      <c r="FD197" s="139" t="str">
        <f t="shared" si="261"/>
        <v/>
      </c>
      <c r="FE197" s="139" t="str">
        <f t="shared" si="262"/>
        <v/>
      </c>
      <c r="FF197" s="139" t="str">
        <f t="shared" si="263"/>
        <v/>
      </c>
      <c r="FG197" s="139" t="str">
        <f t="shared" si="264"/>
        <v/>
      </c>
      <c r="FH197" s="139" t="str">
        <f t="shared" si="265"/>
        <v/>
      </c>
      <c r="FI197" s="139" t="str">
        <f t="shared" si="266"/>
        <v/>
      </c>
      <c r="FJ197" s="139" t="str">
        <f t="shared" si="267"/>
        <v/>
      </c>
      <c r="FK197" s="139" t="str">
        <f t="shared" si="268"/>
        <v/>
      </c>
      <c r="FL197" s="139" t="str">
        <f t="shared" si="269"/>
        <v/>
      </c>
      <c r="FM197" s="139" t="str">
        <f t="shared" si="270"/>
        <v/>
      </c>
      <c r="FN197" s="139" t="str">
        <f t="shared" si="271"/>
        <v/>
      </c>
      <c r="FO197" s="139" t="str">
        <f t="shared" si="272"/>
        <v/>
      </c>
      <c r="FP197" s="139" t="str">
        <f t="shared" si="273"/>
        <v/>
      </c>
      <c r="FQ197" s="139" t="str">
        <f t="shared" si="274"/>
        <v/>
      </c>
      <c r="FR197" s="139" t="str">
        <f t="shared" si="275"/>
        <v/>
      </c>
      <c r="FS197" s="139" t="str">
        <f t="shared" si="276"/>
        <v/>
      </c>
      <c r="FT197" s="139" t="str">
        <f t="shared" si="277"/>
        <v/>
      </c>
      <c r="FU197" s="148" t="str">
        <f t="shared" si="278"/>
        <v/>
      </c>
      <c r="FV197" s="149"/>
      <c r="FY197" s="211">
        <v>192</v>
      </c>
      <c r="FZ197">
        <v>57.305234886957919</v>
      </c>
      <c r="GA197">
        <v>55.555640166068699</v>
      </c>
      <c r="GB197">
        <v>59.527548897837619</v>
      </c>
      <c r="GC197">
        <v>4.0760888304874987</v>
      </c>
      <c r="GD197">
        <v>0.37091859542585337</v>
      </c>
      <c r="GE197">
        <v>1.0310125627312536</v>
      </c>
      <c r="GF197">
        <v>3.1199506186477013</v>
      </c>
      <c r="GG197">
        <v>3.6489681543580739</v>
      </c>
      <c r="GH197">
        <v>7.6426954455232705</v>
      </c>
      <c r="GI197">
        <v>51.250708806853751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13.2265625</v>
      </c>
      <c r="AO198">
        <v>128.60260666236621</v>
      </c>
      <c r="AP198">
        <v>968.54386520567118</v>
      </c>
      <c r="AQ198">
        <v>218.0191782086539</v>
      </c>
      <c r="AR198">
        <v>119.37489639767753</v>
      </c>
      <c r="AS198">
        <v>694.80769913982601</v>
      </c>
      <c r="AT198" t="e">
        <v>#DIV/0!</v>
      </c>
      <c r="AU198" t="e">
        <v>#DIV/0!</v>
      </c>
      <c r="AV198"/>
      <c r="AW198"/>
      <c r="AX198" s="128"/>
      <c r="AY198" s="76" t="str">
        <f t="shared" ca="1" si="169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4"/>
        <v/>
      </c>
      <c r="CL198" s="179" t="str">
        <f t="shared" si="205"/>
        <v/>
      </c>
      <c r="CM198" s="180" t="str">
        <f t="shared" si="206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7"/>
        <v/>
      </c>
      <c r="DB198" s="128"/>
      <c r="DC198" s="76" t="str">
        <f t="shared" ca="1" si="170"/>
        <v/>
      </c>
      <c r="DD198" t="str">
        <f t="shared" si="208"/>
        <v/>
      </c>
      <c r="DE198" s="129" t="str">
        <f t="shared" ref="DE198:DE207" si="333">IF((DD198)="", "", $C$15)</f>
        <v/>
      </c>
      <c r="DF198" s="161" t="str">
        <f t="shared" si="280"/>
        <v/>
      </c>
      <c r="DG198" s="161" t="str">
        <f t="shared" si="281"/>
        <v/>
      </c>
      <c r="DH198" s="161" t="str">
        <f t="shared" si="282"/>
        <v/>
      </c>
      <c r="DI198" s="161" t="str">
        <f t="shared" si="283"/>
        <v/>
      </c>
      <c r="DJ198" s="161" t="str">
        <f t="shared" si="284"/>
        <v/>
      </c>
      <c r="DK198" s="161" t="str">
        <f t="shared" si="285"/>
        <v/>
      </c>
      <c r="DL198" s="161" t="str">
        <f t="shared" si="286"/>
        <v/>
      </c>
      <c r="DM198" s="161" t="str">
        <f t="shared" si="287"/>
        <v/>
      </c>
      <c r="DN198" s="161" t="str">
        <f t="shared" si="310"/>
        <v/>
      </c>
      <c r="DO198" s="161" t="str">
        <f t="shared" si="311"/>
        <v/>
      </c>
      <c r="DP198" s="161" t="str">
        <f t="shared" si="312"/>
        <v/>
      </c>
      <c r="DQ198" s="161" t="str">
        <f t="shared" si="313"/>
        <v/>
      </c>
      <c r="DR198" s="161" t="str">
        <f t="shared" si="314"/>
        <v/>
      </c>
      <c r="DS198" s="161" t="str">
        <f t="shared" si="315"/>
        <v/>
      </c>
      <c r="DT198" s="161" t="str">
        <f t="shared" si="316"/>
        <v/>
      </c>
      <c r="DU198" s="161" t="str">
        <f t="shared" si="317"/>
        <v/>
      </c>
      <c r="DV198" s="161" t="str">
        <f t="shared" si="318"/>
        <v/>
      </c>
      <c r="DW198" s="161" t="str">
        <f t="shared" si="319"/>
        <v/>
      </c>
      <c r="DX198" s="161" t="str">
        <f t="shared" si="320"/>
        <v/>
      </c>
      <c r="DY198" s="161" t="str">
        <f t="shared" si="321"/>
        <v/>
      </c>
      <c r="DZ198" s="161" t="str">
        <f t="shared" si="322"/>
        <v/>
      </c>
      <c r="EA198" s="161" t="str">
        <f t="shared" si="323"/>
        <v/>
      </c>
      <c r="EB198" s="161" t="str">
        <f t="shared" si="324"/>
        <v/>
      </c>
      <c r="EC198" s="161" t="str">
        <f t="shared" si="325"/>
        <v/>
      </c>
      <c r="ED198" s="161" t="str">
        <f t="shared" si="326"/>
        <v/>
      </c>
      <c r="EE198" s="161" t="str">
        <f t="shared" si="327"/>
        <v/>
      </c>
      <c r="EF198" s="161" t="str">
        <f t="shared" si="328"/>
        <v/>
      </c>
      <c r="EG198" s="161" t="str">
        <f t="shared" si="329"/>
        <v/>
      </c>
      <c r="EH198" s="161" t="str">
        <f t="shared" si="330"/>
        <v/>
      </c>
      <c r="EI198" s="161" t="str">
        <f t="shared" si="331"/>
        <v/>
      </c>
      <c r="EJ198" s="161" t="str">
        <f t="shared" si="332"/>
        <v/>
      </c>
      <c r="EK198" s="147" t="str">
        <f t="shared" si="246"/>
        <v/>
      </c>
      <c r="EL198" s="149"/>
      <c r="EN198" s="146"/>
      <c r="EO198" s="146"/>
      <c r="EP198" s="139" t="str">
        <f t="shared" si="247"/>
        <v/>
      </c>
      <c r="EQ198" s="139" t="str">
        <f t="shared" si="248"/>
        <v/>
      </c>
      <c r="ER198" s="139" t="str">
        <f t="shared" si="249"/>
        <v/>
      </c>
      <c r="ES198" s="139" t="str">
        <f t="shared" si="250"/>
        <v/>
      </c>
      <c r="ET198" s="139" t="str">
        <f t="shared" si="251"/>
        <v/>
      </c>
      <c r="EU198" s="139" t="str">
        <f t="shared" si="252"/>
        <v/>
      </c>
      <c r="EV198" s="139" t="str">
        <f t="shared" si="253"/>
        <v/>
      </c>
      <c r="EW198" s="139" t="str">
        <f t="shared" si="254"/>
        <v/>
      </c>
      <c r="EX198" s="139" t="str">
        <f t="shared" si="255"/>
        <v/>
      </c>
      <c r="EY198" s="139" t="str">
        <f t="shared" si="256"/>
        <v/>
      </c>
      <c r="EZ198" s="139" t="str">
        <f t="shared" si="257"/>
        <v/>
      </c>
      <c r="FA198" s="139" t="str">
        <f t="shared" si="258"/>
        <v/>
      </c>
      <c r="FB198" s="139" t="str">
        <f t="shared" si="259"/>
        <v/>
      </c>
      <c r="FC198" s="139" t="str">
        <f t="shared" si="260"/>
        <v/>
      </c>
      <c r="FD198" s="139" t="str">
        <f t="shared" si="261"/>
        <v/>
      </c>
      <c r="FE198" s="139" t="str">
        <f t="shared" si="262"/>
        <v/>
      </c>
      <c r="FF198" s="139" t="str">
        <f t="shared" si="263"/>
        <v/>
      </c>
      <c r="FG198" s="139" t="str">
        <f t="shared" si="264"/>
        <v/>
      </c>
      <c r="FH198" s="139" t="str">
        <f t="shared" si="265"/>
        <v/>
      </c>
      <c r="FI198" s="139" t="str">
        <f t="shared" si="266"/>
        <v/>
      </c>
      <c r="FJ198" s="139" t="str">
        <f t="shared" si="267"/>
        <v/>
      </c>
      <c r="FK198" s="139" t="str">
        <f t="shared" si="268"/>
        <v/>
      </c>
      <c r="FL198" s="139" t="str">
        <f t="shared" si="269"/>
        <v/>
      </c>
      <c r="FM198" s="139" t="str">
        <f t="shared" si="270"/>
        <v/>
      </c>
      <c r="FN198" s="139" t="str">
        <f t="shared" si="271"/>
        <v/>
      </c>
      <c r="FO198" s="139" t="str">
        <f t="shared" si="272"/>
        <v/>
      </c>
      <c r="FP198" s="139" t="str">
        <f t="shared" si="273"/>
        <v/>
      </c>
      <c r="FQ198" s="139" t="str">
        <f t="shared" si="274"/>
        <v/>
      </c>
      <c r="FR198" s="139" t="str">
        <f t="shared" si="275"/>
        <v/>
      </c>
      <c r="FS198" s="139" t="str">
        <f t="shared" si="276"/>
        <v/>
      </c>
      <c r="FT198" s="139" t="str">
        <f t="shared" si="277"/>
        <v/>
      </c>
      <c r="FU198" s="148" t="str">
        <f t="shared" si="278"/>
        <v/>
      </c>
      <c r="FV198" s="149"/>
      <c r="FY198" s="211">
        <v>193</v>
      </c>
      <c r="FZ198">
        <v>25.947775082982446</v>
      </c>
      <c r="GA198">
        <v>31.834538924658005</v>
      </c>
      <c r="GB198">
        <v>39.053670235927079</v>
      </c>
      <c r="GC198">
        <v>1.990330200179375</v>
      </c>
      <c r="GD198">
        <v>0.27255597699018586</v>
      </c>
      <c r="GE198">
        <v>0.58195398675887211</v>
      </c>
      <c r="GF198">
        <v>2.2459385854596281</v>
      </c>
      <c r="GG198">
        <v>0.82966741238504016</v>
      </c>
      <c r="GH198">
        <v>8.0565532890635385</v>
      </c>
      <c r="GI198">
        <v>43.5305806604525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10.417321047008546</v>
      </c>
      <c r="AO199">
        <v>52.608859801003362</v>
      </c>
      <c r="AP199">
        <v>544.43021958389659</v>
      </c>
      <c r="AQ199">
        <v>187.57778744969644</v>
      </c>
      <c r="AR199">
        <v>48.667681894709077</v>
      </c>
      <c r="AS199">
        <v>308.99543111286499</v>
      </c>
      <c r="AT199" t="e">
        <v>#DIV/0!</v>
      </c>
      <c r="AU199" t="e">
        <v>#DIV/0!</v>
      </c>
      <c r="AV199"/>
      <c r="AW199"/>
      <c r="AX199" s="146"/>
      <c r="AY199" s="76" t="str">
        <f t="shared" ca="1" si="169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4"/>
        <v/>
      </c>
      <c r="CL199" s="179" t="str">
        <f t="shared" si="205"/>
        <v/>
      </c>
      <c r="CM199" s="180" t="str">
        <f t="shared" si="206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7"/>
        <v/>
      </c>
      <c r="DB199" s="146"/>
      <c r="DC199" s="76" t="str">
        <f t="shared" ca="1" si="170"/>
        <v/>
      </c>
      <c r="DD199" t="str">
        <f t="shared" si="208"/>
        <v/>
      </c>
      <c r="DE199" s="129" t="str">
        <f t="shared" si="333"/>
        <v/>
      </c>
      <c r="DF199" s="161" t="str">
        <f t="shared" si="280"/>
        <v/>
      </c>
      <c r="DG199" s="161" t="str">
        <f t="shared" si="281"/>
        <v/>
      </c>
      <c r="DH199" s="161" t="str">
        <f t="shared" si="282"/>
        <v/>
      </c>
      <c r="DI199" s="161" t="str">
        <f t="shared" si="283"/>
        <v/>
      </c>
      <c r="DJ199" s="161" t="str">
        <f t="shared" si="284"/>
        <v/>
      </c>
      <c r="DK199" s="161" t="str">
        <f t="shared" si="285"/>
        <v/>
      </c>
      <c r="DL199" s="161" t="str">
        <f t="shared" si="286"/>
        <v/>
      </c>
      <c r="DM199" s="161" t="str">
        <f t="shared" si="287"/>
        <v/>
      </c>
      <c r="DN199" s="161" t="str">
        <f t="shared" si="310"/>
        <v/>
      </c>
      <c r="DO199" s="161" t="str">
        <f t="shared" si="311"/>
        <v/>
      </c>
      <c r="DP199" s="161" t="str">
        <f t="shared" si="312"/>
        <v/>
      </c>
      <c r="DQ199" s="161" t="str">
        <f t="shared" si="313"/>
        <v/>
      </c>
      <c r="DR199" s="161" t="str">
        <f t="shared" si="314"/>
        <v/>
      </c>
      <c r="DS199" s="161" t="str">
        <f t="shared" si="315"/>
        <v/>
      </c>
      <c r="DT199" s="161" t="str">
        <f t="shared" si="316"/>
        <v/>
      </c>
      <c r="DU199" s="161" t="str">
        <f t="shared" si="317"/>
        <v/>
      </c>
      <c r="DV199" s="161" t="str">
        <f t="shared" si="318"/>
        <v/>
      </c>
      <c r="DW199" s="161" t="str">
        <f t="shared" si="319"/>
        <v/>
      </c>
      <c r="DX199" s="161" t="str">
        <f t="shared" si="320"/>
        <v/>
      </c>
      <c r="DY199" s="161" t="str">
        <f t="shared" si="321"/>
        <v/>
      </c>
      <c r="DZ199" s="161" t="str">
        <f t="shared" si="322"/>
        <v/>
      </c>
      <c r="EA199" s="161" t="str">
        <f t="shared" si="323"/>
        <v/>
      </c>
      <c r="EB199" s="161" t="str">
        <f t="shared" si="324"/>
        <v/>
      </c>
      <c r="EC199" s="161" t="str">
        <f t="shared" si="325"/>
        <v/>
      </c>
      <c r="ED199" s="161" t="str">
        <f t="shared" si="326"/>
        <v/>
      </c>
      <c r="EE199" s="161" t="str">
        <f t="shared" si="327"/>
        <v/>
      </c>
      <c r="EF199" s="161" t="str">
        <f t="shared" si="328"/>
        <v/>
      </c>
      <c r="EG199" s="161" t="str">
        <f t="shared" si="329"/>
        <v/>
      </c>
      <c r="EH199" s="161" t="str">
        <f t="shared" si="330"/>
        <v/>
      </c>
      <c r="EI199" s="161" t="str">
        <f t="shared" si="331"/>
        <v/>
      </c>
      <c r="EJ199" s="161" t="str">
        <f t="shared" si="332"/>
        <v/>
      </c>
      <c r="EK199" s="147" t="str">
        <f t="shared" si="246"/>
        <v/>
      </c>
      <c r="EL199" s="149"/>
      <c r="EN199" s="146"/>
      <c r="EO199" s="146"/>
      <c r="EP199" s="139" t="str">
        <f t="shared" si="247"/>
        <v/>
      </c>
      <c r="EQ199" s="139" t="str">
        <f t="shared" si="248"/>
        <v/>
      </c>
      <c r="ER199" s="139" t="str">
        <f t="shared" si="249"/>
        <v/>
      </c>
      <c r="ES199" s="139" t="str">
        <f t="shared" si="250"/>
        <v/>
      </c>
      <c r="ET199" s="139" t="str">
        <f t="shared" si="251"/>
        <v/>
      </c>
      <c r="EU199" s="139" t="str">
        <f t="shared" si="252"/>
        <v/>
      </c>
      <c r="EV199" s="139" t="str">
        <f t="shared" si="253"/>
        <v/>
      </c>
      <c r="EW199" s="139" t="str">
        <f t="shared" si="254"/>
        <v/>
      </c>
      <c r="EX199" s="139" t="str">
        <f t="shared" si="255"/>
        <v/>
      </c>
      <c r="EY199" s="139" t="str">
        <f t="shared" si="256"/>
        <v/>
      </c>
      <c r="EZ199" s="139" t="str">
        <f t="shared" si="257"/>
        <v/>
      </c>
      <c r="FA199" s="139" t="str">
        <f t="shared" si="258"/>
        <v/>
      </c>
      <c r="FB199" s="139" t="str">
        <f t="shared" si="259"/>
        <v/>
      </c>
      <c r="FC199" s="139" t="str">
        <f t="shared" si="260"/>
        <v/>
      </c>
      <c r="FD199" s="139" t="str">
        <f t="shared" si="261"/>
        <v/>
      </c>
      <c r="FE199" s="139" t="str">
        <f t="shared" si="262"/>
        <v/>
      </c>
      <c r="FF199" s="139" t="str">
        <f t="shared" si="263"/>
        <v/>
      </c>
      <c r="FG199" s="139" t="str">
        <f t="shared" si="264"/>
        <v/>
      </c>
      <c r="FH199" s="139" t="str">
        <f t="shared" si="265"/>
        <v/>
      </c>
      <c r="FI199" s="139" t="str">
        <f t="shared" si="266"/>
        <v/>
      </c>
      <c r="FJ199" s="139" t="str">
        <f t="shared" si="267"/>
        <v/>
      </c>
      <c r="FK199" s="139" t="str">
        <f t="shared" si="268"/>
        <v/>
      </c>
      <c r="FL199" s="139" t="str">
        <f t="shared" si="269"/>
        <v/>
      </c>
      <c r="FM199" s="139" t="str">
        <f t="shared" si="270"/>
        <v/>
      </c>
      <c r="FN199" s="139" t="str">
        <f t="shared" si="271"/>
        <v/>
      </c>
      <c r="FO199" s="139" t="str">
        <f t="shared" si="272"/>
        <v/>
      </c>
      <c r="FP199" s="139" t="str">
        <f t="shared" si="273"/>
        <v/>
      </c>
      <c r="FQ199" s="139" t="str">
        <f t="shared" si="274"/>
        <v/>
      </c>
      <c r="FR199" s="139" t="str">
        <f t="shared" si="275"/>
        <v/>
      </c>
      <c r="FS199" s="139" t="str">
        <f t="shared" si="276"/>
        <v/>
      </c>
      <c r="FT199" s="139" t="str">
        <f t="shared" si="277"/>
        <v/>
      </c>
      <c r="FU199" s="148" t="str">
        <f t="shared" si="278"/>
        <v/>
      </c>
      <c r="FV199" s="149"/>
      <c r="FY199" s="211">
        <v>194</v>
      </c>
      <c r="FZ199">
        <v>39.495060745321226</v>
      </c>
      <c r="GA199">
        <v>38.245160380687835</v>
      </c>
      <c r="GB199">
        <v>9.2619748402018516</v>
      </c>
      <c r="GC199">
        <v>2.2473046345939149</v>
      </c>
      <c r="GD199">
        <v>0.2287966533848648</v>
      </c>
      <c r="GE199">
        <v>0</v>
      </c>
      <c r="GF199">
        <v>2.1364780152211202</v>
      </c>
      <c r="GG199">
        <v>9.472406113291342</v>
      </c>
      <c r="GH199">
        <v>12.811725781627663</v>
      </c>
      <c r="GI199">
        <v>23.527923728412073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17.82779113247863</v>
      </c>
      <c r="AO200">
        <v>116.95118307868788</v>
      </c>
      <c r="AP200">
        <v>759.18404860814314</v>
      </c>
      <c r="AQ200">
        <v>222.70700340118651</v>
      </c>
      <c r="AR200">
        <v>108.47249520754389</v>
      </c>
      <c r="AS200">
        <v>1062.6242167711371</v>
      </c>
      <c r="AT200" t="e">
        <v>#DIV/0!</v>
      </c>
      <c r="AU200" t="e">
        <v>#DIV/0!</v>
      </c>
      <c r="AV200"/>
      <c r="AW200"/>
      <c r="AX200" s="146"/>
      <c r="AY200" s="76" t="str">
        <f t="shared" ca="1" si="169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4"/>
        <v/>
      </c>
      <c r="CL200" s="179" t="str">
        <f t="shared" si="205"/>
        <v/>
      </c>
      <c r="CM200" s="180" t="str">
        <f t="shared" si="206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7"/>
        <v/>
      </c>
      <c r="DB200" s="146"/>
      <c r="DC200" s="76" t="str">
        <f t="shared" ca="1" si="170"/>
        <v/>
      </c>
      <c r="DD200" t="str">
        <f t="shared" si="208"/>
        <v/>
      </c>
      <c r="DE200" s="129" t="str">
        <f t="shared" si="333"/>
        <v/>
      </c>
      <c r="DF200" s="161" t="str">
        <f t="shared" si="280"/>
        <v/>
      </c>
      <c r="DG200" s="161" t="str">
        <f t="shared" si="281"/>
        <v/>
      </c>
      <c r="DH200" s="161" t="str">
        <f t="shared" si="282"/>
        <v/>
      </c>
      <c r="DI200" s="161" t="str">
        <f t="shared" si="283"/>
        <v/>
      </c>
      <c r="DJ200" s="161" t="str">
        <f t="shared" si="284"/>
        <v/>
      </c>
      <c r="DK200" s="161" t="str">
        <f t="shared" si="285"/>
        <v/>
      </c>
      <c r="DL200" s="161" t="str">
        <f t="shared" si="286"/>
        <v/>
      </c>
      <c r="DM200" s="161" t="str">
        <f t="shared" si="287"/>
        <v/>
      </c>
      <c r="DN200" s="161" t="str">
        <f t="shared" si="310"/>
        <v/>
      </c>
      <c r="DO200" s="161" t="str">
        <f t="shared" si="311"/>
        <v/>
      </c>
      <c r="DP200" s="161" t="str">
        <f t="shared" si="312"/>
        <v/>
      </c>
      <c r="DQ200" s="161" t="str">
        <f t="shared" si="313"/>
        <v/>
      </c>
      <c r="DR200" s="161" t="str">
        <f t="shared" si="314"/>
        <v/>
      </c>
      <c r="DS200" s="161" t="str">
        <f t="shared" si="315"/>
        <v/>
      </c>
      <c r="DT200" s="161" t="str">
        <f t="shared" si="316"/>
        <v/>
      </c>
      <c r="DU200" s="161" t="str">
        <f t="shared" si="317"/>
        <v/>
      </c>
      <c r="DV200" s="161" t="str">
        <f t="shared" si="318"/>
        <v/>
      </c>
      <c r="DW200" s="161" t="str">
        <f t="shared" si="319"/>
        <v/>
      </c>
      <c r="DX200" s="161" t="str">
        <f t="shared" si="320"/>
        <v/>
      </c>
      <c r="DY200" s="161" t="str">
        <f t="shared" si="321"/>
        <v/>
      </c>
      <c r="DZ200" s="161" t="str">
        <f t="shared" si="322"/>
        <v/>
      </c>
      <c r="EA200" s="161" t="str">
        <f t="shared" si="323"/>
        <v/>
      </c>
      <c r="EB200" s="161" t="str">
        <f t="shared" si="324"/>
        <v/>
      </c>
      <c r="EC200" s="161" t="str">
        <f t="shared" si="325"/>
        <v/>
      </c>
      <c r="ED200" s="161" t="str">
        <f t="shared" si="326"/>
        <v/>
      </c>
      <c r="EE200" s="161" t="str">
        <f t="shared" si="327"/>
        <v/>
      </c>
      <c r="EF200" s="161" t="str">
        <f t="shared" si="328"/>
        <v/>
      </c>
      <c r="EG200" s="161" t="str">
        <f t="shared" si="329"/>
        <v/>
      </c>
      <c r="EH200" s="161" t="str">
        <f t="shared" si="330"/>
        <v/>
      </c>
      <c r="EI200" s="161" t="str">
        <f t="shared" si="331"/>
        <v/>
      </c>
      <c r="EJ200" s="161" t="str">
        <f t="shared" si="332"/>
        <v/>
      </c>
      <c r="EK200" s="147" t="str">
        <f t="shared" si="246"/>
        <v/>
      </c>
      <c r="EL200" s="149"/>
      <c r="EN200" s="146"/>
      <c r="EO200" s="146"/>
      <c r="EP200" s="139" t="str">
        <f t="shared" si="247"/>
        <v/>
      </c>
      <c r="EQ200" s="139" t="str">
        <f t="shared" si="248"/>
        <v/>
      </c>
      <c r="ER200" s="139" t="str">
        <f t="shared" si="249"/>
        <v/>
      </c>
      <c r="ES200" s="139" t="str">
        <f t="shared" si="250"/>
        <v/>
      </c>
      <c r="ET200" s="139" t="str">
        <f t="shared" si="251"/>
        <v/>
      </c>
      <c r="EU200" s="139" t="str">
        <f t="shared" si="252"/>
        <v/>
      </c>
      <c r="EV200" s="139" t="str">
        <f t="shared" si="253"/>
        <v/>
      </c>
      <c r="EW200" s="139" t="str">
        <f t="shared" si="254"/>
        <v/>
      </c>
      <c r="EX200" s="139" t="str">
        <f t="shared" si="255"/>
        <v/>
      </c>
      <c r="EY200" s="139" t="str">
        <f t="shared" si="256"/>
        <v/>
      </c>
      <c r="EZ200" s="139" t="str">
        <f t="shared" si="257"/>
        <v/>
      </c>
      <c r="FA200" s="139" t="str">
        <f t="shared" si="258"/>
        <v/>
      </c>
      <c r="FB200" s="139" t="str">
        <f t="shared" si="259"/>
        <v/>
      </c>
      <c r="FC200" s="139" t="str">
        <f t="shared" si="260"/>
        <v/>
      </c>
      <c r="FD200" s="139" t="str">
        <f t="shared" si="261"/>
        <v/>
      </c>
      <c r="FE200" s="139" t="str">
        <f t="shared" si="262"/>
        <v/>
      </c>
      <c r="FF200" s="139" t="str">
        <f t="shared" si="263"/>
        <v/>
      </c>
      <c r="FG200" s="139" t="str">
        <f t="shared" si="264"/>
        <v/>
      </c>
      <c r="FH200" s="139" t="str">
        <f t="shared" si="265"/>
        <v/>
      </c>
      <c r="FI200" s="139" t="str">
        <f t="shared" si="266"/>
        <v/>
      </c>
      <c r="FJ200" s="139" t="str">
        <f t="shared" si="267"/>
        <v/>
      </c>
      <c r="FK200" s="139" t="str">
        <f t="shared" si="268"/>
        <v/>
      </c>
      <c r="FL200" s="139" t="str">
        <f t="shared" si="269"/>
        <v/>
      </c>
      <c r="FM200" s="139" t="str">
        <f t="shared" si="270"/>
        <v/>
      </c>
      <c r="FN200" s="139" t="str">
        <f t="shared" si="271"/>
        <v/>
      </c>
      <c r="FO200" s="139" t="str">
        <f t="shared" si="272"/>
        <v/>
      </c>
      <c r="FP200" s="139" t="str">
        <f t="shared" si="273"/>
        <v/>
      </c>
      <c r="FQ200" s="139" t="str">
        <f t="shared" si="274"/>
        <v/>
      </c>
      <c r="FR200" s="139" t="str">
        <f t="shared" si="275"/>
        <v/>
      </c>
      <c r="FS200" s="139" t="str">
        <f t="shared" si="276"/>
        <v/>
      </c>
      <c r="FT200" s="139" t="str">
        <f t="shared" si="277"/>
        <v/>
      </c>
      <c r="FU200" s="148" t="str">
        <f t="shared" si="278"/>
        <v/>
      </c>
      <c r="FV200" s="149"/>
      <c r="FY200" s="211">
        <v>195</v>
      </c>
      <c r="FZ200">
        <v>46.2751526524331</v>
      </c>
      <c r="GA200">
        <v>51.531916443703238</v>
      </c>
      <c r="GB200">
        <v>71.29197613620191</v>
      </c>
      <c r="GC200">
        <v>1.6298736909740343</v>
      </c>
      <c r="GD200">
        <v>0.32173728620801972</v>
      </c>
      <c r="GE200">
        <v>0.41446923289228399</v>
      </c>
      <c r="GF200">
        <v>4.1757343159844043</v>
      </c>
      <c r="GG200">
        <v>12.202601626350067</v>
      </c>
      <c r="GH200">
        <v>14.780195160280819</v>
      </c>
      <c r="GI200">
        <v>62.812255060402101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8.7256944444444429</v>
      </c>
      <c r="AO201">
        <v>112.79901491193137</v>
      </c>
      <c r="AP201">
        <v>814.00064223908237</v>
      </c>
      <c r="AQ201">
        <v>173.99067048122524</v>
      </c>
      <c r="AR201">
        <v>104.50677466809394</v>
      </c>
      <c r="AS201">
        <v>453.40472193025545</v>
      </c>
      <c r="AT201" t="e">
        <v>#DIV/0!</v>
      </c>
      <c r="AU201" t="e">
        <v>#DIV/0!</v>
      </c>
      <c r="AV201"/>
      <c r="AW201"/>
      <c r="AX201" s="146"/>
      <c r="AY201" s="76" t="str">
        <f t="shared" ca="1" si="169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4"/>
        <v/>
      </c>
      <c r="CL201" s="179" t="str">
        <f t="shared" si="205"/>
        <v/>
      </c>
      <c r="CM201" s="180" t="str">
        <f t="shared" si="206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7"/>
        <v/>
      </c>
      <c r="DB201" s="146"/>
      <c r="DC201" s="76" t="str">
        <f t="shared" ca="1" si="170"/>
        <v/>
      </c>
      <c r="DD201" t="str">
        <f t="shared" si="208"/>
        <v/>
      </c>
      <c r="DE201" s="129" t="str">
        <f t="shared" si="333"/>
        <v/>
      </c>
      <c r="DF201" s="161" t="str">
        <f t="shared" si="280"/>
        <v/>
      </c>
      <c r="DG201" s="161" t="str">
        <f t="shared" si="281"/>
        <v/>
      </c>
      <c r="DH201" s="161" t="str">
        <f t="shared" si="282"/>
        <v/>
      </c>
      <c r="DI201" s="161" t="str">
        <f t="shared" si="283"/>
        <v/>
      </c>
      <c r="DJ201" s="161" t="str">
        <f t="shared" si="284"/>
        <v/>
      </c>
      <c r="DK201" s="161" t="str">
        <f t="shared" si="285"/>
        <v/>
      </c>
      <c r="DL201" s="161" t="str">
        <f t="shared" si="286"/>
        <v/>
      </c>
      <c r="DM201" s="161" t="str">
        <f t="shared" si="287"/>
        <v/>
      </c>
      <c r="DN201" s="161" t="str">
        <f t="shared" si="310"/>
        <v/>
      </c>
      <c r="DO201" s="161" t="str">
        <f t="shared" si="311"/>
        <v/>
      </c>
      <c r="DP201" s="161" t="str">
        <f t="shared" si="312"/>
        <v/>
      </c>
      <c r="DQ201" s="161" t="str">
        <f t="shared" si="313"/>
        <v/>
      </c>
      <c r="DR201" s="161" t="str">
        <f t="shared" si="314"/>
        <v/>
      </c>
      <c r="DS201" s="161" t="str">
        <f t="shared" si="315"/>
        <v/>
      </c>
      <c r="DT201" s="161" t="str">
        <f t="shared" si="316"/>
        <v/>
      </c>
      <c r="DU201" s="161" t="str">
        <f t="shared" si="317"/>
        <v/>
      </c>
      <c r="DV201" s="161" t="str">
        <f t="shared" si="318"/>
        <v/>
      </c>
      <c r="DW201" s="161" t="str">
        <f t="shared" si="319"/>
        <v/>
      </c>
      <c r="DX201" s="161" t="str">
        <f t="shared" si="320"/>
        <v/>
      </c>
      <c r="DY201" s="161" t="str">
        <f t="shared" si="321"/>
        <v/>
      </c>
      <c r="DZ201" s="161" t="str">
        <f t="shared" si="322"/>
        <v/>
      </c>
      <c r="EA201" s="161" t="str">
        <f t="shared" si="323"/>
        <v/>
      </c>
      <c r="EB201" s="161" t="str">
        <f t="shared" si="324"/>
        <v/>
      </c>
      <c r="EC201" s="161" t="str">
        <f t="shared" si="325"/>
        <v/>
      </c>
      <c r="ED201" s="161" t="str">
        <f t="shared" si="326"/>
        <v/>
      </c>
      <c r="EE201" s="161" t="str">
        <f t="shared" si="327"/>
        <v/>
      </c>
      <c r="EF201" s="161" t="str">
        <f t="shared" si="328"/>
        <v/>
      </c>
      <c r="EG201" s="161" t="str">
        <f t="shared" si="329"/>
        <v/>
      </c>
      <c r="EH201" s="161" t="str">
        <f t="shared" si="330"/>
        <v/>
      </c>
      <c r="EI201" s="161" t="str">
        <f t="shared" si="331"/>
        <v/>
      </c>
      <c r="EJ201" s="161" t="str">
        <f t="shared" si="332"/>
        <v/>
      </c>
      <c r="EK201" s="147" t="str">
        <f t="shared" si="246"/>
        <v/>
      </c>
      <c r="EL201" s="149"/>
      <c r="EN201" s="146"/>
      <c r="EO201" s="146"/>
      <c r="EP201" s="139" t="str">
        <f t="shared" si="247"/>
        <v/>
      </c>
      <c r="EQ201" s="139" t="str">
        <f t="shared" si="248"/>
        <v/>
      </c>
      <c r="ER201" s="139" t="str">
        <f t="shared" si="249"/>
        <v/>
      </c>
      <c r="ES201" s="139" t="str">
        <f t="shared" si="250"/>
        <v/>
      </c>
      <c r="ET201" s="139" t="str">
        <f t="shared" si="251"/>
        <v/>
      </c>
      <c r="EU201" s="139" t="str">
        <f t="shared" si="252"/>
        <v/>
      </c>
      <c r="EV201" s="139" t="str">
        <f t="shared" si="253"/>
        <v/>
      </c>
      <c r="EW201" s="139" t="str">
        <f t="shared" si="254"/>
        <v/>
      </c>
      <c r="EX201" s="139" t="str">
        <f t="shared" si="255"/>
        <v/>
      </c>
      <c r="EY201" s="139" t="str">
        <f t="shared" si="256"/>
        <v/>
      </c>
      <c r="EZ201" s="139" t="str">
        <f t="shared" si="257"/>
        <v/>
      </c>
      <c r="FA201" s="139" t="str">
        <f t="shared" si="258"/>
        <v/>
      </c>
      <c r="FB201" s="139" t="str">
        <f t="shared" si="259"/>
        <v/>
      </c>
      <c r="FC201" s="139" t="str">
        <f t="shared" si="260"/>
        <v/>
      </c>
      <c r="FD201" s="139" t="str">
        <f t="shared" si="261"/>
        <v/>
      </c>
      <c r="FE201" s="139" t="str">
        <f t="shared" si="262"/>
        <v/>
      </c>
      <c r="FF201" s="139" t="str">
        <f t="shared" si="263"/>
        <v/>
      </c>
      <c r="FG201" s="139" t="str">
        <f t="shared" si="264"/>
        <v/>
      </c>
      <c r="FH201" s="139" t="str">
        <f t="shared" si="265"/>
        <v/>
      </c>
      <c r="FI201" s="139" t="str">
        <f t="shared" si="266"/>
        <v/>
      </c>
      <c r="FJ201" s="139" t="str">
        <f t="shared" si="267"/>
        <v/>
      </c>
      <c r="FK201" s="139" t="str">
        <f t="shared" si="268"/>
        <v/>
      </c>
      <c r="FL201" s="139" t="str">
        <f t="shared" si="269"/>
        <v/>
      </c>
      <c r="FM201" s="139" t="str">
        <f t="shared" si="270"/>
        <v/>
      </c>
      <c r="FN201" s="139" t="str">
        <f t="shared" si="271"/>
        <v/>
      </c>
      <c r="FO201" s="139" t="str">
        <f t="shared" si="272"/>
        <v/>
      </c>
      <c r="FP201" s="139" t="str">
        <f t="shared" si="273"/>
        <v/>
      </c>
      <c r="FQ201" s="139" t="str">
        <f t="shared" si="274"/>
        <v/>
      </c>
      <c r="FR201" s="139" t="str">
        <f t="shared" si="275"/>
        <v/>
      </c>
      <c r="FS201" s="139" t="str">
        <f t="shared" si="276"/>
        <v/>
      </c>
      <c r="FT201" s="139" t="str">
        <f t="shared" si="277"/>
        <v/>
      </c>
      <c r="FU201" s="148" t="str">
        <f t="shared" si="278"/>
        <v/>
      </c>
      <c r="FV201" s="149"/>
      <c r="FY201" s="211">
        <v>196</v>
      </c>
      <c r="FZ201">
        <v>47.361680563216424</v>
      </c>
      <c r="GA201">
        <v>50.009101169567309</v>
      </c>
      <c r="GB201">
        <v>34.384816156625853</v>
      </c>
      <c r="GC201">
        <v>1.9031507283410767</v>
      </c>
      <c r="GD201">
        <v>0.17961534416703098</v>
      </c>
      <c r="GE201">
        <v>0.34985476212308703</v>
      </c>
      <c r="GF201">
        <v>3.8961149289023056</v>
      </c>
      <c r="GG201">
        <v>4.6634720417303139</v>
      </c>
      <c r="GH201">
        <v>9.6111648241764271</v>
      </c>
      <c r="GI201">
        <v>44.910389554607377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16.193576388888893</v>
      </c>
      <c r="AO202">
        <v>107.21540107526721</v>
      </c>
      <c r="AP202">
        <v>685.48350326524087</v>
      </c>
      <c r="AQ202">
        <v>142.27627980563517</v>
      </c>
      <c r="AR202">
        <v>99.375469378236119</v>
      </c>
      <c r="AS202">
        <v>895.85450043710705</v>
      </c>
      <c r="AT202" t="e">
        <v>#DIV/0!</v>
      </c>
      <c r="AU202" t="e">
        <v>#DIV/0!</v>
      </c>
      <c r="AV202"/>
      <c r="AW202"/>
      <c r="AX202" s="146"/>
      <c r="AY202" s="76" t="str">
        <f t="shared" ca="1" si="169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4"/>
        <v/>
      </c>
      <c r="CL202" s="179" t="str">
        <f t="shared" si="205"/>
        <v/>
      </c>
      <c r="CM202" s="180" t="str">
        <f t="shared" si="206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7"/>
        <v/>
      </c>
      <c r="DB202" s="146"/>
      <c r="DC202" s="76" t="str">
        <f t="shared" ca="1" si="170"/>
        <v/>
      </c>
      <c r="DD202" t="str">
        <f t="shared" si="208"/>
        <v/>
      </c>
      <c r="DE202" s="129" t="str">
        <f t="shared" si="333"/>
        <v/>
      </c>
      <c r="DF202" s="161" t="str">
        <f t="shared" si="280"/>
        <v/>
      </c>
      <c r="DG202" s="161" t="str">
        <f t="shared" si="281"/>
        <v/>
      </c>
      <c r="DH202" s="161" t="str">
        <f t="shared" si="282"/>
        <v/>
      </c>
      <c r="DI202" s="161" t="str">
        <f t="shared" si="283"/>
        <v/>
      </c>
      <c r="DJ202" s="161" t="str">
        <f t="shared" si="284"/>
        <v/>
      </c>
      <c r="DK202" s="161" t="str">
        <f t="shared" si="285"/>
        <v/>
      </c>
      <c r="DL202" s="161" t="str">
        <f t="shared" si="286"/>
        <v/>
      </c>
      <c r="DM202" s="161" t="str">
        <f t="shared" si="287"/>
        <v/>
      </c>
      <c r="DN202" s="161" t="str">
        <f t="shared" si="310"/>
        <v/>
      </c>
      <c r="DO202" s="161" t="str">
        <f t="shared" si="311"/>
        <v/>
      </c>
      <c r="DP202" s="161" t="str">
        <f t="shared" si="312"/>
        <v/>
      </c>
      <c r="DQ202" s="161" t="str">
        <f t="shared" si="313"/>
        <v/>
      </c>
      <c r="DR202" s="161" t="str">
        <f t="shared" si="314"/>
        <v/>
      </c>
      <c r="DS202" s="161" t="str">
        <f t="shared" si="315"/>
        <v/>
      </c>
      <c r="DT202" s="161" t="str">
        <f t="shared" si="316"/>
        <v/>
      </c>
      <c r="DU202" s="161" t="str">
        <f t="shared" si="317"/>
        <v/>
      </c>
      <c r="DV202" s="161" t="str">
        <f t="shared" si="318"/>
        <v/>
      </c>
      <c r="DW202" s="161" t="str">
        <f t="shared" si="319"/>
        <v/>
      </c>
      <c r="DX202" s="161" t="str">
        <f t="shared" si="320"/>
        <v/>
      </c>
      <c r="DY202" s="161" t="str">
        <f t="shared" si="321"/>
        <v/>
      </c>
      <c r="DZ202" s="161" t="str">
        <f t="shared" si="322"/>
        <v/>
      </c>
      <c r="EA202" s="161" t="str">
        <f t="shared" si="323"/>
        <v/>
      </c>
      <c r="EB202" s="161" t="str">
        <f t="shared" si="324"/>
        <v/>
      </c>
      <c r="EC202" s="161" t="str">
        <f t="shared" si="325"/>
        <v/>
      </c>
      <c r="ED202" s="161" t="str">
        <f t="shared" si="326"/>
        <v/>
      </c>
      <c r="EE202" s="161" t="str">
        <f t="shared" si="327"/>
        <v/>
      </c>
      <c r="EF202" s="161" t="str">
        <f t="shared" si="328"/>
        <v/>
      </c>
      <c r="EG202" s="161" t="str">
        <f t="shared" si="329"/>
        <v/>
      </c>
      <c r="EH202" s="161" t="str">
        <f t="shared" si="330"/>
        <v/>
      </c>
      <c r="EI202" s="161" t="str">
        <f t="shared" si="331"/>
        <v/>
      </c>
      <c r="EJ202" s="161" t="str">
        <f t="shared" si="332"/>
        <v/>
      </c>
      <c r="EK202" s="147" t="str">
        <f t="shared" si="246"/>
        <v/>
      </c>
      <c r="EL202" s="149"/>
      <c r="EN202" s="146"/>
      <c r="EO202" s="146"/>
      <c r="EP202" s="139" t="str">
        <f t="shared" si="247"/>
        <v/>
      </c>
      <c r="EQ202" s="139" t="str">
        <f t="shared" si="248"/>
        <v/>
      </c>
      <c r="ER202" s="139" t="str">
        <f t="shared" si="249"/>
        <v/>
      </c>
      <c r="ES202" s="139" t="str">
        <f t="shared" si="250"/>
        <v/>
      </c>
      <c r="ET202" s="139" t="str">
        <f t="shared" si="251"/>
        <v/>
      </c>
      <c r="EU202" s="139" t="str">
        <f t="shared" si="252"/>
        <v/>
      </c>
      <c r="EV202" s="139" t="str">
        <f t="shared" si="253"/>
        <v/>
      </c>
      <c r="EW202" s="139" t="str">
        <f t="shared" si="254"/>
        <v/>
      </c>
      <c r="EX202" s="139" t="str">
        <f t="shared" si="255"/>
        <v/>
      </c>
      <c r="EY202" s="139" t="str">
        <f t="shared" si="256"/>
        <v/>
      </c>
      <c r="EZ202" s="139" t="str">
        <f t="shared" si="257"/>
        <v/>
      </c>
      <c r="FA202" s="139" t="str">
        <f t="shared" si="258"/>
        <v/>
      </c>
      <c r="FB202" s="139" t="str">
        <f t="shared" si="259"/>
        <v/>
      </c>
      <c r="FC202" s="139" t="str">
        <f t="shared" si="260"/>
        <v/>
      </c>
      <c r="FD202" s="139" t="str">
        <f t="shared" si="261"/>
        <v/>
      </c>
      <c r="FE202" s="139" t="str">
        <f t="shared" si="262"/>
        <v/>
      </c>
      <c r="FF202" s="139" t="str">
        <f t="shared" si="263"/>
        <v/>
      </c>
      <c r="FG202" s="139" t="str">
        <f t="shared" si="264"/>
        <v/>
      </c>
      <c r="FH202" s="139" t="str">
        <f t="shared" si="265"/>
        <v/>
      </c>
      <c r="FI202" s="139" t="str">
        <f t="shared" si="266"/>
        <v/>
      </c>
      <c r="FJ202" s="139" t="str">
        <f t="shared" si="267"/>
        <v/>
      </c>
      <c r="FK202" s="139" t="str">
        <f t="shared" si="268"/>
        <v/>
      </c>
      <c r="FL202" s="139" t="str">
        <f t="shared" si="269"/>
        <v/>
      </c>
      <c r="FM202" s="139" t="str">
        <f t="shared" si="270"/>
        <v/>
      </c>
      <c r="FN202" s="139" t="str">
        <f t="shared" si="271"/>
        <v/>
      </c>
      <c r="FO202" s="139" t="str">
        <f t="shared" si="272"/>
        <v/>
      </c>
      <c r="FP202" s="139" t="str">
        <f t="shared" si="273"/>
        <v/>
      </c>
      <c r="FQ202" s="139" t="str">
        <f t="shared" si="274"/>
        <v/>
      </c>
      <c r="FR202" s="139" t="str">
        <f t="shared" si="275"/>
        <v/>
      </c>
      <c r="FS202" s="139" t="str">
        <f t="shared" si="276"/>
        <v/>
      </c>
      <c r="FT202" s="139" t="str">
        <f t="shared" si="277"/>
        <v/>
      </c>
      <c r="FU202" s="148" t="str">
        <f t="shared" si="278"/>
        <v/>
      </c>
      <c r="FV202" s="149"/>
      <c r="FY202" s="211">
        <v>197</v>
      </c>
      <c r="FZ202">
        <v>37.046936087206902</v>
      </c>
      <c r="GA202">
        <v>41.409466837084501</v>
      </c>
      <c r="GB202">
        <v>11.671162989005426</v>
      </c>
      <c r="GC202">
        <v>1.9430941337975378</v>
      </c>
      <c r="GD202">
        <v>0.27797796260269858</v>
      </c>
      <c r="GE202">
        <v>0.32029862908780687</v>
      </c>
      <c r="GF202">
        <v>3.1469844387649597</v>
      </c>
      <c r="GG202">
        <v>5.936151560766076</v>
      </c>
      <c r="GH202">
        <v>9.1973069806361583</v>
      </c>
      <c r="GI202">
        <v>28.227975049502287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16.157732371794872</v>
      </c>
      <c r="AO203">
        <v>97.603943624729197</v>
      </c>
      <c r="AP203">
        <v>641.31199862983613</v>
      </c>
      <c r="AQ203">
        <v>263.50365611141353</v>
      </c>
      <c r="AR203">
        <v>90.471915418561494</v>
      </c>
      <c r="AS203">
        <v>563.53176283907658</v>
      </c>
      <c r="AT203" t="e">
        <v>#DIV/0!</v>
      </c>
      <c r="AU203" t="e">
        <v>#DIV/0!</v>
      </c>
      <c r="AV203"/>
      <c r="AW203"/>
      <c r="AX203" s="146"/>
      <c r="AY203" s="76" t="str">
        <f t="shared" ca="1" si="169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4"/>
        <v/>
      </c>
      <c r="CL203" s="179" t="str">
        <f t="shared" si="205"/>
        <v/>
      </c>
      <c r="CM203" s="180" t="str">
        <f t="shared" si="206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7"/>
        <v/>
      </c>
      <c r="DB203" s="146"/>
      <c r="DC203" s="76" t="str">
        <f t="shared" ca="1" si="170"/>
        <v/>
      </c>
      <c r="DD203" t="str">
        <f t="shared" si="208"/>
        <v/>
      </c>
      <c r="DE203" s="129" t="str">
        <f t="shared" si="333"/>
        <v/>
      </c>
      <c r="DF203" s="161" t="str">
        <f t="shared" si="280"/>
        <v/>
      </c>
      <c r="DG203" s="161" t="str">
        <f t="shared" si="281"/>
        <v/>
      </c>
      <c r="DH203" s="161" t="str">
        <f t="shared" si="282"/>
        <v/>
      </c>
      <c r="DI203" s="161" t="str">
        <f t="shared" si="283"/>
        <v/>
      </c>
      <c r="DJ203" s="161" t="str">
        <f t="shared" si="284"/>
        <v/>
      </c>
      <c r="DK203" s="161" t="str">
        <f t="shared" si="285"/>
        <v/>
      </c>
      <c r="DL203" s="161" t="str">
        <f t="shared" si="286"/>
        <v/>
      </c>
      <c r="DM203" s="161" t="str">
        <f t="shared" si="287"/>
        <v/>
      </c>
      <c r="DN203" s="161" t="str">
        <f t="shared" si="310"/>
        <v/>
      </c>
      <c r="DO203" s="161" t="str">
        <f t="shared" si="311"/>
        <v/>
      </c>
      <c r="DP203" s="161" t="str">
        <f t="shared" si="312"/>
        <v/>
      </c>
      <c r="DQ203" s="161" t="str">
        <f t="shared" si="313"/>
        <v/>
      </c>
      <c r="DR203" s="161" t="str">
        <f t="shared" si="314"/>
        <v/>
      </c>
      <c r="DS203" s="161" t="str">
        <f t="shared" si="315"/>
        <v/>
      </c>
      <c r="DT203" s="161" t="str">
        <f t="shared" si="316"/>
        <v/>
      </c>
      <c r="DU203" s="161" t="str">
        <f t="shared" si="317"/>
        <v/>
      </c>
      <c r="DV203" s="161" t="str">
        <f t="shared" si="318"/>
        <v/>
      </c>
      <c r="DW203" s="161" t="str">
        <f t="shared" si="319"/>
        <v/>
      </c>
      <c r="DX203" s="161" t="str">
        <f t="shared" si="320"/>
        <v/>
      </c>
      <c r="DY203" s="161" t="str">
        <f t="shared" si="321"/>
        <v/>
      </c>
      <c r="DZ203" s="161" t="str">
        <f t="shared" si="322"/>
        <v/>
      </c>
      <c r="EA203" s="161" t="str">
        <f t="shared" si="323"/>
        <v/>
      </c>
      <c r="EB203" s="161" t="str">
        <f t="shared" si="324"/>
        <v/>
      </c>
      <c r="EC203" s="161" t="str">
        <f t="shared" si="325"/>
        <v/>
      </c>
      <c r="ED203" s="161" t="str">
        <f t="shared" si="326"/>
        <v/>
      </c>
      <c r="EE203" s="161" t="str">
        <f t="shared" si="327"/>
        <v/>
      </c>
      <c r="EF203" s="161" t="str">
        <f t="shared" si="328"/>
        <v/>
      </c>
      <c r="EG203" s="161" t="str">
        <f t="shared" si="329"/>
        <v/>
      </c>
      <c r="EH203" s="161" t="str">
        <f t="shared" si="330"/>
        <v/>
      </c>
      <c r="EI203" s="161" t="str">
        <f t="shared" si="331"/>
        <v/>
      </c>
      <c r="EJ203" s="161" t="str">
        <f t="shared" si="332"/>
        <v/>
      </c>
      <c r="EK203" s="147" t="str">
        <f t="shared" si="246"/>
        <v/>
      </c>
      <c r="EL203" s="149"/>
      <c r="EN203" s="146"/>
      <c r="EO203" s="146"/>
      <c r="EP203" s="139" t="str">
        <f t="shared" si="247"/>
        <v/>
      </c>
      <c r="EQ203" s="139" t="str">
        <f t="shared" si="248"/>
        <v/>
      </c>
      <c r="ER203" s="139" t="str">
        <f t="shared" si="249"/>
        <v/>
      </c>
      <c r="ES203" s="139" t="str">
        <f t="shared" si="250"/>
        <v/>
      </c>
      <c r="ET203" s="139" t="str">
        <f t="shared" si="251"/>
        <v/>
      </c>
      <c r="EU203" s="139" t="str">
        <f t="shared" si="252"/>
        <v/>
      </c>
      <c r="EV203" s="139" t="str">
        <f t="shared" si="253"/>
        <v/>
      </c>
      <c r="EW203" s="139" t="str">
        <f t="shared" si="254"/>
        <v/>
      </c>
      <c r="EX203" s="139" t="str">
        <f t="shared" si="255"/>
        <v/>
      </c>
      <c r="EY203" s="139" t="str">
        <f t="shared" si="256"/>
        <v/>
      </c>
      <c r="EZ203" s="139" t="str">
        <f t="shared" si="257"/>
        <v/>
      </c>
      <c r="FA203" s="139" t="str">
        <f t="shared" si="258"/>
        <v/>
      </c>
      <c r="FB203" s="139" t="str">
        <f t="shared" si="259"/>
        <v/>
      </c>
      <c r="FC203" s="139" t="str">
        <f t="shared" si="260"/>
        <v/>
      </c>
      <c r="FD203" s="139" t="str">
        <f t="shared" si="261"/>
        <v/>
      </c>
      <c r="FE203" s="139" t="str">
        <f t="shared" si="262"/>
        <v/>
      </c>
      <c r="FF203" s="139" t="str">
        <f t="shared" si="263"/>
        <v/>
      </c>
      <c r="FG203" s="139" t="str">
        <f t="shared" si="264"/>
        <v/>
      </c>
      <c r="FH203" s="139" t="str">
        <f t="shared" si="265"/>
        <v/>
      </c>
      <c r="FI203" s="139" t="str">
        <f t="shared" si="266"/>
        <v/>
      </c>
      <c r="FJ203" s="139" t="str">
        <f t="shared" si="267"/>
        <v/>
      </c>
      <c r="FK203" s="139" t="str">
        <f t="shared" si="268"/>
        <v/>
      </c>
      <c r="FL203" s="139" t="str">
        <f t="shared" si="269"/>
        <v/>
      </c>
      <c r="FM203" s="139" t="str">
        <f t="shared" si="270"/>
        <v/>
      </c>
      <c r="FN203" s="139" t="str">
        <f t="shared" si="271"/>
        <v/>
      </c>
      <c r="FO203" s="139" t="str">
        <f t="shared" si="272"/>
        <v/>
      </c>
      <c r="FP203" s="139" t="str">
        <f t="shared" si="273"/>
        <v/>
      </c>
      <c r="FQ203" s="139" t="str">
        <f t="shared" si="274"/>
        <v/>
      </c>
      <c r="FR203" s="139" t="str">
        <f t="shared" si="275"/>
        <v/>
      </c>
      <c r="FS203" s="139" t="str">
        <f t="shared" si="276"/>
        <v/>
      </c>
      <c r="FT203" s="139" t="str">
        <f t="shared" si="277"/>
        <v/>
      </c>
      <c r="FU203" s="148" t="str">
        <f t="shared" si="278"/>
        <v/>
      </c>
      <c r="FV203" s="149"/>
      <c r="FY203" s="211">
        <v>198</v>
      </c>
      <c r="FZ203">
        <v>27.478659628830528</v>
      </c>
      <c r="GA203">
        <v>34.837645107787395</v>
      </c>
      <c r="GB203">
        <v>41.50826744508629</v>
      </c>
      <c r="GC203">
        <v>2.7421034337680394</v>
      </c>
      <c r="GD203">
        <v>0.47811747216926193</v>
      </c>
      <c r="GE203">
        <v>0.66145371191797975</v>
      </c>
      <c r="GF203">
        <v>4.1433539900587437</v>
      </c>
      <c r="GG203">
        <v>7.7239660596069504</v>
      </c>
      <c r="GH203">
        <v>15.194053003821082</v>
      </c>
      <c r="GI203">
        <v>47.330683867344788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16.355689102564103</v>
      </c>
      <c r="AO204">
        <v>206.59149619019087</v>
      </c>
      <c r="AP204">
        <v>1514.0915693009522</v>
      </c>
      <c r="AQ204">
        <v>186.73641175643391</v>
      </c>
      <c r="AR204">
        <v>191.64331743060379</v>
      </c>
      <c r="AS204">
        <v>1577.0536031924198</v>
      </c>
      <c r="AT204" t="e">
        <v>#DIV/0!</v>
      </c>
      <c r="AU204" t="e">
        <v>#DIV/0!</v>
      </c>
      <c r="AV204"/>
      <c r="AW204"/>
      <c r="AX204" s="146"/>
      <c r="AY204" s="76" t="str">
        <f t="shared" ca="1" si="169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4"/>
        <v/>
      </c>
      <c r="CL204" s="179" t="str">
        <f t="shared" si="205"/>
        <v/>
      </c>
      <c r="CM204" s="180" t="str">
        <f t="shared" si="206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7"/>
        <v/>
      </c>
      <c r="DB204" s="146"/>
      <c r="DC204" s="76" t="str">
        <f t="shared" ca="1" si="170"/>
        <v/>
      </c>
      <c r="DD204" t="str">
        <f t="shared" si="208"/>
        <v/>
      </c>
      <c r="DE204" s="129" t="str">
        <f t="shared" si="333"/>
        <v/>
      </c>
      <c r="DF204" s="161" t="str">
        <f t="shared" si="280"/>
        <v/>
      </c>
      <c r="DG204" s="161" t="str">
        <f t="shared" si="281"/>
        <v/>
      </c>
      <c r="DH204" s="161" t="str">
        <f t="shared" si="282"/>
        <v/>
      </c>
      <c r="DI204" s="161" t="str">
        <f t="shared" si="283"/>
        <v/>
      </c>
      <c r="DJ204" s="161" t="str">
        <f t="shared" si="284"/>
        <v/>
      </c>
      <c r="DK204" s="161" t="str">
        <f t="shared" si="285"/>
        <v/>
      </c>
      <c r="DL204" s="161" t="str">
        <f t="shared" si="286"/>
        <v/>
      </c>
      <c r="DM204" s="161" t="str">
        <f t="shared" si="287"/>
        <v/>
      </c>
      <c r="DN204" s="161" t="str">
        <f t="shared" si="310"/>
        <v/>
      </c>
      <c r="DO204" s="161" t="str">
        <f t="shared" si="311"/>
        <v/>
      </c>
      <c r="DP204" s="161" t="str">
        <f t="shared" si="312"/>
        <v/>
      </c>
      <c r="DQ204" s="161" t="str">
        <f t="shared" si="313"/>
        <v/>
      </c>
      <c r="DR204" s="161" t="str">
        <f t="shared" si="314"/>
        <v/>
      </c>
      <c r="DS204" s="161" t="str">
        <f t="shared" si="315"/>
        <v/>
      </c>
      <c r="DT204" s="161" t="str">
        <f t="shared" si="316"/>
        <v/>
      </c>
      <c r="DU204" s="161" t="str">
        <f t="shared" si="317"/>
        <v/>
      </c>
      <c r="DV204" s="161" t="str">
        <f t="shared" si="318"/>
        <v/>
      </c>
      <c r="DW204" s="161" t="str">
        <f t="shared" si="319"/>
        <v/>
      </c>
      <c r="DX204" s="161" t="str">
        <f t="shared" si="320"/>
        <v/>
      </c>
      <c r="DY204" s="161" t="str">
        <f t="shared" si="321"/>
        <v/>
      </c>
      <c r="DZ204" s="161" t="str">
        <f t="shared" si="322"/>
        <v/>
      </c>
      <c r="EA204" s="161" t="str">
        <f t="shared" si="323"/>
        <v/>
      </c>
      <c r="EB204" s="161" t="str">
        <f t="shared" si="324"/>
        <v/>
      </c>
      <c r="EC204" s="161" t="str">
        <f t="shared" si="325"/>
        <v/>
      </c>
      <c r="ED204" s="161" t="str">
        <f t="shared" si="326"/>
        <v/>
      </c>
      <c r="EE204" s="161" t="str">
        <f t="shared" si="327"/>
        <v/>
      </c>
      <c r="EF204" s="161" t="str">
        <f t="shared" si="328"/>
        <v/>
      </c>
      <c r="EG204" s="161" t="str">
        <f t="shared" si="329"/>
        <v/>
      </c>
      <c r="EH204" s="161" t="str">
        <f t="shared" si="330"/>
        <v/>
      </c>
      <c r="EI204" s="161" t="str">
        <f t="shared" si="331"/>
        <v/>
      </c>
      <c r="EJ204" s="161" t="str">
        <f t="shared" si="332"/>
        <v/>
      </c>
      <c r="EK204" s="147" t="str">
        <f t="shared" si="246"/>
        <v/>
      </c>
      <c r="EL204" s="149"/>
      <c r="EN204" s="146"/>
      <c r="EO204" s="146"/>
      <c r="EP204" s="139" t="str">
        <f t="shared" si="247"/>
        <v/>
      </c>
      <c r="EQ204" s="139" t="str">
        <f t="shared" si="248"/>
        <v/>
      </c>
      <c r="ER204" s="139" t="str">
        <f t="shared" si="249"/>
        <v/>
      </c>
      <c r="ES204" s="139" t="str">
        <f t="shared" si="250"/>
        <v/>
      </c>
      <c r="ET204" s="139" t="str">
        <f t="shared" si="251"/>
        <v/>
      </c>
      <c r="EU204" s="139" t="str">
        <f t="shared" si="252"/>
        <v/>
      </c>
      <c r="EV204" s="139" t="str">
        <f t="shared" si="253"/>
        <v/>
      </c>
      <c r="EW204" s="139" t="str">
        <f t="shared" si="254"/>
        <v/>
      </c>
      <c r="EX204" s="139" t="str">
        <f t="shared" si="255"/>
        <v/>
      </c>
      <c r="EY204" s="139" t="str">
        <f t="shared" si="256"/>
        <v/>
      </c>
      <c r="EZ204" s="139" t="str">
        <f t="shared" si="257"/>
        <v/>
      </c>
      <c r="FA204" s="139" t="str">
        <f t="shared" si="258"/>
        <v/>
      </c>
      <c r="FB204" s="139" t="str">
        <f t="shared" si="259"/>
        <v/>
      </c>
      <c r="FC204" s="139" t="str">
        <f t="shared" si="260"/>
        <v/>
      </c>
      <c r="FD204" s="139" t="str">
        <f t="shared" si="261"/>
        <v/>
      </c>
      <c r="FE204" s="139" t="str">
        <f t="shared" si="262"/>
        <v/>
      </c>
      <c r="FF204" s="139" t="str">
        <f t="shared" si="263"/>
        <v/>
      </c>
      <c r="FG204" s="139" t="str">
        <f t="shared" si="264"/>
        <v/>
      </c>
      <c r="FH204" s="139" t="str">
        <f t="shared" si="265"/>
        <v/>
      </c>
      <c r="FI204" s="139" t="str">
        <f t="shared" si="266"/>
        <v/>
      </c>
      <c r="FJ204" s="139" t="str">
        <f t="shared" si="267"/>
        <v/>
      </c>
      <c r="FK204" s="139" t="str">
        <f t="shared" si="268"/>
        <v/>
      </c>
      <c r="FL204" s="139" t="str">
        <f t="shared" si="269"/>
        <v/>
      </c>
      <c r="FM204" s="139" t="str">
        <f t="shared" si="270"/>
        <v/>
      </c>
      <c r="FN204" s="139" t="str">
        <f t="shared" si="271"/>
        <v/>
      </c>
      <c r="FO204" s="139" t="str">
        <f t="shared" si="272"/>
        <v/>
      </c>
      <c r="FP204" s="139" t="str">
        <f t="shared" si="273"/>
        <v/>
      </c>
      <c r="FQ204" s="139" t="str">
        <f t="shared" si="274"/>
        <v/>
      </c>
      <c r="FR204" s="139" t="str">
        <f t="shared" si="275"/>
        <v/>
      </c>
      <c r="FS204" s="139" t="str">
        <f t="shared" si="276"/>
        <v/>
      </c>
      <c r="FT204" s="139" t="str">
        <f t="shared" si="277"/>
        <v/>
      </c>
      <c r="FU204" s="148" t="str">
        <f t="shared" si="278"/>
        <v/>
      </c>
      <c r="FV204" s="149"/>
      <c r="FY204" s="211">
        <v>199</v>
      </c>
      <c r="FZ204">
        <v>72.682913060732076</v>
      </c>
      <c r="GA204">
        <v>73.974445909544741</v>
      </c>
      <c r="GB204">
        <v>22.051322982339517</v>
      </c>
      <c r="GC204">
        <v>1.9602049891628444</v>
      </c>
      <c r="GD204">
        <v>0.32173728620801972</v>
      </c>
      <c r="GE204">
        <v>0.64609946287425002</v>
      </c>
      <c r="GF204">
        <v>2.9285400788043927</v>
      </c>
      <c r="GG204">
        <v>10.543266801579986</v>
      </c>
      <c r="GH204">
        <v>18.808471804812587</v>
      </c>
      <c r="GI204">
        <v>35.251833314722099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12.751696047008547</v>
      </c>
      <c r="AO205">
        <v>115.58585461482286</v>
      </c>
      <c r="AP205">
        <v>981.49883885900078</v>
      </c>
      <c r="AQ205">
        <v>194.10345391641727</v>
      </c>
      <c r="AR205">
        <v>107.25920871298469</v>
      </c>
      <c r="AS205">
        <v>939.48559866088408</v>
      </c>
      <c r="AT205" t="e">
        <v>#DIV/0!</v>
      </c>
      <c r="AU205" t="e">
        <v>#DIV/0!</v>
      </c>
      <c r="AV205"/>
      <c r="AW205"/>
      <c r="AX205" s="146"/>
      <c r="AY205" s="76" t="str">
        <f t="shared" ca="1" si="169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4"/>
        <v/>
      </c>
      <c r="CL205" s="179" t="str">
        <f t="shared" si="205"/>
        <v/>
      </c>
      <c r="CM205" s="180" t="str">
        <f t="shared" si="206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7"/>
        <v/>
      </c>
      <c r="DB205" s="146"/>
      <c r="DC205" s="76" t="str">
        <f t="shared" ca="1" si="170"/>
        <v/>
      </c>
      <c r="DD205" t="str">
        <f t="shared" si="208"/>
        <v/>
      </c>
      <c r="DE205" s="129" t="str">
        <f t="shared" si="333"/>
        <v/>
      </c>
      <c r="DF205" s="161" t="str">
        <f t="shared" si="280"/>
        <v/>
      </c>
      <c r="DG205" s="161" t="str">
        <f t="shared" si="281"/>
        <v/>
      </c>
      <c r="DH205" s="161" t="str">
        <f t="shared" si="282"/>
        <v/>
      </c>
      <c r="DI205" s="161" t="str">
        <f t="shared" si="283"/>
        <v/>
      </c>
      <c r="DJ205" s="161" t="str">
        <f t="shared" si="284"/>
        <v/>
      </c>
      <c r="DK205" s="161" t="str">
        <f t="shared" si="285"/>
        <v/>
      </c>
      <c r="DL205" s="161" t="str">
        <f t="shared" si="286"/>
        <v/>
      </c>
      <c r="DM205" s="161" t="str">
        <f t="shared" si="287"/>
        <v/>
      </c>
      <c r="DN205" s="161" t="str">
        <f t="shared" si="310"/>
        <v/>
      </c>
      <c r="DO205" s="161" t="str">
        <f t="shared" si="311"/>
        <v/>
      </c>
      <c r="DP205" s="161" t="str">
        <f t="shared" si="312"/>
        <v/>
      </c>
      <c r="DQ205" s="161" t="str">
        <f t="shared" si="313"/>
        <v/>
      </c>
      <c r="DR205" s="161" t="str">
        <f t="shared" si="314"/>
        <v/>
      </c>
      <c r="DS205" s="161" t="str">
        <f t="shared" si="315"/>
        <v/>
      </c>
      <c r="DT205" s="161" t="str">
        <f t="shared" si="316"/>
        <v/>
      </c>
      <c r="DU205" s="161" t="str">
        <f t="shared" si="317"/>
        <v/>
      </c>
      <c r="DV205" s="161" t="str">
        <f t="shared" si="318"/>
        <v/>
      </c>
      <c r="DW205" s="161" t="str">
        <f t="shared" si="319"/>
        <v/>
      </c>
      <c r="DX205" s="161" t="str">
        <f t="shared" si="320"/>
        <v/>
      </c>
      <c r="DY205" s="161" t="str">
        <f t="shared" si="321"/>
        <v/>
      </c>
      <c r="DZ205" s="161" t="str">
        <f t="shared" si="322"/>
        <v/>
      </c>
      <c r="EA205" s="161" t="str">
        <f t="shared" si="323"/>
        <v/>
      </c>
      <c r="EB205" s="161" t="str">
        <f t="shared" si="324"/>
        <v/>
      </c>
      <c r="EC205" s="161" t="str">
        <f t="shared" si="325"/>
        <v/>
      </c>
      <c r="ED205" s="161" t="str">
        <f t="shared" si="326"/>
        <v/>
      </c>
      <c r="EE205" s="161" t="str">
        <f t="shared" si="327"/>
        <v/>
      </c>
      <c r="EF205" s="161" t="str">
        <f t="shared" si="328"/>
        <v/>
      </c>
      <c r="EG205" s="161" t="str">
        <f t="shared" si="329"/>
        <v/>
      </c>
      <c r="EH205" s="161" t="str">
        <f t="shared" si="330"/>
        <v/>
      </c>
      <c r="EI205" s="161" t="str">
        <f t="shared" si="331"/>
        <v/>
      </c>
      <c r="EJ205" s="161" t="str">
        <f t="shared" si="332"/>
        <v/>
      </c>
      <c r="EK205" s="147" t="str">
        <f t="shared" si="246"/>
        <v/>
      </c>
      <c r="EL205" s="149"/>
      <c r="EN205" s="146"/>
      <c r="EO205" s="146"/>
      <c r="EP205" s="139" t="str">
        <f t="shared" si="247"/>
        <v/>
      </c>
      <c r="EQ205" s="139" t="str">
        <f t="shared" si="248"/>
        <v/>
      </c>
      <c r="ER205" s="139" t="str">
        <f t="shared" si="249"/>
        <v/>
      </c>
      <c r="ES205" s="139" t="str">
        <f t="shared" si="250"/>
        <v/>
      </c>
      <c r="ET205" s="139" t="str">
        <f t="shared" si="251"/>
        <v/>
      </c>
      <c r="EU205" s="139" t="str">
        <f t="shared" si="252"/>
        <v/>
      </c>
      <c r="EV205" s="139" t="str">
        <f t="shared" si="253"/>
        <v/>
      </c>
      <c r="EW205" s="139" t="str">
        <f t="shared" si="254"/>
        <v/>
      </c>
      <c r="EX205" s="139" t="str">
        <f t="shared" si="255"/>
        <v/>
      </c>
      <c r="EY205" s="139" t="str">
        <f t="shared" si="256"/>
        <v/>
      </c>
      <c r="EZ205" s="139" t="str">
        <f t="shared" si="257"/>
        <v/>
      </c>
      <c r="FA205" s="139" t="str">
        <f t="shared" si="258"/>
        <v/>
      </c>
      <c r="FB205" s="139" t="str">
        <f t="shared" si="259"/>
        <v/>
      </c>
      <c r="FC205" s="139" t="str">
        <f t="shared" si="260"/>
        <v/>
      </c>
      <c r="FD205" s="139" t="str">
        <f t="shared" si="261"/>
        <v/>
      </c>
      <c r="FE205" s="139" t="str">
        <f t="shared" si="262"/>
        <v/>
      </c>
      <c r="FF205" s="139" t="str">
        <f t="shared" si="263"/>
        <v/>
      </c>
      <c r="FG205" s="139" t="str">
        <f t="shared" si="264"/>
        <v/>
      </c>
      <c r="FH205" s="139" t="str">
        <f t="shared" si="265"/>
        <v/>
      </c>
      <c r="FI205" s="139" t="str">
        <f t="shared" si="266"/>
        <v/>
      </c>
      <c r="FJ205" s="139" t="str">
        <f t="shared" si="267"/>
        <v/>
      </c>
      <c r="FK205" s="139" t="str">
        <f t="shared" si="268"/>
        <v/>
      </c>
      <c r="FL205" s="139" t="str">
        <f t="shared" si="269"/>
        <v/>
      </c>
      <c r="FM205" s="139" t="str">
        <f t="shared" si="270"/>
        <v/>
      </c>
      <c r="FN205" s="139" t="str">
        <f t="shared" si="271"/>
        <v/>
      </c>
      <c r="FO205" s="139" t="str">
        <f t="shared" si="272"/>
        <v/>
      </c>
      <c r="FP205" s="139" t="str">
        <f t="shared" si="273"/>
        <v/>
      </c>
      <c r="FQ205" s="139" t="str">
        <f t="shared" si="274"/>
        <v/>
      </c>
      <c r="FR205" s="139" t="str">
        <f t="shared" si="275"/>
        <v/>
      </c>
      <c r="FS205" s="139" t="str">
        <f t="shared" si="276"/>
        <v/>
      </c>
      <c r="FT205" s="139" t="str">
        <f t="shared" si="277"/>
        <v/>
      </c>
      <c r="FU205" s="148" t="str">
        <f t="shared" si="278"/>
        <v/>
      </c>
      <c r="FV205" s="149"/>
      <c r="FY205" s="211">
        <v>200</v>
      </c>
      <c r="FZ205">
        <v>17.094836383121386</v>
      </c>
      <c r="GA205">
        <v>26.193741107201674</v>
      </c>
      <c r="GB205">
        <v>23.383833543470899</v>
      </c>
      <c r="GC205">
        <v>3.33751007970957</v>
      </c>
      <c r="GD205">
        <v>0.37975485373359424</v>
      </c>
      <c r="GE205">
        <v>6.4145476115377922E-2</v>
      </c>
      <c r="GF205">
        <v>1.1770796156576415</v>
      </c>
      <c r="GG205">
        <v>5.6386014839460668</v>
      </c>
      <c r="GH205">
        <v>11.257114246514771</v>
      </c>
      <c r="GI205">
        <v>27.288922133779025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14.818108974358974</v>
      </c>
      <c r="AO206">
        <v>132.94023576070896</v>
      </c>
      <c r="AP206">
        <v>745.90684522361187</v>
      </c>
      <c r="AQ206">
        <v>180.00062281996563</v>
      </c>
      <c r="AR206">
        <v>123.2644987414505</v>
      </c>
      <c r="AS206">
        <v>1021.511368823975</v>
      </c>
      <c r="AT206" t="e">
        <v>#DIV/0!</v>
      </c>
      <c r="AU206" t="e">
        <v>#DIV/0!</v>
      </c>
      <c r="AV206"/>
      <c r="AW206"/>
      <c r="AX206" s="146"/>
      <c r="AY206" s="76" t="str">
        <f t="shared" ca="1" si="169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4"/>
        <v/>
      </c>
      <c r="CL206" s="179" t="str">
        <f t="shared" si="205"/>
        <v/>
      </c>
      <c r="CM206" s="180" t="str">
        <f t="shared" si="206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7"/>
        <v/>
      </c>
      <c r="DB206" s="146"/>
      <c r="DC206" s="76" t="str">
        <f t="shared" ca="1" si="170"/>
        <v/>
      </c>
      <c r="DD206" t="str">
        <f t="shared" si="208"/>
        <v/>
      </c>
      <c r="DE206" s="129" t="str">
        <f t="shared" si="333"/>
        <v/>
      </c>
      <c r="DF206" s="161" t="str">
        <f t="shared" si="280"/>
        <v/>
      </c>
      <c r="DG206" s="161" t="str">
        <f t="shared" si="281"/>
        <v/>
      </c>
      <c r="DH206" s="161" t="str">
        <f t="shared" si="282"/>
        <v/>
      </c>
      <c r="DI206" s="161" t="str">
        <f t="shared" si="283"/>
        <v/>
      </c>
      <c r="DJ206" s="161" t="str">
        <f t="shared" si="284"/>
        <v/>
      </c>
      <c r="DK206" s="161" t="str">
        <f t="shared" si="285"/>
        <v/>
      </c>
      <c r="DL206" s="161" t="str">
        <f t="shared" si="286"/>
        <v/>
      </c>
      <c r="DM206" s="161" t="str">
        <f t="shared" si="287"/>
        <v/>
      </c>
      <c r="DN206" s="161" t="str">
        <f t="shared" si="310"/>
        <v/>
      </c>
      <c r="DO206" s="161" t="str">
        <f t="shared" si="311"/>
        <v/>
      </c>
      <c r="DP206" s="161" t="str">
        <f t="shared" si="312"/>
        <v/>
      </c>
      <c r="DQ206" s="161" t="str">
        <f t="shared" si="313"/>
        <v/>
      </c>
      <c r="DR206" s="161" t="str">
        <f t="shared" si="314"/>
        <v/>
      </c>
      <c r="DS206" s="161" t="str">
        <f t="shared" si="315"/>
        <v/>
      </c>
      <c r="DT206" s="161" t="str">
        <f t="shared" si="316"/>
        <v/>
      </c>
      <c r="DU206" s="161" t="str">
        <f t="shared" si="317"/>
        <v/>
      </c>
      <c r="DV206" s="161" t="str">
        <f t="shared" si="318"/>
        <v/>
      </c>
      <c r="DW206" s="161" t="str">
        <f t="shared" si="319"/>
        <v/>
      </c>
      <c r="DX206" s="161" t="str">
        <f t="shared" si="320"/>
        <v/>
      </c>
      <c r="DY206" s="161" t="str">
        <f t="shared" si="321"/>
        <v/>
      </c>
      <c r="DZ206" s="161" t="str">
        <f t="shared" si="322"/>
        <v/>
      </c>
      <c r="EA206" s="161" t="str">
        <f t="shared" si="323"/>
        <v/>
      </c>
      <c r="EB206" s="161" t="str">
        <f t="shared" si="324"/>
        <v/>
      </c>
      <c r="EC206" s="161" t="str">
        <f t="shared" si="325"/>
        <v/>
      </c>
      <c r="ED206" s="161" t="str">
        <f t="shared" si="326"/>
        <v/>
      </c>
      <c r="EE206" s="161" t="str">
        <f t="shared" si="327"/>
        <v/>
      </c>
      <c r="EF206" s="161" t="str">
        <f t="shared" si="328"/>
        <v/>
      </c>
      <c r="EG206" s="161" t="str">
        <f t="shared" si="329"/>
        <v/>
      </c>
      <c r="EH206" s="161" t="str">
        <f t="shared" si="330"/>
        <v/>
      </c>
      <c r="EI206" s="161" t="str">
        <f t="shared" si="331"/>
        <v/>
      </c>
      <c r="EJ206" s="161" t="str">
        <f t="shared" si="332"/>
        <v/>
      </c>
      <c r="EK206" s="147" t="str">
        <f t="shared" si="246"/>
        <v/>
      </c>
      <c r="EL206" s="149"/>
      <c r="EN206" s="146"/>
      <c r="EO206" s="146"/>
      <c r="EP206" s="139" t="str">
        <f t="shared" si="247"/>
        <v/>
      </c>
      <c r="EQ206" s="139" t="str">
        <f t="shared" si="248"/>
        <v/>
      </c>
      <c r="ER206" s="139" t="str">
        <f t="shared" si="249"/>
        <v/>
      </c>
      <c r="ES206" s="139" t="str">
        <f t="shared" si="250"/>
        <v/>
      </c>
      <c r="ET206" s="139" t="str">
        <f t="shared" si="251"/>
        <v/>
      </c>
      <c r="EU206" s="139" t="str">
        <f t="shared" si="252"/>
        <v/>
      </c>
      <c r="EV206" s="139" t="str">
        <f t="shared" si="253"/>
        <v/>
      </c>
      <c r="EW206" s="139" t="str">
        <f t="shared" si="254"/>
        <v/>
      </c>
      <c r="EX206" s="139" t="str">
        <f t="shared" si="255"/>
        <v/>
      </c>
      <c r="EY206" s="139" t="str">
        <f t="shared" si="256"/>
        <v/>
      </c>
      <c r="EZ206" s="139" t="str">
        <f t="shared" si="257"/>
        <v/>
      </c>
      <c r="FA206" s="139" t="str">
        <f t="shared" si="258"/>
        <v/>
      </c>
      <c r="FB206" s="139" t="str">
        <f t="shared" si="259"/>
        <v/>
      </c>
      <c r="FC206" s="139" t="str">
        <f t="shared" si="260"/>
        <v/>
      </c>
      <c r="FD206" s="139" t="str">
        <f t="shared" si="261"/>
        <v/>
      </c>
      <c r="FE206" s="139" t="str">
        <f t="shared" si="262"/>
        <v/>
      </c>
      <c r="FF206" s="139" t="str">
        <f t="shared" si="263"/>
        <v/>
      </c>
      <c r="FG206" s="139" t="str">
        <f t="shared" si="264"/>
        <v/>
      </c>
      <c r="FH206" s="139" t="str">
        <f t="shared" si="265"/>
        <v/>
      </c>
      <c r="FI206" s="139" t="str">
        <f t="shared" si="266"/>
        <v/>
      </c>
      <c r="FJ206" s="139" t="str">
        <f t="shared" si="267"/>
        <v/>
      </c>
      <c r="FK206" s="139" t="str">
        <f t="shared" si="268"/>
        <v/>
      </c>
      <c r="FL206" s="139" t="str">
        <f t="shared" si="269"/>
        <v/>
      </c>
      <c r="FM206" s="139" t="str">
        <f t="shared" si="270"/>
        <v/>
      </c>
      <c r="FN206" s="139" t="str">
        <f t="shared" si="271"/>
        <v/>
      </c>
      <c r="FO206" s="139" t="str">
        <f t="shared" si="272"/>
        <v/>
      </c>
      <c r="FP206" s="139" t="str">
        <f t="shared" si="273"/>
        <v/>
      </c>
      <c r="FQ206" s="139" t="str">
        <f t="shared" si="274"/>
        <v/>
      </c>
      <c r="FR206" s="139" t="str">
        <f t="shared" si="275"/>
        <v/>
      </c>
      <c r="FS206" s="139" t="str">
        <f t="shared" si="276"/>
        <v/>
      </c>
      <c r="FT206" s="139" t="str">
        <f t="shared" si="277"/>
        <v/>
      </c>
      <c r="FU206" s="148" t="str">
        <f t="shared" si="278"/>
        <v/>
      </c>
      <c r="FV206" s="149"/>
      <c r="FY206" s="211">
        <v>201</v>
      </c>
      <c r="FZ206">
        <v>27.529506291297263</v>
      </c>
      <c r="GA206">
        <v>29.588054888587678</v>
      </c>
      <c r="GB206">
        <v>41.539317838003463</v>
      </c>
      <c r="GC206">
        <v>2.0063447579596376</v>
      </c>
      <c r="GD206">
        <v>0.26100872587618862</v>
      </c>
      <c r="GE206">
        <v>1.0213748941307017</v>
      </c>
      <c r="GF206">
        <v>3.5821976429941018</v>
      </c>
      <c r="GG206">
        <v>10.986278908230709</v>
      </c>
      <c r="GH206">
        <v>26.451167250335857</v>
      </c>
      <c r="GI206">
        <v>42.054042685954045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11.021701388888888</v>
      </c>
      <c r="AO207">
        <v>82.899220243082709</v>
      </c>
      <c r="AP207">
        <v>734.70703859718799</v>
      </c>
      <c r="AQ207">
        <v>263.56868034307467</v>
      </c>
      <c r="AR207">
        <v>76.852628427383479</v>
      </c>
      <c r="AS207">
        <v>677.72646993199157</v>
      </c>
      <c r="AT207" t="e">
        <v>#DIV/0!</v>
      </c>
      <c r="AU207" t="e">
        <v>#DIV/0!</v>
      </c>
      <c r="AV207"/>
      <c r="AW207"/>
      <c r="AX207" s="146"/>
      <c r="AY207" s="76" t="str">
        <f t="shared" ca="1" si="169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4"/>
        <v/>
      </c>
      <c r="CL207" s="179" t="str">
        <f t="shared" si="205"/>
        <v/>
      </c>
      <c r="CM207" s="180" t="str">
        <f t="shared" si="206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7"/>
        <v/>
      </c>
      <c r="DB207" s="146"/>
      <c r="DC207" s="76" t="str">
        <f t="shared" ca="1" si="170"/>
        <v/>
      </c>
      <c r="DD207" t="str">
        <f t="shared" si="208"/>
        <v/>
      </c>
      <c r="DE207" s="129" t="str">
        <f t="shared" si="333"/>
        <v/>
      </c>
      <c r="DF207" s="161" t="str">
        <f t="shared" si="280"/>
        <v/>
      </c>
      <c r="DG207" s="161" t="str">
        <f t="shared" si="281"/>
        <v/>
      </c>
      <c r="DH207" s="161" t="str">
        <f t="shared" si="282"/>
        <v/>
      </c>
      <c r="DI207" s="161" t="str">
        <f t="shared" si="283"/>
        <v/>
      </c>
      <c r="DJ207" s="161" t="str">
        <f t="shared" si="284"/>
        <v/>
      </c>
      <c r="DK207" s="161" t="str">
        <f t="shared" si="285"/>
        <v/>
      </c>
      <c r="DL207" s="161" t="str">
        <f t="shared" si="286"/>
        <v/>
      </c>
      <c r="DM207" s="161" t="str">
        <f t="shared" si="287"/>
        <v/>
      </c>
      <c r="DN207" s="161" t="str">
        <f t="shared" si="310"/>
        <v/>
      </c>
      <c r="DO207" s="161" t="str">
        <f t="shared" ref="DO207:EJ207" si="334">IF($AZ207="", "", (BK207*$CW207)/$CZ207)</f>
        <v/>
      </c>
      <c r="DP207" s="161" t="str">
        <f t="shared" si="334"/>
        <v/>
      </c>
      <c r="DQ207" s="161" t="str">
        <f t="shared" si="334"/>
        <v/>
      </c>
      <c r="DR207" s="161" t="str">
        <f t="shared" si="334"/>
        <v/>
      </c>
      <c r="DS207" s="161" t="str">
        <f t="shared" si="334"/>
        <v/>
      </c>
      <c r="DT207" s="161" t="str">
        <f t="shared" si="334"/>
        <v/>
      </c>
      <c r="DU207" s="161" t="str">
        <f t="shared" si="334"/>
        <v/>
      </c>
      <c r="DV207" s="161" t="str">
        <f t="shared" si="334"/>
        <v/>
      </c>
      <c r="DW207" s="161" t="str">
        <f t="shared" si="334"/>
        <v/>
      </c>
      <c r="DX207" s="161" t="str">
        <f t="shared" si="334"/>
        <v/>
      </c>
      <c r="DY207" s="161" t="str">
        <f t="shared" si="334"/>
        <v/>
      </c>
      <c r="DZ207" s="161" t="str">
        <f t="shared" si="334"/>
        <v/>
      </c>
      <c r="EA207" s="161" t="str">
        <f t="shared" si="334"/>
        <v/>
      </c>
      <c r="EB207" s="161" t="str">
        <f t="shared" si="334"/>
        <v/>
      </c>
      <c r="EC207" s="161" t="str">
        <f t="shared" si="334"/>
        <v/>
      </c>
      <c r="ED207" s="161" t="str">
        <f t="shared" si="334"/>
        <v/>
      </c>
      <c r="EE207" s="161" t="str">
        <f t="shared" si="334"/>
        <v/>
      </c>
      <c r="EF207" s="161" t="str">
        <f t="shared" si="334"/>
        <v/>
      </c>
      <c r="EG207" s="161" t="str">
        <f t="shared" si="334"/>
        <v/>
      </c>
      <c r="EH207" s="161" t="str">
        <f t="shared" si="334"/>
        <v/>
      </c>
      <c r="EI207" s="161" t="str">
        <f t="shared" si="334"/>
        <v/>
      </c>
      <c r="EJ207" s="161" t="str">
        <f t="shared" si="334"/>
        <v/>
      </c>
      <c r="EK207" s="147" t="str">
        <f t="shared" si="246"/>
        <v/>
      </c>
      <c r="EL207" s="149"/>
      <c r="EN207" s="146"/>
      <c r="EO207" s="146"/>
      <c r="EP207" s="139" t="str">
        <f t="shared" si="247"/>
        <v/>
      </c>
      <c r="EQ207" s="139" t="str">
        <f t="shared" si="248"/>
        <v/>
      </c>
      <c r="ER207" s="139" t="str">
        <f t="shared" si="249"/>
        <v/>
      </c>
      <c r="ES207" s="139" t="str">
        <f t="shared" si="250"/>
        <v/>
      </c>
      <c r="ET207" s="139" t="str">
        <f t="shared" si="251"/>
        <v/>
      </c>
      <c r="EU207" s="139" t="str">
        <f t="shared" si="252"/>
        <v/>
      </c>
      <c r="EV207" s="139" t="str">
        <f t="shared" si="253"/>
        <v/>
      </c>
      <c r="EW207" s="139" t="str">
        <f t="shared" si="254"/>
        <v/>
      </c>
      <c r="EX207" s="139" t="str">
        <f t="shared" si="255"/>
        <v/>
      </c>
      <c r="EY207" s="139" t="str">
        <f t="shared" si="256"/>
        <v/>
      </c>
      <c r="EZ207" s="139" t="str">
        <f t="shared" si="257"/>
        <v/>
      </c>
      <c r="FA207" s="139" t="str">
        <f t="shared" si="258"/>
        <v/>
      </c>
      <c r="FB207" s="139" t="str">
        <f t="shared" si="259"/>
        <v/>
      </c>
      <c r="FC207" s="139" t="str">
        <f t="shared" si="260"/>
        <v/>
      </c>
      <c r="FD207" s="139" t="str">
        <f t="shared" si="261"/>
        <v/>
      </c>
      <c r="FE207" s="139" t="str">
        <f t="shared" si="262"/>
        <v/>
      </c>
      <c r="FF207" s="139" t="str">
        <f t="shared" si="263"/>
        <v/>
      </c>
      <c r="FG207" s="139" t="str">
        <f t="shared" si="264"/>
        <v/>
      </c>
      <c r="FH207" s="139" t="str">
        <f t="shared" si="265"/>
        <v/>
      </c>
      <c r="FI207" s="139" t="str">
        <f t="shared" si="266"/>
        <v/>
      </c>
      <c r="FJ207" s="139" t="str">
        <f t="shared" si="267"/>
        <v/>
      </c>
      <c r="FK207" s="139" t="str">
        <f t="shared" si="268"/>
        <v/>
      </c>
      <c r="FL207" s="139" t="str">
        <f t="shared" si="269"/>
        <v/>
      </c>
      <c r="FM207" s="139" t="str">
        <f t="shared" si="270"/>
        <v/>
      </c>
      <c r="FN207" s="139" t="str">
        <f t="shared" si="271"/>
        <v/>
      </c>
      <c r="FO207" s="139" t="str">
        <f t="shared" si="272"/>
        <v/>
      </c>
      <c r="FP207" s="139" t="str">
        <f t="shared" si="273"/>
        <v/>
      </c>
      <c r="FQ207" s="139" t="str">
        <f t="shared" si="274"/>
        <v/>
      </c>
      <c r="FR207" s="139" t="str">
        <f t="shared" si="275"/>
        <v/>
      </c>
      <c r="FS207" s="139" t="str">
        <f t="shared" si="276"/>
        <v/>
      </c>
      <c r="FT207" s="139" t="str">
        <f t="shared" si="277"/>
        <v/>
      </c>
      <c r="FU207" s="148" t="str">
        <f t="shared" si="278"/>
        <v/>
      </c>
      <c r="FV207" s="149"/>
      <c r="FY207" s="211">
        <v>202</v>
      </c>
      <c r="FZ207">
        <v>38.779722986805915</v>
      </c>
      <c r="GA207">
        <v>39.149781309499751</v>
      </c>
      <c r="GB207">
        <v>88.606567376590277</v>
      </c>
      <c r="GC207">
        <v>2.4648692514530288</v>
      </c>
      <c r="GD207">
        <v>0.37091859542585343</v>
      </c>
      <c r="GE207">
        <v>0.44905857597238164</v>
      </c>
      <c r="GF207">
        <v>1.1212510943445115</v>
      </c>
      <c r="GG207">
        <v>4.8652908724774315</v>
      </c>
      <c r="GH207">
        <v>11.257114246514771</v>
      </c>
      <c r="GI207">
        <v>69.804884334620809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16.546968482905982</v>
      </c>
      <c r="AO208">
        <v>105.34134634089176</v>
      </c>
      <c r="AP208">
        <v>648.11090827379417</v>
      </c>
      <c r="AQ208">
        <v>243.52876696489164</v>
      </c>
      <c r="AR208">
        <v>97.718589863302469</v>
      </c>
      <c r="AS208">
        <v>750.77387519950264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19.88302093438589</v>
      </c>
      <c r="GA208">
        <v>27.03340647956022</v>
      </c>
      <c r="GB208">
        <v>29.346708010738531</v>
      </c>
      <c r="GC208">
        <v>4.0151441766863813</v>
      </c>
      <c r="GD208">
        <v>0.62907567251799135</v>
      </c>
      <c r="GE208">
        <v>0.73063239807817504</v>
      </c>
      <c r="GF208">
        <v>3.1065768902640492</v>
      </c>
      <c r="GG208">
        <v>6.6531053713183059</v>
      </c>
      <c r="GH208">
        <v>13.225583625167928</v>
      </c>
      <c r="GI208">
        <v>39.801518504121276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18.153472222222224</v>
      </c>
      <c r="AO209">
        <v>186.03463153995685</v>
      </c>
      <c r="AP209">
        <v>819.16929743464505</v>
      </c>
      <c r="AQ209">
        <v>154.34356435485668</v>
      </c>
      <c r="AR209">
        <v>172.62237822958122</v>
      </c>
      <c r="AS209">
        <v>1704.0330058765314</v>
      </c>
      <c r="AT209" t="e">
        <v>#DIV/0!</v>
      </c>
      <c r="AU209" t="e">
        <v>#DIV/0!</v>
      </c>
      <c r="AV209"/>
      <c r="AW209"/>
      <c r="FY209" s="211">
        <v>204</v>
      </c>
      <c r="FZ209">
        <v>39.101550772723215</v>
      </c>
      <c r="GA209">
        <v>42.37926430612184</v>
      </c>
      <c r="GB209">
        <v>48.81018218484806</v>
      </c>
      <c r="GC209">
        <v>5.6100799906069838</v>
      </c>
      <c r="GD209">
        <v>0.71575038386186751</v>
      </c>
      <c r="GE209">
        <v>0.51320405208775954</v>
      </c>
      <c r="GF209">
        <v>1.9988487522623739</v>
      </c>
      <c r="GG209">
        <v>2.4326454362387158</v>
      </c>
      <c r="GH209">
        <v>4.0282766445317693</v>
      </c>
      <c r="GI209">
        <v>44.813253863276927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10.530168269230771</v>
      </c>
      <c r="AO210">
        <v>87.522853994968344</v>
      </c>
      <c r="AP210">
        <v>377.11345732545306</v>
      </c>
      <c r="AQ210">
        <v>137.42683089274186</v>
      </c>
      <c r="AR210">
        <v>81.055431610817593</v>
      </c>
      <c r="AS210">
        <v>818.63167423709274</v>
      </c>
      <c r="AT210" t="e">
        <v>#DIV/0!</v>
      </c>
      <c r="AU210" t="e">
        <v>#DIV/0!</v>
      </c>
      <c r="AV210"/>
      <c r="AW210"/>
      <c r="FY210" s="211">
        <v>205</v>
      </c>
      <c r="FZ210">
        <v>25.745872729231515</v>
      </c>
      <c r="GA210">
        <v>31.166355426481989</v>
      </c>
      <c r="GB210">
        <v>35.783665967213025</v>
      </c>
      <c r="GC210">
        <v>2.2291234612187858</v>
      </c>
      <c r="GD210">
        <v>0.28695487688823373</v>
      </c>
      <c r="GE210">
        <v>1.0951580388466318</v>
      </c>
      <c r="GF210">
        <v>2.4077912802406609</v>
      </c>
      <c r="GG210">
        <v>8.9966455786427133</v>
      </c>
      <c r="GH210">
        <v>14.780195160280819</v>
      </c>
      <c r="GI210">
        <v>31.445999776503594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14.349652777777777</v>
      </c>
      <c r="AO211">
        <v>106.97018624601283</v>
      </c>
      <c r="AP211">
        <v>1002.0288720091165</v>
      </c>
      <c r="AQ211">
        <v>265.43591160542996</v>
      </c>
      <c r="AR211">
        <v>99.099697983568404</v>
      </c>
      <c r="AS211">
        <v>803.94914727423497</v>
      </c>
      <c r="AT211" t="e">
        <v>#DIV/0!</v>
      </c>
      <c r="AU211" t="e">
        <v>#DIV/0!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1">
        <v>206</v>
      </c>
      <c r="FZ211">
        <v>35.960408176423584</v>
      </c>
      <c r="GA211">
        <v>34.953641718211557</v>
      </c>
      <c r="GB211">
        <v>42.809259595715709</v>
      </c>
      <c r="GC211">
        <v>2.8435069340334982</v>
      </c>
      <c r="GD211">
        <v>0.38246584653985072</v>
      </c>
      <c r="GE211">
        <v>0.48778338295439488</v>
      </c>
      <c r="GF211">
        <v>4.2017065363168902</v>
      </c>
      <c r="GG211">
        <v>4.4222787658267091</v>
      </c>
      <c r="GH211">
        <v>3.6144188009915013</v>
      </c>
      <c r="GI211">
        <v>48.139674647980797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15.289369658119654</v>
      </c>
      <c r="AO212">
        <v>77.404683175548854</v>
      </c>
      <c r="AP212">
        <v>316.88888933624338</v>
      </c>
      <c r="AQ212">
        <v>197.26936007345719</v>
      </c>
      <c r="AR212">
        <v>71.788067100815482</v>
      </c>
      <c r="AS212">
        <v>800.12333558382886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" si="335">AVERAGE(DF88:DF97)</f>
        <v>0</v>
      </c>
      <c r="DG212" s="182">
        <f t="shared" ref="DG212:EJ212" si="336">AVERAGE(DG88:DG97)</f>
        <v>0</v>
      </c>
      <c r="DH212" s="182">
        <f t="shared" si="336"/>
        <v>0</v>
      </c>
      <c r="DI212" s="182">
        <f t="shared" si="336"/>
        <v>0</v>
      </c>
      <c r="DJ212" s="182">
        <f t="shared" si="336"/>
        <v>0</v>
      </c>
      <c r="DK212" s="182">
        <f t="shared" si="336"/>
        <v>0</v>
      </c>
      <c r="DL212" s="182">
        <f t="shared" si="336"/>
        <v>0</v>
      </c>
      <c r="DM212" s="182">
        <f t="shared" si="336"/>
        <v>0</v>
      </c>
      <c r="DN212" s="182">
        <f t="shared" si="336"/>
        <v>0</v>
      </c>
      <c r="DO212" s="182">
        <f t="shared" si="336"/>
        <v>0</v>
      </c>
      <c r="DP212" s="182">
        <f t="shared" si="336"/>
        <v>0</v>
      </c>
      <c r="DQ212" s="182">
        <f t="shared" si="336"/>
        <v>0</v>
      </c>
      <c r="DR212" s="182">
        <f t="shared" si="336"/>
        <v>0</v>
      </c>
      <c r="DS212" s="182">
        <f t="shared" si="336"/>
        <v>0</v>
      </c>
      <c r="DT212" s="182">
        <f t="shared" si="336"/>
        <v>0</v>
      </c>
      <c r="DU212" s="182">
        <f t="shared" si="336"/>
        <v>0</v>
      </c>
      <c r="DV212" s="182">
        <f t="shared" si="336"/>
        <v>0</v>
      </c>
      <c r="DW212" s="182">
        <f t="shared" si="336"/>
        <v>0</v>
      </c>
      <c r="DX212" s="182">
        <f t="shared" si="336"/>
        <v>0</v>
      </c>
      <c r="DY212" s="182">
        <f t="shared" si="336"/>
        <v>0</v>
      </c>
      <c r="DZ212" s="182">
        <f t="shared" si="336"/>
        <v>0</v>
      </c>
      <c r="EA212" s="182">
        <f t="shared" si="336"/>
        <v>0</v>
      </c>
      <c r="EB212" s="182">
        <f t="shared" si="336"/>
        <v>0</v>
      </c>
      <c r="EC212" s="182">
        <f t="shared" si="336"/>
        <v>0</v>
      </c>
      <c r="ED212" s="182">
        <f t="shared" si="336"/>
        <v>0</v>
      </c>
      <c r="EE212" s="182">
        <f t="shared" si="336"/>
        <v>0</v>
      </c>
      <c r="EF212" s="182">
        <f t="shared" si="336"/>
        <v>0</v>
      </c>
      <c r="EG212" s="182">
        <f t="shared" si="336"/>
        <v>0</v>
      </c>
      <c r="EH212" s="182">
        <f t="shared" si="336"/>
        <v>0</v>
      </c>
      <c r="EI212" s="182">
        <f t="shared" si="336"/>
        <v>0</v>
      </c>
      <c r="EJ212" s="182">
        <f t="shared" si="336"/>
        <v>0</v>
      </c>
      <c r="FY212" s="211">
        <v>207</v>
      </c>
      <c r="FZ212">
        <v>23.944007059932872</v>
      </c>
      <c r="GA212">
        <v>25.403130892954934</v>
      </c>
      <c r="GB212">
        <v>46.342173473613514</v>
      </c>
      <c r="GC212">
        <v>3.5377837140438659</v>
      </c>
      <c r="GD212">
        <v>0.1913032512588225</v>
      </c>
      <c r="GE212">
        <v>0.70521172894481055</v>
      </c>
      <c r="GF212">
        <v>3.3349585818376637</v>
      </c>
      <c r="GG212">
        <v>0.77331061146863544</v>
      </c>
      <c r="GH212">
        <v>8.0565532890635385</v>
      </c>
      <c r="GI212">
        <v>38.934916246352671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13.049091880341882</v>
      </c>
      <c r="AO213">
        <v>139.82190027907336</v>
      </c>
      <c r="AP213">
        <v>980.42839219388497</v>
      </c>
      <c r="AQ213">
        <v>139.17735466845437</v>
      </c>
      <c r="AR213">
        <v>129.54604397090407</v>
      </c>
      <c r="AS213">
        <v>1050.9040014175375</v>
      </c>
      <c r="AT213" t="e">
        <v>#DIV/0!</v>
      </c>
      <c r="AU213" t="e">
        <v>#DIV/0!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" si="337">AVERAGE(DF98:DF107)</f>
        <v>0</v>
      </c>
      <c r="DG213" s="185">
        <f t="shared" ref="DG213:EJ213" si="338">AVERAGE(DG98:DG107)</f>
        <v>0</v>
      </c>
      <c r="DH213" s="185">
        <f t="shared" si="338"/>
        <v>1.0416666666666665</v>
      </c>
      <c r="DI213" s="185">
        <f t="shared" si="338"/>
        <v>7.083333333333333</v>
      </c>
      <c r="DJ213" s="185">
        <f t="shared" si="338"/>
        <v>3.75</v>
      </c>
      <c r="DK213" s="185">
        <f t="shared" si="338"/>
        <v>0</v>
      </c>
      <c r="DL213" s="185">
        <f t="shared" si="338"/>
        <v>0</v>
      </c>
      <c r="DM213" s="185">
        <f t="shared" si="338"/>
        <v>0</v>
      </c>
      <c r="DN213" s="185">
        <f t="shared" si="338"/>
        <v>2.083333333333333</v>
      </c>
      <c r="DO213" s="185">
        <f t="shared" si="338"/>
        <v>0</v>
      </c>
      <c r="DP213" s="185">
        <f t="shared" si="338"/>
        <v>0</v>
      </c>
      <c r="DQ213" s="185">
        <f t="shared" si="338"/>
        <v>0</v>
      </c>
      <c r="DR213" s="185">
        <f t="shared" si="338"/>
        <v>0</v>
      </c>
      <c r="DS213" s="185">
        <f t="shared" si="338"/>
        <v>0</v>
      </c>
      <c r="DT213" s="185">
        <f t="shared" si="338"/>
        <v>0</v>
      </c>
      <c r="DU213" s="185">
        <f t="shared" si="338"/>
        <v>0</v>
      </c>
      <c r="DV213" s="185">
        <f t="shared" si="338"/>
        <v>0</v>
      </c>
      <c r="DW213" s="185">
        <f t="shared" si="338"/>
        <v>0</v>
      </c>
      <c r="DX213" s="185">
        <f t="shared" si="338"/>
        <v>0</v>
      </c>
      <c r="DY213" s="185">
        <f t="shared" si="338"/>
        <v>0</v>
      </c>
      <c r="DZ213" s="185">
        <f t="shared" si="338"/>
        <v>0</v>
      </c>
      <c r="EA213" s="185">
        <f t="shared" si="338"/>
        <v>0</v>
      </c>
      <c r="EB213" s="185">
        <f t="shared" si="338"/>
        <v>0</v>
      </c>
      <c r="EC213" s="185">
        <f t="shared" si="338"/>
        <v>0</v>
      </c>
      <c r="ED213" s="185">
        <f t="shared" si="338"/>
        <v>0</v>
      </c>
      <c r="EE213" s="185">
        <f t="shared" si="338"/>
        <v>0</v>
      </c>
      <c r="EF213" s="185">
        <f t="shared" si="338"/>
        <v>0</v>
      </c>
      <c r="EG213" s="185">
        <f t="shared" si="338"/>
        <v>0</v>
      </c>
      <c r="EH213" s="185">
        <f t="shared" si="338"/>
        <v>0</v>
      </c>
      <c r="EI213" s="185">
        <f t="shared" si="338"/>
        <v>0</v>
      </c>
      <c r="EJ213" s="185">
        <f t="shared" si="338"/>
        <v>0</v>
      </c>
      <c r="FY213" s="211">
        <v>208</v>
      </c>
      <c r="FZ213">
        <v>54.706054537559396</v>
      </c>
      <c r="GA213">
        <v>55.061858432674391</v>
      </c>
      <c r="GB213">
        <v>15.519332790499506</v>
      </c>
      <c r="GC213">
        <v>1.9911731223535574</v>
      </c>
      <c r="GD213">
        <v>0.32173728620801972</v>
      </c>
      <c r="GE213">
        <v>0.63693078892751687</v>
      </c>
      <c r="GF213">
        <v>2.9843686001175227</v>
      </c>
      <c r="GG213">
        <v>9.2705872825442217</v>
      </c>
      <c r="GH213">
        <v>15.194053003821082</v>
      </c>
      <c r="GI213">
        <v>29.937345139537726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14.944057158119659</v>
      </c>
      <c r="AO214">
        <v>81.649063859971918</v>
      </c>
      <c r="AP214">
        <v>519.54464806765168</v>
      </c>
      <c r="AQ214">
        <v>182.09830372039104</v>
      </c>
      <c r="AR214">
        <v>75.680473821521147</v>
      </c>
      <c r="AS214">
        <v>653.06130254328366</v>
      </c>
      <c r="AT214" t="e">
        <v>#DIV/0!</v>
      </c>
      <c r="AU214" t="e">
        <v>#DIV/0!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" si="339">AVERAGE(DF108:DF117)</f>
        <v>0</v>
      </c>
      <c r="DG214" s="182">
        <f t="shared" ref="DG214:EJ214" si="340">AVERAGE(DG108:DG117)</f>
        <v>0</v>
      </c>
      <c r="DH214" s="182">
        <f t="shared" si="340"/>
        <v>0</v>
      </c>
      <c r="DI214" s="182">
        <f t="shared" si="340"/>
        <v>2.083333333333333</v>
      </c>
      <c r="DJ214" s="182">
        <f t="shared" si="340"/>
        <v>2.083333333333333</v>
      </c>
      <c r="DK214" s="182">
        <f t="shared" si="340"/>
        <v>0</v>
      </c>
      <c r="DL214" s="182">
        <f t="shared" si="340"/>
        <v>0</v>
      </c>
      <c r="DM214" s="182">
        <f t="shared" si="340"/>
        <v>0</v>
      </c>
      <c r="DN214" s="182">
        <f t="shared" si="340"/>
        <v>0</v>
      </c>
      <c r="DO214" s="182">
        <f t="shared" si="340"/>
        <v>0</v>
      </c>
      <c r="DP214" s="182">
        <f t="shared" si="340"/>
        <v>0</v>
      </c>
      <c r="DQ214" s="182">
        <f t="shared" si="340"/>
        <v>0</v>
      </c>
      <c r="DR214" s="182">
        <f t="shared" si="340"/>
        <v>1.0416666666666665</v>
      </c>
      <c r="DS214" s="182">
        <f t="shared" si="340"/>
        <v>0</v>
      </c>
      <c r="DT214" s="182">
        <f t="shared" si="340"/>
        <v>0</v>
      </c>
      <c r="DU214" s="182">
        <f t="shared" si="340"/>
        <v>0</v>
      </c>
      <c r="DV214" s="182">
        <f t="shared" si="340"/>
        <v>0</v>
      </c>
      <c r="DW214" s="182">
        <f t="shared" si="340"/>
        <v>0</v>
      </c>
      <c r="DX214" s="182">
        <f t="shared" si="340"/>
        <v>0</v>
      </c>
      <c r="DY214" s="182">
        <f t="shared" si="340"/>
        <v>0</v>
      </c>
      <c r="DZ214" s="182">
        <f t="shared" si="340"/>
        <v>0</v>
      </c>
      <c r="EA214" s="182">
        <f t="shared" si="340"/>
        <v>0</v>
      </c>
      <c r="EB214" s="182">
        <f t="shared" si="340"/>
        <v>0</v>
      </c>
      <c r="EC214" s="182">
        <f t="shared" si="340"/>
        <v>0</v>
      </c>
      <c r="ED214" s="182">
        <f t="shared" si="340"/>
        <v>1.0416666666666665</v>
      </c>
      <c r="EE214" s="182">
        <f t="shared" si="340"/>
        <v>0</v>
      </c>
      <c r="EF214" s="182">
        <f t="shared" si="340"/>
        <v>0</v>
      </c>
      <c r="EG214" s="182">
        <f t="shared" si="340"/>
        <v>0</v>
      </c>
      <c r="EH214" s="182">
        <f t="shared" si="340"/>
        <v>1.0416666666666665</v>
      </c>
      <c r="EI214" s="182">
        <f t="shared" si="340"/>
        <v>0</v>
      </c>
      <c r="EJ214" s="182">
        <f t="shared" si="340"/>
        <v>0</v>
      </c>
      <c r="FY214" s="211">
        <v>209</v>
      </c>
      <c r="FZ214">
        <v>69.150863908815523</v>
      </c>
      <c r="GA214">
        <v>71.677751736850411</v>
      </c>
      <c r="GB214">
        <v>30.11345720831844</v>
      </c>
      <c r="GC214">
        <v>2.0323262005859553</v>
      </c>
      <c r="GD214">
        <v>0.17961534416703098</v>
      </c>
      <c r="GE214">
        <v>5.9112266070560512E-2</v>
      </c>
      <c r="GF214">
        <v>3.6120539439747459</v>
      </c>
      <c r="GG214">
        <v>3.2059560477073514</v>
      </c>
      <c r="GH214">
        <v>4.0282766445317693</v>
      </c>
      <c r="GI214">
        <v>41.820006845788996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13.726909722222221</v>
      </c>
      <c r="AO215">
        <v>91.313670106786731</v>
      </c>
      <c r="AP215">
        <v>588.87969663614285</v>
      </c>
      <c r="AQ215">
        <v>239.1688356907805</v>
      </c>
      <c r="AR215">
        <v>84.71835799679387</v>
      </c>
      <c r="AS215">
        <v>651.06289943915351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" si="341">AVERAGE(DF118:DF127)</f>
        <v>0</v>
      </c>
      <c r="DG215" s="182">
        <f t="shared" ref="DG215:EJ215" si="342">AVERAGE(DG118:DG127)</f>
        <v>0</v>
      </c>
      <c r="DH215" s="182">
        <f t="shared" si="342"/>
        <v>0</v>
      </c>
      <c r="DI215" s="182">
        <f t="shared" si="342"/>
        <v>1.0416666666666665</v>
      </c>
      <c r="DJ215" s="182">
        <f t="shared" si="342"/>
        <v>0</v>
      </c>
      <c r="DK215" s="182">
        <f t="shared" si="342"/>
        <v>8.8068181818181834</v>
      </c>
      <c r="DL215" s="182">
        <f t="shared" si="342"/>
        <v>5.4450757575757578</v>
      </c>
      <c r="DM215" s="182">
        <f t="shared" si="342"/>
        <v>12.089646464646464</v>
      </c>
      <c r="DN215" s="182">
        <f t="shared" si="342"/>
        <v>2.604166666666667</v>
      </c>
      <c r="DO215" s="182">
        <f t="shared" si="342"/>
        <v>0</v>
      </c>
      <c r="DP215" s="182">
        <f t="shared" si="342"/>
        <v>0</v>
      </c>
      <c r="DQ215" s="182">
        <f t="shared" si="342"/>
        <v>0</v>
      </c>
      <c r="DR215" s="182">
        <f t="shared" si="342"/>
        <v>0</v>
      </c>
      <c r="DS215" s="182">
        <f t="shared" si="342"/>
        <v>0</v>
      </c>
      <c r="DT215" s="182">
        <f t="shared" si="342"/>
        <v>2.604166666666667</v>
      </c>
      <c r="DU215" s="182">
        <f t="shared" si="342"/>
        <v>1.0416666666666665</v>
      </c>
      <c r="DV215" s="182">
        <f t="shared" si="342"/>
        <v>0</v>
      </c>
      <c r="DW215" s="182">
        <f t="shared" si="342"/>
        <v>0</v>
      </c>
      <c r="DX215" s="182">
        <f t="shared" si="342"/>
        <v>0</v>
      </c>
      <c r="DY215" s="182">
        <f t="shared" si="342"/>
        <v>0</v>
      </c>
      <c r="DZ215" s="182">
        <f t="shared" si="342"/>
        <v>0</v>
      </c>
      <c r="EA215" s="182">
        <f t="shared" si="342"/>
        <v>0</v>
      </c>
      <c r="EB215" s="182">
        <f t="shared" si="342"/>
        <v>2.8409090909090908</v>
      </c>
      <c r="EC215" s="182">
        <f t="shared" si="342"/>
        <v>0</v>
      </c>
      <c r="ED215" s="182">
        <f t="shared" si="342"/>
        <v>0</v>
      </c>
      <c r="EE215" s="182">
        <f t="shared" si="342"/>
        <v>0</v>
      </c>
      <c r="EF215" s="182">
        <f t="shared" si="342"/>
        <v>0</v>
      </c>
      <c r="EG215" s="182">
        <f t="shared" si="342"/>
        <v>0</v>
      </c>
      <c r="EH215" s="182">
        <f t="shared" si="342"/>
        <v>0</v>
      </c>
      <c r="EI215" s="182">
        <f t="shared" si="342"/>
        <v>0</v>
      </c>
      <c r="EJ215" s="182">
        <f t="shared" si="342"/>
        <v>0</v>
      </c>
      <c r="FY215" s="211">
        <v>210</v>
      </c>
      <c r="FZ215">
        <v>30.642122045460162</v>
      </c>
      <c r="GA215">
        <v>37.123733618401005</v>
      </c>
      <c r="GB215">
        <v>51.628251128278215</v>
      </c>
      <c r="GC215">
        <v>3.0239889927990751</v>
      </c>
      <c r="GD215">
        <v>0.47811747216926193</v>
      </c>
      <c r="GE215">
        <v>0.76982619971400745</v>
      </c>
      <c r="GF215">
        <v>3.146221294898556</v>
      </c>
      <c r="GG215">
        <v>3.1495992467909466</v>
      </c>
      <c r="GH215">
        <v>0</v>
      </c>
      <c r="GI215">
        <v>47.250643511613887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9.5182291666666679</v>
      </c>
      <c r="AO216">
        <v>69.022128307044454</v>
      </c>
      <c r="AP216">
        <v>524.33866913568659</v>
      </c>
      <c r="AQ216">
        <v>115.81553892325002</v>
      </c>
      <c r="AR216">
        <v>64.064657407067799</v>
      </c>
      <c r="AS216">
        <v>362.62709227473391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" si="343">AVERAGE(DF128:DF137)</f>
        <v>0</v>
      </c>
      <c r="DG216" s="182">
        <f t="shared" ref="DG216:EJ216" si="344">AVERAGE(DG128:DG137)</f>
        <v>0</v>
      </c>
      <c r="DH216" s="182">
        <f t="shared" si="344"/>
        <v>0</v>
      </c>
      <c r="DI216" s="182">
        <f t="shared" si="344"/>
        <v>2.4621212121212119</v>
      </c>
      <c r="DJ216" s="182">
        <f t="shared" si="344"/>
        <v>6.3446969696969688</v>
      </c>
      <c r="DK216" s="182">
        <f t="shared" si="344"/>
        <v>6.0460372960372961</v>
      </c>
      <c r="DL216" s="182">
        <f t="shared" si="344"/>
        <v>0</v>
      </c>
      <c r="DM216" s="182">
        <f t="shared" si="344"/>
        <v>0</v>
      </c>
      <c r="DN216" s="182">
        <f t="shared" si="344"/>
        <v>0</v>
      </c>
      <c r="DO216" s="182">
        <f t="shared" si="344"/>
        <v>0</v>
      </c>
      <c r="DP216" s="182">
        <f t="shared" si="344"/>
        <v>0</v>
      </c>
      <c r="DQ216" s="182">
        <f t="shared" si="344"/>
        <v>0</v>
      </c>
      <c r="DR216" s="182">
        <f t="shared" si="344"/>
        <v>0</v>
      </c>
      <c r="DS216" s="182">
        <f t="shared" si="344"/>
        <v>0</v>
      </c>
      <c r="DT216" s="182">
        <f t="shared" si="344"/>
        <v>0</v>
      </c>
      <c r="DU216" s="182">
        <f t="shared" si="344"/>
        <v>0</v>
      </c>
      <c r="DV216" s="182">
        <f t="shared" si="344"/>
        <v>0</v>
      </c>
      <c r="DW216" s="182">
        <f t="shared" si="344"/>
        <v>0</v>
      </c>
      <c r="DX216" s="182">
        <f t="shared" si="344"/>
        <v>0</v>
      </c>
      <c r="DY216" s="182">
        <f t="shared" si="344"/>
        <v>0</v>
      </c>
      <c r="DZ216" s="182">
        <f t="shared" si="344"/>
        <v>0</v>
      </c>
      <c r="EA216" s="182">
        <f t="shared" si="344"/>
        <v>0</v>
      </c>
      <c r="EB216" s="182">
        <f t="shared" si="344"/>
        <v>0</v>
      </c>
      <c r="EC216" s="182">
        <f t="shared" si="344"/>
        <v>0</v>
      </c>
      <c r="ED216" s="182">
        <f t="shared" si="344"/>
        <v>0</v>
      </c>
      <c r="EE216" s="182">
        <f t="shared" si="344"/>
        <v>0</v>
      </c>
      <c r="EF216" s="182">
        <f t="shared" si="344"/>
        <v>0</v>
      </c>
      <c r="EG216" s="182">
        <f t="shared" si="344"/>
        <v>0</v>
      </c>
      <c r="EH216" s="182">
        <f t="shared" si="344"/>
        <v>0</v>
      </c>
      <c r="EI216" s="182">
        <f t="shared" si="344"/>
        <v>0</v>
      </c>
      <c r="EJ216" s="182">
        <f t="shared" si="344"/>
        <v>0</v>
      </c>
      <c r="FY216" s="211">
        <v>211</v>
      </c>
      <c r="FZ216">
        <v>43.231615667969812</v>
      </c>
      <c r="GA216">
        <v>48.347858093696303</v>
      </c>
      <c r="GB216">
        <v>65.88248300271151</v>
      </c>
      <c r="GC216">
        <v>3.5457641104545661</v>
      </c>
      <c r="GD216">
        <v>0.402990011939383</v>
      </c>
      <c r="GE216">
        <v>0.45822724991911468</v>
      </c>
      <c r="GF216">
        <v>2.4897412498454616</v>
      </c>
      <c r="GG216">
        <v>9.713599389194945</v>
      </c>
      <c r="GH216">
        <v>18.808471804812587</v>
      </c>
      <c r="GI216">
        <v>64.585855624196057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13.395098824786322</v>
      </c>
      <c r="AO217">
        <v>100.54068034960846</v>
      </c>
      <c r="AP217">
        <v>859.88596166975208</v>
      </c>
      <c r="AQ217">
        <v>185.01929388336964</v>
      </c>
      <c r="AR217">
        <v>93.302627702427813</v>
      </c>
      <c r="AS217">
        <v>475.38456261041904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" si="345">AVERAGE(DF138:DF147)</f>
        <v>0</v>
      </c>
      <c r="DG217" s="182">
        <f t="shared" ref="DG217:EJ217" si="346">AVERAGE(DG138:DG147)</f>
        <v>0</v>
      </c>
      <c r="DH217" s="182">
        <f t="shared" si="346"/>
        <v>0</v>
      </c>
      <c r="DI217" s="182">
        <f t="shared" si="346"/>
        <v>1.0416666666666665</v>
      </c>
      <c r="DJ217" s="182">
        <f t="shared" si="346"/>
        <v>3.125</v>
      </c>
      <c r="DK217" s="182">
        <f t="shared" si="346"/>
        <v>5.8712121212121202</v>
      </c>
      <c r="DL217" s="182">
        <f t="shared" si="346"/>
        <v>1.0416666666666665</v>
      </c>
      <c r="DM217" s="182">
        <f t="shared" si="346"/>
        <v>0</v>
      </c>
      <c r="DN217" s="182">
        <f t="shared" si="346"/>
        <v>0</v>
      </c>
      <c r="DO217" s="182">
        <f t="shared" si="346"/>
        <v>0</v>
      </c>
      <c r="DP217" s="182">
        <f t="shared" si="346"/>
        <v>0</v>
      </c>
      <c r="DQ217" s="182">
        <f t="shared" si="346"/>
        <v>0</v>
      </c>
      <c r="DR217" s="182">
        <f t="shared" si="346"/>
        <v>3.7878787878787876</v>
      </c>
      <c r="DS217" s="182">
        <f t="shared" si="346"/>
        <v>7.5757575757575752</v>
      </c>
      <c r="DT217" s="182">
        <f t="shared" si="346"/>
        <v>0</v>
      </c>
      <c r="DU217" s="182">
        <f t="shared" si="346"/>
        <v>0</v>
      </c>
      <c r="DV217" s="182">
        <f t="shared" si="346"/>
        <v>0</v>
      </c>
      <c r="DW217" s="182">
        <f t="shared" si="346"/>
        <v>0</v>
      </c>
      <c r="DX217" s="182">
        <f t="shared" si="346"/>
        <v>0</v>
      </c>
      <c r="DY217" s="182">
        <f t="shared" si="346"/>
        <v>1.0416666666666665</v>
      </c>
      <c r="DZ217" s="182">
        <f t="shared" si="346"/>
        <v>0</v>
      </c>
      <c r="EA217" s="182">
        <f t="shared" si="346"/>
        <v>0</v>
      </c>
      <c r="EB217" s="182">
        <f t="shared" si="346"/>
        <v>0</v>
      </c>
      <c r="EC217" s="182">
        <f t="shared" si="346"/>
        <v>1.0416666666666665</v>
      </c>
      <c r="ED217" s="182">
        <f t="shared" si="346"/>
        <v>0</v>
      </c>
      <c r="EE217" s="182">
        <f t="shared" si="346"/>
        <v>0</v>
      </c>
      <c r="EF217" s="182">
        <f t="shared" si="346"/>
        <v>0</v>
      </c>
      <c r="EG217" s="182">
        <f t="shared" si="346"/>
        <v>0</v>
      </c>
      <c r="EH217" s="182">
        <f t="shared" si="346"/>
        <v>0</v>
      </c>
      <c r="EI217" s="182">
        <f t="shared" si="346"/>
        <v>0</v>
      </c>
      <c r="EJ217" s="182">
        <f t="shared" si="346"/>
        <v>0</v>
      </c>
      <c r="FY217" s="211">
        <v>212</v>
      </c>
      <c r="FZ217">
        <v>23.348594733583923</v>
      </c>
      <c r="GA217">
        <v>28.657030976746903</v>
      </c>
      <c r="GB217">
        <v>55.920221971233147</v>
      </c>
      <c r="GC217">
        <v>1.9973348159325108</v>
      </c>
      <c r="GD217">
        <v>9.2940632823154845E-2</v>
      </c>
      <c r="GE217">
        <v>0.42363790683901698</v>
      </c>
      <c r="GF217">
        <v>3.4599893528475749</v>
      </c>
      <c r="GG217">
        <v>6.4682688963311064</v>
      </c>
      <c r="GH217">
        <v>15.285390891046541</v>
      </c>
      <c r="GI217">
        <v>40.787611097970327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16.295619658119662</v>
      </c>
      <c r="AO218">
        <v>113.46392301110959</v>
      </c>
      <c r="AP218">
        <v>762.72932098003082</v>
      </c>
      <c r="AQ218">
        <v>256.86945864370472</v>
      </c>
      <c r="AR218">
        <v>105.32322388346732</v>
      </c>
      <c r="AS218">
        <v>797.86568703200385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" si="347">AVERAGE(DF148:DF157)</f>
        <v>0</v>
      </c>
      <c r="DG218" s="182">
        <f t="shared" ref="DG218:EJ218" si="348">AVERAGE(DG148:DG157)</f>
        <v>0</v>
      </c>
      <c r="DH218" s="182">
        <f t="shared" si="348"/>
        <v>9.9826388888888893</v>
      </c>
      <c r="DI218" s="182">
        <f t="shared" si="348"/>
        <v>0</v>
      </c>
      <c r="DJ218" s="182">
        <f t="shared" si="348"/>
        <v>0</v>
      </c>
      <c r="DK218" s="182">
        <f t="shared" si="348"/>
        <v>1.3020833333333333</v>
      </c>
      <c r="DL218" s="182">
        <f t="shared" si="348"/>
        <v>1.3020833333333333</v>
      </c>
      <c r="DM218" s="182">
        <f t="shared" si="348"/>
        <v>0</v>
      </c>
      <c r="DN218" s="182">
        <f t="shared" si="348"/>
        <v>0</v>
      </c>
      <c r="DO218" s="182">
        <f t="shared" si="348"/>
        <v>0</v>
      </c>
      <c r="DP218" s="182">
        <f t="shared" si="348"/>
        <v>0</v>
      </c>
      <c r="DQ218" s="182">
        <f t="shared" si="348"/>
        <v>0</v>
      </c>
      <c r="DR218" s="182">
        <f t="shared" si="348"/>
        <v>0</v>
      </c>
      <c r="DS218" s="182">
        <f t="shared" si="348"/>
        <v>0</v>
      </c>
      <c r="DT218" s="182">
        <f t="shared" si="348"/>
        <v>0</v>
      </c>
      <c r="DU218" s="182">
        <f t="shared" si="348"/>
        <v>0</v>
      </c>
      <c r="DV218" s="182">
        <f t="shared" si="348"/>
        <v>0</v>
      </c>
      <c r="DW218" s="182">
        <f t="shared" si="348"/>
        <v>0</v>
      </c>
      <c r="DX218" s="182">
        <f t="shared" si="348"/>
        <v>0</v>
      </c>
      <c r="DY218" s="182">
        <f t="shared" si="348"/>
        <v>0</v>
      </c>
      <c r="DZ218" s="182">
        <f t="shared" si="348"/>
        <v>0</v>
      </c>
      <c r="EA218" s="182">
        <f t="shared" si="348"/>
        <v>0</v>
      </c>
      <c r="EB218" s="182">
        <f t="shared" si="348"/>
        <v>0</v>
      </c>
      <c r="EC218" s="182">
        <f t="shared" si="348"/>
        <v>0</v>
      </c>
      <c r="ED218" s="182">
        <f t="shared" si="348"/>
        <v>0</v>
      </c>
      <c r="EE218" s="182">
        <f t="shared" si="348"/>
        <v>0</v>
      </c>
      <c r="EF218" s="182">
        <f t="shared" si="348"/>
        <v>0</v>
      </c>
      <c r="EG218" s="182">
        <f t="shared" si="348"/>
        <v>0</v>
      </c>
      <c r="EH218" s="182">
        <f t="shared" si="348"/>
        <v>0</v>
      </c>
      <c r="EI218" s="182">
        <f t="shared" si="348"/>
        <v>0</v>
      </c>
      <c r="EJ218" s="182">
        <f t="shared" si="348"/>
        <v>0</v>
      </c>
      <c r="FY218" s="211">
        <v>213</v>
      </c>
      <c r="FZ218">
        <v>44.542365752834087</v>
      </c>
      <c r="GA218">
        <v>45.812961578279108</v>
      </c>
      <c r="GB218">
        <v>14.013857017128451</v>
      </c>
      <c r="GC218">
        <v>1.6913337857830326</v>
      </c>
      <c r="GD218">
        <v>0.32173728620801967</v>
      </c>
      <c r="GE218">
        <v>0.54276018512303981</v>
      </c>
      <c r="GF218">
        <v>2.3682961035653389</v>
      </c>
      <c r="GG218">
        <v>10.011149466014956</v>
      </c>
      <c r="GH218">
        <v>20.776941183465745</v>
      </c>
      <c r="GI218">
        <v>28.80118427694682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16.451215277777777</v>
      </c>
      <c r="AO219">
        <v>157.67604328263272</v>
      </c>
      <c r="AP219">
        <v>1190.7236644200561</v>
      </c>
      <c r="AQ219">
        <v>144.42477206283871</v>
      </c>
      <c r="AR219">
        <v>146.1733801861607</v>
      </c>
      <c r="AS219">
        <v>1053.9096682126303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" si="349">AVERAGE(DF158:DF167)</f>
        <v>0</v>
      </c>
      <c r="DG219" s="182">
        <f t="shared" ref="DG219:EJ219" si="350">AVERAGE(DG158:DG167)</f>
        <v>0</v>
      </c>
      <c r="DH219" s="182">
        <f t="shared" si="350"/>
        <v>0</v>
      </c>
      <c r="DI219" s="182">
        <f t="shared" si="350"/>
        <v>2.083333333333333</v>
      </c>
      <c r="DJ219" s="182">
        <f t="shared" si="350"/>
        <v>1.0416666666666665</v>
      </c>
      <c r="DK219" s="182">
        <f t="shared" si="350"/>
        <v>0</v>
      </c>
      <c r="DL219" s="182">
        <f t="shared" si="350"/>
        <v>0</v>
      </c>
      <c r="DM219" s="182">
        <f t="shared" si="350"/>
        <v>0</v>
      </c>
      <c r="DN219" s="182">
        <f t="shared" si="350"/>
        <v>0</v>
      </c>
      <c r="DO219" s="182">
        <f t="shared" si="350"/>
        <v>0</v>
      </c>
      <c r="DP219" s="182">
        <f t="shared" si="350"/>
        <v>0</v>
      </c>
      <c r="DQ219" s="182">
        <f t="shared" si="350"/>
        <v>0</v>
      </c>
      <c r="DR219" s="182">
        <f t="shared" si="350"/>
        <v>0</v>
      </c>
      <c r="DS219" s="182">
        <f t="shared" si="350"/>
        <v>0</v>
      </c>
      <c r="DT219" s="182">
        <f t="shared" si="350"/>
        <v>0</v>
      </c>
      <c r="DU219" s="182">
        <f t="shared" si="350"/>
        <v>0</v>
      </c>
      <c r="DV219" s="182">
        <f t="shared" si="350"/>
        <v>0</v>
      </c>
      <c r="DW219" s="182">
        <f t="shared" si="350"/>
        <v>0</v>
      </c>
      <c r="DX219" s="182">
        <f t="shared" si="350"/>
        <v>0</v>
      </c>
      <c r="DY219" s="182">
        <f t="shared" si="350"/>
        <v>0</v>
      </c>
      <c r="DZ219" s="182">
        <f t="shared" si="350"/>
        <v>0</v>
      </c>
      <c r="EA219" s="182">
        <f t="shared" si="350"/>
        <v>0</v>
      </c>
      <c r="EB219" s="182">
        <f t="shared" si="350"/>
        <v>0</v>
      </c>
      <c r="EC219" s="182">
        <f t="shared" si="350"/>
        <v>0</v>
      </c>
      <c r="ED219" s="182">
        <f t="shared" si="350"/>
        <v>0</v>
      </c>
      <c r="EE219" s="182">
        <f t="shared" si="350"/>
        <v>0</v>
      </c>
      <c r="EF219" s="182">
        <f t="shared" si="350"/>
        <v>0</v>
      </c>
      <c r="EG219" s="182">
        <f t="shared" si="350"/>
        <v>0</v>
      </c>
      <c r="EH219" s="182">
        <f t="shared" si="350"/>
        <v>0</v>
      </c>
      <c r="EI219" s="182">
        <f t="shared" si="350"/>
        <v>0</v>
      </c>
      <c r="EJ219" s="182">
        <f t="shared" si="350"/>
        <v>0</v>
      </c>
      <c r="FY219" s="211">
        <v>214</v>
      </c>
      <c r="FZ219">
        <v>41.943185403435564</v>
      </c>
      <c r="GA219">
        <v>45.3191798448848</v>
      </c>
      <c r="GB219">
        <v>66.211918373554298</v>
      </c>
      <c r="GC219">
        <v>2.1728301841336934</v>
      </c>
      <c r="GD219">
        <v>0.24660982597814074</v>
      </c>
      <c r="GE219">
        <v>0.19704088690186838</v>
      </c>
      <c r="GF219">
        <v>2.5455697711585916</v>
      </c>
      <c r="GG219">
        <v>7.426415982786942</v>
      </c>
      <c r="GH219">
        <v>9.1973069806361583</v>
      </c>
      <c r="GI219">
        <v>64.808959291755826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13.533119658119656</v>
      </c>
      <c r="AO220">
        <v>95.424601058162324</v>
      </c>
      <c r="AP220">
        <v>531.73376395393018</v>
      </c>
      <c r="AQ220">
        <v>190.40305638655946</v>
      </c>
      <c r="AR220">
        <v>88.589158992050557</v>
      </c>
      <c r="AS220">
        <v>547.35445870578803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" si="351">AVERAGE(DF168:DF177)</f>
        <v>0</v>
      </c>
      <c r="DG220" s="182">
        <f t="shared" ref="DG220:EJ220" si="352">AVERAGE(DG168:DG177)</f>
        <v>0</v>
      </c>
      <c r="DH220" s="182">
        <f t="shared" si="352"/>
        <v>0</v>
      </c>
      <c r="DI220" s="182">
        <f t="shared" si="352"/>
        <v>1.0416666666666665</v>
      </c>
      <c r="DJ220" s="182">
        <f t="shared" si="352"/>
        <v>4.1666666666666661</v>
      </c>
      <c r="DK220" s="182">
        <f t="shared" si="352"/>
        <v>1.0416666666666665</v>
      </c>
      <c r="DL220" s="182">
        <f t="shared" si="352"/>
        <v>0</v>
      </c>
      <c r="DM220" s="182">
        <f t="shared" si="352"/>
        <v>0</v>
      </c>
      <c r="DN220" s="182">
        <f t="shared" si="352"/>
        <v>0</v>
      </c>
      <c r="DO220" s="182">
        <f t="shared" si="352"/>
        <v>0</v>
      </c>
      <c r="DP220" s="182">
        <f t="shared" si="352"/>
        <v>0</v>
      </c>
      <c r="DQ220" s="182">
        <f t="shared" si="352"/>
        <v>0</v>
      </c>
      <c r="DR220" s="182">
        <f t="shared" si="352"/>
        <v>0</v>
      </c>
      <c r="DS220" s="182">
        <f t="shared" si="352"/>
        <v>1.0416666666666665</v>
      </c>
      <c r="DT220" s="182">
        <f t="shared" si="352"/>
        <v>1.0416666666666665</v>
      </c>
      <c r="DU220" s="182">
        <f t="shared" si="352"/>
        <v>0</v>
      </c>
      <c r="DV220" s="182">
        <f t="shared" si="352"/>
        <v>0</v>
      </c>
      <c r="DW220" s="182">
        <f t="shared" si="352"/>
        <v>0</v>
      </c>
      <c r="DX220" s="182">
        <f t="shared" si="352"/>
        <v>0</v>
      </c>
      <c r="DY220" s="182">
        <f t="shared" si="352"/>
        <v>0</v>
      </c>
      <c r="DZ220" s="182">
        <f t="shared" si="352"/>
        <v>0</v>
      </c>
      <c r="EA220" s="182">
        <f t="shared" si="352"/>
        <v>0</v>
      </c>
      <c r="EB220" s="182">
        <f t="shared" si="352"/>
        <v>0</v>
      </c>
      <c r="EC220" s="182">
        <f t="shared" si="352"/>
        <v>0</v>
      </c>
      <c r="ED220" s="182">
        <f t="shared" si="352"/>
        <v>0</v>
      </c>
      <c r="EE220" s="182">
        <f t="shared" si="352"/>
        <v>0</v>
      </c>
      <c r="EF220" s="182">
        <f t="shared" si="352"/>
        <v>0</v>
      </c>
      <c r="EG220" s="182">
        <f t="shared" si="352"/>
        <v>0</v>
      </c>
      <c r="EH220" s="182">
        <f t="shared" si="352"/>
        <v>0</v>
      </c>
      <c r="EI220" s="182">
        <f t="shared" si="352"/>
        <v>0</v>
      </c>
      <c r="EJ220" s="182">
        <f t="shared" si="352"/>
        <v>0</v>
      </c>
      <c r="FY220" s="211">
        <v>215</v>
      </c>
      <c r="FZ220">
        <v>41.429749998671184</v>
      </c>
      <c r="GA220">
        <v>50.987314640110185</v>
      </c>
      <c r="GB220">
        <v>55.51319059224204</v>
      </c>
      <c r="GC220">
        <v>4.0197955534024068</v>
      </c>
      <c r="GD220">
        <v>0.42622517014517181</v>
      </c>
      <c r="GE220">
        <v>0.41446923289228399</v>
      </c>
      <c r="GF220">
        <v>2.3944175518570092</v>
      </c>
      <c r="GG220">
        <v>6.8942986472219117</v>
      </c>
      <c r="GH220">
        <v>15.194053003821082</v>
      </c>
      <c r="GI220">
        <v>49.015595778437586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13.995272435897437</v>
      </c>
      <c r="AO221">
        <v>127.57990641857918</v>
      </c>
      <c r="AP221">
        <v>1064.4650943999798</v>
      </c>
      <c r="AQ221">
        <v>153.93776229554797</v>
      </c>
      <c r="AR221">
        <v>118.31134283168167</v>
      </c>
      <c r="AS221">
        <v>758.49262943218741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" si="353">AVERAGE(DF178:DF187)</f>
        <v>0</v>
      </c>
      <c r="DG221" s="182">
        <f t="shared" ref="DG221:EJ221" si="354">AVERAGE(DG178:DG187)</f>
        <v>0</v>
      </c>
      <c r="DH221" s="182">
        <f t="shared" si="354"/>
        <v>0</v>
      </c>
      <c r="DI221" s="182">
        <f t="shared" si="354"/>
        <v>0</v>
      </c>
      <c r="DJ221" s="182">
        <f t="shared" si="354"/>
        <v>0</v>
      </c>
      <c r="DK221" s="182">
        <f t="shared" si="354"/>
        <v>0</v>
      </c>
      <c r="DL221" s="182">
        <f t="shared" si="354"/>
        <v>1.0416666666666665</v>
      </c>
      <c r="DM221" s="182">
        <f t="shared" si="354"/>
        <v>0</v>
      </c>
      <c r="DN221" s="182">
        <f t="shared" si="354"/>
        <v>0</v>
      </c>
      <c r="DO221" s="182">
        <f t="shared" si="354"/>
        <v>0</v>
      </c>
      <c r="DP221" s="182">
        <f t="shared" si="354"/>
        <v>0</v>
      </c>
      <c r="DQ221" s="182">
        <f t="shared" si="354"/>
        <v>0</v>
      </c>
      <c r="DR221" s="182">
        <f t="shared" si="354"/>
        <v>0</v>
      </c>
      <c r="DS221" s="182">
        <f t="shared" si="354"/>
        <v>0</v>
      </c>
      <c r="DT221" s="182">
        <f t="shared" si="354"/>
        <v>0</v>
      </c>
      <c r="DU221" s="182">
        <f t="shared" si="354"/>
        <v>0</v>
      </c>
      <c r="DV221" s="182">
        <f t="shared" si="354"/>
        <v>0</v>
      </c>
      <c r="DW221" s="182">
        <f t="shared" si="354"/>
        <v>0</v>
      </c>
      <c r="DX221" s="182">
        <f t="shared" si="354"/>
        <v>0</v>
      </c>
      <c r="DY221" s="182">
        <f t="shared" si="354"/>
        <v>0</v>
      </c>
      <c r="DZ221" s="182">
        <f t="shared" si="354"/>
        <v>0</v>
      </c>
      <c r="EA221" s="182">
        <f t="shared" si="354"/>
        <v>0</v>
      </c>
      <c r="EB221" s="182">
        <f t="shared" si="354"/>
        <v>0</v>
      </c>
      <c r="EC221" s="182">
        <f t="shared" si="354"/>
        <v>0</v>
      </c>
      <c r="ED221" s="182">
        <f t="shared" si="354"/>
        <v>0</v>
      </c>
      <c r="EE221" s="182">
        <f t="shared" si="354"/>
        <v>0</v>
      </c>
      <c r="EF221" s="182">
        <f t="shared" si="354"/>
        <v>0</v>
      </c>
      <c r="EG221" s="182">
        <f t="shared" si="354"/>
        <v>0</v>
      </c>
      <c r="EH221" s="182">
        <f t="shared" si="354"/>
        <v>0</v>
      </c>
      <c r="EI221" s="182">
        <f t="shared" si="354"/>
        <v>0</v>
      </c>
      <c r="EJ221" s="182">
        <f t="shared" si="354"/>
        <v>0</v>
      </c>
      <c r="FY221" s="211">
        <v>216</v>
      </c>
      <c r="FZ221">
        <v>25.525738268247693</v>
      </c>
      <c r="GA221">
        <v>29.723683096172838</v>
      </c>
      <c r="GB221">
        <v>32.71299700792855</v>
      </c>
      <c r="GC221">
        <v>3.2439068486952998</v>
      </c>
      <c r="GD221">
        <v>0.42622517014517169</v>
      </c>
      <c r="GE221">
        <v>0.50817084204294216</v>
      </c>
      <c r="GF221">
        <v>2.7081856098060282</v>
      </c>
      <c r="GG221">
        <v>9.1984644093898318</v>
      </c>
      <c r="GH221">
        <v>16.426144582619159</v>
      </c>
      <c r="GI221">
        <v>41.088222879198931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13.304821047008545</v>
      </c>
      <c r="AO222">
        <v>75.066169214076197</v>
      </c>
      <c r="AP222">
        <v>485.54234984690049</v>
      </c>
      <c r="AQ222">
        <v>177.81514440499447</v>
      </c>
      <c r="AR222">
        <v>69.446813425639164</v>
      </c>
      <c r="AS222">
        <v>838.15363717203377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1">
        <v>217</v>
      </c>
      <c r="FZ222">
        <v>32.374908945059175</v>
      </c>
      <c r="GA222">
        <v>32.604362563231504</v>
      </c>
      <c r="GB222">
        <v>24.362524566245106</v>
      </c>
      <c r="GC222">
        <v>1.8404809607561416</v>
      </c>
      <c r="GD222">
        <v>0.36820760261959706</v>
      </c>
      <c r="GE222">
        <v>0.99642321965115599</v>
      </c>
      <c r="GF222">
        <v>2.7476807864813506</v>
      </c>
      <c r="GG222">
        <v>7.1524742788854336</v>
      </c>
      <c r="GH222">
        <v>24.896555715222974</v>
      </c>
      <c r="GI222">
        <v>33.050831888691647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15.549706196581193</v>
      </c>
      <c r="AO223">
        <v>141.61687903760151</v>
      </c>
      <c r="AP223">
        <v>754.64858421569397</v>
      </c>
      <c r="AQ223">
        <v>151.22334884947134</v>
      </c>
      <c r="AR223">
        <v>131.45157475947363</v>
      </c>
      <c r="AS223">
        <v>1098.7682384718933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1">
        <v>218</v>
      </c>
      <c r="FZ223">
        <v>33.241302394858693</v>
      </c>
      <c r="GA223">
        <v>37.617515351795305</v>
      </c>
      <c r="GB223">
        <v>51.956279134785802</v>
      </c>
      <c r="GC223">
        <v>1.5847634677936686</v>
      </c>
      <c r="GD223">
        <v>0.26371971868244504</v>
      </c>
      <c r="GE223">
        <v>1.1547392995710113</v>
      </c>
      <c r="GF223">
        <v>3.3933111280958097</v>
      </c>
      <c r="GG223">
        <v>4.6071152408139096</v>
      </c>
      <c r="GH223">
        <v>17.667718113239967</v>
      </c>
      <c r="GI223">
        <v>52.716107302500539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9.0079059829059851</v>
      </c>
      <c r="AO224">
        <v>53.73904690003733</v>
      </c>
      <c r="AP224">
        <v>591.52346943714531</v>
      </c>
      <c r="AQ224">
        <v>185.62344098424296</v>
      </c>
      <c r="AR224">
        <v>49.830080478943273</v>
      </c>
      <c r="AS224">
        <v>246.2347783844927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1">
        <v>219</v>
      </c>
      <c r="FZ224">
        <v>10.314744476009519</v>
      </c>
      <c r="GA224">
        <v>12.906985044186275</v>
      </c>
      <c r="GB224">
        <v>66.624669022097962</v>
      </c>
      <c r="GC224">
        <v>1.6067530957106406</v>
      </c>
      <c r="GD224">
        <v>0.26100872587618862</v>
      </c>
      <c r="GE224">
        <v>0.57278531281213896</v>
      </c>
      <c r="GF224">
        <v>0.65633081709390995</v>
      </c>
      <c r="GG224">
        <v>2.0459901305043982</v>
      </c>
      <c r="GH224">
        <v>3.6144188009915013</v>
      </c>
      <c r="GI224">
        <v>47.076489591985528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14.028218482905981</v>
      </c>
      <c r="AO225">
        <v>107.53351833384372</v>
      </c>
      <c r="AP225">
        <v>710.37185671849363</v>
      </c>
      <c r="AQ225">
        <v>225.87942014681079</v>
      </c>
      <c r="AR225">
        <v>99.732824298880374</v>
      </c>
      <c r="AS225">
        <v>1052.7513345648479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 t="e">
        <f>((DG212*$H$372)+(DH212*$I$372)+(DI212*$J$372)+(DJ212*$K$372)+(DK212*$L$372)+(DL212*$M$372)+(DM212*$N$372)+(DN212*$O$372)+(DO212*$P$372)+(DP212*$Q$372)+(DQ212*$R$372)+(DR212*$S$372)+(DS212*$T$372)+(DT212*$U$372))/SUM(DG212:DT212)</f>
        <v>#DIV/0!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1">
        <v>220</v>
      </c>
      <c r="FZ225">
        <v>23.348594733583923</v>
      </c>
      <c r="GA225">
        <v>27.03340647956022</v>
      </c>
      <c r="GB225">
        <v>48.99107361712516</v>
      </c>
      <c r="GC225">
        <v>2.6688072193303691</v>
      </c>
      <c r="GD225">
        <v>0.30733838630997173</v>
      </c>
      <c r="GE225">
        <v>0.15784708526603611</v>
      </c>
      <c r="GF225">
        <v>2.5861265476186865</v>
      </c>
      <c r="GG225">
        <v>8.3124401960883869</v>
      </c>
      <c r="GH225">
        <v>13.225583625167928</v>
      </c>
      <c r="GI225">
        <v>51.383138934068654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13.783947649572648</v>
      </c>
      <c r="AO226">
        <v>148.59043390237599</v>
      </c>
      <c r="AP226">
        <v>1073.9194732504291</v>
      </c>
      <c r="AQ226">
        <v>177.21250351012509</v>
      </c>
      <c r="AR226">
        <v>137.81408287417293</v>
      </c>
      <c r="AS226">
        <v>1049.7989027469143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4" si="355">((DG213*$H$372)+(DH213*$I$372)+(DI213*$J$372)+(DJ213*$K$372)+(DK213*$L$372)+(DL213*$M$372)+(DM213*$N$372)+(DN213*$O$372)+(DO213*$P$372)+(DP213*$Q$372)+(DQ213*$R$372)+(DR213*$S$372)+(DS213*$T$372)+(DT213*$U$372))/SUM(DG213:DT213)</f>
        <v>0.84019953484380228</v>
      </c>
      <c r="DH226" s="205" t="e">
        <f>(LN(DG226/DG225))/(DE213-DE212)</f>
        <v>#DIV/0!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1">
        <v>221</v>
      </c>
      <c r="FZ226">
        <v>53.124323329244589</v>
      </c>
      <c r="GA226">
        <v>56.884301781812681</v>
      </c>
      <c r="GB226">
        <v>77.71206314700575</v>
      </c>
      <c r="GC226">
        <v>2.0955768247480551</v>
      </c>
      <c r="GD226">
        <v>0.219960395077124</v>
      </c>
      <c r="GE226">
        <v>0.76982619971400745</v>
      </c>
      <c r="GF226">
        <v>1.5599006953442582</v>
      </c>
      <c r="GG226">
        <v>0</v>
      </c>
      <c r="GH226">
        <v>12.08482993359531</v>
      </c>
      <c r="GI226">
        <v>62.736837875772224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17.061551816239312</v>
      </c>
      <c r="AO227">
        <v>122.06885582230568</v>
      </c>
      <c r="AP227">
        <v>875.91270260019076</v>
      </c>
      <c r="AQ227">
        <v>257.46660620473972</v>
      </c>
      <c r="AR227">
        <v>113.24821487575393</v>
      </c>
      <c r="AS227">
        <v>990.90531740188385</v>
      </c>
      <c r="AT227" t="e">
        <v>#DIV/0!</v>
      </c>
      <c r="AU227" t="e">
        <v>#DIV/0!</v>
      </c>
      <c r="AV227"/>
      <c r="AW227"/>
      <c r="DE227" s="187">
        <f>DE111</f>
        <v>39714</v>
      </c>
      <c r="DF227" s="205"/>
      <c r="DG227" s="205">
        <f t="shared" si="355"/>
        <v>2.8088787433226465</v>
      </c>
      <c r="DH227" s="205">
        <f t="shared" ref="DH227:DH234" si="356">(LN(DG227/DG226))/(DE214-DE213)</f>
        <v>2.9436615947767763E-2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1">
        <v>222</v>
      </c>
      <c r="FZ227">
        <v>31.930552309994425</v>
      </c>
      <c r="GA227">
        <v>37.680705996161748</v>
      </c>
      <c r="GB227">
        <v>62.138395244790573</v>
      </c>
      <c r="GC227">
        <v>2.8884370300543538</v>
      </c>
      <c r="GD227">
        <v>0.22337466777235199</v>
      </c>
      <c r="GE227">
        <v>0.29074249605252656</v>
      </c>
      <c r="GF227">
        <v>3.4896964258690351</v>
      </c>
      <c r="GG227">
        <v>9.3269440834606279</v>
      </c>
      <c r="GH227">
        <v>11.165776359289314</v>
      </c>
      <c r="GI227">
        <v>53.409219423142744</v>
      </c>
      <c r="GJ227"/>
      <c r="GK227"/>
      <c r="GL227"/>
      <c r="GM227"/>
    </row>
    <row r="228" spans="1:195" s="7" customFormat="1">
      <c r="A228" s="9" t="s">
        <v>60</v>
      </c>
      <c r="B228">
        <v>3.9238698273623029E-2</v>
      </c>
      <c r="C228">
        <v>6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11.983333333333333</v>
      </c>
      <c r="AO228">
        <v>81.855705062545098</v>
      </c>
      <c r="AP228">
        <v>510.65483097818958</v>
      </c>
      <c r="AQ228">
        <v>176.44102127535422</v>
      </c>
      <c r="AR228">
        <v>76.04283550498036</v>
      </c>
      <c r="AS228">
        <v>390.15935002445804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5"/>
        <v>3.4128572106810489</v>
      </c>
      <c r="DH228" s="205">
        <f t="shared" si="356"/>
        <v>5.9019530960471205E-3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1">
        <v>223</v>
      </c>
      <c r="FZ228">
        <v>19.88302093438589</v>
      </c>
      <c r="GA228">
        <v>23.150096454788788</v>
      </c>
      <c r="GB228">
        <v>54.784650379534071</v>
      </c>
      <c r="GC228">
        <v>1.6278557657852932</v>
      </c>
      <c r="GD228">
        <v>0.34497244441380825</v>
      </c>
      <c r="GE228">
        <v>0.83397167582938536</v>
      </c>
      <c r="GF228">
        <v>2.7074224659396249</v>
      </c>
      <c r="GG228">
        <v>4.3659219649103038</v>
      </c>
      <c r="GH228">
        <v>3.6144188009915013</v>
      </c>
      <c r="GI228">
        <v>48.337516036845827</v>
      </c>
      <c r="GJ228"/>
      <c r="GK228"/>
      <c r="GL228"/>
      <c r="GM228"/>
    </row>
    <row r="229" spans="1:195" s="7" customFormat="1">
      <c r="A229" s="90"/>
      <c r="B229">
        <v>0.28520894709926559</v>
      </c>
      <c r="C229">
        <v>7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9.1621527777777771</v>
      </c>
      <c r="AO229">
        <v>56.098089317361669</v>
      </c>
      <c r="AP229">
        <v>617.92544210305653</v>
      </c>
      <c r="AQ229">
        <v>168.88258663534862</v>
      </c>
      <c r="AR229">
        <v>51.990089160401247</v>
      </c>
      <c r="AS229">
        <v>346.37315831985751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5"/>
        <v>0.66635725367130128</v>
      </c>
      <c r="DH229" s="205">
        <f t="shared" si="356"/>
        <v>-5.8338541696195109E-2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1">
        <v>224</v>
      </c>
      <c r="FZ229">
        <v>38.710644217106292</v>
      </c>
      <c r="GA229">
        <v>39.317531984862853</v>
      </c>
      <c r="GB229">
        <v>29.368298185126289</v>
      </c>
      <c r="GC229">
        <v>1.1139596228105062</v>
      </c>
      <c r="GD229">
        <v>0.17077908585929019</v>
      </c>
      <c r="GE229">
        <v>0.41446923289228399</v>
      </c>
      <c r="GF229">
        <v>2.7514156391703244</v>
      </c>
      <c r="GG229">
        <v>4.5349923676595187</v>
      </c>
      <c r="GH229">
        <v>3.6144188009915013</v>
      </c>
      <c r="GI229">
        <v>32.229659395322791</v>
      </c>
      <c r="GJ229"/>
      <c r="GK229"/>
      <c r="GL229"/>
      <c r="GM229"/>
    </row>
    <row r="230" spans="1:195" s="7" customFormat="1">
      <c r="A230" s="77"/>
      <c r="B230">
        <v>0.33839512809095273</v>
      </c>
      <c r="C230">
        <v>8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16.915624999999999</v>
      </c>
      <c r="AO230">
        <v>145.42088795601433</v>
      </c>
      <c r="AP230">
        <v>954.42792682353604</v>
      </c>
      <c r="AQ230">
        <v>240.06901654522591</v>
      </c>
      <c r="AR230">
        <v>134.79659480055739</v>
      </c>
      <c r="AS230">
        <v>1185.4898205614606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5"/>
        <v>7.8778458854016451</v>
      </c>
      <c r="DH230" s="205">
        <f t="shared" si="356"/>
        <v>0.10291599321000318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1">
        <v>225</v>
      </c>
      <c r="FZ230">
        <v>29.26229319089628</v>
      </c>
      <c r="GA230">
        <v>31.21167938577436</v>
      </c>
      <c r="GB230">
        <v>91.035114926930916</v>
      </c>
      <c r="GC230">
        <v>4.3752653720433514</v>
      </c>
      <c r="GD230">
        <v>0.55394821228811242</v>
      </c>
      <c r="GE230">
        <v>0.25154869441669431</v>
      </c>
      <c r="GF230">
        <v>2.4349743283171041</v>
      </c>
      <c r="GG230">
        <v>6.7658189731511165</v>
      </c>
      <c r="GH230">
        <v>13.225583625167928</v>
      </c>
      <c r="GI230">
        <v>73.603745774203318</v>
      </c>
      <c r="GJ230"/>
      <c r="GK230"/>
      <c r="GL230"/>
      <c r="GM230"/>
    </row>
    <row r="231" spans="1:195" s="7" customFormat="1">
      <c r="A231" s="77"/>
      <c r="B231">
        <v>0.70563732081087083</v>
      </c>
      <c r="C231">
        <v>10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14.236244658119656</v>
      </c>
      <c r="AO231">
        <v>165.04604787033483</v>
      </c>
      <c r="AP231">
        <v>1221.1469658233734</v>
      </c>
      <c r="AQ231">
        <v>226.28911016880087</v>
      </c>
      <c r="AR231">
        <v>153.0549857772595</v>
      </c>
      <c r="AS231">
        <v>804.39951877679789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DE218</f>
        <v>39847</v>
      </c>
      <c r="DF231" s="205"/>
      <c r="DG231" s="205">
        <f t="shared" si="355"/>
        <v>0.33348623328454641</v>
      </c>
      <c r="DH231" s="205">
        <f t="shared" si="356"/>
        <v>-6.5879337410149244E-2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1">
        <v>226</v>
      </c>
      <c r="FZ231">
        <v>47.532452657849511</v>
      </c>
      <c r="GA231">
        <v>47.108790105347623</v>
      </c>
      <c r="GB231">
        <v>12.505634978010526</v>
      </c>
      <c r="GC231">
        <v>1.5797767772292737</v>
      </c>
      <c r="GD231">
        <v>0.37091859542585337</v>
      </c>
      <c r="GE231">
        <v>0.54276018512303981</v>
      </c>
      <c r="GF231">
        <v>1.6822582134499693</v>
      </c>
      <c r="GG231">
        <v>0</v>
      </c>
      <c r="GH231">
        <v>0</v>
      </c>
      <c r="GI231">
        <v>21.251956133286054</v>
      </c>
      <c r="GJ231"/>
      <c r="GK231"/>
      <c r="GL231"/>
      <c r="GM231"/>
    </row>
    <row r="232" spans="1:195" s="7" customFormat="1">
      <c r="A232" s="77"/>
      <c r="B232">
        <v>0.60039461708093445</v>
      </c>
      <c r="C232">
        <v>3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14.812633547008545</v>
      </c>
      <c r="AO232">
        <v>136.06852778573912</v>
      </c>
      <c r="AP232">
        <v>911.60782551193404</v>
      </c>
      <c r="AQ232">
        <v>161.56173871424645</v>
      </c>
      <c r="AR232">
        <v>126.06425130547343</v>
      </c>
      <c r="AS232">
        <v>1021.0400583849679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5"/>
        <v>0.32561800932805274</v>
      </c>
      <c r="DH232" s="205">
        <f t="shared" si="356"/>
        <v>-3.7899430466949982E-4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1">
        <v>227</v>
      </c>
      <c r="FZ232">
        <v>17.365817506571943</v>
      </c>
      <c r="GA232">
        <v>20.55117837765841</v>
      </c>
      <c r="GB232">
        <v>64.606133146565426</v>
      </c>
      <c r="GC232">
        <v>3.1256805382367738</v>
      </c>
      <c r="GD232">
        <v>0.41453726305338018</v>
      </c>
      <c r="GE232">
        <v>9.3701609150658172E-2</v>
      </c>
      <c r="GF232">
        <v>2.8072441604834548</v>
      </c>
      <c r="GG232">
        <v>6.3228068665003931</v>
      </c>
      <c r="GH232">
        <v>13.639441468708196</v>
      </c>
      <c r="GI232">
        <v>68.281601071940372</v>
      </c>
      <c r="GJ232"/>
      <c r="GK232"/>
      <c r="GL232"/>
      <c r="GM232"/>
    </row>
    <row r="233" spans="1:195" s="7" customFormat="1">
      <c r="A233" s="77"/>
      <c r="B233">
        <v>0.32892538495418044</v>
      </c>
      <c r="C233">
        <v>4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12.025133547008545</v>
      </c>
      <c r="AO233">
        <v>47.563981399960099</v>
      </c>
      <c r="AP233">
        <v>191.67396167293319</v>
      </c>
      <c r="AQ233">
        <v>160.39445052684408</v>
      </c>
      <c r="AR233">
        <v>44.301452084463804</v>
      </c>
      <c r="AS233">
        <v>458.84923947347812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5"/>
        <v>4.8405101507055246</v>
      </c>
      <c r="DH233" s="205">
        <v>1.9826E-2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1">
        <v>228</v>
      </c>
      <c r="FZ233">
        <v>25.081381633182939</v>
      </c>
      <c r="GA233">
        <v>32.752361344984351</v>
      </c>
      <c r="GB233">
        <v>32.590497053487439</v>
      </c>
      <c r="GC233">
        <v>1.458401574235584</v>
      </c>
      <c r="GD233">
        <v>0.29850212800223097</v>
      </c>
      <c r="GE233">
        <v>0.70521172894481055</v>
      </c>
      <c r="GF233">
        <v>4.4859167492036347</v>
      </c>
      <c r="GG233">
        <v>7.4827727837033464</v>
      </c>
      <c r="GH233">
        <v>9.1973069806361583</v>
      </c>
      <c r="GI233">
        <v>36.24298251997277</v>
      </c>
      <c r="GJ233"/>
      <c r="GK233"/>
      <c r="GL233"/>
      <c r="GM233"/>
    </row>
    <row r="234" spans="1:195" s="7" customFormat="1">
      <c r="A234" s="77"/>
      <c r="B234">
        <v>0.91128404788319295</v>
      </c>
      <c r="C234">
        <v>2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17.212633547008547</v>
      </c>
      <c r="AO234">
        <v>137.24825533220383</v>
      </c>
      <c r="AP234">
        <v>896.79851706897273</v>
      </c>
      <c r="AQ234">
        <v>204.20257115213712</v>
      </c>
      <c r="AR234">
        <v>127.43512046289766</v>
      </c>
      <c r="AS234">
        <v>1105.8442374595154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5"/>
        <v>1.6884214517176031</v>
      </c>
      <c r="DH234" s="205">
        <f t="shared" si="356"/>
        <v>-2.7716475737213312E-2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1">
        <v>229</v>
      </c>
      <c r="FZ234">
        <v>26.663112841497757</v>
      </c>
      <c r="GA234">
        <v>32.553542493032758</v>
      </c>
      <c r="GB234">
        <v>31.234701773557585</v>
      </c>
      <c r="GC234">
        <v>3.6095301756245455</v>
      </c>
      <c r="GD234">
        <v>0.51018888868279144</v>
      </c>
      <c r="GE234">
        <v>0.61151011979415226</v>
      </c>
      <c r="GF234">
        <v>2.5562702466380425</v>
      </c>
      <c r="GG234">
        <v>2.8193007419730334</v>
      </c>
      <c r="GH234">
        <v>11.67097209005504</v>
      </c>
      <c r="GI234">
        <v>37.991305869696113</v>
      </c>
      <c r="GJ234"/>
      <c r="GK234"/>
      <c r="GL234"/>
      <c r="GM234"/>
    </row>
    <row r="235" spans="1:195" s="7" customFormat="1">
      <c r="A235" s="77"/>
      <c r="B235">
        <v>0.53649825413821128</v>
      </c>
      <c r="C235">
        <v>2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10.295833333333333</v>
      </c>
      <c r="AO235">
        <v>65.027928632507084</v>
      </c>
      <c r="AP235">
        <v>505.90033122591001</v>
      </c>
      <c r="AQ235">
        <v>145.68017501726808</v>
      </c>
      <c r="AR235">
        <v>60.310299026436269</v>
      </c>
      <c r="AS235">
        <v>368.2974607570838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1">
        <v>230</v>
      </c>
      <c r="FZ235">
        <v>46.546133775883661</v>
      </c>
      <c r="GA235">
        <v>49.772663738931399</v>
      </c>
      <c r="GB235">
        <v>46.6246528189034</v>
      </c>
      <c r="GC235">
        <v>3.5864095803611509</v>
      </c>
      <c r="GD235">
        <v>0.54782294678662813</v>
      </c>
      <c r="GE235">
        <v>0.62272890493596655</v>
      </c>
      <c r="GF235">
        <v>2.2695360088062819</v>
      </c>
      <c r="GG235">
        <v>2.8193007419730334</v>
      </c>
      <c r="GH235">
        <v>3.6144188009915013</v>
      </c>
      <c r="GI235">
        <v>45.543434582868976</v>
      </c>
      <c r="GJ235"/>
      <c r="GK235"/>
      <c r="GL235"/>
      <c r="GM235"/>
    </row>
    <row r="236" spans="1:195" s="7" customFormat="1">
      <c r="A236" s="77"/>
      <c r="B236">
        <v>0.13528410935218993</v>
      </c>
      <c r="C236">
        <v>4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14.296100427350421</v>
      </c>
      <c r="AO236">
        <v>107.61334176989499</v>
      </c>
      <c r="AP236">
        <v>662.20395620821398</v>
      </c>
      <c r="AQ236">
        <v>178.01435682411935</v>
      </c>
      <c r="AR236">
        <v>99.880081009702479</v>
      </c>
      <c r="AS236">
        <v>947.37289726507015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1">
        <v>231</v>
      </c>
      <c r="FZ236">
        <v>23.944007059932872</v>
      </c>
      <c r="GA236">
        <v>31.758146788777132</v>
      </c>
      <c r="GB236">
        <v>38.548652292037985</v>
      </c>
      <c r="GC236">
        <v>1.607596017884823</v>
      </c>
      <c r="GD236">
        <v>0.26371971868244504</v>
      </c>
      <c r="GE236">
        <v>0.63646179427369798</v>
      </c>
      <c r="GF236">
        <v>3.3385442065674527</v>
      </c>
      <c r="GG236">
        <v>1.6593348247700803</v>
      </c>
      <c r="GH236">
        <v>4.0282766445317693</v>
      </c>
      <c r="GI236">
        <v>35.677425716515572</v>
      </c>
      <c r="GJ236"/>
      <c r="GK236"/>
      <c r="GL236"/>
      <c r="GM236"/>
    </row>
    <row r="237" spans="1:195" s="7" customFormat="1">
      <c r="A237" s="77"/>
      <c r="B237">
        <v>4.0815394103454139E-2</v>
      </c>
      <c r="C237">
        <v>10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15.707385149572653</v>
      </c>
      <c r="AO237">
        <v>128.10382441214702</v>
      </c>
      <c r="AP237">
        <v>962.40269539302119</v>
      </c>
      <c r="AQ237">
        <v>267.18762018231399</v>
      </c>
      <c r="AR237">
        <v>119.00966740302226</v>
      </c>
      <c r="AS237">
        <v>776.2532993888932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1">
        <v>232</v>
      </c>
      <c r="FZ237">
        <v>30.12868664069579</v>
      </c>
      <c r="GA237">
        <v>34.389187333685463</v>
      </c>
      <c r="GB237">
        <v>58.600172507661981</v>
      </c>
      <c r="GC237">
        <v>2.5842265292579771</v>
      </c>
      <c r="GD237">
        <v>0.27255597699018586</v>
      </c>
      <c r="GE237">
        <v>0.47358149896284452</v>
      </c>
      <c r="GF237">
        <v>5.2647543123624398</v>
      </c>
      <c r="GG237">
        <v>12.146244825433662</v>
      </c>
      <c r="GH237">
        <v>14.780195160280819</v>
      </c>
      <c r="GI237">
        <v>58.4633154030711</v>
      </c>
      <c r="GJ237"/>
      <c r="GK237"/>
      <c r="GL237"/>
      <c r="GM237"/>
    </row>
    <row r="238" spans="1:195" s="7" customFormat="1">
      <c r="A238" s="77"/>
      <c r="B238">
        <v>0.19556573984833303</v>
      </c>
      <c r="C238">
        <v>7</v>
      </c>
      <c r="D238">
        <v>39673</v>
      </c>
      <c r="E238">
        <v>0</v>
      </c>
      <c r="F238">
        <v>0</v>
      </c>
      <c r="G238">
        <v>10.416666666666666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10.416666666666666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14.190024038461535</v>
      </c>
      <c r="AO238">
        <v>113.73467575505504</v>
      </c>
      <c r="AP238">
        <v>690.95181603053106</v>
      </c>
      <c r="AQ238">
        <v>212.5438440365877</v>
      </c>
      <c r="AR238">
        <v>105.41960127535367</v>
      </c>
      <c r="AS238">
        <v>652.75331478864518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1">
        <v>233</v>
      </c>
      <c r="FZ238">
        <v>35.51605154135882</v>
      </c>
      <c r="GA238">
        <v>40.029985151141787</v>
      </c>
      <c r="GB238">
        <v>20.195671038537906</v>
      </c>
      <c r="GC238">
        <v>1.0740162173540451</v>
      </c>
      <c r="GD238">
        <v>0.2253823806896369</v>
      </c>
      <c r="GE238">
        <v>0.31112995514107378</v>
      </c>
      <c r="GF238">
        <v>1.9961754993581731</v>
      </c>
      <c r="GG238">
        <v>5.936151560766076</v>
      </c>
      <c r="GH238">
        <v>9.1973069806361583</v>
      </c>
      <c r="GI238">
        <v>27.740203328569727</v>
      </c>
      <c r="GJ238"/>
      <c r="GK238"/>
      <c r="GL238"/>
      <c r="GM238"/>
    </row>
    <row r="239" spans="1:195" s="7" customFormat="1">
      <c r="A239" s="77" t="s">
        <v>61</v>
      </c>
      <c r="B239">
        <v>0.54481738942927582</v>
      </c>
      <c r="C239">
        <v>8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10.416666666666666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13.702216880341879</v>
      </c>
      <c r="AO239">
        <v>92.302811734036453</v>
      </c>
      <c r="AP239">
        <v>795.22176670850342</v>
      </c>
      <c r="AQ239">
        <v>159.64984692342449</v>
      </c>
      <c r="AR239">
        <v>85.599220009293944</v>
      </c>
      <c r="AS239">
        <v>656.6736299406839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FY239" s="211">
        <v>234</v>
      </c>
      <c r="FZ239">
        <v>49.145314125282184</v>
      </c>
      <c r="GA239">
        <v>54.573796184029185</v>
      </c>
      <c r="GB239">
        <v>56.393052967329552</v>
      </c>
      <c r="GC239">
        <v>4.8000428234206147</v>
      </c>
      <c r="GD239">
        <v>0.51289988148904786</v>
      </c>
      <c r="GE239">
        <v>0.61151011979415226</v>
      </c>
      <c r="GF239">
        <v>3.8726667335148357</v>
      </c>
      <c r="GG239">
        <v>9.4002832401369503</v>
      </c>
      <c r="GH239">
        <v>10.843256402974506</v>
      </c>
      <c r="GI239">
        <v>54.224283827927621</v>
      </c>
      <c r="GJ239"/>
      <c r="GK239"/>
      <c r="GL239"/>
      <c r="GM239"/>
    </row>
    <row r="240" spans="1:195" s="7" customFormat="1">
      <c r="A240" s="77" t="s">
        <v>62</v>
      </c>
      <c r="B240">
        <v>0.34849127966133153</v>
      </c>
      <c r="C240">
        <v>8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10.416666666666666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10.65186965811966</v>
      </c>
      <c r="AO240">
        <v>62.654825333234307</v>
      </c>
      <c r="AP240">
        <v>488.31816753868168</v>
      </c>
      <c r="AQ240">
        <v>152.22616853180165</v>
      </c>
      <c r="AR240">
        <v>58.08056214518821</v>
      </c>
      <c r="AS240">
        <v>484.9879493471941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FY240" s="211">
        <v>235</v>
      </c>
      <c r="FZ240">
        <v>40.392584454238573</v>
      </c>
      <c r="GA240">
        <v>46.614787388181298</v>
      </c>
      <c r="GB240">
        <v>57.001230138395911</v>
      </c>
      <c r="GC240">
        <v>2.6346901936044924</v>
      </c>
      <c r="GD240">
        <v>0.29579113519597461</v>
      </c>
      <c r="GE240">
        <v>0.18740321830131634</v>
      </c>
      <c r="GF240">
        <v>2.2695360088062819</v>
      </c>
      <c r="GG240">
        <v>5.8797947598496716</v>
      </c>
      <c r="GH240">
        <v>13.225583625167928</v>
      </c>
      <c r="GI240">
        <v>51.692645144728317</v>
      </c>
      <c r="GJ240"/>
      <c r="GK240"/>
      <c r="GL240"/>
      <c r="GM240"/>
    </row>
    <row r="241" spans="1:195" s="7" customFormat="1">
      <c r="A241" s="77"/>
      <c r="B241">
        <v>0.94164927992989034</v>
      </c>
      <c r="C241">
        <v>7</v>
      </c>
      <c r="D241">
        <v>39673</v>
      </c>
      <c r="E241">
        <v>0</v>
      </c>
      <c r="F241">
        <v>0</v>
      </c>
      <c r="G241">
        <v>10.416666666666666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10.416666666666666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17.161458333333336</v>
      </c>
      <c r="AO241">
        <v>104.30906293362698</v>
      </c>
      <c r="AP241">
        <v>651.38408772711136</v>
      </c>
      <c r="AQ241">
        <v>252.71997248318917</v>
      </c>
      <c r="AR241">
        <v>96.786544929015434</v>
      </c>
      <c r="AS241">
        <v>698.1057218827857</v>
      </c>
      <c r="AT241" t="e">
        <v>#DIV/0!</v>
      </c>
      <c r="AU241" t="e">
        <v>#DIV/0!</v>
      </c>
      <c r="AV241"/>
      <c r="AW241"/>
      <c r="FY241" s="211">
        <v>236</v>
      </c>
      <c r="FZ241">
        <v>17.245892074405585</v>
      </c>
      <c r="GA241">
        <v>22.085209247449797</v>
      </c>
      <c r="GB241">
        <v>63.238891718430651</v>
      </c>
      <c r="GC241">
        <v>1.7485014217956931</v>
      </c>
      <c r="GD241">
        <v>0.17349007866554661</v>
      </c>
      <c r="GE241">
        <v>0.3253318391326242</v>
      </c>
      <c r="GF241">
        <v>0.90356987825034829</v>
      </c>
      <c r="GG241">
        <v>8.1839605220175926</v>
      </c>
      <c r="GH241">
        <v>18.485951848497773</v>
      </c>
      <c r="GI241">
        <v>48.231055506770794</v>
      </c>
      <c r="GJ241"/>
      <c r="GK241"/>
      <c r="GL241"/>
      <c r="GM241"/>
    </row>
    <row r="242" spans="1:195" s="7" customFormat="1">
      <c r="A242" s="1"/>
      <c r="B242">
        <v>0.81928533347266042</v>
      </c>
      <c r="C242">
        <v>8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10.416666666666666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7.0199652777777768</v>
      </c>
      <c r="AO242">
        <v>29.750965272438911</v>
      </c>
      <c r="AP242">
        <v>176.32064490581806</v>
      </c>
      <c r="AQ242">
        <v>132.57454764572185</v>
      </c>
      <c r="AR242">
        <v>27.512634222834091</v>
      </c>
      <c r="AS242">
        <v>178.70785627305295</v>
      </c>
      <c r="AT242" t="e">
        <v>#DIV/0!</v>
      </c>
      <c r="AU242" t="e">
        <v>#DIV/0!</v>
      </c>
      <c r="AV242"/>
      <c r="AW242"/>
      <c r="BI242" s="162"/>
      <c r="FY242" s="211">
        <v>237</v>
      </c>
      <c r="FZ242">
        <v>37.844250767306782</v>
      </c>
      <c r="GA242">
        <v>44.330684773426654</v>
      </c>
      <c r="GB242">
        <v>64.387464401883307</v>
      </c>
      <c r="GC242">
        <v>1.5809864500052107</v>
      </c>
      <c r="GD242">
        <v>0.39686474643789854</v>
      </c>
      <c r="GE242">
        <v>0.4740102504519273</v>
      </c>
      <c r="GF242">
        <v>2.6122479959103573</v>
      </c>
      <c r="GG242">
        <v>8.2560833951719808</v>
      </c>
      <c r="GH242">
        <v>9.1973069806361583</v>
      </c>
      <c r="GI242">
        <v>56.435798496130666</v>
      </c>
      <c r="GJ242"/>
      <c r="GK242"/>
      <c r="GL242"/>
      <c r="GM242"/>
    </row>
    <row r="243" spans="1:195" s="7" customFormat="1">
      <c r="A243" s="1"/>
      <c r="B243">
        <v>0.37291658708773578</v>
      </c>
      <c r="C243">
        <v>3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16.759682158119656</v>
      </c>
      <c r="AO243">
        <v>98.069719928471017</v>
      </c>
      <c r="AP243">
        <v>447.93735203924564</v>
      </c>
      <c r="AQ243">
        <v>197.208142008869</v>
      </c>
      <c r="AR243">
        <v>91.063708594443384</v>
      </c>
      <c r="AS243">
        <v>962.35904887465676</v>
      </c>
      <c r="AT243" t="e">
        <v>#DIV/0!</v>
      </c>
      <c r="AU243" t="e">
        <v>#DIV/0!</v>
      </c>
      <c r="AV243"/>
      <c r="AW243"/>
      <c r="FY243" s="211">
        <v>238</v>
      </c>
      <c r="FZ243">
        <v>47.412527225683164</v>
      </c>
      <c r="GA243">
        <v>55.209857214427245</v>
      </c>
      <c r="GB243">
        <v>24.268057612426109</v>
      </c>
      <c r="GC243">
        <v>1.3049619404661374</v>
      </c>
      <c r="GD243">
        <v>0.2226713878833804</v>
      </c>
      <c r="GE243">
        <v>0.64609946287425002</v>
      </c>
      <c r="GF243">
        <v>2.4897412498454616</v>
      </c>
      <c r="GG243">
        <v>6.6531053713183059</v>
      </c>
      <c r="GH243">
        <v>17.253860269699697</v>
      </c>
      <c r="GI243">
        <v>27.372324703283837</v>
      </c>
      <c r="GJ243"/>
      <c r="GK243"/>
      <c r="GL243"/>
      <c r="GM243"/>
    </row>
    <row r="244" spans="1:195" s="7" customFormat="1">
      <c r="A244" s="1"/>
      <c r="B244">
        <v>4.1976962309104637E-2</v>
      </c>
      <c r="C244">
        <v>7</v>
      </c>
      <c r="D244">
        <v>39673</v>
      </c>
      <c r="E244">
        <v>0</v>
      </c>
      <c r="F244">
        <v>0</v>
      </c>
      <c r="G244">
        <v>10.416666666666666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10.416666666666666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11.985937499999999</v>
      </c>
      <c r="AO244">
        <v>91.115028804603526</v>
      </c>
      <c r="AP244">
        <v>875.08578396509438</v>
      </c>
      <c r="AQ244">
        <v>150.29533449635323</v>
      </c>
      <c r="AR244">
        <v>84.395829205619989</v>
      </c>
      <c r="AS244">
        <v>697.22804149069748</v>
      </c>
      <c r="AT244" t="e">
        <v>#DIV/0!</v>
      </c>
      <c r="AU244" t="e">
        <v>#DIV/0!</v>
      </c>
      <c r="AV244"/>
      <c r="AW244"/>
      <c r="FY244" s="211">
        <v>239</v>
      </c>
      <c r="FZ244">
        <v>48.158995243316305</v>
      </c>
      <c r="GA244">
        <v>53.142339449375484</v>
      </c>
      <c r="GB244">
        <v>44.28184285254541</v>
      </c>
      <c r="GC244">
        <v>4.2207647559040939</v>
      </c>
      <c r="GD244">
        <v>0.78545585847923372</v>
      </c>
      <c r="GE244">
        <v>0.8635278088646654</v>
      </c>
      <c r="GF244">
        <v>2.7773878595028108</v>
      </c>
      <c r="GG244">
        <v>7.9821416912704741</v>
      </c>
      <c r="GH244">
        <v>12.811725781627663</v>
      </c>
      <c r="GI244">
        <v>53.604115701093022</v>
      </c>
      <c r="GJ244"/>
      <c r="GK244"/>
      <c r="GL244"/>
      <c r="GM244"/>
    </row>
    <row r="245" spans="1:195" s="7" customFormat="1">
      <c r="A245" s="1"/>
      <c r="B245">
        <v>9.5550552319227933E-2</v>
      </c>
      <c r="C245">
        <v>9</v>
      </c>
      <c r="D245">
        <v>39673</v>
      </c>
      <c r="E245">
        <v>0</v>
      </c>
      <c r="F245">
        <v>0</v>
      </c>
      <c r="G245">
        <v>0</v>
      </c>
      <c r="H245">
        <v>20.833333333333332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15.560763888888889</v>
      </c>
      <c r="AO245">
        <v>135.84637413148567</v>
      </c>
      <c r="AP245">
        <v>1045.735293976144</v>
      </c>
      <c r="AQ245">
        <v>150.22043524055181</v>
      </c>
      <c r="AR245">
        <v>126.1269441032555</v>
      </c>
      <c r="AS245">
        <v>974.54101705507696</v>
      </c>
      <c r="AT245" t="e">
        <v>#DIV/0!</v>
      </c>
      <c r="AU245" t="e">
        <v>#DIV/0!</v>
      </c>
      <c r="AV245"/>
      <c r="AW245"/>
      <c r="FY245" s="211">
        <v>240</v>
      </c>
      <c r="FZ245">
        <v>53.244248761410937</v>
      </c>
      <c r="GA245">
        <v>59.445601280258728</v>
      </c>
      <c r="GB245">
        <v>34.313505016665111</v>
      </c>
      <c r="GC245">
        <v>1.4711885340511679</v>
      </c>
      <c r="GD245">
        <v>0.21724940227086764</v>
      </c>
      <c r="GE245">
        <v>1.0310125627312536</v>
      </c>
      <c r="GF245">
        <v>3.5848708958983027</v>
      </c>
      <c r="GG245">
        <v>8.4972766710755856</v>
      </c>
      <c r="GH245">
        <v>11.165776359289314</v>
      </c>
      <c r="GI245">
        <v>40.307753400481978</v>
      </c>
      <c r="GJ245"/>
      <c r="GK245"/>
      <c r="GL245"/>
      <c r="GM245"/>
    </row>
    <row r="246" spans="1:195" s="7" customFormat="1">
      <c r="A246" s="1"/>
      <c r="B246">
        <v>0.34565362916833831</v>
      </c>
      <c r="C246">
        <v>3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13.977256944444443</v>
      </c>
      <c r="AO246">
        <v>102.26011916686409</v>
      </c>
      <c r="AP246">
        <v>745.44553985090113</v>
      </c>
      <c r="AQ246">
        <v>201.94710190044199</v>
      </c>
      <c r="AR246">
        <v>94.759412625172956</v>
      </c>
      <c r="AS246">
        <v>591.17080642353255</v>
      </c>
      <c r="AT246" t="e">
        <v>#DIV/0!</v>
      </c>
      <c r="AU246" t="e">
        <v>#DIV/0!</v>
      </c>
      <c r="AV246"/>
      <c r="AW246"/>
      <c r="FY246" s="211">
        <v>241</v>
      </c>
      <c r="FZ246">
        <v>31.146135781779495</v>
      </c>
      <c r="GA246">
        <v>37.341473446616114</v>
      </c>
      <c r="GB246">
        <v>35.545392977818658</v>
      </c>
      <c r="GC246">
        <v>1.3347204008809135</v>
      </c>
      <c r="GD246">
        <v>0.14483293484724508</v>
      </c>
      <c r="GE246">
        <v>0.31112995514107378</v>
      </c>
      <c r="GF246">
        <v>3.1210122184324742</v>
      </c>
      <c r="GG246">
        <v>9.6414765160405551</v>
      </c>
      <c r="GH246">
        <v>16.840002426159433</v>
      </c>
      <c r="GI246">
        <v>37.93151486232172</v>
      </c>
      <c r="GJ246"/>
      <c r="GK246"/>
      <c r="GL246"/>
      <c r="GM246"/>
    </row>
    <row r="247" spans="1:195" s="7" customFormat="1">
      <c r="A247" s="77" t="s">
        <v>61</v>
      </c>
      <c r="B247">
        <v>0.7810181323570109</v>
      </c>
      <c r="C247">
        <v>4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9.4862045940170923</v>
      </c>
      <c r="AO247">
        <v>82.077280200814641</v>
      </c>
      <c r="AP247">
        <v>910.26951882256299</v>
      </c>
      <c r="AQ247">
        <v>141.46216506397383</v>
      </c>
      <c r="AR247">
        <v>76.106048403669007</v>
      </c>
      <c r="AS247">
        <v>382.12937764466471</v>
      </c>
      <c r="AT247" t="e">
        <v>#DIV/0!</v>
      </c>
      <c r="AU247" t="e">
        <v>#DIV/0!</v>
      </c>
      <c r="AV247"/>
      <c r="AW247"/>
      <c r="FY247" s="211">
        <v>242</v>
      </c>
      <c r="FZ247">
        <v>18.827623282720403</v>
      </c>
      <c r="GA247">
        <v>22.310431082430249</v>
      </c>
      <c r="GB247">
        <v>49.862315268600014</v>
      </c>
      <c r="GC247">
        <v>2.8566606444508365</v>
      </c>
      <c r="GD247">
        <v>0.15366919315498587</v>
      </c>
      <c r="GE247">
        <v>0.19704088690186838</v>
      </c>
      <c r="GF247">
        <v>1.5339284750117725</v>
      </c>
      <c r="GG247">
        <v>6.7658189731511165</v>
      </c>
      <c r="GH247">
        <v>13.225583625167928</v>
      </c>
      <c r="GI247">
        <v>37.161441196001277</v>
      </c>
      <c r="GJ247"/>
      <c r="GK247"/>
      <c r="GL247"/>
      <c r="GM247"/>
    </row>
    <row r="248" spans="1:195" s="7" customFormat="1">
      <c r="A248" s="77" t="s">
        <v>62</v>
      </c>
      <c r="B248">
        <v>0.3682529299721935</v>
      </c>
      <c r="C248">
        <v>2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10.416666666666666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16.88221153846154</v>
      </c>
      <c r="AO248">
        <v>148.57062614418174</v>
      </c>
      <c r="AP248">
        <v>1065.4691887520696</v>
      </c>
      <c r="AQ248">
        <v>217.10292018840224</v>
      </c>
      <c r="AR248">
        <v>137.72313607238871</v>
      </c>
      <c r="AS248">
        <v>929.16921748660513</v>
      </c>
      <c r="AT248" t="e">
        <v>#DIV/0!</v>
      </c>
      <c r="AU248" t="e">
        <v>#DIV/0!</v>
      </c>
      <c r="AV248"/>
      <c r="AW248"/>
      <c r="FY248" s="211">
        <v>243</v>
      </c>
      <c r="FZ248">
        <v>52.679966694179825</v>
      </c>
      <c r="GA248">
        <v>58.077335189971478</v>
      </c>
      <c r="GB248">
        <v>29.034143585566412</v>
      </c>
      <c r="GC248">
        <v>2.5815930777306928</v>
      </c>
      <c r="GD248">
        <v>0.45217132115721681</v>
      </c>
      <c r="GE248">
        <v>0.87269648281139856</v>
      </c>
      <c r="GF248">
        <v>4.3635592310979234</v>
      </c>
      <c r="GG248">
        <v>12.589256932084382</v>
      </c>
      <c r="GH248">
        <v>18.394613961272317</v>
      </c>
      <c r="GI248">
        <v>42.203182628220425</v>
      </c>
      <c r="GJ248"/>
      <c r="GK248"/>
      <c r="GL248"/>
      <c r="GM248"/>
    </row>
    <row r="249" spans="1:195" s="7" customFormat="1">
      <c r="A249" s="1"/>
      <c r="B249">
        <v>0.47015672388093099</v>
      </c>
      <c r="C249">
        <v>8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10.416666666666666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11.065064102564103</v>
      </c>
      <c r="AO249">
        <v>86.037067421220172</v>
      </c>
      <c r="AP249">
        <v>438.88099412977874</v>
      </c>
      <c r="AQ249">
        <v>142.22207365355339</v>
      </c>
      <c r="AR249">
        <v>79.755066144522132</v>
      </c>
      <c r="AS249">
        <v>802.24877093930604</v>
      </c>
      <c r="AT249" t="e">
        <v>#DIV/0!</v>
      </c>
      <c r="AU249" t="e">
        <v>#DIV/0!</v>
      </c>
      <c r="AV249"/>
      <c r="AW249"/>
      <c r="FY249" s="211">
        <v>244</v>
      </c>
      <c r="FZ249">
        <v>19.845072423804108</v>
      </c>
      <c r="GA249">
        <v>20.955366483657421</v>
      </c>
      <c r="GB249">
        <v>30.329710938730095</v>
      </c>
      <c r="GC249">
        <v>1.5146948513206773</v>
      </c>
      <c r="GD249">
        <v>0.14754392765350149</v>
      </c>
      <c r="GE249">
        <v>0.70521172894481055</v>
      </c>
      <c r="GF249">
        <v>4.8985941298708955</v>
      </c>
      <c r="GG249">
        <v>8.3687969970047913</v>
      </c>
      <c r="GH249">
        <v>9.1973069806361583</v>
      </c>
      <c r="GI249">
        <v>28.813554342638213</v>
      </c>
      <c r="GJ249"/>
      <c r="GK249"/>
      <c r="GL249"/>
      <c r="GM249"/>
    </row>
    <row r="250" spans="1:195" s="7" customFormat="1">
      <c r="A250" s="1"/>
      <c r="B250">
        <v>0.71578328555594095</v>
      </c>
      <c r="C250">
        <v>8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10.416666666666666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19.960897435897429</v>
      </c>
      <c r="AO250">
        <v>157.13824576108266</v>
      </c>
      <c r="AP250">
        <v>1184.3080806599364</v>
      </c>
      <c r="AQ250">
        <v>244.37710630589865</v>
      </c>
      <c r="AR250">
        <v>145.71506506340671</v>
      </c>
      <c r="AS250">
        <v>1169.0756550401577</v>
      </c>
      <c r="AT250" t="e">
        <v>#DIV/0!</v>
      </c>
      <c r="AU250" t="e">
        <v>#DIV/0!</v>
      </c>
      <c r="AV250"/>
      <c r="AW250"/>
      <c r="FY250" s="211">
        <v>245</v>
      </c>
      <c r="FZ250">
        <v>39.42598197562161</v>
      </c>
      <c r="GA250">
        <v>50.274861473831251</v>
      </c>
      <c r="GB250">
        <v>39.738584961737246</v>
      </c>
      <c r="GC250">
        <v>2.3183555280072037</v>
      </c>
      <c r="GD250">
        <v>0.24048456047665634</v>
      </c>
      <c r="GE250">
        <v>0.83397167582938536</v>
      </c>
      <c r="GF250">
        <v>3.8879384783678712</v>
      </c>
      <c r="GG250">
        <v>3.1495992467909466</v>
      </c>
      <c r="GH250">
        <v>8.0565532890635385</v>
      </c>
      <c r="GI250">
        <v>37.799094097852375</v>
      </c>
      <c r="GJ250"/>
      <c r="GK250"/>
      <c r="GL250"/>
      <c r="GM250"/>
    </row>
    <row r="251" spans="1:195" s="7" customFormat="1">
      <c r="A251" s="1"/>
      <c r="B251">
        <v>0.76450391591711764</v>
      </c>
      <c r="C251">
        <v>6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16.224131944444444</v>
      </c>
      <c r="AO251">
        <v>132.72396586393401</v>
      </c>
      <c r="AP251">
        <v>897.11673443323923</v>
      </c>
      <c r="AQ251">
        <v>220.19404606646975</v>
      </c>
      <c r="AR251">
        <v>123.10058638616269</v>
      </c>
      <c r="AS251">
        <v>1011.9450657134472</v>
      </c>
      <c r="AT251" t="e">
        <v>#DIV/0!</v>
      </c>
      <c r="AU251" t="e">
        <v>#DIV/0!</v>
      </c>
      <c r="AV251"/>
      <c r="AW251"/>
      <c r="FY251" s="211">
        <v>246</v>
      </c>
      <c r="FZ251">
        <v>37.693195076022597</v>
      </c>
      <c r="GA251">
        <v>38.412911056050945</v>
      </c>
      <c r="GB251">
        <v>55.479732794154174</v>
      </c>
      <c r="GC251">
        <v>2.4448975487247981</v>
      </c>
      <c r="GD251">
        <v>0.39144276082538576</v>
      </c>
      <c r="GE251">
        <v>0.44445411741664692</v>
      </c>
      <c r="GF251">
        <v>0.71215933840703993</v>
      </c>
      <c r="GG251">
        <v>5.8797947598496716</v>
      </c>
      <c r="GH251">
        <v>13.225583625167928</v>
      </c>
      <c r="GI251">
        <v>53.420787847771649</v>
      </c>
      <c r="GJ251"/>
      <c r="GK251"/>
      <c r="GL251"/>
      <c r="GM251"/>
    </row>
    <row r="252" spans="1:195" s="7" customFormat="1">
      <c r="A252" s="1"/>
      <c r="B252">
        <v>0.46852988292882913</v>
      </c>
      <c r="C252">
        <v>1</v>
      </c>
      <c r="D252">
        <v>39714</v>
      </c>
      <c r="E252">
        <v>0</v>
      </c>
      <c r="F252">
        <v>0</v>
      </c>
      <c r="G252">
        <v>0</v>
      </c>
      <c r="H252">
        <v>20.833333333333332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10.416666666666666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13.953084935897433</v>
      </c>
      <c r="AO252">
        <v>125.4330576150018</v>
      </c>
      <c r="AP252">
        <v>947.73226123961217</v>
      </c>
      <c r="AQ252">
        <v>180.62185413541641</v>
      </c>
      <c r="AR252">
        <v>116.3814505665748</v>
      </c>
      <c r="AS252">
        <v>746.91794344393838</v>
      </c>
      <c r="AT252" t="e">
        <v>#DIV/0!</v>
      </c>
      <c r="AU252" t="e">
        <v>#DIV/0!</v>
      </c>
      <c r="AV252"/>
      <c r="AW252"/>
      <c r="FY252" s="211">
        <v>247</v>
      </c>
      <c r="FZ252">
        <v>12.913924825408044</v>
      </c>
      <c r="GA252">
        <v>17.708117489284056</v>
      </c>
      <c r="GB252">
        <v>19.893416206695203</v>
      </c>
      <c r="GC252">
        <v>2.0343441257746973</v>
      </c>
      <c r="GD252">
        <v>0.2493208187843971</v>
      </c>
      <c r="GE252">
        <v>0.32029862908780687</v>
      </c>
      <c r="GF252">
        <v>4.7333050383192576</v>
      </c>
      <c r="GG252">
        <v>10.117237050689182</v>
      </c>
      <c r="GH252">
        <v>14.871533047506276</v>
      </c>
      <c r="GI252">
        <v>27.187320440308067</v>
      </c>
      <c r="GJ252"/>
      <c r="GK252"/>
      <c r="GL252"/>
      <c r="GM252"/>
    </row>
    <row r="253" spans="1:195" s="7" customFormat="1">
      <c r="A253" s="1"/>
      <c r="B253">
        <v>0.18750557845662263</v>
      </c>
      <c r="C253">
        <v>4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12.821875</v>
      </c>
      <c r="AO253">
        <v>57.095215658861036</v>
      </c>
      <c r="AP253">
        <v>567.97627042080296</v>
      </c>
      <c r="AQ253">
        <v>225.51569825736095</v>
      </c>
      <c r="AR253">
        <v>52.93567959197437</v>
      </c>
      <c r="AS253">
        <v>349.20078856954484</v>
      </c>
      <c r="AT253" t="e">
        <v>#DIV/0!</v>
      </c>
      <c r="AU253" t="e">
        <v>#DIV/0!</v>
      </c>
      <c r="AV253"/>
      <c r="AW253"/>
      <c r="FY253" s="211">
        <v>248</v>
      </c>
      <c r="FZ253">
        <v>21.495882401818548</v>
      </c>
      <c r="GA253">
        <v>32.662767717589055</v>
      </c>
      <c r="GB253">
        <v>45.589832732122375</v>
      </c>
      <c r="GC253">
        <v>1.7113054885112631</v>
      </c>
      <c r="GD253">
        <v>0.29850212800223097</v>
      </c>
      <c r="GE253">
        <v>0.77899487366074038</v>
      </c>
      <c r="GF253">
        <v>3.1199506186477013</v>
      </c>
      <c r="GG253">
        <v>9.7699561901113494</v>
      </c>
      <c r="GH253">
        <v>18.808471804812587</v>
      </c>
      <c r="GI253">
        <v>44.423777998917011</v>
      </c>
      <c r="GJ253"/>
      <c r="GK253"/>
      <c r="GL253"/>
      <c r="GM253"/>
    </row>
    <row r="254" spans="1:195" s="7" customFormat="1">
      <c r="A254" s="1"/>
      <c r="B254">
        <v>0.96918903718873928</v>
      </c>
      <c r="C254">
        <v>3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11.614409722222222</v>
      </c>
      <c r="AO254">
        <v>87.282525488207483</v>
      </c>
      <c r="AP254">
        <v>695.03791521021071</v>
      </c>
      <c r="AQ254">
        <v>182.83320643790756</v>
      </c>
      <c r="AR254">
        <v>81.060467457552406</v>
      </c>
      <c r="AS254">
        <v>666.88110826442369</v>
      </c>
      <c r="AT254" t="e">
        <v>#DIV/0!</v>
      </c>
      <c r="AU254" t="e">
        <v>#DIV/0!</v>
      </c>
      <c r="AV254"/>
      <c r="AW254"/>
      <c r="FY254" s="211">
        <v>249</v>
      </c>
      <c r="FZ254">
        <v>52.138004447278711</v>
      </c>
      <c r="GA254">
        <v>57.500510231277701</v>
      </c>
      <c r="GB254">
        <v>38.945497307945935</v>
      </c>
      <c r="GC254">
        <v>2.5263293462620267</v>
      </c>
      <c r="GD254">
        <v>0.20013950956656326</v>
      </c>
      <c r="GE254">
        <v>9.3701609150658172E-2</v>
      </c>
      <c r="GF254">
        <v>1.7119652864714288</v>
      </c>
      <c r="GG254">
        <v>4.921647673393835</v>
      </c>
      <c r="GH254">
        <v>7.2288376019830025</v>
      </c>
      <c r="GI254">
        <v>41.42248257607757</v>
      </c>
      <c r="GJ254"/>
      <c r="GK254"/>
      <c r="GL254"/>
      <c r="GM254"/>
    </row>
    <row r="255" spans="1:195" s="7" customFormat="1">
      <c r="A255" s="1"/>
      <c r="B255">
        <v>0.58522778015419363</v>
      </c>
      <c r="C255">
        <v>1</v>
      </c>
      <c r="D255">
        <v>39714</v>
      </c>
      <c r="E255">
        <v>0</v>
      </c>
      <c r="F255">
        <v>0</v>
      </c>
      <c r="G255">
        <v>0</v>
      </c>
      <c r="H255">
        <v>20.833333333333332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10.416666666666666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16.964062499999997</v>
      </c>
      <c r="AO255">
        <v>84.923922752458992</v>
      </c>
      <c r="AP255">
        <v>558.77078863278257</v>
      </c>
      <c r="AQ255">
        <v>228.62829700197921</v>
      </c>
      <c r="AR255">
        <v>78.681030510414161</v>
      </c>
      <c r="AS255">
        <v>498.15397548851058</v>
      </c>
      <c r="AT255" t="e">
        <v>#DIV/0!</v>
      </c>
      <c r="AU255" t="e">
        <v>#DIV/0!</v>
      </c>
      <c r="AV255"/>
      <c r="AW255"/>
      <c r="FY255" s="211">
        <v>250</v>
      </c>
      <c r="FZ255">
        <v>55.572447987358906</v>
      </c>
      <c r="GA255">
        <v>53.932015668882016</v>
      </c>
      <c r="GB255">
        <v>68.852842508378188</v>
      </c>
      <c r="GC255">
        <v>2.0294653532230318</v>
      </c>
      <c r="GD255">
        <v>0.27526696979644222</v>
      </c>
      <c r="GE255">
        <v>0.64609946287425002</v>
      </c>
      <c r="GF255">
        <v>2.9319764755749977</v>
      </c>
      <c r="GG255">
        <v>4.7198288426467183</v>
      </c>
      <c r="GH255">
        <v>9.6111648241764271</v>
      </c>
      <c r="GI255">
        <v>65.86204475099558</v>
      </c>
      <c r="GJ255"/>
      <c r="GK255"/>
      <c r="GL255"/>
      <c r="GM255"/>
    </row>
    <row r="256" spans="1:195" s="7" customFormat="1">
      <c r="A256" s="1"/>
      <c r="B256">
        <v>0.7002045852057055</v>
      </c>
      <c r="C256">
        <v>1</v>
      </c>
      <c r="D256">
        <v>39714</v>
      </c>
      <c r="E256">
        <v>0</v>
      </c>
      <c r="F256">
        <v>0</v>
      </c>
      <c r="G256">
        <v>0</v>
      </c>
      <c r="H256">
        <v>20.833333333333332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10.416666666666666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15.331690705128205</v>
      </c>
      <c r="AO256">
        <v>119.86994159751809</v>
      </c>
      <c r="AP256">
        <v>863.90588695691895</v>
      </c>
      <c r="AQ256">
        <v>213.27848288413327</v>
      </c>
      <c r="AR256">
        <v>111.11437524303285</v>
      </c>
      <c r="AS256">
        <v>971.06852167772831</v>
      </c>
      <c r="AT256" t="e">
        <v>#DIV/0!</v>
      </c>
      <c r="AU256" t="e">
        <v>#DIV/0!</v>
      </c>
      <c r="AV256"/>
      <c r="AW256"/>
      <c r="FY256" s="211">
        <v>251</v>
      </c>
      <c r="FZ256">
        <v>44.098009117769323</v>
      </c>
      <c r="GA256">
        <v>47.21801532990392</v>
      </c>
      <c r="GB256">
        <v>69.342544450145269</v>
      </c>
      <c r="GC256">
        <v>0.57594255153911289</v>
      </c>
      <c r="GD256">
        <v>0.17077908585929019</v>
      </c>
      <c r="GE256">
        <v>0.64609946287425002</v>
      </c>
      <c r="GF256">
        <v>2.4636198015537913</v>
      </c>
      <c r="GG256">
        <v>6.7094621722347103</v>
      </c>
      <c r="GH256">
        <v>13.225583625167928</v>
      </c>
      <c r="GI256">
        <v>60.211547510609307</v>
      </c>
      <c r="GJ256"/>
      <c r="GK256"/>
      <c r="GL256"/>
      <c r="GM256"/>
    </row>
    <row r="257" spans="1:195" s="7" customFormat="1">
      <c r="A257" s="1"/>
      <c r="B257">
        <v>0.47364373815980643</v>
      </c>
      <c r="C257">
        <v>8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10.416666666666666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11.573010149572649</v>
      </c>
      <c r="AO257">
        <v>86.642754028234066</v>
      </c>
      <c r="AP257">
        <v>637.87890730587628</v>
      </c>
      <c r="AQ257">
        <v>173.35769152003769</v>
      </c>
      <c r="AR257">
        <v>80.353636631338986</v>
      </c>
      <c r="AS257">
        <v>617.96047756409416</v>
      </c>
      <c r="AT257" t="e">
        <v>#DIV/0!</v>
      </c>
      <c r="AU257" t="e">
        <v>#DIV/0!</v>
      </c>
      <c r="AV257"/>
      <c r="AW257"/>
      <c r="FY257" s="211">
        <v>252</v>
      </c>
      <c r="FZ257">
        <v>60.839887455855589</v>
      </c>
      <c r="GA257">
        <v>61.106844356129741</v>
      </c>
      <c r="GB257">
        <v>58.881531668692176</v>
      </c>
      <c r="GC257">
        <v>2.0564416717043983</v>
      </c>
      <c r="GD257">
        <v>0.26371971868244504</v>
      </c>
      <c r="GE257">
        <v>0.8635278088646654</v>
      </c>
      <c r="GF257">
        <v>2.5562702466380425</v>
      </c>
      <c r="GG257">
        <v>7.9257848903540697</v>
      </c>
      <c r="GH257">
        <v>20.868279070691202</v>
      </c>
      <c r="GI257">
        <v>56.422181774943816</v>
      </c>
      <c r="GJ257"/>
      <c r="GK257"/>
      <c r="GL257"/>
      <c r="GM257"/>
    </row>
    <row r="258" spans="1:195" s="7" customFormat="1">
      <c r="A258" s="1"/>
      <c r="B258">
        <v>6.9653872904057224E-2</v>
      </c>
      <c r="C258">
        <v>9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10.491452991452991</v>
      </c>
      <c r="AO258">
        <v>110.35832351527677</v>
      </c>
      <c r="AP258">
        <v>743.23284357459727</v>
      </c>
      <c r="AQ258">
        <v>152.89451262759047</v>
      </c>
      <c r="AR258">
        <v>102.44233381312148</v>
      </c>
      <c r="AS258">
        <v>484.96792734781798</v>
      </c>
      <c r="AT258" t="e">
        <v>#DIV/0!</v>
      </c>
      <c r="AU258" t="e">
        <v>#DIV/0!</v>
      </c>
      <c r="AV258"/>
      <c r="AW258"/>
      <c r="FY258" s="211">
        <v>253</v>
      </c>
      <c r="FZ258">
        <v>53.244248761410937</v>
      </c>
      <c r="GA258">
        <v>53.514626071368575</v>
      </c>
      <c r="GB258">
        <v>54.773056652115692</v>
      </c>
      <c r="GC258">
        <v>2.4409404037768301</v>
      </c>
      <c r="GD258">
        <v>0.219960395077124</v>
      </c>
      <c r="GE258">
        <v>0.60234144584741922</v>
      </c>
      <c r="GF258">
        <v>3.7108140387338029</v>
      </c>
      <c r="GG258">
        <v>13.475281145385829</v>
      </c>
      <c r="GH258">
        <v>22.422890605804085</v>
      </c>
      <c r="GI258">
        <v>57.90580132277352</v>
      </c>
      <c r="GJ258"/>
      <c r="GK258"/>
      <c r="GL258"/>
      <c r="GM258"/>
    </row>
    <row r="259" spans="1:195" s="7" customFormat="1">
      <c r="A259" s="90"/>
      <c r="B259">
        <v>0.87084642313854732</v>
      </c>
      <c r="C259">
        <v>3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18.74079861111111</v>
      </c>
      <c r="AO259">
        <v>73.641041327641517</v>
      </c>
      <c r="AP259">
        <v>277.57180183221044</v>
      </c>
      <c r="AQ259">
        <v>221.24851910409203</v>
      </c>
      <c r="AR259">
        <v>68.202080875139316</v>
      </c>
      <c r="AS259">
        <v>1029.6884509419917</v>
      </c>
      <c r="AT259" t="e">
        <v>#DIV/0!</v>
      </c>
      <c r="AU259" t="e">
        <v>#DIV/0!</v>
      </c>
      <c r="AV259"/>
      <c r="AW259"/>
      <c r="FY259" s="211">
        <v>254</v>
      </c>
      <c r="FZ259">
        <v>57.576216010408473</v>
      </c>
      <c r="GA259">
        <v>61.987048197771763</v>
      </c>
      <c r="GB259">
        <v>50.032891432853724</v>
      </c>
      <c r="GC259">
        <v>3.3311996957244907</v>
      </c>
      <c r="GD259">
        <v>0.2287966533848648</v>
      </c>
      <c r="GE259">
        <v>2.9556133035280256E-2</v>
      </c>
      <c r="GF259">
        <v>1.4647262253149904</v>
      </c>
      <c r="GG259">
        <v>3.8901614302616783</v>
      </c>
      <c r="GH259">
        <v>9.6111648241764271</v>
      </c>
      <c r="GI259">
        <v>44.456562428496447</v>
      </c>
      <c r="GJ259"/>
      <c r="GK259"/>
      <c r="GL259"/>
      <c r="GM259"/>
    </row>
    <row r="260" spans="1:195" s="7" customFormat="1">
      <c r="A260" s="77" t="s">
        <v>61</v>
      </c>
      <c r="B260">
        <v>0.94194930111842723</v>
      </c>
      <c r="C260">
        <v>5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110.47979797979797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10.416666666666666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12.065932158119658</v>
      </c>
      <c r="AO260">
        <v>120.45408205026179</v>
      </c>
      <c r="AP260">
        <v>647.51042839054924</v>
      </c>
      <c r="AQ260">
        <v>124.77585280426067</v>
      </c>
      <c r="AR260">
        <v>111.6120196004792</v>
      </c>
      <c r="AS260">
        <v>814.86704105223737</v>
      </c>
      <c r="AT260" t="e">
        <v>#DIV/0!</v>
      </c>
      <c r="AU260" t="e">
        <v>#DIV/0!</v>
      </c>
      <c r="AV260"/>
      <c r="AW260"/>
      <c r="FY260" s="211">
        <v>255</v>
      </c>
      <c r="FZ260">
        <v>41.227847644920246</v>
      </c>
      <c r="GA260">
        <v>42.128470405459261</v>
      </c>
      <c r="GB260">
        <v>8.8687124981354835</v>
      </c>
      <c r="GC260">
        <v>2.3185829238428433</v>
      </c>
      <c r="GD260">
        <v>0.29850212800223097</v>
      </c>
      <c r="GE260">
        <v>0.25201768907051325</v>
      </c>
      <c r="GF260">
        <v>2.2723584896696676</v>
      </c>
      <c r="GG260">
        <v>9.085750807557023</v>
      </c>
      <c r="GH260">
        <v>9.1973069806361583</v>
      </c>
      <c r="GI260">
        <v>22.701218378512994</v>
      </c>
      <c r="GJ260"/>
      <c r="GK260"/>
      <c r="GL260"/>
      <c r="GM260"/>
    </row>
    <row r="261" spans="1:195" s="7" customFormat="1">
      <c r="A261" s="77" t="s">
        <v>62</v>
      </c>
      <c r="B261">
        <v>0.88065238913219179</v>
      </c>
      <c r="C261">
        <v>8</v>
      </c>
      <c r="D261">
        <v>39747</v>
      </c>
      <c r="E261">
        <v>0</v>
      </c>
      <c r="F261">
        <v>0</v>
      </c>
      <c r="G261">
        <v>0</v>
      </c>
      <c r="H261">
        <v>10.416666666666666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12.601829594017092</v>
      </c>
      <c r="AO261">
        <v>87.354081189013669</v>
      </c>
      <c r="AP261">
        <v>733.78212172123744</v>
      </c>
      <c r="AQ261">
        <v>185.7254252875781</v>
      </c>
      <c r="AR261">
        <v>81.037112375735646</v>
      </c>
      <c r="AS261">
        <v>425.28103941446898</v>
      </c>
      <c r="AT261" t="e">
        <v>#DIV/0!</v>
      </c>
      <c r="AU261" t="e">
        <v>#DIV/0!</v>
      </c>
      <c r="AV261"/>
      <c r="AW261"/>
      <c r="FY261" s="211">
        <v>256</v>
      </c>
      <c r="FZ261">
        <v>46.546133775883661</v>
      </c>
      <c r="GA261">
        <v>46.101374057625989</v>
      </c>
      <c r="GB261">
        <v>21.220623583289768</v>
      </c>
      <c r="GC261">
        <v>1.0629883501381776</v>
      </c>
      <c r="GD261">
        <v>0.219960395077124</v>
      </c>
      <c r="GE261">
        <v>0.72559918803335766</v>
      </c>
      <c r="GF261">
        <v>4.3610352061529074</v>
      </c>
      <c r="GG261">
        <v>7.4827727837033464</v>
      </c>
      <c r="GH261">
        <v>13.225583625167928</v>
      </c>
      <c r="GI261">
        <v>30.309710942679402</v>
      </c>
      <c r="GJ261"/>
      <c r="GK261"/>
      <c r="GL261"/>
      <c r="GM261"/>
    </row>
    <row r="262" spans="1:195" s="7" customFormat="1" ht="12.75" customHeight="1">
      <c r="A262" s="77"/>
      <c r="B262">
        <v>0.2577846839296658</v>
      </c>
      <c r="C262">
        <v>7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10.416666666666666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11.810029380341879</v>
      </c>
      <c r="AO262">
        <v>61.779850289866445</v>
      </c>
      <c r="AP262">
        <v>441.28713355071932</v>
      </c>
      <c r="AQ262">
        <v>208.10495892439087</v>
      </c>
      <c r="AR262">
        <v>57.346403216735709</v>
      </c>
      <c r="AS262">
        <v>391.43148696656044</v>
      </c>
      <c r="AT262" t="e">
        <v>#DIV/0!</v>
      </c>
      <c r="AU262" t="e">
        <v>#DIV/0!</v>
      </c>
      <c r="AV262"/>
      <c r="AW262"/>
      <c r="FY262" s="211">
        <v>257</v>
      </c>
      <c r="FZ262">
        <v>16.379498624606079</v>
      </c>
      <c r="GA262">
        <v>27.098362036013597</v>
      </c>
      <c r="GB262">
        <v>49.501394745551082</v>
      </c>
      <c r="GC262">
        <v>1.8901363726898528</v>
      </c>
      <c r="GD262">
        <v>0.15366919315498587</v>
      </c>
      <c r="GE262">
        <v>5.9112266070560512E-2</v>
      </c>
      <c r="GF262">
        <v>2.2434145605146116</v>
      </c>
      <c r="GG262">
        <v>5.936151560766076</v>
      </c>
      <c r="GH262">
        <v>13.225583625167928</v>
      </c>
      <c r="GI262">
        <v>41.20332506441553</v>
      </c>
      <c r="GJ262"/>
      <c r="GK262"/>
      <c r="GL262"/>
      <c r="GM262"/>
    </row>
    <row r="263" spans="1:195" s="7" customFormat="1">
      <c r="A263" s="77"/>
      <c r="B263">
        <v>0.39651011771309985</v>
      </c>
      <c r="C263">
        <v>6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10.416666666666666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9.9444043803418811</v>
      </c>
      <c r="AO263">
        <v>66.719778023383597</v>
      </c>
      <c r="AP263">
        <v>714.34024418381705</v>
      </c>
      <c r="AQ263">
        <v>110.02881767185698</v>
      </c>
      <c r="AR263">
        <v>61.859756958927775</v>
      </c>
      <c r="AS263">
        <v>306.62795917258501</v>
      </c>
      <c r="AT263" t="e">
        <v>#DIV/0!</v>
      </c>
      <c r="AU263" t="e">
        <v>#DIV/0!</v>
      </c>
      <c r="AV263"/>
      <c r="AW263"/>
      <c r="FY263" s="211">
        <v>258</v>
      </c>
      <c r="FZ263">
        <v>4.3319672489975396</v>
      </c>
      <c r="GA263">
        <v>6.636777285750485</v>
      </c>
      <c r="GB263">
        <v>52.775261576170919</v>
      </c>
      <c r="GC263">
        <v>2.6326722684157509</v>
      </c>
      <c r="GD263">
        <v>0.22337466777235196</v>
      </c>
      <c r="GE263">
        <v>0.55192885906977285</v>
      </c>
      <c r="GF263">
        <v>3.8726667335148357</v>
      </c>
      <c r="GG263">
        <v>7.3542931096325521</v>
      </c>
      <c r="GH263">
        <v>7.2288376019830025</v>
      </c>
      <c r="GI263">
        <v>42.104253299433431</v>
      </c>
      <c r="GJ263"/>
      <c r="GK263"/>
      <c r="GL263"/>
      <c r="GM263"/>
    </row>
    <row r="264" spans="1:195" s="7" customFormat="1">
      <c r="A264" s="77"/>
      <c r="B264">
        <v>0.67630435596019334</v>
      </c>
      <c r="C264">
        <v>8</v>
      </c>
      <c r="D264">
        <v>39747</v>
      </c>
      <c r="E264">
        <v>0</v>
      </c>
      <c r="F264">
        <v>0</v>
      </c>
      <c r="G264">
        <v>0</v>
      </c>
      <c r="H264">
        <v>10.416666666666666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16.050868055555554</v>
      </c>
      <c r="AO264">
        <v>106.87876006076969</v>
      </c>
      <c r="AP264">
        <v>856.60148685266017</v>
      </c>
      <c r="AQ264">
        <v>178.65944195419286</v>
      </c>
      <c r="AR264">
        <v>99.144762145192914</v>
      </c>
      <c r="AS264">
        <v>855.75440458945161</v>
      </c>
      <c r="AT264" t="e">
        <v>#DIV/0!</v>
      </c>
      <c r="AU264" t="e">
        <v>#DIV/0!</v>
      </c>
      <c r="AV264"/>
      <c r="AW264"/>
      <c r="FY264" s="211">
        <v>259</v>
      </c>
      <c r="FZ264">
        <v>15.513105174806567</v>
      </c>
      <c r="GA264">
        <v>22.297229590915812</v>
      </c>
      <c r="GB264">
        <v>57.510420386640305</v>
      </c>
      <c r="GC264">
        <v>3.0277660105875328</v>
      </c>
      <c r="GD264">
        <v>0.48980537926105339</v>
      </c>
      <c r="GE264">
        <v>1.1455706256242779</v>
      </c>
      <c r="GF264">
        <v>2.6847374144185592</v>
      </c>
      <c r="GG264">
        <v>3.7053249552744782</v>
      </c>
      <c r="GH264">
        <v>7.6426954455232705</v>
      </c>
      <c r="GI264">
        <v>50.953631183115093</v>
      </c>
      <c r="GJ264"/>
      <c r="GK264"/>
      <c r="GL264"/>
      <c r="GM264"/>
    </row>
    <row r="265" spans="1:195" s="7" customFormat="1">
      <c r="A265" s="77"/>
      <c r="B265">
        <v>2.9517024106038292E-3</v>
      </c>
      <c r="C265">
        <v>8</v>
      </c>
      <c r="D265">
        <v>39747</v>
      </c>
      <c r="E265">
        <v>0</v>
      </c>
      <c r="F265">
        <v>0</v>
      </c>
      <c r="G265">
        <v>0</v>
      </c>
      <c r="H265">
        <v>10.416666666666666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15.42409188034188</v>
      </c>
      <c r="AO265">
        <v>143.46989187879498</v>
      </c>
      <c r="AP265">
        <v>717.5097222932111</v>
      </c>
      <c r="AQ265">
        <v>206.68911558940744</v>
      </c>
      <c r="AR265">
        <v>132.97087786741901</v>
      </c>
      <c r="AS265">
        <v>1218.2731492939624</v>
      </c>
      <c r="AT265" t="e">
        <v>#DIV/0!</v>
      </c>
      <c r="AU265" t="e">
        <v>#DIV/0!</v>
      </c>
      <c r="AV265"/>
      <c r="AW265"/>
      <c r="FY265" s="211">
        <v>260</v>
      </c>
      <c r="FZ265">
        <v>25.947775082982446</v>
      </c>
      <c r="GA265">
        <v>29.362833053607233</v>
      </c>
      <c r="GB265">
        <v>61.101725742374093</v>
      </c>
      <c r="GC265">
        <v>1.8466773240964738</v>
      </c>
      <c r="GD265">
        <v>0.19401424406507889</v>
      </c>
      <c r="GE265">
        <v>0.71024493898962793</v>
      </c>
      <c r="GF265">
        <v>2.2720600337512984</v>
      </c>
      <c r="GG265">
        <v>12.000782795602948</v>
      </c>
      <c r="GH265">
        <v>20.363083339925474</v>
      </c>
      <c r="GI265">
        <v>53.564512884186769</v>
      </c>
      <c r="GJ265"/>
      <c r="GK265"/>
      <c r="GL265"/>
      <c r="GM265"/>
    </row>
    <row r="266" spans="1:195" s="7" customFormat="1">
      <c r="A266" s="1"/>
      <c r="B266">
        <v>0.23698941653077399</v>
      </c>
      <c r="C266">
        <v>5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110.47979797979797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10.416666666666666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17.168362713675211</v>
      </c>
      <c r="AO266">
        <v>134.08963489380503</v>
      </c>
      <c r="AP266">
        <v>955.85574098222276</v>
      </c>
      <c r="AQ266">
        <v>264.43315284390656</v>
      </c>
      <c r="AR266">
        <v>124.30948258678796</v>
      </c>
      <c r="AS266">
        <v>1105.4337402237657</v>
      </c>
      <c r="AT266" t="e">
        <v>#DIV/0!</v>
      </c>
      <c r="AU266" t="e">
        <v>#DIV/0!</v>
      </c>
      <c r="AV266"/>
      <c r="AW266"/>
      <c r="FY266" s="211">
        <v>261</v>
      </c>
      <c r="FZ266">
        <v>40.512509886404928</v>
      </c>
      <c r="GA266">
        <v>49.17608688662736</v>
      </c>
      <c r="GB266">
        <v>45.85141640659976</v>
      </c>
      <c r="GC266">
        <v>2.8032282147286676</v>
      </c>
      <c r="GD266">
        <v>0.35651969552780555</v>
      </c>
      <c r="GE266">
        <v>0.22659701993714865</v>
      </c>
      <c r="GF266">
        <v>2.6155351647217775</v>
      </c>
      <c r="GG266">
        <v>3.8901614302616783</v>
      </c>
      <c r="GH266">
        <v>13.639441468708196</v>
      </c>
      <c r="GI266">
        <v>50.170798980331092</v>
      </c>
      <c r="GJ266"/>
      <c r="GK266"/>
      <c r="GL266"/>
      <c r="GM266"/>
    </row>
    <row r="267" spans="1:195" s="7" customFormat="1">
      <c r="A267" s="1"/>
      <c r="B267">
        <v>0.94593600761280339</v>
      </c>
      <c r="C267">
        <v>10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10.416666666666666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13.023223824786323</v>
      </c>
      <c r="AO267">
        <v>61.681620548251985</v>
      </c>
      <c r="AP267">
        <v>450.77022914547427</v>
      </c>
      <c r="AQ267">
        <v>244.66160310765687</v>
      </c>
      <c r="AR267">
        <v>57.230371393329357</v>
      </c>
      <c r="AS267">
        <v>388.59901258250449</v>
      </c>
      <c r="AT267" t="e">
        <v>#DIV/0!</v>
      </c>
      <c r="AU267" t="e">
        <v>#DIV/0!</v>
      </c>
      <c r="AV267"/>
      <c r="AW267"/>
      <c r="FY267" s="211">
        <v>262</v>
      </c>
      <c r="FZ267">
        <v>22.211220160333859</v>
      </c>
      <c r="GA267">
        <v>33.381771285963822</v>
      </c>
      <c r="GB267">
        <v>73.273865579510982</v>
      </c>
      <c r="GC267">
        <v>3.3755016664920525</v>
      </c>
      <c r="GD267">
        <v>0.40841199755189578</v>
      </c>
      <c r="GE267">
        <v>0.28157382210579351</v>
      </c>
      <c r="GF267">
        <v>1.2174871641585521</v>
      </c>
      <c r="GG267">
        <v>6.9506554481383152</v>
      </c>
      <c r="GH267">
        <v>15.194053003821082</v>
      </c>
      <c r="GI267">
        <v>57.456984121289452</v>
      </c>
      <c r="GJ267"/>
      <c r="GK267"/>
      <c r="GL267"/>
      <c r="GM267"/>
    </row>
    <row r="268" spans="1:195" s="7" customFormat="1">
      <c r="A268" s="1"/>
      <c r="B268">
        <v>0.36101840565805587</v>
      </c>
      <c r="C268">
        <v>5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15.120272435897437</v>
      </c>
      <c r="AO268">
        <v>94.285706612765026</v>
      </c>
      <c r="AP268">
        <v>749.16150290989526</v>
      </c>
      <c r="AQ268">
        <v>271.78446866255609</v>
      </c>
      <c r="AR268">
        <v>87.57344918793018</v>
      </c>
      <c r="AS268">
        <v>647.29607917397664</v>
      </c>
      <c r="AT268" t="e">
        <v>#DIV/0!</v>
      </c>
      <c r="AU268" t="e">
        <v>#DIV/0!</v>
      </c>
      <c r="AV268"/>
      <c r="AW268"/>
      <c r="FY268" s="211">
        <v>263</v>
      </c>
      <c r="FZ268">
        <v>38.115231890757343</v>
      </c>
      <c r="GA268">
        <v>38.688122043883382</v>
      </c>
      <c r="GB268">
        <v>50.212375500795623</v>
      </c>
      <c r="GC268">
        <v>1.7562355845321191</v>
      </c>
      <c r="GD268">
        <v>0.13941094923473224</v>
      </c>
      <c r="GE268">
        <v>0.52237272603449258</v>
      </c>
      <c r="GF268">
        <v>1.7514604631467512</v>
      </c>
      <c r="GG268">
        <v>14.103129727023752</v>
      </c>
      <c r="GH268">
        <v>23.977502140916979</v>
      </c>
      <c r="GI268">
        <v>46.931309689171094</v>
      </c>
      <c r="GJ268"/>
      <c r="GK268"/>
      <c r="GL268"/>
      <c r="GM268"/>
    </row>
    <row r="269" spans="1:195" s="7" customFormat="1">
      <c r="A269" s="1"/>
      <c r="B269">
        <v>0.20779345458216403</v>
      </c>
      <c r="C269">
        <v>9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10.416666666666666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17.353392094017092</v>
      </c>
      <c r="AO269">
        <v>147.97507703950458</v>
      </c>
      <c r="AP269">
        <v>917.87814760467893</v>
      </c>
      <c r="AQ269">
        <v>262.30996084229383</v>
      </c>
      <c r="AR269">
        <v>137.21920578576572</v>
      </c>
      <c r="AS269">
        <v>1171.6736595765858</v>
      </c>
      <c r="AT269" t="e">
        <v>#DIV/0!</v>
      </c>
      <c r="AU269" t="e">
        <v>#DIV/0!</v>
      </c>
      <c r="AV269"/>
      <c r="AW269"/>
      <c r="FY269" s="211">
        <v>264</v>
      </c>
      <c r="FZ269">
        <v>20.560410182319416</v>
      </c>
      <c r="GA269">
        <v>23.934055579616924</v>
      </c>
      <c r="GB269">
        <v>52.785571169500336</v>
      </c>
      <c r="GC269">
        <v>2.9606975962435795</v>
      </c>
      <c r="GD269">
        <v>0.31290102790027885</v>
      </c>
      <c r="GE269">
        <v>1.3125863848370471</v>
      </c>
      <c r="GF269">
        <v>2.7476807864813502</v>
      </c>
      <c r="GG269">
        <v>5.1064841483810355</v>
      </c>
      <c r="GH269">
        <v>9.1973069806361583</v>
      </c>
      <c r="GI269">
        <v>43.237122938026637</v>
      </c>
      <c r="GJ269"/>
      <c r="GK269"/>
      <c r="GL269"/>
      <c r="GM269"/>
    </row>
    <row r="270" spans="1:195" s="7" customFormat="1">
      <c r="A270" s="1"/>
      <c r="B270">
        <v>0.37387909987700851</v>
      </c>
      <c r="C270">
        <v>2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12.948010149572648</v>
      </c>
      <c r="AO270">
        <v>135.72417836299331</v>
      </c>
      <c r="AP270">
        <v>848.04322339293981</v>
      </c>
      <c r="AQ270">
        <v>232.60832303142814</v>
      </c>
      <c r="AR270">
        <v>125.91205721897522</v>
      </c>
      <c r="AS270">
        <v>918.36708955775748</v>
      </c>
      <c r="AT270" t="e">
        <v>#DIV/0!</v>
      </c>
      <c r="AU270" t="e">
        <v>#DIV/0!</v>
      </c>
      <c r="AV270"/>
      <c r="AW270"/>
      <c r="FY270" s="211">
        <v>265</v>
      </c>
      <c r="FZ270">
        <v>33.361227827025054</v>
      </c>
      <c r="GA270">
        <v>34.247839641351227</v>
      </c>
      <c r="GB270">
        <v>20.430074174015189</v>
      </c>
      <c r="GC270">
        <v>0.75877784934180048</v>
      </c>
      <c r="GD270">
        <v>9.8362618435667654E-2</v>
      </c>
      <c r="GE270">
        <v>0.21742834599041555</v>
      </c>
      <c r="GF270">
        <v>1.9557679508572623</v>
      </c>
      <c r="GG270">
        <v>11.759589519699343</v>
      </c>
      <c r="GH270">
        <v>18.394613961272317</v>
      </c>
      <c r="GI270">
        <v>27.452118912741646</v>
      </c>
      <c r="GJ270"/>
      <c r="GK270"/>
      <c r="GL270"/>
      <c r="GM270"/>
    </row>
    <row r="271" spans="1:195" s="7" customFormat="1">
      <c r="A271" s="77"/>
      <c r="B271">
        <v>0.41570908757400926</v>
      </c>
      <c r="C271">
        <v>10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9.1213141025641029</v>
      </c>
      <c r="AO271">
        <v>34.592210878892146</v>
      </c>
      <c r="AP271">
        <v>212.04230689382391</v>
      </c>
      <c r="AQ271">
        <v>138.35076794580641</v>
      </c>
      <c r="AR271">
        <v>32.089249423833159</v>
      </c>
      <c r="AS271">
        <v>418.72832110737619</v>
      </c>
      <c r="AT271" t="e">
        <v>#DIV/0!</v>
      </c>
      <c r="AU271" t="e">
        <v>#DIV/0!</v>
      </c>
      <c r="AV271"/>
      <c r="AW271"/>
      <c r="FY271" s="211">
        <v>266</v>
      </c>
      <c r="FZ271">
        <v>48.549901798933234</v>
      </c>
      <c r="GA271">
        <v>51.896721058930993</v>
      </c>
      <c r="GB271">
        <v>47.975023301367514</v>
      </c>
      <c r="GC271">
        <v>3.9696986396576452</v>
      </c>
      <c r="GD271">
        <v>0.57376909779867324</v>
      </c>
      <c r="GE271">
        <v>0.68184117100652708</v>
      </c>
      <c r="GF271">
        <v>3.1147533407984835</v>
      </c>
      <c r="GG271">
        <v>3.0604940178766382</v>
      </c>
      <c r="GH271">
        <v>5.582888179644657</v>
      </c>
      <c r="GI271">
        <v>48.948232047041387</v>
      </c>
      <c r="GJ271"/>
      <c r="GK271"/>
      <c r="GL271"/>
      <c r="GM271"/>
    </row>
    <row r="272" spans="1:195" s="7" customFormat="1">
      <c r="A272" s="77"/>
      <c r="B272">
        <v>0.71132902175303125</v>
      </c>
      <c r="C272">
        <v>2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10.931383547008547</v>
      </c>
      <c r="AO272">
        <v>73.893253147226318</v>
      </c>
      <c r="AP272">
        <v>481.61800504631321</v>
      </c>
      <c r="AQ272">
        <v>171.25578190775167</v>
      </c>
      <c r="AR272">
        <v>68.530710859328906</v>
      </c>
      <c r="AS272">
        <v>841.0652090150993</v>
      </c>
      <c r="AT272" t="e">
        <v>#DIV/0!</v>
      </c>
      <c r="AU272" t="e">
        <v>#DIV/0!</v>
      </c>
      <c r="AV272"/>
      <c r="AW272"/>
      <c r="FY272" s="211">
        <v>267</v>
      </c>
      <c r="FZ272">
        <v>26.663112841497757</v>
      </c>
      <c r="GA272">
        <v>30.717897652380053</v>
      </c>
      <c r="GB272">
        <v>10.496401045872133</v>
      </c>
      <c r="GC272">
        <v>1.8894815769158591</v>
      </c>
      <c r="GD272">
        <v>0.2145384094646112</v>
      </c>
      <c r="GE272">
        <v>0.57278531281213896</v>
      </c>
      <c r="GF272">
        <v>2.3017671067727581</v>
      </c>
      <c r="GG272">
        <v>1.6029780238536757</v>
      </c>
      <c r="GH272">
        <v>0</v>
      </c>
      <c r="GI272">
        <v>22.025139832580276</v>
      </c>
      <c r="GJ272"/>
      <c r="GK272"/>
      <c r="GL272"/>
      <c r="GM272"/>
    </row>
    <row r="273" spans="1:195" s="7" customFormat="1">
      <c r="A273" s="1"/>
      <c r="B273">
        <v>0.97967511486346393</v>
      </c>
      <c r="C273">
        <v>8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12.654340277777779</v>
      </c>
      <c r="AO273">
        <v>123.39897942058035</v>
      </c>
      <c r="AP273">
        <v>774.93164288766025</v>
      </c>
      <c r="AQ273">
        <v>157.69064804895029</v>
      </c>
      <c r="AR273">
        <v>114.45032066876595</v>
      </c>
      <c r="AS273">
        <v>798.43742431444139</v>
      </c>
      <c r="AT273" t="e">
        <v>#DIV/0!</v>
      </c>
      <c r="AU273" t="e">
        <v>#DIV/0!</v>
      </c>
      <c r="AV273"/>
      <c r="AW273"/>
      <c r="FY273" s="211">
        <v>268</v>
      </c>
      <c r="FZ273">
        <v>34.823033603173513</v>
      </c>
      <c r="GA273">
        <v>35.795072002657044</v>
      </c>
      <c r="GB273">
        <v>38.616061937103147</v>
      </c>
      <c r="GC273">
        <v>2.2299663833929686</v>
      </c>
      <c r="GD273">
        <v>4.6470316411577423E-2</v>
      </c>
      <c r="GE273">
        <v>0.48778338295439488</v>
      </c>
      <c r="GF273">
        <v>3.4895471979098502</v>
      </c>
      <c r="GG273">
        <v>3.6489681543580739</v>
      </c>
      <c r="GH273">
        <v>3.6144188009915013</v>
      </c>
      <c r="GI273">
        <v>35.583094196306547</v>
      </c>
      <c r="GJ273"/>
      <c r="GK273"/>
      <c r="GL273"/>
      <c r="GM273"/>
    </row>
    <row r="274" spans="1:195" s="7" customFormat="1">
      <c r="A274" s="1"/>
      <c r="B274">
        <v>0.28383663158685435</v>
      </c>
      <c r="C274">
        <v>1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32.051282051282051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15.060897435897434</v>
      </c>
      <c r="AO274">
        <v>145.34788660107631</v>
      </c>
      <c r="AP274">
        <v>759.06106494690016</v>
      </c>
      <c r="AQ274">
        <v>127.71203265074064</v>
      </c>
      <c r="AR274">
        <v>134.77781166822456</v>
      </c>
      <c r="AS274">
        <v>1182.3718852604986</v>
      </c>
      <c r="AT274" t="e">
        <v>#DIV/0!</v>
      </c>
      <c r="AU274" t="e">
        <v>#DIV/0!</v>
      </c>
      <c r="AV274"/>
      <c r="AW274"/>
      <c r="FY274" s="211">
        <v>269</v>
      </c>
      <c r="FZ274">
        <v>51.986948755994526</v>
      </c>
      <c r="GA274">
        <v>57.725732066258175</v>
      </c>
      <c r="GB274">
        <v>55.826597100202861</v>
      </c>
      <c r="GC274">
        <v>3.3867514723653964</v>
      </c>
      <c r="GD274">
        <v>0.58260535610641395</v>
      </c>
      <c r="GE274">
        <v>1.0310125627312536</v>
      </c>
      <c r="GF274">
        <v>3.2853889381585235</v>
      </c>
      <c r="GG274">
        <v>6.580982498163916</v>
      </c>
      <c r="GH274">
        <v>11.257114246514771</v>
      </c>
      <c r="GI274">
        <v>54.922236386668935</v>
      </c>
      <c r="GJ274"/>
      <c r="GK274"/>
      <c r="GL274"/>
      <c r="GM274"/>
    </row>
    <row r="275" spans="1:195" s="7" customFormat="1">
      <c r="A275" s="1"/>
      <c r="B275">
        <v>0.58063236563754117</v>
      </c>
      <c r="C275">
        <v>8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15.376095085470084</v>
      </c>
      <c r="AO275">
        <v>96.551717404799433</v>
      </c>
      <c r="AP275">
        <v>615.62311026873022</v>
      </c>
      <c r="AQ275">
        <v>164.97028616616694</v>
      </c>
      <c r="AR275">
        <v>89.532533375745984</v>
      </c>
      <c r="AS275">
        <v>672.16307937759973</v>
      </c>
      <c r="AT275" t="e">
        <v>#DIV/0!</v>
      </c>
      <c r="AU275" t="e">
        <v>#DIV/0!</v>
      </c>
      <c r="AV275"/>
      <c r="AW275"/>
      <c r="FY275" s="211">
        <v>270</v>
      </c>
      <c r="FZ275">
        <v>44.662291185000434</v>
      </c>
      <c r="GA275">
        <v>44.278930708487707</v>
      </c>
      <c r="GB275">
        <v>43.947246201685282</v>
      </c>
      <c r="GC275">
        <v>2.9283804355108147</v>
      </c>
      <c r="GD275">
        <v>0.39144276082538576</v>
      </c>
      <c r="GE275">
        <v>0.6318975788826996</v>
      </c>
      <c r="GF275">
        <v>3.6119047160155615</v>
      </c>
      <c r="GG275">
        <v>7.7239660596069504</v>
      </c>
      <c r="GH275">
        <v>15.194053003821082</v>
      </c>
      <c r="GI275">
        <v>51.149850235811599</v>
      </c>
      <c r="GJ275"/>
      <c r="GK275"/>
      <c r="GL275"/>
      <c r="GM275"/>
    </row>
    <row r="276" spans="1:195" s="7" customFormat="1">
      <c r="A276" s="1"/>
      <c r="B276">
        <v>3.3947414467536241E-2</v>
      </c>
      <c r="C276">
        <v>2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17.122489316239314</v>
      </c>
      <c r="AO276">
        <v>121.57605679539517</v>
      </c>
      <c r="AP276">
        <v>701.17097061412005</v>
      </c>
      <c r="AQ276">
        <v>207.36370943958147</v>
      </c>
      <c r="AR276">
        <v>112.66463056806396</v>
      </c>
      <c r="AS276">
        <v>965.68049105394653</v>
      </c>
      <c r="AT276" t="e">
        <v>#DIV/0!</v>
      </c>
      <c r="AU276" t="e">
        <v>#DIV/0!</v>
      </c>
      <c r="AV276"/>
      <c r="AW276"/>
      <c r="FY276" s="211">
        <v>271</v>
      </c>
      <c r="FZ276">
        <v>27.478659628830528</v>
      </c>
      <c r="GA276">
        <v>38.932975476024851</v>
      </c>
      <c r="GB276">
        <v>36.756508498405935</v>
      </c>
      <c r="GC276">
        <v>4.4990599205889152</v>
      </c>
      <c r="GD276">
        <v>0.63449765813050418</v>
      </c>
      <c r="GE276">
        <v>0.66648692196279713</v>
      </c>
      <c r="GF276">
        <v>1.8738179812524622</v>
      </c>
      <c r="GG276">
        <v>3.8901614302616783</v>
      </c>
      <c r="GH276">
        <v>9.6111648241764271</v>
      </c>
      <c r="GI276">
        <v>36.271569513198131</v>
      </c>
      <c r="GJ276"/>
      <c r="GK276"/>
      <c r="GL276"/>
      <c r="GM276"/>
    </row>
    <row r="277" spans="1:195" s="7" customFormat="1">
      <c r="A277" s="1"/>
      <c r="B277">
        <v>0.81392819156619023</v>
      </c>
      <c r="C277">
        <v>1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32.051282051282051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14.102043269230771</v>
      </c>
      <c r="AO277">
        <v>105.25866763697154</v>
      </c>
      <c r="AP277">
        <v>859.41020808016924</v>
      </c>
      <c r="AQ277">
        <v>209.2422951538484</v>
      </c>
      <c r="AR277">
        <v>97.630303165396157</v>
      </c>
      <c r="AS277">
        <v>767.93799119213509</v>
      </c>
      <c r="AT277" t="e">
        <v>#DIV/0!</v>
      </c>
      <c r="AU277" t="e">
        <v>#DIV/0!</v>
      </c>
      <c r="AV277"/>
      <c r="AW277"/>
      <c r="FY277" s="211">
        <v>272</v>
      </c>
      <c r="FZ277">
        <v>25.525738268247693</v>
      </c>
      <c r="GA277">
        <v>31.559327936825539</v>
      </c>
      <c r="GB277">
        <v>58.312686753579499</v>
      </c>
      <c r="GC277">
        <v>1.6560417570425969</v>
      </c>
      <c r="GD277">
        <v>0.14212194204098866</v>
      </c>
      <c r="GE277">
        <v>0.4786147090076619</v>
      </c>
      <c r="GF277">
        <v>1.8738179812524622</v>
      </c>
      <c r="GG277">
        <v>3.8901614302616783</v>
      </c>
      <c r="GH277">
        <v>9.6111648241764271</v>
      </c>
      <c r="GI277">
        <v>44.678532096158243</v>
      </c>
      <c r="GJ277"/>
      <c r="GK277"/>
      <c r="GL277"/>
      <c r="GM277"/>
    </row>
    <row r="278" spans="1:195" s="7" customFormat="1">
      <c r="A278" s="1"/>
      <c r="B278">
        <v>0.18903590731943698</v>
      </c>
      <c r="C278">
        <v>9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10.416666666666666</v>
      </c>
      <c r="Y278">
        <v>0</v>
      </c>
      <c r="Z278">
        <v>0</v>
      </c>
      <c r="AA278">
        <v>0</v>
      </c>
      <c r="AB278">
        <v>10.416666666666666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13.599919871794873</v>
      </c>
      <c r="AO278">
        <v>124.10078079855968</v>
      </c>
      <c r="AP278">
        <v>1108.3723274088857</v>
      </c>
      <c r="AQ278">
        <v>213.75152424936579</v>
      </c>
      <c r="AR278">
        <v>115.17455135169203</v>
      </c>
      <c r="AS278">
        <v>574.33424894770474</v>
      </c>
      <c r="AT278" t="e">
        <v>#DIV/0!</v>
      </c>
      <c r="AU278" t="e">
        <v>#DIV/0!</v>
      </c>
      <c r="AV278"/>
      <c r="AW278"/>
      <c r="FY278" s="211">
        <v>273</v>
      </c>
      <c r="FZ278">
        <v>47.14154610223261</v>
      </c>
      <c r="GA278">
        <v>50.614094023376893</v>
      </c>
      <c r="GB278">
        <v>59.795701216667553</v>
      </c>
      <c r="GC278">
        <v>1.9614146619387813</v>
      </c>
      <c r="GD278">
        <v>0.27797796260269864</v>
      </c>
      <c r="GE278">
        <v>0.41446923289228399</v>
      </c>
      <c r="GF278">
        <v>2.8332163808159407</v>
      </c>
      <c r="GG278">
        <v>7.7409484153668693</v>
      </c>
      <c r="GH278">
        <v>18.899809692038044</v>
      </c>
      <c r="GI278">
        <v>56.830876985733688</v>
      </c>
      <c r="GJ278"/>
      <c r="GK278"/>
      <c r="GL278"/>
      <c r="GM278"/>
    </row>
    <row r="279" spans="1:195" s="7" customFormat="1">
      <c r="A279" s="1"/>
      <c r="B279">
        <v>0.34428646868836488</v>
      </c>
      <c r="C279">
        <v>8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20.833333333333332</v>
      </c>
      <c r="K279">
        <v>10.416666666666666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15.033814102564099</v>
      </c>
      <c r="AO279">
        <v>128.72552642168964</v>
      </c>
      <c r="AP279">
        <v>682.74095824522476</v>
      </c>
      <c r="AQ279">
        <v>216.19715071549624</v>
      </c>
      <c r="AR279">
        <v>119.38652491435256</v>
      </c>
      <c r="AS279">
        <v>852.72900552508327</v>
      </c>
      <c r="AT279" t="e">
        <v>#DIV/0!</v>
      </c>
      <c r="AU279" t="e">
        <v>#DIV/0!</v>
      </c>
      <c r="AV279"/>
      <c r="AW279"/>
      <c r="FY279" s="211">
        <v>274</v>
      </c>
      <c r="FZ279">
        <v>32.677020327627574</v>
      </c>
      <c r="GA279">
        <v>34.41360442085535</v>
      </c>
      <c r="GB279">
        <v>18.149512572705021</v>
      </c>
      <c r="GC279">
        <v>1.8917875472768397</v>
      </c>
      <c r="GD279">
        <v>0.26984498418392949</v>
      </c>
      <c r="GE279">
        <v>0.38947731524800216</v>
      </c>
      <c r="GF279">
        <v>1.7811675361682109</v>
      </c>
      <c r="GG279">
        <v>5.7513150857788764</v>
      </c>
      <c r="GH279">
        <v>15.285390891046541</v>
      </c>
      <c r="GI279">
        <v>29.514419152748228</v>
      </c>
      <c r="GJ279"/>
      <c r="GK279"/>
      <c r="GL279"/>
      <c r="GM279"/>
    </row>
    <row r="280" spans="1:195" s="7" customFormat="1">
      <c r="A280" s="1"/>
      <c r="B280">
        <v>6.6532167850221757E-3</v>
      </c>
      <c r="C280">
        <v>9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10.416666666666666</v>
      </c>
      <c r="Y280">
        <v>0</v>
      </c>
      <c r="Z280">
        <v>0</v>
      </c>
      <c r="AA280">
        <v>0</v>
      </c>
      <c r="AB280">
        <v>10.416666666666666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16.500400641025642</v>
      </c>
      <c r="AO280">
        <v>142.3755732654387</v>
      </c>
      <c r="AP280">
        <v>905.16099063676393</v>
      </c>
      <c r="AQ280">
        <v>162.15481679394279</v>
      </c>
      <c r="AR280">
        <v>132.00810886892367</v>
      </c>
      <c r="AS280">
        <v>882.41439669734086</v>
      </c>
      <c r="AT280" t="e">
        <v>#DIV/0!</v>
      </c>
      <c r="AU280" t="e">
        <v>#DIV/0!</v>
      </c>
      <c r="AV280"/>
      <c r="AW280"/>
      <c r="FY280" s="211">
        <v>275</v>
      </c>
      <c r="FZ280">
        <v>20.560410182319416</v>
      </c>
      <c r="GA280">
        <v>24.146075923082947</v>
      </c>
      <c r="GB280">
        <v>27.906466572926256</v>
      </c>
      <c r="GC280">
        <v>1.0650062753269189</v>
      </c>
      <c r="GD280">
        <v>0.14212194204098866</v>
      </c>
      <c r="GE280">
        <v>0.47814571435384295</v>
      </c>
      <c r="GF280">
        <v>4.3610352061529074</v>
      </c>
      <c r="GG280">
        <v>9.5287629142077463</v>
      </c>
      <c r="GH280">
        <v>16.840002426159433</v>
      </c>
      <c r="GI280">
        <v>32.385000926443908</v>
      </c>
      <c r="GJ280"/>
      <c r="GK280"/>
      <c r="GL280"/>
      <c r="GM280"/>
    </row>
    <row r="281" spans="1:195" s="7" customFormat="1">
      <c r="A281" s="1"/>
      <c r="B281">
        <v>0.44190329968670206</v>
      </c>
      <c r="C281">
        <v>5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8.2926682692307701</v>
      </c>
      <c r="AO281">
        <v>81.205438867365814</v>
      </c>
      <c r="AP281">
        <v>570.5028448533842</v>
      </c>
      <c r="AQ281">
        <v>148.67580080072992</v>
      </c>
      <c r="AR281">
        <v>75.256511659694638</v>
      </c>
      <c r="AS281">
        <v>602.70712038022452</v>
      </c>
      <c r="AT281" t="e">
        <v>#DIV/0!</v>
      </c>
      <c r="AU281" t="e">
        <v>#DIV/0!</v>
      </c>
      <c r="AV281"/>
      <c r="AW281"/>
      <c r="FY281" s="211">
        <v>276</v>
      </c>
      <c r="FZ281">
        <v>18.978678974004602</v>
      </c>
      <c r="GA281">
        <v>21.873188903983774</v>
      </c>
      <c r="GB281">
        <v>18.584724531531691</v>
      </c>
      <c r="GC281">
        <v>0.87114311030836378</v>
      </c>
      <c r="GD281">
        <v>0.14212194204098866</v>
      </c>
      <c r="GE281">
        <v>0.18787221295513531</v>
      </c>
      <c r="GF281">
        <v>2.0285558252838336</v>
      </c>
      <c r="GG281">
        <v>10.414787127509191</v>
      </c>
      <c r="GH281">
        <v>12.811725781627663</v>
      </c>
      <c r="GI281">
        <v>23.155601555264088</v>
      </c>
      <c r="GJ281"/>
      <c r="GK281"/>
      <c r="GL281"/>
      <c r="GM281"/>
    </row>
    <row r="282" spans="1:195" s="7" customFormat="1">
      <c r="A282" s="1"/>
      <c r="B282">
        <v>0.97341352952505034</v>
      </c>
      <c r="C282">
        <v>8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20.833333333333332</v>
      </c>
      <c r="K282">
        <v>10.416666666666666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15.893189102564099</v>
      </c>
      <c r="AO282">
        <v>125.45386837309411</v>
      </c>
      <c r="AP282">
        <v>791.51454546340688</v>
      </c>
      <c r="AQ282">
        <v>214.35332265305576</v>
      </c>
      <c r="AR282">
        <v>116.26313185365817</v>
      </c>
      <c r="AS282">
        <v>827.38360072388525</v>
      </c>
      <c r="AT282" t="e">
        <v>#DIV/0!</v>
      </c>
      <c r="AU282" t="e">
        <v>#DIV/0!</v>
      </c>
      <c r="AV282"/>
      <c r="AW282"/>
      <c r="FY282" s="211">
        <v>277</v>
      </c>
      <c r="FZ282">
        <v>29.926784286944855</v>
      </c>
      <c r="GA282">
        <v>31.673338651390729</v>
      </c>
      <c r="GB282">
        <v>50.888117188151874</v>
      </c>
      <c r="GC282">
        <v>2.6907968472473414</v>
      </c>
      <c r="GD282">
        <v>0.52187679577458301</v>
      </c>
      <c r="GE282">
        <v>0.5040353781410265</v>
      </c>
      <c r="GF282">
        <v>0.71215933840703993</v>
      </c>
      <c r="GG282">
        <v>8.9402887777263089</v>
      </c>
      <c r="GH282">
        <v>18.808471804812587</v>
      </c>
      <c r="GI282">
        <v>53.179073913065395</v>
      </c>
      <c r="GJ282"/>
      <c r="GK282"/>
      <c r="GL282"/>
      <c r="GM282"/>
    </row>
    <row r="283" spans="1:195" s="7" customFormat="1">
      <c r="A283" s="1"/>
      <c r="B283">
        <v>0.82339636232812108</v>
      </c>
      <c r="C283">
        <v>1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9.3797409188034173</v>
      </c>
      <c r="AO283">
        <v>94.782960390141582</v>
      </c>
      <c r="AP283">
        <v>643.64391397337113</v>
      </c>
      <c r="AQ283">
        <v>96.484101802149269</v>
      </c>
      <c r="AR283">
        <v>87.777769378131566</v>
      </c>
      <c r="AS283">
        <v>611.63504333497065</v>
      </c>
      <c r="AT283" t="e">
        <v>#DIV/0!</v>
      </c>
      <c r="AU283" t="e">
        <v>#DIV/0!</v>
      </c>
      <c r="AV283"/>
      <c r="AW283"/>
      <c r="FY283" s="211">
        <v>278</v>
      </c>
      <c r="FZ283">
        <v>43.827027994318769</v>
      </c>
      <c r="GA283">
        <v>52.860578059447192</v>
      </c>
      <c r="GB283">
        <v>75.528383196696552</v>
      </c>
      <c r="GC283">
        <v>2.7832565120004373</v>
      </c>
      <c r="GD283">
        <v>0.48082846497551845</v>
      </c>
      <c r="GE283">
        <v>0.4786147090076619</v>
      </c>
      <c r="GF283">
        <v>3.7108140387338029</v>
      </c>
      <c r="GG283">
        <v>11.429291014881432</v>
      </c>
      <c r="GH283">
        <v>18.808471804812587</v>
      </c>
      <c r="GI283">
        <v>70.778248256934376</v>
      </c>
      <c r="GJ283"/>
      <c r="GK283"/>
      <c r="GL283"/>
      <c r="GM283"/>
    </row>
    <row r="284" spans="1:195" s="7" customFormat="1">
      <c r="A284" s="1"/>
      <c r="B284">
        <v>0.27051688219057457</v>
      </c>
      <c r="C284">
        <v>5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9.4431089743589727</v>
      </c>
      <c r="AO284">
        <v>70.32242331594928</v>
      </c>
      <c r="AP284">
        <v>672.93073448673113</v>
      </c>
      <c r="AQ284">
        <v>158.33441597525859</v>
      </c>
      <c r="AR284">
        <v>65.091173668102428</v>
      </c>
      <c r="AS284">
        <v>311.64122835811548</v>
      </c>
      <c r="AT284" t="e">
        <v>#DIV/0!</v>
      </c>
      <c r="AU284" t="e">
        <v>#DIV/0!</v>
      </c>
      <c r="AV284"/>
      <c r="AW284"/>
      <c r="FY284" s="211">
        <v>279</v>
      </c>
      <c r="FZ284">
        <v>38.830569649272661</v>
      </c>
      <c r="GA284">
        <v>39.831166299190201</v>
      </c>
      <c r="GB284">
        <v>52.46144465788835</v>
      </c>
      <c r="GC284">
        <v>2.0644693367912277</v>
      </c>
      <c r="GD284">
        <v>0.3503944300263212</v>
      </c>
      <c r="GE284">
        <v>0.41446923289228399</v>
      </c>
      <c r="GF284">
        <v>1.6822582134499693</v>
      </c>
      <c r="GG284">
        <v>10.212968296762071</v>
      </c>
      <c r="GH284">
        <v>30.479443894867629</v>
      </c>
      <c r="GI284">
        <v>52.514841163800916</v>
      </c>
      <c r="GJ284"/>
      <c r="GK284"/>
      <c r="GL284"/>
      <c r="GM284"/>
    </row>
    <row r="285" spans="1:195" s="7" customFormat="1">
      <c r="A285" s="1"/>
      <c r="B285">
        <v>0.91992364671784355</v>
      </c>
      <c r="C285">
        <v>6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15.813888888888888</v>
      </c>
      <c r="AO285">
        <v>110.96907256569602</v>
      </c>
      <c r="AP285">
        <v>982.58490751143074</v>
      </c>
      <c r="AQ285">
        <v>246.58536938316479</v>
      </c>
      <c r="AR285">
        <v>102.98398175969075</v>
      </c>
      <c r="AS285">
        <v>563.07680876629638</v>
      </c>
      <c r="AT285" t="e">
        <v>#DIV/0!</v>
      </c>
      <c r="AU285" t="e">
        <v>#DIV/0!</v>
      </c>
      <c r="AV285"/>
      <c r="AW285"/>
      <c r="FY285" s="211">
        <v>280</v>
      </c>
      <c r="FZ285">
        <v>41.498828768370799</v>
      </c>
      <c r="GA285">
        <v>46.512213253043598</v>
      </c>
      <c r="GB285">
        <v>29.586388364468117</v>
      </c>
      <c r="GC285">
        <v>3.4126314932617192</v>
      </c>
      <c r="GD285">
        <v>0.44604605565573241</v>
      </c>
      <c r="GE285">
        <v>0.85435913491793247</v>
      </c>
      <c r="GF285">
        <v>2.5598558713678319</v>
      </c>
      <c r="GG285">
        <v>1.6593348247700803</v>
      </c>
      <c r="GH285">
        <v>4.0282766445317693</v>
      </c>
      <c r="GI285">
        <v>34.687447801521856</v>
      </c>
      <c r="GJ285"/>
      <c r="GK285"/>
      <c r="GL285"/>
      <c r="GM285"/>
    </row>
    <row r="286" spans="1:195" s="7" customFormat="1">
      <c r="A286" s="1"/>
      <c r="B286">
        <v>0.29854713050214476</v>
      </c>
      <c r="C286">
        <v>8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20.833333333333332</v>
      </c>
      <c r="K286">
        <v>10.416666666666666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14.583600427350428</v>
      </c>
      <c r="AO286">
        <v>142.10829763772503</v>
      </c>
      <c r="AP286">
        <v>866.18509681322837</v>
      </c>
      <c r="AQ286">
        <v>214.51996288564749</v>
      </c>
      <c r="AR286">
        <v>131.74858198196964</v>
      </c>
      <c r="AS286">
        <v>945.07277191947685</v>
      </c>
      <c r="AT286" t="e">
        <v>#DIV/0!</v>
      </c>
      <c r="AU286" t="e">
        <v>#DIV/0!</v>
      </c>
      <c r="AV286"/>
      <c r="AW286"/>
      <c r="FY286" s="211">
        <v>281</v>
      </c>
      <c r="FZ286">
        <v>30.197765410395412</v>
      </c>
      <c r="GA286">
        <v>39.728371180280469</v>
      </c>
      <c r="GB286">
        <v>67.102648331506444</v>
      </c>
      <c r="GC286">
        <v>3.2672140674009373</v>
      </c>
      <c r="GD286">
        <v>0.15366919315498587</v>
      </c>
      <c r="GE286">
        <v>0.25615315297242891</v>
      </c>
      <c r="GF286">
        <v>2.6786277647437533</v>
      </c>
      <c r="GG286">
        <v>9.9547926650985517</v>
      </c>
      <c r="GH286">
        <v>20.776941183465745</v>
      </c>
      <c r="GI286">
        <v>54.118387795135817</v>
      </c>
      <c r="GJ286"/>
      <c r="GK286"/>
      <c r="GL286"/>
      <c r="GM286"/>
    </row>
    <row r="287" spans="1:195" s="7" customFormat="1">
      <c r="A287" s="1"/>
      <c r="B287">
        <v>0.45201729250017042</v>
      </c>
      <c r="C287">
        <v>9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10.416666666666666</v>
      </c>
      <c r="Y287">
        <v>0</v>
      </c>
      <c r="Z287">
        <v>0</v>
      </c>
      <c r="AA287">
        <v>0</v>
      </c>
      <c r="AB287">
        <v>10.416666666666666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14.717361111111106</v>
      </c>
      <c r="AO287">
        <v>181.92634020696772</v>
      </c>
      <c r="AP287">
        <v>1446.3988102304959</v>
      </c>
      <c r="AQ287">
        <v>160.61490185283225</v>
      </c>
      <c r="AR287">
        <v>168.80361733165418</v>
      </c>
      <c r="AS287">
        <v>873.53140038450442</v>
      </c>
      <c r="AT287" t="e">
        <v>#DIV/0!</v>
      </c>
      <c r="AU287" t="e">
        <v>#DIV/0!</v>
      </c>
      <c r="AV287"/>
      <c r="AW287"/>
      <c r="FY287" s="211">
        <v>282</v>
      </c>
      <c r="FZ287">
        <v>17.961229832920893</v>
      </c>
      <c r="GA287">
        <v>19.132923134519142</v>
      </c>
      <c r="GB287">
        <v>27.714707557784529</v>
      </c>
      <c r="GC287">
        <v>1.0136996888062209</v>
      </c>
      <c r="GD287">
        <v>0.2145384094646112</v>
      </c>
      <c r="GE287">
        <v>0.76982619971400745</v>
      </c>
      <c r="GF287">
        <v>1.9986995243031895</v>
      </c>
      <c r="GG287">
        <v>3.8901614302616783</v>
      </c>
      <c r="GH287">
        <v>9.6111648241764271</v>
      </c>
      <c r="GI287">
        <v>25.28909332651255</v>
      </c>
      <c r="GJ287"/>
      <c r="GK287"/>
      <c r="GL287"/>
      <c r="GM287"/>
    </row>
    <row r="288" spans="1:195" s="7" customFormat="1">
      <c r="A288" s="1"/>
      <c r="B288">
        <v>0.22689633316590552</v>
      </c>
      <c r="C288">
        <v>10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10.416666666666666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11.81610576923077</v>
      </c>
      <c r="AO288">
        <v>122.54552578857178</v>
      </c>
      <c r="AP288">
        <v>1092.8928685897392</v>
      </c>
      <c r="AQ288">
        <v>177.7282076985928</v>
      </c>
      <c r="AR288">
        <v>113.71937390086022</v>
      </c>
      <c r="AS288">
        <v>774.76137650185535</v>
      </c>
      <c r="AT288" t="e">
        <v>#DIV/0!</v>
      </c>
      <c r="AU288" t="e">
        <v>#DIV/0!</v>
      </c>
      <c r="AV288"/>
      <c r="AW288"/>
      <c r="FY288" s="211">
        <v>283</v>
      </c>
      <c r="FZ288">
        <v>25.796719391698247</v>
      </c>
      <c r="GA288">
        <v>27.752410047934973</v>
      </c>
      <c r="GB288">
        <v>61.411672806739588</v>
      </c>
      <c r="GC288">
        <v>2.0314832784117729</v>
      </c>
      <c r="GD288">
        <v>0.29579113519597461</v>
      </c>
      <c r="GE288">
        <v>0.22199256138141404</v>
      </c>
      <c r="GF288">
        <v>1.9035250542739217</v>
      </c>
      <c r="GG288">
        <v>4.7198288426467183</v>
      </c>
      <c r="GH288">
        <v>9.6111648241764271</v>
      </c>
      <c r="GI288">
        <v>51.284373280555549</v>
      </c>
      <c r="GJ288"/>
      <c r="GK288"/>
      <c r="GL288"/>
      <c r="GM288"/>
    </row>
    <row r="289" spans="1:195" s="7" customFormat="1">
      <c r="A289" s="1"/>
      <c r="B289">
        <v>0.47414700552369471</v>
      </c>
      <c r="C289">
        <v>10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10.416666666666666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17.790624999999999</v>
      </c>
      <c r="AO289">
        <v>168.90090460674134</v>
      </c>
      <c r="AP289">
        <v>1123.5213778517179</v>
      </c>
      <c r="AQ289">
        <v>246.51005467366537</v>
      </c>
      <c r="AR289">
        <v>156.71249538178958</v>
      </c>
      <c r="AS289">
        <v>1281.0324542554908</v>
      </c>
      <c r="AT289" t="e">
        <v>#DIV/0!</v>
      </c>
      <c r="AU289" t="e">
        <v>#DIV/0!</v>
      </c>
      <c r="AV289"/>
      <c r="AW289"/>
      <c r="FY289" s="211">
        <v>284</v>
      </c>
      <c r="FZ289">
        <v>10.314744476009519</v>
      </c>
      <c r="GA289">
        <v>16.366254382025662</v>
      </c>
      <c r="GB289">
        <v>39.981608820827205</v>
      </c>
      <c r="GC289">
        <v>0.90335235302839889</v>
      </c>
      <c r="GD289">
        <v>0.1243087694477128</v>
      </c>
      <c r="GE289">
        <v>0.22659701993714865</v>
      </c>
      <c r="GF289">
        <v>2.3944175518570092</v>
      </c>
      <c r="GG289">
        <v>6.8942986472219117</v>
      </c>
      <c r="GH289">
        <v>11.165776359289314</v>
      </c>
      <c r="GI289">
        <v>40.11155019582916</v>
      </c>
      <c r="GJ289"/>
      <c r="GK289"/>
      <c r="GL289"/>
      <c r="GM289"/>
    </row>
    <row r="290" spans="1:195" s="7" customFormat="1">
      <c r="A290" s="1"/>
      <c r="B290">
        <v>0.79538518022573523</v>
      </c>
      <c r="C290">
        <v>7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11.077737713675216</v>
      </c>
      <c r="AO290">
        <v>49.976447263388025</v>
      </c>
      <c r="AP290">
        <v>324.99581380641808</v>
      </c>
      <c r="AQ290">
        <v>140.12353983363857</v>
      </c>
      <c r="AR290">
        <v>46.46617066459261</v>
      </c>
      <c r="AS290">
        <v>460.86834911819273</v>
      </c>
      <c r="AT290" t="e">
        <v>#DIV/0!</v>
      </c>
      <c r="AU290" t="e">
        <v>#DIV/0!</v>
      </c>
      <c r="AV290"/>
      <c r="AW290"/>
      <c r="FY290" s="211">
        <v>285</v>
      </c>
      <c r="FZ290">
        <v>41.227847644920246</v>
      </c>
      <c r="GA290">
        <v>45.799760086764664</v>
      </c>
      <c r="GB290">
        <v>30.639370823020062</v>
      </c>
      <c r="GC290">
        <v>0.62926706324855219</v>
      </c>
      <c r="GD290">
        <v>0.34155817171858044</v>
      </c>
      <c r="GE290">
        <v>0.59317277190068629</v>
      </c>
      <c r="GF290">
        <v>1.7380867347630993</v>
      </c>
      <c r="GG290">
        <v>2.8193007419730334</v>
      </c>
      <c r="GH290">
        <v>7.6426954455232705</v>
      </c>
      <c r="GI290">
        <v>33.436632340872755</v>
      </c>
      <c r="GJ290"/>
      <c r="GK290"/>
      <c r="GL290"/>
      <c r="GM290"/>
    </row>
    <row r="291" spans="1:195" s="7" customFormat="1">
      <c r="A291" s="1"/>
      <c r="B291">
        <v>0.3873750831582381</v>
      </c>
      <c r="C291">
        <v>9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11.17534722222222</v>
      </c>
      <c r="AO291">
        <v>55.11863844817416</v>
      </c>
      <c r="AP291">
        <v>426.143650784226</v>
      </c>
      <c r="AQ291">
        <v>137.41302808301435</v>
      </c>
      <c r="AR291">
        <v>51.114556221989233</v>
      </c>
      <c r="AS291">
        <v>486.92661182895876</v>
      </c>
      <c r="AT291" t="e">
        <v>#DIV/0!</v>
      </c>
      <c r="AU291" t="e">
        <v>#DIV/0!</v>
      </c>
      <c r="AV291"/>
      <c r="AW291"/>
      <c r="FY291" s="211">
        <v>286</v>
      </c>
      <c r="FZ291">
        <v>29.533274314346837</v>
      </c>
      <c r="GA291">
        <v>31.712112208587264</v>
      </c>
      <c r="GB291">
        <v>30.522306361966532</v>
      </c>
      <c r="GC291">
        <v>5.0740808445243308</v>
      </c>
      <c r="GD291">
        <v>0.59144161441415477</v>
      </c>
      <c r="GE291">
        <v>0.32029862908780682</v>
      </c>
      <c r="GF291">
        <v>4.0507035449744926</v>
      </c>
      <c r="GG291">
        <v>9.5851197151241507</v>
      </c>
      <c r="GH291">
        <v>20.868279070691202</v>
      </c>
      <c r="GI291">
        <v>38.746536407576038</v>
      </c>
      <c r="GJ291"/>
      <c r="GK291"/>
      <c r="GL291"/>
      <c r="GM291"/>
    </row>
    <row r="292" spans="1:195" s="7" customFormat="1">
      <c r="A292" s="1"/>
      <c r="B292">
        <v>0.19082986161214688</v>
      </c>
      <c r="C292">
        <v>1</v>
      </c>
      <c r="D292">
        <v>39847</v>
      </c>
      <c r="E292">
        <v>0</v>
      </c>
      <c r="F292">
        <v>0</v>
      </c>
      <c r="G292">
        <v>10.416666666666666</v>
      </c>
      <c r="H292">
        <v>0</v>
      </c>
      <c r="I292">
        <v>0</v>
      </c>
      <c r="J292">
        <v>10.416666666666666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11.027604166666666</v>
      </c>
      <c r="AO292">
        <v>108.94532289570429</v>
      </c>
      <c r="AP292">
        <v>601.89632387171537</v>
      </c>
      <c r="AQ292">
        <v>109.04839996450931</v>
      </c>
      <c r="AR292">
        <v>101.01758502430609</v>
      </c>
      <c r="AS292">
        <v>915.27174307940322</v>
      </c>
      <c r="AT292" t="e">
        <v>#DIV/0!</v>
      </c>
      <c r="AU292" t="e">
        <v>#DIV/0!</v>
      </c>
      <c r="AV292"/>
      <c r="AW292"/>
      <c r="FY292" s="211">
        <v>287</v>
      </c>
      <c r="FZ292">
        <v>59.428928342173862</v>
      </c>
      <c r="GA292">
        <v>60.240996984514368</v>
      </c>
      <c r="GB292">
        <v>54.555524462309087</v>
      </c>
      <c r="GC292">
        <v>1.6438703235655558</v>
      </c>
      <c r="GD292">
        <v>0.24319555328291276</v>
      </c>
      <c r="GE292">
        <v>0.63693078892751687</v>
      </c>
      <c r="GF292">
        <v>2.0545280456163195</v>
      </c>
      <c r="GG292">
        <v>1.6029780238536757</v>
      </c>
      <c r="GH292">
        <v>8.0565532890635385</v>
      </c>
      <c r="GI292">
        <v>47.272955881027357</v>
      </c>
      <c r="GJ292"/>
      <c r="GK292"/>
      <c r="GL292"/>
      <c r="GM292"/>
    </row>
    <row r="293" spans="1:195" s="7" customFormat="1">
      <c r="A293" s="1"/>
      <c r="B293">
        <v>0.88194700503577028</v>
      </c>
      <c r="C293">
        <v>2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13.210723824786323</v>
      </c>
      <c r="AO293">
        <v>48.477791909159158</v>
      </c>
      <c r="AP293">
        <v>262.27004757300404</v>
      </c>
      <c r="AQ293">
        <v>197.84494298166175</v>
      </c>
      <c r="AR293">
        <v>45.006831435003519</v>
      </c>
      <c r="AS293">
        <v>607.69711485800497</v>
      </c>
      <c r="AT293" t="e">
        <v>#DIV/0!</v>
      </c>
      <c r="AU293" t="e">
        <v>#DIV/0!</v>
      </c>
      <c r="AV293"/>
      <c r="AW293"/>
      <c r="FY293" s="211">
        <v>288</v>
      </c>
      <c r="FZ293">
        <v>23.348594733583923</v>
      </c>
      <c r="GA293">
        <v>30.916716504331646</v>
      </c>
      <c r="GB293">
        <v>98.950522989001144</v>
      </c>
      <c r="GC293">
        <v>1.7586076614078636</v>
      </c>
      <c r="GD293">
        <v>0.30121312080848733</v>
      </c>
      <c r="GE293">
        <v>0.50817084204294227</v>
      </c>
      <c r="GF293">
        <v>3.0913051454110141</v>
      </c>
      <c r="GG293">
        <v>6.7658189731511165</v>
      </c>
      <c r="GH293">
        <v>17.253860269699697</v>
      </c>
      <c r="GI293">
        <v>73.483412510556732</v>
      </c>
      <c r="GJ293"/>
      <c r="GK293"/>
      <c r="GL293"/>
      <c r="GM293"/>
    </row>
    <row r="294" spans="1:195" s="7" customFormat="1">
      <c r="A294" s="1"/>
      <c r="B294">
        <v>0.9871180004142337</v>
      </c>
      <c r="C294">
        <v>2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16.836591880341878</v>
      </c>
      <c r="AO294">
        <v>108.79770139883144</v>
      </c>
      <c r="AP294">
        <v>823.74658321399102</v>
      </c>
      <c r="AQ294">
        <v>280.68551405180835</v>
      </c>
      <c r="AR294">
        <v>100.87655676844371</v>
      </c>
      <c r="AS294">
        <v>844.60562212302352</v>
      </c>
      <c r="AT294" t="e">
        <v>#DIV/0!</v>
      </c>
      <c r="AU294" t="e">
        <v>#DIV/0!</v>
      </c>
      <c r="AV294"/>
      <c r="AW294"/>
      <c r="FY294" s="211">
        <v>289</v>
      </c>
      <c r="FZ294">
        <v>48.278920675482674</v>
      </c>
      <c r="GA294">
        <v>53.867994107168855</v>
      </c>
      <c r="GB294">
        <v>37.34108780431378</v>
      </c>
      <c r="GC294">
        <v>3.3784357621063275</v>
      </c>
      <c r="GD294">
        <v>0.31902629340176314</v>
      </c>
      <c r="GE294">
        <v>0.34571929822117142</v>
      </c>
      <c r="GF294">
        <v>2.5895629443892911</v>
      </c>
      <c r="GG294">
        <v>7.595486385536157</v>
      </c>
      <c r="GH294">
        <v>17.253860269699697</v>
      </c>
      <c r="GI294">
        <v>39.944079152016435</v>
      </c>
      <c r="GJ294"/>
      <c r="GK294"/>
      <c r="GL294"/>
      <c r="GM294"/>
    </row>
    <row r="295" spans="1:195" s="7" customFormat="1">
      <c r="A295" s="1"/>
      <c r="B295">
        <v>0.36536705594833174</v>
      </c>
      <c r="C295">
        <v>9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13.433293269230768</v>
      </c>
      <c r="AO295">
        <v>87.055165248446997</v>
      </c>
      <c r="AP295">
        <v>457.48191389289764</v>
      </c>
      <c r="AQ295">
        <v>228.84202517494165</v>
      </c>
      <c r="AR295">
        <v>80.915246308027932</v>
      </c>
      <c r="AS295">
        <v>629.89260021878783</v>
      </c>
      <c r="AT295" t="e">
        <v>#DIV/0!</v>
      </c>
      <c r="AU295" t="e">
        <v>#DIV/0!</v>
      </c>
      <c r="AV295"/>
      <c r="AW295"/>
      <c r="FY295" s="211">
        <v>290</v>
      </c>
      <c r="FZ295">
        <v>45.204253431901549</v>
      </c>
      <c r="GA295">
        <v>50.78673087607163</v>
      </c>
      <c r="GB295">
        <v>28.406478108022753</v>
      </c>
      <c r="GC295">
        <v>2.0746228450795274</v>
      </c>
      <c r="GD295">
        <v>0.22608566057860841</v>
      </c>
      <c r="GE295">
        <v>0.26118636301724629</v>
      </c>
      <c r="GF295">
        <v>2.0249702005540442</v>
      </c>
      <c r="GG295">
        <v>2.3762886353223109</v>
      </c>
      <c r="GH295">
        <v>12.08482993359531</v>
      </c>
      <c r="GI295">
        <v>34.533057000867643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15.837593482905984</v>
      </c>
      <c r="AO296">
        <v>150.48501701851211</v>
      </c>
      <c r="AP296">
        <v>999.00769024048668</v>
      </c>
      <c r="AQ296">
        <v>165.24538221190943</v>
      </c>
      <c r="AR296">
        <v>139.59240264894743</v>
      </c>
      <c r="AS296">
        <v>1249.3165158584588</v>
      </c>
      <c r="AT296" t="e">
        <v>#DIV/0!</v>
      </c>
      <c r="AU296" t="e">
        <v>#DIV/0!</v>
      </c>
      <c r="AV296"/>
      <c r="AW296"/>
      <c r="FY296" s="211">
        <v>291</v>
      </c>
      <c r="FZ296">
        <v>75.846375477361732</v>
      </c>
      <c r="GA296">
        <v>76.048514076692342</v>
      </c>
      <c r="GB296">
        <v>34.20561926875947</v>
      </c>
      <c r="GC296">
        <v>2.0164982662479374</v>
      </c>
      <c r="GD296">
        <v>0.14483293484724508</v>
      </c>
      <c r="GE296">
        <v>0.28157382210579351</v>
      </c>
      <c r="GF296">
        <v>1.0259273963560593</v>
      </c>
      <c r="GG296">
        <v>6.1209880357532764</v>
      </c>
      <c r="GH296">
        <v>15.194053003821082</v>
      </c>
      <c r="GI296">
        <v>33.951342748400307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18.432077991452992</v>
      </c>
      <c r="AO297">
        <v>196.33644799179612</v>
      </c>
      <c r="AP297">
        <v>1243.1555082921564</v>
      </c>
      <c r="AQ297">
        <v>228.23457074415455</v>
      </c>
      <c r="AR297">
        <v>182.14272190133488</v>
      </c>
      <c r="AS297">
        <v>1221.7440041681443</v>
      </c>
      <c r="AT297" t="e">
        <v>#DIV/0!</v>
      </c>
      <c r="AU297" t="e">
        <v>#DIV/0!</v>
      </c>
      <c r="AV297"/>
      <c r="AW297"/>
      <c r="FY297" s="211">
        <v>292</v>
      </c>
      <c r="FZ297">
        <v>35.364995850074628</v>
      </c>
      <c r="GA297">
        <v>36.371896961350821</v>
      </c>
      <c r="GB297">
        <v>19.626671252200484</v>
      </c>
      <c r="GC297">
        <v>1.4132913510552181</v>
      </c>
      <c r="GD297">
        <v>0.16806809305303377</v>
      </c>
      <c r="GE297">
        <v>0.52855830113148927</v>
      </c>
      <c r="GF297">
        <v>3.2659055601000659</v>
      </c>
      <c r="GG297">
        <v>11.759589519699343</v>
      </c>
      <c r="GH297">
        <v>26.451167250335857</v>
      </c>
      <c r="GI297">
        <v>28.580232841421971</v>
      </c>
      <c r="GJ297"/>
      <c r="GK297"/>
      <c r="GL297"/>
      <c r="GM297"/>
    </row>
    <row r="298" spans="1:195" s="7" customFormat="1">
      <c r="A298" s="1"/>
      <c r="B298">
        <v>0.78017493499336177</v>
      </c>
      <c r="C298">
        <v>2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9.5807291666666643</v>
      </c>
      <c r="AO298">
        <v>60.941433163793612</v>
      </c>
      <c r="AP298">
        <v>357.10537215615591</v>
      </c>
      <c r="AQ298">
        <v>107.59604392846325</v>
      </c>
      <c r="AR298">
        <v>56.543741166559087</v>
      </c>
      <c r="AS298">
        <v>504.35409315564209</v>
      </c>
      <c r="AT298" t="e">
        <v>#DIV/0!</v>
      </c>
      <c r="AU298" t="e">
        <v>#DIV/0!</v>
      </c>
      <c r="AV298"/>
      <c r="AW298"/>
      <c r="FY298" s="211">
        <v>293</v>
      </c>
      <c r="FZ298">
        <v>25.081381633182939</v>
      </c>
      <c r="GA298">
        <v>34.588006185637056</v>
      </c>
      <c r="GB298">
        <v>46.200340083919841</v>
      </c>
      <c r="GC298">
        <v>0.93347756404492932</v>
      </c>
      <c r="GD298">
        <v>0.26643071148870145</v>
      </c>
      <c r="GE298">
        <v>0.89308394189994589</v>
      </c>
      <c r="GF298">
        <v>4.2647991363388664</v>
      </c>
      <c r="GG298">
        <v>8.4409198701591812</v>
      </c>
      <c r="GH298">
        <v>15.194053003821082</v>
      </c>
      <c r="GI298">
        <v>37.493695660829296</v>
      </c>
      <c r="GJ298"/>
      <c r="GK298"/>
      <c r="GL298"/>
      <c r="GM298"/>
    </row>
    <row r="299" spans="1:195" s="7" customFormat="1">
      <c r="A299" s="1"/>
      <c r="B299">
        <v>0.74215628527861188</v>
      </c>
      <c r="C299">
        <v>1</v>
      </c>
      <c r="D299">
        <v>39910</v>
      </c>
      <c r="E299">
        <v>0</v>
      </c>
      <c r="F299">
        <v>0</v>
      </c>
      <c r="G299">
        <v>0</v>
      </c>
      <c r="H299">
        <v>20.833333333333332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11.875868055555554</v>
      </c>
      <c r="AO299">
        <v>120.18868644650838</v>
      </c>
      <c r="AP299">
        <v>890.14415586226971</v>
      </c>
      <c r="AQ299">
        <v>185.02896122301456</v>
      </c>
      <c r="AR299">
        <v>111.50065469904486</v>
      </c>
      <c r="AS299">
        <v>717.21225172665311</v>
      </c>
      <c r="AT299" t="e">
        <v>#DIV/0!</v>
      </c>
      <c r="AU299" t="e">
        <v>#DIV/0!</v>
      </c>
      <c r="AV299"/>
      <c r="AW299"/>
      <c r="FY299" s="211">
        <v>294</v>
      </c>
      <c r="FZ299">
        <v>64.27433099593577</v>
      </c>
      <c r="GA299">
        <v>59.373994634386762</v>
      </c>
      <c r="GB299">
        <v>33.960348550417564</v>
      </c>
      <c r="GC299">
        <v>0.86219927479600078</v>
      </c>
      <c r="GD299">
        <v>9.8362618435667654E-2</v>
      </c>
      <c r="GE299">
        <v>0</v>
      </c>
      <c r="GF299">
        <v>1.8631175057730112</v>
      </c>
      <c r="GG299">
        <v>4.4222787658267091</v>
      </c>
      <c r="GH299">
        <v>7.6426954455232705</v>
      </c>
      <c r="GI299">
        <v>42.715114791845608</v>
      </c>
      <c r="GJ299"/>
      <c r="GK299"/>
      <c r="GL299"/>
      <c r="GM299"/>
    </row>
    <row r="300" spans="1:195" s="7" customFormat="1">
      <c r="A300" s="1"/>
      <c r="B300">
        <v>0.78156124321038178</v>
      </c>
      <c r="C300">
        <v>5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13.684722222222224</v>
      </c>
      <c r="AO300">
        <v>114.73264269921762</v>
      </c>
      <c r="AP300">
        <v>594.39209050591819</v>
      </c>
      <c r="AQ300">
        <v>128.48290857547303</v>
      </c>
      <c r="AR300">
        <v>106.30049246706079</v>
      </c>
      <c r="AS300">
        <v>840.55721342866241</v>
      </c>
      <c r="AT300" t="e">
        <v>#DIV/0!</v>
      </c>
      <c r="AU300" t="e">
        <v>#DIV/0!</v>
      </c>
      <c r="AV300"/>
      <c r="AW300"/>
      <c r="FY300" s="211">
        <v>295</v>
      </c>
      <c r="FZ300">
        <v>34.974089294457706</v>
      </c>
      <c r="GA300">
        <v>35.569850167676584</v>
      </c>
      <c r="GB300">
        <v>30.819412880497168</v>
      </c>
      <c r="GC300">
        <v>1.7805658525714503</v>
      </c>
      <c r="GD300">
        <v>0.17961534416703098</v>
      </c>
      <c r="GE300">
        <v>0.59112266070560515</v>
      </c>
      <c r="GF300">
        <v>2.4339127285323316</v>
      </c>
      <c r="GG300">
        <v>2.8193007419730334</v>
      </c>
      <c r="GH300">
        <v>7.6426954455232705</v>
      </c>
      <c r="GI300">
        <v>34.047987612412712</v>
      </c>
      <c r="GJ300"/>
      <c r="GK300"/>
      <c r="GL300"/>
      <c r="GM300"/>
    </row>
    <row r="301" spans="1:195" s="7" customFormat="1">
      <c r="A301" s="1"/>
      <c r="B301">
        <v>0.37332486811139898</v>
      </c>
      <c r="C301">
        <v>8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10.416666666666666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10.197569444444445</v>
      </c>
      <c r="AO301">
        <v>70.071584576726963</v>
      </c>
      <c r="AP301">
        <v>291.36570537195115</v>
      </c>
      <c r="AQ301">
        <v>164.86769182470493</v>
      </c>
      <c r="AR301">
        <v>64.964969996555297</v>
      </c>
      <c r="AS301">
        <v>497.25105377346671</v>
      </c>
      <c r="AT301" t="e">
        <v>#DIV/0!</v>
      </c>
      <c r="AU301" t="e">
        <v>#DIV/0!</v>
      </c>
      <c r="AV301"/>
      <c r="AW301"/>
      <c r="FY301" s="211">
        <v>296</v>
      </c>
      <c r="FZ301">
        <v>43.556046870868208</v>
      </c>
      <c r="GA301">
        <v>52.148124893168273</v>
      </c>
      <c r="GB301">
        <v>58.419165137149932</v>
      </c>
      <c r="GC301">
        <v>2.7177731657287083</v>
      </c>
      <c r="GD301">
        <v>0.29579113519597461</v>
      </c>
      <c r="GE301">
        <v>0.32029862908780687</v>
      </c>
      <c r="GF301">
        <v>2.6786277647437533</v>
      </c>
      <c r="GG301">
        <v>6.9112810029818297</v>
      </c>
      <c r="GH301">
        <v>14.871533047506276</v>
      </c>
      <c r="GI301">
        <v>59.118419815333823</v>
      </c>
      <c r="GJ301"/>
      <c r="GK301"/>
      <c r="GL301"/>
      <c r="GM301"/>
    </row>
    <row r="302" spans="1:195" s="7" customFormat="1">
      <c r="A302" s="1"/>
      <c r="B302">
        <v>0.92930959942954527</v>
      </c>
      <c r="C302">
        <v>7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13.918402777777777</v>
      </c>
      <c r="AO302">
        <v>119.04687262075258</v>
      </c>
      <c r="AP302">
        <v>853.46126146457152</v>
      </c>
      <c r="AQ302">
        <v>171.00415271129279</v>
      </c>
      <c r="AR302">
        <v>110.43737010841168</v>
      </c>
      <c r="AS302">
        <v>586.07089550180092</v>
      </c>
      <c r="AT302" t="e">
        <v>#DIV/0!</v>
      </c>
      <c r="AU302" t="e">
        <v>#DIV/0!</v>
      </c>
      <c r="AV302"/>
      <c r="AW302"/>
      <c r="FY302" s="211">
        <v>297</v>
      </c>
      <c r="FZ302">
        <v>37.128913008791471</v>
      </c>
      <c r="GA302">
        <v>37.468685652695726</v>
      </c>
      <c r="GB302">
        <v>60.78916131720198</v>
      </c>
      <c r="GC302">
        <v>2.5714395694423935</v>
      </c>
      <c r="GD302">
        <v>0.52187679577458301</v>
      </c>
      <c r="GE302">
        <v>0.83397167582938536</v>
      </c>
      <c r="GF302">
        <v>1.8071397565006966</v>
      </c>
      <c r="GG302">
        <v>7.1524742788854336</v>
      </c>
      <c r="GH302">
        <v>12.811725781627663</v>
      </c>
      <c r="GI302">
        <v>54.319670850348764</v>
      </c>
      <c r="GJ302"/>
      <c r="GK302"/>
      <c r="GL302"/>
      <c r="GM302"/>
    </row>
    <row r="303" spans="1:195" s="7" customFormat="1">
      <c r="A303" s="1"/>
      <c r="B303">
        <v>0.86916610234351666</v>
      </c>
      <c r="C303">
        <v>7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10.449919871794872</v>
      </c>
      <c r="AO303">
        <v>79.6503479736201</v>
      </c>
      <c r="AP303">
        <v>604.59519582000871</v>
      </c>
      <c r="AQ303">
        <v>235.73646169433414</v>
      </c>
      <c r="AR303">
        <v>73.948113587347478</v>
      </c>
      <c r="AS303">
        <v>450.72665784044079</v>
      </c>
      <c r="AT303" t="e">
        <v>#DIV/0!</v>
      </c>
      <c r="AU303" t="e">
        <v>#DIV/0!</v>
      </c>
      <c r="AV303"/>
      <c r="AW303"/>
      <c r="FY303" s="211">
        <v>298</v>
      </c>
      <c r="FZ303">
        <v>8.5819575764105043</v>
      </c>
      <c r="GA303">
        <v>19.049980596542451</v>
      </c>
      <c r="GB303">
        <v>26.090964618899822</v>
      </c>
      <c r="GC303">
        <v>3.4307653979607178</v>
      </c>
      <c r="GD303">
        <v>0.51289988148904786</v>
      </c>
      <c r="GE303">
        <v>0.18787221295513531</v>
      </c>
      <c r="GF303">
        <v>0.92984055450120318</v>
      </c>
      <c r="GG303">
        <v>5.6386014839460668</v>
      </c>
      <c r="GH303">
        <v>7.2288376019830025</v>
      </c>
      <c r="GI303">
        <v>31.433852259801817</v>
      </c>
      <c r="GJ303"/>
      <c r="GK303"/>
      <c r="GL303"/>
      <c r="GM303"/>
    </row>
    <row r="304" spans="1:195" s="7" customFormat="1">
      <c r="A304" s="1"/>
      <c r="B304">
        <v>0.1138525530293848</v>
      </c>
      <c r="C304">
        <v>7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15.971180555555557</v>
      </c>
      <c r="AO304">
        <v>93.600400502410167</v>
      </c>
      <c r="AP304">
        <v>499.07024736046799</v>
      </c>
      <c r="AQ304">
        <v>256.37822274999456</v>
      </c>
      <c r="AR304">
        <v>86.921841686020414</v>
      </c>
      <c r="AS304">
        <v>692.93077691260476</v>
      </c>
      <c r="AT304" t="e">
        <v>#DIV/0!</v>
      </c>
      <c r="AU304" t="e">
        <v>#DIV/0!</v>
      </c>
      <c r="AV304"/>
      <c r="AW304"/>
      <c r="FY304" s="211">
        <v>299</v>
      </c>
      <c r="FZ304">
        <v>26.93409396494831</v>
      </c>
      <c r="GA304">
        <v>33.053975315845662</v>
      </c>
      <c r="GB304">
        <v>45.663969296675376</v>
      </c>
      <c r="GC304">
        <v>2.7670618270606644</v>
      </c>
      <c r="GD304">
        <v>0.34768343722006478</v>
      </c>
      <c r="GE304">
        <v>1.0259793526864363</v>
      </c>
      <c r="GF304">
        <v>6.0198452242154064</v>
      </c>
      <c r="GG304">
        <v>12.202601626350067</v>
      </c>
      <c r="GH304">
        <v>14.780195160280819</v>
      </c>
      <c r="GI304">
        <v>47.24390028302529</v>
      </c>
      <c r="GJ304"/>
      <c r="GK304"/>
      <c r="GL304"/>
      <c r="GM304"/>
    </row>
    <row r="305" spans="1:195" s="7" customFormat="1">
      <c r="A305" s="1"/>
      <c r="B305">
        <v>0.69078439864806107</v>
      </c>
      <c r="C305">
        <v>6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13.408814102564103</v>
      </c>
      <c r="AO305">
        <v>139.6918380923596</v>
      </c>
      <c r="AP305">
        <v>964.55777019856646</v>
      </c>
      <c r="AQ305">
        <v>210.91417269233617</v>
      </c>
      <c r="AR305">
        <v>129.62934117736199</v>
      </c>
      <c r="AS305">
        <v>765.9519321280801</v>
      </c>
      <c r="AT305" t="e">
        <v>#DIV/0!</v>
      </c>
      <c r="AU305" t="e">
        <v>#DIV/0!</v>
      </c>
      <c r="AV305"/>
      <c r="AW305"/>
      <c r="FY305" s="211">
        <v>300</v>
      </c>
      <c r="FZ305">
        <v>24.063932492099234</v>
      </c>
      <c r="GA305">
        <v>26.128785550748294</v>
      </c>
      <c r="GB305">
        <v>41.17367079422614</v>
      </c>
      <c r="GC305">
        <v>2.3235223457311087</v>
      </c>
      <c r="GD305">
        <v>0.2493208187843971</v>
      </c>
      <c r="GE305">
        <v>0.44402536592756425</v>
      </c>
      <c r="GF305">
        <v>3.3385442065674527</v>
      </c>
      <c r="GG305">
        <v>6.7658189731511165</v>
      </c>
      <c r="GH305">
        <v>17.253860269699697</v>
      </c>
      <c r="GI305">
        <v>42.178079950763546</v>
      </c>
      <c r="GJ305"/>
      <c r="GK305"/>
      <c r="GL305"/>
      <c r="GM305"/>
    </row>
    <row r="306" spans="1:195" s="7" customFormat="1">
      <c r="A306" s="1"/>
      <c r="B306">
        <v>0.98700306458786091</v>
      </c>
      <c r="C306">
        <v>8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10.416666666666666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11.793536324786322</v>
      </c>
      <c r="AO306">
        <v>86.319633235519547</v>
      </c>
      <c r="AP306">
        <v>620.41178607606196</v>
      </c>
      <c r="AQ306">
        <v>177.97850305501061</v>
      </c>
      <c r="AR306">
        <v>80.30614360421302</v>
      </c>
      <c r="AS306">
        <v>843.59872504326938</v>
      </c>
      <c r="AT306" t="e">
        <v>#DIV/0!</v>
      </c>
      <c r="AU306" t="e">
        <v>#DIV/0!</v>
      </c>
      <c r="AV306"/>
      <c r="AW306"/>
      <c r="FY306" s="211">
        <v>301</v>
      </c>
      <c r="FZ306">
        <v>28.124918617646216</v>
      </c>
      <c r="GA306">
        <v>28.38181998891444</v>
      </c>
      <c r="GB306">
        <v>22.332394963294195</v>
      </c>
      <c r="GC306">
        <v>2.1932033072250565</v>
      </c>
      <c r="GD306">
        <v>0.2287966533848648</v>
      </c>
      <c r="GE306">
        <v>0.18740321830131634</v>
      </c>
      <c r="GF306">
        <v>2.9260160538593762</v>
      </c>
      <c r="GG306">
        <v>7.4827727837033464</v>
      </c>
      <c r="GH306">
        <v>9.1973069806361583</v>
      </c>
      <c r="GI306">
        <v>24.398451365425498</v>
      </c>
      <c r="GJ306"/>
      <c r="GK306"/>
      <c r="GL306"/>
      <c r="GM306"/>
    </row>
    <row r="307" spans="1:195" s="7" customFormat="1">
      <c r="A307" s="1"/>
      <c r="B307">
        <v>0.76999464450963373</v>
      </c>
      <c r="C307">
        <v>8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10.416666666666666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9.2343349358974347</v>
      </c>
      <c r="AO307">
        <v>136.04549320208281</v>
      </c>
      <c r="AP307">
        <v>1078.8591695568171</v>
      </c>
      <c r="AQ307">
        <v>244.83572503034526</v>
      </c>
      <c r="AR307">
        <v>126.21012293241633</v>
      </c>
      <c r="AS307">
        <v>571.36963786460137</v>
      </c>
      <c r="AT307" t="e">
        <v>#DIV/0!</v>
      </c>
      <c r="AU307" t="e">
        <v>#DIV/0!</v>
      </c>
      <c r="AV307"/>
      <c r="AW307"/>
      <c r="FY307" s="211">
        <v>302</v>
      </c>
      <c r="FZ307">
        <v>42.891555774819643</v>
      </c>
      <c r="GA307">
        <v>44.343886264941098</v>
      </c>
      <c r="GB307">
        <v>60.487200957446085</v>
      </c>
      <c r="GC307">
        <v>2.8817991649029722</v>
      </c>
      <c r="GD307">
        <v>0.33328453732201685</v>
      </c>
      <c r="GE307">
        <v>5.9112266070560512E-2</v>
      </c>
      <c r="GF307">
        <v>2.6822133894735427</v>
      </c>
      <c r="GG307">
        <v>5.7513150857788764</v>
      </c>
      <c r="GH307">
        <v>7.2288376019830025</v>
      </c>
      <c r="GI307">
        <v>59.774723307656132</v>
      </c>
      <c r="GJ307"/>
      <c r="GK307"/>
      <c r="GL307"/>
      <c r="GM307"/>
    </row>
    <row r="308" spans="1:195" s="7" customFormat="1">
      <c r="A308" s="1"/>
      <c r="B308">
        <v>0.12631290646164395</v>
      </c>
      <c r="C308">
        <v>10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10.416666666666666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9.6390224358974343</v>
      </c>
      <c r="AO308">
        <v>81.396612891870333</v>
      </c>
      <c r="AP308">
        <v>661.79588754952454</v>
      </c>
      <c r="AQ308">
        <v>163.53037698042291</v>
      </c>
      <c r="AR308">
        <v>75.585186410284138</v>
      </c>
      <c r="AS308">
        <v>560.5190309344664</v>
      </c>
      <c r="AT308" t="e">
        <v>#DIV/0!</v>
      </c>
      <c r="AU308" t="e">
        <v>#DIV/0!</v>
      </c>
      <c r="AV308"/>
      <c r="AW308"/>
      <c r="FY308" s="211">
        <v>303</v>
      </c>
      <c r="FZ308">
        <v>64.003349872485217</v>
      </c>
      <c r="GA308">
        <v>65.016557363930033</v>
      </c>
      <c r="GB308">
        <v>30.905266402714791</v>
      </c>
      <c r="GC308">
        <v>2.9318960786477333</v>
      </c>
      <c r="GD308">
        <v>0.54782294678662813</v>
      </c>
      <c r="GE308">
        <v>0.76065752576727441</v>
      </c>
      <c r="GF308">
        <v>0.65633081709390995</v>
      </c>
      <c r="GG308">
        <v>5.1064841483810355</v>
      </c>
      <c r="GH308">
        <v>13.225583625167928</v>
      </c>
      <c r="GI308">
        <v>38.815806856310189</v>
      </c>
      <c r="GJ308"/>
      <c r="GK308"/>
      <c r="GL308"/>
      <c r="GM308"/>
    </row>
    <row r="309" spans="1:195" s="7" customFormat="1">
      <c r="A309" s="1"/>
      <c r="B309">
        <v>0.66473970571480478</v>
      </c>
      <c r="C309">
        <v>8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20.833333333333332</v>
      </c>
      <c r="J309">
        <v>10.416666666666666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11.781944444444445</v>
      </c>
      <c r="AO309">
        <v>70.859316824262379</v>
      </c>
      <c r="AP309">
        <v>639.74926218834753</v>
      </c>
      <c r="AQ309">
        <v>173.35618779132184</v>
      </c>
      <c r="AR309">
        <v>65.732186233855714</v>
      </c>
      <c r="AS309">
        <v>338.96351215585423</v>
      </c>
      <c r="AT309" t="e">
        <v>#DIV/0!</v>
      </c>
      <c r="AU309" t="e">
        <v>#DIV/0!</v>
      </c>
      <c r="AV309"/>
      <c r="AW309"/>
      <c r="FY309" s="211">
        <v>304</v>
      </c>
      <c r="FZ309">
        <v>42.327273707588517</v>
      </c>
      <c r="GA309">
        <v>52.577885064849397</v>
      </c>
      <c r="GB309">
        <v>15.502174664753325</v>
      </c>
      <c r="GC309">
        <v>2.774246569973311</v>
      </c>
      <c r="GD309">
        <v>0.42622517014517181</v>
      </c>
      <c r="GE309">
        <v>0.64106625282943253</v>
      </c>
      <c r="GF309">
        <v>4.0209964719530333</v>
      </c>
      <c r="GG309">
        <v>7.7409484153668693</v>
      </c>
      <c r="GH309">
        <v>10.843256402974506</v>
      </c>
      <c r="GI309">
        <v>33.710740390560801</v>
      </c>
      <c r="GJ309"/>
      <c r="GK309"/>
      <c r="GL309"/>
      <c r="GM309"/>
    </row>
    <row r="310" spans="1:195" s="7" customFormat="1">
      <c r="A310" s="1"/>
      <c r="B310">
        <v>0.74727789240244435</v>
      </c>
      <c r="C310">
        <v>3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10.416666666666666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11.531944444444443</v>
      </c>
      <c r="AO310">
        <v>111.75595003376789</v>
      </c>
      <c r="AP310">
        <v>741.78622168993945</v>
      </c>
      <c r="AQ310">
        <v>215.21244258294035</v>
      </c>
      <c r="AR310">
        <v>103.6615548905753</v>
      </c>
      <c r="AS310">
        <v>1495.55922635395</v>
      </c>
      <c r="AT310" t="e">
        <v>#DIV/0!</v>
      </c>
      <c r="AU310" t="e">
        <v>#DIV/0!</v>
      </c>
      <c r="AV310"/>
      <c r="AW310"/>
      <c r="FY310" s="211">
        <v>305</v>
      </c>
      <c r="FZ310">
        <v>65.736136772084237</v>
      </c>
      <c r="GA310">
        <v>68.899867388701466</v>
      </c>
      <c r="GB310">
        <v>65.519453319740819</v>
      </c>
      <c r="GC310">
        <v>2.8719809704630421</v>
      </c>
      <c r="GD310">
        <v>0.38246584653985072</v>
      </c>
      <c r="GE310">
        <v>0.25201768907051325</v>
      </c>
      <c r="GF310">
        <v>2.1364780152211202</v>
      </c>
      <c r="GG310">
        <v>2.3199318344059066</v>
      </c>
      <c r="GH310">
        <v>4.0282766445317693</v>
      </c>
      <c r="GI310">
        <v>59.91546395461625</v>
      </c>
      <c r="GJ310"/>
      <c r="GK310"/>
      <c r="GL310"/>
      <c r="GM310"/>
    </row>
    <row r="311" spans="1:195" s="7" customFormat="1">
      <c r="A311" s="1"/>
      <c r="B311">
        <v>0.66393802569863425</v>
      </c>
      <c r="C311">
        <v>5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10.577216880341879</v>
      </c>
      <c r="AO311">
        <v>49.191046261296968</v>
      </c>
      <c r="AP311">
        <v>348.01338614075587</v>
      </c>
      <c r="AQ311">
        <v>150.85855272851691</v>
      </c>
      <c r="AR311">
        <v>45.675979622029303</v>
      </c>
      <c r="AS311">
        <v>478.75786108143495</v>
      </c>
      <c r="AT311" t="e">
        <v>#DIV/0!</v>
      </c>
      <c r="AU311" t="e">
        <v>#DIV/0!</v>
      </c>
      <c r="AV311"/>
      <c r="AW311"/>
      <c r="FY311" s="211">
        <v>306</v>
      </c>
      <c r="FZ311">
        <v>14.495656033722861</v>
      </c>
      <c r="GA311">
        <v>25.063898343409299</v>
      </c>
      <c r="GB311">
        <v>30.628939616761706</v>
      </c>
      <c r="GC311">
        <v>0.97140304431264901</v>
      </c>
      <c r="GD311">
        <v>0.23777356767039992</v>
      </c>
      <c r="GE311">
        <v>0.47401025045192718</v>
      </c>
      <c r="GF311">
        <v>1.9035250542739217</v>
      </c>
      <c r="GG311">
        <v>3.7053249552744782</v>
      </c>
      <c r="GH311">
        <v>15.699248734586812</v>
      </c>
      <c r="GI311">
        <v>33.432833047537059</v>
      </c>
      <c r="GJ311"/>
      <c r="GK311"/>
      <c r="GL311"/>
      <c r="GM311"/>
    </row>
    <row r="312" spans="1:195" s="7" customFormat="1">
      <c r="A312" s="1"/>
      <c r="B312">
        <v>0.32892596434304089</v>
      </c>
      <c r="C312">
        <v>2</v>
      </c>
      <c r="D312">
        <v>39949</v>
      </c>
      <c r="E312">
        <v>0</v>
      </c>
      <c r="F312">
        <v>0</v>
      </c>
      <c r="G312">
        <v>0</v>
      </c>
      <c r="H312">
        <v>10.416666666666666</v>
      </c>
      <c r="I312">
        <v>20.833333333333332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21.557077991452992</v>
      </c>
      <c r="AO312">
        <v>201.0967291227276</v>
      </c>
      <c r="AP312">
        <v>974.41824458061558</v>
      </c>
      <c r="AQ312">
        <v>241.03706146176461</v>
      </c>
      <c r="AR312">
        <v>186.55856710628061</v>
      </c>
      <c r="AS312">
        <v>1732.7996756039552</v>
      </c>
      <c r="AT312" t="e">
        <v>#DIV/0!</v>
      </c>
      <c r="AU312" t="e">
        <v>#DIV/0!</v>
      </c>
      <c r="AV312"/>
      <c r="AW312"/>
      <c r="FY312" s="211">
        <v>307</v>
      </c>
      <c r="FZ312">
        <v>37.693195076022597</v>
      </c>
      <c r="GA312">
        <v>36.789286558864262</v>
      </c>
      <c r="GB312">
        <v>30.233542148489072</v>
      </c>
      <c r="GC312">
        <v>3.0895928559982853</v>
      </c>
      <c r="GD312">
        <v>0.17690435136077456</v>
      </c>
      <c r="GE312">
        <v>9.3701609150658172E-2</v>
      </c>
      <c r="GF312">
        <v>2.2030070120137006</v>
      </c>
      <c r="GG312">
        <v>11.759589519699343</v>
      </c>
      <c r="GH312">
        <v>22.422890605804085</v>
      </c>
      <c r="GI312">
        <v>32.794889560759486</v>
      </c>
      <c r="GJ312"/>
      <c r="GK312"/>
      <c r="GL312"/>
      <c r="GM312"/>
    </row>
    <row r="313" spans="1:195" s="7" customFormat="1">
      <c r="A313" s="1"/>
      <c r="B313">
        <v>0.22171509089309449</v>
      </c>
      <c r="C313">
        <v>4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14.339930555555554</v>
      </c>
      <c r="AO313">
        <v>66.635085477466461</v>
      </c>
      <c r="AP313">
        <v>393.02858755537488</v>
      </c>
      <c r="AQ313">
        <v>215.40505868709809</v>
      </c>
      <c r="AR313">
        <v>61.698979994846241</v>
      </c>
      <c r="AS313">
        <v>408.88007085336301</v>
      </c>
      <c r="AT313" t="e">
        <v>#DIV/0!</v>
      </c>
      <c r="AU313" t="e">
        <v>#DIV/0!</v>
      </c>
      <c r="AV313"/>
      <c r="AW313"/>
      <c r="FY313" s="211">
        <v>308</v>
      </c>
      <c r="FZ313">
        <v>41.227847644920246</v>
      </c>
      <c r="GA313">
        <v>48.271465957815437</v>
      </c>
      <c r="GB313">
        <v>40.801591303047807</v>
      </c>
      <c r="GC313">
        <v>2.3837727677641696</v>
      </c>
      <c r="GD313">
        <v>0.36820760261959706</v>
      </c>
      <c r="GE313">
        <v>1.1247141718819118</v>
      </c>
      <c r="GF313">
        <v>3.8725175055556518</v>
      </c>
      <c r="GG313">
        <v>3.7053249552744782</v>
      </c>
      <c r="GH313">
        <v>7.6426954455232705</v>
      </c>
      <c r="GI313">
        <v>39.460391240223444</v>
      </c>
      <c r="GJ313"/>
      <c r="GK313"/>
      <c r="GL313"/>
      <c r="GM313"/>
    </row>
    <row r="314" spans="1:195" s="7" customFormat="1">
      <c r="A314" s="1"/>
      <c r="B314">
        <v>0.78484820061480742</v>
      </c>
      <c r="C314">
        <v>7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11.019925213675211</v>
      </c>
      <c r="AO314">
        <v>91.027440093448462</v>
      </c>
      <c r="AP314">
        <v>860.16560284554998</v>
      </c>
      <c r="AQ314">
        <v>103.08557218448976</v>
      </c>
      <c r="AR314">
        <v>84.441039047725866</v>
      </c>
      <c r="AS314">
        <v>619.17081660721772</v>
      </c>
      <c r="AT314" t="e">
        <v>#DIV/0!</v>
      </c>
      <c r="AU314" t="e">
        <v>#DIV/0!</v>
      </c>
      <c r="AV314"/>
      <c r="AW314"/>
      <c r="FY314" s="211">
        <v>309</v>
      </c>
      <c r="FZ314">
        <v>41.974315662553394</v>
      </c>
      <c r="GA314">
        <v>46.415968536229705</v>
      </c>
      <c r="GB314">
        <v>59.305999274900472</v>
      </c>
      <c r="GC314">
        <v>3.8984203504087169</v>
      </c>
      <c r="GD314">
        <v>0.57105810499241683</v>
      </c>
      <c r="GE314">
        <v>0.82480300188265243</v>
      </c>
      <c r="GF314">
        <v>2.7144444874400189</v>
      </c>
      <c r="GG314">
        <v>5.5494962550317588</v>
      </c>
      <c r="GH314">
        <v>5.582888179644657</v>
      </c>
      <c r="GI314">
        <v>53.998044866033311</v>
      </c>
      <c r="GJ314"/>
      <c r="GK314"/>
      <c r="GL314"/>
      <c r="GM314"/>
    </row>
    <row r="315" spans="1:195" s="7" customFormat="1">
      <c r="A315" s="1"/>
      <c r="B315">
        <v>8.2205377356712184E-2</v>
      </c>
      <c r="C315">
        <v>1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18.068843482905983</v>
      </c>
      <c r="AO315">
        <v>157.04748356845033</v>
      </c>
      <c r="AP315">
        <v>1032.5780795006865</v>
      </c>
      <c r="AQ315">
        <v>190.03930548830806</v>
      </c>
      <c r="AR315">
        <v>145.54520627597066</v>
      </c>
      <c r="AS315">
        <v>1107.2432010553484</v>
      </c>
      <c r="AT315" t="e">
        <v>#DIV/0!</v>
      </c>
      <c r="AU315" t="e">
        <v>#DIV/0!</v>
      </c>
      <c r="AV315"/>
      <c r="AW315"/>
      <c r="FY315" s="211">
        <v>310</v>
      </c>
      <c r="FZ315">
        <v>22.362275851618055</v>
      </c>
      <c r="GA315">
        <v>29.697280113143982</v>
      </c>
      <c r="GB315">
        <v>31.914755366131192</v>
      </c>
      <c r="GC315">
        <v>3.0309936085522109</v>
      </c>
      <c r="GD315">
        <v>0.29850212800223097</v>
      </c>
      <c r="GE315">
        <v>0.58195398675887211</v>
      </c>
      <c r="GF315">
        <v>4.0794982461703642</v>
      </c>
      <c r="GG315">
        <v>9.085750807557023</v>
      </c>
      <c r="GH315">
        <v>9.1973069806361583</v>
      </c>
      <c r="GI315">
        <v>41.096054837582344</v>
      </c>
      <c r="GJ315"/>
      <c r="GK315"/>
      <c r="GL315"/>
      <c r="GM315"/>
    </row>
    <row r="316" spans="1:195" s="7" customFormat="1">
      <c r="A316" s="1"/>
      <c r="B316">
        <v>0.39785139374776346</v>
      </c>
      <c r="C316">
        <v>10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10.416666666666666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14.676348824786322</v>
      </c>
      <c r="AO316">
        <v>153.09145892647075</v>
      </c>
      <c r="AP316">
        <v>843.08054383124681</v>
      </c>
      <c r="AQ316">
        <v>163.91956076769856</v>
      </c>
      <c r="AR316">
        <v>142.06348564201139</v>
      </c>
      <c r="AS316">
        <v>1191.3994523138197</v>
      </c>
      <c r="AT316" t="e">
        <v>#DIV/0!</v>
      </c>
      <c r="AU316" t="e">
        <v>#DIV/0!</v>
      </c>
      <c r="AV316"/>
      <c r="AW316"/>
      <c r="FY316" s="211">
        <v>311</v>
      </c>
      <c r="FZ316">
        <v>37.995306458590989</v>
      </c>
      <c r="GA316">
        <v>42.269818097793511</v>
      </c>
      <c r="GB316">
        <v>37.170395701825129</v>
      </c>
      <c r="GC316">
        <v>2.3336758540194089</v>
      </c>
      <c r="GD316">
        <v>0.27526696979644222</v>
      </c>
      <c r="GE316">
        <v>0.28157382210579351</v>
      </c>
      <c r="GF316">
        <v>2.8629234538374</v>
      </c>
      <c r="GG316">
        <v>8.5536334719919918</v>
      </c>
      <c r="GH316">
        <v>15.194053003821082</v>
      </c>
      <c r="GI316">
        <v>40.73919355287363</v>
      </c>
      <c r="GJ316"/>
      <c r="GK316"/>
      <c r="GL316"/>
      <c r="GM316"/>
    </row>
    <row r="317" spans="1:195" s="7" customFormat="1">
      <c r="A317" s="1"/>
      <c r="B317">
        <v>0.78347274685578316</v>
      </c>
      <c r="C317">
        <v>3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10.416666666666666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7.9827724358974352</v>
      </c>
      <c r="AO317">
        <v>72.644240314779978</v>
      </c>
      <c r="AP317">
        <v>555.48803336274034</v>
      </c>
      <c r="AQ317">
        <v>125.45308393239047</v>
      </c>
      <c r="AR317">
        <v>67.331293318510845</v>
      </c>
      <c r="AS317">
        <v>410.29790159013669</v>
      </c>
      <c r="AT317" t="e">
        <v>#DIV/0!</v>
      </c>
      <c r="AU317" t="e">
        <v>#DIV/0!</v>
      </c>
      <c r="AV317"/>
      <c r="AW317"/>
      <c r="FY317" s="211">
        <v>312</v>
      </c>
      <c r="FZ317">
        <v>22.06016446904966</v>
      </c>
      <c r="GA317">
        <v>27.67601791205411</v>
      </c>
      <c r="GB317">
        <v>52.16321455118748</v>
      </c>
      <c r="GC317">
        <v>2.3600240472474816</v>
      </c>
      <c r="GD317">
        <v>0.33328453732201685</v>
      </c>
      <c r="GE317">
        <v>0.12829095223075584</v>
      </c>
      <c r="GF317">
        <v>1.3686393834601345</v>
      </c>
      <c r="GG317">
        <v>7.4827727837033464</v>
      </c>
      <c r="GH317">
        <v>13.225583625167928</v>
      </c>
      <c r="GI317">
        <v>46.674487050553829</v>
      </c>
      <c r="GJ317"/>
      <c r="GK317"/>
      <c r="GL317"/>
      <c r="GM317"/>
    </row>
    <row r="318" spans="1:195" s="7" customFormat="1">
      <c r="A318" s="1"/>
      <c r="B318">
        <v>0.26500177647300038</v>
      </c>
      <c r="C318">
        <v>10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15.546006944444446</v>
      </c>
      <c r="AO318">
        <v>154.38870963828657</v>
      </c>
      <c r="AP318">
        <v>1061.1254822362439</v>
      </c>
      <c r="AQ318">
        <v>226.43392835039396</v>
      </c>
      <c r="AR318">
        <v>143.11617558567622</v>
      </c>
      <c r="AS318">
        <v>1133.6389022068252</v>
      </c>
      <c r="AT318" t="e">
        <v>#DIV/0!</v>
      </c>
      <c r="AU318" t="e">
        <v>#DIV/0!</v>
      </c>
      <c r="AV318"/>
      <c r="AW318"/>
      <c r="FY318" s="211">
        <v>313</v>
      </c>
      <c r="FZ318">
        <v>37.422213952572037</v>
      </c>
      <c r="GA318">
        <v>38.124498576704056</v>
      </c>
      <c r="GB318">
        <v>40.943986887465954</v>
      </c>
      <c r="GC318">
        <v>1.9602049891628444</v>
      </c>
      <c r="GD318">
        <v>0.20013950956656329</v>
      </c>
      <c r="GE318">
        <v>0.22659701993714865</v>
      </c>
      <c r="GF318">
        <v>3.2458937614832011</v>
      </c>
      <c r="GG318">
        <v>11.687466646544953</v>
      </c>
      <c r="GH318">
        <v>16.426144582619159</v>
      </c>
      <c r="GI318">
        <v>48.993276883030369</v>
      </c>
      <c r="GJ318"/>
      <c r="GK318"/>
      <c r="GL318"/>
      <c r="GM318"/>
    </row>
    <row r="319" spans="1:195" s="7" customFormat="1">
      <c r="A319" s="1"/>
      <c r="B319">
        <v>0.96374301466464374</v>
      </c>
      <c r="C319">
        <v>4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12.386111111111111</v>
      </c>
      <c r="AO319">
        <v>97.419540829842532</v>
      </c>
      <c r="AP319">
        <v>627.2248044510643</v>
      </c>
      <c r="AQ319">
        <v>221.96975563728472</v>
      </c>
      <c r="AR319">
        <v>90.439752472273383</v>
      </c>
      <c r="AS319">
        <v>692.41123707900852</v>
      </c>
      <c r="AT319" t="e">
        <v>#DIV/0!</v>
      </c>
      <c r="AU319" t="e">
        <v>#DIV/0!</v>
      </c>
      <c r="AV319"/>
      <c r="AW319"/>
      <c r="FY319" s="211">
        <v>314</v>
      </c>
      <c r="FZ319">
        <v>53.244248761410937</v>
      </c>
      <c r="GA319">
        <v>51.254940543783832</v>
      </c>
      <c r="GB319">
        <v>29.406223076744745</v>
      </c>
      <c r="GC319">
        <v>1.5954245844077817</v>
      </c>
      <c r="GD319">
        <v>0.28966586969449015</v>
      </c>
      <c r="GE319">
        <v>0.98725454570442295</v>
      </c>
      <c r="GF319">
        <v>3.2423081367534121</v>
      </c>
      <c r="GG319">
        <v>6.7094621722347103</v>
      </c>
      <c r="GH319">
        <v>13.225583625167928</v>
      </c>
      <c r="GI319">
        <v>38.000761822229748</v>
      </c>
      <c r="GJ319"/>
      <c r="GK319"/>
      <c r="GL319"/>
      <c r="GM319"/>
    </row>
    <row r="320" spans="1:195" s="7" customFormat="1">
      <c r="A320" s="1"/>
      <c r="B320">
        <v>0.42220720410112622</v>
      </c>
      <c r="C320">
        <v>2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20.139409722222219</v>
      </c>
      <c r="AO320">
        <v>138.51511515929386</v>
      </c>
      <c r="AP320">
        <v>739.89318342806723</v>
      </c>
      <c r="AQ320">
        <v>170.56481311099438</v>
      </c>
      <c r="AR320">
        <v>128.36622471089856</v>
      </c>
      <c r="AS320">
        <v>1269.916259845997</v>
      </c>
      <c r="AT320" t="e">
        <v>#DIV/0!</v>
      </c>
      <c r="AU320" t="e">
        <v>#DIV/0!</v>
      </c>
      <c r="AV320"/>
      <c r="AW320"/>
      <c r="FY320" s="211">
        <v>315</v>
      </c>
      <c r="FZ320">
        <v>42.214166526886117</v>
      </c>
      <c r="GA320">
        <v>45.607592324231689</v>
      </c>
      <c r="GB320">
        <v>56.066161515697488</v>
      </c>
      <c r="GC320">
        <v>0.7987212547982615</v>
      </c>
      <c r="GD320">
        <v>0.16806809305303377</v>
      </c>
      <c r="GE320">
        <v>0.44905857597238164</v>
      </c>
      <c r="GF320">
        <v>1.8334104327515515</v>
      </c>
      <c r="GG320">
        <v>8.6990955018227059</v>
      </c>
      <c r="GH320">
        <v>12.811725781627663</v>
      </c>
      <c r="GI320">
        <v>50.320856644577148</v>
      </c>
      <c r="GJ320"/>
      <c r="GK320"/>
      <c r="GL320"/>
      <c r="GM320"/>
    </row>
    <row r="321" spans="1:195" s="7" customFormat="1">
      <c r="A321" s="1"/>
      <c r="B321">
        <v>0.83069560783219787</v>
      </c>
      <c r="C321">
        <v>8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13.66128472222222</v>
      </c>
      <c r="AO321">
        <v>75.934928148523909</v>
      </c>
      <c r="AP321">
        <v>467.70484280836132</v>
      </c>
      <c r="AQ321">
        <v>272.06207243537494</v>
      </c>
      <c r="AR321">
        <v>70.387539932554645</v>
      </c>
      <c r="AS321">
        <v>646.76019531632551</v>
      </c>
      <c r="AT321" t="e">
        <v>#DIV/0!</v>
      </c>
      <c r="AU321" t="e">
        <v>#DIV/0!</v>
      </c>
      <c r="AV321"/>
      <c r="AW321"/>
      <c r="FY321" s="211">
        <v>316</v>
      </c>
      <c r="FZ321">
        <v>17.365817506571943</v>
      </c>
      <c r="GA321">
        <v>24.434488402429835</v>
      </c>
      <c r="GB321">
        <v>49.091254165802738</v>
      </c>
      <c r="GC321">
        <v>3.3593069815522796</v>
      </c>
      <c r="GD321">
        <v>0.17961534416703098</v>
      </c>
      <c r="GE321">
        <v>0.26118636301724629</v>
      </c>
      <c r="GF321">
        <v>2.2460878134188125</v>
      </c>
      <c r="GG321">
        <v>6.5246256972475116</v>
      </c>
      <c r="GH321">
        <v>11.257114246514771</v>
      </c>
      <c r="GI321">
        <v>41.944367393608815</v>
      </c>
      <c r="GJ321"/>
      <c r="GK321"/>
      <c r="GL321"/>
      <c r="GM321"/>
    </row>
    <row r="322" spans="1:195" s="7" customFormat="1">
      <c r="A322" s="1"/>
      <c r="B322">
        <v>0.47338356720576891</v>
      </c>
      <c r="C322">
        <v>2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10.599959935897434</v>
      </c>
      <c r="AO322">
        <v>109.18060904597493</v>
      </c>
      <c r="AP322">
        <v>723.97184046205814</v>
      </c>
      <c r="AQ322">
        <v>126.61261264800113</v>
      </c>
      <c r="AR322">
        <v>101.45223153950913</v>
      </c>
      <c r="AS322">
        <v>558.6730868689059</v>
      </c>
      <c r="AT322" t="e">
        <v>#DIV/0!</v>
      </c>
      <c r="AU322" t="e">
        <v>#DIV/0!</v>
      </c>
      <c r="AV322"/>
      <c r="AW322"/>
      <c r="FY322" s="211">
        <v>317</v>
      </c>
      <c r="FZ322">
        <v>35.094014726624074</v>
      </c>
      <c r="GA322">
        <v>35.87146413853791</v>
      </c>
      <c r="GB322">
        <v>33.646499991156482</v>
      </c>
      <c r="GC322">
        <v>4.5760544473855287</v>
      </c>
      <c r="GD322">
        <v>0.51018888868279144</v>
      </c>
      <c r="GE322">
        <v>0.18787221295513531</v>
      </c>
      <c r="GF322">
        <v>1.8369960574813406</v>
      </c>
      <c r="GG322">
        <v>8.5536334719919918</v>
      </c>
      <c r="GH322">
        <v>15.194053003821082</v>
      </c>
      <c r="GI322">
        <v>42.315191255907926</v>
      </c>
      <c r="GJ322"/>
      <c r="GK322"/>
      <c r="GL322"/>
      <c r="GM322"/>
    </row>
    <row r="323" spans="1:195" s="7" customFormat="1">
      <c r="A323" s="1"/>
      <c r="B323">
        <v>0.35408873912652705</v>
      </c>
      <c r="C323">
        <v>4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11.133814102564099</v>
      </c>
      <c r="AO323">
        <v>104.03895765986519</v>
      </c>
      <c r="AP323">
        <v>643.92177058231209</v>
      </c>
      <c r="AQ323">
        <v>177.25659929816226</v>
      </c>
      <c r="AR323">
        <v>96.474592522657559</v>
      </c>
      <c r="AS323">
        <v>711.18984437565393</v>
      </c>
      <c r="AT323" t="e">
        <v>#DIV/0!</v>
      </c>
      <c r="AU323" t="e">
        <v>#DIV/0!</v>
      </c>
      <c r="AV323"/>
      <c r="AW323"/>
      <c r="FY323" s="211">
        <v>318</v>
      </c>
      <c r="FZ323">
        <v>46.426208343717292</v>
      </c>
      <c r="GA323">
        <v>53.354359792841507</v>
      </c>
      <c r="GB323">
        <v>67.124680557194466</v>
      </c>
      <c r="GC323">
        <v>2.3235223457311087</v>
      </c>
      <c r="GD323">
        <v>0.32173728620801967</v>
      </c>
      <c r="GE323">
        <v>0.73980107202490819</v>
      </c>
      <c r="GF323">
        <v>2.5562702466380425</v>
      </c>
      <c r="GG323">
        <v>2.8193007419730334</v>
      </c>
      <c r="GH323">
        <v>7.6426954455232705</v>
      </c>
      <c r="GI323">
        <v>57.114402039360137</v>
      </c>
      <c r="GJ323"/>
      <c r="GK323"/>
      <c r="GL323"/>
      <c r="GM323"/>
    </row>
    <row r="324" spans="1:195" s="7" customFormat="1">
      <c r="A324" s="1"/>
      <c r="B324">
        <v>0.32553051523644427</v>
      </c>
      <c r="C324">
        <v>6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14.599612713675214</v>
      </c>
      <c r="AO324">
        <v>135.25715034495994</v>
      </c>
      <c r="AP324">
        <v>1133.0774521254914</v>
      </c>
      <c r="AQ324">
        <v>188.85852859462602</v>
      </c>
      <c r="AR324">
        <v>125.44145715955062</v>
      </c>
      <c r="AS324">
        <v>849.38628598243702</v>
      </c>
      <c r="AT324" t="e">
        <v>#DIV/0!</v>
      </c>
      <c r="AU324" t="e">
        <v>#DIV/0!</v>
      </c>
      <c r="AV324"/>
      <c r="AW324"/>
      <c r="FY324" s="211">
        <v>319</v>
      </c>
      <c r="FZ324">
        <v>55.301466863908345</v>
      </c>
      <c r="GA324">
        <v>57.52691321430656</v>
      </c>
      <c r="GB324">
        <v>51.956279134785802</v>
      </c>
      <c r="GC324">
        <v>3.3218230030956097</v>
      </c>
      <c r="GD324">
        <v>0.39144276082538576</v>
      </c>
      <c r="GE324">
        <v>0.69604305499807739</v>
      </c>
      <c r="GF324">
        <v>2.652506316452083</v>
      </c>
      <c r="GG324">
        <v>0.82966741238504016</v>
      </c>
      <c r="GH324">
        <v>8.0565532890635385</v>
      </c>
      <c r="GI324">
        <v>56.214470898563519</v>
      </c>
      <c r="GJ324"/>
      <c r="GK324"/>
      <c r="GL324"/>
      <c r="GM324"/>
    </row>
    <row r="325" spans="1:195" s="7" customFormat="1">
      <c r="A325" s="1"/>
      <c r="B325">
        <v>0.69370718809140386</v>
      </c>
      <c r="C325">
        <v>2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15.829473824786325</v>
      </c>
      <c r="AO325">
        <v>131.08734726209968</v>
      </c>
      <c r="AP325">
        <v>1194.2116015829788</v>
      </c>
      <c r="AQ325">
        <v>220.83543871911706</v>
      </c>
      <c r="AR325">
        <v>121.45530822039326</v>
      </c>
      <c r="AS325">
        <v>872.17500572606082</v>
      </c>
      <c r="AT325" t="e">
        <v>#DIV/0!</v>
      </c>
      <c r="AU325" t="e">
        <v>#DIV/0!</v>
      </c>
      <c r="AV325"/>
      <c r="AW325"/>
      <c r="FY325" s="211">
        <v>320</v>
      </c>
      <c r="FZ325">
        <v>28.193997387345838</v>
      </c>
      <c r="GA325">
        <v>33.933024178975472</v>
      </c>
      <c r="GB325">
        <v>43.19736794977603</v>
      </c>
      <c r="GC325">
        <v>2.1931372007102929</v>
      </c>
      <c r="GD325">
        <v>0.20013950956656329</v>
      </c>
      <c r="GE325">
        <v>8.8668399105840776E-2</v>
      </c>
      <c r="GF325">
        <v>4.3907422791743667</v>
      </c>
      <c r="GG325">
        <v>11.372934213965024</v>
      </c>
      <c r="GH325">
        <v>18.808471804812587</v>
      </c>
      <c r="GI325">
        <v>43.969553531208149</v>
      </c>
      <c r="GJ325"/>
      <c r="GK325"/>
      <c r="GL325"/>
      <c r="GM325"/>
    </row>
    <row r="326" spans="1:195" s="7" customFormat="1">
      <c r="A326" s="1"/>
      <c r="B326">
        <v>0.59219728599885801</v>
      </c>
      <c r="C326">
        <v>9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17.857558760683762</v>
      </c>
      <c r="AO326">
        <v>114.55870982482202</v>
      </c>
      <c r="AP326">
        <v>601.03034054501222</v>
      </c>
      <c r="AQ326">
        <v>151.34437192615241</v>
      </c>
      <c r="AR326">
        <v>106.15503226512041</v>
      </c>
      <c r="AS326">
        <v>1139.9527018019216</v>
      </c>
      <c r="AT326" t="e">
        <v>#DIV/0!</v>
      </c>
      <c r="AU326" t="e">
        <v>#DIV/0!</v>
      </c>
      <c r="AV326"/>
      <c r="AW326"/>
      <c r="FY326" s="211">
        <v>321</v>
      </c>
      <c r="FZ326">
        <v>61.110868579306143</v>
      </c>
      <c r="GA326">
        <v>63.230901676129335</v>
      </c>
      <c r="GB326">
        <v>79.810044446322081</v>
      </c>
      <c r="GC326">
        <v>1.3921099755510502</v>
      </c>
      <c r="GD326">
        <v>0.14212194204098863</v>
      </c>
      <c r="GE326">
        <v>0.34571929822117142</v>
      </c>
      <c r="GF326">
        <v>2.394566779816194</v>
      </c>
      <c r="GG326">
        <v>12.589256932084382</v>
      </c>
      <c r="GH326">
        <v>22.422890605804085</v>
      </c>
      <c r="GI326">
        <v>66.063375063065038</v>
      </c>
      <c r="GJ326"/>
      <c r="GK326"/>
      <c r="GL326"/>
      <c r="GM326"/>
    </row>
    <row r="327" spans="1:195" s="7" customFormat="1">
      <c r="A327" s="1"/>
      <c r="B327">
        <v>0.48895825517960501</v>
      </c>
      <c r="C327">
        <v>9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12.061418269230769</v>
      </c>
      <c r="AO327">
        <v>74.108639205619198</v>
      </c>
      <c r="AP327">
        <v>474.34153904390428</v>
      </c>
      <c r="AQ327">
        <v>187.67584038665541</v>
      </c>
      <c r="AR327">
        <v>68.665051990423507</v>
      </c>
      <c r="AS327">
        <v>779.12167627009569</v>
      </c>
      <c r="AT327" t="e">
        <v>#DIV/0!</v>
      </c>
      <c r="AU327" t="e">
        <v>#DIV/0!</v>
      </c>
      <c r="AV327"/>
      <c r="AW327"/>
      <c r="FY327" s="211">
        <v>322</v>
      </c>
      <c r="FZ327">
        <v>58.562534892374352</v>
      </c>
      <c r="GA327">
        <v>59.323174564188015</v>
      </c>
      <c r="GB327">
        <v>48.821628333052985</v>
      </c>
      <c r="GC327">
        <v>3.7648737139379858</v>
      </c>
      <c r="GD327">
        <v>0.42893616295142811</v>
      </c>
      <c r="GE327">
        <v>0.51320405208775954</v>
      </c>
      <c r="GF327">
        <v>1.3684901555009499</v>
      </c>
      <c r="GG327">
        <v>4.8652908724774315</v>
      </c>
      <c r="GH327">
        <v>15.285390891046541</v>
      </c>
      <c r="GI327">
        <v>52.034526678399928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10.498263888888888</v>
      </c>
      <c r="AO328">
        <v>92.082067917658634</v>
      </c>
      <c r="AP328">
        <v>842.32093245952672</v>
      </c>
      <c r="AQ328">
        <v>173.47247931197674</v>
      </c>
      <c r="AR328">
        <v>85.500933705877173</v>
      </c>
      <c r="AS328">
        <v>441.69378848569824</v>
      </c>
      <c r="AT328" t="e">
        <v>#DIV/0!</v>
      </c>
      <c r="AU328" t="e">
        <v>#DIV/0!</v>
      </c>
      <c r="AV328"/>
      <c r="AW328"/>
      <c r="FY328" s="211">
        <v>323</v>
      </c>
      <c r="FZ328">
        <v>42.689653421068698</v>
      </c>
      <c r="GA328">
        <v>49.394657632189208</v>
      </c>
      <c r="GB328">
        <v>44.542289972147287</v>
      </c>
      <c r="GC328">
        <v>1.7383479135073931</v>
      </c>
      <c r="GD328">
        <v>9.8362618435667654E-2</v>
      </c>
      <c r="GE328">
        <v>0.25615315297242891</v>
      </c>
      <c r="GF328">
        <v>3.5562254226616155</v>
      </c>
      <c r="GG328">
        <v>8.5536334719919918</v>
      </c>
      <c r="GH328">
        <v>11.165776359289314</v>
      </c>
      <c r="GI328">
        <v>42.58891772734156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17.269097222222221</v>
      </c>
      <c r="AO329">
        <v>120.29097001139682</v>
      </c>
      <c r="AP329">
        <v>505.66688590155707</v>
      </c>
      <c r="AQ329">
        <v>199.23042280908629</v>
      </c>
      <c r="AR329">
        <v>111.45664025201367</v>
      </c>
      <c r="AS329">
        <v>1211.1528746877163</v>
      </c>
      <c r="AT329" t="e">
        <v>#DIV/0!</v>
      </c>
      <c r="AU329" t="e">
        <v>#DIV/0!</v>
      </c>
      <c r="AV329"/>
      <c r="AW329"/>
      <c r="FY329" s="211">
        <v>324</v>
      </c>
      <c r="FZ329">
        <v>34.409807227226594</v>
      </c>
      <c r="GA329">
        <v>42.392244813864238</v>
      </c>
      <c r="GB329">
        <v>33.339525930596693</v>
      </c>
      <c r="GC329">
        <v>2.9067575581955976</v>
      </c>
      <c r="GD329">
        <v>0.20013950956656326</v>
      </c>
      <c r="GE329">
        <v>0.32029862908780687</v>
      </c>
      <c r="GF329">
        <v>3.6119047160155615</v>
      </c>
      <c r="GG329">
        <v>13.844954095360228</v>
      </c>
      <c r="GH329">
        <v>22.331552718578628</v>
      </c>
      <c r="GI329">
        <v>36.328233098431141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11.772796474358973</v>
      </c>
      <c r="AO330">
        <v>49.688145399841304</v>
      </c>
      <c r="AP330">
        <v>209.95435555110674</v>
      </c>
      <c r="AQ330">
        <v>197.95587313813201</v>
      </c>
      <c r="AR330">
        <v>46.076356358892127</v>
      </c>
      <c r="AS330">
        <v>443.01728593312725</v>
      </c>
      <c r="AT330" t="e">
        <v>#DIV/0!</v>
      </c>
      <c r="AU330" t="e">
        <v>#DIV/0!</v>
      </c>
      <c r="AV330"/>
      <c r="AW330"/>
      <c r="FY330" s="211">
        <v>325</v>
      </c>
      <c r="FZ330">
        <v>18.896702052420025</v>
      </c>
      <c r="GA330">
        <v>23.554284560787806</v>
      </c>
      <c r="GB330">
        <v>60.565067775054104</v>
      </c>
      <c r="GC330">
        <v>3.2416008783343186</v>
      </c>
      <c r="GD330">
        <v>0.41738891183743088</v>
      </c>
      <c r="GE330">
        <v>0.56314764421158692</v>
      </c>
      <c r="GF330">
        <v>3.4466156244639232</v>
      </c>
      <c r="GG330">
        <v>5.3804258522825439</v>
      </c>
      <c r="GH330">
        <v>5.582888179644657</v>
      </c>
      <c r="GI330">
        <v>54.310490038987858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10.572876602564103</v>
      </c>
      <c r="AO331">
        <v>34.66671950898585</v>
      </c>
      <c r="AP331">
        <v>254.22655319291221</v>
      </c>
      <c r="AQ331">
        <v>218.96885665141804</v>
      </c>
      <c r="AR331">
        <v>32.101045442926477</v>
      </c>
      <c r="AS331">
        <v>561.26258139674792</v>
      </c>
      <c r="AT331" t="e">
        <v>#DIV/0!</v>
      </c>
      <c r="AU331" t="e">
        <v>#DIV/0!</v>
      </c>
      <c r="AV331"/>
      <c r="AW331"/>
      <c r="FY331" s="211">
        <v>326</v>
      </c>
      <c r="FZ331">
        <v>44.542365752834087</v>
      </c>
      <c r="GA331">
        <v>49.484251259584518</v>
      </c>
      <c r="GB331">
        <v>58.126089018455104</v>
      </c>
      <c r="GC331">
        <v>3.5924193202592383</v>
      </c>
      <c r="GD331">
        <v>0.53884603250109286</v>
      </c>
      <c r="GE331">
        <v>0.61151011979415226</v>
      </c>
      <c r="GF331">
        <v>3.2684295850450824</v>
      </c>
      <c r="GG331">
        <v>6.6531053713183059</v>
      </c>
      <c r="GH331">
        <v>9.1973069806361583</v>
      </c>
      <c r="GI331">
        <v>58.739312122494262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14.03772702991453</v>
      </c>
      <c r="AO332">
        <v>145.02677986250129</v>
      </c>
      <c r="AP332">
        <v>962.93260840056485</v>
      </c>
      <c r="AQ332">
        <v>156.66386391433099</v>
      </c>
      <c r="AR332">
        <v>134.5574452303035</v>
      </c>
      <c r="AS332">
        <v>811.7461863583901</v>
      </c>
      <c r="AT332" t="e">
        <v>#DIV/0!</v>
      </c>
      <c r="AU332" t="e">
        <v>#DIV/0!</v>
      </c>
      <c r="AV332"/>
      <c r="AW332"/>
      <c r="FY332" s="211">
        <v>327</v>
      </c>
      <c r="FZ332">
        <v>18.978678974004602</v>
      </c>
      <c r="GA332">
        <v>27.804164112873924</v>
      </c>
      <c r="GB332">
        <v>55.543830574837457</v>
      </c>
      <c r="GC332">
        <v>1.7672634517479866</v>
      </c>
      <c r="GD332">
        <v>0.26371971868244504</v>
      </c>
      <c r="GE332">
        <v>0.34571929822117142</v>
      </c>
      <c r="GF332">
        <v>1.9035250542739217</v>
      </c>
      <c r="GG332">
        <v>3.7053249552744782</v>
      </c>
      <c r="GH332">
        <v>7.6426954455232705</v>
      </c>
      <c r="GI332">
        <v>44.516670167768403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13.352564102564102</v>
      </c>
      <c r="AO333">
        <v>142.5463838286303</v>
      </c>
      <c r="AP333">
        <v>923.85077140041597</v>
      </c>
      <c r="AQ333">
        <v>177.78596819454427</v>
      </c>
      <c r="AR333">
        <v>132.22410943126403</v>
      </c>
      <c r="AS333">
        <v>842.97331224369839</v>
      </c>
      <c r="AT333" t="e">
        <v>#DIV/0!</v>
      </c>
      <c r="AU333" t="e">
        <v>#DIV/0!</v>
      </c>
      <c r="AV333"/>
      <c r="AW333"/>
      <c r="FY333" s="211">
        <v>328</v>
      </c>
      <c r="FZ333">
        <v>25.745872729231515</v>
      </c>
      <c r="GA333">
        <v>30.95433508301597</v>
      </c>
      <c r="GB333">
        <v>41.406508290232942</v>
      </c>
      <c r="GC333">
        <v>1.5296798634845126</v>
      </c>
      <c r="GD333">
        <v>0.25203181159065347</v>
      </c>
      <c r="GE333">
        <v>9.3701609150658172E-2</v>
      </c>
      <c r="GF333">
        <v>1.929646502565592</v>
      </c>
      <c r="GG333">
        <v>10.801442433243508</v>
      </c>
      <c r="GH333">
        <v>28.510974516214468</v>
      </c>
      <c r="GI333">
        <v>42.591576850254661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15.22721688034188</v>
      </c>
      <c r="AO334">
        <v>91.263016480694432</v>
      </c>
      <c r="AP334">
        <v>673.15931118865194</v>
      </c>
      <c r="AQ334">
        <v>240.42297787121174</v>
      </c>
      <c r="AR334">
        <v>84.687893761819268</v>
      </c>
      <c r="AS334">
        <v>478.29494561619646</v>
      </c>
      <c r="AT334" t="e">
        <v>#DIV/0!</v>
      </c>
      <c r="AU334" t="e">
        <v>#DIV/0!</v>
      </c>
      <c r="AV334"/>
      <c r="AW334"/>
      <c r="FY334" s="211">
        <v>329</v>
      </c>
      <c r="FZ334">
        <v>35.51605154135882</v>
      </c>
      <c r="GA334">
        <v>40.24200549460781</v>
      </c>
      <c r="GB334">
        <v>44.139005216827016</v>
      </c>
      <c r="GC334">
        <v>1.121252283735882</v>
      </c>
      <c r="GD334">
        <v>4.9181309217833827E-2</v>
      </c>
      <c r="GE334">
        <v>0.42363790683901698</v>
      </c>
      <c r="GF334">
        <v>3.7072284140040135</v>
      </c>
      <c r="GG334">
        <v>5.43678265319895</v>
      </c>
      <c r="GH334">
        <v>13.639441468708196</v>
      </c>
      <c r="GI334">
        <v>37.246759731121827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17.346581196581191</v>
      </c>
      <c r="AO335">
        <v>137.62720806153598</v>
      </c>
      <c r="AP335">
        <v>857.22157146734173</v>
      </c>
      <c r="AQ335">
        <v>236.94716594838397</v>
      </c>
      <c r="AR335">
        <v>127.76303608224102</v>
      </c>
      <c r="AS335">
        <v>1191.9340100556574</v>
      </c>
      <c r="AT335" t="e">
        <v>#DIV/0!</v>
      </c>
      <c r="AU335" t="e">
        <v>#DIV/0!</v>
      </c>
      <c r="AV335"/>
      <c r="AW335"/>
      <c r="FY335" s="211">
        <v>330</v>
      </c>
      <c r="FZ335">
        <v>59.378081679707122</v>
      </c>
      <c r="GA335">
        <v>63.65494236306138</v>
      </c>
      <c r="GB335">
        <v>37.953173762287022</v>
      </c>
      <c r="GC335">
        <v>2.2966247326792564</v>
      </c>
      <c r="GD335">
        <v>0.44875704846198872</v>
      </c>
      <c r="GE335">
        <v>0.43988990202564854</v>
      </c>
      <c r="GF335">
        <v>1.8369960574813406</v>
      </c>
      <c r="GG335">
        <v>4.4786355667431135</v>
      </c>
      <c r="GH335">
        <v>3.6144188009915013</v>
      </c>
      <c r="GI335">
        <v>43.50433517949844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11.148090277777776</v>
      </c>
      <c r="AO336">
        <v>58.542796017975526</v>
      </c>
      <c r="AP336">
        <v>340.07656620431641</v>
      </c>
      <c r="AQ336">
        <v>186.34803645464018</v>
      </c>
      <c r="AR336">
        <v>54.258542875336019</v>
      </c>
      <c r="AS336">
        <v>336.71394518568587</v>
      </c>
      <c r="AT336" t="e">
        <v>#DIV/0!</v>
      </c>
      <c r="AU336" t="e">
        <v>#DIV/0!</v>
      </c>
      <c r="AV336"/>
      <c r="AW336"/>
      <c r="FY336" s="211">
        <v>331</v>
      </c>
      <c r="FZ336">
        <v>59.309002910007493</v>
      </c>
      <c r="GA336">
        <v>67.493982719729871</v>
      </c>
      <c r="GB336">
        <v>18.203179147129944</v>
      </c>
      <c r="GC336">
        <v>0.83005613859072902</v>
      </c>
      <c r="GD336">
        <v>0.29237686250074657</v>
      </c>
      <c r="GE336">
        <v>1.0218438887845207</v>
      </c>
      <c r="GF336">
        <v>1.5599006953442582</v>
      </c>
      <c r="GG336">
        <v>5.1064841483810355</v>
      </c>
      <c r="GH336">
        <v>17.253860269699697</v>
      </c>
      <c r="GI336">
        <v>30.380626880709293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15.852043269230768</v>
      </c>
      <c r="AO337">
        <v>135.27811732765531</v>
      </c>
      <c r="AP337">
        <v>600.17805313665963</v>
      </c>
      <c r="AQ337">
        <v>309.5018552983405</v>
      </c>
      <c r="AR337">
        <v>125.49827147190844</v>
      </c>
      <c r="AS337">
        <v>1147.3808188194212</v>
      </c>
      <c r="AT337" t="e">
        <v>#DIV/0!</v>
      </c>
      <c r="AU337" t="e">
        <v>#DIV/0!</v>
      </c>
      <c r="AV337"/>
      <c r="AW337"/>
      <c r="FY337" s="211">
        <v>332</v>
      </c>
      <c r="FZ337">
        <v>16.499424056772433</v>
      </c>
      <c r="GA337">
        <v>23.516665982103483</v>
      </c>
      <c r="GB337">
        <v>25.196283377401741</v>
      </c>
      <c r="GC337">
        <v>3.0825882402451494</v>
      </c>
      <c r="GD337">
        <v>0.38246584653985072</v>
      </c>
      <c r="GE337">
        <v>0.67565559590953028</v>
      </c>
      <c r="GF337">
        <v>4.1199057946712738</v>
      </c>
      <c r="GG337">
        <v>9.4002832401369503</v>
      </c>
      <c r="GH337">
        <v>22.928086336569816</v>
      </c>
      <c r="GI337">
        <v>32.139598724491989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15.475093482905985</v>
      </c>
      <c r="AO338">
        <v>161.59774316248507</v>
      </c>
      <c r="AP338">
        <v>938.18409084861037</v>
      </c>
      <c r="AQ338">
        <v>244.96805031601735</v>
      </c>
      <c r="AR338">
        <v>150.01097205522066</v>
      </c>
      <c r="AS338">
        <v>982.34413504143117</v>
      </c>
      <c r="AT338" t="e">
        <v>#DIV/0!</v>
      </c>
      <c r="AU338" t="e">
        <v>#DIV/0!</v>
      </c>
      <c r="AV338"/>
      <c r="AW338"/>
      <c r="FY338" s="211">
        <v>333</v>
      </c>
      <c r="FZ338">
        <v>34.823033603173513</v>
      </c>
      <c r="GA338">
        <v>37.630716843309749</v>
      </c>
      <c r="GB338">
        <v>52.711434604947343</v>
      </c>
      <c r="GC338">
        <v>2.0263164606878679</v>
      </c>
      <c r="GD338">
        <v>0.1913032512588225</v>
      </c>
      <c r="GE338">
        <v>0.67565559590953028</v>
      </c>
      <c r="GF338">
        <v>3.0246269206592489</v>
      </c>
      <c r="GG338">
        <v>12.057139596519352</v>
      </c>
      <c r="GH338">
        <v>20.363083339925474</v>
      </c>
      <c r="GI338">
        <v>45.335394360645175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13.379994658119656</v>
      </c>
      <c r="AO339">
        <v>82.337010558390688</v>
      </c>
      <c r="AP339">
        <v>444.75575046070406</v>
      </c>
      <c r="AQ339">
        <v>204.58401769160514</v>
      </c>
      <c r="AR339">
        <v>76.310276585302987</v>
      </c>
      <c r="AS339">
        <v>588.82581262811198</v>
      </c>
      <c r="AT339" t="e">
        <v>#DIV/0!</v>
      </c>
      <c r="AU339" t="e">
        <v>#DIV/0!</v>
      </c>
      <c r="AV339"/>
      <c r="AW339"/>
      <c r="FY339" s="211">
        <v>334</v>
      </c>
      <c r="FZ339">
        <v>46.2751526524331</v>
      </c>
      <c r="GA339">
        <v>49.69627160305054</v>
      </c>
      <c r="GB339">
        <v>85.120603849551401</v>
      </c>
      <c r="GC339">
        <v>3.087239616961174</v>
      </c>
      <c r="GD339">
        <v>0.42009990464368735</v>
      </c>
      <c r="GE339">
        <v>0.79021365880255467</v>
      </c>
      <c r="GF339">
        <v>2.3682961035653389</v>
      </c>
      <c r="GG339">
        <v>0.82966741238504016</v>
      </c>
      <c r="GH339">
        <v>0</v>
      </c>
      <c r="GI339">
        <v>68.170591156472142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14.62721688034188</v>
      </c>
      <c r="AO340">
        <v>131.72507594914717</v>
      </c>
      <c r="AP340">
        <v>844.23388044397086</v>
      </c>
      <c r="AQ340">
        <v>189.68541829692305</v>
      </c>
      <c r="AR340">
        <v>122.03507520473879</v>
      </c>
      <c r="AS340">
        <v>753.07441641236187</v>
      </c>
      <c r="AT340" t="e">
        <v>#DIV/0!</v>
      </c>
      <c r="AU340" t="e">
        <v>#DIV/0!</v>
      </c>
      <c r="AV340"/>
      <c r="AW340"/>
      <c r="FY340" s="211">
        <v>335</v>
      </c>
      <c r="FZ340">
        <v>52.52891100289564</v>
      </c>
      <c r="GA340">
        <v>54.419247000180512</v>
      </c>
      <c r="GB340">
        <v>34.58813725820746</v>
      </c>
      <c r="GC340">
        <v>2.56260365194276</v>
      </c>
      <c r="GD340">
        <v>0.37091859542585343</v>
      </c>
      <c r="GE340">
        <v>0.62776211498078394</v>
      </c>
      <c r="GF340">
        <v>2.2757948864402722</v>
      </c>
      <c r="GG340">
        <v>8.3687969970047913</v>
      </c>
      <c r="GH340">
        <v>17.253860269699697</v>
      </c>
      <c r="GI340">
        <v>40.253043123373338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14.819497863247864</v>
      </c>
      <c r="AO341">
        <v>140.42141041104387</v>
      </c>
      <c r="AP341">
        <v>987.33356976487721</v>
      </c>
      <c r="AQ341">
        <v>175.95861151802424</v>
      </c>
      <c r="AR341">
        <v>130.1146306258014</v>
      </c>
      <c r="AS341">
        <v>735.7578888609246</v>
      </c>
      <c r="AT341" t="e">
        <v>#DIV/0!</v>
      </c>
      <c r="AU341" t="e">
        <v>#DIV/0!</v>
      </c>
      <c r="AV341"/>
      <c r="AW341"/>
      <c r="FY341" s="211">
        <v>336</v>
      </c>
      <c r="FZ341">
        <v>21.495882401818548</v>
      </c>
      <c r="GA341">
        <v>30.615102533470335</v>
      </c>
      <c r="GB341">
        <v>12.606386482928595</v>
      </c>
      <c r="GC341">
        <v>1.2756135451090262</v>
      </c>
      <c r="GD341">
        <v>0.12159777664145635</v>
      </c>
      <c r="GE341">
        <v>0.26118636301724629</v>
      </c>
      <c r="GF341">
        <v>1.5339284750117725</v>
      </c>
      <c r="GG341">
        <v>6.7658189731511165</v>
      </c>
      <c r="GH341">
        <v>9.1973069806361583</v>
      </c>
      <c r="GI341">
        <v>15.50898055160566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16.980862713675211</v>
      </c>
      <c r="AO342">
        <v>79.996148917539813</v>
      </c>
      <c r="AP342">
        <v>604.06994849578166</v>
      </c>
      <c r="AQ342">
        <v>234.753635562922</v>
      </c>
      <c r="AR342">
        <v>74.109811739617157</v>
      </c>
      <c r="AS342">
        <v>616.77158191658452</v>
      </c>
      <c r="AT342" t="e">
        <v>#DIV/0!</v>
      </c>
      <c r="AU342" t="e">
        <v>#DIV/0!</v>
      </c>
      <c r="AV342"/>
      <c r="AW342"/>
      <c r="FY342" s="211">
        <v>337</v>
      </c>
      <c r="FZ342">
        <v>32.525964636343375</v>
      </c>
      <c r="GA342">
        <v>34.638826255835802</v>
      </c>
      <c r="GB342">
        <v>42.724536953679625</v>
      </c>
      <c r="GC342">
        <v>2.4249258459965679</v>
      </c>
      <c r="GD342">
        <v>0.29850212800223097</v>
      </c>
      <c r="GE342">
        <v>0.64609946287425002</v>
      </c>
      <c r="GF342">
        <v>1.7775819114384215</v>
      </c>
      <c r="GG342">
        <v>5.8797947598496716</v>
      </c>
      <c r="GH342">
        <v>17.253860269699697</v>
      </c>
      <c r="GI342">
        <v>45.514007086903646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10.98780715811966</v>
      </c>
      <c r="AO343">
        <v>57.608447791294758</v>
      </c>
      <c r="AP343">
        <v>478.98264628788621</v>
      </c>
      <c r="AQ343">
        <v>162.47159175320766</v>
      </c>
      <c r="AR343">
        <v>53.448485260071195</v>
      </c>
      <c r="AS343">
        <v>323.9499974130178</v>
      </c>
      <c r="AT343" t="e">
        <v>#DIV/0!</v>
      </c>
      <c r="AU343" t="e">
        <v>#DIV/0!</v>
      </c>
      <c r="AV343"/>
      <c r="AW343"/>
      <c r="FY343" s="211">
        <v>338</v>
      </c>
      <c r="FZ343">
        <v>43.404991179584016</v>
      </c>
      <c r="GA343">
        <v>44.606726678605867</v>
      </c>
      <c r="GB343">
        <v>26.333139103189783</v>
      </c>
      <c r="GC343">
        <v>1.9340841917704115</v>
      </c>
      <c r="GD343">
        <v>0.26984498418392949</v>
      </c>
      <c r="GE343">
        <v>0.21695935133659661</v>
      </c>
      <c r="GF343">
        <v>3.899700553632095</v>
      </c>
      <c r="GG343">
        <v>4.5349923676595187</v>
      </c>
      <c r="GH343">
        <v>7.6426954455232705</v>
      </c>
      <c r="GI343">
        <v>34.655482221869093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11.633159722222221</v>
      </c>
      <c r="AO344">
        <v>63.41342445791544</v>
      </c>
      <c r="AP344">
        <v>359.42637684693619</v>
      </c>
      <c r="AQ344">
        <v>183.81576968898446</v>
      </c>
      <c r="AR344">
        <v>58.996587209212748</v>
      </c>
      <c r="AS344">
        <v>550.27051408898092</v>
      </c>
      <c r="AT344" t="e">
        <v>#DIV/0!</v>
      </c>
      <c r="AU344" t="e">
        <v>#DIV/0!</v>
      </c>
      <c r="AV344"/>
      <c r="AW344"/>
      <c r="FY344" s="211">
        <v>339</v>
      </c>
      <c r="FZ344">
        <v>17.365817506571943</v>
      </c>
      <c r="GA344">
        <v>22.810863905243153</v>
      </c>
      <c r="GB344">
        <v>27.35032029912897</v>
      </c>
      <c r="GC344">
        <v>1.6934178174865373</v>
      </c>
      <c r="GD344">
        <v>0.42823288306245655</v>
      </c>
      <c r="GE344">
        <v>0.79938233274928749</v>
      </c>
      <c r="GF344">
        <v>3.2423081367534121</v>
      </c>
      <c r="GG344">
        <v>9.7699561901113494</v>
      </c>
      <c r="GH344">
        <v>18.808471804812587</v>
      </c>
      <c r="GI344">
        <v>34.130818549481475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10.647395833333331</v>
      </c>
      <c r="AO345">
        <v>93.04695358799222</v>
      </c>
      <c r="AP345">
        <v>774.13537313969016</v>
      </c>
      <c r="AQ345">
        <v>181.52134601961933</v>
      </c>
      <c r="AR345">
        <v>86.379461002146201</v>
      </c>
      <c r="AS345">
        <v>553.12231805801935</v>
      </c>
      <c r="AT345" t="e">
        <v>#DIV/0!</v>
      </c>
      <c r="AU345" t="e">
        <v>#DIV/0!</v>
      </c>
      <c r="AV345"/>
      <c r="AW345"/>
      <c r="FY345" s="211">
        <v>340</v>
      </c>
      <c r="FZ345">
        <v>31.266061213945854</v>
      </c>
      <c r="GA345">
        <v>35.80744257682472</v>
      </c>
      <c r="GB345">
        <v>24.915211396447067</v>
      </c>
      <c r="GC345">
        <v>2.0181494408349243</v>
      </c>
      <c r="GD345">
        <v>0.16535710024677738</v>
      </c>
      <c r="GE345">
        <v>0.67565559590953028</v>
      </c>
      <c r="GF345">
        <v>2.5301487983463722</v>
      </c>
      <c r="GG345">
        <v>14.103129727023752</v>
      </c>
      <c r="GH345">
        <v>23.977502140916979</v>
      </c>
      <c r="GI345">
        <v>29.314618095942773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11.835416666666667</v>
      </c>
      <c r="AO346">
        <v>70.067975503554379</v>
      </c>
      <c r="AP346">
        <v>426.78562998896069</v>
      </c>
      <c r="AQ346">
        <v>217.60585509293682</v>
      </c>
      <c r="AR346">
        <v>64.908388705519215</v>
      </c>
      <c r="AS346">
        <v>831.0144806907465</v>
      </c>
      <c r="AT346" t="e">
        <v>#DIV/0!</v>
      </c>
      <c r="AU346" t="e">
        <v>#DIV/0!</v>
      </c>
      <c r="AV346"/>
      <c r="AW346"/>
      <c r="FY346" s="211">
        <v>341</v>
      </c>
      <c r="FZ346">
        <v>49.469745328180579</v>
      </c>
      <c r="GA346">
        <v>53.079148805009055</v>
      </c>
      <c r="GB346">
        <v>34.380914661730266</v>
      </c>
      <c r="GC346">
        <v>4.3408162654770983</v>
      </c>
      <c r="GD346">
        <v>0.40570100474563942</v>
      </c>
      <c r="GE346">
        <v>0.41446923289228399</v>
      </c>
      <c r="GF346">
        <v>2.338738258503064</v>
      </c>
      <c r="GG346">
        <v>4.6634720417303139</v>
      </c>
      <c r="GH346">
        <v>9.6111648241764271</v>
      </c>
      <c r="GI346">
        <v>41.450618291696578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12.091973824786326</v>
      </c>
      <c r="AO347">
        <v>82.473546572562299</v>
      </c>
      <c r="AP347">
        <v>765.31130718570932</v>
      </c>
      <c r="AQ347">
        <v>201.45131366087759</v>
      </c>
      <c r="AR347">
        <v>76.599448055284157</v>
      </c>
      <c r="AS347">
        <v>454.233208759425</v>
      </c>
      <c r="AT347" t="e">
        <v>#DIV/0!</v>
      </c>
      <c r="AU347" t="e">
        <v>#DIV/0!</v>
      </c>
      <c r="AV347"/>
      <c r="AW347"/>
      <c r="FY347" s="211">
        <v>342</v>
      </c>
      <c r="FZ347">
        <v>22.564178205368989</v>
      </c>
      <c r="GA347">
        <v>26.058112899616518</v>
      </c>
      <c r="GB347">
        <v>39.907759436349721</v>
      </c>
      <c r="GC347">
        <v>2.65085344179088</v>
      </c>
      <c r="GD347">
        <v>0.45488231396347317</v>
      </c>
      <c r="GE347">
        <v>0.60234144584741922</v>
      </c>
      <c r="GF347">
        <v>2.6120987679511725</v>
      </c>
      <c r="GG347">
        <v>11.759589519699343</v>
      </c>
      <c r="GH347">
        <v>30.479443894867629</v>
      </c>
      <c r="GI347">
        <v>46.777306677927321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13.228432158119656</v>
      </c>
      <c r="AO348">
        <v>61.328688216315143</v>
      </c>
      <c r="AP348">
        <v>362.54273918390464</v>
      </c>
      <c r="AQ348">
        <v>137.94095719484221</v>
      </c>
      <c r="AR348">
        <v>57.03778497765628</v>
      </c>
      <c r="AS348">
        <v>478.95748171176535</v>
      </c>
      <c r="AT348" t="e">
        <v>#DIV/0!</v>
      </c>
      <c r="AU348" t="e">
        <v>#DIV/0!</v>
      </c>
      <c r="AV348"/>
      <c r="AW348"/>
      <c r="FY348" s="211">
        <v>343</v>
      </c>
      <c r="FZ348">
        <v>57.576216010408473</v>
      </c>
      <c r="GA348">
        <v>64.034713381890484</v>
      </c>
      <c r="GB348">
        <v>50.06969273630196</v>
      </c>
      <c r="GC348">
        <v>3.165671212369364</v>
      </c>
      <c r="GD348">
        <v>0.35651969552780549</v>
      </c>
      <c r="GE348">
        <v>0.61151011979415226</v>
      </c>
      <c r="GF348">
        <v>2.5301487983463722</v>
      </c>
      <c r="GG348">
        <v>7.9821416912704741</v>
      </c>
      <c r="GH348">
        <v>16.840002426159433</v>
      </c>
      <c r="GI348">
        <v>56.388859636592777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12.451522435897434</v>
      </c>
      <c r="AO349">
        <v>98.474065012227797</v>
      </c>
      <c r="AP349">
        <v>695.31903708200105</v>
      </c>
      <c r="AQ349">
        <v>208.83870457703608</v>
      </c>
      <c r="AR349">
        <v>91.205869119195668</v>
      </c>
      <c r="AS349">
        <v>633.13591302794418</v>
      </c>
      <c r="AT349" t="e">
        <v>#DIV/0!</v>
      </c>
      <c r="AU349" t="e">
        <v>#DIV/0!</v>
      </c>
      <c r="AV349"/>
      <c r="AW349"/>
      <c r="FY349" s="211">
        <v>344</v>
      </c>
      <c r="FZ349">
        <v>34.460653889693326</v>
      </c>
      <c r="GA349">
        <v>38.978299435317226</v>
      </c>
      <c r="GB349">
        <v>62.985000276476057</v>
      </c>
      <c r="GC349">
        <v>3.4345424157491768</v>
      </c>
      <c r="GD349">
        <v>0.40570100474563942</v>
      </c>
      <c r="GE349">
        <v>0.61151011979415226</v>
      </c>
      <c r="GF349">
        <v>3.4599893528475749</v>
      </c>
      <c r="GG349">
        <v>7.4827727837033464</v>
      </c>
      <c r="GH349">
        <v>13.225583625167928</v>
      </c>
      <c r="GI349">
        <v>58.760688995327548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15.778739316239315</v>
      </c>
      <c r="AO350">
        <v>151.30061467204206</v>
      </c>
      <c r="AP350">
        <v>1010.1163749112262</v>
      </c>
      <c r="AQ350">
        <v>256.75813595786497</v>
      </c>
      <c r="AR350">
        <v>140.22254438990353</v>
      </c>
      <c r="AS350">
        <v>797.31244732655546</v>
      </c>
      <c r="AT350" t="e">
        <v>#DIV/0!</v>
      </c>
      <c r="AU350" t="e">
        <v>#DIV/0!</v>
      </c>
      <c r="AV350"/>
      <c r="AW350"/>
      <c r="FY350" s="211">
        <v>345</v>
      </c>
      <c r="FZ350">
        <v>21.495882401818548</v>
      </c>
      <c r="GA350">
        <v>26.731792508698902</v>
      </c>
      <c r="GB350">
        <v>23.619373233823691</v>
      </c>
      <c r="GC350">
        <v>1.4829932169264552</v>
      </c>
      <c r="GD350">
        <v>0.2145384094646112</v>
      </c>
      <c r="GE350">
        <v>0.72559918803335766</v>
      </c>
      <c r="GF350">
        <v>4.3610352061529074</v>
      </c>
      <c r="GG350">
        <v>6.4682688963311064</v>
      </c>
      <c r="GH350">
        <v>7.2288376019830025</v>
      </c>
      <c r="GI350">
        <v>33.287704866181308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12.548397435897433</v>
      </c>
      <c r="AO351">
        <v>93.697940808165868</v>
      </c>
      <c r="AP351">
        <v>629.53728840226813</v>
      </c>
      <c r="AQ351">
        <v>213.2490749001511</v>
      </c>
      <c r="AR351">
        <v>86.991730578585461</v>
      </c>
      <c r="AS351">
        <v>744.14597043649155</v>
      </c>
      <c r="AT351" t="e">
        <v>#DIV/0!</v>
      </c>
      <c r="AU351" t="e">
        <v>#DIV/0!</v>
      </c>
      <c r="AV351"/>
      <c r="AW351"/>
      <c r="FY351" s="211">
        <v>346</v>
      </c>
      <c r="FZ351">
        <v>53.244248761410937</v>
      </c>
      <c r="GA351">
        <v>55.35027091202128</v>
      </c>
      <c r="GB351">
        <v>37.420533228097575</v>
      </c>
      <c r="GC351">
        <v>3.485849002269874</v>
      </c>
      <c r="GD351">
        <v>0.37975485373359424</v>
      </c>
      <c r="GE351">
        <v>0.61607433518515076</v>
      </c>
      <c r="GF351">
        <v>3.0507483689509192</v>
      </c>
      <c r="GG351">
        <v>5.8797947598496716</v>
      </c>
      <c r="GH351">
        <v>13.225583625167928</v>
      </c>
      <c r="GI351">
        <v>45.099171242425918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9.0240918803418797</v>
      </c>
      <c r="AO352">
        <v>118.03734926224115</v>
      </c>
      <c r="AP352">
        <v>953.28139545761644</v>
      </c>
      <c r="AQ352">
        <v>99.381804083389909</v>
      </c>
      <c r="AR352">
        <v>109.48415860874985</v>
      </c>
      <c r="AS352">
        <v>634.19656855499386</v>
      </c>
      <c r="AT352" t="e">
        <v>#DIV/0!</v>
      </c>
      <c r="AU352" t="e">
        <v>#DIV/0!</v>
      </c>
      <c r="AV352"/>
      <c r="AW352"/>
      <c r="FY352" s="211">
        <v>347</v>
      </c>
      <c r="FZ352">
        <v>14.495656033722861</v>
      </c>
      <c r="GA352">
        <v>23.440273846222617</v>
      </c>
      <c r="GB352">
        <v>31.160565209004581</v>
      </c>
      <c r="GC352">
        <v>1.4584015742355838</v>
      </c>
      <c r="GD352">
        <v>0.46928121386152111</v>
      </c>
      <c r="GE352">
        <v>0.82480300188265243</v>
      </c>
      <c r="GF352">
        <v>1.5896077683657179</v>
      </c>
      <c r="GG352">
        <v>8.9966455786427133</v>
      </c>
      <c r="GH352">
        <v>18.808471804812587</v>
      </c>
      <c r="GI352">
        <v>35.905683045134289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15.689022435897437</v>
      </c>
      <c r="AO353">
        <v>108.51975572167187</v>
      </c>
      <c r="AP353">
        <v>575.87955876272031</v>
      </c>
      <c r="AQ353">
        <v>183.68409931062331</v>
      </c>
      <c r="AR353">
        <v>100.80591873117646</v>
      </c>
      <c r="AS353">
        <v>1067.164837831004</v>
      </c>
      <c r="AT353" t="e">
        <v>#DIV/0!</v>
      </c>
      <c r="AU353" t="e">
        <v>#DIV/0!</v>
      </c>
      <c r="AV353"/>
      <c r="AW353"/>
      <c r="FY353" s="211">
        <v>348</v>
      </c>
      <c r="FZ353">
        <v>35.245070417908259</v>
      </c>
      <c r="GA353">
        <v>39.953593015260921</v>
      </c>
      <c r="GB353">
        <v>20.271214967426108</v>
      </c>
      <c r="GC353">
        <v>0.5380170712713932</v>
      </c>
      <c r="GD353">
        <v>0.14483293484724508</v>
      </c>
      <c r="GE353">
        <v>0.90225261584667882</v>
      </c>
      <c r="GF353">
        <v>4.8950085051411056</v>
      </c>
      <c r="GG353">
        <v>10.543266801579986</v>
      </c>
      <c r="GH353">
        <v>14.780195160280819</v>
      </c>
      <c r="GI353">
        <v>25.269599917047849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12.503298611111111</v>
      </c>
      <c r="AO354">
        <v>102.14028896377373</v>
      </c>
      <c r="AP354">
        <v>645.53045961886937</v>
      </c>
      <c r="AQ354">
        <v>167.4986160773546</v>
      </c>
      <c r="AR354">
        <v>94.701486238785179</v>
      </c>
      <c r="AS354">
        <v>1012.9510364290187</v>
      </c>
      <c r="AT354" t="e">
        <v>#DIV/0!</v>
      </c>
      <c r="AU354" t="e">
        <v>#DIV/0!</v>
      </c>
      <c r="AV354"/>
      <c r="AW354"/>
      <c r="FY354" s="211">
        <v>349</v>
      </c>
      <c r="FZ354">
        <v>29.26229319089628</v>
      </c>
      <c r="GA354">
        <v>29.588054888587678</v>
      </c>
      <c r="GB354">
        <v>60.820653761419408</v>
      </c>
      <c r="GC354">
        <v>2.788243202564832</v>
      </c>
      <c r="GD354">
        <v>0.44604605565573241</v>
      </c>
      <c r="GE354">
        <v>0.82480300188265221</v>
      </c>
      <c r="GF354">
        <v>1.0951296460528412</v>
      </c>
      <c r="GG354">
        <v>5.936151560766076</v>
      </c>
      <c r="GH354">
        <v>9.1973069806361583</v>
      </c>
      <c r="GI354">
        <v>53.157070565426487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15.513020833333329</v>
      </c>
      <c r="AO355">
        <v>120.66004120003973</v>
      </c>
      <c r="AP355">
        <v>561.26892724512982</v>
      </c>
      <c r="AQ355">
        <v>136.39958942540116</v>
      </c>
      <c r="AR355">
        <v>111.91299439247136</v>
      </c>
      <c r="AS355">
        <v>1221.9851923012532</v>
      </c>
      <c r="AT355" t="e">
        <v>#DIV/0!</v>
      </c>
      <c r="AU355" t="e">
        <v>#DIV/0!</v>
      </c>
      <c r="AV355"/>
      <c r="AW355"/>
      <c r="FY355" s="211">
        <v>350</v>
      </c>
      <c r="FZ355">
        <v>32.645890068509736</v>
      </c>
      <c r="GA355">
        <v>35.152460570163143</v>
      </c>
      <c r="GB355">
        <v>8.3804179207036089</v>
      </c>
      <c r="GC355">
        <v>1.1061593535593168</v>
      </c>
      <c r="GD355">
        <v>9.8362618435667654E-2</v>
      </c>
      <c r="GE355">
        <v>0.39408177380373677</v>
      </c>
      <c r="GF355">
        <v>2.1902592921056825</v>
      </c>
      <c r="GG355">
        <v>8.8118091036555146</v>
      </c>
      <c r="GH355">
        <v>16.840002426159433</v>
      </c>
      <c r="GI355">
        <v>17.764026966299856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12.29193376068376</v>
      </c>
      <c r="AO356">
        <v>81.883978191780614</v>
      </c>
      <c r="AP356">
        <v>480.03238531813548</v>
      </c>
      <c r="AQ356">
        <v>164.77327608643873</v>
      </c>
      <c r="AR356">
        <v>75.905911474072738</v>
      </c>
      <c r="AS356">
        <v>562.51060215839027</v>
      </c>
      <c r="AT356" t="e">
        <v>#DIV/0!</v>
      </c>
      <c r="AU356" t="e">
        <v>#DIV/0!</v>
      </c>
      <c r="AV356"/>
      <c r="AW356"/>
      <c r="FY356" s="211">
        <v>351</v>
      </c>
      <c r="FZ356">
        <v>48.549901798933234</v>
      </c>
      <c r="GA356">
        <v>48.01341103415956</v>
      </c>
      <c r="GB356">
        <v>43.245173350128923</v>
      </c>
      <c r="GC356">
        <v>2.0624514116024861</v>
      </c>
      <c r="GD356">
        <v>0.22608566057860841</v>
      </c>
      <c r="GE356">
        <v>0.12829095223075584</v>
      </c>
      <c r="GF356">
        <v>1.8631175057730112</v>
      </c>
      <c r="GG356">
        <v>4.4222787658267091</v>
      </c>
      <c r="GH356">
        <v>7.6426954455232705</v>
      </c>
      <c r="GI356">
        <v>53.084604065583775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14.12088675213675</v>
      </c>
      <c r="AO357">
        <v>82.964394800704895</v>
      </c>
      <c r="AP357">
        <v>491.81319873492384</v>
      </c>
      <c r="AQ357">
        <v>200.15478871414129</v>
      </c>
      <c r="AR357">
        <v>77.002183745139547</v>
      </c>
      <c r="AS357">
        <v>624.63296656041382</v>
      </c>
      <c r="AT357" t="e">
        <v>#DIV/0!</v>
      </c>
      <c r="AU357" t="e">
        <v>#DIV/0!</v>
      </c>
      <c r="AV357"/>
      <c r="AW357"/>
      <c r="FY357" s="211">
        <v>352</v>
      </c>
      <c r="FZ357">
        <v>43.675972303034577</v>
      </c>
      <c r="GA357">
        <v>43.05949431730005</v>
      </c>
      <c r="GB357">
        <v>39.720428264660299</v>
      </c>
      <c r="GC357">
        <v>4.3423265823400268</v>
      </c>
      <c r="GD357">
        <v>0.54782294678662813</v>
      </c>
      <c r="GE357">
        <v>0.70107626504289489</v>
      </c>
      <c r="GF357">
        <v>1.0951296460528412</v>
      </c>
      <c r="GG357">
        <v>0.82966741238504016</v>
      </c>
      <c r="GH357">
        <v>0</v>
      </c>
      <c r="GI357">
        <v>30.966561796095331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14.358640491452991</v>
      </c>
      <c r="AO358">
        <v>62.960735639663298</v>
      </c>
      <c r="AP358">
        <v>294.75783411667828</v>
      </c>
      <c r="AQ358">
        <v>183.86656660338247</v>
      </c>
      <c r="AR358">
        <v>58.56419843346049</v>
      </c>
      <c r="AS358">
        <v>538.90007068026534</v>
      </c>
      <c r="AT358" t="e">
        <v>#DIV/0!</v>
      </c>
      <c r="AU358" t="e">
        <v>#DIV/0!</v>
      </c>
      <c r="AV358"/>
      <c r="AW358"/>
      <c r="FY358" s="211">
        <v>353</v>
      </c>
      <c r="FZ358">
        <v>24.810400509732382</v>
      </c>
      <c r="GA358">
        <v>26.532973656747309</v>
      </c>
      <c r="GB358">
        <v>46.744419474302902</v>
      </c>
      <c r="GC358">
        <v>2.1951425269842826</v>
      </c>
      <c r="GD358">
        <v>0.38246584653985072</v>
      </c>
      <c r="GE358">
        <v>0.50817084204294227</v>
      </c>
      <c r="GF358">
        <v>2.652506316452083</v>
      </c>
      <c r="GG358">
        <v>5.936151560766076</v>
      </c>
      <c r="GH358">
        <v>13.225583625167928</v>
      </c>
      <c r="GI358">
        <v>47.45170015753331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17.523530982905982</v>
      </c>
      <c r="AO359">
        <v>112.49157851240045</v>
      </c>
      <c r="AP359">
        <v>748.5183856309003</v>
      </c>
      <c r="AQ359">
        <v>259.55547570866133</v>
      </c>
      <c r="AR359">
        <v>104.38043739048906</v>
      </c>
      <c r="AS359">
        <v>1005.0467077815589</v>
      </c>
      <c r="AT359" t="e">
        <v>#DIV/0!</v>
      </c>
      <c r="AU359" t="e">
        <v>#DIV/0!</v>
      </c>
      <c r="AV359"/>
      <c r="AW359"/>
      <c r="FY359" s="211">
        <v>354</v>
      </c>
      <c r="FZ359">
        <v>24.93032594189874</v>
      </c>
      <c r="GA359">
        <v>24.998942786955922</v>
      </c>
      <c r="GB359">
        <v>56.016506699709119</v>
      </c>
      <c r="GC359">
        <v>3.7829061969069895</v>
      </c>
      <c r="GD359">
        <v>0.27526696979644216</v>
      </c>
      <c r="GE359">
        <v>0.15784708526603611</v>
      </c>
      <c r="GF359">
        <v>2.8890449021290707</v>
      </c>
      <c r="GG359">
        <v>2.3762886353223109</v>
      </c>
      <c r="GH359">
        <v>4.0282766445317693</v>
      </c>
      <c r="GI359">
        <v>46.310514691746121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16.253739316239315</v>
      </c>
      <c r="AO360">
        <v>126.46758069628849</v>
      </c>
      <c r="AP360">
        <v>1123.650076636902</v>
      </c>
      <c r="AQ360">
        <v>223.80474189882199</v>
      </c>
      <c r="AR360">
        <v>117.34518895253734</v>
      </c>
      <c r="AS360">
        <v>593.69991048346628</v>
      </c>
      <c r="AT360" t="e">
        <v>#DIV/0!</v>
      </c>
      <c r="AU360" t="e">
        <v>#DIV/0!</v>
      </c>
      <c r="AV360"/>
      <c r="AW360"/>
      <c r="FY360" s="211">
        <v>355</v>
      </c>
      <c r="FZ360">
        <v>15.633030606972927</v>
      </c>
      <c r="GA360">
        <v>18.92755388047172</v>
      </c>
      <c r="GB360">
        <v>26.531182986519095</v>
      </c>
      <c r="GC360">
        <v>1.554638256777138</v>
      </c>
      <c r="GD360">
        <v>0.28966586969449015</v>
      </c>
      <c r="GE360">
        <v>0.79021365880255467</v>
      </c>
      <c r="GF360">
        <v>2.1471784907005711</v>
      </c>
      <c r="GG360">
        <v>7.9257848903540697</v>
      </c>
      <c r="GH360">
        <v>16.840002426159433</v>
      </c>
      <c r="GI360">
        <v>29.242468631660504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13.630261752136752</v>
      </c>
      <c r="AO361">
        <v>117.75943126076831</v>
      </c>
      <c r="AP361">
        <v>821.62047806637634</v>
      </c>
      <c r="AQ361">
        <v>125.61602552941389</v>
      </c>
      <c r="AR361">
        <v>109.14132263694025</v>
      </c>
      <c r="AS361">
        <v>903.51879136149228</v>
      </c>
      <c r="AT361" t="e">
        <v>#DIV/0!</v>
      </c>
      <c r="AU361" t="e">
        <v>#DIV/0!</v>
      </c>
      <c r="AV361"/>
      <c r="AW361"/>
      <c r="FY361" s="211">
        <v>356</v>
      </c>
      <c r="FZ361">
        <v>45.137778079183036</v>
      </c>
      <c r="GA361">
        <v>48.702057046843322</v>
      </c>
      <c r="GB361">
        <v>45.032279093989885</v>
      </c>
      <c r="GC361">
        <v>1.0198487834704228</v>
      </c>
      <c r="GD361">
        <v>0.16535710024677738</v>
      </c>
      <c r="GE361">
        <v>0.60690566123841772</v>
      </c>
      <c r="GF361">
        <v>1.8738179812524622</v>
      </c>
      <c r="GG361">
        <v>6.9676378038982341</v>
      </c>
      <c r="GH361">
        <v>10.843256402974506</v>
      </c>
      <c r="GI361">
        <v>36.376899968854168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15.782211538461535</v>
      </c>
      <c r="AO362">
        <v>131.72664345133651</v>
      </c>
      <c r="AP362">
        <v>899.92937724144713</v>
      </c>
      <c r="AQ362">
        <v>217.75202908911282</v>
      </c>
      <c r="AR362">
        <v>122.13399254812485</v>
      </c>
      <c r="AS362">
        <v>1057.6126850617711</v>
      </c>
      <c r="AT362" t="e">
        <v>#DIV/0!</v>
      </c>
      <c r="AU362" t="e">
        <v>#DIV/0!</v>
      </c>
      <c r="AV362"/>
      <c r="AW362"/>
      <c r="FY362" s="211">
        <v>357</v>
      </c>
      <c r="FZ362">
        <v>11.181137925809029</v>
      </c>
      <c r="GA362">
        <v>17.708117489284056</v>
      </c>
      <c r="GB362">
        <v>34.491852529731496</v>
      </c>
      <c r="GC362">
        <v>1.7574452573080561</v>
      </c>
      <c r="GD362">
        <v>7.2416467423622538E-2</v>
      </c>
      <c r="GE362">
        <v>0</v>
      </c>
      <c r="GF362">
        <v>0.71215933840703993</v>
      </c>
      <c r="GG362">
        <v>3.8338046293452734</v>
      </c>
      <c r="GH362">
        <v>13.639441468708196</v>
      </c>
      <c r="GI362">
        <v>30.778511693011378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10.503472222222223</v>
      </c>
      <c r="AO363">
        <v>85.890757603819935</v>
      </c>
      <c r="AP363">
        <v>660.72213995739605</v>
      </c>
      <c r="AQ363">
        <v>137.14938907588513</v>
      </c>
      <c r="AR363">
        <v>79.655415083565359</v>
      </c>
      <c r="AS363">
        <v>395.74625907135066</v>
      </c>
      <c r="AT363" t="e">
        <v>#DIV/0!</v>
      </c>
      <c r="AU363" t="e">
        <v>#DIV/0!</v>
      </c>
      <c r="AV363"/>
      <c r="AW363"/>
      <c r="FY363" s="211">
        <v>358</v>
      </c>
      <c r="FZ363">
        <v>44.813346876284641</v>
      </c>
      <c r="GA363">
        <v>47.937018898278694</v>
      </c>
      <c r="GB363">
        <v>53.294761417744724</v>
      </c>
      <c r="GC363">
        <v>2.0576513444803348</v>
      </c>
      <c r="GD363">
        <v>0.36479332992436908</v>
      </c>
      <c r="GE363">
        <v>1.1455706256242779</v>
      </c>
      <c r="GF363">
        <v>2.7108588627102295</v>
      </c>
      <c r="GG363">
        <v>9.7699561901113494</v>
      </c>
      <c r="GH363">
        <v>14.780195160280819</v>
      </c>
      <c r="GI363">
        <v>44.665229739500219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10.702083333333331</v>
      </c>
      <c r="AO364">
        <v>75.024807101715339</v>
      </c>
      <c r="AP364">
        <v>679.28547653465705</v>
      </c>
      <c r="AQ364">
        <v>152.54305140661037</v>
      </c>
      <c r="AR364">
        <v>69.502246881506196</v>
      </c>
      <c r="AS364">
        <v>841.75182810090655</v>
      </c>
      <c r="AT364" t="e">
        <v>#DIV/0!</v>
      </c>
      <c r="AU364" t="e">
        <v>#DIV/0!</v>
      </c>
      <c r="AV364"/>
      <c r="AW364"/>
      <c r="FY364" s="211">
        <v>359</v>
      </c>
      <c r="FZ364">
        <v>19.964997855970466</v>
      </c>
      <c r="GA364">
        <v>33.118930872299046</v>
      </c>
      <c r="GB364">
        <v>74.405854497368452</v>
      </c>
      <c r="GC364">
        <v>1.9672096049159804</v>
      </c>
      <c r="GD364">
        <v>0.28695487688823373</v>
      </c>
      <c r="GE364">
        <v>0.46944603506092875</v>
      </c>
      <c r="GF364">
        <v>1.9035250542739217</v>
      </c>
      <c r="GG364">
        <v>1.6593348247700803</v>
      </c>
      <c r="GH364">
        <v>0</v>
      </c>
      <c r="GI364">
        <v>55.498468211390403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15.397836538461538</v>
      </c>
      <c r="AO365">
        <v>107.58569654239621</v>
      </c>
      <c r="AP365">
        <v>676.84898255315716</v>
      </c>
      <c r="AQ365">
        <v>193.11575285388815</v>
      </c>
      <c r="AR365">
        <v>99.78874792243731</v>
      </c>
      <c r="AS365">
        <v>974.72142608871332</v>
      </c>
      <c r="AT365" t="e">
        <v>#DIV/0!</v>
      </c>
      <c r="AU365" t="e">
        <v>#DIV/0!</v>
      </c>
      <c r="AV365"/>
      <c r="AW365"/>
      <c r="FY365" s="211">
        <v>360</v>
      </c>
      <c r="FZ365">
        <v>12.047531375608536</v>
      </c>
      <c r="GA365">
        <v>14.530609541372957</v>
      </c>
      <c r="GB365">
        <v>36.792596941094217</v>
      </c>
      <c r="GC365">
        <v>3.3945990102927155</v>
      </c>
      <c r="GD365">
        <v>0.45217132115721681</v>
      </c>
      <c r="GE365">
        <v>0.89811715194476327</v>
      </c>
      <c r="GF365">
        <v>3.6111415721491573</v>
      </c>
      <c r="GG365">
        <v>6.9834038761362205</v>
      </c>
      <c r="GH365">
        <v>13.639441468708196</v>
      </c>
      <c r="GI365">
        <v>42.581040286417725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8.9555555555555575</v>
      </c>
      <c r="AO366">
        <v>67.187691059092188</v>
      </c>
      <c r="AP366">
        <v>473.8016939978645</v>
      </c>
      <c r="AQ366">
        <v>123.38347009339569</v>
      </c>
      <c r="AR366">
        <v>62.382910122775137</v>
      </c>
      <c r="AS366">
        <v>467.4117801819491</v>
      </c>
      <c r="AT366" t="e">
        <v>#DIV/0!</v>
      </c>
      <c r="AU366" t="e">
        <v>#DIV/0!</v>
      </c>
      <c r="AV366"/>
      <c r="AW366"/>
      <c r="FY366" s="211">
        <v>361</v>
      </c>
      <c r="FZ366">
        <v>56.385391357710574</v>
      </c>
      <c r="GA366">
        <v>58.89258347516013</v>
      </c>
      <c r="GB366">
        <v>28.295827420097044</v>
      </c>
      <c r="GC366">
        <v>2.3395369035113713</v>
      </c>
      <c r="GD366">
        <v>0.12701976225396919</v>
      </c>
      <c r="GE366">
        <v>0.19704088690186838</v>
      </c>
      <c r="GF366">
        <v>2.0284065973246492</v>
      </c>
      <c r="GG366">
        <v>9.8263129910277556</v>
      </c>
      <c r="GH366">
        <v>22.836748449344356</v>
      </c>
      <c r="GI366">
        <v>35.483386353024017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14.778739316239315</v>
      </c>
      <c r="AO367">
        <v>101.30022573138669</v>
      </c>
      <c r="AP367">
        <v>536.78627268105879</v>
      </c>
      <c r="AQ367">
        <v>209.23800999034029</v>
      </c>
      <c r="AR367">
        <v>93.962367226028761</v>
      </c>
      <c r="AS367">
        <v>917.36213367235985</v>
      </c>
      <c r="AT367" t="e">
        <v>#DIV/0!</v>
      </c>
      <c r="AU367" t="e">
        <v>#DIV/0!</v>
      </c>
      <c r="AV367"/>
      <c r="AW367"/>
      <c r="FY367" s="211">
        <v>362</v>
      </c>
      <c r="FZ367">
        <v>44.542365752834087</v>
      </c>
      <c r="GA367">
        <v>45.600941234813092</v>
      </c>
      <c r="GB367">
        <v>14.624364368925919</v>
      </c>
      <c r="GC367">
        <v>3.7651011097736258</v>
      </c>
      <c r="GD367">
        <v>0.51289988148904786</v>
      </c>
      <c r="GE367">
        <v>0.6706223858647129</v>
      </c>
      <c r="GF367">
        <v>4.5524457459962155</v>
      </c>
      <c r="GG367">
        <v>5.6949582848624711</v>
      </c>
      <c r="GH367">
        <v>7.2288376019830025</v>
      </c>
      <c r="GI367">
        <v>35.786043525586201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10.865277777777777</v>
      </c>
      <c r="AO368">
        <v>121.32906053882095</v>
      </c>
      <c r="AP368">
        <v>1061.2901230293792</v>
      </c>
      <c r="AQ368">
        <v>164.93847953369769</v>
      </c>
      <c r="AR368">
        <v>112.53769411578124</v>
      </c>
      <c r="AS368">
        <v>539.36963989545939</v>
      </c>
      <c r="AT368" t="e">
        <v>#DIV/0!</v>
      </c>
      <c r="AU368" t="e">
        <v>#DIV/0!</v>
      </c>
      <c r="AV368"/>
      <c r="AW368"/>
      <c r="FY368" s="211">
        <v>363</v>
      </c>
      <c r="FZ368">
        <v>35.396126109192458</v>
      </c>
      <c r="GA368">
        <v>41.351995677467158</v>
      </c>
      <c r="GB368">
        <v>64.306611613764318</v>
      </c>
      <c r="GC368">
        <v>4.2800582351182248</v>
      </c>
      <c r="GD368">
        <v>0.3100493791162281</v>
      </c>
      <c r="GE368">
        <v>0</v>
      </c>
      <c r="GF368">
        <v>0.24723906115643837</v>
      </c>
      <c r="GG368">
        <v>6.1209880357532764</v>
      </c>
      <c r="GH368">
        <v>11.165776359289314</v>
      </c>
      <c r="GI368">
        <v>53.377629731214881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12.12582799145299</v>
      </c>
      <c r="AO369">
        <v>76.768197543213276</v>
      </c>
      <c r="AP369">
        <v>599.83132022686971</v>
      </c>
      <c r="AQ369">
        <v>170.43951451626907</v>
      </c>
      <c r="AR369">
        <v>71.225977514894396</v>
      </c>
      <c r="AS369">
        <v>1108.357567460509</v>
      </c>
      <c r="AT369" t="e">
        <v>#DIV/0!</v>
      </c>
      <c r="AU369" t="e">
        <v>#DIV/0!</v>
      </c>
      <c r="AV369"/>
      <c r="AW369"/>
      <c r="FY369" s="211">
        <v>364</v>
      </c>
      <c r="FZ369">
        <v>57.576216010408473</v>
      </c>
      <c r="GA369">
        <v>59.727362670187013</v>
      </c>
      <c r="GB369">
        <v>14.136069791494046</v>
      </c>
      <c r="GC369">
        <v>1.2243069585883282</v>
      </c>
      <c r="GD369">
        <v>0.2145384094646112</v>
      </c>
      <c r="GE369">
        <v>0.6318975788826996</v>
      </c>
      <c r="GF369">
        <v>4.4895023739334246</v>
      </c>
      <c r="GG369">
        <v>9.4002832401369503</v>
      </c>
      <c r="GH369">
        <v>10.843256402974506</v>
      </c>
      <c r="GI369">
        <v>27.458212674411108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11.282385149572649</v>
      </c>
      <c r="AO370">
        <v>102.07796429331458</v>
      </c>
      <c r="AP370">
        <v>776.5000871833671</v>
      </c>
      <c r="AQ370">
        <v>165.76592055426255</v>
      </c>
      <c r="AR370">
        <v>94.610622572701232</v>
      </c>
      <c r="AS370">
        <v>498.88918257703517</v>
      </c>
      <c r="AT370" t="e">
        <v>#DIV/0!</v>
      </c>
      <c r="AU370" t="e">
        <v>#DIV/0!</v>
      </c>
      <c r="AV370"/>
      <c r="AW370"/>
      <c r="FY370" s="211">
        <v>365</v>
      </c>
      <c r="FZ370">
        <v>39.42598197562161</v>
      </c>
      <c r="GA370">
        <v>46.179531105593803</v>
      </c>
      <c r="GB370">
        <v>39.190210036752632</v>
      </c>
      <c r="GC370">
        <v>3.9175838007241435</v>
      </c>
      <c r="GD370">
        <v>0.40570100474563942</v>
      </c>
      <c r="GE370">
        <v>0.31569417053207222</v>
      </c>
      <c r="GF370">
        <v>3.3909363311099776</v>
      </c>
      <c r="GG370">
        <v>3.1495992467909466</v>
      </c>
      <c r="GH370">
        <v>12.08482993359531</v>
      </c>
      <c r="GI370">
        <v>40.442759857154783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11.825654380341881</v>
      </c>
      <c r="AO371">
        <v>90.897635369905871</v>
      </c>
      <c r="AP371">
        <v>552.93422520247714</v>
      </c>
      <c r="AQ371">
        <v>119.88171969811249</v>
      </c>
      <c r="AR371">
        <v>84.316538410908223</v>
      </c>
      <c r="AS371">
        <v>851.33465905761739</v>
      </c>
      <c r="AT371" t="e">
        <v>#DIV/0!</v>
      </c>
      <c r="AU371" t="e">
        <v>#DIV/0!</v>
      </c>
      <c r="AV371"/>
      <c r="AW371"/>
      <c r="FY371" s="211">
        <v>366</v>
      </c>
      <c r="FZ371">
        <v>21.495882401818548</v>
      </c>
      <c r="GA371">
        <v>30.19106184653829</v>
      </c>
      <c r="GB371">
        <v>73.634670164324959</v>
      </c>
      <c r="GC371">
        <v>1.2222890333995866</v>
      </c>
      <c r="GD371">
        <v>0.16806809305303375</v>
      </c>
      <c r="GE371">
        <v>0.51320405208775954</v>
      </c>
      <c r="GF371">
        <v>1.9727273039707036</v>
      </c>
      <c r="GG371">
        <v>13.716474421289433</v>
      </c>
      <c r="GH371">
        <v>20.363083339925474</v>
      </c>
      <c r="GI371">
        <v>60.680014576308011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1.2734867971584251E-3</v>
      </c>
      <c r="H372" s="59">
        <f t="shared" ref="H372:AK372" si="357">+H36</f>
        <v>9.4621538461538458E-3</v>
      </c>
      <c r="I372" s="59">
        <f t="shared" si="357"/>
        <v>7.0304894882350283E-2</v>
      </c>
      <c r="J372" s="59">
        <f t="shared" si="357"/>
        <v>0.22724027338399597</v>
      </c>
      <c r="K372" s="59">
        <f t="shared" si="357"/>
        <v>0.52237348121616634</v>
      </c>
      <c r="L372" s="59">
        <f t="shared" si="357"/>
        <v>0.99627460926832734</v>
      </c>
      <c r="M372" s="59">
        <f t="shared" si="357"/>
        <v>1.6884214517176031</v>
      </c>
      <c r="N372" s="59">
        <f t="shared" si="357"/>
        <v>2.6374465828824412</v>
      </c>
      <c r="O372" s="59">
        <f t="shared" si="357"/>
        <v>3.8812952403176153</v>
      </c>
      <c r="P372" s="59">
        <f t="shared" si="357"/>
        <v>5.4573348401667534</v>
      </c>
      <c r="Q372" s="59">
        <f t="shared" si="357"/>
        <v>7.4024353035683674</v>
      </c>
      <c r="R372" s="59">
        <f t="shared" si="357"/>
        <v>9.7530304205567901</v>
      </c>
      <c r="S372" s="59">
        <f t="shared" si="357"/>
        <v>12.545166207412906</v>
      </c>
      <c r="T372" s="59">
        <f t="shared" si="357"/>
        <v>15.814539961409823</v>
      </c>
      <c r="U372" s="59">
        <f t="shared" si="357"/>
        <v>19.596532436717375</v>
      </c>
      <c r="V372" s="59">
        <f t="shared" si="357"/>
        <v>23.926234793539376</v>
      </c>
      <c r="W372" s="59">
        <f t="shared" si="357"/>
        <v>28.838471484884359</v>
      </c>
      <c r="X372" s="59">
        <f t="shared" si="357"/>
        <v>34.367819924948734</v>
      </c>
      <c r="Y372" s="59">
        <f t="shared" si="357"/>
        <v>40.548627565558718</v>
      </c>
      <c r="Z372" s="59">
        <f t="shared" si="357"/>
        <v>47.415026855264593</v>
      </c>
      <c r="AA372" s="59">
        <f t="shared" si="357"/>
        <v>55.000948447093172</v>
      </c>
      <c r="AB372" s="59">
        <f t="shared" si="357"/>
        <v>63.340132941667193</v>
      </c>
      <c r="AC372" s="59">
        <f t="shared" si="357"/>
        <v>72.466141393412812</v>
      </c>
      <c r="AD372" s="59">
        <f t="shared" si="357"/>
        <v>82.41236476297253</v>
      </c>
      <c r="AE372" s="59">
        <f t="shared" si="357"/>
        <v>93.212032464710603</v>
      </c>
      <c r="AF372" s="59">
        <f t="shared" si="357"/>
        <v>104.89822013158376</v>
      </c>
      <c r="AG372" s="59">
        <f t="shared" si="357"/>
        <v>117.5038566987139</v>
      </c>
      <c r="AH372" s="59">
        <f t="shared" si="357"/>
        <v>131.06173089032799</v>
      </c>
      <c r="AI372" s="59">
        <f t="shared" si="357"/>
        <v>145.60449718136854</v>
      </c>
      <c r="AJ372" s="59">
        <f t="shared" si="357"/>
        <v>161.1646812942061</v>
      </c>
      <c r="AK372" s="59">
        <f t="shared" si="357"/>
        <v>177.77468528203724</v>
      </c>
      <c r="AL372" s="78"/>
      <c r="AM372" s="43">
        <v>356</v>
      </c>
      <c r="AN372">
        <v>9.7680555555555539</v>
      </c>
      <c r="AO372">
        <v>91.17026091709036</v>
      </c>
      <c r="AP372">
        <v>895.36595888859074</v>
      </c>
      <c r="AQ372">
        <v>196.72583792195124</v>
      </c>
      <c r="AR372">
        <v>84.532728735036116</v>
      </c>
      <c r="AS372">
        <v>588.16392504582791</v>
      </c>
      <c r="AT372" t="e">
        <v>#DIV/0!</v>
      </c>
      <c r="AU372" t="e">
        <v>#DIV/0!</v>
      </c>
      <c r="AV372"/>
      <c r="AW372"/>
      <c r="FY372" s="211">
        <v>367</v>
      </c>
      <c r="FZ372">
        <v>16.379498624606075</v>
      </c>
      <c r="GA372">
        <v>21.167386827123444</v>
      </c>
      <c r="GB372">
        <v>64.089079423957699</v>
      </c>
      <c r="GC372">
        <v>3.2098244927308013</v>
      </c>
      <c r="GD372">
        <v>0.27526696979644222</v>
      </c>
      <c r="GE372">
        <v>0.28157382210579351</v>
      </c>
      <c r="GF372">
        <v>2.6383694442020271</v>
      </c>
      <c r="GG372">
        <v>9.2312128373877371</v>
      </c>
      <c r="GH372">
        <v>10.843256402974506</v>
      </c>
      <c r="GI372">
        <v>50.440303018258135</v>
      </c>
      <c r="GJ372"/>
      <c r="GK372"/>
      <c r="GL372"/>
      <c r="GM372"/>
    </row>
    <row r="373" spans="1:195" s="7" customFormat="1">
      <c r="A373" s="95"/>
      <c r="B373" s="71">
        <f t="shared" ref="B373:B378" si="358">+C4</f>
        <v>39646</v>
      </c>
      <c r="C373" s="18">
        <f t="shared" ref="C373:C382" si="359">+D70</f>
        <v>0</v>
      </c>
      <c r="D373" s="18">
        <f t="shared" ref="D373:D382" si="360">SUM(G373:AK373)</f>
        <v>0</v>
      </c>
      <c r="E373" s="19">
        <f t="shared" ref="E373:E382" si="361">IF(C373&lt;1, 0.000001, D373/C373)</f>
        <v>9.9999999999999995E-7</v>
      </c>
      <c r="F373" s="19"/>
      <c r="G373" s="18">
        <f>AVERAGE(E228:E237)*G$372</f>
        <v>0</v>
      </c>
      <c r="H373" s="18">
        <f t="shared" ref="H373:AK373" si="362">AVERAGE(F228:F237)*H$372</f>
        <v>0</v>
      </c>
      <c r="I373" s="18">
        <f t="shared" si="362"/>
        <v>0</v>
      </c>
      <c r="J373" s="18">
        <f t="shared" si="362"/>
        <v>0</v>
      </c>
      <c r="K373" s="18">
        <f t="shared" si="362"/>
        <v>0</v>
      </c>
      <c r="L373" s="18">
        <f t="shared" si="362"/>
        <v>0</v>
      </c>
      <c r="M373" s="18">
        <f t="shared" si="362"/>
        <v>0</v>
      </c>
      <c r="N373" s="18">
        <f t="shared" si="362"/>
        <v>0</v>
      </c>
      <c r="O373" s="18">
        <f t="shared" si="362"/>
        <v>0</v>
      </c>
      <c r="P373" s="18">
        <f t="shared" si="362"/>
        <v>0</v>
      </c>
      <c r="Q373" s="18">
        <f t="shared" si="362"/>
        <v>0</v>
      </c>
      <c r="R373" s="18">
        <f t="shared" si="362"/>
        <v>0</v>
      </c>
      <c r="S373" s="18">
        <f t="shared" si="362"/>
        <v>0</v>
      </c>
      <c r="T373" s="18">
        <f t="shared" si="362"/>
        <v>0</v>
      </c>
      <c r="U373" s="18">
        <f t="shared" si="362"/>
        <v>0</v>
      </c>
      <c r="V373" s="18">
        <f t="shared" si="362"/>
        <v>0</v>
      </c>
      <c r="W373" s="18">
        <f t="shared" si="362"/>
        <v>0</v>
      </c>
      <c r="X373" s="18">
        <f t="shared" si="362"/>
        <v>0</v>
      </c>
      <c r="Y373" s="18">
        <f t="shared" si="362"/>
        <v>0</v>
      </c>
      <c r="Z373" s="18">
        <f t="shared" si="362"/>
        <v>0</v>
      </c>
      <c r="AA373" s="18">
        <f t="shared" si="362"/>
        <v>0</v>
      </c>
      <c r="AB373" s="18">
        <f t="shared" si="362"/>
        <v>0</v>
      </c>
      <c r="AC373" s="18">
        <f t="shared" si="362"/>
        <v>0</v>
      </c>
      <c r="AD373" s="18">
        <f t="shared" si="362"/>
        <v>0</v>
      </c>
      <c r="AE373" s="18">
        <f t="shared" si="362"/>
        <v>0</v>
      </c>
      <c r="AF373" s="18">
        <f t="shared" si="362"/>
        <v>0</v>
      </c>
      <c r="AG373" s="18">
        <f t="shared" si="362"/>
        <v>0</v>
      </c>
      <c r="AH373" s="18">
        <f t="shared" si="362"/>
        <v>0</v>
      </c>
      <c r="AI373" s="18">
        <f t="shared" si="362"/>
        <v>0</v>
      </c>
      <c r="AJ373" s="18">
        <f t="shared" si="362"/>
        <v>0</v>
      </c>
      <c r="AK373" s="18">
        <f t="shared" si="362"/>
        <v>0</v>
      </c>
      <c r="AL373" s="78"/>
      <c r="AM373" s="43">
        <v>357</v>
      </c>
      <c r="AN373">
        <v>11.322876602564103</v>
      </c>
      <c r="AO373">
        <v>141.11911775728612</v>
      </c>
      <c r="AP373">
        <v>685.7873102587688</v>
      </c>
      <c r="AQ373">
        <v>114.17488679902813</v>
      </c>
      <c r="AR373">
        <v>131.02655728417227</v>
      </c>
      <c r="AS373">
        <v>1105.9093228648255</v>
      </c>
      <c r="AT373" t="e">
        <v>#DIV/0!</v>
      </c>
      <c r="AU373" t="e">
        <v>#DIV/0!</v>
      </c>
      <c r="AV373"/>
      <c r="AW373"/>
      <c r="FY373" s="211">
        <v>368</v>
      </c>
      <c r="FZ373">
        <v>51.864419906847054</v>
      </c>
      <c r="GA373">
        <v>55.581212231750811</v>
      </c>
      <c r="GB373">
        <v>77.047628006992369</v>
      </c>
      <c r="GC373">
        <v>2.4680181439881927</v>
      </c>
      <c r="GD373">
        <v>0.30733838630997173</v>
      </c>
      <c r="GE373">
        <v>2.9556133035280256E-2</v>
      </c>
      <c r="GF373">
        <v>3.0510468248692884</v>
      </c>
      <c r="GG373">
        <v>6.0252567896803839</v>
      </c>
      <c r="GH373">
        <v>7.6426954455232705</v>
      </c>
      <c r="GI373">
        <v>72.857889344232504</v>
      </c>
      <c r="GJ373"/>
      <c r="GK373"/>
      <c r="GL373"/>
      <c r="GM373"/>
    </row>
    <row r="374" spans="1:195" s="7" customFormat="1">
      <c r="A374" s="95"/>
      <c r="B374" s="71">
        <f t="shared" si="358"/>
        <v>39673</v>
      </c>
      <c r="C374" s="18">
        <f t="shared" si="359"/>
        <v>11.458333333333332</v>
      </c>
      <c r="D374" s="18">
        <f t="shared" si="360"/>
        <v>24.951215284709097</v>
      </c>
      <c r="E374" s="19">
        <f t="shared" si="361"/>
        <v>2.1775606066655215</v>
      </c>
      <c r="F374" s="19">
        <f>IF(F388&lt;0,0,F388)</f>
        <v>0.54050799335047839</v>
      </c>
      <c r="G374" s="18">
        <f>AVERAGE(E238:E247)*G$372</f>
        <v>0</v>
      </c>
      <c r="H374" s="18">
        <f t="shared" ref="H374:AK374" si="363">AVERAGE(F238:F247)*H$372</f>
        <v>0</v>
      </c>
      <c r="I374" s="18">
        <f t="shared" si="363"/>
        <v>0.21970279650734464</v>
      </c>
      <c r="J374" s="18">
        <f t="shared" si="363"/>
        <v>0.47341723621665821</v>
      </c>
      <c r="K374" s="18">
        <f t="shared" si="363"/>
        <v>0</v>
      </c>
      <c r="L374" s="18">
        <f t="shared" si="363"/>
        <v>0</v>
      </c>
      <c r="M374" s="18">
        <f t="shared" si="363"/>
        <v>0</v>
      </c>
      <c r="N374" s="18">
        <f t="shared" si="363"/>
        <v>0</v>
      </c>
      <c r="O374" s="18">
        <f t="shared" si="363"/>
        <v>24.258095251985093</v>
      </c>
      <c r="P374" s="18">
        <f t="shared" si="363"/>
        <v>0</v>
      </c>
      <c r="Q374" s="18">
        <f t="shared" si="363"/>
        <v>0</v>
      </c>
      <c r="R374" s="18">
        <f t="shared" si="363"/>
        <v>0</v>
      </c>
      <c r="S374" s="18">
        <f t="shared" si="363"/>
        <v>0</v>
      </c>
      <c r="T374" s="18">
        <f t="shared" si="363"/>
        <v>0</v>
      </c>
      <c r="U374" s="18">
        <f t="shared" si="363"/>
        <v>0</v>
      </c>
      <c r="V374" s="18">
        <f t="shared" si="363"/>
        <v>0</v>
      </c>
      <c r="W374" s="18">
        <f t="shared" si="363"/>
        <v>0</v>
      </c>
      <c r="X374" s="18">
        <f t="shared" si="363"/>
        <v>0</v>
      </c>
      <c r="Y374" s="18">
        <f t="shared" si="363"/>
        <v>0</v>
      </c>
      <c r="Z374" s="18">
        <f t="shared" si="363"/>
        <v>0</v>
      </c>
      <c r="AA374" s="18">
        <f t="shared" si="363"/>
        <v>0</v>
      </c>
      <c r="AB374" s="18">
        <f t="shared" si="363"/>
        <v>0</v>
      </c>
      <c r="AC374" s="18">
        <f t="shared" si="363"/>
        <v>0</v>
      </c>
      <c r="AD374" s="18">
        <f t="shared" si="363"/>
        <v>0</v>
      </c>
      <c r="AE374" s="18">
        <f t="shared" si="363"/>
        <v>0</v>
      </c>
      <c r="AF374" s="18">
        <f t="shared" si="363"/>
        <v>0</v>
      </c>
      <c r="AG374" s="18">
        <f t="shared" si="363"/>
        <v>0</v>
      </c>
      <c r="AH374" s="18">
        <f t="shared" si="363"/>
        <v>0</v>
      </c>
      <c r="AI374" s="18">
        <f t="shared" si="363"/>
        <v>0</v>
      </c>
      <c r="AJ374" s="18">
        <f t="shared" si="363"/>
        <v>0</v>
      </c>
      <c r="AK374" s="18">
        <f t="shared" si="363"/>
        <v>0</v>
      </c>
      <c r="AL374" s="78"/>
      <c r="AM374" s="43">
        <v>358</v>
      </c>
      <c r="AN374">
        <v>13.242147435897431</v>
      </c>
      <c r="AO374">
        <v>78.916081567258956</v>
      </c>
      <c r="AP374">
        <v>618.49249982484389</v>
      </c>
      <c r="AQ374">
        <v>221.53938244493969</v>
      </c>
      <c r="AR374">
        <v>73.091369688531316</v>
      </c>
      <c r="AS374">
        <v>399.56413320222003</v>
      </c>
      <c r="AT374" t="e">
        <v>#DIV/0!</v>
      </c>
      <c r="AU374" t="e">
        <v>#DIV/0!</v>
      </c>
      <c r="AV374"/>
      <c r="AW374"/>
      <c r="FY374" s="211">
        <v>369</v>
      </c>
      <c r="FZ374">
        <v>66.158173586818975</v>
      </c>
      <c r="GA374">
        <v>63.032082824177728</v>
      </c>
      <c r="GB374">
        <v>19.078296327215874</v>
      </c>
      <c r="GC374">
        <v>1.6360700543143669</v>
      </c>
      <c r="GD374">
        <v>0.21724940227086764</v>
      </c>
      <c r="GE374">
        <v>0.63693078892751687</v>
      </c>
      <c r="GF374">
        <v>3.1793647646906202</v>
      </c>
      <c r="GG374">
        <v>13.475281145385829</v>
      </c>
      <c r="GH374">
        <v>18.394613961272317</v>
      </c>
      <c r="GI374">
        <v>29.643074169297204</v>
      </c>
      <c r="GJ374"/>
      <c r="GK374"/>
      <c r="GL374"/>
      <c r="GM374"/>
    </row>
    <row r="375" spans="1:195" s="7" customFormat="1">
      <c r="A375" s="95"/>
      <c r="B375" s="71">
        <f t="shared" si="358"/>
        <v>39714</v>
      </c>
      <c r="C375" s="18">
        <f t="shared" si="359"/>
        <v>13.541666666666666</v>
      </c>
      <c r="D375" s="18">
        <f t="shared" si="360"/>
        <v>332.45563660196945</v>
      </c>
      <c r="E375" s="19">
        <f t="shared" si="361"/>
        <v>24.550570087530051</v>
      </c>
      <c r="F375" s="19">
        <f>IF(F389&lt;0,0,F389)</f>
        <v>5.9086092999030684E-2</v>
      </c>
      <c r="G375" s="18">
        <f>AVERAGE(E248:E257)*G$372</f>
        <v>0</v>
      </c>
      <c r="H375" s="18">
        <f t="shared" ref="H375:AK375" si="364">AVERAGE(F248:F257)*H$372</f>
        <v>0</v>
      </c>
      <c r="I375" s="18">
        <f t="shared" si="364"/>
        <v>0</v>
      </c>
      <c r="J375" s="18">
        <f t="shared" si="364"/>
        <v>1.4202517086499749</v>
      </c>
      <c r="K375" s="18">
        <f t="shared" si="364"/>
        <v>0.54413904293350657</v>
      </c>
      <c r="L375" s="18">
        <f t="shared" si="364"/>
        <v>0</v>
      </c>
      <c r="M375" s="18">
        <f t="shared" si="364"/>
        <v>0</v>
      </c>
      <c r="N375" s="18">
        <f t="shared" si="364"/>
        <v>0</v>
      </c>
      <c r="O375" s="18">
        <f t="shared" si="364"/>
        <v>0</v>
      </c>
      <c r="P375" s="18">
        <f t="shared" si="364"/>
        <v>0</v>
      </c>
      <c r="Q375" s="18">
        <f t="shared" si="364"/>
        <v>0</v>
      </c>
      <c r="R375" s="18">
        <f t="shared" si="364"/>
        <v>0</v>
      </c>
      <c r="S375" s="18">
        <f t="shared" si="364"/>
        <v>39.203644398165331</v>
      </c>
      <c r="T375" s="18">
        <f t="shared" si="364"/>
        <v>0</v>
      </c>
      <c r="U375" s="18">
        <f t="shared" si="364"/>
        <v>0</v>
      </c>
      <c r="V375" s="18">
        <f t="shared" si="364"/>
        <v>0</v>
      </c>
      <c r="W375" s="18">
        <f t="shared" si="364"/>
        <v>0</v>
      </c>
      <c r="X375" s="18">
        <f t="shared" si="364"/>
        <v>0</v>
      </c>
      <c r="Y375" s="18">
        <f t="shared" si="364"/>
        <v>0</v>
      </c>
      <c r="Z375" s="18">
        <f t="shared" si="364"/>
        <v>0</v>
      </c>
      <c r="AA375" s="18">
        <f t="shared" si="364"/>
        <v>0</v>
      </c>
      <c r="AB375" s="18">
        <f t="shared" si="364"/>
        <v>0</v>
      </c>
      <c r="AC375" s="18">
        <f t="shared" si="364"/>
        <v>0</v>
      </c>
      <c r="AD375" s="18">
        <f t="shared" si="364"/>
        <v>0</v>
      </c>
      <c r="AE375" s="18">
        <f t="shared" si="364"/>
        <v>291.28760145222066</v>
      </c>
      <c r="AF375" s="18">
        <f t="shared" si="364"/>
        <v>0</v>
      </c>
      <c r="AG375" s="18">
        <f t="shared" si="364"/>
        <v>0</v>
      </c>
      <c r="AH375" s="18">
        <f t="shared" si="364"/>
        <v>0</v>
      </c>
      <c r="AI375" s="18">
        <f t="shared" si="364"/>
        <v>0</v>
      </c>
      <c r="AJ375" s="18">
        <f t="shared" si="364"/>
        <v>0</v>
      </c>
      <c r="AK375" s="18">
        <f t="shared" si="364"/>
        <v>0</v>
      </c>
      <c r="AL375" s="78"/>
      <c r="AM375" s="43">
        <v>359</v>
      </c>
      <c r="AN375">
        <v>14.646701388888889</v>
      </c>
      <c r="AO375">
        <v>145.97704270810928</v>
      </c>
      <c r="AP375">
        <v>1064.8688626080129</v>
      </c>
      <c r="AQ375">
        <v>189.27472183293753</v>
      </c>
      <c r="AR375">
        <v>135.34148739322291</v>
      </c>
      <c r="AS375">
        <v>802.05030798121447</v>
      </c>
      <c r="AT375" t="e">
        <v>#DIV/0!</v>
      </c>
      <c r="AU375" t="e">
        <v>#DIV/0!</v>
      </c>
      <c r="AV375"/>
      <c r="AW375"/>
      <c r="FY375" s="211">
        <v>370</v>
      </c>
      <c r="FZ375">
        <v>19.964997855970466</v>
      </c>
      <c r="GA375">
        <v>29.447641190993643</v>
      </c>
      <c r="GB375">
        <v>32.951424868547676</v>
      </c>
      <c r="GC375">
        <v>1.2939340732502695</v>
      </c>
      <c r="GD375">
        <v>0.17077908585929019</v>
      </c>
      <c r="GE375">
        <v>0.4786147090076619</v>
      </c>
      <c r="GF375">
        <v>2.80709493252427</v>
      </c>
      <c r="GG375">
        <v>3.7053249552744782</v>
      </c>
      <c r="GH375">
        <v>3.6144188009915013</v>
      </c>
      <c r="GI375">
        <v>32.111686430736057</v>
      </c>
      <c r="GJ375"/>
      <c r="GK375"/>
      <c r="GL375"/>
      <c r="GM375"/>
    </row>
    <row r="376" spans="1:195" s="7" customFormat="1">
      <c r="A376" s="95"/>
      <c r="B376" s="71">
        <f t="shared" si="358"/>
        <v>39747</v>
      </c>
      <c r="C376" s="18">
        <f t="shared" si="359"/>
        <v>30.429292929292924</v>
      </c>
      <c r="D376" s="18">
        <f t="shared" si="360"/>
        <v>113.65627376588235</v>
      </c>
      <c r="E376" s="19">
        <f t="shared" si="361"/>
        <v>3.7350941420157193</v>
      </c>
      <c r="F376" s="19">
        <f>IF(F390&lt;0,0,F390)</f>
        <v>0</v>
      </c>
      <c r="G376" s="18">
        <f>AVERAGE(E258:E267)*G$372</f>
        <v>0</v>
      </c>
      <c r="H376" s="18">
        <f t="shared" ref="H376:AK376" si="365">AVERAGE(F258:F267)*H$372</f>
        <v>0</v>
      </c>
      <c r="I376" s="18">
        <f t="shared" si="365"/>
        <v>0</v>
      </c>
      <c r="J376" s="18">
        <f t="shared" si="365"/>
        <v>0.71012585432498743</v>
      </c>
      <c r="K376" s="18">
        <f t="shared" si="365"/>
        <v>0</v>
      </c>
      <c r="L376" s="18">
        <f t="shared" si="365"/>
        <v>2.0755721026423481</v>
      </c>
      <c r="M376" s="18">
        <f t="shared" si="365"/>
        <v>0</v>
      </c>
      <c r="N376" s="18">
        <f t="shared" si="365"/>
        <v>61.024253322374655</v>
      </c>
      <c r="O376" s="18">
        <f t="shared" si="365"/>
        <v>0</v>
      </c>
      <c r="P376" s="18">
        <f t="shared" si="365"/>
        <v>0</v>
      </c>
      <c r="Q376" s="18">
        <f t="shared" si="365"/>
        <v>0</v>
      </c>
      <c r="R376" s="18">
        <f t="shared" si="365"/>
        <v>0</v>
      </c>
      <c r="S376" s="18">
        <f t="shared" si="365"/>
        <v>0</v>
      </c>
      <c r="T376" s="18">
        <f t="shared" si="365"/>
        <v>0</v>
      </c>
      <c r="U376" s="18">
        <f t="shared" si="365"/>
        <v>0</v>
      </c>
      <c r="V376" s="18">
        <f t="shared" si="365"/>
        <v>49.846322486540359</v>
      </c>
      <c r="W376" s="18">
        <f t="shared" si="365"/>
        <v>0</v>
      </c>
      <c r="X376" s="18">
        <f t="shared" si="365"/>
        <v>0</v>
      </c>
      <c r="Y376" s="18">
        <f t="shared" si="365"/>
        <v>0</v>
      </c>
      <c r="Z376" s="18">
        <f t="shared" si="365"/>
        <v>0</v>
      </c>
      <c r="AA376" s="18">
        <f t="shared" si="365"/>
        <v>0</v>
      </c>
      <c r="AB376" s="18">
        <f t="shared" si="365"/>
        <v>0</v>
      </c>
      <c r="AC376" s="18">
        <f t="shared" si="365"/>
        <v>0</v>
      </c>
      <c r="AD376" s="18">
        <f t="shared" si="365"/>
        <v>0</v>
      </c>
      <c r="AE376" s="18">
        <f t="shared" si="365"/>
        <v>0</v>
      </c>
      <c r="AF376" s="18">
        <f t="shared" si="365"/>
        <v>0</v>
      </c>
      <c r="AG376" s="18">
        <f t="shared" si="365"/>
        <v>0</v>
      </c>
      <c r="AH376" s="18">
        <f t="shared" si="365"/>
        <v>0</v>
      </c>
      <c r="AI376" s="18">
        <f t="shared" si="365"/>
        <v>0</v>
      </c>
      <c r="AJ376" s="18">
        <f t="shared" si="365"/>
        <v>0</v>
      </c>
      <c r="AK376" s="18">
        <f t="shared" si="365"/>
        <v>0</v>
      </c>
      <c r="AL376" s="78"/>
      <c r="AM376" s="43">
        <v>360</v>
      </c>
      <c r="AN376">
        <v>14.853392094017092</v>
      </c>
      <c r="AO376">
        <v>80.82975705763711</v>
      </c>
      <c r="AP376">
        <v>525.7438367965359</v>
      </c>
      <c r="AQ376">
        <v>134.9306525448817</v>
      </c>
      <c r="AR376">
        <v>75.119463569734194</v>
      </c>
      <c r="AS376">
        <v>573.37180158568731</v>
      </c>
      <c r="AT376" t="e">
        <v>#DIV/0!</v>
      </c>
      <c r="AU376" t="e">
        <v>#DIV/0!</v>
      </c>
      <c r="AV376"/>
      <c r="AW376"/>
      <c r="FY376" s="211">
        <v>371</v>
      </c>
      <c r="FZ376">
        <v>15.36204948352237</v>
      </c>
      <c r="GA376">
        <v>22.522451425896264</v>
      </c>
      <c r="GB376">
        <v>33.249367795173022</v>
      </c>
      <c r="GC376">
        <v>0.97140304431264912</v>
      </c>
      <c r="GD376">
        <v>4.6470316411577423E-2</v>
      </c>
      <c r="GE376">
        <v>0.22659701993714865</v>
      </c>
      <c r="GF376">
        <v>2.1471784907005711</v>
      </c>
      <c r="GG376">
        <v>3.8338046293452734</v>
      </c>
      <c r="GH376">
        <v>5.582888179644657</v>
      </c>
      <c r="GI376">
        <v>29.194858151403587</v>
      </c>
      <c r="GJ376"/>
      <c r="GK376"/>
      <c r="GL376"/>
      <c r="GM376"/>
    </row>
    <row r="377" spans="1:195" s="7" customFormat="1">
      <c r="A377" s="95"/>
      <c r="B377" s="71">
        <f t="shared" si="358"/>
        <v>39775</v>
      </c>
      <c r="C377" s="18">
        <f t="shared" si="359"/>
        <v>7.4519230769230766</v>
      </c>
      <c r="D377" s="18">
        <f t="shared" si="360"/>
        <v>6.9305147433715026</v>
      </c>
      <c r="E377" s="19">
        <f t="shared" si="361"/>
        <v>0.93003036556211138</v>
      </c>
      <c r="F377" s="19">
        <f>IF(F391&lt;0,0,F391)</f>
        <v>0</v>
      </c>
      <c r="G377" s="18">
        <f>AVERAGE(E268:E277)*G$372</f>
        <v>0</v>
      </c>
      <c r="H377" s="18">
        <f t="shared" ref="H377:AK377" si="366">AVERAGE(F268:F277)*H$372</f>
        <v>0</v>
      </c>
      <c r="I377" s="18">
        <f t="shared" si="366"/>
        <v>0</v>
      </c>
      <c r="J377" s="18">
        <f t="shared" si="366"/>
        <v>0</v>
      </c>
      <c r="K377" s="18">
        <f t="shared" si="366"/>
        <v>0.54413904293350657</v>
      </c>
      <c r="L377" s="18">
        <f t="shared" si="366"/>
        <v>6.3863757004379957</v>
      </c>
      <c r="M377" s="18">
        <f t="shared" si="366"/>
        <v>0</v>
      </c>
      <c r="N377" s="18">
        <f t="shared" si="366"/>
        <v>0</v>
      </c>
      <c r="O377" s="18">
        <f t="shared" si="366"/>
        <v>0</v>
      </c>
      <c r="P377" s="18">
        <f t="shared" si="366"/>
        <v>0</v>
      </c>
      <c r="Q377" s="18">
        <f t="shared" si="366"/>
        <v>0</v>
      </c>
      <c r="R377" s="18">
        <f t="shared" si="366"/>
        <v>0</v>
      </c>
      <c r="S377" s="18">
        <f t="shared" si="366"/>
        <v>0</v>
      </c>
      <c r="T377" s="18">
        <f t="shared" si="366"/>
        <v>0</v>
      </c>
      <c r="U377" s="18">
        <f t="shared" si="366"/>
        <v>0</v>
      </c>
      <c r="V377" s="18">
        <f t="shared" si="366"/>
        <v>0</v>
      </c>
      <c r="W377" s="18">
        <f t="shared" si="366"/>
        <v>0</v>
      </c>
      <c r="X377" s="18">
        <f t="shared" si="366"/>
        <v>0</v>
      </c>
      <c r="Y377" s="18">
        <f t="shared" si="366"/>
        <v>0</v>
      </c>
      <c r="Z377" s="18">
        <f t="shared" si="366"/>
        <v>0</v>
      </c>
      <c r="AA377" s="18">
        <f t="shared" si="366"/>
        <v>0</v>
      </c>
      <c r="AB377" s="18">
        <f t="shared" si="366"/>
        <v>0</v>
      </c>
      <c r="AC377" s="18">
        <f t="shared" si="366"/>
        <v>0</v>
      </c>
      <c r="AD377" s="18">
        <f t="shared" si="366"/>
        <v>0</v>
      </c>
      <c r="AE377" s="18">
        <f t="shared" si="366"/>
        <v>0</v>
      </c>
      <c r="AF377" s="18">
        <f t="shared" si="366"/>
        <v>0</v>
      </c>
      <c r="AG377" s="18">
        <f t="shared" si="366"/>
        <v>0</v>
      </c>
      <c r="AH377" s="18">
        <f t="shared" si="366"/>
        <v>0</v>
      </c>
      <c r="AI377" s="18">
        <f t="shared" si="366"/>
        <v>0</v>
      </c>
      <c r="AJ377" s="18">
        <f t="shared" si="366"/>
        <v>0</v>
      </c>
      <c r="AK377" s="18">
        <f t="shared" si="366"/>
        <v>0</v>
      </c>
      <c r="AL377" s="78"/>
      <c r="AM377" s="43">
        <v>361</v>
      </c>
      <c r="AN377">
        <v>13.565197649572648</v>
      </c>
      <c r="AO377">
        <v>156.10632185998128</v>
      </c>
      <c r="AP377">
        <v>1105.6033733563229</v>
      </c>
      <c r="AQ377">
        <v>216.41225419635578</v>
      </c>
      <c r="AR377">
        <v>144.87202257284019</v>
      </c>
      <c r="AS377">
        <v>1085.3524181336468</v>
      </c>
      <c r="AT377" t="e">
        <v>#DIV/0!</v>
      </c>
      <c r="AU377" t="e">
        <v>#DIV/0!</v>
      </c>
      <c r="AV377"/>
      <c r="AW377"/>
      <c r="FY377" s="211">
        <v>372</v>
      </c>
      <c r="FZ377">
        <v>15.633030606972927</v>
      </c>
      <c r="GA377">
        <v>22.810863905243153</v>
      </c>
      <c r="GB377">
        <v>38.696767146008689</v>
      </c>
      <c r="GC377">
        <v>1.559805074501043</v>
      </c>
      <c r="GD377">
        <v>0.39415375363164218</v>
      </c>
      <c r="GE377">
        <v>0.53359151117630677</v>
      </c>
      <c r="GF377">
        <v>1.4647262253149904</v>
      </c>
      <c r="GG377">
        <v>8.9966455786427133</v>
      </c>
      <c r="GH377">
        <v>18.808471804812587</v>
      </c>
      <c r="GI377">
        <v>37.157725238709062</v>
      </c>
      <c r="GJ377"/>
      <c r="GK377"/>
      <c r="GL377"/>
      <c r="GM377"/>
    </row>
    <row r="378" spans="1:195" s="7" customFormat="1">
      <c r="A378" s="95"/>
      <c r="B378" s="71">
        <f t="shared" si="358"/>
        <v>39799</v>
      </c>
      <c r="C378" s="18">
        <f t="shared" si="359"/>
        <v>15.625</v>
      </c>
      <c r="D378" s="18">
        <f t="shared" si="360"/>
        <v>417.21363215153559</v>
      </c>
      <c r="E378" s="19">
        <f t="shared" si="361"/>
        <v>26.70167245769828</v>
      </c>
      <c r="F378" s="19">
        <f t="shared" ref="F378:F382" si="367">IF(F392&lt;0,0,F392)</f>
        <v>0.13988601018897473</v>
      </c>
      <c r="G378" s="18">
        <f>AVERAGE(E278:E287)*G$372</f>
        <v>0</v>
      </c>
      <c r="H378" s="18">
        <f t="shared" ref="H378:AK378" si="368">AVERAGE(F278:F287)*H$372</f>
        <v>0</v>
      </c>
      <c r="I378" s="18">
        <f t="shared" si="368"/>
        <v>0</v>
      </c>
      <c r="J378" s="18">
        <f t="shared" si="368"/>
        <v>0</v>
      </c>
      <c r="K378" s="18">
        <f t="shared" si="368"/>
        <v>0</v>
      </c>
      <c r="L378" s="18">
        <f t="shared" si="368"/>
        <v>6.2267163079270462</v>
      </c>
      <c r="M378" s="18">
        <f t="shared" si="368"/>
        <v>5.2763170366175096</v>
      </c>
      <c r="N378" s="18">
        <f t="shared" si="368"/>
        <v>0</v>
      </c>
      <c r="O378" s="18">
        <f t="shared" si="368"/>
        <v>0</v>
      </c>
      <c r="P378" s="18">
        <f t="shared" si="368"/>
        <v>0</v>
      </c>
      <c r="Q378" s="18">
        <f t="shared" si="368"/>
        <v>0</v>
      </c>
      <c r="R378" s="18">
        <f t="shared" si="368"/>
        <v>0</v>
      </c>
      <c r="S378" s="18">
        <f t="shared" si="368"/>
        <v>0</v>
      </c>
      <c r="T378" s="18">
        <f t="shared" si="368"/>
        <v>0</v>
      </c>
      <c r="U378" s="18">
        <f t="shared" si="368"/>
        <v>0</v>
      </c>
      <c r="V378" s="18">
        <f t="shared" si="368"/>
        <v>0</v>
      </c>
      <c r="W378" s="18">
        <f t="shared" si="368"/>
        <v>0</v>
      </c>
      <c r="X378" s="18">
        <f t="shared" si="368"/>
        <v>0</v>
      </c>
      <c r="Y378" s="18">
        <f t="shared" si="368"/>
        <v>0</v>
      </c>
      <c r="Z378" s="18">
        <f t="shared" si="368"/>
        <v>148.17195892270186</v>
      </c>
      <c r="AA378" s="18">
        <f t="shared" si="368"/>
        <v>0</v>
      </c>
      <c r="AB378" s="18">
        <f t="shared" si="368"/>
        <v>0</v>
      </c>
      <c r="AC378" s="18">
        <f t="shared" si="368"/>
        <v>0</v>
      </c>
      <c r="AD378" s="18">
        <f t="shared" si="368"/>
        <v>257.53863988428918</v>
      </c>
      <c r="AE378" s="18">
        <f t="shared" si="368"/>
        <v>0</v>
      </c>
      <c r="AF378" s="18">
        <f t="shared" si="368"/>
        <v>0</v>
      </c>
      <c r="AG378" s="18">
        <f t="shared" si="368"/>
        <v>0</v>
      </c>
      <c r="AH378" s="18">
        <f t="shared" si="368"/>
        <v>0</v>
      </c>
      <c r="AI378" s="18">
        <f t="shared" si="368"/>
        <v>0</v>
      </c>
      <c r="AJ378" s="18">
        <f t="shared" si="368"/>
        <v>0</v>
      </c>
      <c r="AK378" s="18">
        <f t="shared" si="368"/>
        <v>0</v>
      </c>
      <c r="AL378" s="78"/>
      <c r="AM378" s="43">
        <v>362</v>
      </c>
      <c r="AN378">
        <v>14.349786324786326</v>
      </c>
      <c r="AO378">
        <v>59.107288835243835</v>
      </c>
      <c r="AP378">
        <v>454.13987046250207</v>
      </c>
      <c r="AQ378">
        <v>162.97857989212838</v>
      </c>
      <c r="AR378">
        <v>54.720572444423311</v>
      </c>
      <c r="AS378">
        <v>491.99965165201627</v>
      </c>
      <c r="AT378" t="e">
        <v>#DIV/0!</v>
      </c>
      <c r="AU378" t="e">
        <v>#DIV/0!</v>
      </c>
      <c r="AV378"/>
      <c r="AW378"/>
      <c r="FY378" s="211">
        <v>373</v>
      </c>
      <c r="FZ378">
        <v>25.745872729231515</v>
      </c>
      <c r="GA378">
        <v>33.21402061060072</v>
      </c>
      <c r="GB378">
        <v>39.859954035996829</v>
      </c>
      <c r="GC378">
        <v>2.6085693962120602</v>
      </c>
      <c r="GD378">
        <v>0.43791307723696316</v>
      </c>
      <c r="GE378">
        <v>0.56314764421158692</v>
      </c>
      <c r="GF378">
        <v>3.1732551150158148</v>
      </c>
      <c r="GG378">
        <v>9.5287629142077463</v>
      </c>
      <c r="GH378">
        <v>16.840002426159433</v>
      </c>
      <c r="GI378">
        <v>41.272169938598282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9">+C10</f>
        <v>39847</v>
      </c>
      <c r="C379" s="18">
        <f t="shared" si="359"/>
        <v>5.208333333333333</v>
      </c>
      <c r="D379" s="18">
        <f t="shared" si="360"/>
        <v>5.7857062598774522</v>
      </c>
      <c r="E379" s="19">
        <f t="shared" si="361"/>
        <v>1.1108556018964708</v>
      </c>
      <c r="F379" s="19">
        <f t="shared" si="367"/>
        <v>0</v>
      </c>
      <c r="G379" s="18">
        <f>AVERAGE(E288:E297)*G$372</f>
        <v>0</v>
      </c>
      <c r="H379" s="18">
        <f t="shared" ref="H379:AK379" si="370">AVERAGE(F288:F297)*H$372</f>
        <v>0</v>
      </c>
      <c r="I379" s="18">
        <f t="shared" si="370"/>
        <v>9.1542831878060255E-2</v>
      </c>
      <c r="J379" s="18">
        <f t="shared" si="370"/>
        <v>0</v>
      </c>
      <c r="K379" s="18">
        <f t="shared" si="370"/>
        <v>0</v>
      </c>
      <c r="L379" s="18">
        <f t="shared" si="370"/>
        <v>1.2972325641514677</v>
      </c>
      <c r="M379" s="18">
        <f t="shared" si="370"/>
        <v>4.3969308638479241</v>
      </c>
      <c r="N379" s="18">
        <f t="shared" si="370"/>
        <v>0</v>
      </c>
      <c r="O379" s="18">
        <f t="shared" si="370"/>
        <v>0</v>
      </c>
      <c r="P379" s="18">
        <f t="shared" si="370"/>
        <v>0</v>
      </c>
      <c r="Q379" s="18">
        <f t="shared" si="370"/>
        <v>0</v>
      </c>
      <c r="R379" s="18">
        <f t="shared" si="370"/>
        <v>0</v>
      </c>
      <c r="S379" s="18">
        <f t="shared" si="370"/>
        <v>0</v>
      </c>
      <c r="T379" s="18">
        <f t="shared" si="370"/>
        <v>0</v>
      </c>
      <c r="U379" s="18">
        <f t="shared" si="370"/>
        <v>0</v>
      </c>
      <c r="V379" s="18">
        <f t="shared" si="370"/>
        <v>0</v>
      </c>
      <c r="W379" s="18">
        <f t="shared" si="370"/>
        <v>0</v>
      </c>
      <c r="X379" s="18">
        <f t="shared" si="370"/>
        <v>0</v>
      </c>
      <c r="Y379" s="18">
        <f t="shared" si="370"/>
        <v>0</v>
      </c>
      <c r="Z379" s="18">
        <f t="shared" si="370"/>
        <v>0</v>
      </c>
      <c r="AA379" s="18">
        <f t="shared" si="370"/>
        <v>0</v>
      </c>
      <c r="AB379" s="18">
        <f t="shared" si="370"/>
        <v>0</v>
      </c>
      <c r="AC379" s="18">
        <f t="shared" si="370"/>
        <v>0</v>
      </c>
      <c r="AD379" s="18">
        <f t="shared" si="370"/>
        <v>0</v>
      </c>
      <c r="AE379" s="18">
        <f t="shared" si="370"/>
        <v>0</v>
      </c>
      <c r="AF379" s="18">
        <f t="shared" si="370"/>
        <v>0</v>
      </c>
      <c r="AG379" s="18">
        <f t="shared" si="370"/>
        <v>0</v>
      </c>
      <c r="AH379" s="18">
        <f t="shared" si="370"/>
        <v>0</v>
      </c>
      <c r="AI379" s="18">
        <f t="shared" si="370"/>
        <v>0</v>
      </c>
      <c r="AJ379" s="18">
        <f t="shared" si="370"/>
        <v>0</v>
      </c>
      <c r="AK379" s="18">
        <f t="shared" si="370"/>
        <v>0</v>
      </c>
      <c r="AL379" s="78"/>
      <c r="AM379" s="43">
        <v>363</v>
      </c>
      <c r="AN379">
        <v>17.578779380341878</v>
      </c>
      <c r="AO379">
        <v>203.33565115770102</v>
      </c>
      <c r="AP379">
        <v>1192.7153640873255</v>
      </c>
      <c r="AQ379">
        <v>216.55647420207231</v>
      </c>
      <c r="AR379">
        <v>188.57818638051825</v>
      </c>
      <c r="AS379">
        <v>1250.4852459670028</v>
      </c>
      <c r="AT379" t="e">
        <v>#DIV/0!</v>
      </c>
      <c r="AU379" t="e">
        <v>#DIV/0!</v>
      </c>
      <c r="AV379"/>
      <c r="AW379"/>
      <c r="FY379" s="211">
        <v>374</v>
      </c>
      <c r="FZ379">
        <v>21.615807833984906</v>
      </c>
      <c r="GA379">
        <v>23.150096454788788</v>
      </c>
      <c r="GB379">
        <v>41.735943661075737</v>
      </c>
      <c r="GC379">
        <v>2.7331595982556758</v>
      </c>
      <c r="GD379">
        <v>0.45217132115721681</v>
      </c>
      <c r="GE379">
        <v>0.40986477433654933</v>
      </c>
      <c r="GF379">
        <v>2.394566779816194</v>
      </c>
      <c r="GG379">
        <v>8.4972766710755856</v>
      </c>
      <c r="GH379">
        <v>11.165776359289314</v>
      </c>
      <c r="GI379">
        <v>45.665424863265699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9"/>
        <v>39910</v>
      </c>
      <c r="C380" s="18">
        <f t="shared" si="359"/>
        <v>5.208333333333333</v>
      </c>
      <c r="D380" s="18">
        <f t="shared" si="360"/>
        <v>2.105834365017178</v>
      </c>
      <c r="E380" s="19">
        <f t="shared" si="361"/>
        <v>0.40432019808329822</v>
      </c>
      <c r="F380" s="19">
        <f t="shared" si="367"/>
        <v>0</v>
      </c>
      <c r="G380" s="18">
        <f>AVERAGE(E298:E307)*G$372</f>
        <v>0</v>
      </c>
      <c r="H380" s="18">
        <f t="shared" ref="H380:AK380" si="371">AVERAGE(F298:F307)*H$372</f>
        <v>0</v>
      </c>
      <c r="I380" s="18">
        <f t="shared" si="371"/>
        <v>0</v>
      </c>
      <c r="J380" s="18">
        <f t="shared" si="371"/>
        <v>0.47341723621665821</v>
      </c>
      <c r="K380" s="18">
        <f t="shared" si="371"/>
        <v>1.6324171288005198</v>
      </c>
      <c r="L380" s="18">
        <f t="shared" si="371"/>
        <v>0</v>
      </c>
      <c r="M380" s="18">
        <f t="shared" si="371"/>
        <v>0</v>
      </c>
      <c r="N380" s="18">
        <f t="shared" si="371"/>
        <v>0</v>
      </c>
      <c r="O380" s="18">
        <f t="shared" si="371"/>
        <v>0</v>
      </c>
      <c r="P380" s="18">
        <f t="shared" si="371"/>
        <v>0</v>
      </c>
      <c r="Q380" s="18">
        <f t="shared" si="371"/>
        <v>0</v>
      </c>
      <c r="R380" s="18">
        <f t="shared" si="371"/>
        <v>0</v>
      </c>
      <c r="S380" s="18">
        <f t="shared" si="371"/>
        <v>0</v>
      </c>
      <c r="T380" s="18">
        <f t="shared" si="371"/>
        <v>0</v>
      </c>
      <c r="U380" s="18">
        <f t="shared" si="371"/>
        <v>0</v>
      </c>
      <c r="V380" s="18">
        <f t="shared" si="371"/>
        <v>0</v>
      </c>
      <c r="W380" s="18">
        <f t="shared" si="371"/>
        <v>0</v>
      </c>
      <c r="X380" s="18">
        <f t="shared" si="371"/>
        <v>0</v>
      </c>
      <c r="Y380" s="18">
        <f t="shared" si="371"/>
        <v>0</v>
      </c>
      <c r="Z380" s="18">
        <f t="shared" si="371"/>
        <v>0</v>
      </c>
      <c r="AA380" s="18">
        <f t="shared" si="371"/>
        <v>0</v>
      </c>
      <c r="AB380" s="18">
        <f t="shared" si="371"/>
        <v>0</v>
      </c>
      <c r="AC380" s="18">
        <f t="shared" si="371"/>
        <v>0</v>
      </c>
      <c r="AD380" s="18">
        <f t="shared" si="371"/>
        <v>0</v>
      </c>
      <c r="AE380" s="18">
        <f t="shared" si="371"/>
        <v>0</v>
      </c>
      <c r="AF380" s="18">
        <f t="shared" si="371"/>
        <v>0</v>
      </c>
      <c r="AG380" s="18">
        <f t="shared" si="371"/>
        <v>0</v>
      </c>
      <c r="AH380" s="18">
        <f t="shared" si="371"/>
        <v>0</v>
      </c>
      <c r="AI380" s="18">
        <f t="shared" si="371"/>
        <v>0</v>
      </c>
      <c r="AJ380" s="18">
        <f t="shared" si="371"/>
        <v>0</v>
      </c>
      <c r="AK380" s="18">
        <f t="shared" si="371"/>
        <v>0</v>
      </c>
      <c r="AL380" s="78"/>
      <c r="AM380" s="43">
        <v>364</v>
      </c>
      <c r="AN380">
        <v>11.040758547008547</v>
      </c>
      <c r="AO380">
        <v>48.850939994580706</v>
      </c>
      <c r="AP380">
        <v>348.76349615824233</v>
      </c>
      <c r="AQ380">
        <v>185.70164611048114</v>
      </c>
      <c r="AR380">
        <v>45.157398066922056</v>
      </c>
      <c r="AS380">
        <v>430.28632829382047</v>
      </c>
      <c r="AT380" t="e">
        <v>#DIV/0!</v>
      </c>
      <c r="AU380" t="e">
        <v>#DIV/0!</v>
      </c>
      <c r="AV380"/>
      <c r="AW380"/>
      <c r="FY380" s="211">
        <v>375</v>
      </c>
      <c r="FZ380">
        <v>33.241302394858693</v>
      </c>
      <c r="GA380">
        <v>37.617515351795305</v>
      </c>
      <c r="GB380">
        <v>37.877629833398814</v>
      </c>
      <c r="GC380">
        <v>1.775399034847545</v>
      </c>
      <c r="GD380">
        <v>0.19401424406507889</v>
      </c>
      <c r="GE380">
        <v>0.40530055894555084</v>
      </c>
      <c r="GF380">
        <v>1.929646502565592</v>
      </c>
      <c r="GG380">
        <v>3.6489681543580739</v>
      </c>
      <c r="GH380">
        <v>3.6144188009915013</v>
      </c>
      <c r="GI380">
        <v>35.167433832887838</v>
      </c>
      <c r="GJ380"/>
      <c r="GK380"/>
      <c r="GL380"/>
      <c r="GM380"/>
    </row>
    <row r="381" spans="1:195" s="7" customFormat="1">
      <c r="A381" s="1"/>
      <c r="B381" s="71">
        <f t="shared" si="369"/>
        <v>39949</v>
      </c>
      <c r="C381" s="18">
        <f t="shared" si="359"/>
        <v>10.416666666666664</v>
      </c>
      <c r="D381" s="18">
        <f t="shared" si="360"/>
        <v>77.224118337261842</v>
      </c>
      <c r="E381" s="19">
        <f t="shared" si="361"/>
        <v>7.4135153603771382</v>
      </c>
      <c r="F381" s="19">
        <f t="shared" si="367"/>
        <v>7.4585971278096602E-2</v>
      </c>
      <c r="G381" s="18">
        <f>AVERAGE(E308:E317)*G$372</f>
        <v>0</v>
      </c>
      <c r="H381" s="18">
        <f t="shared" ref="H381:AK381" si="372">AVERAGE(F308:F317)*H$372</f>
        <v>0</v>
      </c>
      <c r="I381" s="18">
        <f t="shared" si="372"/>
        <v>0</v>
      </c>
      <c r="J381" s="18">
        <f t="shared" si="372"/>
        <v>0.23670861810832911</v>
      </c>
      <c r="K381" s="18">
        <f t="shared" si="372"/>
        <v>2.1765561717340263</v>
      </c>
      <c r="L381" s="18">
        <f t="shared" si="372"/>
        <v>1.0377860513211741</v>
      </c>
      <c r="M381" s="18">
        <f t="shared" si="372"/>
        <v>0</v>
      </c>
      <c r="N381" s="18">
        <f t="shared" si="372"/>
        <v>0</v>
      </c>
      <c r="O381" s="18">
        <f t="shared" si="372"/>
        <v>0</v>
      </c>
      <c r="P381" s="18">
        <f t="shared" si="372"/>
        <v>0</v>
      </c>
      <c r="Q381" s="18">
        <f t="shared" si="372"/>
        <v>0</v>
      </c>
      <c r="R381" s="18">
        <f t="shared" si="372"/>
        <v>0</v>
      </c>
      <c r="S381" s="18">
        <f t="shared" si="372"/>
        <v>0</v>
      </c>
      <c r="T381" s="18">
        <f t="shared" si="372"/>
        <v>32.946958252937129</v>
      </c>
      <c r="U381" s="18">
        <f t="shared" si="372"/>
        <v>40.826109243161191</v>
      </c>
      <c r="V381" s="18">
        <f t="shared" si="372"/>
        <v>0</v>
      </c>
      <c r="W381" s="18">
        <f t="shared" si="372"/>
        <v>0</v>
      </c>
      <c r="X381" s="18">
        <f t="shared" si="372"/>
        <v>0</v>
      </c>
      <c r="Y381" s="18">
        <f t="shared" si="372"/>
        <v>0</v>
      </c>
      <c r="Z381" s="18">
        <f t="shared" si="372"/>
        <v>0</v>
      </c>
      <c r="AA381" s="18">
        <f t="shared" si="372"/>
        <v>0</v>
      </c>
      <c r="AB381" s="18">
        <f t="shared" si="372"/>
        <v>0</v>
      </c>
      <c r="AC381" s="18">
        <f t="shared" si="372"/>
        <v>0</v>
      </c>
      <c r="AD381" s="18">
        <f t="shared" si="372"/>
        <v>0</v>
      </c>
      <c r="AE381" s="18">
        <f t="shared" si="372"/>
        <v>0</v>
      </c>
      <c r="AF381" s="18">
        <f t="shared" si="372"/>
        <v>0</v>
      </c>
      <c r="AG381" s="18">
        <f t="shared" si="372"/>
        <v>0</v>
      </c>
      <c r="AH381" s="18">
        <f t="shared" si="372"/>
        <v>0</v>
      </c>
      <c r="AI381" s="18">
        <f t="shared" si="372"/>
        <v>0</v>
      </c>
      <c r="AJ381" s="18">
        <f t="shared" si="372"/>
        <v>0</v>
      </c>
      <c r="AK381" s="18">
        <f t="shared" si="372"/>
        <v>0</v>
      </c>
      <c r="AL381" s="78"/>
      <c r="AM381" s="43">
        <v>365</v>
      </c>
      <c r="AN381">
        <v>12.772836538461537</v>
      </c>
      <c r="AO381">
        <v>120.57785716091821</v>
      </c>
      <c r="AP381">
        <v>971.61532407042557</v>
      </c>
      <c r="AQ381">
        <v>188.50282746262093</v>
      </c>
      <c r="AR381">
        <v>112.04134220345436</v>
      </c>
      <c r="AS381">
        <v>562.9480816621392</v>
      </c>
      <c r="AT381" t="e">
        <v>#DIV/0!</v>
      </c>
      <c r="AU381" t="e">
        <v>#DIV/0!</v>
      </c>
      <c r="AV381"/>
      <c r="AW381"/>
      <c r="FY381" s="211">
        <v>376</v>
      </c>
      <c r="FZ381">
        <v>15.36204948352237</v>
      </c>
      <c r="GA381">
        <v>18.427121057658816</v>
      </c>
      <c r="GB381">
        <v>47.161310786223382</v>
      </c>
      <c r="GC381">
        <v>2.471065614793361</v>
      </c>
      <c r="GD381">
        <v>0.24319555328291276</v>
      </c>
      <c r="GE381">
        <v>0.63693078892751687</v>
      </c>
      <c r="GF381">
        <v>2.0545280456163195</v>
      </c>
      <c r="GG381">
        <v>6.7094621722347103</v>
      </c>
      <c r="GH381">
        <v>21.282136914231469</v>
      </c>
      <c r="GI381">
        <v>37.274797830103275</v>
      </c>
      <c r="GJ381"/>
      <c r="GK381"/>
      <c r="GL381"/>
      <c r="GM381"/>
    </row>
    <row r="382" spans="1:195" s="7" customFormat="1">
      <c r="A382" s="1"/>
      <c r="B382" s="71">
        <f t="shared" si="369"/>
        <v>39987</v>
      </c>
      <c r="C382" s="18">
        <f t="shared" si="359"/>
        <v>0</v>
      </c>
      <c r="D382" s="18">
        <f t="shared" si="360"/>
        <v>0</v>
      </c>
      <c r="E382" s="19">
        <f t="shared" si="361"/>
        <v>9.9999999999999995E-7</v>
      </c>
      <c r="F382" s="19">
        <f t="shared" si="367"/>
        <v>0</v>
      </c>
      <c r="G382" s="18">
        <f>AVERAGE(E318:E327)*G$372</f>
        <v>0</v>
      </c>
      <c r="H382" s="18">
        <f t="shared" ref="H382:AK382" si="373">AVERAGE(F318:F327)*H$372</f>
        <v>0</v>
      </c>
      <c r="I382" s="18">
        <f t="shared" si="373"/>
        <v>0</v>
      </c>
      <c r="J382" s="18">
        <f t="shared" si="373"/>
        <v>0</v>
      </c>
      <c r="K382" s="18">
        <f t="shared" si="373"/>
        <v>0</v>
      </c>
      <c r="L382" s="18">
        <f t="shared" si="373"/>
        <v>0</v>
      </c>
      <c r="M382" s="18">
        <f t="shared" si="373"/>
        <v>0</v>
      </c>
      <c r="N382" s="18">
        <f t="shared" si="373"/>
        <v>0</v>
      </c>
      <c r="O382" s="18">
        <f t="shared" si="373"/>
        <v>0</v>
      </c>
      <c r="P382" s="18">
        <f t="shared" si="373"/>
        <v>0</v>
      </c>
      <c r="Q382" s="18">
        <f t="shared" si="373"/>
        <v>0</v>
      </c>
      <c r="R382" s="18">
        <f t="shared" si="373"/>
        <v>0</v>
      </c>
      <c r="S382" s="18">
        <f t="shared" si="373"/>
        <v>0</v>
      </c>
      <c r="T382" s="18">
        <f t="shared" si="373"/>
        <v>0</v>
      </c>
      <c r="U382" s="18">
        <f t="shared" si="373"/>
        <v>0</v>
      </c>
      <c r="V382" s="18">
        <f t="shared" si="373"/>
        <v>0</v>
      </c>
      <c r="W382" s="18">
        <f t="shared" si="373"/>
        <v>0</v>
      </c>
      <c r="X382" s="18">
        <f t="shared" si="373"/>
        <v>0</v>
      </c>
      <c r="Y382" s="18">
        <f t="shared" si="373"/>
        <v>0</v>
      </c>
      <c r="Z382" s="18">
        <f t="shared" si="373"/>
        <v>0</v>
      </c>
      <c r="AA382" s="18">
        <f t="shared" si="373"/>
        <v>0</v>
      </c>
      <c r="AB382" s="18">
        <f t="shared" si="373"/>
        <v>0</v>
      </c>
      <c r="AC382" s="18">
        <f t="shared" si="373"/>
        <v>0</v>
      </c>
      <c r="AD382" s="18">
        <f t="shared" si="373"/>
        <v>0</v>
      </c>
      <c r="AE382" s="18">
        <f t="shared" si="373"/>
        <v>0</v>
      </c>
      <c r="AF382" s="18">
        <f t="shared" si="373"/>
        <v>0</v>
      </c>
      <c r="AG382" s="18">
        <f t="shared" si="373"/>
        <v>0</v>
      </c>
      <c r="AH382" s="18">
        <f t="shared" si="373"/>
        <v>0</v>
      </c>
      <c r="AI382" s="18">
        <f t="shared" si="373"/>
        <v>0</v>
      </c>
      <c r="AJ382" s="18">
        <f t="shared" si="373"/>
        <v>0</v>
      </c>
      <c r="AK382" s="18">
        <f t="shared" si="373"/>
        <v>0</v>
      </c>
      <c r="AL382" s="78"/>
      <c r="AM382" s="43">
        <v>366</v>
      </c>
      <c r="AN382">
        <v>15.142280982905978</v>
      </c>
      <c r="AO382">
        <v>71.184774292814922</v>
      </c>
      <c r="AP382">
        <v>371.89911518264182</v>
      </c>
      <c r="AQ382">
        <v>223.95747523271581</v>
      </c>
      <c r="AR382">
        <v>66.021658637111443</v>
      </c>
      <c r="AS382">
        <v>621.76816731605675</v>
      </c>
      <c r="AT382" t="e">
        <v>#DIV/0!</v>
      </c>
      <c r="AU382" t="e">
        <v>#DIV/0!</v>
      </c>
      <c r="AV382"/>
      <c r="AW382"/>
      <c r="FY382" s="211">
        <v>377</v>
      </c>
      <c r="FZ382">
        <v>33.7832646417598</v>
      </c>
      <c r="GA382">
        <v>36.146675126370354</v>
      </c>
      <c r="GB382">
        <v>44.127001079086874</v>
      </c>
      <c r="GC382">
        <v>2.5314961639859321</v>
      </c>
      <c r="GD382">
        <v>0.44946032835096039</v>
      </c>
      <c r="GE382">
        <v>0.38030864130126907</v>
      </c>
      <c r="GF382">
        <v>2.3280377830236132</v>
      </c>
      <c r="GG382">
        <v>15.391575318297498</v>
      </c>
      <c r="GH382">
        <v>26.359829363110396</v>
      </c>
      <c r="GI382">
        <v>46.626768534393676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13.665892094017096</v>
      </c>
      <c r="AO383">
        <v>107.16804625294984</v>
      </c>
      <c r="AP383">
        <v>955.39895965775952</v>
      </c>
      <c r="AQ383">
        <v>178.55577186314267</v>
      </c>
      <c r="AR383">
        <v>99.385429679255282</v>
      </c>
      <c r="AS383">
        <v>494.82345680736421</v>
      </c>
      <c r="AT383" t="e">
        <v>#DIV/0!</v>
      </c>
      <c r="AU383" t="e">
        <v>#DIV/0!</v>
      </c>
      <c r="AV383"/>
      <c r="AW383"/>
      <c r="FY383" s="211">
        <v>378</v>
      </c>
      <c r="FZ383">
        <v>37.097782749673648</v>
      </c>
      <c r="GA383">
        <v>42.302872170240974</v>
      </c>
      <c r="GB383">
        <v>39.606062594042243</v>
      </c>
      <c r="GC383">
        <v>2.7870335297888946</v>
      </c>
      <c r="GD383">
        <v>0.29850212800223097</v>
      </c>
      <c r="GE383">
        <v>0.41446923289228399</v>
      </c>
      <c r="GF383">
        <v>3.571497167514651</v>
      </c>
      <c r="GG383">
        <v>13.54740401854022</v>
      </c>
      <c r="GH383">
        <v>24.391359984457242</v>
      </c>
      <c r="GI383">
        <v>45.212555941898238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16.597355769230766</v>
      </c>
      <c r="AO384">
        <v>110.98885773907759</v>
      </c>
      <c r="AP384">
        <v>954.2516611726378</v>
      </c>
      <c r="AQ384">
        <v>276.87506121322906</v>
      </c>
      <c r="AR384">
        <v>103.0113574189628</v>
      </c>
      <c r="AS384">
        <v>697.88262264921332</v>
      </c>
      <c r="AT384" t="e">
        <v>#DIV/0!</v>
      </c>
      <c r="AU384" t="e">
        <v>#DIV/0!</v>
      </c>
      <c r="AV384"/>
      <c r="AW384"/>
      <c r="FY384" s="211">
        <v>379</v>
      </c>
      <c r="FZ384">
        <v>42.094241094719749</v>
      </c>
      <c r="GA384">
        <v>51.024933218794487</v>
      </c>
      <c r="GB384">
        <v>24.78353272885807</v>
      </c>
      <c r="GC384">
        <v>2.6590204616438236</v>
      </c>
      <c r="GD384">
        <v>0.28410322810418304</v>
      </c>
      <c r="GE384">
        <v>0.39408177380373677</v>
      </c>
      <c r="GF384">
        <v>3.1757791399608308</v>
      </c>
      <c r="GG384">
        <v>2.3762886353223109</v>
      </c>
      <c r="GH384">
        <v>12.08482993359531</v>
      </c>
      <c r="GI384">
        <v>33.180371909955824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11.849612713675214</v>
      </c>
      <c r="AO385">
        <v>100.8919073281763</v>
      </c>
      <c r="AP385">
        <v>746.27504695067557</v>
      </c>
      <c r="AQ385">
        <v>215.45113702437129</v>
      </c>
      <c r="AR385">
        <v>93.444696036790845</v>
      </c>
      <c r="AS385">
        <v>737.91441057463453</v>
      </c>
      <c r="AT385" t="e">
        <v>#DIV/0!</v>
      </c>
      <c r="AU385" t="e">
        <v>#DIV/0!</v>
      </c>
      <c r="AV385"/>
      <c r="AW385"/>
      <c r="FY385" s="211">
        <v>380</v>
      </c>
      <c r="FZ385">
        <v>49.740726451631133</v>
      </c>
      <c r="GA385">
        <v>55.203206125008649</v>
      </c>
      <c r="GB385">
        <v>40.078335600603431</v>
      </c>
      <c r="GC385">
        <v>1.7292592660507524</v>
      </c>
      <c r="GD385">
        <v>0.32173728620801967</v>
      </c>
      <c r="GE385">
        <v>0.6318975788826996</v>
      </c>
      <c r="GF385">
        <v>4.0768249932661629</v>
      </c>
      <c r="GG385">
        <v>6.4682688963311064</v>
      </c>
      <c r="GH385">
        <v>15.285390891046541</v>
      </c>
      <c r="GI385">
        <v>52.087149285279587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12.350694444444445</v>
      </c>
      <c r="AO386">
        <v>165.50456288542094</v>
      </c>
      <c r="AP386">
        <v>1174.1844470069032</v>
      </c>
      <c r="AQ386">
        <v>126.54591690315532</v>
      </c>
      <c r="AR386">
        <v>153.39874866947574</v>
      </c>
      <c r="AS386">
        <v>894.01591434212526</v>
      </c>
      <c r="AT386" t="e">
        <v>#DIV/0!</v>
      </c>
      <c r="AU386" t="e">
        <v>#DIV/0!</v>
      </c>
      <c r="AV386"/>
      <c r="AW386"/>
      <c r="FY386" s="211">
        <v>381</v>
      </c>
      <c r="FZ386">
        <v>33.241302394858693</v>
      </c>
      <c r="GA386">
        <v>37.617515351795305</v>
      </c>
      <c r="GB386">
        <v>62.358471353807914</v>
      </c>
      <c r="GC386">
        <v>1.8384630355674005</v>
      </c>
      <c r="GD386">
        <v>0.32173728620801967</v>
      </c>
      <c r="GE386">
        <v>0.60234144584741922</v>
      </c>
      <c r="GF386">
        <v>2.3648597067947339</v>
      </c>
      <c r="GG386">
        <v>7.6676092586905469</v>
      </c>
      <c r="GH386">
        <v>15.194053003821082</v>
      </c>
      <c r="GI386">
        <v>58.966718545738672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8.9159321581196576</v>
      </c>
      <c r="AO387">
        <v>59.468363238347116</v>
      </c>
      <c r="AP387">
        <v>447.37224104910803</v>
      </c>
      <c r="AQ387">
        <v>113.1370685363471</v>
      </c>
      <c r="AR387">
        <v>55.079793745940037</v>
      </c>
      <c r="AS387">
        <v>412.32212448057919</v>
      </c>
      <c r="AT387" t="e">
        <v>#DIV/0!</v>
      </c>
      <c r="AU387" t="e">
        <v>#DIV/0!</v>
      </c>
      <c r="AV387"/>
      <c r="AW387"/>
      <c r="FY387" s="211">
        <v>382</v>
      </c>
      <c r="FZ387">
        <v>34.64965809155931</v>
      </c>
      <c r="GA387">
        <v>42.571432068654815</v>
      </c>
      <c r="GB387">
        <v>30.850489239698859</v>
      </c>
      <c r="GC387">
        <v>2.4350793542848677</v>
      </c>
      <c r="GD387">
        <v>0.17690435136077456</v>
      </c>
      <c r="GE387">
        <v>0.26118636301724629</v>
      </c>
      <c r="GF387">
        <v>2.2460878134188125</v>
      </c>
      <c r="GG387">
        <v>5.4931394541153544</v>
      </c>
      <c r="GH387">
        <v>13.639441468708196</v>
      </c>
      <c r="GI387">
        <v>31.435489272871379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4">IF(C374&lt;1,0,LN(E374/E373)/E21)</f>
        <v>0.54050799335047839</v>
      </c>
      <c r="G388" s="13"/>
      <c r="H388" s="19">
        <f>IF(G406&lt;0,0,G406)</f>
        <v>0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9.8637152777777768</v>
      </c>
      <c r="AO388">
        <v>92.780345193430676</v>
      </c>
      <c r="AP388">
        <v>848.7369863511218</v>
      </c>
      <c r="AQ388">
        <v>146.05578084501309</v>
      </c>
      <c r="AR388">
        <v>86.075477284316008</v>
      </c>
      <c r="AS388">
        <v>471.80895255870627</v>
      </c>
      <c r="AT388" t="e">
        <v>#DIV/0!</v>
      </c>
      <c r="AU388" t="e">
        <v>#DIV/0!</v>
      </c>
      <c r="AV388"/>
      <c r="AW388"/>
      <c r="FY388" s="211">
        <v>383</v>
      </c>
      <c r="FZ388">
        <v>36.706876194056719</v>
      </c>
      <c r="GA388">
        <v>37.405495008329282</v>
      </c>
      <c r="GB388">
        <v>89.860769068813383</v>
      </c>
      <c r="GC388">
        <v>2.9287471861125693</v>
      </c>
      <c r="GD388">
        <v>0.41738891183743088</v>
      </c>
      <c r="GE388">
        <v>0.40530055894555084</v>
      </c>
      <c r="GF388">
        <v>1.6824074414091537</v>
      </c>
      <c r="GG388">
        <v>8.7554523027391102</v>
      </c>
      <c r="GH388">
        <v>12.811725781627663</v>
      </c>
      <c r="GI388">
        <v>70.491009745415525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4"/>
        <v>5.9086092999030684E-2</v>
      </c>
      <c r="G389" s="13"/>
      <c r="H389" s="19">
        <f t="shared" ref="H389:H398" si="375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13.089756944444446</v>
      </c>
      <c r="AO389">
        <v>75.092161058642233</v>
      </c>
      <c r="AP389">
        <v>533.11812879573881</v>
      </c>
      <c r="AQ389">
        <v>173.24366788747096</v>
      </c>
      <c r="AR389">
        <v>69.638800852496814</v>
      </c>
      <c r="AS389">
        <v>568.52807913898778</v>
      </c>
      <c r="AT389" t="e">
        <v>#DIV/0!</v>
      </c>
      <c r="AU389" t="e">
        <v>#DIV/0!</v>
      </c>
      <c r="AV389"/>
      <c r="AW389"/>
      <c r="FY389" s="211">
        <v>384</v>
      </c>
      <c r="FZ389">
        <v>40.021394301970567</v>
      </c>
      <c r="GA389">
        <v>43.137651365267857</v>
      </c>
      <c r="GB389">
        <v>34.838158846244966</v>
      </c>
      <c r="GC389">
        <v>1.3155569505654872</v>
      </c>
      <c r="GD389">
        <v>0.33613618610606749</v>
      </c>
      <c r="GE389">
        <v>0.50403537814102639</v>
      </c>
      <c r="GF389">
        <v>0.46492027725060159</v>
      </c>
      <c r="GG389">
        <v>4.8652908724774315</v>
      </c>
      <c r="GH389">
        <v>7.2288376019830025</v>
      </c>
      <c r="GI389">
        <v>36.051844337879999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4"/>
        <v>-5.7059456116145726E-2</v>
      </c>
      <c r="G390" s="13"/>
      <c r="H390" s="19">
        <f t="shared" si="375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15.175307158119656</v>
      </c>
      <c r="AO390">
        <v>129.4669564203042</v>
      </c>
      <c r="AP390">
        <v>789.31564813330408</v>
      </c>
      <c r="AQ390">
        <v>157.82008831704567</v>
      </c>
      <c r="AR390">
        <v>120.02600846204936</v>
      </c>
      <c r="AS390">
        <v>1428.4027984448137</v>
      </c>
      <c r="AT390" t="e">
        <v>#DIV/0!</v>
      </c>
      <c r="AU390" t="e">
        <v>#DIV/0!</v>
      </c>
      <c r="AV390"/>
      <c r="AW390"/>
      <c r="FY390" s="211">
        <v>385</v>
      </c>
      <c r="FZ390">
        <v>45.679740326084151</v>
      </c>
      <c r="GA390">
        <v>50.902506502723774</v>
      </c>
      <c r="GB390">
        <v>56.504956148365736</v>
      </c>
      <c r="GC390">
        <v>2.6477045492557165</v>
      </c>
      <c r="GD390">
        <v>0.22337466777235199</v>
      </c>
      <c r="GE390">
        <v>9.3701609150658172E-2</v>
      </c>
      <c r="GF390">
        <v>1.7085288897008239</v>
      </c>
      <c r="GG390">
        <v>11.759589519699343</v>
      </c>
      <c r="GH390">
        <v>18.394613961272317</v>
      </c>
      <c r="GI390">
        <v>51.566823576151663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4"/>
        <v>-4.9653966637568173E-2</v>
      </c>
      <c r="G391" s="13"/>
      <c r="H391" s="19">
        <f t="shared" si="375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9.3629407051282065</v>
      </c>
      <c r="AO391">
        <v>86.5503446140157</v>
      </c>
      <c r="AP391">
        <v>791.0231006909155</v>
      </c>
      <c r="AQ391">
        <v>155.47162870871398</v>
      </c>
      <c r="AR391">
        <v>80.214680255844812</v>
      </c>
      <c r="AS391">
        <v>431.83399570327083</v>
      </c>
      <c r="AT391" t="e">
        <v>#DIV/0!</v>
      </c>
      <c r="AU391" t="e">
        <v>#DIV/0!</v>
      </c>
      <c r="AV391"/>
      <c r="AW391"/>
      <c r="FY391" s="211">
        <v>386</v>
      </c>
      <c r="FZ391">
        <v>41.309824566504815</v>
      </c>
      <c r="GA391">
        <v>42.283019589307933</v>
      </c>
      <c r="GB391">
        <v>28.629164285835422</v>
      </c>
      <c r="GC391">
        <v>1.377017045374485</v>
      </c>
      <c r="GD391">
        <v>0.12159777664145635</v>
      </c>
      <c r="GE391">
        <v>0.26118636301724629</v>
      </c>
      <c r="GF391">
        <v>1.6157292166573882</v>
      </c>
      <c r="GG391">
        <v>5.8797947598496716</v>
      </c>
      <c r="GH391">
        <v>13.225583625167928</v>
      </c>
      <c r="GI391">
        <v>32.178442558434838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4"/>
        <v>0.13988601018897473</v>
      </c>
      <c r="G392" s="13"/>
      <c r="H392" s="19">
        <f t="shared" si="375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10.661725427350426</v>
      </c>
      <c r="AO392">
        <v>106.78046167318026</v>
      </c>
      <c r="AP392">
        <v>841.05542598510419</v>
      </c>
      <c r="AQ392">
        <v>151.62259824659412</v>
      </c>
      <c r="AR392">
        <v>99.196770653059104</v>
      </c>
      <c r="AS392">
        <v>539.30480898276619</v>
      </c>
      <c r="AT392" t="e">
        <v>#DIV/0!</v>
      </c>
      <c r="AU392" t="e">
        <v>#DIV/0!</v>
      </c>
      <c r="AV392"/>
      <c r="AW392"/>
      <c r="FY392" s="211">
        <v>387</v>
      </c>
      <c r="FZ392">
        <v>48.723277310547417</v>
      </c>
      <c r="GA392">
        <v>48.579630330772581</v>
      </c>
      <c r="GB392">
        <v>15.868256467819604</v>
      </c>
      <c r="GC392">
        <v>2.2473046345939149</v>
      </c>
      <c r="GD392">
        <v>0.34497244441380825</v>
      </c>
      <c r="GE392">
        <v>0.40986477433654933</v>
      </c>
      <c r="GF392">
        <v>1.2436086124502226</v>
      </c>
      <c r="GG392">
        <v>2.8193007419730334</v>
      </c>
      <c r="GH392">
        <v>3.6144188009915013</v>
      </c>
      <c r="GI392">
        <v>28.049202619428307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4"/>
        <v>-6.6241576487278922E-2</v>
      </c>
      <c r="G393" s="13"/>
      <c r="H393" s="19">
        <f t="shared" si="375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12.554513888888888</v>
      </c>
      <c r="AO393">
        <v>54.509407981706872</v>
      </c>
      <c r="AP393">
        <v>240.99081334838377</v>
      </c>
      <c r="AQ393">
        <v>208.12441697968038</v>
      </c>
      <c r="AR393">
        <v>50.55715595545378</v>
      </c>
      <c r="AS393">
        <v>502.95904017021195</v>
      </c>
      <c r="AT393" t="e">
        <v>#DIV/0!</v>
      </c>
      <c r="AU393" t="e">
        <v>#DIV/0!</v>
      </c>
      <c r="AV393"/>
      <c r="AW393"/>
      <c r="FY393" s="211">
        <v>388</v>
      </c>
      <c r="FZ393">
        <v>37.724325335140421</v>
      </c>
      <c r="GA393">
        <v>45.864715643218055</v>
      </c>
      <c r="GB393">
        <v>26.418992625407405</v>
      </c>
      <c r="GC393">
        <v>1.991539872955312</v>
      </c>
      <c r="GD393">
        <v>0.17690435136077456</v>
      </c>
      <c r="GE393">
        <v>0.32029862908780682</v>
      </c>
      <c r="GF393">
        <v>2.8997453776085216</v>
      </c>
      <c r="GG393">
        <v>3.8901614302616783</v>
      </c>
      <c r="GH393">
        <v>17.667718113239967</v>
      </c>
      <c r="GI393">
        <v>29.935881533273797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4"/>
        <v>-1.6042518672149526E-2</v>
      </c>
      <c r="G394" s="13"/>
      <c r="H394" s="19">
        <f t="shared" si="375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12.028912927350426</v>
      </c>
      <c r="AO394">
        <v>79.167571957632887</v>
      </c>
      <c r="AP394">
        <v>626.78588847441983</v>
      </c>
      <c r="AQ394">
        <v>209.22953951705063</v>
      </c>
      <c r="AR394">
        <v>73.345484708424351</v>
      </c>
      <c r="AS394">
        <v>397.28049707734777</v>
      </c>
      <c r="AT394" t="e">
        <v>#DIV/0!</v>
      </c>
      <c r="AU394" t="e">
        <v>#DIV/0!</v>
      </c>
      <c r="AV394"/>
      <c r="AW394"/>
      <c r="FY394" s="211">
        <v>389</v>
      </c>
      <c r="FZ394">
        <v>24.063932492099234</v>
      </c>
      <c r="GA394">
        <v>25.916765207282271</v>
      </c>
      <c r="GB394">
        <v>44.015097898050698</v>
      </c>
      <c r="GC394">
        <v>1.2026840812731108</v>
      </c>
      <c r="GD394">
        <v>2.5946151012045119E-2</v>
      </c>
      <c r="GE394">
        <v>0.45319403987429729</v>
      </c>
      <c r="GF394">
        <v>4.7035979652977975</v>
      </c>
      <c r="GG394">
        <v>12.331081300420863</v>
      </c>
      <c r="GH394">
        <v>16.748664538933976</v>
      </c>
      <c r="GI394">
        <v>37.233929991684874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4"/>
        <v>7.4585971278096602E-2</v>
      </c>
      <c r="G395" s="13"/>
      <c r="H395" s="19">
        <f t="shared" si="375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13.168055555555554</v>
      </c>
      <c r="AO395">
        <v>112.64618011672565</v>
      </c>
      <c r="AP395">
        <v>841.61414527844602</v>
      </c>
      <c r="AQ395">
        <v>172.0571821247583</v>
      </c>
      <c r="AR395">
        <v>104.62561310346412</v>
      </c>
      <c r="AS395">
        <v>771.39923042371254</v>
      </c>
      <c r="AT395" t="e">
        <v>#DIV/0!</v>
      </c>
      <c r="AU395" t="e">
        <v>#DIV/0!</v>
      </c>
      <c r="AV395"/>
      <c r="AW395"/>
      <c r="FY395" s="211">
        <v>390</v>
      </c>
      <c r="FZ395">
        <v>25.676793959531892</v>
      </c>
      <c r="GA395">
        <v>33.593791629429838</v>
      </c>
      <c r="GB395">
        <v>45.298174673684599</v>
      </c>
      <c r="GC395">
        <v>2.7874002803906492</v>
      </c>
      <c r="GD395">
        <v>0.39686474643789849</v>
      </c>
      <c r="GE395">
        <v>0.37574442591027063</v>
      </c>
      <c r="GF395">
        <v>1.3686393834601345</v>
      </c>
      <c r="GG395">
        <v>6.4682688963311064</v>
      </c>
      <c r="GH395">
        <v>15.285390891046541</v>
      </c>
      <c r="GI395">
        <v>40.226259331981318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4"/>
        <v>0</v>
      </c>
      <c r="G396" s="13"/>
      <c r="H396" s="19" t="e">
        <f t="shared" si="375"/>
        <v>#DIV/0!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15.209161324786326</v>
      </c>
      <c r="AO396">
        <v>93.396668088011168</v>
      </c>
      <c r="AP396">
        <v>664.37951952631147</v>
      </c>
      <c r="AQ396">
        <v>225.62279637430808</v>
      </c>
      <c r="AR396">
        <v>86.643117295107913</v>
      </c>
      <c r="AS396">
        <v>581.39539211854583</v>
      </c>
      <c r="AT396" t="e">
        <v>#DIV/0!</v>
      </c>
      <c r="AU396" t="e">
        <v>#DIV/0!</v>
      </c>
      <c r="AV396"/>
      <c r="AW396"/>
      <c r="FY396" s="211">
        <v>391</v>
      </c>
      <c r="FZ396">
        <v>36.977857317507272</v>
      </c>
      <c r="GA396">
        <v>41.365197168981581</v>
      </c>
      <c r="GB396">
        <v>28.449122228358313</v>
      </c>
      <c r="GC396">
        <v>3.4875001768568614</v>
      </c>
      <c r="GD396">
        <v>0.35380870272154913</v>
      </c>
      <c r="GE396">
        <v>0.65526813682098306</v>
      </c>
      <c r="GF396">
        <v>4.2709087860136723</v>
      </c>
      <c r="GG396">
        <v>6.2664500655839888</v>
      </c>
      <c r="GH396">
        <v>5.582888179644657</v>
      </c>
      <c r="GI396">
        <v>41.744721040867205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4"/>
        <v>0</v>
      </c>
      <c r="G397" s="13"/>
      <c r="H397" s="19">
        <f t="shared" si="37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14.365544871794871</v>
      </c>
      <c r="AO397">
        <v>104.49379488937898</v>
      </c>
      <c r="AP397">
        <v>890.27531084358088</v>
      </c>
      <c r="AQ397">
        <v>220.17307138312981</v>
      </c>
      <c r="AR397">
        <v>96.973797927583036</v>
      </c>
      <c r="AS397">
        <v>719.17470894907422</v>
      </c>
      <c r="AT397" t="e">
        <v>#DIV/0!</v>
      </c>
      <c r="AU397" t="e">
        <v>#DIV/0!</v>
      </c>
      <c r="AV397"/>
      <c r="AW397"/>
      <c r="FY397" s="211">
        <v>392</v>
      </c>
      <c r="FZ397">
        <v>22.564178205368989</v>
      </c>
      <c r="GA397">
        <v>31.989088108506671</v>
      </c>
      <c r="GB397">
        <v>26.79679138613831</v>
      </c>
      <c r="GC397">
        <v>2.0071876801338204</v>
      </c>
      <c r="GD397">
        <v>0.219960395077124</v>
      </c>
      <c r="GE397">
        <v>0.43988990202564854</v>
      </c>
      <c r="GF397">
        <v>0.46492027725060159</v>
      </c>
      <c r="GG397">
        <v>2.8193007419730334</v>
      </c>
      <c r="GH397">
        <v>15.699248734586812</v>
      </c>
      <c r="GI397">
        <v>28.219695933081294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4"/>
        <v>0</v>
      </c>
      <c r="G398" s="13"/>
      <c r="H398" s="19">
        <f t="shared" si="37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12.064196047008547</v>
      </c>
      <c r="AO398">
        <v>119.23436270686446</v>
      </c>
      <c r="AP398">
        <v>792.83299116575643</v>
      </c>
      <c r="AQ398">
        <v>163.7589074776896</v>
      </c>
      <c r="AR398">
        <v>110.71284547301234</v>
      </c>
      <c r="AS398">
        <v>582.25219008267061</v>
      </c>
      <c r="AT398" t="e">
        <v>#DIV/0!</v>
      </c>
      <c r="AU398" t="e">
        <v>#DIV/0!</v>
      </c>
      <c r="AV398"/>
      <c r="AW398"/>
      <c r="FY398" s="211">
        <v>393</v>
      </c>
      <c r="FZ398">
        <v>17.961229832920893</v>
      </c>
      <c r="GA398">
        <v>21.180588318637867</v>
      </c>
      <c r="GB398">
        <v>37.908827805529455</v>
      </c>
      <c r="GC398">
        <v>2.788243202564832</v>
      </c>
      <c r="GD398">
        <v>0.25203181159065352</v>
      </c>
      <c r="GE398">
        <v>0.18740321830131634</v>
      </c>
      <c r="GF398">
        <v>2.9521375021510465</v>
      </c>
      <c r="GG398">
        <v>11.51839624379574</v>
      </c>
      <c r="GH398">
        <v>16.426144582619159</v>
      </c>
      <c r="GI398">
        <v>35.533377516436062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16.243749999999999</v>
      </c>
      <c r="AO399">
        <v>110.99309776310751</v>
      </c>
      <c r="AP399">
        <v>742.80925514635067</v>
      </c>
      <c r="AQ399">
        <v>261.46517219928637</v>
      </c>
      <c r="AR399">
        <v>102.93371493914182</v>
      </c>
      <c r="AS399">
        <v>800.63659121402861</v>
      </c>
      <c r="AT399" t="e">
        <v>#DIV/0!</v>
      </c>
      <c r="AU399" t="e">
        <v>#DIV/0!</v>
      </c>
      <c r="AV399"/>
      <c r="AW399"/>
      <c r="FY399" s="211">
        <v>394</v>
      </c>
      <c r="FZ399">
        <v>28.991312067445723</v>
      </c>
      <c r="GA399">
        <v>31.135287249893494</v>
      </c>
      <c r="GB399">
        <v>74.893994203575588</v>
      </c>
      <c r="GC399">
        <v>5.5307740362712252</v>
      </c>
      <c r="GD399">
        <v>0.51289988148904786</v>
      </c>
      <c r="GE399">
        <v>0.58195398675887211</v>
      </c>
      <c r="GF399">
        <v>2.9024186305127224</v>
      </c>
      <c r="GG399">
        <v>13.660117620373027</v>
      </c>
      <c r="GH399">
        <v>28.419636628989011</v>
      </c>
      <c r="GI399">
        <v>63.406693323184165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10.281383547008547</v>
      </c>
      <c r="AO400">
        <v>82.268784897204469</v>
      </c>
      <c r="AP400">
        <v>720.42515892758365</v>
      </c>
      <c r="AQ400">
        <v>168.76382611788702</v>
      </c>
      <c r="AR400">
        <v>76.316126991840875</v>
      </c>
      <c r="AS400">
        <v>573.5548571624621</v>
      </c>
      <c r="AT400" t="e">
        <v>#DIV/0!</v>
      </c>
      <c r="AU400" t="e">
        <v>#DIV/0!</v>
      </c>
      <c r="AV400"/>
      <c r="AW400"/>
      <c r="FY400" s="211">
        <v>395</v>
      </c>
      <c r="FZ400">
        <v>32.796945759793935</v>
      </c>
      <c r="GA400">
        <v>39.022569103420146</v>
      </c>
      <c r="GB400">
        <v>44.373408352304303</v>
      </c>
      <c r="GC400">
        <v>2.5642548265297465</v>
      </c>
      <c r="GD400">
        <v>0.20285050237281971</v>
      </c>
      <c r="GE400">
        <v>0.42363790683901698</v>
      </c>
      <c r="GF400">
        <v>2.3385890305438792</v>
      </c>
      <c r="GG400">
        <v>3.0604940178766382</v>
      </c>
      <c r="GH400">
        <v>5.582888179644657</v>
      </c>
      <c r="GI400">
        <v>48.146390675854192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14.18832799145299</v>
      </c>
      <c r="AO401">
        <v>121.80555061925331</v>
      </c>
      <c r="AP401">
        <v>792.09047553991081</v>
      </c>
      <c r="AQ401">
        <v>239.48153975017652</v>
      </c>
      <c r="AR401">
        <v>112.96381962944402</v>
      </c>
      <c r="AS401">
        <v>729.68244333235793</v>
      </c>
      <c r="AT401" t="e">
        <v>#DIV/0!</v>
      </c>
      <c r="AU401" t="e">
        <v>#DIV/0!</v>
      </c>
      <c r="AV401"/>
      <c r="AW401"/>
      <c r="FY401" s="211">
        <v>396</v>
      </c>
      <c r="FZ401">
        <v>30.875154658328938</v>
      </c>
      <c r="GA401">
        <v>36.841040623803202</v>
      </c>
      <c r="GB401">
        <v>60.12513658751034</v>
      </c>
      <c r="GC401">
        <v>1.9825960374429488</v>
      </c>
      <c r="GD401">
        <v>0.37634058103836632</v>
      </c>
      <c r="GE401">
        <v>0.66648692196279713</v>
      </c>
      <c r="GF401">
        <v>2.8332163808159407</v>
      </c>
      <c r="GG401">
        <v>3.6489681543580739</v>
      </c>
      <c r="GH401">
        <v>3.6144188009915013</v>
      </c>
      <c r="GI401">
        <v>52.921129748591014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10.427911324786324</v>
      </c>
      <c r="AO402">
        <v>67.888453768161753</v>
      </c>
      <c r="AP402">
        <v>445.30111477229877</v>
      </c>
      <c r="AQ402">
        <v>166.88135978679117</v>
      </c>
      <c r="AR402">
        <v>62.955689818576332</v>
      </c>
      <c r="AS402">
        <v>785.8427898736735</v>
      </c>
      <c r="AT402" t="e">
        <v>#DIV/0!</v>
      </c>
      <c r="AU402" t="e">
        <v>#DIV/0!</v>
      </c>
      <c r="AV402"/>
      <c r="AW402"/>
      <c r="FY402" s="211">
        <v>397</v>
      </c>
      <c r="FZ402">
        <v>21.495882401818548</v>
      </c>
      <c r="GA402">
        <v>30.615102533470335</v>
      </c>
      <c r="GB402">
        <v>48.316610389163884</v>
      </c>
      <c r="GC402">
        <v>1.6259165460260665</v>
      </c>
      <c r="GD402">
        <v>0.19401424406507889</v>
      </c>
      <c r="GE402">
        <v>0.84314034977611829</v>
      </c>
      <c r="GF402">
        <v>2.7107096347510451</v>
      </c>
      <c r="GG402">
        <v>5.1064841483810355</v>
      </c>
      <c r="GH402">
        <v>9.1973069806361583</v>
      </c>
      <c r="GI402">
        <v>44.303677063320386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9.7171474358974343</v>
      </c>
      <c r="AO403">
        <v>66.513519332263712</v>
      </c>
      <c r="AP403">
        <v>398.11301590356845</v>
      </c>
      <c r="AQ403">
        <v>151.89983673732695</v>
      </c>
      <c r="AR403">
        <v>61.672510457839579</v>
      </c>
      <c r="AS403">
        <v>548.71513112212324</v>
      </c>
      <c r="AT403" t="e">
        <v>#DIV/0!</v>
      </c>
      <c r="AU403" t="e">
        <v>#DIV/0!</v>
      </c>
      <c r="AV403"/>
      <c r="AW403"/>
      <c r="FY403" s="211">
        <v>398</v>
      </c>
      <c r="FZ403">
        <v>33.7832646417598</v>
      </c>
      <c r="GA403">
        <v>36.146675126370354</v>
      </c>
      <c r="GB403">
        <v>100.75011931039185</v>
      </c>
      <c r="GC403">
        <v>2.561105933994583</v>
      </c>
      <c r="GD403">
        <v>0.16535710024677736</v>
      </c>
      <c r="GE403">
        <v>0.12829095223075584</v>
      </c>
      <c r="GF403">
        <v>2.1399144119917244</v>
      </c>
      <c r="GG403">
        <v>7.7239660596069504</v>
      </c>
      <c r="GH403">
        <v>15.194053003821082</v>
      </c>
      <c r="GI403">
        <v>82.903490122895235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12.392881944444445</v>
      </c>
      <c r="AO404">
        <v>92.2974281747112</v>
      </c>
      <c r="AP404">
        <v>593.36507339205605</v>
      </c>
      <c r="AQ404">
        <v>166.89028291155375</v>
      </c>
      <c r="AR404">
        <v>85.749856574773347</v>
      </c>
      <c r="AS404">
        <v>656.44751771227902</v>
      </c>
      <c r="AT404" t="e">
        <v>#DIV/0!</v>
      </c>
      <c r="AU404" t="e">
        <v>#DIV/0!</v>
      </c>
      <c r="AV404"/>
      <c r="AW404"/>
      <c r="FY404" s="211">
        <v>399</v>
      </c>
      <c r="FZ404">
        <v>15.633030606972927</v>
      </c>
      <c r="GA404">
        <v>22.386823218311108</v>
      </c>
      <c r="GB404">
        <v>40.751533368748973</v>
      </c>
      <c r="GC404">
        <v>2.2656251627351587</v>
      </c>
      <c r="GD404">
        <v>0.27526696979644222</v>
      </c>
      <c r="GE404">
        <v>0.67565559590953028</v>
      </c>
      <c r="GF404">
        <v>4.1199057946712738</v>
      </c>
      <c r="GG404">
        <v>8.3687969970047913</v>
      </c>
      <c r="GH404">
        <v>13.225583625167928</v>
      </c>
      <c r="GI404">
        <v>37.821511366372533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6">+C4</f>
        <v>39646</v>
      </c>
      <c r="C405" s="61">
        <v>0</v>
      </c>
      <c r="D405" s="61" t="e">
        <f t="shared" ref="D405:D414" si="37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#DIV/0!</v>
      </c>
      <c r="E405" s="108" t="e">
        <f t="shared" ref="E405:E414" si="378">IF(D405=0,0.00000001,(1-$A$43/100)*($A$39*(D405^($A$41))))</f>
        <v>#DIV/0!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13.609375</v>
      </c>
      <c r="AO405">
        <v>125.37122998976049</v>
      </c>
      <c r="AP405">
        <v>803.31252681710214</v>
      </c>
      <c r="AQ405">
        <v>166.69489366592916</v>
      </c>
      <c r="AR405">
        <v>116.21824796689947</v>
      </c>
      <c r="AS405">
        <v>962.53905673253973</v>
      </c>
      <c r="AT405" t="e">
        <v>#DIV/0!</v>
      </c>
      <c r="AU405" t="e">
        <v>#DIV/0!</v>
      </c>
      <c r="AV405"/>
      <c r="AW405"/>
      <c r="FY405" s="211">
        <v>400</v>
      </c>
      <c r="FZ405">
        <v>30.724098967044739</v>
      </c>
      <c r="GA405">
        <v>37.278282802249677</v>
      </c>
      <c r="GB405">
        <v>70.261025903337995</v>
      </c>
      <c r="GC405">
        <v>1.2759015902812658</v>
      </c>
      <c r="GD405">
        <v>0.13043403494919714</v>
      </c>
      <c r="GE405">
        <v>0.11822453214112102</v>
      </c>
      <c r="GF405">
        <v>4.5129505693208936</v>
      </c>
      <c r="GG405">
        <v>10.78446007748359</v>
      </c>
      <c r="GH405">
        <v>16.748664538933976</v>
      </c>
      <c r="GI405">
        <v>60.84666582707991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6"/>
        <v>39673</v>
      </c>
      <c r="C406" s="61">
        <f>B406-B405</f>
        <v>27</v>
      </c>
      <c r="D406" s="61">
        <f t="shared" si="377"/>
        <v>5.4545454545454541</v>
      </c>
      <c r="E406" s="108">
        <f t="shared" si="378"/>
        <v>1.281492010437409</v>
      </c>
      <c r="F406" s="19" t="e">
        <f t="shared" ref="F406:F414" si="379">IF(C374&lt;1,0,LN(E406/E405)/E21)</f>
        <v>#DIV/0!</v>
      </c>
      <c r="G406" s="19">
        <f t="shared" ref="G406:G414" si="380">IF(D406=0, 0, 0.051-(0.068*LN(D406))+(0.006*A406))</f>
        <v>-7.6585516808136481E-3</v>
      </c>
      <c r="H406" s="19">
        <f t="shared" ref="H406:H414" si="381">+IF((G406&gt;0),G406,0)</f>
        <v>0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13.18125</v>
      </c>
      <c r="AO406">
        <v>153.66175394691626</v>
      </c>
      <c r="AP406">
        <v>1188.2040099922062</v>
      </c>
      <c r="AQ406">
        <v>171.47732821820424</v>
      </c>
      <c r="AR406">
        <v>142.70652243179052</v>
      </c>
      <c r="AS406">
        <v>892.91726434176462</v>
      </c>
      <c r="AT406" t="e">
        <v>#DIV/0!</v>
      </c>
      <c r="AU406" t="e">
        <v>#DIV/0!</v>
      </c>
      <c r="AV406"/>
      <c r="AW406"/>
      <c r="FY406" s="211">
        <v>401</v>
      </c>
      <c r="FZ406">
        <v>12.762869134123846</v>
      </c>
      <c r="GA406">
        <v>17.721318980798486</v>
      </c>
      <c r="GB406">
        <v>26.329121670059241</v>
      </c>
      <c r="GC406">
        <v>0.83207406377947035</v>
      </c>
      <c r="GD406">
        <v>0.17077908585929019</v>
      </c>
      <c r="GE406">
        <v>0.61151011979415226</v>
      </c>
      <c r="GF406">
        <v>4.3375870107654375</v>
      </c>
      <c r="GG406">
        <v>10.156611495845667</v>
      </c>
      <c r="GH406">
        <v>11.165776359289314</v>
      </c>
      <c r="GI406">
        <v>31.353141428508021</v>
      </c>
      <c r="GJ406"/>
      <c r="GK406"/>
      <c r="GL406"/>
      <c r="GM406"/>
    </row>
    <row r="407" spans="1:195" s="7" customFormat="1">
      <c r="A407" s="189">
        <v>4.03</v>
      </c>
      <c r="B407" s="71">
        <f t="shared" si="376"/>
        <v>39714</v>
      </c>
      <c r="C407" s="61">
        <f>B407-$B$405</f>
        <v>68</v>
      </c>
      <c r="D407" s="61">
        <f t="shared" si="377"/>
        <v>10</v>
      </c>
      <c r="E407" s="108">
        <f t="shared" si="378"/>
        <v>7.4024353035683674</v>
      </c>
      <c r="F407" s="19">
        <f t="shared" si="379"/>
        <v>4.2775219728881528E-2</v>
      </c>
      <c r="G407" s="19">
        <f t="shared" si="380"/>
        <v>-8.1395786323595148E-2</v>
      </c>
      <c r="H407" s="19">
        <f t="shared" si="381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17.730261752136748</v>
      </c>
      <c r="AO407">
        <v>93.962780930099427</v>
      </c>
      <c r="AP407">
        <v>516.16790544037406</v>
      </c>
      <c r="AQ407">
        <v>169.15372180335606</v>
      </c>
      <c r="AR407">
        <v>87.036892026965134</v>
      </c>
      <c r="AS407">
        <v>1039.5878653230084</v>
      </c>
      <c r="AT407" t="e">
        <v>#DIV/0!</v>
      </c>
      <c r="AU407" t="e">
        <v>#DIV/0!</v>
      </c>
      <c r="AV407"/>
      <c r="AW407"/>
      <c r="FY407" s="211">
        <v>402</v>
      </c>
      <c r="FZ407">
        <v>36.382444991158323</v>
      </c>
      <c r="GA407">
        <v>40.947807571468132</v>
      </c>
      <c r="GB407">
        <v>27.127363311856602</v>
      </c>
      <c r="GC407">
        <v>1.230089302650776</v>
      </c>
      <c r="GD407">
        <v>9.5651625629411235E-2</v>
      </c>
      <c r="GE407">
        <v>0.18787221295513531</v>
      </c>
      <c r="GF407">
        <v>1.8369960574813406</v>
      </c>
      <c r="GG407">
        <v>6.5246256972475116</v>
      </c>
      <c r="GH407">
        <v>7.2288376019830025</v>
      </c>
      <c r="GI407">
        <v>38.901974826589168</v>
      </c>
      <c r="GJ407"/>
      <c r="GK407"/>
      <c r="GL407"/>
      <c r="GM407"/>
    </row>
    <row r="408" spans="1:195" s="7" customFormat="1">
      <c r="A408" s="189">
        <v>0.78</v>
      </c>
      <c r="B408" s="71">
        <f t="shared" si="376"/>
        <v>39747</v>
      </c>
      <c r="C408" s="61">
        <f t="shared" ref="C408:C414" si="382">B408-$B$405</f>
        <v>101</v>
      </c>
      <c r="D408" s="61">
        <f t="shared" si="377"/>
        <v>7</v>
      </c>
      <c r="E408" s="108">
        <f t="shared" si="378"/>
        <v>2.6374465828824412</v>
      </c>
      <c r="F408" s="19">
        <f t="shared" si="379"/>
        <v>-3.1272660469257557E-2</v>
      </c>
      <c r="G408" s="19">
        <f t="shared" si="380"/>
        <v>-7.6641890135761323E-2</v>
      </c>
      <c r="H408" s="19">
        <f t="shared" si="381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10.97956730769231</v>
      </c>
      <c r="AO408">
        <v>119.40444154272726</v>
      </c>
      <c r="AP408">
        <v>786.43937671879144</v>
      </c>
      <c r="AQ408">
        <v>131.22026136414232</v>
      </c>
      <c r="AR408">
        <v>111.00951520830994</v>
      </c>
      <c r="AS408">
        <v>702.64510564541206</v>
      </c>
      <c r="AT408" t="e">
        <v>#DIV/0!</v>
      </c>
      <c r="AU408" t="e">
        <v>#DIV/0!</v>
      </c>
      <c r="AV408"/>
      <c r="AW408"/>
      <c r="FY408" s="211">
        <v>403</v>
      </c>
      <c r="FZ408">
        <v>30.279742331979985</v>
      </c>
      <c r="GA408">
        <v>38.259295866942466</v>
      </c>
      <c r="GB408">
        <v>33.371867749614132</v>
      </c>
      <c r="GC408">
        <v>2.3927827097912959</v>
      </c>
      <c r="GD408">
        <v>0.25203181159065352</v>
      </c>
      <c r="GE408">
        <v>0.4786147090076619</v>
      </c>
      <c r="GF408">
        <v>1.6822582134499693</v>
      </c>
      <c r="GG408">
        <v>2.0459901305043982</v>
      </c>
      <c r="GH408">
        <v>3.6144188009915013</v>
      </c>
      <c r="GI408">
        <v>38.165497244806204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6"/>
        <v>39775</v>
      </c>
      <c r="C409" s="61">
        <f t="shared" si="382"/>
        <v>129</v>
      </c>
      <c r="D409" s="61">
        <f t="shared" si="377"/>
        <v>4.860215053763441</v>
      </c>
      <c r="E409" s="108">
        <f t="shared" si="378"/>
        <v>0.9178007854291832</v>
      </c>
      <c r="F409" s="19">
        <f t="shared" si="379"/>
        <v>-3.7699505961053766E-2</v>
      </c>
      <c r="G409" s="19">
        <f t="shared" si="380"/>
        <v>-5.5673622694170338E-2</v>
      </c>
      <c r="H409" s="19">
        <f t="shared" si="381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10.180822649572651</v>
      </c>
      <c r="AO409">
        <v>39.434717216867817</v>
      </c>
      <c r="AP409">
        <v>284.66622380417743</v>
      </c>
      <c r="AQ409">
        <v>146.70838003454702</v>
      </c>
      <c r="AR409">
        <v>36.524685621004195</v>
      </c>
      <c r="AS409">
        <v>288.5034375780844</v>
      </c>
      <c r="AT409" t="e">
        <v>#DIV/0!</v>
      </c>
      <c r="AU409" t="e">
        <v>#DIV/0!</v>
      </c>
      <c r="AV409"/>
      <c r="AW409"/>
      <c r="FY409" s="211">
        <v>404</v>
      </c>
      <c r="FZ409">
        <v>46.2751526524331</v>
      </c>
      <c r="GA409">
        <v>51.319896100237216</v>
      </c>
      <c r="GB409">
        <v>45.047455495249835</v>
      </c>
      <c r="GC409">
        <v>3.0975732524089845</v>
      </c>
      <c r="GD409">
        <v>0.48695373047700274</v>
      </c>
      <c r="GE409">
        <v>0.26118636301724629</v>
      </c>
      <c r="GF409">
        <v>1.6157292166573882</v>
      </c>
      <c r="GG409">
        <v>5.8797947598496716</v>
      </c>
      <c r="GH409">
        <v>13.225583625167928</v>
      </c>
      <c r="GI409">
        <v>53.17877836717075</v>
      </c>
      <c r="GJ409"/>
      <c r="GK409"/>
      <c r="GL409"/>
      <c r="GM409"/>
    </row>
    <row r="410" spans="1:195" s="7" customFormat="1">
      <c r="A410" s="189">
        <v>0.21</v>
      </c>
      <c r="B410" s="71">
        <f t="shared" si="376"/>
        <v>39799</v>
      </c>
      <c r="C410" s="61">
        <f t="shared" si="382"/>
        <v>153</v>
      </c>
      <c r="D410" s="61">
        <f t="shared" si="377"/>
        <v>11.6</v>
      </c>
      <c r="E410" s="108">
        <f t="shared" si="378"/>
        <v>11.37303497622807</v>
      </c>
      <c r="F410" s="19">
        <f t="shared" si="379"/>
        <v>0.10487583840914676</v>
      </c>
      <c r="G410" s="19">
        <f t="shared" si="380"/>
        <v>-0.11440834667163773</v>
      </c>
      <c r="H410" s="19">
        <f t="shared" si="381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19.698918269230766</v>
      </c>
      <c r="AO410">
        <v>170.34626495697546</v>
      </c>
      <c r="AP410">
        <v>966.57057192019329</v>
      </c>
      <c r="AQ410">
        <v>250.03508762849285</v>
      </c>
      <c r="AR410">
        <v>158.11402911689191</v>
      </c>
      <c r="AS410">
        <v>1070.5841831235268</v>
      </c>
      <c r="AT410" t="e">
        <v>#DIV/0!</v>
      </c>
      <c r="AU410" t="e">
        <v>#DIV/0!</v>
      </c>
      <c r="AV410"/>
      <c r="AW410"/>
      <c r="FY410" s="211">
        <v>405</v>
      </c>
      <c r="FZ410">
        <v>48.007939552032113</v>
      </c>
      <c r="GA410">
        <v>49.69627160305054</v>
      </c>
      <c r="GB410">
        <v>73.906979517147491</v>
      </c>
      <c r="GC410">
        <v>2.0595905642395622</v>
      </c>
      <c r="GD410">
        <v>0.2493208187843971</v>
      </c>
      <c r="GE410">
        <v>0.34068608817635404</v>
      </c>
      <c r="GF410">
        <v>3.9258220019237653</v>
      </c>
      <c r="GG410">
        <v>2.4326454362387158</v>
      </c>
      <c r="GH410">
        <v>0</v>
      </c>
      <c r="GI410">
        <v>63.110501287719373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2"/>
        <v>201</v>
      </c>
      <c r="D411" s="61">
        <f t="shared" si="377"/>
        <v>4.75</v>
      </c>
      <c r="E411" s="108">
        <f t="shared" si="378"/>
        <v>0.85886495937639695</v>
      </c>
      <c r="F411" s="19">
        <f t="shared" si="379"/>
        <v>-5.3820599514733704E-2</v>
      </c>
      <c r="G411" s="19">
        <f t="shared" si="380"/>
        <v>-4.7273834027165409E-2</v>
      </c>
      <c r="H411" s="19">
        <f t="shared" si="381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20.200440705128205</v>
      </c>
      <c r="AO411">
        <v>194.17032647129031</v>
      </c>
      <c r="AP411">
        <v>1072.4261682171402</v>
      </c>
      <c r="AQ411">
        <v>178.51202835517938</v>
      </c>
      <c r="AR411">
        <v>180.02277793048032</v>
      </c>
      <c r="AS411">
        <v>1951.0082804825945</v>
      </c>
      <c r="AT411" t="e">
        <v>#DIV/0!</v>
      </c>
      <c r="AU411" t="e">
        <v>#DIV/0!</v>
      </c>
      <c r="AV411"/>
      <c r="AW411"/>
      <c r="FY411" s="211">
        <v>406</v>
      </c>
      <c r="FZ411">
        <v>38.559588525822107</v>
      </c>
      <c r="GA411">
        <v>37.495088635724592</v>
      </c>
      <c r="GB411">
        <v>47.586914947307193</v>
      </c>
      <c r="GC411">
        <v>2.6691739699321237</v>
      </c>
      <c r="GD411">
        <v>0.3565196955278056</v>
      </c>
      <c r="GE411">
        <v>0.44905857597238164</v>
      </c>
      <c r="GF411">
        <v>1.8334104327515515</v>
      </c>
      <c r="GG411">
        <v>14.820083537575982</v>
      </c>
      <c r="GH411">
        <v>28.005778785448747</v>
      </c>
      <c r="GI411">
        <v>51.798912916460246</v>
      </c>
      <c r="GJ411"/>
      <c r="GK411"/>
      <c r="GL411"/>
      <c r="GM411"/>
    </row>
    <row r="412" spans="1:195" s="7" customFormat="1">
      <c r="A412" s="189">
        <v>4</v>
      </c>
      <c r="B412" s="71">
        <f t="shared" si="376"/>
        <v>39910</v>
      </c>
      <c r="C412" s="61">
        <f t="shared" si="382"/>
        <v>264</v>
      </c>
      <c r="D412" s="61">
        <f t="shared" si="377"/>
        <v>3.6</v>
      </c>
      <c r="E412" s="108">
        <f t="shared" si="378"/>
        <v>0.38511204511925373</v>
      </c>
      <c r="F412" s="19">
        <f t="shared" si="379"/>
        <v>-1.2731387057378318E-2</v>
      </c>
      <c r="G412" s="19">
        <f t="shared" si="380"/>
        <v>-1.2103501491420379E-2</v>
      </c>
      <c r="H412" s="19">
        <f t="shared" si="381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16.801041666666666</v>
      </c>
      <c r="AO412">
        <v>166.16550187452827</v>
      </c>
      <c r="AP412">
        <v>1272.9633041797392</v>
      </c>
      <c r="AQ412">
        <v>193.88448849484308</v>
      </c>
      <c r="AR412">
        <v>154.01186461484434</v>
      </c>
      <c r="AS412">
        <v>1056.2022063217153</v>
      </c>
      <c r="AT412" t="e">
        <v>#DIV/0!</v>
      </c>
      <c r="AU412" t="e">
        <v>#DIV/0!</v>
      </c>
      <c r="AV412"/>
      <c r="AW412"/>
      <c r="FY412" s="211">
        <v>407</v>
      </c>
      <c r="FZ412">
        <v>50.947179794580805</v>
      </c>
      <c r="GA412">
        <v>52.35838032454734</v>
      </c>
      <c r="GB412">
        <v>49.060048901660814</v>
      </c>
      <c r="GC412">
        <v>3.9163741279482069</v>
      </c>
      <c r="GD412">
        <v>0.45217132115721681</v>
      </c>
      <c r="GE412">
        <v>0.66145371191797975</v>
      </c>
      <c r="GF412">
        <v>3.9256727739645805</v>
      </c>
      <c r="GG412">
        <v>2.8756575428894382</v>
      </c>
      <c r="GH412">
        <v>7.6426954455232705</v>
      </c>
      <c r="GI412">
        <v>53.247681566268099</v>
      </c>
      <c r="GJ412"/>
      <c r="GK412"/>
      <c r="GL412"/>
      <c r="GM412"/>
    </row>
    <row r="413" spans="1:195" s="7" customFormat="1">
      <c r="A413" s="190">
        <v>7.33</v>
      </c>
      <c r="B413" s="71">
        <f t="shared" si="376"/>
        <v>39949</v>
      </c>
      <c r="C413" s="61">
        <f t="shared" si="382"/>
        <v>303</v>
      </c>
      <c r="D413" s="61">
        <f t="shared" si="377"/>
        <v>7.8000000000000016</v>
      </c>
      <c r="E413" s="108">
        <f t="shared" si="378"/>
        <v>3.6071383841771705</v>
      </c>
      <c r="F413" s="19">
        <f t="shared" si="379"/>
        <v>5.7362454548351455E-2</v>
      </c>
      <c r="G413" s="19">
        <f t="shared" si="380"/>
        <v>-4.4700413891297162E-2</v>
      </c>
      <c r="H413" s="19">
        <f t="shared" si="381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16.125654380341878</v>
      </c>
      <c r="AO413">
        <v>111.63853741615631</v>
      </c>
      <c r="AP413">
        <v>766.66042302195467</v>
      </c>
      <c r="AQ413">
        <v>164.40884429140866</v>
      </c>
      <c r="AR413">
        <v>103.38883103119015</v>
      </c>
      <c r="AS413">
        <v>954.46984324243965</v>
      </c>
      <c r="AT413" t="e">
        <v>#DIV/0!</v>
      </c>
      <c r="AU413" t="e">
        <v>#DIV/0!</v>
      </c>
      <c r="AV413"/>
      <c r="AW413"/>
      <c r="FY413" s="211">
        <v>408</v>
      </c>
      <c r="FZ413">
        <v>25.947775082982446</v>
      </c>
      <c r="GA413">
        <v>25.691543372301823</v>
      </c>
      <c r="GB413">
        <v>37.738251641275745</v>
      </c>
      <c r="GC413">
        <v>2.3870003657288477</v>
      </c>
      <c r="GD413">
        <v>0.27526696979644216</v>
      </c>
      <c r="GE413">
        <v>0.35488797216790446</v>
      </c>
      <c r="GF413">
        <v>3.2981366580665417</v>
      </c>
      <c r="GG413">
        <v>5.43678265319895</v>
      </c>
      <c r="GH413">
        <v>9.6111648241764271</v>
      </c>
      <c r="GI413">
        <v>36.095196893928858</v>
      </c>
      <c r="GJ413"/>
      <c r="GK413"/>
      <c r="GL413"/>
      <c r="GM413"/>
    </row>
    <row r="414" spans="1:195" s="7" customFormat="1">
      <c r="A414" s="189">
        <v>10.51</v>
      </c>
      <c r="B414" s="71">
        <f t="shared" si="376"/>
        <v>39987</v>
      </c>
      <c r="C414" s="61">
        <f t="shared" si="382"/>
        <v>341</v>
      </c>
      <c r="D414" s="61" t="e">
        <f t="shared" si="377"/>
        <v>#DIV/0!</v>
      </c>
      <c r="E414" s="108" t="e">
        <f t="shared" si="378"/>
        <v>#DIV/0!</v>
      </c>
      <c r="F414" s="19">
        <f t="shared" si="379"/>
        <v>0</v>
      </c>
      <c r="G414" s="19" t="e">
        <f t="shared" si="380"/>
        <v>#DIV/0!</v>
      </c>
      <c r="H414" s="19" t="e">
        <f t="shared" si="381"/>
        <v>#DIV/0!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18.182385149572649</v>
      </c>
      <c r="AO414">
        <v>150.17201396980511</v>
      </c>
      <c r="AP414">
        <v>1046.521542253633</v>
      </c>
      <c r="AQ414">
        <v>281.49623666330905</v>
      </c>
      <c r="AR414">
        <v>139.16337791240301</v>
      </c>
      <c r="AS414">
        <v>1203.9923500899458</v>
      </c>
      <c r="AT414" t="e">
        <v>#DIV/0!</v>
      </c>
      <c r="AU414" t="e">
        <v>#DIV/0!</v>
      </c>
      <c r="AV414"/>
      <c r="AW414"/>
      <c r="FY414" s="211">
        <v>409</v>
      </c>
      <c r="FZ414">
        <v>15.633030606972927</v>
      </c>
      <c r="GA414">
        <v>23.022884248709175</v>
      </c>
      <c r="GB414">
        <v>37.420975279397837</v>
      </c>
      <c r="GC414">
        <v>3.8685225352278265</v>
      </c>
      <c r="GD414">
        <v>0.56208119070688167</v>
      </c>
      <c r="GE414">
        <v>6.4145476115377922E-2</v>
      </c>
      <c r="GF414">
        <v>1.3981972285224096</v>
      </c>
      <c r="GG414">
        <v>7.7239660596069504</v>
      </c>
      <c r="GH414">
        <v>15.194053003821082</v>
      </c>
      <c r="GI414">
        <v>38.376566741528976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14.752604166666663</v>
      </c>
      <c r="AO415">
        <v>105.14847725428902</v>
      </c>
      <c r="AP415">
        <v>732.77093564369977</v>
      </c>
      <c r="AQ415">
        <v>145.52373270569066</v>
      </c>
      <c r="AR415">
        <v>97.523788505875174</v>
      </c>
      <c r="AS415">
        <v>743.34228751432249</v>
      </c>
      <c r="AT415" t="e">
        <v>#DIV/0!</v>
      </c>
      <c r="AU415" t="e">
        <v>#DIV/0!</v>
      </c>
      <c r="AV415"/>
      <c r="AW415"/>
      <c r="FY415" s="211">
        <v>410</v>
      </c>
      <c r="FZ415">
        <v>47.261471534398957</v>
      </c>
      <c r="GA415">
        <v>43.149087944695331</v>
      </c>
      <c r="GB415">
        <v>72.10326634506427</v>
      </c>
      <c r="GC415">
        <v>1.5346665540489073</v>
      </c>
      <c r="GD415">
        <v>0.12159777664145635</v>
      </c>
      <c r="GE415">
        <v>0.21742834599041555</v>
      </c>
      <c r="GF415">
        <v>1.6824074414091537</v>
      </c>
      <c r="GG415">
        <v>7.7239660596069504</v>
      </c>
      <c r="GH415">
        <v>15.194053003821082</v>
      </c>
      <c r="GI415">
        <v>57.131869455798302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12.489583333333332</v>
      </c>
      <c r="AO416">
        <v>106.28461129882839</v>
      </c>
      <c r="AP416">
        <v>848.90811036877233</v>
      </c>
      <c r="AQ416">
        <v>232.68070884282238</v>
      </c>
      <c r="AR416">
        <v>98.39115638680255</v>
      </c>
      <c r="AS416">
        <v>512.76925908580381</v>
      </c>
      <c r="AT416" t="e">
        <v>#DIV/0!</v>
      </c>
      <c r="AU416" t="e">
        <v>#DIV/0!</v>
      </c>
      <c r="AV416"/>
      <c r="AW416"/>
      <c r="FY416" s="211">
        <v>411</v>
      </c>
      <c r="FZ416">
        <v>34.378676968108749</v>
      </c>
      <c r="GA416">
        <v>40.447374748655236</v>
      </c>
      <c r="GB416">
        <v>70.031213091637568</v>
      </c>
      <c r="GC416">
        <v>2.1841933651979302</v>
      </c>
      <c r="GD416">
        <v>0.44333506284947599</v>
      </c>
      <c r="GE416">
        <v>0.56818085425640441</v>
      </c>
      <c r="GF416">
        <v>1.3720757802307393</v>
      </c>
      <c r="GG416">
        <v>1.6593348247700803</v>
      </c>
      <c r="GH416">
        <v>0</v>
      </c>
      <c r="GI416">
        <v>57.831805719046223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12.920138888888889</v>
      </c>
      <c r="AO417">
        <v>97.357374446757191</v>
      </c>
      <c r="AP417">
        <v>388.74627694162052</v>
      </c>
      <c r="AQ417">
        <v>115.44078934882293</v>
      </c>
      <c r="AR417">
        <v>90.259711339542662</v>
      </c>
      <c r="AS417">
        <v>846.30839476865663</v>
      </c>
      <c r="AT417" t="e">
        <v>#DIV/0!</v>
      </c>
      <c r="AU417" t="e">
        <v>#DIV/0!</v>
      </c>
      <c r="AV417"/>
      <c r="AW417"/>
      <c r="FY417" s="211">
        <v>412</v>
      </c>
      <c r="FZ417">
        <v>40.887787751770077</v>
      </c>
      <c r="GA417">
        <v>47.726763466899619</v>
      </c>
      <c r="GB417">
        <v>67.454115928037254</v>
      </c>
      <c r="GC417">
        <v>4.6011929678376644</v>
      </c>
      <c r="GD417">
        <v>0.71032839824935456</v>
      </c>
      <c r="GE417">
        <v>0.9072858258914962</v>
      </c>
      <c r="GF417">
        <v>2.4077912802406609</v>
      </c>
      <c r="GG417">
        <v>10.011149466014956</v>
      </c>
      <c r="GH417">
        <v>20.776941183465745</v>
      </c>
      <c r="GI417">
        <v>64.835088280171902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12.916025641025641</v>
      </c>
      <c r="AO418">
        <v>129.61462116449425</v>
      </c>
      <c r="AP418">
        <v>780.43101744855539</v>
      </c>
      <c r="AQ418">
        <v>160.46366319901944</v>
      </c>
      <c r="AR418">
        <v>120.14646445778254</v>
      </c>
      <c r="AS418">
        <v>1182.8213814049641</v>
      </c>
      <c r="AT418" t="e">
        <v>#DIV/0!</v>
      </c>
      <c r="AU418" t="e">
        <v>#DIV/0!</v>
      </c>
      <c r="AV418"/>
      <c r="AW418"/>
      <c r="FY418" s="211">
        <v>413</v>
      </c>
      <c r="FZ418">
        <v>35.245070417908259</v>
      </c>
      <c r="GA418">
        <v>35.64624230355745</v>
      </c>
      <c r="GB418">
        <v>98.326604135128335</v>
      </c>
      <c r="GC418">
        <v>3.732115051394171</v>
      </c>
      <c r="GD418">
        <v>0.53884603250109286</v>
      </c>
      <c r="GE418">
        <v>0.61151011979415226</v>
      </c>
      <c r="GF418">
        <v>3.4338679045559046</v>
      </c>
      <c r="GG418">
        <v>6.5246256972475116</v>
      </c>
      <c r="GH418">
        <v>11.257114246514771</v>
      </c>
      <c r="GI418">
        <v>81.554202973068968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14.416760149572649</v>
      </c>
      <c r="AO419">
        <v>117.14658350801804</v>
      </c>
      <c r="AP419">
        <v>828.80695849194944</v>
      </c>
      <c r="AQ419">
        <v>150.54249956867827</v>
      </c>
      <c r="AR419">
        <v>108.58463629665515</v>
      </c>
      <c r="AS419">
        <v>908.54619185383933</v>
      </c>
      <c r="AT419" t="e">
        <v>#DIV/0!</v>
      </c>
      <c r="AU419" t="e">
        <v>#DIV/0!</v>
      </c>
      <c r="AV419"/>
      <c r="AW419"/>
      <c r="FY419" s="211">
        <v>414</v>
      </c>
      <c r="FZ419">
        <v>37.693195076022597</v>
      </c>
      <c r="GA419">
        <v>40.884616927101717</v>
      </c>
      <c r="GB419">
        <v>27.584723434606254</v>
      </c>
      <c r="GC419">
        <v>2.2252677380008135</v>
      </c>
      <c r="GD419">
        <v>0.42893616295142811</v>
      </c>
      <c r="GE419">
        <v>0.6960430549980775</v>
      </c>
      <c r="GF419">
        <v>2.652506316452083</v>
      </c>
      <c r="GG419">
        <v>13.08862583965151</v>
      </c>
      <c r="GH419">
        <v>26.03730940679559</v>
      </c>
      <c r="GI419">
        <v>42.683943439598309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16.113541666666666</v>
      </c>
      <c r="AO420">
        <v>81.063488564140499</v>
      </c>
      <c r="AP420">
        <v>499.85895297214563</v>
      </c>
      <c r="AQ420">
        <v>220.38810356266913</v>
      </c>
      <c r="AR420">
        <v>75.177428961413753</v>
      </c>
      <c r="AS420">
        <v>822.1127781449552</v>
      </c>
      <c r="AT420" t="e">
        <v>#DIV/0!</v>
      </c>
      <c r="AU420" t="e">
        <v>#DIV/0!</v>
      </c>
      <c r="AV420"/>
      <c r="AW420"/>
      <c r="FY420" s="211">
        <v>415</v>
      </c>
      <c r="FZ420">
        <v>58.833516015824912</v>
      </c>
      <c r="GA420">
        <v>59.399566700068881</v>
      </c>
      <c r="GB420">
        <v>84.211308401517869</v>
      </c>
      <c r="GC420">
        <v>3.5257924077263354</v>
      </c>
      <c r="GD420">
        <v>0.35380870272154913</v>
      </c>
      <c r="GE420">
        <v>0.26118636301724629</v>
      </c>
      <c r="GF420">
        <v>1.8072889844598812</v>
      </c>
      <c r="GG420">
        <v>7.7239660596069504</v>
      </c>
      <c r="GH420">
        <v>19.222329648352854</v>
      </c>
      <c r="GI420">
        <v>76.676975400856151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13.06593215811966</v>
      </c>
      <c r="AO421">
        <v>89.624658036881996</v>
      </c>
      <c r="AP421">
        <v>611.32867206147114</v>
      </c>
      <c r="AQ421">
        <v>243.72975686931227</v>
      </c>
      <c r="AR421">
        <v>83.00986328501088</v>
      </c>
      <c r="AS421">
        <v>890.73424957121358</v>
      </c>
      <c r="AT421" t="e">
        <v>#DIV/0!</v>
      </c>
      <c r="AU421" t="e">
        <v>#DIV/0!</v>
      </c>
      <c r="AV421"/>
      <c r="AW421"/>
      <c r="FY421" s="211">
        <v>416</v>
      </c>
      <c r="FZ421">
        <v>29.926784286944855</v>
      </c>
      <c r="GA421">
        <v>33.933024178975472</v>
      </c>
      <c r="GB421">
        <v>19.928926084043184</v>
      </c>
      <c r="GC421">
        <v>3.7900595030662512</v>
      </c>
      <c r="GD421">
        <v>0.45488231396347317</v>
      </c>
      <c r="GE421">
        <v>0.88805073185512851</v>
      </c>
      <c r="GF421">
        <v>5.1134528651016735</v>
      </c>
      <c r="GG421">
        <v>3.8901614302616783</v>
      </c>
      <c r="GH421">
        <v>9.6111648241764271</v>
      </c>
      <c r="GI421">
        <v>31.834319409900328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1.2734867971584251E-3</v>
      </c>
      <c r="H422" s="44">
        <f t="shared" ref="H422:AK422" si="383">H372</f>
        <v>9.4621538461538458E-3</v>
      </c>
      <c r="I422" s="44">
        <f t="shared" si="383"/>
        <v>7.0304894882350283E-2</v>
      </c>
      <c r="J422" s="44">
        <f t="shared" si="383"/>
        <v>0.22724027338399597</v>
      </c>
      <c r="K422" s="44">
        <f t="shared" si="383"/>
        <v>0.52237348121616634</v>
      </c>
      <c r="L422" s="44">
        <f t="shared" si="383"/>
        <v>0.99627460926832734</v>
      </c>
      <c r="M422" s="44">
        <f t="shared" si="383"/>
        <v>1.6884214517176031</v>
      </c>
      <c r="N422" s="44">
        <f t="shared" si="383"/>
        <v>2.6374465828824412</v>
      </c>
      <c r="O422" s="44">
        <f t="shared" si="383"/>
        <v>3.8812952403176153</v>
      </c>
      <c r="P422" s="44">
        <f t="shared" si="383"/>
        <v>5.4573348401667534</v>
      </c>
      <c r="Q422" s="44">
        <f t="shared" si="383"/>
        <v>7.4024353035683674</v>
      </c>
      <c r="R422" s="44">
        <f t="shared" si="383"/>
        <v>9.7530304205567901</v>
      </c>
      <c r="S422" s="44">
        <f t="shared" si="383"/>
        <v>12.545166207412906</v>
      </c>
      <c r="T422" s="44">
        <f t="shared" si="383"/>
        <v>15.814539961409823</v>
      </c>
      <c r="U422" s="44">
        <f t="shared" si="383"/>
        <v>19.596532436717375</v>
      </c>
      <c r="V422" s="44">
        <f t="shared" si="383"/>
        <v>23.926234793539376</v>
      </c>
      <c r="W422" s="44">
        <f t="shared" si="383"/>
        <v>28.838471484884359</v>
      </c>
      <c r="X422" s="44">
        <f t="shared" si="383"/>
        <v>34.367819924948734</v>
      </c>
      <c r="Y422" s="44">
        <f t="shared" si="383"/>
        <v>40.548627565558718</v>
      </c>
      <c r="Z422" s="44">
        <f t="shared" si="383"/>
        <v>47.415026855264593</v>
      </c>
      <c r="AA422" s="44">
        <f t="shared" si="383"/>
        <v>55.000948447093172</v>
      </c>
      <c r="AB422" s="44">
        <f t="shared" si="383"/>
        <v>63.340132941667193</v>
      </c>
      <c r="AC422" s="44">
        <f t="shared" si="383"/>
        <v>72.466141393412812</v>
      </c>
      <c r="AD422" s="44">
        <f t="shared" si="383"/>
        <v>82.41236476297253</v>
      </c>
      <c r="AE422" s="44">
        <f t="shared" si="383"/>
        <v>93.212032464710603</v>
      </c>
      <c r="AF422" s="44">
        <f t="shared" si="383"/>
        <v>104.89822013158376</v>
      </c>
      <c r="AG422" s="44">
        <f t="shared" si="383"/>
        <v>117.5038566987139</v>
      </c>
      <c r="AH422" s="44">
        <f t="shared" si="383"/>
        <v>131.06173089032799</v>
      </c>
      <c r="AI422" s="44">
        <f t="shared" si="383"/>
        <v>145.60449718136854</v>
      </c>
      <c r="AJ422" s="44">
        <f t="shared" si="383"/>
        <v>161.1646812942061</v>
      </c>
      <c r="AK422" s="44">
        <f t="shared" si="383"/>
        <v>177.77468528203724</v>
      </c>
      <c r="AL422" s="4"/>
      <c r="AM422" s="43">
        <v>406</v>
      </c>
      <c r="AN422">
        <v>17.261284722222218</v>
      </c>
      <c r="AO422">
        <v>121.18605682665843</v>
      </c>
      <c r="AP422">
        <v>659.46228034409501</v>
      </c>
      <c r="AQ422">
        <v>223.57453002252271</v>
      </c>
      <c r="AR422">
        <v>112.44174668128409</v>
      </c>
      <c r="AS422">
        <v>1238.5029523657527</v>
      </c>
      <c r="AT422" t="e">
        <v>#DIV/0!</v>
      </c>
      <c r="AU422" t="e">
        <v>#DIV/0!</v>
      </c>
      <c r="AV422"/>
      <c r="AW422"/>
      <c r="FY422" s="211">
        <v>417</v>
      </c>
      <c r="FZ422">
        <v>24.961456201016581</v>
      </c>
      <c r="GA422">
        <v>26.307751821766864</v>
      </c>
      <c r="GB422">
        <v>16.26151880988597</v>
      </c>
      <c r="GC422">
        <v>1.9853907782911098</v>
      </c>
      <c r="GD422">
        <v>0.22337466777235199</v>
      </c>
      <c r="GE422">
        <v>0.45822724991911468</v>
      </c>
      <c r="GF422">
        <v>2.4636198015537913</v>
      </c>
      <c r="GG422">
        <v>6.7094621722347103</v>
      </c>
      <c r="GH422">
        <v>13.225583625167928</v>
      </c>
      <c r="GI422">
        <v>26.379012886444759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4">SUM(G423:AK423)</f>
        <v>68.726223677099682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5">(($A$453+$A$455*(H$422)+($A$457*$D423))*($E21*H37))</f>
        <v>0</v>
      </c>
      <c r="I423" s="107">
        <f t="shared" si="385"/>
        <v>0.81294337035166953</v>
      </c>
      <c r="J423" s="107">
        <f t="shared" si="385"/>
        <v>1.7327868995990159</v>
      </c>
      <c r="K423" s="107">
        <f t="shared" si="385"/>
        <v>0</v>
      </c>
      <c r="L423" s="107">
        <f t="shared" si="385"/>
        <v>0</v>
      </c>
      <c r="M423" s="107">
        <f t="shared" si="385"/>
        <v>0</v>
      </c>
      <c r="N423" s="107">
        <f t="shared" si="385"/>
        <v>0</v>
      </c>
      <c r="O423" s="107">
        <f t="shared" si="385"/>
        <v>66.180493407149001</v>
      </c>
      <c r="P423" s="107">
        <f t="shared" si="385"/>
        <v>0</v>
      </c>
      <c r="Q423" s="107">
        <f t="shared" si="385"/>
        <v>0</v>
      </c>
      <c r="R423" s="107">
        <f t="shared" si="385"/>
        <v>0</v>
      </c>
      <c r="S423" s="107">
        <f t="shared" si="385"/>
        <v>0</v>
      </c>
      <c r="T423" s="107">
        <f t="shared" si="385"/>
        <v>0</v>
      </c>
      <c r="U423" s="107">
        <f t="shared" si="385"/>
        <v>0</v>
      </c>
      <c r="V423" s="107">
        <f t="shared" si="385"/>
        <v>0</v>
      </c>
      <c r="W423" s="107">
        <f t="shared" si="385"/>
        <v>0</v>
      </c>
      <c r="X423" s="107">
        <f t="shared" si="385"/>
        <v>0</v>
      </c>
      <c r="Y423" s="107">
        <f t="shared" si="385"/>
        <v>0</v>
      </c>
      <c r="Z423" s="107">
        <f t="shared" si="385"/>
        <v>0</v>
      </c>
      <c r="AA423" s="107">
        <f t="shared" si="385"/>
        <v>0</v>
      </c>
      <c r="AB423" s="107">
        <f t="shared" si="385"/>
        <v>0</v>
      </c>
      <c r="AC423" s="107">
        <f t="shared" si="385"/>
        <v>0</v>
      </c>
      <c r="AD423" s="107">
        <f t="shared" si="385"/>
        <v>0</v>
      </c>
      <c r="AE423" s="107">
        <f t="shared" si="385"/>
        <v>0</v>
      </c>
      <c r="AF423" s="107">
        <f t="shared" si="385"/>
        <v>0</v>
      </c>
      <c r="AG423" s="107">
        <f t="shared" si="385"/>
        <v>0</v>
      </c>
      <c r="AH423" s="107">
        <f t="shared" si="385"/>
        <v>0</v>
      </c>
      <c r="AI423" s="107">
        <f t="shared" si="385"/>
        <v>0</v>
      </c>
      <c r="AJ423" s="107">
        <f t="shared" si="385"/>
        <v>0</v>
      </c>
      <c r="AK423" s="107">
        <f t="shared" si="385"/>
        <v>0</v>
      </c>
      <c r="AL423" s="4"/>
      <c r="AM423" s="43">
        <v>407</v>
      </c>
      <c r="AN423">
        <v>16.221100427350429</v>
      </c>
      <c r="AO423">
        <v>109.40030814486875</v>
      </c>
      <c r="AP423">
        <v>663.59381204051022</v>
      </c>
      <c r="AQ423">
        <v>225.0873155104577</v>
      </c>
      <c r="AR423">
        <v>101.3788764610337</v>
      </c>
      <c r="AS423">
        <v>812.90399577147343</v>
      </c>
      <c r="AT423" t="e">
        <v>#DIV/0!</v>
      </c>
      <c r="AU423" t="e">
        <v>#DIV/0!</v>
      </c>
      <c r="AV423"/>
      <c r="AW423"/>
      <c r="FY423" s="211">
        <v>418</v>
      </c>
      <c r="FZ423">
        <v>8.6639344979950792</v>
      </c>
      <c r="GA423">
        <v>16.944844252806377</v>
      </c>
      <c r="GB423">
        <v>47.219983769440915</v>
      </c>
      <c r="GC423">
        <v>4.9878175431115661</v>
      </c>
      <c r="GD423">
        <v>0.39130210484759143</v>
      </c>
      <c r="GE423">
        <v>5.9112266070560512E-2</v>
      </c>
      <c r="GF423">
        <v>2.2434145605146116</v>
      </c>
      <c r="GG423">
        <v>4.921647673393835</v>
      </c>
      <c r="GH423">
        <v>7.2288376019830025</v>
      </c>
      <c r="GI423">
        <v>42.057395178491518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4"/>
        <v>-9325.9104164220735</v>
      </c>
      <c r="D424" s="191">
        <f>$A$406</f>
        <v>9.4499999999999993</v>
      </c>
      <c r="E424" s="8"/>
      <c r="F424" s="124"/>
      <c r="G424" s="107">
        <f t="shared" ref="G424:V432" si="386">(($A$453+$A$455*(G$422)+($A$457*$D424))*($E22*G38))</f>
        <v>0</v>
      </c>
      <c r="H424" s="107">
        <f t="shared" si="386"/>
        <v>0</v>
      </c>
      <c r="I424" s="107">
        <f t="shared" si="386"/>
        <v>0.86523743804065889</v>
      </c>
      <c r="J424" s="107">
        <f t="shared" si="386"/>
        <v>7.3425793626108149</v>
      </c>
      <c r="K424" s="107">
        <f t="shared" si="386"/>
        <v>2.0476651841187259</v>
      </c>
      <c r="L424" s="107">
        <f t="shared" si="386"/>
        <v>0</v>
      </c>
      <c r="M424" s="107">
        <f t="shared" si="386"/>
        <v>0</v>
      </c>
      <c r="N424" s="107">
        <f t="shared" si="386"/>
        <v>0</v>
      </c>
      <c r="O424" s="107">
        <f t="shared" si="386"/>
        <v>59.728193587533774</v>
      </c>
      <c r="P424" s="107">
        <f t="shared" si="386"/>
        <v>0</v>
      </c>
      <c r="Q424" s="107">
        <f t="shared" si="386"/>
        <v>0</v>
      </c>
      <c r="R424" s="107">
        <f t="shared" si="386"/>
        <v>0</v>
      </c>
      <c r="S424" s="107">
        <f t="shared" si="386"/>
        <v>-35.023641698080347</v>
      </c>
      <c r="T424" s="107">
        <f t="shared" si="386"/>
        <v>0</v>
      </c>
      <c r="U424" s="107">
        <f t="shared" si="386"/>
        <v>0</v>
      </c>
      <c r="V424" s="107">
        <f t="shared" si="386"/>
        <v>0</v>
      </c>
      <c r="W424" s="107">
        <f t="shared" si="385"/>
        <v>0</v>
      </c>
      <c r="X424" s="107">
        <f t="shared" si="385"/>
        <v>0</v>
      </c>
      <c r="Y424" s="107">
        <f t="shared" si="385"/>
        <v>0</v>
      </c>
      <c r="Z424" s="107">
        <f t="shared" si="385"/>
        <v>0</v>
      </c>
      <c r="AA424" s="107">
        <f t="shared" si="385"/>
        <v>0</v>
      </c>
      <c r="AB424" s="107">
        <f t="shared" si="385"/>
        <v>0</v>
      </c>
      <c r="AC424" s="107">
        <f t="shared" si="385"/>
        <v>0</v>
      </c>
      <c r="AD424" s="107">
        <f t="shared" si="385"/>
        <v>0</v>
      </c>
      <c r="AE424" s="107">
        <f t="shared" si="385"/>
        <v>-9360.8704502962973</v>
      </c>
      <c r="AF424" s="107">
        <f t="shared" si="385"/>
        <v>0</v>
      </c>
      <c r="AG424" s="107">
        <f t="shared" si="385"/>
        <v>0</v>
      </c>
      <c r="AH424" s="107">
        <f t="shared" si="385"/>
        <v>0</v>
      </c>
      <c r="AI424" s="107">
        <f t="shared" si="385"/>
        <v>0</v>
      </c>
      <c r="AJ424" s="107">
        <f t="shared" si="385"/>
        <v>0</v>
      </c>
      <c r="AK424" s="107">
        <f t="shared" si="385"/>
        <v>0</v>
      </c>
      <c r="AL424" s="4"/>
      <c r="AM424" s="43">
        <v>408</v>
      </c>
      <c r="AN424">
        <v>13.070138888888888</v>
      </c>
      <c r="AO424">
        <v>107.80394882109849</v>
      </c>
      <c r="AP424">
        <v>763.05481398565769</v>
      </c>
      <c r="AQ424">
        <v>146.83600643362399</v>
      </c>
      <c r="AR424">
        <v>99.954708366094039</v>
      </c>
      <c r="AS424">
        <v>878.40266395012668</v>
      </c>
      <c r="AT424" t="e">
        <v>#DIV/0!</v>
      </c>
      <c r="AU424" t="e">
        <v>#DIV/0!</v>
      </c>
      <c r="AV424"/>
      <c r="AW424"/>
      <c r="FY424" s="211">
        <v>419</v>
      </c>
      <c r="FZ424">
        <v>43.827027994318769</v>
      </c>
      <c r="GA424">
        <v>42.834272482319591</v>
      </c>
      <c r="GB424">
        <v>49.553504759110041</v>
      </c>
      <c r="GC424">
        <v>1.1513774947524125</v>
      </c>
      <c r="GD424">
        <v>0.2145384094646112</v>
      </c>
      <c r="GE424">
        <v>0.44445411741664692</v>
      </c>
      <c r="GF424">
        <v>1.9187967991269566</v>
      </c>
      <c r="GG424">
        <v>6.6531053713183059</v>
      </c>
      <c r="GH424">
        <v>13.225583625167928</v>
      </c>
      <c r="GI424">
        <v>46.221879138327971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4"/>
        <v>-8387.7499931520051</v>
      </c>
      <c r="D425" s="191">
        <f>A$407</f>
        <v>4.03</v>
      </c>
      <c r="E425" s="8"/>
      <c r="F425" s="124"/>
      <c r="G425" s="107">
        <f t="shared" si="386"/>
        <v>0</v>
      </c>
      <c r="H425" s="107">
        <f t="shared" si="385"/>
        <v>0</v>
      </c>
      <c r="I425" s="107">
        <f t="shared" si="385"/>
        <v>0</v>
      </c>
      <c r="J425" s="107">
        <f t="shared" si="385"/>
        <v>2.964918337585118</v>
      </c>
      <c r="K425" s="107">
        <f t="shared" si="385"/>
        <v>0.70723413157369497</v>
      </c>
      <c r="L425" s="107">
        <f t="shared" si="385"/>
        <v>2.391057418011139</v>
      </c>
      <c r="M425" s="107">
        <f t="shared" si="385"/>
        <v>0</v>
      </c>
      <c r="N425" s="107">
        <f t="shared" si="385"/>
        <v>39.079277843445389</v>
      </c>
      <c r="O425" s="107">
        <f t="shared" si="385"/>
        <v>0</v>
      </c>
      <c r="P425" s="107">
        <f t="shared" si="385"/>
        <v>0</v>
      </c>
      <c r="Q425" s="107">
        <f t="shared" si="385"/>
        <v>0</v>
      </c>
      <c r="R425" s="107">
        <f t="shared" si="385"/>
        <v>0</v>
      </c>
      <c r="S425" s="107">
        <f t="shared" si="385"/>
        <v>-95.977920785875298</v>
      </c>
      <c r="T425" s="107">
        <f t="shared" si="385"/>
        <v>0</v>
      </c>
      <c r="U425" s="107">
        <f t="shared" si="385"/>
        <v>0</v>
      </c>
      <c r="V425" s="107">
        <f t="shared" si="385"/>
        <v>-298.88156359947726</v>
      </c>
      <c r="W425" s="107">
        <f t="shared" si="385"/>
        <v>0</v>
      </c>
      <c r="X425" s="107">
        <f t="shared" si="385"/>
        <v>0</v>
      </c>
      <c r="Y425" s="107">
        <f t="shared" si="385"/>
        <v>0</v>
      </c>
      <c r="Z425" s="107">
        <f t="shared" si="385"/>
        <v>0</v>
      </c>
      <c r="AA425" s="107">
        <f t="shared" si="385"/>
        <v>0</v>
      </c>
      <c r="AB425" s="107">
        <f t="shared" si="385"/>
        <v>0</v>
      </c>
      <c r="AC425" s="107">
        <f t="shared" si="385"/>
        <v>0</v>
      </c>
      <c r="AD425" s="107">
        <f t="shared" si="385"/>
        <v>0</v>
      </c>
      <c r="AE425" s="107">
        <f t="shared" si="385"/>
        <v>-8038.032996497268</v>
      </c>
      <c r="AF425" s="107">
        <f t="shared" si="385"/>
        <v>0</v>
      </c>
      <c r="AG425" s="107">
        <f t="shared" si="385"/>
        <v>0</v>
      </c>
      <c r="AH425" s="107">
        <f t="shared" si="385"/>
        <v>0</v>
      </c>
      <c r="AI425" s="107">
        <f t="shared" si="385"/>
        <v>0</v>
      </c>
      <c r="AJ425" s="107">
        <f t="shared" si="385"/>
        <v>0</v>
      </c>
      <c r="AK425" s="107">
        <f t="shared" si="385"/>
        <v>0</v>
      </c>
      <c r="AL425" s="4"/>
      <c r="AM425" s="43">
        <v>409</v>
      </c>
      <c r="AN425">
        <v>10.048611111111109</v>
      </c>
      <c r="AO425">
        <v>87.857788763138643</v>
      </c>
      <c r="AP425">
        <v>834.88403997240971</v>
      </c>
      <c r="AQ425">
        <v>143.26442237060942</v>
      </c>
      <c r="AR425">
        <v>81.492574120047266</v>
      </c>
      <c r="AS425">
        <v>692.4716925528312</v>
      </c>
      <c r="AT425" t="e">
        <v>#DIV/0!</v>
      </c>
      <c r="AU425" t="e">
        <v>#DIV/0!</v>
      </c>
      <c r="AV425"/>
      <c r="AW425"/>
      <c r="FY425" s="211">
        <v>420</v>
      </c>
      <c r="FZ425">
        <v>33.241302394858693</v>
      </c>
      <c r="GA425">
        <v>39.45316019244801</v>
      </c>
      <c r="GB425">
        <v>20.876561039206226</v>
      </c>
      <c r="GC425">
        <v>2.4648692514530288</v>
      </c>
      <c r="GD425">
        <v>0.22337466777235199</v>
      </c>
      <c r="GE425">
        <v>0.22659701993714865</v>
      </c>
      <c r="GF425">
        <v>2.8297799840453357</v>
      </c>
      <c r="GG425">
        <v>4.3659219649103038</v>
      </c>
      <c r="GH425">
        <v>15.699248734586812</v>
      </c>
      <c r="GI425">
        <v>25.528992916628869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4"/>
        <v>-316.81382199293188</v>
      </c>
      <c r="D426" s="191">
        <f>A$408</f>
        <v>0.78</v>
      </c>
      <c r="E426" s="8"/>
      <c r="F426" s="124"/>
      <c r="G426" s="107">
        <f t="shared" si="386"/>
        <v>0</v>
      </c>
      <c r="H426" s="107">
        <f t="shared" si="385"/>
        <v>0</v>
      </c>
      <c r="I426" s="107">
        <f t="shared" si="385"/>
        <v>0</v>
      </c>
      <c r="J426" s="107">
        <f t="shared" si="385"/>
        <v>0.21383486774678567</v>
      </c>
      <c r="K426" s="107">
        <f t="shared" si="385"/>
        <v>0.12137520299368953</v>
      </c>
      <c r="L426" s="107">
        <f t="shared" si="385"/>
        <v>0.82682854062605071</v>
      </c>
      <c r="M426" s="107">
        <f t="shared" si="385"/>
        <v>0</v>
      </c>
      <c r="N426" s="107">
        <f t="shared" si="385"/>
        <v>-20.527454038566134</v>
      </c>
      <c r="O426" s="107">
        <f t="shared" si="385"/>
        <v>0</v>
      </c>
      <c r="P426" s="107">
        <f t="shared" si="385"/>
        <v>0</v>
      </c>
      <c r="Q426" s="107">
        <f t="shared" si="385"/>
        <v>0</v>
      </c>
      <c r="R426" s="107">
        <f t="shared" si="385"/>
        <v>0</v>
      </c>
      <c r="S426" s="107">
        <f t="shared" si="385"/>
        <v>0</v>
      </c>
      <c r="T426" s="107">
        <f t="shared" si="385"/>
        <v>0</v>
      </c>
      <c r="U426" s="107">
        <f t="shared" si="385"/>
        <v>0</v>
      </c>
      <c r="V426" s="107">
        <f t="shared" si="385"/>
        <v>-297.44840656573228</v>
      </c>
      <c r="W426" s="107">
        <f t="shared" si="385"/>
        <v>0</v>
      </c>
      <c r="X426" s="107">
        <f t="shared" si="385"/>
        <v>0</v>
      </c>
      <c r="Y426" s="107">
        <f t="shared" si="385"/>
        <v>0</v>
      </c>
      <c r="Z426" s="107">
        <f t="shared" si="385"/>
        <v>0</v>
      </c>
      <c r="AA426" s="107">
        <f t="shared" si="385"/>
        <v>0</v>
      </c>
      <c r="AB426" s="107">
        <f t="shared" si="385"/>
        <v>0</v>
      </c>
      <c r="AC426" s="107">
        <f t="shared" si="385"/>
        <v>0</v>
      </c>
      <c r="AD426" s="107">
        <f t="shared" si="385"/>
        <v>0</v>
      </c>
      <c r="AE426" s="107">
        <f t="shared" si="385"/>
        <v>0</v>
      </c>
      <c r="AF426" s="107">
        <f t="shared" si="385"/>
        <v>0</v>
      </c>
      <c r="AG426" s="107">
        <f t="shared" si="385"/>
        <v>0</v>
      </c>
      <c r="AH426" s="107">
        <f t="shared" si="385"/>
        <v>0</v>
      </c>
      <c r="AI426" s="107">
        <f t="shared" si="385"/>
        <v>0</v>
      </c>
      <c r="AJ426" s="107">
        <f t="shared" si="385"/>
        <v>0</v>
      </c>
      <c r="AK426" s="107">
        <f t="shared" si="385"/>
        <v>0</v>
      </c>
      <c r="AL426" s="4"/>
      <c r="AM426" s="43">
        <v>410</v>
      </c>
      <c r="AN426">
        <v>11.847355769230768</v>
      </c>
      <c r="AO426">
        <v>85.696818970850046</v>
      </c>
      <c r="AP426">
        <v>599.13319972113311</v>
      </c>
      <c r="AQ426">
        <v>246.11981446147482</v>
      </c>
      <c r="AR426">
        <v>79.549354851033712</v>
      </c>
      <c r="AS426">
        <v>740.13607564825986</v>
      </c>
      <c r="AT426" t="e">
        <v>#DIV/0!</v>
      </c>
      <c r="AU426" t="e">
        <v>#DIV/0!</v>
      </c>
      <c r="AV426"/>
      <c r="AW426"/>
      <c r="FY426" s="211">
        <v>421</v>
      </c>
      <c r="FZ426">
        <v>47.803433781300072</v>
      </c>
      <c r="GA426">
        <v>47.821243271626557</v>
      </c>
      <c r="GB426">
        <v>37.894500779069489</v>
      </c>
      <c r="GC426">
        <v>3.3203519556681331</v>
      </c>
      <c r="GD426">
        <v>0.55937019790062525</v>
      </c>
      <c r="GE426">
        <v>0.24698447902569581</v>
      </c>
      <c r="GF426">
        <v>2.9555738989216516</v>
      </c>
      <c r="GG426">
        <v>5.6949582848624711</v>
      </c>
      <c r="GH426">
        <v>11.257114246514771</v>
      </c>
      <c r="GI426">
        <v>51.194708368878871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4"/>
        <v>-6341.3049556124442</v>
      </c>
      <c r="D427" s="191">
        <f>A$409</f>
        <v>0.14000000000000001</v>
      </c>
      <c r="E427" s="8"/>
      <c r="F427" s="124"/>
      <c r="G427" s="107">
        <f t="shared" si="386"/>
        <v>0</v>
      </c>
      <c r="H427" s="107">
        <f t="shared" si="385"/>
        <v>0</v>
      </c>
      <c r="I427" s="107">
        <f t="shared" si="385"/>
        <v>0</v>
      </c>
      <c r="J427" s="107">
        <f t="shared" si="385"/>
        <v>0</v>
      </c>
      <c r="K427" s="107">
        <f t="shared" si="385"/>
        <v>2.3235158205788711E-2</v>
      </c>
      <c r="L427" s="107">
        <f t="shared" si="385"/>
        <v>-0.81657402753298869</v>
      </c>
      <c r="M427" s="107">
        <f t="shared" si="385"/>
        <v>-1.1695534882442902</v>
      </c>
      <c r="N427" s="107">
        <f t="shared" si="385"/>
        <v>0</v>
      </c>
      <c r="O427" s="107">
        <f t="shared" si="385"/>
        <v>0</v>
      </c>
      <c r="P427" s="107">
        <f t="shared" si="385"/>
        <v>0</v>
      </c>
      <c r="Q427" s="107">
        <f t="shared" si="385"/>
        <v>0</v>
      </c>
      <c r="R427" s="107">
        <f t="shared" si="385"/>
        <v>0</v>
      </c>
      <c r="S427" s="107">
        <f t="shared" si="385"/>
        <v>0</v>
      </c>
      <c r="T427" s="107">
        <f t="shared" si="385"/>
        <v>0</v>
      </c>
      <c r="U427" s="107">
        <f t="shared" si="385"/>
        <v>0</v>
      </c>
      <c r="V427" s="107">
        <f t="shared" si="385"/>
        <v>0</v>
      </c>
      <c r="W427" s="107">
        <f t="shared" si="385"/>
        <v>0</v>
      </c>
      <c r="X427" s="107">
        <f t="shared" si="385"/>
        <v>0</v>
      </c>
      <c r="Y427" s="107">
        <f t="shared" si="385"/>
        <v>0</v>
      </c>
      <c r="Z427" s="107">
        <f t="shared" si="385"/>
        <v>-1568.9356828819389</v>
      </c>
      <c r="AA427" s="107">
        <f t="shared" si="385"/>
        <v>0</v>
      </c>
      <c r="AB427" s="107">
        <f t="shared" si="385"/>
        <v>0</v>
      </c>
      <c r="AC427" s="107">
        <f t="shared" si="385"/>
        <v>0</v>
      </c>
      <c r="AD427" s="107">
        <f t="shared" si="385"/>
        <v>-4770.4063803729341</v>
      </c>
      <c r="AE427" s="107">
        <f t="shared" si="385"/>
        <v>0</v>
      </c>
      <c r="AF427" s="107">
        <f t="shared" si="385"/>
        <v>0</v>
      </c>
      <c r="AG427" s="107">
        <f t="shared" si="385"/>
        <v>0</v>
      </c>
      <c r="AH427" s="107">
        <f t="shared" si="385"/>
        <v>0</v>
      </c>
      <c r="AI427" s="107">
        <f t="shared" si="385"/>
        <v>0</v>
      </c>
      <c r="AJ427" s="107">
        <f t="shared" si="385"/>
        <v>0</v>
      </c>
      <c r="AK427" s="107">
        <f t="shared" si="385"/>
        <v>0</v>
      </c>
      <c r="AL427" s="4"/>
      <c r="AM427" s="43">
        <v>411</v>
      </c>
      <c r="AN427">
        <v>14.294097222222224</v>
      </c>
      <c r="AO427">
        <v>96.013893865245961</v>
      </c>
      <c r="AP427">
        <v>678.07819087888458</v>
      </c>
      <c r="AQ427">
        <v>208.91619041475244</v>
      </c>
      <c r="AR427">
        <v>88.976958614324047</v>
      </c>
      <c r="AS427">
        <v>724.71818360365012</v>
      </c>
      <c r="AT427" t="e">
        <v>#DIV/0!</v>
      </c>
      <c r="AU427" t="e">
        <v>#DIV/0!</v>
      </c>
      <c r="AV427"/>
      <c r="AW427"/>
      <c r="FY427" s="211">
        <v>422</v>
      </c>
      <c r="FZ427">
        <v>36.857931885340918</v>
      </c>
      <c r="GA427">
        <v>46.99455840701043</v>
      </c>
      <c r="GB427">
        <v>61.960047731724195</v>
      </c>
      <c r="GC427">
        <v>1.1290525529870714</v>
      </c>
      <c r="GD427">
        <v>0.21724940227086764</v>
      </c>
      <c r="GE427">
        <v>0.63646179427369798</v>
      </c>
      <c r="GF427">
        <v>2.2137074874931515</v>
      </c>
      <c r="GG427">
        <v>6.1209880357532764</v>
      </c>
      <c r="GH427">
        <v>15.194053003821082</v>
      </c>
      <c r="GI427">
        <v>54.497725426954773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4"/>
        <v>-12670.179907648675</v>
      </c>
      <c r="D428" s="191">
        <f>A$410</f>
        <v>0.21</v>
      </c>
      <c r="E428" s="8"/>
      <c r="F428" s="124"/>
      <c r="G428" s="107">
        <f t="shared" si="386"/>
        <v>0</v>
      </c>
      <c r="H428" s="107">
        <f t="shared" si="385"/>
        <v>0</v>
      </c>
      <c r="I428" s="107">
        <f t="shared" si="385"/>
        <v>2.9556133035280256E-2</v>
      </c>
      <c r="J428" s="107">
        <f t="shared" si="385"/>
        <v>0</v>
      </c>
      <c r="K428" s="107">
        <f t="shared" si="385"/>
        <v>0</v>
      </c>
      <c r="L428" s="107">
        <f t="shared" si="385"/>
        <v>-0.72980489756518963</v>
      </c>
      <c r="M428" s="107">
        <f t="shared" si="385"/>
        <v>-3.974148613327825</v>
      </c>
      <c r="N428" s="107">
        <f t="shared" si="385"/>
        <v>0</v>
      </c>
      <c r="O428" s="107">
        <f t="shared" si="385"/>
        <v>0</v>
      </c>
      <c r="P428" s="107">
        <f t="shared" si="385"/>
        <v>0</v>
      </c>
      <c r="Q428" s="107">
        <f t="shared" si="385"/>
        <v>0</v>
      </c>
      <c r="R428" s="107">
        <f t="shared" si="385"/>
        <v>0</v>
      </c>
      <c r="S428" s="107">
        <f t="shared" si="385"/>
        <v>0</v>
      </c>
      <c r="T428" s="107">
        <f t="shared" si="385"/>
        <v>0</v>
      </c>
      <c r="U428" s="107">
        <f t="shared" si="385"/>
        <v>0</v>
      </c>
      <c r="V428" s="107">
        <f t="shared" si="385"/>
        <v>0</v>
      </c>
      <c r="W428" s="107">
        <f t="shared" si="385"/>
        <v>0</v>
      </c>
      <c r="X428" s="107">
        <f t="shared" si="385"/>
        <v>0</v>
      </c>
      <c r="Y428" s="107">
        <f t="shared" si="385"/>
        <v>0</v>
      </c>
      <c r="Z428" s="107">
        <f t="shared" si="385"/>
        <v>-3133.0583256565828</v>
      </c>
      <c r="AA428" s="107">
        <f t="shared" si="385"/>
        <v>0</v>
      </c>
      <c r="AB428" s="107">
        <f t="shared" si="385"/>
        <v>0</v>
      </c>
      <c r="AC428" s="107">
        <f t="shared" si="385"/>
        <v>0</v>
      </c>
      <c r="AD428" s="107">
        <f t="shared" si="385"/>
        <v>-9532.4471846142351</v>
      </c>
      <c r="AE428" s="107">
        <f t="shared" si="385"/>
        <v>0</v>
      </c>
      <c r="AF428" s="107">
        <f t="shared" si="385"/>
        <v>0</v>
      </c>
      <c r="AG428" s="107">
        <f t="shared" si="385"/>
        <v>0</v>
      </c>
      <c r="AH428" s="107">
        <f t="shared" si="385"/>
        <v>0</v>
      </c>
      <c r="AI428" s="107">
        <f t="shared" si="385"/>
        <v>0</v>
      </c>
      <c r="AJ428" s="107">
        <f t="shared" si="385"/>
        <v>0</v>
      </c>
      <c r="AK428" s="107">
        <f t="shared" si="385"/>
        <v>0</v>
      </c>
      <c r="AL428" s="4"/>
      <c r="AM428" s="43">
        <v>412</v>
      </c>
      <c r="AN428">
        <v>19.586805555555554</v>
      </c>
      <c r="AO428">
        <v>131.49542319691233</v>
      </c>
      <c r="AP428">
        <v>967.6598359141849</v>
      </c>
      <c r="AQ428">
        <v>260.31844454857878</v>
      </c>
      <c r="AR428">
        <v>122.02512334708996</v>
      </c>
      <c r="AS428">
        <v>751.2165654739398</v>
      </c>
      <c r="AT428" t="e">
        <v>#DIV/0!</v>
      </c>
      <c r="AU428" t="e">
        <v>#DIV/0!</v>
      </c>
      <c r="AV428"/>
      <c r="AW428"/>
      <c r="FY428" s="211">
        <v>423</v>
      </c>
      <c r="FZ428">
        <v>35.245070417908259</v>
      </c>
      <c r="GA428">
        <v>43.624882696566331</v>
      </c>
      <c r="GB428">
        <v>47.932526760245402</v>
      </c>
      <c r="GC428">
        <v>2.591746586018993</v>
      </c>
      <c r="GD428">
        <v>0.52458778858083932</v>
      </c>
      <c r="GE428">
        <v>0.65228503797124682</v>
      </c>
      <c r="GF428">
        <v>3.5165810180271091</v>
      </c>
      <c r="GG428">
        <v>8.9966455786427133</v>
      </c>
      <c r="GH428">
        <v>26.865025093876127</v>
      </c>
      <c r="GI428">
        <v>52.936730798242849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4"/>
        <v>3.0544832216398929</v>
      </c>
      <c r="D429" s="191">
        <f>A$411</f>
        <v>1.28</v>
      </c>
      <c r="E429" s="8"/>
      <c r="F429" s="124"/>
      <c r="G429" s="107">
        <f t="shared" si="386"/>
        <v>0</v>
      </c>
      <c r="H429" s="107">
        <f t="shared" si="385"/>
        <v>0</v>
      </c>
      <c r="I429" s="107">
        <f t="shared" si="385"/>
        <v>9.8449622564086486E-2</v>
      </c>
      <c r="J429" s="107">
        <f t="shared" si="385"/>
        <v>0.46492027725060159</v>
      </c>
      <c r="K429" s="107">
        <f t="shared" si="385"/>
        <v>1.3163964868767937</v>
      </c>
      <c r="L429" s="107">
        <f t="shared" si="385"/>
        <v>0.68023871263553437</v>
      </c>
      <c r="M429" s="107">
        <f t="shared" si="385"/>
        <v>0.49447812231287674</v>
      </c>
      <c r="N429" s="107">
        <f t="shared" si="385"/>
        <v>0</v>
      </c>
      <c r="O429" s="107">
        <f t="shared" si="385"/>
        <v>0</v>
      </c>
      <c r="P429" s="107">
        <f t="shared" si="385"/>
        <v>0</v>
      </c>
      <c r="Q429" s="107">
        <f t="shared" si="385"/>
        <v>0</v>
      </c>
      <c r="R429" s="107">
        <f t="shared" si="385"/>
        <v>0</v>
      </c>
      <c r="S429" s="107">
        <f t="shared" si="385"/>
        <v>0</v>
      </c>
      <c r="T429" s="107">
        <f t="shared" si="385"/>
        <v>0</v>
      </c>
      <c r="U429" s="107">
        <f t="shared" si="385"/>
        <v>0</v>
      </c>
      <c r="V429" s="107">
        <f t="shared" si="385"/>
        <v>0</v>
      </c>
      <c r="W429" s="107">
        <f t="shared" si="385"/>
        <v>0</v>
      </c>
      <c r="X429" s="107">
        <f t="shared" si="385"/>
        <v>0</v>
      </c>
      <c r="Y429" s="107">
        <f t="shared" si="385"/>
        <v>0</v>
      </c>
      <c r="Z429" s="107">
        <f t="shared" si="385"/>
        <v>0</v>
      </c>
      <c r="AA429" s="107">
        <f t="shared" si="385"/>
        <v>0</v>
      </c>
      <c r="AB429" s="107">
        <f t="shared" si="385"/>
        <v>0</v>
      </c>
      <c r="AC429" s="107">
        <f t="shared" si="385"/>
        <v>0</v>
      </c>
      <c r="AD429" s="107">
        <f t="shared" si="385"/>
        <v>0</v>
      </c>
      <c r="AE429" s="107">
        <f t="shared" si="385"/>
        <v>0</v>
      </c>
      <c r="AF429" s="107">
        <f t="shared" si="385"/>
        <v>0</v>
      </c>
      <c r="AG429" s="107">
        <f t="shared" si="385"/>
        <v>0</v>
      </c>
      <c r="AH429" s="107">
        <f t="shared" si="385"/>
        <v>0</v>
      </c>
      <c r="AI429" s="107">
        <f t="shared" si="385"/>
        <v>0</v>
      </c>
      <c r="AJ429" s="107">
        <f t="shared" si="385"/>
        <v>0</v>
      </c>
      <c r="AK429" s="107">
        <f t="shared" si="385"/>
        <v>0</v>
      </c>
      <c r="AL429" s="4"/>
      <c r="AM429" s="43">
        <v>413</v>
      </c>
      <c r="AN429">
        <v>19.59791666666667</v>
      </c>
      <c r="AO429">
        <v>117.30218822023289</v>
      </c>
      <c r="AP429">
        <v>910.84207192296731</v>
      </c>
      <c r="AQ429">
        <v>276.8701988816706</v>
      </c>
      <c r="AR429">
        <v>108.84296958699409</v>
      </c>
      <c r="AS429">
        <v>786.66361053922833</v>
      </c>
      <c r="AT429" t="e">
        <v>#DIV/0!</v>
      </c>
      <c r="AU429" t="e">
        <v>#DIV/0!</v>
      </c>
      <c r="AV429"/>
      <c r="AW429"/>
      <c r="FY429" s="211">
        <v>424</v>
      </c>
      <c r="FZ429">
        <v>25.676793959531892</v>
      </c>
      <c r="GA429">
        <v>27.238775733607639</v>
      </c>
      <c r="GB429">
        <v>44.392454607481341</v>
      </c>
      <c r="GC429">
        <v>3.3100183202203226</v>
      </c>
      <c r="GD429">
        <v>0.31902629340176314</v>
      </c>
      <c r="GE429">
        <v>0.34571929822117142</v>
      </c>
      <c r="GF429">
        <v>2.8333656087751251</v>
      </c>
      <c r="GG429">
        <v>3.2059560477073514</v>
      </c>
      <c r="GH429">
        <v>0</v>
      </c>
      <c r="GI429">
        <v>39.499638392737097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4"/>
        <v>-351.65711648014428</v>
      </c>
      <c r="D430" s="191">
        <f>A$412</f>
        <v>4</v>
      </c>
      <c r="E430" s="8"/>
      <c r="F430" s="124"/>
      <c r="G430" s="107">
        <f t="shared" si="386"/>
        <v>0</v>
      </c>
      <c r="H430" s="107">
        <f t="shared" si="385"/>
        <v>0</v>
      </c>
      <c r="I430" s="107">
        <f t="shared" si="385"/>
        <v>0</v>
      </c>
      <c r="J430" s="107">
        <f t="shared" si="385"/>
        <v>1.1599659172029533</v>
      </c>
      <c r="K430" s="107">
        <f t="shared" si="385"/>
        <v>5.8076718866952808</v>
      </c>
      <c r="L430" s="107">
        <f t="shared" si="385"/>
        <v>1.4011591931065577</v>
      </c>
      <c r="M430" s="107">
        <f t="shared" si="385"/>
        <v>0</v>
      </c>
      <c r="N430" s="107">
        <f t="shared" si="385"/>
        <v>0</v>
      </c>
      <c r="O430" s="107">
        <f t="shared" si="385"/>
        <v>0</v>
      </c>
      <c r="P430" s="107">
        <f t="shared" si="385"/>
        <v>0</v>
      </c>
      <c r="Q430" s="107">
        <f t="shared" si="385"/>
        <v>0</v>
      </c>
      <c r="R430" s="107">
        <f t="shared" si="385"/>
        <v>0</v>
      </c>
      <c r="S430" s="107">
        <f t="shared" si="385"/>
        <v>0</v>
      </c>
      <c r="T430" s="107">
        <f t="shared" si="385"/>
        <v>-135.38255596577451</v>
      </c>
      <c r="U430" s="107">
        <f t="shared" si="385"/>
        <v>-224.64335751137455</v>
      </c>
      <c r="V430" s="107">
        <f t="shared" si="385"/>
        <v>0</v>
      </c>
      <c r="W430" s="107">
        <f t="shared" si="385"/>
        <v>0</v>
      </c>
      <c r="X430" s="107">
        <f t="shared" si="385"/>
        <v>0</v>
      </c>
      <c r="Y430" s="107">
        <f t="shared" si="385"/>
        <v>0</v>
      </c>
      <c r="Z430" s="107">
        <f t="shared" si="385"/>
        <v>0</v>
      </c>
      <c r="AA430" s="107">
        <f t="shared" si="385"/>
        <v>0</v>
      </c>
      <c r="AB430" s="107">
        <f t="shared" si="385"/>
        <v>0</v>
      </c>
      <c r="AC430" s="107">
        <f t="shared" si="385"/>
        <v>0</v>
      </c>
      <c r="AD430" s="107">
        <f t="shared" si="385"/>
        <v>0</v>
      </c>
      <c r="AE430" s="107">
        <f t="shared" si="385"/>
        <v>0</v>
      </c>
      <c r="AF430" s="107">
        <f t="shared" si="385"/>
        <v>0</v>
      </c>
      <c r="AG430" s="107">
        <f t="shared" si="385"/>
        <v>0</v>
      </c>
      <c r="AH430" s="107">
        <f t="shared" si="385"/>
        <v>0</v>
      </c>
      <c r="AI430" s="107">
        <f t="shared" si="385"/>
        <v>0</v>
      </c>
      <c r="AJ430" s="107">
        <f t="shared" si="385"/>
        <v>0</v>
      </c>
      <c r="AK430" s="107">
        <f t="shared" si="385"/>
        <v>0</v>
      </c>
      <c r="AL430" s="4"/>
      <c r="AM430" s="43">
        <v>414</v>
      </c>
      <c r="AN430">
        <v>11.793536324786322</v>
      </c>
      <c r="AO430">
        <v>70.778253169139049</v>
      </c>
      <c r="AP430">
        <v>499.21963411341954</v>
      </c>
      <c r="AQ430">
        <v>193.97516739617839</v>
      </c>
      <c r="AR430">
        <v>65.669442845066712</v>
      </c>
      <c r="AS430">
        <v>344.08291887126131</v>
      </c>
      <c r="AT430" t="e">
        <v>#DIV/0!</v>
      </c>
      <c r="AU430" t="e">
        <v>#DIV/0!</v>
      </c>
      <c r="AV430"/>
      <c r="AW430"/>
      <c r="FY430" s="211">
        <v>425</v>
      </c>
      <c r="FZ430">
        <v>47.412527225683164</v>
      </c>
      <c r="GA430">
        <v>54.785816527495207</v>
      </c>
      <c r="GB430">
        <v>31.819435950690163</v>
      </c>
      <c r="GC430">
        <v>1.0907603221175974</v>
      </c>
      <c r="GD430">
        <v>0.26371971868244504</v>
      </c>
      <c r="GE430">
        <v>0.85435913491793247</v>
      </c>
      <c r="GF430">
        <v>2.1210570424089008</v>
      </c>
      <c r="GG430">
        <v>0.82966741238504016</v>
      </c>
      <c r="GH430">
        <v>4.0282766445317693</v>
      </c>
      <c r="GI430">
        <v>39.091528290329634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4"/>
        <v>-251.34870182506683</v>
      </c>
      <c r="D431" s="191">
        <f>A$413</f>
        <v>7.33</v>
      </c>
      <c r="E431" s="8"/>
      <c r="F431" s="124"/>
      <c r="G431" s="107">
        <f t="shared" si="386"/>
        <v>0</v>
      </c>
      <c r="H431" s="107">
        <f t="shared" si="385"/>
        <v>0</v>
      </c>
      <c r="I431" s="107">
        <f t="shared" si="385"/>
        <v>0</v>
      </c>
      <c r="J431" s="107">
        <f t="shared" si="385"/>
        <v>0.66631274389199535</v>
      </c>
      <c r="K431" s="107">
        <f t="shared" si="385"/>
        <v>5.8962121141990114</v>
      </c>
      <c r="L431" s="107">
        <f t="shared" si="385"/>
        <v>2.6347821225451518</v>
      </c>
      <c r="M431" s="107">
        <f t="shared" si="385"/>
        <v>0</v>
      </c>
      <c r="N431" s="107">
        <f t="shared" si="385"/>
        <v>0</v>
      </c>
      <c r="O431" s="107">
        <f t="shared" si="385"/>
        <v>0</v>
      </c>
      <c r="P431" s="107">
        <f t="shared" si="385"/>
        <v>0</v>
      </c>
      <c r="Q431" s="107">
        <f t="shared" si="385"/>
        <v>0</v>
      </c>
      <c r="R431" s="107">
        <f t="shared" si="385"/>
        <v>0</v>
      </c>
      <c r="S431" s="107">
        <f t="shared" si="385"/>
        <v>0</v>
      </c>
      <c r="T431" s="107">
        <f t="shared" si="385"/>
        <v>-91.606355846002998</v>
      </c>
      <c r="U431" s="107">
        <f t="shared" si="385"/>
        <v>-168.93965295969997</v>
      </c>
      <c r="V431" s="107">
        <f t="shared" si="385"/>
        <v>0</v>
      </c>
      <c r="W431" s="107">
        <f t="shared" si="385"/>
        <v>0</v>
      </c>
      <c r="X431" s="107">
        <f t="shared" si="385"/>
        <v>0</v>
      </c>
      <c r="Y431" s="107">
        <f t="shared" si="385"/>
        <v>0</v>
      </c>
      <c r="Z431" s="107">
        <f t="shared" si="385"/>
        <v>0</v>
      </c>
      <c r="AA431" s="107">
        <f t="shared" si="385"/>
        <v>0</v>
      </c>
      <c r="AB431" s="107">
        <f t="shared" si="385"/>
        <v>0</v>
      </c>
      <c r="AC431" s="107">
        <f t="shared" si="385"/>
        <v>0</v>
      </c>
      <c r="AD431" s="107">
        <f t="shared" si="385"/>
        <v>0</v>
      </c>
      <c r="AE431" s="107">
        <f t="shared" si="385"/>
        <v>0</v>
      </c>
      <c r="AF431" s="107">
        <f t="shared" si="385"/>
        <v>0</v>
      </c>
      <c r="AG431" s="107">
        <f t="shared" si="385"/>
        <v>0</v>
      </c>
      <c r="AH431" s="107">
        <f t="shared" si="385"/>
        <v>0</v>
      </c>
      <c r="AI431" s="107">
        <f t="shared" si="385"/>
        <v>0</v>
      </c>
      <c r="AJ431" s="107">
        <f t="shared" si="385"/>
        <v>0</v>
      </c>
      <c r="AK431" s="107">
        <f t="shared" si="385"/>
        <v>0</v>
      </c>
      <c r="AL431" s="4"/>
      <c r="AM431" s="43">
        <v>415</v>
      </c>
      <c r="AN431">
        <v>16.032385149572647</v>
      </c>
      <c r="AO431">
        <v>86.841217222923618</v>
      </c>
      <c r="AP431">
        <v>561.78835643555556</v>
      </c>
      <c r="AQ431">
        <v>312.01573868415267</v>
      </c>
      <c r="AR431">
        <v>80.663545395145107</v>
      </c>
      <c r="AS431">
        <v>540.65100142804226</v>
      </c>
      <c r="AT431" t="e">
        <v>#DIV/0!</v>
      </c>
      <c r="AU431" t="e">
        <v>#DIV/0!</v>
      </c>
      <c r="AV431"/>
      <c r="AW431"/>
      <c r="FY431" s="211">
        <v>426</v>
      </c>
      <c r="FZ431">
        <v>26.543187409331395</v>
      </c>
      <c r="GA431">
        <v>34.51161404975619</v>
      </c>
      <c r="GB431">
        <v>19.281772300022226</v>
      </c>
      <c r="GC431">
        <v>3.3465200217366959</v>
      </c>
      <c r="GD431">
        <v>0.50135263037505062</v>
      </c>
      <c r="GE431">
        <v>0.73063239807817515</v>
      </c>
      <c r="GF431">
        <v>2.3648597067947339</v>
      </c>
      <c r="GG431">
        <v>6.6531053713183059</v>
      </c>
      <c r="GH431">
        <v>13.225583625167928</v>
      </c>
      <c r="GI431">
        <v>31.254929168257629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4"/>
        <v>-2158.25518416355</v>
      </c>
      <c r="D432" s="191">
        <f>A$414</f>
        <v>10.51</v>
      </c>
      <c r="E432" s="8"/>
      <c r="F432" s="124"/>
      <c r="G432" s="107">
        <f t="shared" si="386"/>
        <v>0</v>
      </c>
      <c r="H432" s="107">
        <f t="shared" ref="H432:AK432" si="387">(($A$453+$A$455*(H$422)+($A$457*$D432))*($E30*H46))</f>
        <v>0</v>
      </c>
      <c r="I432" s="107">
        <f t="shared" si="387"/>
        <v>0.15881241926983747</v>
      </c>
      <c r="J432" s="107">
        <f t="shared" si="387"/>
        <v>1.6673392572737131</v>
      </c>
      <c r="K432" s="107">
        <f t="shared" si="387"/>
        <v>2.398427077849993</v>
      </c>
      <c r="L432" s="107">
        <f t="shared" si="387"/>
        <v>7.9715342069610085</v>
      </c>
      <c r="M432" s="107">
        <f t="shared" si="387"/>
        <v>4.2260223130711569</v>
      </c>
      <c r="N432" s="107">
        <f t="shared" si="387"/>
        <v>24.034124639001384</v>
      </c>
      <c r="O432" s="107">
        <f t="shared" si="387"/>
        <v>8.185782016567309</v>
      </c>
      <c r="P432" s="107">
        <f t="shared" si="387"/>
        <v>0</v>
      </c>
      <c r="Q432" s="107">
        <f t="shared" si="387"/>
        <v>0</v>
      </c>
      <c r="R432" s="107">
        <f t="shared" si="387"/>
        <v>0</v>
      </c>
      <c r="S432" s="107">
        <f t="shared" si="387"/>
        <v>-2.1719705146338932</v>
      </c>
      <c r="T432" s="107">
        <f t="shared" si="387"/>
        <v>-6.7095204900487575</v>
      </c>
      <c r="U432" s="107">
        <f t="shared" si="387"/>
        <v>-15.315252257858244</v>
      </c>
      <c r="V432" s="107">
        <f t="shared" si="387"/>
        <v>-28.484996486753872</v>
      </c>
      <c r="W432" s="107">
        <f t="shared" si="387"/>
        <v>0</v>
      </c>
      <c r="X432" s="107">
        <f t="shared" si="387"/>
        <v>0</v>
      </c>
      <c r="Y432" s="107">
        <f t="shared" si="387"/>
        <v>0</v>
      </c>
      <c r="Z432" s="107">
        <f t="shared" si="387"/>
        <v>-242.48538527261294</v>
      </c>
      <c r="AA432" s="107">
        <f t="shared" si="387"/>
        <v>0</v>
      </c>
      <c r="AB432" s="107">
        <f t="shared" si="387"/>
        <v>0</v>
      </c>
      <c r="AC432" s="107">
        <f t="shared" si="387"/>
        <v>0</v>
      </c>
      <c r="AD432" s="107">
        <f t="shared" si="387"/>
        <v>-830.15124109596059</v>
      </c>
      <c r="AE432" s="107">
        <f t="shared" si="387"/>
        <v>-1081.5788599756761</v>
      </c>
      <c r="AF432" s="107">
        <f t="shared" si="387"/>
        <v>0</v>
      </c>
      <c r="AG432" s="107">
        <f t="shared" si="387"/>
        <v>0</v>
      </c>
      <c r="AH432" s="107">
        <f t="shared" si="387"/>
        <v>0</v>
      </c>
      <c r="AI432" s="107">
        <f t="shared" si="387"/>
        <v>0</v>
      </c>
      <c r="AJ432" s="107">
        <f t="shared" si="387"/>
        <v>0</v>
      </c>
      <c r="AK432" s="107">
        <f t="shared" si="387"/>
        <v>0</v>
      </c>
      <c r="AL432" s="4"/>
      <c r="AM432" s="43">
        <v>416</v>
      </c>
      <c r="AN432">
        <v>12.22474626068376</v>
      </c>
      <c r="AO432">
        <v>76.001748249973772</v>
      </c>
      <c r="AP432">
        <v>762.03691827876855</v>
      </c>
      <c r="AQ432">
        <v>139.37082562828846</v>
      </c>
      <c r="AR432">
        <v>70.400979433098556</v>
      </c>
      <c r="AS432">
        <v>361.45706939087273</v>
      </c>
      <c r="AT432" t="e">
        <v>#DIV/0!</v>
      </c>
      <c r="AU432" t="e">
        <v>#DIV/0!</v>
      </c>
      <c r="AV432"/>
      <c r="AW432"/>
      <c r="FY432" s="211">
        <v>427</v>
      </c>
      <c r="FZ432">
        <v>24.214988183383429</v>
      </c>
      <c r="GA432">
        <v>32.046559268124021</v>
      </c>
      <c r="GB432">
        <v>68.741210136801712</v>
      </c>
      <c r="GC432">
        <v>2.0063447579596376</v>
      </c>
      <c r="GD432">
        <v>0.14212194204098866</v>
      </c>
      <c r="GE432">
        <v>0.67565559590953028</v>
      </c>
      <c r="GF432">
        <v>4.1494636397335496</v>
      </c>
      <c r="GG432">
        <v>13.716474421289433</v>
      </c>
      <c r="GH432">
        <v>24.391359984457242</v>
      </c>
      <c r="GI432">
        <v>55.971620660171538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10.420659722222222</v>
      </c>
      <c r="AO433">
        <v>22.949463048445377</v>
      </c>
      <c r="AP433">
        <v>187.2164684799948</v>
      </c>
      <c r="AQ433">
        <v>118.97539801405317</v>
      </c>
      <c r="AR433">
        <v>21.300726217256443</v>
      </c>
      <c r="AS433">
        <v>195.92838536767545</v>
      </c>
      <c r="AT433" t="e">
        <v>#DIV/0!</v>
      </c>
      <c r="AU433" t="e">
        <v>#DIV/0!</v>
      </c>
      <c r="AV433"/>
      <c r="AW433"/>
      <c r="FY433" s="211">
        <v>428</v>
      </c>
      <c r="FZ433">
        <v>43.946953426485138</v>
      </c>
      <c r="GA433">
        <v>51.114526846189804</v>
      </c>
      <c r="GB433">
        <v>19.935365823455502</v>
      </c>
      <c r="GC433">
        <v>2.3153553258781652</v>
      </c>
      <c r="GD433">
        <v>0.22337466777235196</v>
      </c>
      <c r="GE433">
        <v>0.15784708526603611</v>
      </c>
      <c r="GF433">
        <v>1.7119652864714288</v>
      </c>
      <c r="GG433">
        <v>6.9506554481383152</v>
      </c>
      <c r="GH433">
        <v>11.165776359289314</v>
      </c>
      <c r="GI433">
        <v>33.661506481113584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15.948918269230765</v>
      </c>
      <c r="AO434">
        <v>156.873744972282</v>
      </c>
      <c r="AP434">
        <v>941.1436533909457</v>
      </c>
      <c r="AQ434">
        <v>134.71828944865507</v>
      </c>
      <c r="AR434">
        <v>145.42140316823227</v>
      </c>
      <c r="AS434">
        <v>1005.0505147744096</v>
      </c>
      <c r="AT434" t="e">
        <v>#DIV/0!</v>
      </c>
      <c r="AU434" t="e">
        <v>#DIV/0!</v>
      </c>
      <c r="AV434"/>
      <c r="AW434"/>
      <c r="FY434" s="211">
        <v>429</v>
      </c>
      <c r="FZ434">
        <v>36.231389299874138</v>
      </c>
      <c r="GA434">
        <v>37.077699038211151</v>
      </c>
      <c r="GB434">
        <v>50.479236393525291</v>
      </c>
      <c r="GC434">
        <v>3.6443067633571014</v>
      </c>
      <c r="GD434">
        <v>0.37704386092733788</v>
      </c>
      <c r="GE434">
        <v>0.34985476212308703</v>
      </c>
      <c r="GF434">
        <v>4.169475438350414</v>
      </c>
      <c r="GG434">
        <v>9.7305817449548631</v>
      </c>
      <c r="GH434">
        <v>14.457675203966005</v>
      </c>
      <c r="GI434">
        <v>51.988840858391235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-39731.439390398155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10.640277777777779</v>
      </c>
      <c r="AO435">
        <v>74.340219911370355</v>
      </c>
      <c r="AP435">
        <v>643.64582709467572</v>
      </c>
      <c r="AQ435">
        <v>206.04454019132325</v>
      </c>
      <c r="AR435">
        <v>68.863352106343228</v>
      </c>
      <c r="AS435">
        <v>684.12367113241055</v>
      </c>
      <c r="AT435" t="e">
        <v>#DIV/0!</v>
      </c>
      <c r="AU435" t="e">
        <v>#DIV/0!</v>
      </c>
      <c r="AV435"/>
      <c r="AW435"/>
      <c r="FY435" s="211">
        <v>430</v>
      </c>
      <c r="FZ435">
        <v>58.291553768923798</v>
      </c>
      <c r="GA435">
        <v>58.822741741375111</v>
      </c>
      <c r="GB435">
        <v>42.846749728045218</v>
      </c>
      <c r="GC435">
        <v>2.7548903935836231</v>
      </c>
      <c r="GD435">
        <v>0.46657022105526463</v>
      </c>
      <c r="GE435">
        <v>1.0126752148377873</v>
      </c>
      <c r="GF435">
        <v>2.3017671067727581</v>
      </c>
      <c r="GG435">
        <v>6.7094621722347103</v>
      </c>
      <c r="GH435">
        <v>9.1973069806361583</v>
      </c>
      <c r="GI435">
        <v>50.80417533510532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10.150133547008547</v>
      </c>
      <c r="AO436">
        <v>68.968711575176641</v>
      </c>
      <c r="AP436">
        <v>506.67174986770732</v>
      </c>
      <c r="AQ436">
        <v>144.90980816584675</v>
      </c>
      <c r="AR436">
        <v>64.182326610654997</v>
      </c>
      <c r="AS436">
        <v>445.25892231857188</v>
      </c>
      <c r="AT436" t="e">
        <v>#DIV/0!</v>
      </c>
      <c r="AU436" t="e">
        <v>#DIV/0!</v>
      </c>
      <c r="AV436"/>
      <c r="AW436"/>
      <c r="FY436" s="211">
        <v>431</v>
      </c>
      <c r="FZ436">
        <v>17.245892074405585</v>
      </c>
      <c r="GA436">
        <v>22.297229590915819</v>
      </c>
      <c r="GB436">
        <v>50.398973235920003</v>
      </c>
      <c r="GC436">
        <v>2.8867858554673669</v>
      </c>
      <c r="GD436">
        <v>0.27526696979644222</v>
      </c>
      <c r="GE436">
        <v>0.28157382210579351</v>
      </c>
      <c r="GF436">
        <v>1.4647262253149904</v>
      </c>
      <c r="GG436">
        <v>3.8901614302616783</v>
      </c>
      <c r="GH436">
        <v>5.582888179644657</v>
      </c>
      <c r="GI436">
        <v>39.75880074346675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14.355902777777777</v>
      </c>
      <c r="AO437">
        <v>66.664402822269238</v>
      </c>
      <c r="AP437">
        <v>294.78526840656855</v>
      </c>
      <c r="AQ437">
        <v>208.74823926376831</v>
      </c>
      <c r="AR437">
        <v>61.775976663373129</v>
      </c>
      <c r="AS437">
        <v>793.06587770135343</v>
      </c>
      <c r="AT437" t="e">
        <v>#DIV/0!</v>
      </c>
      <c r="AU437" t="e">
        <v>#DIV/0!</v>
      </c>
      <c r="AV437"/>
      <c r="AW437"/>
      <c r="FY437" s="211">
        <v>432</v>
      </c>
      <c r="FZ437">
        <v>75.011112286680046</v>
      </c>
      <c r="GA437">
        <v>76.227480347710895</v>
      </c>
      <c r="GB437">
        <v>51.388128723248371</v>
      </c>
      <c r="GC437">
        <v>1.9329406255092378</v>
      </c>
      <c r="GD437">
        <v>0.29579113519597461</v>
      </c>
      <c r="GE437">
        <v>0.50817084204294227</v>
      </c>
      <c r="GF437">
        <v>3.1174265937026848</v>
      </c>
      <c r="GG437">
        <v>7.7239660596069504</v>
      </c>
      <c r="GH437">
        <v>23.250606292884626</v>
      </c>
      <c r="GI437">
        <v>55.599702876336849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14.886939102564099</v>
      </c>
      <c r="AO438">
        <v>98.900337462119296</v>
      </c>
      <c r="AP438">
        <v>767.85400853543854</v>
      </c>
      <c r="AQ438">
        <v>225.82177572762947</v>
      </c>
      <c r="AR438">
        <v>91.756719554695891</v>
      </c>
      <c r="AS438">
        <v>594.71397787726119</v>
      </c>
      <c r="AT438" t="e">
        <v>#DIV/0!</v>
      </c>
      <c r="AU438" t="e">
        <v>#DIV/0!</v>
      </c>
      <c r="AV438"/>
      <c r="AW438"/>
      <c r="FY438" s="211">
        <v>433</v>
      </c>
      <c r="FZ438">
        <v>19.098604406170956</v>
      </c>
      <c r="GA438">
        <v>24.434488402429835</v>
      </c>
      <c r="GB438">
        <v>37.245939630713323</v>
      </c>
      <c r="GC438">
        <v>2.130868853488491</v>
      </c>
      <c r="GD438">
        <v>0.17961534416703098</v>
      </c>
      <c r="GE438">
        <v>0.62067879374088541</v>
      </c>
      <c r="GF438">
        <v>3.212601063731952</v>
      </c>
      <c r="GG438">
        <v>2.8193007419730334</v>
      </c>
      <c r="GH438">
        <v>3.6144188009915013</v>
      </c>
      <c r="GI438">
        <v>34.717493709659095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14.713368055555554</v>
      </c>
      <c r="AO439">
        <v>99.550332839136772</v>
      </c>
      <c r="AP439">
        <v>488.87778817191941</v>
      </c>
      <c r="AQ439">
        <v>222.88608177607981</v>
      </c>
      <c r="AR439">
        <v>92.372347677479354</v>
      </c>
      <c r="AS439">
        <v>651.32199788606033</v>
      </c>
      <c r="AT439" t="e">
        <v>#DIV/0!</v>
      </c>
      <c r="AU439" t="e">
        <v>#DIV/0!</v>
      </c>
      <c r="AV439"/>
      <c r="AW439"/>
      <c r="FY439" s="211">
        <v>434</v>
      </c>
      <c r="FZ439">
        <v>48.603351878381069</v>
      </c>
      <c r="GA439">
        <v>49.901640857097959</v>
      </c>
      <c r="GB439">
        <v>38.429464201978753</v>
      </c>
      <c r="GC439">
        <v>2.3874418675398981</v>
      </c>
      <c r="GD439">
        <v>0.31631530059550683</v>
      </c>
      <c r="GE439">
        <v>0.3253318391326242</v>
      </c>
      <c r="GF439">
        <v>1.5896077683657179</v>
      </c>
      <c r="GG439">
        <v>13.071643483891592</v>
      </c>
      <c r="GH439">
        <v>22.331552718578628</v>
      </c>
      <c r="GI439">
        <v>47.185133886814896</v>
      </c>
      <c r="GJ439"/>
      <c r="GK439"/>
      <c r="GL439"/>
      <c r="GM439"/>
    </row>
    <row r="440" spans="1:195" s="7" customFormat="1">
      <c r="A440" s="1">
        <v>28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13.520926816239315</v>
      </c>
      <c r="AO440">
        <v>111.36920734054529</v>
      </c>
      <c r="AP440">
        <v>670.11669003197392</v>
      </c>
      <c r="AQ440">
        <v>146.82174826168369</v>
      </c>
      <c r="AR440">
        <v>103.23774400958285</v>
      </c>
      <c r="AS440">
        <v>861.50546455811559</v>
      </c>
      <c r="AT440" t="e">
        <v>#DIV/0!</v>
      </c>
      <c r="AU440" t="e">
        <v>#DIV/0!</v>
      </c>
      <c r="AV440"/>
      <c r="AW440"/>
      <c r="FY440" s="211">
        <v>435</v>
      </c>
      <c r="FZ440">
        <v>48.077018321731728</v>
      </c>
      <c r="GA440">
        <v>49.316500584221401</v>
      </c>
      <c r="GB440">
        <v>45.685559471063129</v>
      </c>
      <c r="GC440">
        <v>2.0757852491793347</v>
      </c>
      <c r="GD440">
        <v>0.45217132115721681</v>
      </c>
      <c r="GE440">
        <v>1.2576095826684024</v>
      </c>
      <c r="GF440">
        <v>4.7726509870353961</v>
      </c>
      <c r="GG440">
        <v>11.574753044712143</v>
      </c>
      <c r="GH440">
        <v>24.482697871682696</v>
      </c>
      <c r="GI440">
        <v>52.849646789777204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8">SUM(G441:AK441)</f>
        <v>68.726223677099682</v>
      </c>
      <c r="D441" s="191">
        <f>$A$405</f>
        <v>13.69</v>
      </c>
      <c r="E441" s="8"/>
      <c r="F441" s="124"/>
      <c r="G441" s="107" t="str">
        <f t="shared" ref="G441:G450" si="389">IF(G423&lt;=0, "0.000", G423)</f>
        <v>0.000</v>
      </c>
      <c r="H441" s="107" t="str">
        <f t="shared" ref="H441:AK441" si="390">IF(H423&lt;=0, "0.000", H423)</f>
        <v>0.000</v>
      </c>
      <c r="I441" s="107">
        <f t="shared" si="390"/>
        <v>0.81294337035166953</v>
      </c>
      <c r="J441" s="107">
        <f t="shared" si="390"/>
        <v>1.7327868995990159</v>
      </c>
      <c r="K441" s="107" t="str">
        <f t="shared" si="390"/>
        <v>0.000</v>
      </c>
      <c r="L441" s="107" t="str">
        <f t="shared" si="390"/>
        <v>0.000</v>
      </c>
      <c r="M441" s="107" t="str">
        <f t="shared" si="390"/>
        <v>0.000</v>
      </c>
      <c r="N441" s="107" t="str">
        <f t="shared" si="390"/>
        <v>0.000</v>
      </c>
      <c r="O441" s="107">
        <f t="shared" si="390"/>
        <v>66.180493407149001</v>
      </c>
      <c r="P441" s="107" t="str">
        <f t="shared" si="390"/>
        <v>0.000</v>
      </c>
      <c r="Q441" s="107" t="str">
        <f t="shared" si="390"/>
        <v>0.000</v>
      </c>
      <c r="R441" s="107" t="str">
        <f t="shared" si="390"/>
        <v>0.000</v>
      </c>
      <c r="S441" s="107" t="str">
        <f t="shared" si="390"/>
        <v>0.000</v>
      </c>
      <c r="T441" s="107" t="str">
        <f t="shared" si="390"/>
        <v>0.000</v>
      </c>
      <c r="U441" s="107" t="str">
        <f t="shared" si="390"/>
        <v>0.000</v>
      </c>
      <c r="V441" s="107" t="str">
        <f t="shared" si="390"/>
        <v>0.000</v>
      </c>
      <c r="W441" s="107" t="str">
        <f t="shared" si="390"/>
        <v>0.000</v>
      </c>
      <c r="X441" s="107" t="str">
        <f t="shared" si="390"/>
        <v>0.000</v>
      </c>
      <c r="Y441" s="107" t="str">
        <f t="shared" si="390"/>
        <v>0.000</v>
      </c>
      <c r="Z441" s="107" t="str">
        <f t="shared" si="390"/>
        <v>0.000</v>
      </c>
      <c r="AA441" s="107" t="str">
        <f t="shared" si="390"/>
        <v>0.000</v>
      </c>
      <c r="AB441" s="107" t="str">
        <f t="shared" si="390"/>
        <v>0.000</v>
      </c>
      <c r="AC441" s="107" t="str">
        <f t="shared" si="390"/>
        <v>0.000</v>
      </c>
      <c r="AD441" s="107" t="str">
        <f t="shared" si="390"/>
        <v>0.000</v>
      </c>
      <c r="AE441" s="107" t="str">
        <f t="shared" si="390"/>
        <v>0.000</v>
      </c>
      <c r="AF441" s="107" t="str">
        <f t="shared" si="390"/>
        <v>0.000</v>
      </c>
      <c r="AG441" s="107" t="str">
        <f t="shared" si="390"/>
        <v>0.000</v>
      </c>
      <c r="AH441" s="107" t="str">
        <f t="shared" si="390"/>
        <v>0.000</v>
      </c>
      <c r="AI441" s="107" t="str">
        <f t="shared" si="390"/>
        <v>0.000</v>
      </c>
      <c r="AJ441" s="107" t="str">
        <f t="shared" si="390"/>
        <v>0.000</v>
      </c>
      <c r="AK441" s="107" t="str">
        <f t="shared" si="390"/>
        <v>0.000</v>
      </c>
      <c r="AL441" s="4"/>
      <c r="AM441" s="43">
        <v>425</v>
      </c>
      <c r="AN441">
        <v>14.543496260683758</v>
      </c>
      <c r="AO441">
        <v>114.13871597200833</v>
      </c>
      <c r="AP441">
        <v>748.83517450115335</v>
      </c>
      <c r="AQ441">
        <v>182.29714826924186</v>
      </c>
      <c r="AR441">
        <v>105.87598238317395</v>
      </c>
      <c r="AS441">
        <v>1018.4070066771455</v>
      </c>
      <c r="AT441" t="e">
        <v>#DIV/0!</v>
      </c>
      <c r="AU441" t="e">
        <v>#DIV/0!</v>
      </c>
      <c r="AV441"/>
      <c r="AW441"/>
      <c r="FY441" s="211">
        <v>436</v>
      </c>
      <c r="FZ441">
        <v>46.2751526524331</v>
      </c>
      <c r="GA441">
        <v>47.648606418931813</v>
      </c>
      <c r="GB441">
        <v>22.767606922120869</v>
      </c>
      <c r="GC441">
        <v>2.0181494408349243</v>
      </c>
      <c r="GD441">
        <v>0.33071420049355471</v>
      </c>
      <c r="GE441">
        <v>1.1496658463614575</v>
      </c>
      <c r="GF441">
        <v>4.6774765170061272</v>
      </c>
      <c r="GG441">
        <v>9.3439264392205459</v>
      </c>
      <c r="GH441">
        <v>14.871533047506276</v>
      </c>
      <c r="GI441">
        <v>28.551035804715308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388"/>
        <v>69.98367557230398</v>
      </c>
      <c r="D442" s="191">
        <f>$A$406</f>
        <v>9.4499999999999993</v>
      </c>
      <c r="E442" s="8"/>
      <c r="F442" s="124"/>
      <c r="G442" s="173" t="str">
        <f t="shared" si="389"/>
        <v>0.000</v>
      </c>
      <c r="H442" s="173" t="str">
        <f t="shared" ref="H442:V442" si="391">IF(H424&lt;=0, "0.000", H424)</f>
        <v>0.000</v>
      </c>
      <c r="I442" s="173">
        <f t="shared" si="391"/>
        <v>0.86523743804065889</v>
      </c>
      <c r="J442" s="173">
        <f t="shared" si="391"/>
        <v>7.3425793626108149</v>
      </c>
      <c r="K442" s="173">
        <f t="shared" si="391"/>
        <v>2.0476651841187259</v>
      </c>
      <c r="L442" s="173" t="str">
        <f t="shared" si="391"/>
        <v>0.000</v>
      </c>
      <c r="M442" s="173" t="str">
        <f t="shared" si="391"/>
        <v>0.000</v>
      </c>
      <c r="N442" s="173" t="str">
        <f t="shared" si="391"/>
        <v>0.000</v>
      </c>
      <c r="O442" s="173">
        <f t="shared" si="391"/>
        <v>59.728193587533774</v>
      </c>
      <c r="P442" s="173" t="str">
        <f t="shared" si="391"/>
        <v>0.000</v>
      </c>
      <c r="Q442" s="173" t="str">
        <f t="shared" si="391"/>
        <v>0.000</v>
      </c>
      <c r="R442" s="173" t="str">
        <f t="shared" si="391"/>
        <v>0.000</v>
      </c>
      <c r="S442" s="173" t="str">
        <f t="shared" si="391"/>
        <v>0.000</v>
      </c>
      <c r="T442" s="173" t="str">
        <f t="shared" si="391"/>
        <v>0.000</v>
      </c>
      <c r="U442" s="173" t="str">
        <f t="shared" si="391"/>
        <v>0.000</v>
      </c>
      <c r="V442" s="173" t="str">
        <f t="shared" si="391"/>
        <v>0.000</v>
      </c>
      <c r="W442" s="173" t="str">
        <f t="shared" ref="W442:AK442" si="392">IF(W424&lt;=0, "0.000", W424)</f>
        <v>0.000</v>
      </c>
      <c r="X442" s="173" t="str">
        <f t="shared" si="392"/>
        <v>0.000</v>
      </c>
      <c r="Y442" s="173" t="str">
        <f t="shared" si="392"/>
        <v>0.000</v>
      </c>
      <c r="Z442" s="173" t="str">
        <f t="shared" si="392"/>
        <v>0.000</v>
      </c>
      <c r="AA442" s="173" t="str">
        <f t="shared" si="392"/>
        <v>0.000</v>
      </c>
      <c r="AB442" s="173" t="str">
        <f t="shared" si="392"/>
        <v>0.000</v>
      </c>
      <c r="AC442" s="173" t="str">
        <f t="shared" si="392"/>
        <v>0.000</v>
      </c>
      <c r="AD442" s="173" t="str">
        <f t="shared" si="392"/>
        <v>0.000</v>
      </c>
      <c r="AE442" s="173" t="str">
        <f t="shared" si="392"/>
        <v>0.000</v>
      </c>
      <c r="AF442" s="173" t="str">
        <f t="shared" si="392"/>
        <v>0.000</v>
      </c>
      <c r="AG442" s="173" t="str">
        <f t="shared" si="392"/>
        <v>0.000</v>
      </c>
      <c r="AH442" s="173" t="str">
        <f t="shared" si="392"/>
        <v>0.000</v>
      </c>
      <c r="AI442" s="173" t="str">
        <f t="shared" si="392"/>
        <v>0.000</v>
      </c>
      <c r="AJ442" s="173" t="str">
        <f t="shared" si="392"/>
        <v>0.000</v>
      </c>
      <c r="AK442" s="173" t="str">
        <f t="shared" si="392"/>
        <v>0.000</v>
      </c>
      <c r="AL442" s="4"/>
      <c r="AM442" s="43">
        <v>426</v>
      </c>
      <c r="AN442">
        <v>14.577216880341879</v>
      </c>
      <c r="AO442">
        <v>104.6489445496846</v>
      </c>
      <c r="AP442">
        <v>588.30237134173171</v>
      </c>
      <c r="AQ442">
        <v>138.41355668083833</v>
      </c>
      <c r="AR442">
        <v>97.117721545677298</v>
      </c>
      <c r="AS442">
        <v>908.03546427447759</v>
      </c>
      <c r="AT442" t="e">
        <v>#DIV/0!</v>
      </c>
      <c r="AU442" t="e">
        <v>#DIV/0!</v>
      </c>
      <c r="AV442"/>
      <c r="AW442"/>
      <c r="FY442" s="211">
        <v>437</v>
      </c>
      <c r="FZ442">
        <v>39.375135313154871</v>
      </c>
      <c r="GA442">
        <v>41.82685643459795</v>
      </c>
      <c r="GB442">
        <v>55.04381903974096</v>
      </c>
      <c r="GC442">
        <v>2.4461072215007356</v>
      </c>
      <c r="GD442">
        <v>0.3736295882321099</v>
      </c>
      <c r="GE442">
        <v>0.66648692196279713</v>
      </c>
      <c r="GF442">
        <v>2.1471784907005711</v>
      </c>
      <c r="GG442">
        <v>4.8652908724774315</v>
      </c>
      <c r="GH442">
        <v>7.2288376019830025</v>
      </c>
      <c r="GI442">
        <v>52.617345850531827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8"/>
        <v>45.142487730615343</v>
      </c>
      <c r="D443" s="191">
        <f>A$407</f>
        <v>4.03</v>
      </c>
      <c r="E443" s="8"/>
      <c r="F443" s="124"/>
      <c r="G443" s="173" t="str">
        <f t="shared" si="389"/>
        <v>0.000</v>
      </c>
      <c r="H443" s="173" t="str">
        <f t="shared" ref="H443:V443" si="393">IF(H425&lt;=0, "0.000", H425)</f>
        <v>0.000</v>
      </c>
      <c r="I443" s="173" t="str">
        <f t="shared" si="393"/>
        <v>0.000</v>
      </c>
      <c r="J443" s="173">
        <f t="shared" si="393"/>
        <v>2.964918337585118</v>
      </c>
      <c r="K443" s="173">
        <f t="shared" si="393"/>
        <v>0.70723413157369497</v>
      </c>
      <c r="L443" s="173">
        <f t="shared" si="393"/>
        <v>2.391057418011139</v>
      </c>
      <c r="M443" s="173" t="str">
        <f t="shared" si="393"/>
        <v>0.000</v>
      </c>
      <c r="N443" s="173">
        <f t="shared" si="393"/>
        <v>39.079277843445389</v>
      </c>
      <c r="O443" s="173" t="str">
        <f t="shared" si="393"/>
        <v>0.000</v>
      </c>
      <c r="P443" s="173" t="str">
        <f t="shared" si="393"/>
        <v>0.000</v>
      </c>
      <c r="Q443" s="173" t="str">
        <f t="shared" si="393"/>
        <v>0.000</v>
      </c>
      <c r="R443" s="173" t="str">
        <f t="shared" si="393"/>
        <v>0.000</v>
      </c>
      <c r="S443" s="173" t="str">
        <f t="shared" si="393"/>
        <v>0.000</v>
      </c>
      <c r="T443" s="173" t="str">
        <f t="shared" si="393"/>
        <v>0.000</v>
      </c>
      <c r="U443" s="173" t="str">
        <f t="shared" si="393"/>
        <v>0.000</v>
      </c>
      <c r="V443" s="173" t="str">
        <f t="shared" si="393"/>
        <v>0.000</v>
      </c>
      <c r="W443" s="173" t="str">
        <f t="shared" ref="W443:AK443" si="394">IF(W425&lt;=0, "0.000", W425)</f>
        <v>0.000</v>
      </c>
      <c r="X443" s="173" t="str">
        <f t="shared" si="394"/>
        <v>0.000</v>
      </c>
      <c r="Y443" s="173" t="str">
        <f t="shared" si="394"/>
        <v>0.000</v>
      </c>
      <c r="Z443" s="173" t="str">
        <f t="shared" si="394"/>
        <v>0.000</v>
      </c>
      <c r="AA443" s="173" t="str">
        <f t="shared" si="394"/>
        <v>0.000</v>
      </c>
      <c r="AB443" s="173" t="str">
        <f t="shared" si="394"/>
        <v>0.000</v>
      </c>
      <c r="AC443" s="173" t="str">
        <f t="shared" si="394"/>
        <v>0.000</v>
      </c>
      <c r="AD443" s="173" t="str">
        <f t="shared" si="394"/>
        <v>0.000</v>
      </c>
      <c r="AE443" s="173" t="str">
        <f t="shared" si="394"/>
        <v>0.000</v>
      </c>
      <c r="AF443" s="173" t="str">
        <f t="shared" si="394"/>
        <v>0.000</v>
      </c>
      <c r="AG443" s="173" t="str">
        <f t="shared" si="394"/>
        <v>0.000</v>
      </c>
      <c r="AH443" s="173" t="str">
        <f t="shared" si="394"/>
        <v>0.000</v>
      </c>
      <c r="AI443" s="173" t="str">
        <f t="shared" si="394"/>
        <v>0.000</v>
      </c>
      <c r="AJ443" s="173" t="str">
        <f t="shared" si="394"/>
        <v>0.000</v>
      </c>
      <c r="AK443" s="173" t="str">
        <f t="shared" si="394"/>
        <v>0.000</v>
      </c>
      <c r="AL443" s="4"/>
      <c r="AM443" s="43">
        <v>427</v>
      </c>
      <c r="AN443">
        <v>17.194404380341883</v>
      </c>
      <c r="AO443">
        <v>169.09171696796631</v>
      </c>
      <c r="AP443">
        <v>1211.7192299844119</v>
      </c>
      <c r="AQ443">
        <v>226.05579858987107</v>
      </c>
      <c r="AR443">
        <v>156.75060412245466</v>
      </c>
      <c r="AS443">
        <v>1102.4082574984616</v>
      </c>
      <c r="AT443" t="e">
        <v>#DIV/0!</v>
      </c>
      <c r="AU443" t="e">
        <v>#DIV/0!</v>
      </c>
      <c r="AV443"/>
      <c r="AW443"/>
      <c r="FY443" s="211">
        <v>438</v>
      </c>
      <c r="FZ443">
        <v>37.844250767306782</v>
      </c>
      <c r="GA443">
        <v>44.330684773426654</v>
      </c>
      <c r="GB443">
        <v>31.626827560748435</v>
      </c>
      <c r="GC443">
        <v>2.3517083369884122</v>
      </c>
      <c r="GD443">
        <v>0.219960395077124</v>
      </c>
      <c r="GE443">
        <v>0.28157382210579351</v>
      </c>
      <c r="GF443">
        <v>2.4206882281078643</v>
      </c>
      <c r="GG443">
        <v>8.4409198701591812</v>
      </c>
      <c r="GH443">
        <v>19.222329648352854</v>
      </c>
      <c r="GI443">
        <v>34.735039497079171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388"/>
        <v>1.162038611366526</v>
      </c>
      <c r="D444" s="191">
        <f>A$408</f>
        <v>0.78</v>
      </c>
      <c r="E444" s="8"/>
      <c r="F444" s="124"/>
      <c r="G444" s="173" t="str">
        <f t="shared" si="389"/>
        <v>0.000</v>
      </c>
      <c r="H444" s="173" t="str">
        <f t="shared" ref="H444:V444" si="395">IF(H426&lt;=0, "0.000", H426)</f>
        <v>0.000</v>
      </c>
      <c r="I444" s="173" t="str">
        <f t="shared" si="395"/>
        <v>0.000</v>
      </c>
      <c r="J444" s="173">
        <f t="shared" si="395"/>
        <v>0.21383486774678567</v>
      </c>
      <c r="K444" s="173">
        <f t="shared" si="395"/>
        <v>0.12137520299368953</v>
      </c>
      <c r="L444" s="173">
        <f t="shared" si="395"/>
        <v>0.82682854062605071</v>
      </c>
      <c r="M444" s="173" t="str">
        <f t="shared" si="395"/>
        <v>0.000</v>
      </c>
      <c r="N444" s="173" t="str">
        <f t="shared" si="395"/>
        <v>0.000</v>
      </c>
      <c r="O444" s="173" t="str">
        <f t="shared" si="395"/>
        <v>0.000</v>
      </c>
      <c r="P444" s="173" t="str">
        <f t="shared" si="395"/>
        <v>0.000</v>
      </c>
      <c r="Q444" s="173" t="str">
        <f t="shared" si="395"/>
        <v>0.000</v>
      </c>
      <c r="R444" s="173" t="str">
        <f t="shared" si="395"/>
        <v>0.000</v>
      </c>
      <c r="S444" s="173" t="str">
        <f t="shared" si="395"/>
        <v>0.000</v>
      </c>
      <c r="T444" s="173" t="str">
        <f t="shared" si="395"/>
        <v>0.000</v>
      </c>
      <c r="U444" s="173" t="str">
        <f t="shared" si="395"/>
        <v>0.000</v>
      </c>
      <c r="V444" s="173" t="str">
        <f t="shared" si="395"/>
        <v>0.000</v>
      </c>
      <c r="W444" s="173" t="str">
        <f t="shared" ref="W444:AK444" si="396">IF(W426&lt;=0, "0.000", W426)</f>
        <v>0.000</v>
      </c>
      <c r="X444" s="173" t="str">
        <f t="shared" si="396"/>
        <v>0.000</v>
      </c>
      <c r="Y444" s="173" t="str">
        <f t="shared" si="396"/>
        <v>0.000</v>
      </c>
      <c r="Z444" s="173" t="str">
        <f t="shared" si="396"/>
        <v>0.000</v>
      </c>
      <c r="AA444" s="173" t="str">
        <f t="shared" si="396"/>
        <v>0.000</v>
      </c>
      <c r="AB444" s="173" t="str">
        <f t="shared" si="396"/>
        <v>0.000</v>
      </c>
      <c r="AC444" s="173" t="str">
        <f t="shared" si="396"/>
        <v>0.000</v>
      </c>
      <c r="AD444" s="173" t="str">
        <f t="shared" si="396"/>
        <v>0.000</v>
      </c>
      <c r="AE444" s="173" t="str">
        <f t="shared" si="396"/>
        <v>0.000</v>
      </c>
      <c r="AF444" s="173" t="str">
        <f t="shared" si="396"/>
        <v>0.000</v>
      </c>
      <c r="AG444" s="173" t="str">
        <f t="shared" si="396"/>
        <v>0.000</v>
      </c>
      <c r="AH444" s="173" t="str">
        <f t="shared" si="396"/>
        <v>0.000</v>
      </c>
      <c r="AI444" s="173" t="str">
        <f t="shared" si="396"/>
        <v>0.000</v>
      </c>
      <c r="AJ444" s="173" t="str">
        <f t="shared" si="396"/>
        <v>0.000</v>
      </c>
      <c r="AK444" s="173" t="str">
        <f t="shared" si="396"/>
        <v>0.000</v>
      </c>
      <c r="AL444" s="4"/>
      <c r="AM444" s="43">
        <v>428</v>
      </c>
      <c r="AN444">
        <v>10.974919871794871</v>
      </c>
      <c r="AO444">
        <v>106.82650481904345</v>
      </c>
      <c r="AP444">
        <v>895.31379020976306</v>
      </c>
      <c r="AQ444">
        <v>171.18332675005962</v>
      </c>
      <c r="AR444">
        <v>98.978867607909223</v>
      </c>
      <c r="AS444">
        <v>624.48160111976267</v>
      </c>
      <c r="AT444" t="e">
        <v>#DIV/0!</v>
      </c>
      <c r="AU444" t="e">
        <v>#DIV/0!</v>
      </c>
      <c r="AV444"/>
      <c r="AW444"/>
      <c r="FY444" s="211">
        <v>439</v>
      </c>
      <c r="FZ444">
        <v>46.2751526524331</v>
      </c>
      <c r="GA444">
        <v>47.648606418931813</v>
      </c>
      <c r="GB444">
        <v>45.344401467861736</v>
      </c>
      <c r="GC444">
        <v>2.6718861268889218</v>
      </c>
      <c r="GD444">
        <v>0.11888678383519996</v>
      </c>
      <c r="GE444">
        <v>0.35488797216790446</v>
      </c>
      <c r="GF444">
        <v>3.4635749775773648</v>
      </c>
      <c r="GG444">
        <v>6.3228068665003931</v>
      </c>
      <c r="GH444">
        <v>5.582888179644657</v>
      </c>
      <c r="GI444">
        <v>36.448864843541514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8"/>
        <v>2.3235158205788711E-2</v>
      </c>
      <c r="D445" s="191">
        <f>A$409</f>
        <v>0.14000000000000001</v>
      </c>
      <c r="E445" s="8"/>
      <c r="F445" s="124"/>
      <c r="G445" s="173" t="str">
        <f t="shared" si="389"/>
        <v>0.000</v>
      </c>
      <c r="H445" s="173" t="str">
        <f t="shared" ref="H445:V445" si="397">IF(H427&lt;=0, "0.000", H427)</f>
        <v>0.000</v>
      </c>
      <c r="I445" s="173" t="str">
        <f t="shared" si="397"/>
        <v>0.000</v>
      </c>
      <c r="J445" s="173" t="str">
        <f t="shared" si="397"/>
        <v>0.000</v>
      </c>
      <c r="K445" s="173">
        <f t="shared" si="397"/>
        <v>2.3235158205788711E-2</v>
      </c>
      <c r="L445" s="173" t="str">
        <f t="shared" si="397"/>
        <v>0.000</v>
      </c>
      <c r="M445" s="173" t="str">
        <f t="shared" si="397"/>
        <v>0.000</v>
      </c>
      <c r="N445" s="173" t="str">
        <f t="shared" si="397"/>
        <v>0.000</v>
      </c>
      <c r="O445" s="173" t="str">
        <f t="shared" si="397"/>
        <v>0.000</v>
      </c>
      <c r="P445" s="173" t="str">
        <f t="shared" si="397"/>
        <v>0.000</v>
      </c>
      <c r="Q445" s="173" t="str">
        <f t="shared" si="397"/>
        <v>0.000</v>
      </c>
      <c r="R445" s="173" t="str">
        <f t="shared" si="397"/>
        <v>0.000</v>
      </c>
      <c r="S445" s="173" t="str">
        <f t="shared" si="397"/>
        <v>0.000</v>
      </c>
      <c r="T445" s="173" t="str">
        <f t="shared" si="397"/>
        <v>0.000</v>
      </c>
      <c r="U445" s="173" t="str">
        <f t="shared" si="397"/>
        <v>0.000</v>
      </c>
      <c r="V445" s="173" t="str">
        <f t="shared" si="397"/>
        <v>0.000</v>
      </c>
      <c r="W445" s="173" t="str">
        <f t="shared" ref="W445:AK445" si="398">IF(W427&lt;=0, "0.000", W427)</f>
        <v>0.000</v>
      </c>
      <c r="X445" s="173" t="str">
        <f t="shared" si="398"/>
        <v>0.000</v>
      </c>
      <c r="Y445" s="173" t="str">
        <f t="shared" si="398"/>
        <v>0.000</v>
      </c>
      <c r="Z445" s="173" t="str">
        <f t="shared" si="398"/>
        <v>0.000</v>
      </c>
      <c r="AA445" s="173" t="str">
        <f t="shared" si="398"/>
        <v>0.000</v>
      </c>
      <c r="AB445" s="173" t="str">
        <f t="shared" si="398"/>
        <v>0.000</v>
      </c>
      <c r="AC445" s="173" t="str">
        <f t="shared" si="398"/>
        <v>0.000</v>
      </c>
      <c r="AD445" s="173" t="str">
        <f t="shared" si="398"/>
        <v>0.000</v>
      </c>
      <c r="AE445" s="173" t="str">
        <f t="shared" si="398"/>
        <v>0.000</v>
      </c>
      <c r="AF445" s="173" t="str">
        <f t="shared" si="398"/>
        <v>0.000</v>
      </c>
      <c r="AG445" s="173" t="str">
        <f t="shared" si="398"/>
        <v>0.000</v>
      </c>
      <c r="AH445" s="173" t="str">
        <f t="shared" si="398"/>
        <v>0.000</v>
      </c>
      <c r="AI445" s="173" t="str">
        <f t="shared" si="398"/>
        <v>0.000</v>
      </c>
      <c r="AJ445" s="173" t="str">
        <f t="shared" si="398"/>
        <v>0.000</v>
      </c>
      <c r="AK445" s="173" t="str">
        <f t="shared" si="398"/>
        <v>0.000</v>
      </c>
      <c r="AL445" s="4"/>
      <c r="AM445" s="43">
        <v>429</v>
      </c>
      <c r="AN445">
        <v>16.676348824786324</v>
      </c>
      <c r="AO445">
        <v>126.74114117533038</v>
      </c>
      <c r="AP445">
        <v>822.29160383058286</v>
      </c>
      <c r="AQ445">
        <v>208.50610336368064</v>
      </c>
      <c r="AR445">
        <v>117.42828337447247</v>
      </c>
      <c r="AS445">
        <v>987.14912615045182</v>
      </c>
      <c r="AT445" t="e">
        <v>#DIV/0!</v>
      </c>
      <c r="AU445" t="e">
        <v>#DIV/0!</v>
      </c>
      <c r="AV445"/>
      <c r="AW445"/>
      <c r="FY445" s="211">
        <v>440</v>
      </c>
      <c r="FZ445">
        <v>48.99425843399797</v>
      </c>
      <c r="GA445">
        <v>46.820377626000742</v>
      </c>
      <c r="GB445">
        <v>23.798686059925029</v>
      </c>
      <c r="GC445">
        <v>1.8917875472768397</v>
      </c>
      <c r="GD445">
        <v>0.29850212800223097</v>
      </c>
      <c r="GE445">
        <v>0.21742834599041555</v>
      </c>
      <c r="GF445">
        <v>2.232564857075976</v>
      </c>
      <c r="GG445">
        <v>9.9547926650985517</v>
      </c>
      <c r="GH445">
        <v>24.805217827997517</v>
      </c>
      <c r="GI445">
        <v>42.001013571698373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8"/>
        <v>2.9556133035280256E-2</v>
      </c>
      <c r="D446" s="191">
        <f>A$410</f>
        <v>0.21</v>
      </c>
      <c r="E446" s="8"/>
      <c r="F446" s="124"/>
      <c r="G446" s="173" t="str">
        <f t="shared" si="389"/>
        <v>0.000</v>
      </c>
      <c r="H446" s="173" t="str">
        <f t="shared" ref="H446:V446" si="399">IF(H428&lt;=0, "0.000", H428)</f>
        <v>0.000</v>
      </c>
      <c r="I446" s="173">
        <f t="shared" si="399"/>
        <v>2.9556133035280256E-2</v>
      </c>
      <c r="J446" s="173" t="str">
        <f t="shared" si="399"/>
        <v>0.000</v>
      </c>
      <c r="K446" s="173" t="str">
        <f t="shared" si="399"/>
        <v>0.000</v>
      </c>
      <c r="L446" s="173" t="str">
        <f t="shared" si="399"/>
        <v>0.000</v>
      </c>
      <c r="M446" s="173" t="str">
        <f t="shared" si="399"/>
        <v>0.000</v>
      </c>
      <c r="N446" s="173" t="str">
        <f t="shared" si="399"/>
        <v>0.000</v>
      </c>
      <c r="O446" s="173" t="str">
        <f t="shared" si="399"/>
        <v>0.000</v>
      </c>
      <c r="P446" s="173" t="str">
        <f t="shared" si="399"/>
        <v>0.000</v>
      </c>
      <c r="Q446" s="173" t="str">
        <f t="shared" si="399"/>
        <v>0.000</v>
      </c>
      <c r="R446" s="173" t="str">
        <f t="shared" si="399"/>
        <v>0.000</v>
      </c>
      <c r="S446" s="173" t="str">
        <f t="shared" si="399"/>
        <v>0.000</v>
      </c>
      <c r="T446" s="173" t="str">
        <f t="shared" si="399"/>
        <v>0.000</v>
      </c>
      <c r="U446" s="173" t="str">
        <f t="shared" si="399"/>
        <v>0.000</v>
      </c>
      <c r="V446" s="173" t="str">
        <f t="shared" si="399"/>
        <v>0.000</v>
      </c>
      <c r="W446" s="173" t="str">
        <f t="shared" ref="W446:AK446" si="400">IF(W428&lt;=0, "0.000", W428)</f>
        <v>0.000</v>
      </c>
      <c r="X446" s="173" t="str">
        <f t="shared" si="400"/>
        <v>0.000</v>
      </c>
      <c r="Y446" s="173" t="str">
        <f t="shared" si="400"/>
        <v>0.000</v>
      </c>
      <c r="Z446" s="173" t="str">
        <f t="shared" si="400"/>
        <v>0.000</v>
      </c>
      <c r="AA446" s="173" t="str">
        <f t="shared" si="400"/>
        <v>0.000</v>
      </c>
      <c r="AB446" s="173" t="str">
        <f t="shared" si="400"/>
        <v>0.000</v>
      </c>
      <c r="AC446" s="173" t="str">
        <f t="shared" si="400"/>
        <v>0.000</v>
      </c>
      <c r="AD446" s="173" t="str">
        <f t="shared" si="400"/>
        <v>0.000</v>
      </c>
      <c r="AE446" s="173" t="str">
        <f t="shared" si="400"/>
        <v>0.000</v>
      </c>
      <c r="AF446" s="173" t="str">
        <f t="shared" si="400"/>
        <v>0.000</v>
      </c>
      <c r="AG446" s="173" t="str">
        <f t="shared" si="400"/>
        <v>0.000</v>
      </c>
      <c r="AH446" s="173" t="str">
        <f t="shared" si="400"/>
        <v>0.000</v>
      </c>
      <c r="AI446" s="173" t="str">
        <f t="shared" si="400"/>
        <v>0.000</v>
      </c>
      <c r="AJ446" s="173" t="str">
        <f t="shared" si="400"/>
        <v>0.000</v>
      </c>
      <c r="AK446" s="173" t="str">
        <f t="shared" si="400"/>
        <v>0.000</v>
      </c>
      <c r="AL446" s="4"/>
      <c r="AM446" s="43">
        <v>430</v>
      </c>
      <c r="AN446">
        <v>14.78772702991453</v>
      </c>
      <c r="AO446">
        <v>124.53097318861391</v>
      </c>
      <c r="AP446">
        <v>947.20530742100095</v>
      </c>
      <c r="AQ446">
        <v>233.20789266256978</v>
      </c>
      <c r="AR446">
        <v>115.37332856038788</v>
      </c>
      <c r="AS446">
        <v>780.07480154614836</v>
      </c>
      <c r="AT446" t="e">
        <v>#DIV/0!</v>
      </c>
      <c r="AU446" t="e">
        <v>#DIV/0!</v>
      </c>
      <c r="AV446"/>
      <c r="AW446"/>
      <c r="FY446" s="211">
        <v>441</v>
      </c>
      <c r="FZ446">
        <v>25.201307065349297</v>
      </c>
      <c r="GA446">
        <v>28.958644947608214</v>
      </c>
      <c r="GB446">
        <v>24.489049245828049</v>
      </c>
      <c r="GC446">
        <v>3.2039634432388384</v>
      </c>
      <c r="GD446">
        <v>0.52729878138709585</v>
      </c>
      <c r="GE446">
        <v>0.59317277190068629</v>
      </c>
      <c r="GF446">
        <v>2.1212062703680847</v>
      </c>
      <c r="GG446">
        <v>5.4931394541153544</v>
      </c>
      <c r="GH446">
        <v>5.582888179644657</v>
      </c>
      <c r="GI446">
        <v>32.583220052492088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8"/>
        <v>3.0544832216398929</v>
      </c>
      <c r="D447" s="191">
        <f>A$411</f>
        <v>1.28</v>
      </c>
      <c r="E447" s="8"/>
      <c r="F447" s="124"/>
      <c r="G447" s="173" t="str">
        <f t="shared" si="389"/>
        <v>0.000</v>
      </c>
      <c r="H447" s="173" t="str">
        <f t="shared" ref="H447:V447" si="401">IF(H429&lt;=0, "0.000", H429)</f>
        <v>0.000</v>
      </c>
      <c r="I447" s="173">
        <f t="shared" si="401"/>
        <v>9.8449622564086486E-2</v>
      </c>
      <c r="J447" s="173">
        <f t="shared" si="401"/>
        <v>0.46492027725060159</v>
      </c>
      <c r="K447" s="173">
        <f t="shared" si="401"/>
        <v>1.3163964868767937</v>
      </c>
      <c r="L447" s="173">
        <f t="shared" si="401"/>
        <v>0.68023871263553437</v>
      </c>
      <c r="M447" s="173">
        <f t="shared" si="401"/>
        <v>0.49447812231287674</v>
      </c>
      <c r="N447" s="173" t="str">
        <f t="shared" si="401"/>
        <v>0.000</v>
      </c>
      <c r="O447" s="173" t="str">
        <f t="shared" si="401"/>
        <v>0.000</v>
      </c>
      <c r="P447" s="173" t="str">
        <f t="shared" si="401"/>
        <v>0.000</v>
      </c>
      <c r="Q447" s="173" t="str">
        <f t="shared" si="401"/>
        <v>0.000</v>
      </c>
      <c r="R447" s="173" t="str">
        <f t="shared" si="401"/>
        <v>0.000</v>
      </c>
      <c r="S447" s="173" t="str">
        <f t="shared" si="401"/>
        <v>0.000</v>
      </c>
      <c r="T447" s="173" t="str">
        <f t="shared" si="401"/>
        <v>0.000</v>
      </c>
      <c r="U447" s="173" t="str">
        <f t="shared" si="401"/>
        <v>0.000</v>
      </c>
      <c r="V447" s="173" t="str">
        <f t="shared" si="401"/>
        <v>0.000</v>
      </c>
      <c r="W447" s="173" t="str">
        <f t="shared" ref="W447:AK447" si="402">IF(W429&lt;=0, "0.000", W429)</f>
        <v>0.000</v>
      </c>
      <c r="X447" s="173" t="str">
        <f t="shared" si="402"/>
        <v>0.000</v>
      </c>
      <c r="Y447" s="173" t="str">
        <f t="shared" si="402"/>
        <v>0.000</v>
      </c>
      <c r="Z447" s="173" t="str">
        <f t="shared" si="402"/>
        <v>0.000</v>
      </c>
      <c r="AA447" s="173" t="str">
        <f t="shared" si="402"/>
        <v>0.000</v>
      </c>
      <c r="AB447" s="173" t="str">
        <f t="shared" si="402"/>
        <v>0.000</v>
      </c>
      <c r="AC447" s="173" t="str">
        <f t="shared" si="402"/>
        <v>0.000</v>
      </c>
      <c r="AD447" s="173" t="str">
        <f t="shared" si="402"/>
        <v>0.000</v>
      </c>
      <c r="AE447" s="173" t="str">
        <f t="shared" si="402"/>
        <v>0.000</v>
      </c>
      <c r="AF447" s="173" t="str">
        <f t="shared" si="402"/>
        <v>0.000</v>
      </c>
      <c r="AG447" s="173" t="str">
        <f t="shared" si="402"/>
        <v>0.000</v>
      </c>
      <c r="AH447" s="173" t="str">
        <f t="shared" si="402"/>
        <v>0.000</v>
      </c>
      <c r="AI447" s="173" t="str">
        <f t="shared" si="402"/>
        <v>0.000</v>
      </c>
      <c r="AJ447" s="173" t="str">
        <f t="shared" si="402"/>
        <v>0.000</v>
      </c>
      <c r="AK447" s="173" t="str">
        <f t="shared" si="402"/>
        <v>0.000</v>
      </c>
      <c r="AL447" s="4"/>
      <c r="AM447" s="43">
        <v>431</v>
      </c>
      <c r="AN447">
        <v>11.845446047008545</v>
      </c>
      <c r="AO447">
        <v>95.774727900530479</v>
      </c>
      <c r="AP447">
        <v>512.93276275586413</v>
      </c>
      <c r="AQ447">
        <v>144.08229812729911</v>
      </c>
      <c r="AR447">
        <v>88.771622080070046</v>
      </c>
      <c r="AS447">
        <v>666.11900257627417</v>
      </c>
      <c r="AT447" t="e">
        <v>#DIV/0!</v>
      </c>
      <c r="AU447" t="e">
        <v>#DIV/0!</v>
      </c>
      <c r="AV447"/>
      <c r="AW447"/>
      <c r="FY447" s="211">
        <v>442</v>
      </c>
      <c r="FZ447">
        <v>25.947775082982446</v>
      </c>
      <c r="GA447">
        <v>29.786873740539278</v>
      </c>
      <c r="GB447">
        <v>33.833947101080867</v>
      </c>
      <c r="GC447">
        <v>1.2716091314849285</v>
      </c>
      <c r="GD447">
        <v>0.21724940227086764</v>
      </c>
      <c r="GE447">
        <v>0.46944603506092875</v>
      </c>
      <c r="GF447">
        <v>2.1768855637220303</v>
      </c>
      <c r="GG447">
        <v>6.7094621722347103</v>
      </c>
      <c r="GH447">
        <v>13.225583625167928</v>
      </c>
      <c r="GI447">
        <v>34.081652131490884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8"/>
        <v>8.3687969970047913</v>
      </c>
      <c r="D448" s="191">
        <f>A$412</f>
        <v>4</v>
      </c>
      <c r="E448" s="8"/>
      <c r="F448" s="124"/>
      <c r="G448" s="173" t="str">
        <f t="shared" si="389"/>
        <v>0.000</v>
      </c>
      <c r="H448" s="173" t="str">
        <f t="shared" ref="H448:V448" si="403">IF(H430&lt;=0, "0.000", H430)</f>
        <v>0.000</v>
      </c>
      <c r="I448" s="173" t="str">
        <f t="shared" si="403"/>
        <v>0.000</v>
      </c>
      <c r="J448" s="173">
        <f t="shared" si="403"/>
        <v>1.1599659172029533</v>
      </c>
      <c r="K448" s="173">
        <f t="shared" si="403"/>
        <v>5.8076718866952808</v>
      </c>
      <c r="L448" s="173">
        <f t="shared" si="403"/>
        <v>1.4011591931065577</v>
      </c>
      <c r="M448" s="173" t="str">
        <f t="shared" si="403"/>
        <v>0.000</v>
      </c>
      <c r="N448" s="173" t="str">
        <f t="shared" si="403"/>
        <v>0.000</v>
      </c>
      <c r="O448" s="173" t="str">
        <f t="shared" si="403"/>
        <v>0.000</v>
      </c>
      <c r="P448" s="173" t="str">
        <f t="shared" si="403"/>
        <v>0.000</v>
      </c>
      <c r="Q448" s="173" t="str">
        <f t="shared" si="403"/>
        <v>0.000</v>
      </c>
      <c r="R448" s="173" t="str">
        <f t="shared" si="403"/>
        <v>0.000</v>
      </c>
      <c r="S448" s="173" t="str">
        <f t="shared" si="403"/>
        <v>0.000</v>
      </c>
      <c r="T448" s="173" t="str">
        <f t="shared" si="403"/>
        <v>0.000</v>
      </c>
      <c r="U448" s="173" t="str">
        <f t="shared" si="403"/>
        <v>0.000</v>
      </c>
      <c r="V448" s="173" t="str">
        <f t="shared" si="403"/>
        <v>0.000</v>
      </c>
      <c r="W448" s="173" t="str">
        <f t="shared" ref="W448:AK448" si="404">IF(W430&lt;=0, "0.000", W430)</f>
        <v>0.000</v>
      </c>
      <c r="X448" s="173" t="str">
        <f t="shared" si="404"/>
        <v>0.000</v>
      </c>
      <c r="Y448" s="173" t="str">
        <f t="shared" si="404"/>
        <v>0.000</v>
      </c>
      <c r="Z448" s="173" t="str">
        <f t="shared" si="404"/>
        <v>0.000</v>
      </c>
      <c r="AA448" s="173" t="str">
        <f t="shared" si="404"/>
        <v>0.000</v>
      </c>
      <c r="AB448" s="173" t="str">
        <f t="shared" si="404"/>
        <v>0.000</v>
      </c>
      <c r="AC448" s="173" t="str">
        <f t="shared" si="404"/>
        <v>0.000</v>
      </c>
      <c r="AD448" s="173" t="str">
        <f t="shared" si="404"/>
        <v>0.000</v>
      </c>
      <c r="AE448" s="173" t="str">
        <f t="shared" si="404"/>
        <v>0.000</v>
      </c>
      <c r="AF448" s="173" t="str">
        <f t="shared" si="404"/>
        <v>0.000</v>
      </c>
      <c r="AG448" s="173" t="str">
        <f t="shared" si="404"/>
        <v>0.000</v>
      </c>
      <c r="AH448" s="173" t="str">
        <f t="shared" si="404"/>
        <v>0.000</v>
      </c>
      <c r="AI448" s="173" t="str">
        <f t="shared" si="404"/>
        <v>0.000</v>
      </c>
      <c r="AJ448" s="173" t="str">
        <f t="shared" si="404"/>
        <v>0.000</v>
      </c>
      <c r="AK448" s="173" t="str">
        <f t="shared" si="404"/>
        <v>0.000</v>
      </c>
      <c r="AL448" s="4"/>
      <c r="AM448" s="43">
        <v>432</v>
      </c>
      <c r="AN448">
        <v>13.536939102564101</v>
      </c>
      <c r="AO448">
        <v>65.258833761445871</v>
      </c>
      <c r="AP448">
        <v>674.03707042933058</v>
      </c>
      <c r="AQ448">
        <v>295.05532578291854</v>
      </c>
      <c r="AR448">
        <v>60.712539159408784</v>
      </c>
      <c r="AS448">
        <v>373.83995943310788</v>
      </c>
      <c r="AT448" t="e">
        <v>#DIV/0!</v>
      </c>
      <c r="AU448" t="e">
        <v>#DIV/0!</v>
      </c>
      <c r="AV448"/>
      <c r="AW448"/>
      <c r="FY448" s="211">
        <v>443</v>
      </c>
      <c r="FZ448">
        <v>22.482201283784413</v>
      </c>
      <c r="GA448">
        <v>25.903563715767845</v>
      </c>
      <c r="GB448">
        <v>14.907130894291319</v>
      </c>
      <c r="GC448">
        <v>0.96239310228552277</v>
      </c>
      <c r="GD448">
        <v>0.11617579102894351</v>
      </c>
      <c r="GE448">
        <v>9.3701609150658172E-2</v>
      </c>
      <c r="GF448">
        <v>1.929646502565592</v>
      </c>
      <c r="GG448">
        <v>1.6029780238536757</v>
      </c>
      <c r="GH448">
        <v>8.0565532890635385</v>
      </c>
      <c r="GI448">
        <v>18.669584489557614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8"/>
        <v>9.1973069806361583</v>
      </c>
      <c r="D449" s="191">
        <f>A$413</f>
        <v>7.33</v>
      </c>
      <c r="E449" s="8"/>
      <c r="F449" s="124"/>
      <c r="G449" s="173" t="str">
        <f t="shared" si="389"/>
        <v>0.000</v>
      </c>
      <c r="H449" s="173" t="str">
        <f t="shared" ref="H449:V449" si="405">IF(H431&lt;=0, "0.000", H431)</f>
        <v>0.000</v>
      </c>
      <c r="I449" s="173" t="str">
        <f t="shared" si="405"/>
        <v>0.000</v>
      </c>
      <c r="J449" s="173">
        <f t="shared" si="405"/>
        <v>0.66631274389199535</v>
      </c>
      <c r="K449" s="173">
        <f t="shared" si="405"/>
        <v>5.8962121141990114</v>
      </c>
      <c r="L449" s="173">
        <f t="shared" si="405"/>
        <v>2.6347821225451518</v>
      </c>
      <c r="M449" s="173" t="str">
        <f t="shared" si="405"/>
        <v>0.000</v>
      </c>
      <c r="N449" s="173" t="str">
        <f t="shared" si="405"/>
        <v>0.000</v>
      </c>
      <c r="O449" s="173" t="str">
        <f t="shared" si="405"/>
        <v>0.000</v>
      </c>
      <c r="P449" s="173" t="str">
        <f t="shared" si="405"/>
        <v>0.000</v>
      </c>
      <c r="Q449" s="173" t="str">
        <f t="shared" si="405"/>
        <v>0.000</v>
      </c>
      <c r="R449" s="173" t="str">
        <f t="shared" si="405"/>
        <v>0.000</v>
      </c>
      <c r="S449" s="173" t="str">
        <f t="shared" si="405"/>
        <v>0.000</v>
      </c>
      <c r="T449" s="173" t="str">
        <f t="shared" si="405"/>
        <v>0.000</v>
      </c>
      <c r="U449" s="173" t="str">
        <f t="shared" si="405"/>
        <v>0.000</v>
      </c>
      <c r="V449" s="173" t="str">
        <f t="shared" si="405"/>
        <v>0.000</v>
      </c>
      <c r="W449" s="173" t="str">
        <f t="shared" ref="W449:AK449" si="406">IF(W431&lt;=0, "0.000", W431)</f>
        <v>0.000</v>
      </c>
      <c r="X449" s="173" t="str">
        <f t="shared" si="406"/>
        <v>0.000</v>
      </c>
      <c r="Y449" s="173" t="str">
        <f t="shared" si="406"/>
        <v>0.000</v>
      </c>
      <c r="Z449" s="173" t="str">
        <f t="shared" si="406"/>
        <v>0.000</v>
      </c>
      <c r="AA449" s="173" t="str">
        <f t="shared" si="406"/>
        <v>0.000</v>
      </c>
      <c r="AB449" s="173" t="str">
        <f t="shared" si="406"/>
        <v>0.000</v>
      </c>
      <c r="AC449" s="173" t="str">
        <f t="shared" si="406"/>
        <v>0.000</v>
      </c>
      <c r="AD449" s="173" t="str">
        <f t="shared" si="406"/>
        <v>0.000</v>
      </c>
      <c r="AE449" s="173" t="str">
        <f t="shared" si="406"/>
        <v>0.000</v>
      </c>
      <c r="AF449" s="173" t="str">
        <f t="shared" si="406"/>
        <v>0.000</v>
      </c>
      <c r="AG449" s="173" t="str">
        <f t="shared" si="406"/>
        <v>0.000</v>
      </c>
      <c r="AH449" s="173" t="str">
        <f t="shared" si="406"/>
        <v>0.000</v>
      </c>
      <c r="AI449" s="173" t="str">
        <f t="shared" si="406"/>
        <v>0.000</v>
      </c>
      <c r="AJ449" s="173" t="str">
        <f t="shared" si="406"/>
        <v>0.000</v>
      </c>
      <c r="AK449" s="173" t="str">
        <f t="shared" si="406"/>
        <v>0.000</v>
      </c>
      <c r="AL449" s="4"/>
      <c r="AM449" s="43">
        <v>433</v>
      </c>
      <c r="AN449">
        <v>12.394230769230768</v>
      </c>
      <c r="AO449">
        <v>75.922613168361934</v>
      </c>
      <c r="AP449">
        <v>490.80852626642542</v>
      </c>
      <c r="AQ449">
        <v>128.0740097470661</v>
      </c>
      <c r="AR449">
        <v>70.3634334541957</v>
      </c>
      <c r="AS449">
        <v>415.57892906717649</v>
      </c>
      <c r="AT449" t="e">
        <v>#DIV/0!</v>
      </c>
      <c r="AU449" t="e">
        <v>#DIV/0!</v>
      </c>
      <c r="AV449"/>
      <c r="AW449"/>
      <c r="FY449" s="211">
        <v>444</v>
      </c>
      <c r="FZ449">
        <v>25.676793959531892</v>
      </c>
      <c r="GA449">
        <v>29.498461261192389</v>
      </c>
      <c r="GB449">
        <v>48.342512468769002</v>
      </c>
      <c r="GC449">
        <v>2.1841933651979302</v>
      </c>
      <c r="GD449">
        <v>0.25203181159065347</v>
      </c>
      <c r="GE449">
        <v>0.26118636301724629</v>
      </c>
      <c r="GF449">
        <v>1.5896077683657179</v>
      </c>
      <c r="GG449">
        <v>11.042635709147113</v>
      </c>
      <c r="GH449">
        <v>22.422890605804085</v>
      </c>
      <c r="GI449">
        <v>47.866546627205388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8"/>
        <v>48.642041929994399</v>
      </c>
      <c r="D450" s="191">
        <f>A$414</f>
        <v>10.51</v>
      </c>
      <c r="E450" s="8"/>
      <c r="F450" s="124"/>
      <c r="G450" s="173" t="str">
        <f t="shared" si="389"/>
        <v>0.000</v>
      </c>
      <c r="H450" s="173" t="str">
        <f t="shared" ref="H450:V450" si="407">IF(H432&lt;=0, "0.000", H432)</f>
        <v>0.000</v>
      </c>
      <c r="I450" s="173">
        <f t="shared" si="407"/>
        <v>0.15881241926983747</v>
      </c>
      <c r="J450" s="173">
        <f t="shared" si="407"/>
        <v>1.6673392572737131</v>
      </c>
      <c r="K450" s="173">
        <f t="shared" si="407"/>
        <v>2.398427077849993</v>
      </c>
      <c r="L450" s="173">
        <f t="shared" si="407"/>
        <v>7.9715342069610085</v>
      </c>
      <c r="M450" s="173">
        <f t="shared" si="407"/>
        <v>4.2260223130711569</v>
      </c>
      <c r="N450" s="173">
        <f t="shared" si="407"/>
        <v>24.034124639001384</v>
      </c>
      <c r="O450" s="173">
        <f t="shared" si="407"/>
        <v>8.185782016567309</v>
      </c>
      <c r="P450" s="173" t="str">
        <f t="shared" si="407"/>
        <v>0.000</v>
      </c>
      <c r="Q450" s="173" t="str">
        <f t="shared" si="407"/>
        <v>0.000</v>
      </c>
      <c r="R450" s="173" t="str">
        <f t="shared" si="407"/>
        <v>0.000</v>
      </c>
      <c r="S450" s="173" t="str">
        <f t="shared" si="407"/>
        <v>0.000</v>
      </c>
      <c r="T450" s="173" t="str">
        <f t="shared" si="407"/>
        <v>0.000</v>
      </c>
      <c r="U450" s="173" t="str">
        <f t="shared" si="407"/>
        <v>0.000</v>
      </c>
      <c r="V450" s="173" t="str">
        <f t="shared" si="407"/>
        <v>0.000</v>
      </c>
      <c r="W450" s="173" t="str">
        <f t="shared" ref="W450:AK450" si="408">IF(W432&lt;=0, "0.000", W432)</f>
        <v>0.000</v>
      </c>
      <c r="X450" s="173" t="str">
        <f t="shared" si="408"/>
        <v>0.000</v>
      </c>
      <c r="Y450" s="173" t="str">
        <f t="shared" si="408"/>
        <v>0.000</v>
      </c>
      <c r="Z450" s="173" t="str">
        <f t="shared" si="408"/>
        <v>0.000</v>
      </c>
      <c r="AA450" s="173" t="str">
        <f t="shared" si="408"/>
        <v>0.000</v>
      </c>
      <c r="AB450" s="173" t="str">
        <f t="shared" si="408"/>
        <v>0.000</v>
      </c>
      <c r="AC450" s="173" t="str">
        <f t="shared" si="408"/>
        <v>0.000</v>
      </c>
      <c r="AD450" s="173" t="str">
        <f t="shared" si="408"/>
        <v>0.000</v>
      </c>
      <c r="AE450" s="173" t="str">
        <f t="shared" si="408"/>
        <v>0.000</v>
      </c>
      <c r="AF450" s="173" t="str">
        <f t="shared" si="408"/>
        <v>0.000</v>
      </c>
      <c r="AG450" s="173" t="str">
        <f t="shared" si="408"/>
        <v>0.000</v>
      </c>
      <c r="AH450" s="173" t="str">
        <f t="shared" si="408"/>
        <v>0.000</v>
      </c>
      <c r="AI450" s="173" t="str">
        <f t="shared" si="408"/>
        <v>0.000</v>
      </c>
      <c r="AJ450" s="173" t="str">
        <f t="shared" si="408"/>
        <v>0.000</v>
      </c>
      <c r="AK450" s="173" t="str">
        <f t="shared" si="408"/>
        <v>0.000</v>
      </c>
      <c r="AL450" s="4"/>
      <c r="AM450" s="43">
        <v>434</v>
      </c>
      <c r="AN450">
        <v>13.365411324786322</v>
      </c>
      <c r="AO450">
        <v>60.768261848886709</v>
      </c>
      <c r="AP450">
        <v>417.47087220655101</v>
      </c>
      <c r="AQ450">
        <v>224.14148380237663</v>
      </c>
      <c r="AR450">
        <v>56.269112326413065</v>
      </c>
      <c r="AS450">
        <v>489.82712485462616</v>
      </c>
      <c r="AT450" t="e">
        <v>#DIV/0!</v>
      </c>
      <c r="AU450" t="e">
        <v>#DIV/0!</v>
      </c>
      <c r="AV450"/>
      <c r="AW450"/>
      <c r="FY450" s="211">
        <v>445</v>
      </c>
      <c r="FZ450">
        <v>62.843655478905156</v>
      </c>
      <c r="GA450">
        <v>71.209542069138223</v>
      </c>
      <c r="GB450">
        <v>37.257656588377948</v>
      </c>
      <c r="GC450">
        <v>1.635734740465997</v>
      </c>
      <c r="GD450">
        <v>0.28695487688823373</v>
      </c>
      <c r="GE450">
        <v>0.6960430549980775</v>
      </c>
      <c r="GF450">
        <v>3.5823468709532857</v>
      </c>
      <c r="GG450">
        <v>2.3762886353223109</v>
      </c>
      <c r="GH450">
        <v>4.0282766445317693</v>
      </c>
      <c r="GI450">
        <v>40.798926249030515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17.502083333333335</v>
      </c>
      <c r="AO451">
        <v>63.538090831432498</v>
      </c>
      <c r="AP451">
        <v>457.14163065798749</v>
      </c>
      <c r="AQ451">
        <v>240.54439322322867</v>
      </c>
      <c r="AR451">
        <v>59.025704897252929</v>
      </c>
      <c r="AS451">
        <v>631.35988721952333</v>
      </c>
      <c r="AT451" t="e">
        <v>#DIV/0!</v>
      </c>
      <c r="AU451" t="e">
        <v>#DIV/0!</v>
      </c>
      <c r="AV451"/>
      <c r="AW451"/>
      <c r="FY451" s="211">
        <v>446</v>
      </c>
      <c r="FZ451">
        <v>37.844250767306782</v>
      </c>
      <c r="GA451">
        <v>44.754725460358699</v>
      </c>
      <c r="GB451">
        <v>38.393662939365989</v>
      </c>
      <c r="GC451">
        <v>3.8283517339357251</v>
      </c>
      <c r="GD451">
        <v>0.50135263037505062</v>
      </c>
      <c r="GE451">
        <v>0.7601885311134553</v>
      </c>
      <c r="GF451">
        <v>2.2137074874931519</v>
      </c>
      <c r="GG451">
        <v>2.0459901305043982</v>
      </c>
      <c r="GH451">
        <v>7.6426954455232705</v>
      </c>
      <c r="GI451">
        <v>35.841456415831523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11.19193376068376</v>
      </c>
      <c r="AO452">
        <v>56.705314038265669</v>
      </c>
      <c r="AP452">
        <v>392.78110750684732</v>
      </c>
      <c r="AQ452">
        <v>177.63386728962399</v>
      </c>
      <c r="AR452">
        <v>52.602313519573059</v>
      </c>
      <c r="AS452">
        <v>277.97956804365379</v>
      </c>
      <c r="AT452" t="e">
        <v>#DIV/0!</v>
      </c>
      <c r="AU452" t="e">
        <v>#DIV/0!</v>
      </c>
      <c r="AV452"/>
      <c r="AW452"/>
      <c r="FY452" s="211">
        <v>447</v>
      </c>
      <c r="FZ452">
        <v>72.411931937281523</v>
      </c>
      <c r="GA452">
        <v>73.686033430197853</v>
      </c>
      <c r="GB452">
        <v>69.819245300158755</v>
      </c>
      <c r="GC452">
        <v>1.7656122771609994</v>
      </c>
      <c r="GD452">
        <v>0.219960395077124</v>
      </c>
      <c r="GE452">
        <v>0.50817084204294227</v>
      </c>
      <c r="GF452">
        <v>3.17310588705663</v>
      </c>
      <c r="GG452">
        <v>8.9402887777263089</v>
      </c>
      <c r="GH452">
        <v>18.808471804812587</v>
      </c>
      <c r="GI452">
        <v>64.670547771710133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254.32984601190179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16.013501602564101</v>
      </c>
      <c r="AO453">
        <v>105.81761432897761</v>
      </c>
      <c r="AP453">
        <v>704.24830942891185</v>
      </c>
      <c r="AQ453">
        <v>206.59068733488226</v>
      </c>
      <c r="AR453">
        <v>98.075388449678869</v>
      </c>
      <c r="AS453">
        <v>891.22770076747815</v>
      </c>
      <c r="AT453" t="e">
        <v>#DIV/0!</v>
      </c>
      <c r="AU453" t="e">
        <v>#DIV/0!</v>
      </c>
      <c r="AV453"/>
      <c r="AW453"/>
      <c r="FY453" s="211">
        <v>448</v>
      </c>
      <c r="FZ453">
        <v>20.831391305769973</v>
      </c>
      <c r="GA453">
        <v>24.222468058963813</v>
      </c>
      <c r="GB453">
        <v>36.538705499139624</v>
      </c>
      <c r="GC453">
        <v>2.0560749211026441</v>
      </c>
      <c r="GD453">
        <v>0.16535710024677738</v>
      </c>
      <c r="GE453">
        <v>0.25201768907051325</v>
      </c>
      <c r="GF453">
        <v>1.2066374607199166</v>
      </c>
      <c r="GG453">
        <v>13.032269038735105</v>
      </c>
      <c r="GH453">
        <v>30.065586051327358</v>
      </c>
      <c r="GI453">
        <v>42.606023365425699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12.223918269230769</v>
      </c>
      <c r="AO454">
        <v>102.27885068611559</v>
      </c>
      <c r="AP454">
        <v>783.19943055204715</v>
      </c>
      <c r="AQ454">
        <v>181.47398289935228</v>
      </c>
      <c r="AR454">
        <v>94.968282581126644</v>
      </c>
      <c r="AS454">
        <v>555.58465279708571</v>
      </c>
      <c r="AT454" t="e">
        <v>#DIV/0!</v>
      </c>
      <c r="AU454" t="e">
        <v>#DIV/0!</v>
      </c>
      <c r="AV454"/>
      <c r="AW454"/>
      <c r="FY454" s="211">
        <v>449</v>
      </c>
      <c r="FZ454">
        <v>37.964176199473151</v>
      </c>
      <c r="GA454">
        <v>37.077699038211151</v>
      </c>
      <c r="GB454">
        <v>11.857202734594598</v>
      </c>
      <c r="GC454">
        <v>1.6009581527334409</v>
      </c>
      <c r="GD454">
        <v>0.3736295882321099</v>
      </c>
      <c r="GE454">
        <v>0.71024493898962793</v>
      </c>
      <c r="GF454">
        <v>2.9285400788043927</v>
      </c>
      <c r="GG454">
        <v>2.3762886353223109</v>
      </c>
      <c r="GH454">
        <v>4.0282766445317693</v>
      </c>
      <c r="GI454">
        <v>22.049160807949711</v>
      </c>
      <c r="GJ454"/>
      <c r="GK454"/>
      <c r="GL454"/>
      <c r="GM454"/>
    </row>
    <row r="455" spans="1:195" s="7" customFormat="1" ht="15.75">
      <c r="A455" s="1">
        <v>-1.8893E-2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8"/>
      <c r="P455" s="228"/>
      <c r="Q455" s="228"/>
      <c r="R455" s="228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12.756904380341879</v>
      </c>
      <c r="AO455">
        <v>130.56873480675225</v>
      </c>
      <c r="AP455">
        <v>821.06177796336215</v>
      </c>
      <c r="AQ455">
        <v>194.23195628938262</v>
      </c>
      <c r="AR455">
        <v>121.03561152739194</v>
      </c>
      <c r="AS455">
        <v>695.0057046727793</v>
      </c>
      <c r="AT455" t="e">
        <v>#DIV/0!</v>
      </c>
      <c r="AU455" t="e">
        <v>#DIV/0!</v>
      </c>
      <c r="AV455"/>
      <c r="AW455"/>
      <c r="FY455" s="211">
        <v>450</v>
      </c>
      <c r="FZ455">
        <v>25.081381633182936</v>
      </c>
      <c r="GA455">
        <v>30.704696160865623</v>
      </c>
      <c r="GB455">
        <v>48.76181879495995</v>
      </c>
      <c r="GC455">
        <v>2.9992172229486935</v>
      </c>
      <c r="GD455">
        <v>0.2287966533848648</v>
      </c>
      <c r="GE455">
        <v>9.3701609150658172E-2</v>
      </c>
      <c r="GF455">
        <v>3.2982858860257269</v>
      </c>
      <c r="GG455">
        <v>10.100254694929262</v>
      </c>
      <c r="GH455">
        <v>15.194053003821082</v>
      </c>
      <c r="GI455">
        <v>45.335259359393589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12.093883547008549</v>
      </c>
      <c r="AO456">
        <v>77.339491987922344</v>
      </c>
      <c r="AP456">
        <v>366.77032398377327</v>
      </c>
      <c r="AQ456">
        <v>201.01462906306364</v>
      </c>
      <c r="AR456">
        <v>71.698841563779496</v>
      </c>
      <c r="AS456">
        <v>742.92754727115096</v>
      </c>
      <c r="AT456" t="e">
        <v>#DIV/0!</v>
      </c>
      <c r="AU456" t="e">
        <v>#DIV/0!</v>
      </c>
      <c r="AV456"/>
      <c r="AW456"/>
      <c r="FY456" s="211">
        <v>451</v>
      </c>
      <c r="FZ456">
        <v>33.632208950475615</v>
      </c>
      <c r="GA456">
        <v>34.536252120698116</v>
      </c>
      <c r="GB456">
        <v>38.97296502702153</v>
      </c>
      <c r="GC456">
        <v>3.4149374636227003</v>
      </c>
      <c r="GD456">
        <v>0.45488231396347323</v>
      </c>
      <c r="GE456">
        <v>0.31616316518589116</v>
      </c>
      <c r="GF456">
        <v>0</v>
      </c>
      <c r="GG456">
        <v>5.1064841483810355</v>
      </c>
      <c r="GH456">
        <v>9.1973069806361583</v>
      </c>
      <c r="GI456">
        <v>34.512379558465661</v>
      </c>
      <c r="GJ456"/>
      <c r="GK456"/>
      <c r="GL456"/>
      <c r="GM456"/>
    </row>
    <row r="457" spans="1:195" s="7" customFormat="1">
      <c r="A457" s="1">
        <v>1.9335000000000001E-2</v>
      </c>
      <c r="B457" s="4"/>
      <c r="C457" s="100">
        <v>0.5</v>
      </c>
      <c r="D457" s="101">
        <f>SUM($E$228:$E$347)/$A$438</f>
        <v>0</v>
      </c>
      <c r="E457" s="97">
        <f>+G36</f>
        <v>1.2734867971584251E-3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10.696314102564102</v>
      </c>
      <c r="AO457">
        <v>100.97323804160533</v>
      </c>
      <c r="AP457">
        <v>730.5227674774768</v>
      </c>
      <c r="AQ457">
        <v>128.75389021193237</v>
      </c>
      <c r="AR457">
        <v>93.638854344056298</v>
      </c>
      <c r="AS457">
        <v>453.24303085732208</v>
      </c>
      <c r="AT457" t="e">
        <v>#DIV/0!</v>
      </c>
      <c r="AU457" t="e">
        <v>#DIV/0!</v>
      </c>
      <c r="AV457"/>
      <c r="AW457"/>
      <c r="FY457" s="211">
        <v>452</v>
      </c>
      <c r="FZ457">
        <v>43.946953426485138</v>
      </c>
      <c r="GA457">
        <v>45.183551637299644</v>
      </c>
      <c r="GB457">
        <v>80.07162812079946</v>
      </c>
      <c r="GC457">
        <v>1.9793684394782707</v>
      </c>
      <c r="GD457">
        <v>0.15638018596124226</v>
      </c>
      <c r="GE457">
        <v>2.9556133035280256E-2</v>
      </c>
      <c r="GF457">
        <v>1.4647262253149904</v>
      </c>
      <c r="GG457">
        <v>6.9506554481383152</v>
      </c>
      <c r="GH457">
        <v>15.194053003821082</v>
      </c>
      <c r="GI457">
        <v>63.979270869892297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3.4713006201939258E-3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11.238675213675215</v>
      </c>
      <c r="AO458">
        <v>115.39540351338084</v>
      </c>
      <c r="AP458">
        <v>591.3934334735427</v>
      </c>
      <c r="AQ458">
        <v>147.72048398603485</v>
      </c>
      <c r="AR458">
        <v>107.00932893593736</v>
      </c>
      <c r="AS458">
        <v>923.94910428019398</v>
      </c>
      <c r="AT458" t="e">
        <v>#DIV/0!</v>
      </c>
      <c r="AU458" t="e">
        <v>#DIV/0!</v>
      </c>
      <c r="AV458"/>
      <c r="AW458"/>
      <c r="FY458" s="211">
        <v>453</v>
      </c>
      <c r="FZ458">
        <v>39.577037666905802</v>
      </c>
      <c r="GA458">
        <v>48.001974454732064</v>
      </c>
      <c r="GB458">
        <v>21.69831571262273</v>
      </c>
      <c r="GC458">
        <v>2.9629429172679607</v>
      </c>
      <c r="GD458">
        <v>0.22608566057860841</v>
      </c>
      <c r="GE458">
        <v>2.9556133035280256E-2</v>
      </c>
      <c r="GF458">
        <v>1.7119652864714288</v>
      </c>
      <c r="GG458">
        <v>2.8756575428894382</v>
      </c>
      <c r="GH458">
        <v>3.6144188009915013</v>
      </c>
      <c r="GI458">
        <v>25.99653858010409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9.4621538461538458E-3</v>
      </c>
      <c r="F459" s="102">
        <f>+D459-D461</f>
        <v>-0.42517006802721086</v>
      </c>
      <c r="G459" s="101">
        <f>+D459*E459</f>
        <v>0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7.5953125000000004</v>
      </c>
      <c r="AO459">
        <v>114.08835052303782</v>
      </c>
      <c r="AP459">
        <v>864.95031894609156</v>
      </c>
      <c r="AQ459">
        <v>94.723928701349109</v>
      </c>
      <c r="AR459">
        <v>105.92329170628642</v>
      </c>
      <c r="AS459">
        <v>1008.5469863750128</v>
      </c>
      <c r="AT459" t="e">
        <v>#DIV/0!</v>
      </c>
      <c r="AU459" t="e">
        <v>#DIV/0!</v>
      </c>
      <c r="AV459"/>
      <c r="AW459"/>
      <c r="FY459" s="211">
        <v>454</v>
      </c>
      <c r="FZ459">
        <v>42.960634544519252</v>
      </c>
      <c r="GA459">
        <v>46.011780430230687</v>
      </c>
      <c r="GB459">
        <v>36.761662486411993</v>
      </c>
      <c r="GC459">
        <v>1.9167459405694653</v>
      </c>
      <c r="GD459">
        <v>9.2940632823154845E-2</v>
      </c>
      <c r="GE459">
        <v>0.65526813682098306</v>
      </c>
      <c r="GF459">
        <v>2.4339127285323316</v>
      </c>
      <c r="GG459">
        <v>8.9402887777263089</v>
      </c>
      <c r="GH459">
        <v>18.808471804812587</v>
      </c>
      <c r="GI459">
        <v>37.225452135795067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2.5792164149494562E-2</v>
      </c>
      <c r="I460" s="101">
        <f>+H460*F459</f>
        <v>-1.0966056186009591E-2</v>
      </c>
      <c r="J460" s="101">
        <f>+I460*$A$440</f>
        <v>-0.30704957320826853</v>
      </c>
      <c r="K460" s="61">
        <f>IF(AND(J460&lt;0, J458&lt;0), 0, J460)</f>
        <v>-0.30704957320826853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15.304513888888888</v>
      </c>
      <c r="AO460">
        <v>146.93285107951257</v>
      </c>
      <c r="AP460">
        <v>1161.9007963021463</v>
      </c>
      <c r="AQ460">
        <v>189.13685993982145</v>
      </c>
      <c r="AR460">
        <v>136.28073370665683</v>
      </c>
      <c r="AS460">
        <v>1098.3427209406884</v>
      </c>
      <c r="AT460" t="e">
        <v>#DIV/0!</v>
      </c>
      <c r="AU460" t="e">
        <v>#DIV/0!</v>
      </c>
      <c r="AV460"/>
      <c r="AW460"/>
      <c r="FY460" s="211">
        <v>455</v>
      </c>
      <c r="FZ460">
        <v>52.52891100289564</v>
      </c>
      <c r="GA460">
        <v>54.419247000180512</v>
      </c>
      <c r="GB460">
        <v>34.024298751887386</v>
      </c>
      <c r="GC460">
        <v>2.5947467881480311</v>
      </c>
      <c r="GD460">
        <v>0.20013950956656326</v>
      </c>
      <c r="GE460">
        <v>0.12325774218593843</v>
      </c>
      <c r="GF460">
        <v>2.9260160538593762</v>
      </c>
      <c r="GG460">
        <v>9.5287629142077463</v>
      </c>
      <c r="GH460">
        <v>20.868279070691202</v>
      </c>
      <c r="GI460">
        <v>41.757642013445661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0.42517006802721086</v>
      </c>
      <c r="E461" s="97">
        <f>+I36</f>
        <v>7.0304894882350283E-2</v>
      </c>
      <c r="F461" s="102">
        <f>+D461-D463</f>
        <v>-1.0629251700680273</v>
      </c>
      <c r="G461" s="101">
        <f>+D461*E461</f>
        <v>2.9891536939774779E-2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14.335550213675214</v>
      </c>
      <c r="AO461">
        <v>120.74716858726761</v>
      </c>
      <c r="AP461">
        <v>880.40543323328063</v>
      </c>
      <c r="AQ461">
        <v>224.71542520861152</v>
      </c>
      <c r="AR461">
        <v>112.02279666522311</v>
      </c>
      <c r="AS461">
        <v>845.8187489284328</v>
      </c>
      <c r="AT461" t="e">
        <v>#DIV/0!</v>
      </c>
      <c r="AU461" t="e">
        <v>#DIV/0!</v>
      </c>
      <c r="AV461"/>
      <c r="AW461"/>
      <c r="FY461" s="211">
        <v>456</v>
      </c>
      <c r="FZ461">
        <v>59.038021786556939</v>
      </c>
      <c r="GA461">
        <v>61.062574688026814</v>
      </c>
      <c r="GB461">
        <v>62.356776809397175</v>
      </c>
      <c r="GC461">
        <v>2.8333534257451984</v>
      </c>
      <c r="GD461">
        <v>0.52458778858083932</v>
      </c>
      <c r="GE461">
        <v>0.89308394189994589</v>
      </c>
      <c r="GF461">
        <v>4.2682355331094719</v>
      </c>
      <c r="GG461">
        <v>4.6634720417303139</v>
      </c>
      <c r="GH461">
        <v>13.639441468708196</v>
      </c>
      <c r="GI461">
        <v>67.933820120735191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0.12639661203251604</v>
      </c>
      <c r="I462" s="101">
        <f>+H462*F461</f>
        <v>-0.13435014034068457</v>
      </c>
      <c r="J462" s="101">
        <f>+I462*$A$440</f>
        <v>-3.7618039295391679</v>
      </c>
      <c r="K462" s="61">
        <f>IF(AND(J462&lt;0, J460&lt;0), 0, J462)</f>
        <v>0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12.723050213675211</v>
      </c>
      <c r="AO462">
        <v>117.15335332562729</v>
      </c>
      <c r="AP462">
        <v>945.49739748003265</v>
      </c>
      <c r="AQ462">
        <v>173.82638154180802</v>
      </c>
      <c r="AR462">
        <v>108.68901627409109</v>
      </c>
      <c r="AS462">
        <v>508.05821150952511</v>
      </c>
      <c r="AT462" t="e">
        <v>#DIV/0!</v>
      </c>
      <c r="AU462" t="e">
        <v>#DIV/0!</v>
      </c>
      <c r="AV462"/>
      <c r="AW462"/>
      <c r="FY462" s="211">
        <v>457</v>
      </c>
      <c r="FZ462">
        <v>44.098009117769323</v>
      </c>
      <c r="GA462">
        <v>50.889305011209331</v>
      </c>
      <c r="GB462">
        <v>36.257346338109436</v>
      </c>
      <c r="GC462">
        <v>3.2690453691474346</v>
      </c>
      <c r="GD462">
        <v>0.53071305408232361</v>
      </c>
      <c r="GE462">
        <v>0.15784708526603611</v>
      </c>
      <c r="GF462">
        <v>1.4647262253149904</v>
      </c>
      <c r="GG462">
        <v>7.9821416912704741</v>
      </c>
      <c r="GH462">
        <v>24.896555715222974</v>
      </c>
      <c r="GI462">
        <v>48.876348893278916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1.4880952380952381</v>
      </c>
      <c r="E463" s="97">
        <f>+J36</f>
        <v>0.22724027338399597</v>
      </c>
      <c r="F463" s="102">
        <f>+D463-D465</f>
        <v>0.53146258503401378</v>
      </c>
      <c r="G463" s="101">
        <f>+D463*E463</f>
        <v>0.33815516872618451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18.241666666666667</v>
      </c>
      <c r="AO463">
        <v>142.06086788492448</v>
      </c>
      <c r="AP463">
        <v>824.97512359881694</v>
      </c>
      <c r="AQ463">
        <v>314.00336842322486</v>
      </c>
      <c r="AR463">
        <v>131.70458406657022</v>
      </c>
      <c r="AS463">
        <v>1064.1074941836321</v>
      </c>
      <c r="AT463" t="e">
        <v>#DIV/0!</v>
      </c>
      <c r="AU463" t="e">
        <v>#DIV/0!</v>
      </c>
      <c r="AV463"/>
      <c r="AW463"/>
      <c r="FY463" s="211">
        <v>458</v>
      </c>
      <c r="FZ463">
        <v>37.693195076022597</v>
      </c>
      <c r="GA463">
        <v>36.789286558864262</v>
      </c>
      <c r="GB463">
        <v>64.451291373106898</v>
      </c>
      <c r="GC463">
        <v>1.0227096308333472</v>
      </c>
      <c r="GD463">
        <v>0.219960395077124</v>
      </c>
      <c r="GE463">
        <v>0.76982619971400745</v>
      </c>
      <c r="GF463">
        <v>2.6551795693562839</v>
      </c>
      <c r="GG463">
        <v>20.812591899258464</v>
      </c>
      <c r="GH463">
        <v>37.203085766084904</v>
      </c>
      <c r="GI463">
        <v>58.313125801006564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0.3445348932693339</v>
      </c>
      <c r="I464" s="101">
        <f>+H464*F463</f>
        <v>0.18310740501133824</v>
      </c>
      <c r="J464" s="101">
        <f>+I464*$A$440</f>
        <v>5.127007340317471</v>
      </c>
      <c r="K464" s="61">
        <f>IF(AND(J464&lt;0, J462&lt;0), 0, J464)</f>
        <v>5.127007340317471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11.398838141025644</v>
      </c>
      <c r="AO464">
        <v>92.429298766976714</v>
      </c>
      <c r="AP464">
        <v>564.68231566199745</v>
      </c>
      <c r="AQ464">
        <v>170.97653049050143</v>
      </c>
      <c r="AR464">
        <v>85.77001603248948</v>
      </c>
      <c r="AS464">
        <v>457.58684616162077</v>
      </c>
      <c r="AT464" t="e">
        <v>#DIV/0!</v>
      </c>
      <c r="AU464" t="e">
        <v>#DIV/0!</v>
      </c>
      <c r="AV464"/>
      <c r="AW464"/>
      <c r="FY464" s="211">
        <v>459</v>
      </c>
      <c r="FZ464">
        <v>37.964176199473151</v>
      </c>
      <c r="GA464">
        <v>38.913343878863856</v>
      </c>
      <c r="GB464">
        <v>9.1981478689782747</v>
      </c>
      <c r="GC464">
        <v>2.1259294316002251</v>
      </c>
      <c r="GD464">
        <v>0.27526696979644222</v>
      </c>
      <c r="GE464">
        <v>0.31112995514107378</v>
      </c>
      <c r="GF464">
        <v>1.5573766703992418</v>
      </c>
      <c r="GG464">
        <v>6.1209880357532764</v>
      </c>
      <c r="GH464">
        <v>15.194053003821082</v>
      </c>
      <c r="GI464">
        <v>17.913598282147898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0.95663265306122436</v>
      </c>
      <c r="E465" s="97">
        <f>+K36</f>
        <v>0.52237348121616634</v>
      </c>
      <c r="F465" s="102">
        <f>+D465-D467</f>
        <v>-0.76040031397174235</v>
      </c>
      <c r="G465" s="101">
        <f>+D465*E465</f>
        <v>0.49971952922464885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9.4748263888888893</v>
      </c>
      <c r="AO465">
        <v>54.812914065733686</v>
      </c>
      <c r="AP465">
        <v>424.94207366533294</v>
      </c>
      <c r="AQ465">
        <v>120.96617681884226</v>
      </c>
      <c r="AR465">
        <v>50.858658515297535</v>
      </c>
      <c r="AS465">
        <v>519.98560312537575</v>
      </c>
      <c r="AT465" t="e">
        <v>#DIV/0!</v>
      </c>
      <c r="AU465" t="e">
        <v>#DIV/0!</v>
      </c>
      <c r="AV465"/>
      <c r="AW465"/>
      <c r="FY465" s="211">
        <v>460</v>
      </c>
      <c r="FZ465">
        <v>18.23221095637145</v>
      </c>
      <c r="GA465">
        <v>21.469000797984755</v>
      </c>
      <c r="GB465">
        <v>60.735931119383331</v>
      </c>
      <c r="GC465">
        <v>3.028132761189287</v>
      </c>
      <c r="GD465">
        <v>0.2493208187843971</v>
      </c>
      <c r="GE465">
        <v>0.45822724991911468</v>
      </c>
      <c r="GF465">
        <v>2.2163807403973528</v>
      </c>
      <c r="GG465">
        <v>15.907926581624544</v>
      </c>
      <c r="GH465">
        <v>25.623451563255323</v>
      </c>
      <c r="GI465">
        <v>55.05066059167266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0.72140656767926092</v>
      </c>
      <c r="I466" s="101">
        <f>+H466*F465</f>
        <v>-0.54855778056458704</v>
      </c>
      <c r="J466" s="101">
        <f>+I466*$A$440</f>
        <v>-15.359617855808438</v>
      </c>
      <c r="K466" s="61">
        <f>IF(AND(J466&lt;0, J464&lt;0), 0, J466)</f>
        <v>-15.359617855808438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15.407946047008547</v>
      </c>
      <c r="AO466">
        <v>156.35088128514198</v>
      </c>
      <c r="AP466">
        <v>1070.1180359398679</v>
      </c>
      <c r="AQ466">
        <v>181.79746501866236</v>
      </c>
      <c r="AR466">
        <v>145.04628998534693</v>
      </c>
      <c r="AS466">
        <v>1038.9311318406483</v>
      </c>
      <c r="AT466" t="e">
        <v>#DIV/0!</v>
      </c>
      <c r="AU466" t="e">
        <v>#DIV/0!</v>
      </c>
      <c r="AV466"/>
      <c r="AW466"/>
      <c r="FY466" s="211">
        <v>461</v>
      </c>
      <c r="FZ466">
        <v>30.995080090495296</v>
      </c>
      <c r="GA466">
        <v>39.402340122249271</v>
      </c>
      <c r="GB466">
        <v>35.923191738549562</v>
      </c>
      <c r="GC466">
        <v>2.4781716522764925</v>
      </c>
      <c r="GD466">
        <v>0.3797548537335943</v>
      </c>
      <c r="GE466">
        <v>0.50817084204294227</v>
      </c>
      <c r="GF466">
        <v>3.8591437771720001</v>
      </c>
      <c r="GG466">
        <v>10.801442433243508</v>
      </c>
      <c r="GH466">
        <v>16.426144582619159</v>
      </c>
      <c r="GI466">
        <v>46.755486554148732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1.7170329670329667</v>
      </c>
      <c r="E467" s="97">
        <f>L36</f>
        <v>0.99627460926832734</v>
      </c>
      <c r="F467" s="102">
        <f>+D467-D469</f>
        <v>1.1855703819989531</v>
      </c>
      <c r="G467" s="101">
        <f>+D467*E467</f>
        <v>1.7106363483316056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10.56770833333333</v>
      </c>
      <c r="AO467">
        <v>116.33083018775471</v>
      </c>
      <c r="AP467">
        <v>768.10142909914316</v>
      </c>
      <c r="AQ467">
        <v>160.14357972845019</v>
      </c>
      <c r="AR467">
        <v>107.91357160274092</v>
      </c>
      <c r="AS467">
        <v>772.49598949909625</v>
      </c>
      <c r="AT467" t="e">
        <v>#DIV/0!</v>
      </c>
      <c r="AU467" t="e">
        <v>#DIV/0!</v>
      </c>
      <c r="AV467"/>
      <c r="AW467"/>
      <c r="FY467" s="211">
        <v>462</v>
      </c>
      <c r="FZ467">
        <v>29.211446528429544</v>
      </c>
      <c r="GA467">
        <v>36.885310291906123</v>
      </c>
      <c r="GB467">
        <v>59.472992765312597</v>
      </c>
      <c r="GC467">
        <v>2.0560749211026441</v>
      </c>
      <c r="GD467">
        <v>0.14212194204098866</v>
      </c>
      <c r="GE467">
        <v>0.97603576056260877</v>
      </c>
      <c r="GF467">
        <v>3.3374826067826797</v>
      </c>
      <c r="GG467">
        <v>5.8797947598496716</v>
      </c>
      <c r="GH467">
        <v>9.1973069806361583</v>
      </c>
      <c r="GI467">
        <v>51.284879229126318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1.2969700929821848</v>
      </c>
      <c r="I468" s="101">
        <f>+H468*F467</f>
        <v>1.5376493285781065</v>
      </c>
      <c r="J468" s="101">
        <f>+I468*$A$440</f>
        <v>43.054181200186981</v>
      </c>
      <c r="K468" s="61">
        <f>IF(AND(J468&lt;0, J466&lt;0), 0, J468)</f>
        <v>43.054181200186981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12.854126602564104</v>
      </c>
      <c r="AO468">
        <v>154.5838523125272</v>
      </c>
      <c r="AP468">
        <v>1019.9614594495913</v>
      </c>
      <c r="AQ468">
        <v>258.95614349022566</v>
      </c>
      <c r="AR468">
        <v>143.40711654136285</v>
      </c>
      <c r="AS468">
        <v>1027.1123388900494</v>
      </c>
      <c r="AT468" t="e">
        <v>#DIV/0!</v>
      </c>
      <c r="AU468" t="e">
        <v>#DIV/0!</v>
      </c>
      <c r="AV468"/>
      <c r="AW468"/>
      <c r="FY468" s="211">
        <v>463</v>
      </c>
      <c r="FZ468">
        <v>44.217934549935691</v>
      </c>
      <c r="GA468">
        <v>47.519629300765253</v>
      </c>
      <c r="GB468">
        <v>52.068182315821979</v>
      </c>
      <c r="GC468">
        <v>3.6144089481762105</v>
      </c>
      <c r="GD468">
        <v>0.55665920509436884</v>
      </c>
      <c r="GE468">
        <v>0.58148499210505311</v>
      </c>
      <c r="GF468">
        <v>4.2125562397555258</v>
      </c>
      <c r="GG468">
        <v>5.4931394541153544</v>
      </c>
      <c r="GH468">
        <v>9.6111648241764271</v>
      </c>
      <c r="GI468">
        <v>58.43297269870228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0.53146258503401356</v>
      </c>
      <c r="E469" s="97">
        <f>M36</f>
        <v>1.6884214517176031</v>
      </c>
      <c r="F469" s="102">
        <f>+D469-D471</f>
        <v>-1.8295196866625436</v>
      </c>
      <c r="G469" s="101">
        <f>+D469*E469</f>
        <v>0.89733282935671921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10.492147435897433</v>
      </c>
      <c r="AO469">
        <v>124.2397722754235</v>
      </c>
      <c r="AP469">
        <v>773.22656450567445</v>
      </c>
      <c r="AQ469">
        <v>146.69449275559893</v>
      </c>
      <c r="AR469">
        <v>115.13217693664767</v>
      </c>
      <c r="AS469">
        <v>780.41049586021859</v>
      </c>
      <c r="AT469" t="e">
        <v>#DIV/0!</v>
      </c>
      <c r="AU469" t="e">
        <v>#DIV/0!</v>
      </c>
      <c r="AV469"/>
      <c r="AW469"/>
      <c r="FY469" s="211">
        <v>464</v>
      </c>
      <c r="FZ469">
        <v>13.90024370737391</v>
      </c>
      <c r="GA469">
        <v>24.646508745895858</v>
      </c>
      <c r="GB469">
        <v>44.573782416364722</v>
      </c>
      <c r="GC469">
        <v>3.0238088656395643</v>
      </c>
      <c r="GD469">
        <v>7.2416467423622538E-2</v>
      </c>
      <c r="GE469">
        <v>0.34985476212308708</v>
      </c>
      <c r="GF469">
        <v>3.6784337128081424</v>
      </c>
      <c r="GG469">
        <v>0.82966741238504016</v>
      </c>
      <c r="GH469">
        <v>8.0565532890635385</v>
      </c>
      <c r="GI469">
        <v>42.436775526181158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2.1102420212615431</v>
      </c>
      <c r="I470" s="101">
        <f>+H470*F469</f>
        <v>-3.8607293215205511</v>
      </c>
      <c r="J470" s="101">
        <f>+I470*$A$440</f>
        <v>-108.10042100257543</v>
      </c>
      <c r="K470" s="61">
        <f>IF(AND(J470&lt;0, J468&lt;0), 0, J470)</f>
        <v>-108.10042100257543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14.907905982905984</v>
      </c>
      <c r="AO470">
        <v>126.92475511476383</v>
      </c>
      <c r="AP470">
        <v>566.7692685954155</v>
      </c>
      <c r="AQ470">
        <v>195.80715761824189</v>
      </c>
      <c r="AR470">
        <v>117.78517150836221</v>
      </c>
      <c r="AS470">
        <v>1036.0419805412212</v>
      </c>
      <c r="AT470" t="e">
        <v>#DIV/0!</v>
      </c>
      <c r="AU470" t="e">
        <v>#DIV/0!</v>
      </c>
      <c r="AV470"/>
      <c r="AW470"/>
      <c r="FY470" s="211">
        <v>465</v>
      </c>
      <c r="FZ470">
        <v>36.06061720524103</v>
      </c>
      <c r="GA470">
        <v>47.956650495439689</v>
      </c>
      <c r="GB470">
        <v>53.717053714446649</v>
      </c>
      <c r="GC470">
        <v>2.3266712382662726</v>
      </c>
      <c r="GD470">
        <v>0.33328453732201685</v>
      </c>
      <c r="GE470">
        <v>0.61151011979415226</v>
      </c>
      <c r="GF470">
        <v>2.0913499693874407</v>
      </c>
      <c r="GG470">
        <v>3.0604940178766382</v>
      </c>
      <c r="GH470">
        <v>9.6111648241764271</v>
      </c>
      <c r="GI470">
        <v>53.418079331875887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2.3609822716965572</v>
      </c>
      <c r="E471" s="97">
        <f>+N36</f>
        <v>2.6374465828824412</v>
      </c>
      <c r="F471" s="102">
        <f>+D471-D473</f>
        <v>1.7232271696557411</v>
      </c>
      <c r="G471" s="101">
        <f>+D471*E471</f>
        <v>6.2269646247321075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15.471874999999997</v>
      </c>
      <c r="AO471">
        <v>133.18410254905567</v>
      </c>
      <c r="AP471">
        <v>755.75640121469473</v>
      </c>
      <c r="AQ471">
        <v>218.97130084706799</v>
      </c>
      <c r="AR471">
        <v>123.65387167549559</v>
      </c>
      <c r="AS471">
        <v>1210.5972054825188</v>
      </c>
      <c r="AT471" t="e">
        <v>#DIV/0!</v>
      </c>
      <c r="AU471" t="e">
        <v>#DIV/0!</v>
      </c>
      <c r="AV471"/>
      <c r="AW471"/>
      <c r="FY471" s="211">
        <v>466</v>
      </c>
      <c r="FZ471">
        <v>24.659344818448183</v>
      </c>
      <c r="GA471">
        <v>28.805860675846485</v>
      </c>
      <c r="GB471">
        <v>15.265441348544918</v>
      </c>
      <c r="GC471">
        <v>2.0346321709469364</v>
      </c>
      <c r="GD471">
        <v>0.3100493791162281</v>
      </c>
      <c r="GE471">
        <v>0.39408177380373677</v>
      </c>
      <c r="GF471">
        <v>2.4374983532621211</v>
      </c>
      <c r="GG471">
        <v>8.8118091036555146</v>
      </c>
      <c r="GH471">
        <v>16.840002426159433</v>
      </c>
      <c r="GI471">
        <v>27.205593447896387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3.1994857194139152</v>
      </c>
      <c r="I472" s="101">
        <f>+H472*F471</f>
        <v>5.5134407206196041</v>
      </c>
      <c r="J472" s="101">
        <f>+I472*$A$440</f>
        <v>154.37634017734891</v>
      </c>
      <c r="K472" s="61">
        <f>IF(AND(J472&lt;0, J470&lt;0), 0, J472)</f>
        <v>154.37634017734891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18.030341880341883</v>
      </c>
      <c r="AO472">
        <v>67.807037583571926</v>
      </c>
      <c r="AP472">
        <v>419.03191026023825</v>
      </c>
      <c r="AQ472">
        <v>277.21336760449009</v>
      </c>
      <c r="AR472">
        <v>62.892600795619984</v>
      </c>
      <c r="AS472">
        <v>654.67366064521309</v>
      </c>
      <c r="AT472" t="e">
        <v>#DIV/0!</v>
      </c>
      <c r="AU472" t="e">
        <v>#DIV/0!</v>
      </c>
      <c r="AV472"/>
      <c r="AW472"/>
      <c r="FY472" s="211">
        <v>467</v>
      </c>
      <c r="FZ472">
        <v>39.766041868771779</v>
      </c>
      <c r="GA472">
        <v>42.416882884806142</v>
      </c>
      <c r="GB472">
        <v>25.382323122990918</v>
      </c>
      <c r="GC472">
        <v>4.9164313358499099</v>
      </c>
      <c r="GD472">
        <v>0.7595097074671886</v>
      </c>
      <c r="GE472">
        <v>0.83397167582938536</v>
      </c>
      <c r="GF472">
        <v>3.1235362433774903</v>
      </c>
      <c r="GG472">
        <v>4.5349923676595187</v>
      </c>
      <c r="GH472">
        <v>3.6144188009915013</v>
      </c>
      <c r="GI472">
        <v>35.307666457412267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0.6377551020408162</v>
      </c>
      <c r="E473" s="97">
        <f>O36</f>
        <v>3.8812952403176153</v>
      </c>
      <c r="F473" s="102">
        <f>+D473-D475</f>
        <v>0.6377551020408162</v>
      </c>
      <c r="G473" s="101">
        <f>+D473*E473</f>
        <v>2.4753158420392949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15.403298611111111</v>
      </c>
      <c r="AO473">
        <v>72.106734516701806</v>
      </c>
      <c r="AP473">
        <v>361.59957972961297</v>
      </c>
      <c r="AQ473">
        <v>218.42203850067125</v>
      </c>
      <c r="AR473">
        <v>67.060882254469107</v>
      </c>
      <c r="AS473">
        <v>890.77104542760685</v>
      </c>
      <c r="AT473" t="e">
        <v>#DIV/0!</v>
      </c>
      <c r="AU473" t="e">
        <v>#DIV/0!</v>
      </c>
      <c r="AV473"/>
      <c r="AW473"/>
      <c r="FY473" s="211">
        <v>468</v>
      </c>
      <c r="FZ473">
        <v>37.248838440957833</v>
      </c>
      <c r="GA473">
        <v>48.008625544150661</v>
      </c>
      <c r="GB473">
        <v>24.16661160393279</v>
      </c>
      <c r="GC473">
        <v>1.5867813929824097</v>
      </c>
      <c r="GD473">
        <v>0.21182741665835481</v>
      </c>
      <c r="GE473">
        <v>0.54276018512303981</v>
      </c>
      <c r="GF473">
        <v>1.9294972746064076</v>
      </c>
      <c r="GG473">
        <v>8.1669781662576746</v>
      </c>
      <c r="GH473">
        <v>14.780195160280819</v>
      </c>
      <c r="GI473">
        <v>23.301130559773256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4.6023393768776675</v>
      </c>
      <c r="I474" s="101">
        <f>+H474*F473</f>
        <v>2.9351654189270833</v>
      </c>
      <c r="J474" s="101">
        <f>+I474*$A$440</f>
        <v>82.184631729958326</v>
      </c>
      <c r="K474" s="61">
        <f>IF(AND(J474&lt;0, J472&lt;0), 0, J474)</f>
        <v>82.184631729958326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16.064369658119659</v>
      </c>
      <c r="AO474">
        <v>106.9886182934396</v>
      </c>
      <c r="AP474">
        <v>533.67669513838155</v>
      </c>
      <c r="AQ474">
        <v>259.93025226932446</v>
      </c>
      <c r="AR474">
        <v>99.303992900462887</v>
      </c>
      <c r="AS474">
        <v>877.31533808591416</v>
      </c>
      <c r="AT474" t="e">
        <v>#DIV/0!</v>
      </c>
      <c r="AU474" t="e">
        <v>#DIV/0!</v>
      </c>
      <c r="AV474"/>
      <c r="AW474"/>
      <c r="FY474" s="211">
        <v>469</v>
      </c>
      <c r="FZ474">
        <v>43.827027994318769</v>
      </c>
      <c r="GA474">
        <v>50.388872188396434</v>
      </c>
      <c r="GB474">
        <v>30.755457004333355</v>
      </c>
      <c r="GC474">
        <v>1.7253021211027841</v>
      </c>
      <c r="GD474">
        <v>9.5651625629411249E-2</v>
      </c>
      <c r="GE474">
        <v>0.22199256138141404</v>
      </c>
      <c r="GF474">
        <v>1.4908476736066609</v>
      </c>
      <c r="GG474">
        <v>0.77331061146863544</v>
      </c>
      <c r="GH474">
        <v>4.0282766445317693</v>
      </c>
      <c r="GI474">
        <v>30.374212062324634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5.4573348401667534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6.3942307692307683</v>
      </c>
      <c r="AO475">
        <v>41.497575450169499</v>
      </c>
      <c r="AP475">
        <v>335.47454606829081</v>
      </c>
      <c r="AQ475">
        <v>129.57401029597452</v>
      </c>
      <c r="AR475">
        <v>38.519858951782155</v>
      </c>
      <c r="AS475">
        <v>209.77497120919213</v>
      </c>
      <c r="AT475" t="e">
        <v>#DIV/0!</v>
      </c>
      <c r="AU475" t="e">
        <v>#DIV/0!</v>
      </c>
      <c r="AV475"/>
      <c r="AW475"/>
      <c r="FY475" s="211">
        <v>470</v>
      </c>
      <c r="FZ475">
        <v>35.840482744257216</v>
      </c>
      <c r="GA475">
        <v>38.323317428655642</v>
      </c>
      <c r="GB475">
        <v>46.512749637867216</v>
      </c>
      <c r="GC475">
        <v>3.7018097132181311</v>
      </c>
      <c r="GD475">
        <v>0.17690435136077456</v>
      </c>
      <c r="GE475">
        <v>0.58148499210505311</v>
      </c>
      <c r="GF475">
        <v>3.3349585818376632</v>
      </c>
      <c r="GG475">
        <v>8.9402887777263089</v>
      </c>
      <c r="GH475">
        <v>22.836748449344356</v>
      </c>
      <c r="GI475">
        <v>44.645796431348337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6.3559081242764996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16.946314102564102</v>
      </c>
      <c r="AO476">
        <v>133.26079545847239</v>
      </c>
      <c r="AP476">
        <v>1045.0225691475248</v>
      </c>
      <c r="AQ476">
        <v>202.97124318058221</v>
      </c>
      <c r="AR476">
        <v>123.5936390486594</v>
      </c>
      <c r="AS476">
        <v>877.26336863422978</v>
      </c>
      <c r="AT476" t="e">
        <v>#DIV/0!</v>
      </c>
      <c r="AU476" t="e">
        <v>#DIV/0!</v>
      </c>
      <c r="AV476"/>
      <c r="AW476"/>
      <c r="FY476" s="211">
        <v>471</v>
      </c>
      <c r="FZ476">
        <v>64.576442378504169</v>
      </c>
      <c r="GA476">
        <v>73.257207253256951</v>
      </c>
      <c r="GB476">
        <v>64.480173748528998</v>
      </c>
      <c r="GC476">
        <v>1.0606351111010666</v>
      </c>
      <c r="GD476">
        <v>9.5651625629411235E-2</v>
      </c>
      <c r="GE476">
        <v>0.15784708526603611</v>
      </c>
      <c r="GF476">
        <v>2.5600050993270163</v>
      </c>
      <c r="GG476">
        <v>5.308302979128154</v>
      </c>
      <c r="GH476">
        <v>3.6144188009915013</v>
      </c>
      <c r="GI476">
        <v>60.222666151335417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7.4024353035683674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14.228432158119659</v>
      </c>
      <c r="AO477">
        <v>75.515311411824626</v>
      </c>
      <c r="AP477">
        <v>629.35508332928805</v>
      </c>
      <c r="AQ477">
        <v>187.52892664653052</v>
      </c>
      <c r="AR477">
        <v>69.847569845903138</v>
      </c>
      <c r="AS477">
        <v>595.80962994478898</v>
      </c>
      <c r="AT477" t="e">
        <v>#DIV/0!</v>
      </c>
      <c r="AU477" t="e">
        <v>#DIV/0!</v>
      </c>
      <c r="AV477"/>
      <c r="AW477"/>
      <c r="FY477" s="211">
        <v>472</v>
      </c>
      <c r="FZ477">
        <v>54.857110228843609</v>
      </c>
      <c r="GA477">
        <v>56.884301781812681</v>
      </c>
      <c r="GB477">
        <v>14.626058913336642</v>
      </c>
      <c r="GC477">
        <v>0.59826749330445417</v>
      </c>
      <c r="GD477">
        <v>0.21724940227086764</v>
      </c>
      <c r="GE477">
        <v>0.75515532106863803</v>
      </c>
      <c r="GF477">
        <v>4.6748032641019268</v>
      </c>
      <c r="GG477">
        <v>3.6489681543580739</v>
      </c>
      <c r="GH477">
        <v>11.67097209005504</v>
      </c>
      <c r="GI477">
        <v>23.541464160365344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8.4968333337724022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15.815852029914529</v>
      </c>
      <c r="AO478">
        <v>121.26204939304418</v>
      </c>
      <c r="AP478">
        <v>887.07806326533193</v>
      </c>
      <c r="AQ478">
        <v>198.44344578574933</v>
      </c>
      <c r="AR478">
        <v>112.39330058024744</v>
      </c>
      <c r="AS478">
        <v>560.14770566621473</v>
      </c>
      <c r="AT478" t="e">
        <v>#DIV/0!</v>
      </c>
      <c r="AU478" t="e">
        <v>#DIV/0!</v>
      </c>
      <c r="AV478"/>
      <c r="AW478"/>
      <c r="FY478" s="211">
        <v>473</v>
      </c>
      <c r="FZ478">
        <v>30.642122045460162</v>
      </c>
      <c r="GA478">
        <v>36.69969293146896</v>
      </c>
      <c r="GB478">
        <v>72.896353998855574</v>
      </c>
      <c r="GC478">
        <v>2.0083626831483787</v>
      </c>
      <c r="GD478">
        <v>0.21724940227086761</v>
      </c>
      <c r="GE478">
        <v>0.35488797216790446</v>
      </c>
      <c r="GF478">
        <v>3.2981366580665417</v>
      </c>
      <c r="GG478">
        <v>11.574753044712143</v>
      </c>
      <c r="GH478">
        <v>24.482697871682696</v>
      </c>
      <c r="GI478">
        <v>60.113819074000013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9.7530304205567901</v>
      </c>
      <c r="F479" s="102">
        <f>+D479-D481</f>
        <v>-0.31887755102040816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18.964236111111109</v>
      </c>
      <c r="AO479">
        <v>99.765753514385509</v>
      </c>
      <c r="AP479">
        <v>377.07925249744648</v>
      </c>
      <c r="AQ479">
        <v>226.30813252864817</v>
      </c>
      <c r="AR479">
        <v>92.547062569776998</v>
      </c>
      <c r="AS479">
        <v>1120.761795381839</v>
      </c>
      <c r="AT479" t="e">
        <v>#DIV/0!</v>
      </c>
      <c r="AU479" t="e">
        <v>#DIV/0!</v>
      </c>
      <c r="AV479"/>
      <c r="AW479"/>
      <c r="FY479" s="211">
        <v>474</v>
      </c>
      <c r="FZ479">
        <v>49.265239557448531</v>
      </c>
      <c r="GA479">
        <v>49.368475632932373</v>
      </c>
      <c r="GB479">
        <v>93.607621766754377</v>
      </c>
      <c r="GC479">
        <v>2.0717619977166035</v>
      </c>
      <c r="GD479">
        <v>0.36820760261959706</v>
      </c>
      <c r="GE479">
        <v>0.5040353781410265</v>
      </c>
      <c r="GF479">
        <v>0.46492027725060159</v>
      </c>
      <c r="GG479">
        <v>6.8942986472219117</v>
      </c>
      <c r="GH479">
        <v>15.194053003821082</v>
      </c>
      <c r="GI479">
        <v>68.366501676105415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11.061346556899803</v>
      </c>
      <c r="I480" s="101">
        <f>+H480*F479</f>
        <v>-3.5272151010522332</v>
      </c>
      <c r="J480" s="101">
        <f>+I480*$A$440</f>
        <v>-98.762022829462524</v>
      </c>
      <c r="K480" s="61">
        <f>IF(AND(J480&lt;0, J478&lt;0), 0, J480)</f>
        <v>-98.762022829462524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15.742721688034189</v>
      </c>
      <c r="AO480">
        <v>184.05038168184333</v>
      </c>
      <c r="AP480">
        <v>1201.8822019777358</v>
      </c>
      <c r="AQ480">
        <v>141.56804490525866</v>
      </c>
      <c r="AR480">
        <v>170.75399556470148</v>
      </c>
      <c r="AS480">
        <v>1124.2229223742929</v>
      </c>
      <c r="AT480" t="e">
        <v>#DIV/0!</v>
      </c>
      <c r="AU480" t="e">
        <v>#DIV/0!</v>
      </c>
      <c r="AV480"/>
      <c r="AW480"/>
      <c r="FY480" s="211">
        <v>475</v>
      </c>
      <c r="FZ480">
        <v>36.231389299874138</v>
      </c>
      <c r="GA480">
        <v>35.242054197558446</v>
      </c>
      <c r="GB480">
        <v>43.702533472878585</v>
      </c>
      <c r="GC480">
        <v>1.0516251690739407</v>
      </c>
      <c r="GD480">
        <v>0.11617579102894354</v>
      </c>
      <c r="GE480">
        <v>0.12829095223075584</v>
      </c>
      <c r="GF480">
        <v>1.1248367190743009</v>
      </c>
      <c r="GG480">
        <v>7.7973052162832746</v>
      </c>
      <c r="GH480">
        <v>14.871533047506276</v>
      </c>
      <c r="GI480">
        <v>40.955634594285392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0.31887755102040816</v>
      </c>
      <c r="E481" s="97">
        <f>+S36</f>
        <v>12.545166207412906</v>
      </c>
      <c r="F481" s="102">
        <f>+D481-D483</f>
        <v>0.10629251700680273</v>
      </c>
      <c r="G481" s="101">
        <f>+D481*E481</f>
        <v>4.0003718773638095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17.824091880341875</v>
      </c>
      <c r="AO481">
        <v>147.32336806285269</v>
      </c>
      <c r="AP481">
        <v>991.23569184915277</v>
      </c>
      <c r="AQ481">
        <v>209.18687545382619</v>
      </c>
      <c r="AR481">
        <v>136.69193047996231</v>
      </c>
      <c r="AS481">
        <v>1109.4548040659529</v>
      </c>
      <c r="AT481" t="e">
        <v>#DIV/0!</v>
      </c>
      <c r="AU481" t="e">
        <v>#DIV/0!</v>
      </c>
      <c r="AV481"/>
      <c r="AW481"/>
      <c r="FY481" s="211">
        <v>476</v>
      </c>
      <c r="FZ481">
        <v>32.916871191960297</v>
      </c>
      <c r="GA481">
        <v>36.852477203230684</v>
      </c>
      <c r="GB481">
        <v>64.82739558942707</v>
      </c>
      <c r="GC481">
        <v>2.2852301148616347</v>
      </c>
      <c r="GD481">
        <v>0.20285050237281971</v>
      </c>
      <c r="GE481">
        <v>0.19704088690186838</v>
      </c>
      <c r="GF481">
        <v>1.8368468295221563</v>
      </c>
      <c r="GG481">
        <v>13.105608195411428</v>
      </c>
      <c r="GH481">
        <v>25.714789450480776</v>
      </c>
      <c r="GI481">
        <v>62.164871274904115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14.085312645080318</v>
      </c>
      <c r="I482" s="101">
        <f>+H482*F481</f>
        <v>1.4971633338733332</v>
      </c>
      <c r="J482" s="101">
        <f>+I482*$A$440</f>
        <v>41.920573348453331</v>
      </c>
      <c r="K482" s="61">
        <f>IF(AND(J482&lt;0, J480&lt;0), 0, J482)</f>
        <v>41.920573348453331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10.526909722222221</v>
      </c>
      <c r="AO482">
        <v>104.81618284014048</v>
      </c>
      <c r="AP482">
        <v>746.09702409282932</v>
      </c>
      <c r="AQ482">
        <v>126.76431349767992</v>
      </c>
      <c r="AR482">
        <v>97.243880012891978</v>
      </c>
      <c r="AS482">
        <v>611.91014606655017</v>
      </c>
      <c r="AT482" t="e">
        <v>#DIV/0!</v>
      </c>
      <c r="AU482" t="e">
        <v>#DIV/0!</v>
      </c>
      <c r="AV482"/>
      <c r="AW482"/>
      <c r="FY482" s="211">
        <v>477</v>
      </c>
      <c r="FZ482">
        <v>44.542365752834087</v>
      </c>
      <c r="GA482">
        <v>47.648606418931813</v>
      </c>
      <c r="GB482">
        <v>11.219098758781293</v>
      </c>
      <c r="GC482">
        <v>0.63942057153685228</v>
      </c>
      <c r="GD482">
        <v>0.26643071148870145</v>
      </c>
      <c r="GE482">
        <v>0.73063239807817515</v>
      </c>
      <c r="GF482">
        <v>3.2981366580665417</v>
      </c>
      <c r="GG482">
        <v>13.620743175216543</v>
      </c>
      <c r="GH482">
        <v>24.068840028142432</v>
      </c>
      <c r="GI482">
        <v>28.608777106441391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0.21258503401360543</v>
      </c>
      <c r="E483" s="97">
        <f>+T36</f>
        <v>15.814539961409823</v>
      </c>
      <c r="F483" s="102">
        <f>+D483-D485</f>
        <v>0</v>
      </c>
      <c r="G483" s="101">
        <f>+D483*E483</f>
        <v>3.3619345156058293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13.418055555555558</v>
      </c>
      <c r="AO483">
        <v>73.732558814157414</v>
      </c>
      <c r="AP483">
        <v>543.59687469808341</v>
      </c>
      <c r="AQ483">
        <v>160.65577446515607</v>
      </c>
      <c r="AR483">
        <v>68.282907023316497</v>
      </c>
      <c r="AS483">
        <v>433.29210457191306</v>
      </c>
      <c r="AT483" t="e">
        <v>#DIV/0!</v>
      </c>
      <c r="AU483" t="e">
        <v>#DIV/0!</v>
      </c>
      <c r="AV483"/>
      <c r="AW483"/>
      <c r="FY483" s="211">
        <v>478</v>
      </c>
      <c r="FZ483">
        <v>25.081381633182939</v>
      </c>
      <c r="GA483">
        <v>36.635671369755784</v>
      </c>
      <c r="GB483">
        <v>24.984341552207457</v>
      </c>
      <c r="GC483">
        <v>2.0694560273556224</v>
      </c>
      <c r="GD483">
        <v>0.16806809305303377</v>
      </c>
      <c r="GE483">
        <v>0.28157382210579351</v>
      </c>
      <c r="GF483">
        <v>2.0950848220764144</v>
      </c>
      <c r="GG483">
        <v>8.6269726286683159</v>
      </c>
      <c r="GH483">
        <v>14.871533047506276</v>
      </c>
      <c r="GI483">
        <v>26.56507044986181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17.604264975440774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9.2402777777777771</v>
      </c>
      <c r="AO484">
        <v>68.166230487647766</v>
      </c>
      <c r="AP484">
        <v>529.34938347619448</v>
      </c>
      <c r="AQ484">
        <v>159.94324574472324</v>
      </c>
      <c r="AR484">
        <v>63.103449599185247</v>
      </c>
      <c r="AS484">
        <v>310.53966818477244</v>
      </c>
      <c r="AT484" t="e">
        <v>#DIV/0!</v>
      </c>
      <c r="AU484" t="e">
        <v>#DIV/0!</v>
      </c>
      <c r="AV484"/>
      <c r="AW484"/>
      <c r="FY484" s="211">
        <v>479</v>
      </c>
      <c r="FZ484">
        <v>26.814168532781956</v>
      </c>
      <c r="GA484">
        <v>28.445010633280873</v>
      </c>
      <c r="GB484">
        <v>11.479403973863693</v>
      </c>
      <c r="GC484">
        <v>1.1944697927440375</v>
      </c>
      <c r="GD484">
        <v>0.22608566057860841</v>
      </c>
      <c r="GE484">
        <v>0.24698447902569581</v>
      </c>
      <c r="GF484">
        <v>3.1732551150158148</v>
      </c>
      <c r="GG484">
        <v>9.5287629142077463</v>
      </c>
      <c r="GH484">
        <v>16.840002426159433</v>
      </c>
      <c r="GI484">
        <v>27.739515647305286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0.21258503401360543</v>
      </c>
      <c r="E485" s="97">
        <f>+U36</f>
        <v>19.596532436717375</v>
      </c>
      <c r="F485" s="102">
        <f>+D485-D487</f>
        <v>0</v>
      </c>
      <c r="G485" s="101">
        <f>+D485*E485</f>
        <v>4.1659295146082851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10.679607371794873</v>
      </c>
      <c r="AO485">
        <v>100.42997634760493</v>
      </c>
      <c r="AP485">
        <v>700.65651936528786</v>
      </c>
      <c r="AQ485">
        <v>163.68095048709387</v>
      </c>
      <c r="AR485">
        <v>93.171610080396022</v>
      </c>
      <c r="AS485">
        <v>673.58180312837146</v>
      </c>
      <c r="AT485" t="e">
        <v>#DIV/0!</v>
      </c>
      <c r="AU485" t="e">
        <v>#DIV/0!</v>
      </c>
      <c r="AV485"/>
      <c r="AW485"/>
      <c r="FY485" s="211">
        <v>480</v>
      </c>
      <c r="FZ485">
        <v>30.875154658328938</v>
      </c>
      <c r="GA485">
        <v>36.62902028033718</v>
      </c>
      <c r="GB485">
        <v>56.69099589395492</v>
      </c>
      <c r="GC485">
        <v>3.3664917244649262</v>
      </c>
      <c r="GD485">
        <v>0.54782294678662813</v>
      </c>
      <c r="GE485">
        <v>0.85435913491793247</v>
      </c>
      <c r="GF485">
        <v>1.4350191522935309</v>
      </c>
      <c r="GG485">
        <v>0</v>
      </c>
      <c r="GH485">
        <v>4.0282766445317693</v>
      </c>
      <c r="GI485">
        <v>48.332496298229991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21.653434744171886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17.39505876068376</v>
      </c>
      <c r="AO486">
        <v>175.1069877345019</v>
      </c>
      <c r="AP486">
        <v>1317.7910949026295</v>
      </c>
      <c r="AQ486">
        <v>204.8945411077207</v>
      </c>
      <c r="AR486">
        <v>162.51846594398233</v>
      </c>
      <c r="AS486">
        <v>1236.7870907329664</v>
      </c>
      <c r="AT486" t="e">
        <v>#DIV/0!</v>
      </c>
      <c r="AU486" t="e">
        <v>#DIV/0!</v>
      </c>
      <c r="AV486"/>
      <c r="AW486"/>
      <c r="FY486" s="211">
        <v>481</v>
      </c>
      <c r="FZ486">
        <v>30.642122045460162</v>
      </c>
      <c r="GA486">
        <v>36.911713274934982</v>
      </c>
      <c r="GB486">
        <v>38.914299335815301</v>
      </c>
      <c r="GC486">
        <v>2.5955897103222139</v>
      </c>
      <c r="GD486">
        <v>0.30121312080848728</v>
      </c>
      <c r="GE486">
        <v>0.79938233274928749</v>
      </c>
      <c r="GF486">
        <v>3.9283460268687813</v>
      </c>
      <c r="GG486">
        <v>7.5391295846197526</v>
      </c>
      <c r="GH486">
        <v>13.225583625167928</v>
      </c>
      <c r="GI486">
        <v>42.884502225702647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0.21258503401360543</v>
      </c>
      <c r="E487" s="97">
        <f>V36</f>
        <v>23.926234793539376</v>
      </c>
      <c r="F487" s="102">
        <f>+D487-D489</f>
        <v>0.21258503401360543</v>
      </c>
      <c r="G487" s="101">
        <f>+D487*E487</f>
        <v>5.086359437402078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13.814850427350427</v>
      </c>
      <c r="AO487">
        <v>142.27838326053563</v>
      </c>
      <c r="AP487">
        <v>1096.0680011677123</v>
      </c>
      <c r="AQ487">
        <v>275.3333502330687</v>
      </c>
      <c r="AR487">
        <v>131.95531558610668</v>
      </c>
      <c r="AS487">
        <v>1082.7724638072284</v>
      </c>
      <c r="AT487" t="e">
        <v>#DIV/0!</v>
      </c>
      <c r="AU487" t="e">
        <v>#DIV/0!</v>
      </c>
      <c r="AV487"/>
      <c r="AW487"/>
      <c r="FY487" s="211">
        <v>482</v>
      </c>
      <c r="FZ487">
        <v>27.478659628830528</v>
      </c>
      <c r="GA487">
        <v>33.00200026713469</v>
      </c>
      <c r="GB487">
        <v>38.760594117232273</v>
      </c>
      <c r="GC487">
        <v>1.6791623523059913</v>
      </c>
      <c r="GD487">
        <v>0.27526696979644222</v>
      </c>
      <c r="GE487">
        <v>0.50817084204294216</v>
      </c>
      <c r="GF487">
        <v>2.652506316452083</v>
      </c>
      <c r="GG487">
        <v>8.9966455786427133</v>
      </c>
      <c r="GH487">
        <v>18.808471804812587</v>
      </c>
      <c r="GI487">
        <v>44.941191492127366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26.267775692550241</v>
      </c>
      <c r="I488" s="101">
        <f>+H488*F487</f>
        <v>5.5841359890625508</v>
      </c>
      <c r="J488" s="101">
        <f>+I488*$A$440</f>
        <v>156.35580769375142</v>
      </c>
      <c r="K488" s="61">
        <f>IF(AND(J488&lt;0, J486&lt;0), 0, J488)</f>
        <v>156.35580769375142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8.9059027777777793</v>
      </c>
      <c r="AO488">
        <v>91.958609821871732</v>
      </c>
      <c r="AP488">
        <v>783.82280325597662</v>
      </c>
      <c r="AQ488">
        <v>171.47435080951726</v>
      </c>
      <c r="AR488">
        <v>85.342160055256272</v>
      </c>
      <c r="AS488">
        <v>705.63409227794932</v>
      </c>
      <c r="AT488" t="e">
        <v>#DIV/0!</v>
      </c>
      <c r="AU488" t="e">
        <v>#DIV/0!</v>
      </c>
      <c r="AV488"/>
      <c r="AW488"/>
      <c r="FY488" s="211">
        <v>483</v>
      </c>
      <c r="FZ488">
        <v>55.248016784460511</v>
      </c>
      <c r="GA488">
        <v>55.426663047902139</v>
      </c>
      <c r="GB488">
        <v>14.04103755612854</v>
      </c>
      <c r="GC488">
        <v>1.5097081607562819</v>
      </c>
      <c r="GD488">
        <v>0.20285050237281971</v>
      </c>
      <c r="GE488">
        <v>0.26118636301724629</v>
      </c>
      <c r="GF488">
        <v>1.5896077683657179</v>
      </c>
      <c r="GG488">
        <v>6.9506554481383152</v>
      </c>
      <c r="GH488">
        <v>23.250606292884626</v>
      </c>
      <c r="GI488">
        <v>25.667452721067342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28.838471484884359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17.467708333333331</v>
      </c>
      <c r="AO489">
        <v>173.19595133484364</v>
      </c>
      <c r="AP489">
        <v>1208.9156436621631</v>
      </c>
      <c r="AQ489">
        <v>242.28807568183328</v>
      </c>
      <c r="AR489">
        <v>160.69676878448186</v>
      </c>
      <c r="AS489">
        <v>1145.0304131185242</v>
      </c>
      <c r="AT489" t="e">
        <v>#DIV/0!</v>
      </c>
      <c r="AU489" t="e">
        <v>#DIV/0!</v>
      </c>
      <c r="AV489"/>
      <c r="AW489"/>
      <c r="FY489" s="211">
        <v>484</v>
      </c>
      <c r="FZ489">
        <v>36.231389299874138</v>
      </c>
      <c r="GA489">
        <v>39.125364222329878</v>
      </c>
      <c r="GB489">
        <v>42.783209936897144</v>
      </c>
      <c r="GC489">
        <v>1.745640574432769</v>
      </c>
      <c r="GD489">
        <v>0.1243087694477128</v>
      </c>
      <c r="GE489">
        <v>0.45822724991911468</v>
      </c>
      <c r="GF489">
        <v>1.7514604631467512</v>
      </c>
      <c r="GG489">
        <v>7.9821416912704741</v>
      </c>
      <c r="GH489">
        <v>16.840002426159433</v>
      </c>
      <c r="GI489">
        <v>32.862752807522824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31.481985243997471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12.267361111111111</v>
      </c>
      <c r="AO490">
        <v>68.693018342523587</v>
      </c>
      <c r="AP490">
        <v>551.85697622629141</v>
      </c>
      <c r="AQ490">
        <v>286.10511554001152</v>
      </c>
      <c r="AR490">
        <v>63.8042272354365</v>
      </c>
      <c r="AS490">
        <v>441.0349993876406</v>
      </c>
      <c r="AT490" t="e">
        <v>#DIV/0!</v>
      </c>
      <c r="AU490" t="e">
        <v>#DIV/0!</v>
      </c>
      <c r="AV490"/>
      <c r="AW490"/>
      <c r="FY490" s="211">
        <v>485</v>
      </c>
      <c r="FZ490">
        <v>49.538824097880187</v>
      </c>
      <c r="GA490">
        <v>58.630352995070083</v>
      </c>
      <c r="GB490">
        <v>29.890771030505793</v>
      </c>
      <c r="GC490">
        <v>0.50789186025486277</v>
      </c>
      <c r="GD490">
        <v>9.5651625629411235E-2</v>
      </c>
      <c r="GE490">
        <v>0.18787221295513531</v>
      </c>
      <c r="GF490">
        <v>0.90371910620953289</v>
      </c>
      <c r="GG490">
        <v>4.6634720417303139</v>
      </c>
      <c r="GH490">
        <v>13.639441468708196</v>
      </c>
      <c r="GI490">
        <v>29.194380221088604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34.367819924948734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9.3534321581196576</v>
      </c>
      <c r="AO491">
        <v>83.0982575928968</v>
      </c>
      <c r="AP491">
        <v>455.23794978284877</v>
      </c>
      <c r="AQ491">
        <v>181.22137845979404</v>
      </c>
      <c r="AR491">
        <v>77.122291252941963</v>
      </c>
      <c r="AS491">
        <v>630.13528709139644</v>
      </c>
      <c r="AT491" t="e">
        <v>#DIV/0!</v>
      </c>
      <c r="AU491" t="e">
        <v>#DIV/0!</v>
      </c>
      <c r="AV491"/>
      <c r="AW491"/>
      <c r="FY491" s="211">
        <v>486</v>
      </c>
      <c r="FZ491">
        <v>36.977857317507272</v>
      </c>
      <c r="GA491">
        <v>37.481887144210148</v>
      </c>
      <c r="GB491">
        <v>49.692588479146302</v>
      </c>
      <c r="GC491">
        <v>2.4680181439881927</v>
      </c>
      <c r="GD491">
        <v>0.33057354451576043</v>
      </c>
      <c r="GE491">
        <v>9.3701609150658172E-2</v>
      </c>
      <c r="GF491">
        <v>2.1212062703680847</v>
      </c>
      <c r="GG491">
        <v>7.5391295846197526</v>
      </c>
      <c r="GH491">
        <v>21.282136914231469</v>
      </c>
      <c r="GI491">
        <v>52.42385003205333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37.330522771278389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17.968843482905982</v>
      </c>
      <c r="AO492">
        <v>101.17092660158589</v>
      </c>
      <c r="AP492">
        <v>409.04791851963142</v>
      </c>
      <c r="AQ492">
        <v>240.10398123907288</v>
      </c>
      <c r="AR492">
        <v>93.785102243364648</v>
      </c>
      <c r="AS492">
        <v>994.41199409119861</v>
      </c>
      <c r="AT492" t="e">
        <v>#DIV/0!</v>
      </c>
      <c r="AU492" t="e">
        <v>#DIV/0!</v>
      </c>
      <c r="AV492"/>
      <c r="AW492"/>
      <c r="FY492" s="211">
        <v>487</v>
      </c>
      <c r="FZ492">
        <v>19.098604406170956</v>
      </c>
      <c r="GA492">
        <v>26.482153586548563</v>
      </c>
      <c r="GB492">
        <v>28.573029547134624</v>
      </c>
      <c r="GC492">
        <v>3.3594871087117895</v>
      </c>
      <c r="GD492">
        <v>0.53613503969483656</v>
      </c>
      <c r="GE492">
        <v>0.28157382210579351</v>
      </c>
      <c r="GF492">
        <v>1.7119652864714288</v>
      </c>
      <c r="GG492">
        <v>6.9506554481383152</v>
      </c>
      <c r="GH492">
        <v>11.165776359289314</v>
      </c>
      <c r="GI492">
        <v>37.877495110330941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40.548627565558718</v>
      </c>
      <c r="F493" s="102">
        <f>+D493-D495</f>
        <v>-0.31887755102040816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12.761111111111109</v>
      </c>
      <c r="AO493">
        <v>99.716526515331296</v>
      </c>
      <c r="AP493">
        <v>683.43564114649337</v>
      </c>
      <c r="AQ493">
        <v>174.64305157951782</v>
      </c>
      <c r="AR493">
        <v>92.45246132920424</v>
      </c>
      <c r="AS493">
        <v>987.4005747720455</v>
      </c>
      <c r="AT493" t="e">
        <v>#DIV/0!</v>
      </c>
      <c r="AU493" t="e">
        <v>#DIV/0!</v>
      </c>
      <c r="AV493"/>
      <c r="AW493"/>
      <c r="FY493" s="211">
        <v>488</v>
      </c>
      <c r="FZ493">
        <v>32.645890068509736</v>
      </c>
      <c r="GA493">
        <v>33.104795386044415</v>
      </c>
      <c r="GB493">
        <v>57.105441086909309</v>
      </c>
      <c r="GC493">
        <v>1.7574452573080561</v>
      </c>
      <c r="GD493">
        <v>0.14483293484724508</v>
      </c>
      <c r="GE493">
        <v>0.18787221295513531</v>
      </c>
      <c r="GF493">
        <v>1.3981972285224096</v>
      </c>
      <c r="GG493">
        <v>12.847432563747907</v>
      </c>
      <c r="GH493">
        <v>32.125393317205976</v>
      </c>
      <c r="GI493">
        <v>53.892077384653113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43.847625533945262</v>
      </c>
      <c r="I494" s="101">
        <f>+H494*F493</f>
        <v>-13.982023448324382</v>
      </c>
      <c r="J494" s="101">
        <f>+I494*$A$440</f>
        <v>-391.49665655308269</v>
      </c>
      <c r="K494" s="61">
        <f>IF(AND(J494&lt;0, J492&lt;0), 0, J494)</f>
        <v>-391.49665655308269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11.985336538461537</v>
      </c>
      <c r="AO494">
        <v>131.63566184696828</v>
      </c>
      <c r="AP494">
        <v>1096.0491036371395</v>
      </c>
      <c r="AQ494">
        <v>141.37915344577345</v>
      </c>
      <c r="AR494">
        <v>122.16423692535491</v>
      </c>
      <c r="AS494">
        <v>849.26970947593315</v>
      </c>
      <c r="AT494" t="e">
        <v>#DIV/0!</v>
      </c>
      <c r="AU494" t="e">
        <v>#DIV/0!</v>
      </c>
      <c r="AV494"/>
      <c r="AW494"/>
      <c r="FY494" s="211">
        <v>489</v>
      </c>
      <c r="FZ494">
        <v>31.930552309994425</v>
      </c>
      <c r="GA494">
        <v>37.680705996161748</v>
      </c>
      <c r="GB494">
        <v>81.032753694327738</v>
      </c>
      <c r="GC494">
        <v>1.9202615837063837</v>
      </c>
      <c r="GD494">
        <v>0.37091859542585337</v>
      </c>
      <c r="GE494">
        <v>0.70107626504289478</v>
      </c>
      <c r="GF494">
        <v>1.1212510943445115</v>
      </c>
      <c r="GG494">
        <v>12.000782795602948</v>
      </c>
      <c r="GH494">
        <v>24.391359984457242</v>
      </c>
      <c r="GI494">
        <v>65.349221462797701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0.31887755102040816</v>
      </c>
      <c r="E495" s="97">
        <f>Z36</f>
        <v>47.415026855264593</v>
      </c>
      <c r="F495" s="102">
        <f>+D495-D497</f>
        <v>0.31887755102040816</v>
      </c>
      <c r="G495" s="101">
        <f>+D495*E495</f>
        <v>15.119587645173658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9.9026041666666664</v>
      </c>
      <c r="AO495">
        <v>34.623971294001755</v>
      </c>
      <c r="AP495">
        <v>166.34009672287564</v>
      </c>
      <c r="AQ495">
        <v>125.68765917496314</v>
      </c>
      <c r="AR495">
        <v>32.098736135761683</v>
      </c>
      <c r="AS495">
        <v>370.72379079485256</v>
      </c>
      <c r="AT495" t="e">
        <v>#DIV/0!</v>
      </c>
      <c r="AU495" t="e">
        <v>#DIV/0!</v>
      </c>
      <c r="AV495"/>
      <c r="AW495"/>
      <c r="FY495" s="211">
        <v>490</v>
      </c>
      <c r="FZ495">
        <v>46.546133775883661</v>
      </c>
      <c r="GA495">
        <v>48.149039241744717</v>
      </c>
      <c r="GB495">
        <v>27.095021492839169</v>
      </c>
      <c r="GC495">
        <v>1.6650516990697233</v>
      </c>
      <c r="GD495">
        <v>0.24590654608916915</v>
      </c>
      <c r="GE495">
        <v>0.63693078892751687</v>
      </c>
      <c r="GF495">
        <v>0.65633081709390995</v>
      </c>
      <c r="GG495">
        <v>5.1064841483810355</v>
      </c>
      <c r="GH495">
        <v>13.225583625167928</v>
      </c>
      <c r="GI495">
        <v>32.034564903213237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51.067322699393067</v>
      </c>
      <c r="I496" s="101">
        <f>+H496*F495</f>
        <v>16.284222799551362</v>
      </c>
      <c r="J496" s="101">
        <f>+I496*$A$440</f>
        <v>455.95823838743814</v>
      </c>
      <c r="K496" s="61">
        <f>IF(AND(J496&lt;0, J494&lt;0), 0, J496)</f>
        <v>455.95823838743814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14.882772435897433</v>
      </c>
      <c r="AO496">
        <v>87.027016778311761</v>
      </c>
      <c r="AP496">
        <v>641.60614086087048</v>
      </c>
      <c r="AQ496">
        <v>182.75963673384581</v>
      </c>
      <c r="AR496">
        <v>80.770849772604166</v>
      </c>
      <c r="AS496">
        <v>597.47525274024565</v>
      </c>
      <c r="AT496" t="e">
        <v>#DIV/0!</v>
      </c>
      <c r="AU496" t="e">
        <v>#DIV/0!</v>
      </c>
      <c r="AV496"/>
      <c r="AW496"/>
      <c r="FY496" s="211">
        <v>491</v>
      </c>
      <c r="FZ496">
        <v>23.944007059932872</v>
      </c>
      <c r="GA496">
        <v>35.005395783150497</v>
      </c>
      <c r="GB496">
        <v>45.285883355868954</v>
      </c>
      <c r="GC496">
        <v>1.3135390253767461</v>
      </c>
      <c r="GD496">
        <v>0.26371971868244504</v>
      </c>
      <c r="GE496">
        <v>0.5040353781410265</v>
      </c>
      <c r="GF496">
        <v>1.1248367190743009</v>
      </c>
      <c r="GG496">
        <v>7.7803228605233565</v>
      </c>
      <c r="GH496">
        <v>15.194053003821082</v>
      </c>
      <c r="GI496">
        <v>45.915674605041126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55.000948447093172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12.988808760683762</v>
      </c>
      <c r="AO497">
        <v>70.550168627569917</v>
      </c>
      <c r="AP497">
        <v>571.4885190771098</v>
      </c>
      <c r="AQ497">
        <v>177.74188128244953</v>
      </c>
      <c r="AR497">
        <v>65.384015902701307</v>
      </c>
      <c r="AS497">
        <v>799.28997886522063</v>
      </c>
      <c r="AT497" t="e">
        <v>#DIV/0!</v>
      </c>
      <c r="AU497" t="e">
        <v>#DIV/0!</v>
      </c>
      <c r="AV497"/>
      <c r="AW497"/>
      <c r="FY497" s="211">
        <v>492</v>
      </c>
      <c r="FZ497">
        <v>36.706876194056719</v>
      </c>
      <c r="GA497">
        <v>41.288805033100715</v>
      </c>
      <c r="GB497">
        <v>47.911631089432895</v>
      </c>
      <c r="GC497">
        <v>2.7971870380771948</v>
      </c>
      <c r="GD497">
        <v>0.34497244441380825</v>
      </c>
      <c r="GE497">
        <v>0.46944603506092875</v>
      </c>
      <c r="GF497">
        <v>2.2064434087843057</v>
      </c>
      <c r="GG497">
        <v>9.0136279344026313</v>
      </c>
      <c r="GH497">
        <v>18.485951848497773</v>
      </c>
      <c r="GI497">
        <v>47.466163034083593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59.023447769142265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14.149786324786323</v>
      </c>
      <c r="AO498">
        <v>151.67310381079</v>
      </c>
      <c r="AP498">
        <v>1247.1275336887675</v>
      </c>
      <c r="AQ498">
        <v>177.10266936937762</v>
      </c>
      <c r="AR498">
        <v>140.71104826403791</v>
      </c>
      <c r="AS498">
        <v>1376.1204598352153</v>
      </c>
      <c r="AT498" t="e">
        <v>#DIV/0!</v>
      </c>
      <c r="AU498" t="e">
        <v>#DIV/0!</v>
      </c>
      <c r="AV498"/>
      <c r="AW498"/>
      <c r="FY498" s="211">
        <v>493</v>
      </c>
      <c r="FZ498">
        <v>25.676793959531892</v>
      </c>
      <c r="GA498">
        <v>35.429436470082543</v>
      </c>
      <c r="GB498">
        <v>38.537907939419604</v>
      </c>
      <c r="GC498">
        <v>1.0406634083728363</v>
      </c>
      <c r="GD498">
        <v>4.9181309217833827E-2</v>
      </c>
      <c r="GE498">
        <v>0.32029862908780687</v>
      </c>
      <c r="GF498">
        <v>2.6786277647437533</v>
      </c>
      <c r="GG498">
        <v>8.9402887777263089</v>
      </c>
      <c r="GH498">
        <v>18.808471804812587</v>
      </c>
      <c r="GI498">
        <v>38.457921873836817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63.340132941667193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8.4277777777777771</v>
      </c>
      <c r="AO499">
        <v>76.695561026151154</v>
      </c>
      <c r="AP499">
        <v>428.69712395859887</v>
      </c>
      <c r="AQ499">
        <v>184.14778464509354</v>
      </c>
      <c r="AR499">
        <v>71.28869955191891</v>
      </c>
      <c r="AS499">
        <v>469.4246388272955</v>
      </c>
      <c r="AT499" t="e">
        <v>#DIV/0!</v>
      </c>
      <c r="AU499" t="e">
        <v>#DIV/0!</v>
      </c>
      <c r="AV499"/>
      <c r="AW499"/>
      <c r="FY499" s="211">
        <v>494</v>
      </c>
      <c r="FZ499">
        <v>34.258751535942395</v>
      </c>
      <c r="GA499">
        <v>36.474471096488507</v>
      </c>
      <c r="GB499">
        <v>83.190660469972059</v>
      </c>
      <c r="GC499">
        <v>4.0589307064460636</v>
      </c>
      <c r="GD499">
        <v>0.57376909779867324</v>
      </c>
      <c r="GE499">
        <v>1.0809561548550812</v>
      </c>
      <c r="GF499">
        <v>4.0209964719530333</v>
      </c>
      <c r="GG499">
        <v>1.6029780238536757</v>
      </c>
      <c r="GH499">
        <v>4.0282766445317693</v>
      </c>
      <c r="GI499">
        <v>69.598711475812365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67.749649664248594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10.659722222222223</v>
      </c>
      <c r="AO500">
        <v>117.64212373919322</v>
      </c>
      <c r="AP500">
        <v>793.15555721517126</v>
      </c>
      <c r="AQ500">
        <v>179.90449744100022</v>
      </c>
      <c r="AR500">
        <v>109.18665101340689</v>
      </c>
      <c r="AS500">
        <v>522.51548101139394</v>
      </c>
      <c r="AT500" t="e">
        <v>#DIV/0!</v>
      </c>
      <c r="AU500" t="e">
        <v>#DIV/0!</v>
      </c>
      <c r="AV500"/>
      <c r="AW500"/>
      <c r="FY500" s="211">
        <v>495</v>
      </c>
      <c r="FZ500">
        <v>31.930552309994425</v>
      </c>
      <c r="GA500">
        <v>36.057081498975066</v>
      </c>
      <c r="GB500">
        <v>33.944884969082096</v>
      </c>
      <c r="GC500">
        <v>2.7934100202887371</v>
      </c>
      <c r="GD500">
        <v>0.3100493791162281</v>
      </c>
      <c r="GE500">
        <v>0.42363790683901698</v>
      </c>
      <c r="GF500">
        <v>2.5562702466380425</v>
      </c>
      <c r="GG500">
        <v>8.9402887777263089</v>
      </c>
      <c r="GH500">
        <v>14.780195160280819</v>
      </c>
      <c r="GI500">
        <v>41.346554305912676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72.466141393412812</v>
      </c>
      <c r="F501" s="102">
        <f>+D501-D503</f>
        <v>-0.31887755102040816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9.1027777777777779</v>
      </c>
      <c r="AO501">
        <v>67.59322257812714</v>
      </c>
      <c r="AP501">
        <v>446.49132008865701</v>
      </c>
      <c r="AQ501">
        <v>187.2523766600321</v>
      </c>
      <c r="AR501">
        <v>62.865584241819171</v>
      </c>
      <c r="AS501">
        <v>441.36552933746827</v>
      </c>
      <c r="AT501" t="e">
        <v>#DIV/0!</v>
      </c>
      <c r="AU501" t="e">
        <v>#DIV/0!</v>
      </c>
      <c r="AV501"/>
      <c r="AW501"/>
      <c r="FY501" s="211">
        <v>496</v>
      </c>
      <c r="FZ501">
        <v>68.184261430198575</v>
      </c>
      <c r="GA501">
        <v>65.735560932304793</v>
      </c>
      <c r="GB501">
        <v>29.661374303821109</v>
      </c>
      <c r="GC501">
        <v>1.7371382407314562</v>
      </c>
      <c r="GD501">
        <v>0.23777356767039992</v>
      </c>
      <c r="GE501">
        <v>0.93684195892677646</v>
      </c>
      <c r="GF501">
        <v>3.9247604021389924</v>
      </c>
      <c r="GG501">
        <v>1.5466212229372709</v>
      </c>
      <c r="GH501">
        <v>0</v>
      </c>
      <c r="GI501">
        <v>40.232997400274151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77.279402672892601</v>
      </c>
      <c r="I502" s="101">
        <f>+H502*F501</f>
        <v>-24.642666668651977</v>
      </c>
      <c r="J502" s="101">
        <f>+I502*$A$440</f>
        <v>-689.99466672225537</v>
      </c>
      <c r="K502" s="61">
        <f>IF(AND(J502&lt;0, J500&lt;0), 0, J502)</f>
        <v>-689.99466672225537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13.20395299145299</v>
      </c>
      <c r="AO502">
        <v>89.442259363091551</v>
      </c>
      <c r="AP502">
        <v>614.76147457604907</v>
      </c>
      <c r="AQ502">
        <v>210.41094903979098</v>
      </c>
      <c r="AR502">
        <v>83.186940775704826</v>
      </c>
      <c r="AS502">
        <v>918.33411315773662</v>
      </c>
      <c r="AT502" t="e">
        <v>#DIV/0!</v>
      </c>
      <c r="AU502" t="e">
        <v>#DIV/0!</v>
      </c>
      <c r="AV502"/>
      <c r="AW502"/>
      <c r="FY502" s="211">
        <v>497</v>
      </c>
      <c r="FZ502">
        <v>19.09860440617096</v>
      </c>
      <c r="GA502">
        <v>22.174802874845085</v>
      </c>
      <c r="GB502">
        <v>26.434456206742865</v>
      </c>
      <c r="GC502">
        <v>2.3536475567476391</v>
      </c>
      <c r="GD502">
        <v>0.36820760261959706</v>
      </c>
      <c r="GE502">
        <v>0.73063239807817504</v>
      </c>
      <c r="GF502">
        <v>3.0508975969101035</v>
      </c>
      <c r="GG502">
        <v>8.4972766710755856</v>
      </c>
      <c r="GH502">
        <v>11.165776359289314</v>
      </c>
      <c r="GI502">
        <v>29.659142546813865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0.31887755102040816</v>
      </c>
      <c r="E503" s="97">
        <f>+AD36</f>
        <v>82.41236476297253</v>
      </c>
      <c r="F503" s="102">
        <f>+D503-D505</f>
        <v>0</v>
      </c>
      <c r="G503" s="101">
        <f>+D503*E503</f>
        <v>26.27945304941726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11.776175213675213</v>
      </c>
      <c r="AO503">
        <v>79.872985499091982</v>
      </c>
      <c r="AP503">
        <v>719.74390623806119</v>
      </c>
      <c r="AQ503">
        <v>136.03687571459656</v>
      </c>
      <c r="AR503">
        <v>73.97560293262957</v>
      </c>
      <c r="AS503">
        <v>606.71216108347562</v>
      </c>
      <c r="AT503" t="e">
        <v>#DIV/0!</v>
      </c>
      <c r="AU503" t="e">
        <v>#DIV/0!</v>
      </c>
      <c r="AV503"/>
      <c r="AW503"/>
      <c r="FY503" s="211">
        <v>498</v>
      </c>
      <c r="FZ503">
        <v>11.181137925809029</v>
      </c>
      <c r="GA503">
        <v>19.755782673402784</v>
      </c>
      <c r="GB503">
        <v>21.259521079954482</v>
      </c>
      <c r="GC503">
        <v>0.55919844677556085</v>
      </c>
      <c r="GD503">
        <v>0.12159777664145638</v>
      </c>
      <c r="GE503">
        <v>0.22199256138141404</v>
      </c>
      <c r="GF503">
        <v>1.4647262253149904</v>
      </c>
      <c r="GG503">
        <v>2.8756575428894382</v>
      </c>
      <c r="GH503">
        <v>7.6426954455232705</v>
      </c>
      <c r="GI503">
        <v>23.489852377629401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87.64601542443198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11.657077991452992</v>
      </c>
      <c r="AO504">
        <v>75.728876354796824</v>
      </c>
      <c r="AP504">
        <v>397.05448594699669</v>
      </c>
      <c r="AQ504">
        <v>225.20937744070329</v>
      </c>
      <c r="AR504">
        <v>70.404415331746804</v>
      </c>
      <c r="AS504">
        <v>418.21099540868096</v>
      </c>
      <c r="AT504" t="e">
        <v>#DIV/0!</v>
      </c>
      <c r="AU504" t="e">
        <v>#DIV/0!</v>
      </c>
      <c r="AV504"/>
      <c r="AW504"/>
      <c r="FY504" s="211">
        <v>499</v>
      </c>
      <c r="FZ504">
        <v>29.26229319089628</v>
      </c>
      <c r="GA504">
        <v>39.402340122249264</v>
      </c>
      <c r="GB504">
        <v>50.807977260792825</v>
      </c>
      <c r="GC504">
        <v>2.3085373335672728</v>
      </c>
      <c r="GD504">
        <v>9.8362618435667654E-2</v>
      </c>
      <c r="GE504">
        <v>0.50313763199812478</v>
      </c>
      <c r="GF504">
        <v>4.2098829868513246</v>
      </c>
      <c r="GG504">
        <v>11.042635709147113</v>
      </c>
      <c r="GH504">
        <v>22.422890605804085</v>
      </c>
      <c r="GI504">
        <v>43.206459833700876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0.31887755102040816</v>
      </c>
      <c r="E505" s="97">
        <f>+AE36</f>
        <v>93.212032464710603</v>
      </c>
      <c r="F505" s="102">
        <f>+D505-D507</f>
        <v>0.31887755102040816</v>
      </c>
      <c r="G505" s="101">
        <f>+D505*E505</f>
        <v>29.723224637981698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16.687152777777776</v>
      </c>
      <c r="AO505">
        <v>138.61589726401638</v>
      </c>
      <c r="AP505">
        <v>1084.91740519473</v>
      </c>
      <c r="AQ505">
        <v>256.49888378186142</v>
      </c>
      <c r="AR505">
        <v>128.65529647428994</v>
      </c>
      <c r="AS505">
        <v>774.4443179304626</v>
      </c>
      <c r="AT505" t="e">
        <v>#DIV/0!</v>
      </c>
      <c r="AU505" t="e">
        <v>#DIV/0!</v>
      </c>
      <c r="AV505"/>
      <c r="AW505"/>
      <c r="FY505" s="211">
        <v>500</v>
      </c>
      <c r="FZ505">
        <v>49.145314125282184</v>
      </c>
      <c r="GA505">
        <v>52.738151343376472</v>
      </c>
      <c r="GB505">
        <v>41.246683770608911</v>
      </c>
      <c r="GC505">
        <v>2.3474984620834367</v>
      </c>
      <c r="GD505">
        <v>0.41738891183743088</v>
      </c>
      <c r="GE505">
        <v>0.46944603506092875</v>
      </c>
      <c r="GF505">
        <v>2.1473277186597555</v>
      </c>
      <c r="GG505">
        <v>4.4222787658267091</v>
      </c>
      <c r="GH505">
        <v>3.6144188009915013</v>
      </c>
      <c r="GI505">
        <v>47.98635491834839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98.882639024226819</v>
      </c>
      <c r="I506" s="101">
        <f>+H506*F505</f>
        <v>31.531453770480489</v>
      </c>
      <c r="J506" s="101">
        <f>+I506*$A$440</f>
        <v>882.88070557345372</v>
      </c>
      <c r="K506" s="61">
        <f>IF(AND(J506&lt;0, J504&lt;0), 0, J506)</f>
        <v>882.88070557345372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9.8360309829059815</v>
      </c>
      <c r="AO506">
        <v>85.099782612500945</v>
      </c>
      <c r="AP506">
        <v>687.96204361074103</v>
      </c>
      <c r="AQ506">
        <v>175.36104703841008</v>
      </c>
      <c r="AR506">
        <v>79.011405331882315</v>
      </c>
      <c r="AS506">
        <v>585.3401691851783</v>
      </c>
      <c r="AT506" t="e">
        <v>#DIV/0!</v>
      </c>
      <c r="AU506" t="e">
        <v>#DIV/0!</v>
      </c>
      <c r="AV506"/>
      <c r="AW506"/>
      <c r="FY506" s="211">
        <v>501</v>
      </c>
      <c r="FZ506">
        <v>46.426208343717292</v>
      </c>
      <c r="GA506">
        <v>49.683070111536097</v>
      </c>
      <c r="GB506">
        <v>44.409767604452277</v>
      </c>
      <c r="GC506">
        <v>1.9430941337975378</v>
      </c>
      <c r="GD506">
        <v>0.32444827901427609</v>
      </c>
      <c r="GE506">
        <v>0.4786147090076619</v>
      </c>
      <c r="GF506">
        <v>2.3648597067947339</v>
      </c>
      <c r="GG506">
        <v>4.6071152408139096</v>
      </c>
      <c r="GH506">
        <v>9.6111648241764271</v>
      </c>
      <c r="GI506">
        <v>44.709833113035515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104.89822013158376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12.043496260683758</v>
      </c>
      <c r="AO507">
        <v>74.825555148463053</v>
      </c>
      <c r="AP507">
        <v>641.80602408799609</v>
      </c>
      <c r="AQ507">
        <v>176.33146750961239</v>
      </c>
      <c r="AR507">
        <v>69.448170246973731</v>
      </c>
      <c r="AS507">
        <v>424.82046780226784</v>
      </c>
      <c r="AT507" t="e">
        <v>#DIV/0!</v>
      </c>
      <c r="AU507" t="e">
        <v>#DIV/0!</v>
      </c>
      <c r="AV507"/>
      <c r="AW507"/>
      <c r="FY507" s="211">
        <v>502</v>
      </c>
      <c r="FZ507">
        <v>11.181137925809029</v>
      </c>
      <c r="GA507">
        <v>17.920137832750079</v>
      </c>
      <c r="GB507">
        <v>57.733229794699213</v>
      </c>
      <c r="GC507">
        <v>2.9015907404716925</v>
      </c>
      <c r="GD507">
        <v>0.14212194204098866</v>
      </c>
      <c r="GE507">
        <v>0.4786147090076619</v>
      </c>
      <c r="GF507">
        <v>1.8999394295441325</v>
      </c>
      <c r="GG507">
        <v>2.8193007419730334</v>
      </c>
      <c r="GH507">
        <v>11.67097209005504</v>
      </c>
      <c r="GI507">
        <v>42.704425521078967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111.02227446009096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12.466239316239315</v>
      </c>
      <c r="AO508">
        <v>107.82819141370153</v>
      </c>
      <c r="AP508">
        <v>645.88665171980279</v>
      </c>
      <c r="AQ508">
        <v>206.69110405991054</v>
      </c>
      <c r="AR508">
        <v>99.899918380571904</v>
      </c>
      <c r="AS508">
        <v>588.35667868075518</v>
      </c>
      <c r="AT508" t="e">
        <v>#DIV/0!</v>
      </c>
      <c r="AU508" t="e">
        <v>#DIV/0!</v>
      </c>
      <c r="AV508"/>
      <c r="AW508"/>
      <c r="FY508" s="211">
        <v>503</v>
      </c>
      <c r="FZ508">
        <v>31.861473540294803</v>
      </c>
      <c r="GA508">
        <v>40.320162542575616</v>
      </c>
      <c r="GB508">
        <v>72.159329259486455</v>
      </c>
      <c r="GC508">
        <v>2.7427189601065818</v>
      </c>
      <c r="GD508">
        <v>0.22608566057860841</v>
      </c>
      <c r="GE508">
        <v>0.4786147090076619</v>
      </c>
      <c r="GF508">
        <v>2.1210570424089008</v>
      </c>
      <c r="GG508">
        <v>2.8756575428894382</v>
      </c>
      <c r="GH508">
        <v>3.6144188009915013</v>
      </c>
      <c r="GI508">
        <v>68.52940894212243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117.5038566987139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10.66068376068376</v>
      </c>
      <c r="AO509">
        <v>86.787292431235855</v>
      </c>
      <c r="AP509">
        <v>789.39154091214129</v>
      </c>
      <c r="AQ509">
        <v>169.93959193683199</v>
      </c>
      <c r="AR509">
        <v>80.520128616956157</v>
      </c>
      <c r="AS509">
        <v>415.24933527005373</v>
      </c>
      <c r="AT509" t="e">
        <v>#DIV/0!</v>
      </c>
      <c r="AU509" t="e">
        <v>#DIV/0!</v>
      </c>
      <c r="AV509"/>
      <c r="AW509"/>
      <c r="FY509" s="211">
        <v>504</v>
      </c>
      <c r="FZ509">
        <v>35.364995850074628</v>
      </c>
      <c r="GA509">
        <v>42.302872170240974</v>
      </c>
      <c r="GB509">
        <v>65.440007895957024</v>
      </c>
      <c r="GC509">
        <v>2.6396768841688871</v>
      </c>
      <c r="GD509">
        <v>9.2940632823154845E-2</v>
      </c>
      <c r="GE509">
        <v>6.4145476115377922E-2</v>
      </c>
      <c r="GF509">
        <v>0.90371910620953289</v>
      </c>
      <c r="GG509">
        <v>13.861936451120147</v>
      </c>
      <c r="GH509">
        <v>26.03730940679559</v>
      </c>
      <c r="GI509">
        <v>47.782850897574612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124.09777937264835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18.672662927350427</v>
      </c>
      <c r="AO510">
        <v>104.60911918763691</v>
      </c>
      <c r="AP510">
        <v>693.42858149080428</v>
      </c>
      <c r="AQ510">
        <v>238.88850167765358</v>
      </c>
      <c r="AR510">
        <v>96.995113992549804</v>
      </c>
      <c r="AS510">
        <v>824.610177285227</v>
      </c>
      <c r="AT510" t="e">
        <v>#DIV/0!</v>
      </c>
      <c r="AU510" t="e">
        <v>#DIV/0!</v>
      </c>
      <c r="AV510"/>
      <c r="AW510"/>
      <c r="FY510" s="211">
        <v>505</v>
      </c>
      <c r="FZ510">
        <v>37.097782749673648</v>
      </c>
      <c r="GA510">
        <v>38.207541802003519</v>
      </c>
      <c r="GB510">
        <v>44.861702929736175</v>
      </c>
      <c r="GC510">
        <v>1.6760134597708276</v>
      </c>
      <c r="GD510">
        <v>0.1913032512588225</v>
      </c>
      <c r="GE510">
        <v>0.19243642834613378</v>
      </c>
      <c r="GF510">
        <v>0.92984055450120318</v>
      </c>
      <c r="GG510">
        <v>1.5466212229372709</v>
      </c>
      <c r="GH510">
        <v>0</v>
      </c>
      <c r="GI510">
        <v>35.901886611522357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131.06173089032799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15.767147435897437</v>
      </c>
      <c r="AO511">
        <v>142.53146660724065</v>
      </c>
      <c r="AP511">
        <v>984.58471807194474</v>
      </c>
      <c r="AQ511">
        <v>173.08292457485339</v>
      </c>
      <c r="AR511">
        <v>132.16517716559409</v>
      </c>
      <c r="AS511">
        <v>986.15662534468947</v>
      </c>
      <c r="AT511" t="e">
        <v>#DIV/0!</v>
      </c>
      <c r="AU511" t="e">
        <v>#DIV/0!</v>
      </c>
      <c r="AV511"/>
      <c r="AW511"/>
      <c r="FY511" s="211">
        <v>506</v>
      </c>
      <c r="FZ511">
        <v>29.926784286944855</v>
      </c>
      <c r="GA511">
        <v>35.556648676162155</v>
      </c>
      <c r="GB511">
        <v>35.655888794519626</v>
      </c>
      <c r="GC511">
        <v>2.0233162585588294</v>
      </c>
      <c r="GD511">
        <v>0.46657022105526469</v>
      </c>
      <c r="GE511">
        <v>1.0514000218198007</v>
      </c>
      <c r="GF511">
        <v>3.4338679045559046</v>
      </c>
      <c r="GG511">
        <v>5.4931394541153544</v>
      </c>
      <c r="GH511">
        <v>5.582888179644657</v>
      </c>
      <c r="GI511">
        <v>35.889974335182401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138.14187426702318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16.428084935897438</v>
      </c>
      <c r="AO512">
        <v>143.56052183178943</v>
      </c>
      <c r="AP512">
        <v>816.83249928501357</v>
      </c>
      <c r="AQ512">
        <v>212.1973294590035</v>
      </c>
      <c r="AR512">
        <v>133.06245240032288</v>
      </c>
      <c r="AS512">
        <v>1285.3749720483613</v>
      </c>
      <c r="AT512" t="e">
        <v>#DIV/0!</v>
      </c>
      <c r="AU512" t="e">
        <v>#DIV/0!</v>
      </c>
      <c r="AV512"/>
      <c r="AW512"/>
      <c r="FY512" s="211">
        <v>507</v>
      </c>
      <c r="FZ512">
        <v>30.197765410395412</v>
      </c>
      <c r="GA512">
        <v>36.057081498975066</v>
      </c>
      <c r="GB512">
        <v>14.418836316859444</v>
      </c>
      <c r="GC512">
        <v>1.2634421116319849</v>
      </c>
      <c r="GD512">
        <v>0.12159777664145635</v>
      </c>
      <c r="GE512">
        <v>0.12829095223075584</v>
      </c>
      <c r="GF512">
        <v>0</v>
      </c>
      <c r="GG512">
        <v>0</v>
      </c>
      <c r="GH512">
        <v>4.0282766445317693</v>
      </c>
      <c r="GI512">
        <v>22.82019338308525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145.60449718136854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10.742321047008547</v>
      </c>
      <c r="AO513">
        <v>74.732466704369315</v>
      </c>
      <c r="AP513">
        <v>713.45298043050013</v>
      </c>
      <c r="AQ513">
        <v>123.53344421929319</v>
      </c>
      <c r="AR513">
        <v>69.239444456535765</v>
      </c>
      <c r="AS513">
        <v>377.95868051383871</v>
      </c>
      <c r="AT513" t="e">
        <v>#DIV/0!</v>
      </c>
      <c r="AU513" t="e">
        <v>#DIV/0!</v>
      </c>
      <c r="AV513"/>
      <c r="AW513"/>
      <c r="FY513" s="211">
        <v>508</v>
      </c>
      <c r="FZ513">
        <v>31.184084292361277</v>
      </c>
      <c r="GA513">
        <v>39.748223761213495</v>
      </c>
      <c r="GB513">
        <v>32.128533640255654</v>
      </c>
      <c r="GC513">
        <v>1.9370843938994495</v>
      </c>
      <c r="GD513">
        <v>9.2940632823154845E-2</v>
      </c>
      <c r="GE513">
        <v>2.9556133035280256E-2</v>
      </c>
      <c r="GF513">
        <v>2.1768855637220303</v>
      </c>
      <c r="GG513">
        <v>9.7699561901113494</v>
      </c>
      <c r="GH513">
        <v>22.836748449344356</v>
      </c>
      <c r="GI513">
        <v>28.288808694575913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153.18714823130037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8.2776041666666664</v>
      </c>
      <c r="AO514">
        <v>104.38960155795375</v>
      </c>
      <c r="AP514">
        <v>858.23486695529652</v>
      </c>
      <c r="AQ514">
        <v>88.572162055321826</v>
      </c>
      <c r="AR514">
        <v>96.8447317968606</v>
      </c>
      <c r="AS514">
        <v>541.58060123285009</v>
      </c>
      <c r="AT514" t="e">
        <v>#DIV/0!</v>
      </c>
      <c r="AU514" t="e">
        <v>#DIV/0!</v>
      </c>
      <c r="AV514"/>
      <c r="AW514"/>
      <c r="FY514" s="211">
        <v>509</v>
      </c>
      <c r="FZ514">
        <v>5.1983606987970479</v>
      </c>
      <c r="GA514">
        <v>9.6022648901955634</v>
      </c>
      <c r="GB514">
        <v>44.330206242433533</v>
      </c>
      <c r="GC514">
        <v>1.7504406415549201</v>
      </c>
      <c r="GD514">
        <v>0.22608566057860841</v>
      </c>
      <c r="GE514">
        <v>0.58195398675887211</v>
      </c>
      <c r="GF514">
        <v>2.9024186305127224</v>
      </c>
      <c r="GG514">
        <v>6.5246256972475116</v>
      </c>
      <c r="GH514">
        <v>11.257114246514771</v>
      </c>
      <c r="GI514">
        <v>43.340739229344116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161.1646812942061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12.885683760683758</v>
      </c>
      <c r="AO515">
        <v>97.37190669926062</v>
      </c>
      <c r="AP515">
        <v>721.16149940992386</v>
      </c>
      <c r="AQ515">
        <v>203.26451729344285</v>
      </c>
      <c r="AR515">
        <v>90.282195547011312</v>
      </c>
      <c r="AS515">
        <v>456.12598688962356</v>
      </c>
      <c r="AT515" t="e">
        <v>#DIV/0!</v>
      </c>
      <c r="AU515" t="e">
        <v>#DIV/0!</v>
      </c>
      <c r="AV515"/>
      <c r="AW515"/>
      <c r="FY515" s="211">
        <v>510</v>
      </c>
      <c r="FZ515">
        <v>34.64965809155931</v>
      </c>
      <c r="GA515">
        <v>39.324183074281457</v>
      </c>
      <c r="GB515">
        <v>41.725915573127857</v>
      </c>
      <c r="GC515">
        <v>2.4901943953474084</v>
      </c>
      <c r="GD515">
        <v>0.16264610744052097</v>
      </c>
      <c r="GE515">
        <v>0.64563046822043102</v>
      </c>
      <c r="GF515">
        <v>4.2943569814011422</v>
      </c>
      <c r="GG515">
        <v>6.6531053713183059</v>
      </c>
      <c r="GH515">
        <v>17.253860269699697</v>
      </c>
      <c r="GI515">
        <v>32.267325861743942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169.26606421742466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13.670966880341879</v>
      </c>
      <c r="AO516">
        <v>92.886731246494406</v>
      </c>
      <c r="AP516">
        <v>655.25107710062139</v>
      </c>
      <c r="AQ516">
        <v>204.53486285207575</v>
      </c>
      <c r="AR516">
        <v>86.137456574936706</v>
      </c>
      <c r="AS516">
        <v>675.57085462868156</v>
      </c>
      <c r="AT516" t="e">
        <v>#DIV/0!</v>
      </c>
      <c r="AU516" t="e">
        <v>#DIV/0!</v>
      </c>
      <c r="AV516"/>
      <c r="AW516"/>
      <c r="FY516" s="211">
        <v>511</v>
      </c>
      <c r="FZ516">
        <v>35.245070417908259</v>
      </c>
      <c r="GA516">
        <v>35.64624230355745</v>
      </c>
      <c r="GB516">
        <v>28.660214678752599</v>
      </c>
      <c r="GC516">
        <v>3.71793829164314</v>
      </c>
      <c r="GD516">
        <v>0.47540647936300551</v>
      </c>
      <c r="GE516">
        <v>0.4348566919808311</v>
      </c>
      <c r="GF516">
        <v>2.7083348377652134</v>
      </c>
      <c r="GG516">
        <v>6.7094621722347103</v>
      </c>
      <c r="GH516">
        <v>9.1973069806361583</v>
      </c>
      <c r="GI516">
        <v>33.647204283263555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177.77468528203724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12.741105769230769</v>
      </c>
      <c r="AO517">
        <v>63.343151285755667</v>
      </c>
      <c r="AP517">
        <v>351.55127138638278</v>
      </c>
      <c r="AQ517">
        <v>204.55817606634571</v>
      </c>
      <c r="AR517">
        <v>58.800659148711674</v>
      </c>
      <c r="AS517">
        <v>560.7494367430678</v>
      </c>
      <c r="AT517" t="e">
        <v>#DIV/0!</v>
      </c>
      <c r="AU517" t="e">
        <v>#DIV/0!</v>
      </c>
      <c r="AV517"/>
      <c r="AW517"/>
      <c r="FY517" s="211">
        <v>512</v>
      </c>
      <c r="FZ517">
        <v>23.077613610133366</v>
      </c>
      <c r="GA517">
        <v>28.368618497400014</v>
      </c>
      <c r="GB517">
        <v>44.371713807893578</v>
      </c>
      <c r="GC517">
        <v>1.4063654407315964</v>
      </c>
      <c r="GD517">
        <v>0.19943622967759167</v>
      </c>
      <c r="GE517">
        <v>0.61151011979415226</v>
      </c>
      <c r="GF517">
        <v>3.0246269206592489</v>
      </c>
      <c r="GG517">
        <v>2.8756575428894382</v>
      </c>
      <c r="GH517">
        <v>7.6426954455232705</v>
      </c>
      <c r="GI517">
        <v>41.383840165055659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177.77468528203724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13.332558760683758</v>
      </c>
      <c r="AO518">
        <v>148.08782964522669</v>
      </c>
      <c r="AP518">
        <v>1026.3540183741604</v>
      </c>
      <c r="AQ518">
        <v>149.45147072742984</v>
      </c>
      <c r="AR518">
        <v>137.49510903437775</v>
      </c>
      <c r="AS518">
        <v>928.25362522710213</v>
      </c>
      <c r="AT518" t="e">
        <v>#DIV/0!</v>
      </c>
      <c r="AU518" t="e">
        <v>#DIV/0!</v>
      </c>
      <c r="AV518"/>
      <c r="AW518"/>
      <c r="FY518" s="211">
        <v>513</v>
      </c>
      <c r="FZ518">
        <v>48.99425843399797</v>
      </c>
      <c r="GA518">
        <v>48.656022466653447</v>
      </c>
      <c r="GB518">
        <v>49.675717533475634</v>
      </c>
      <c r="GC518">
        <v>1.4332630537834485</v>
      </c>
      <c r="GD518">
        <v>0.219960395077124</v>
      </c>
      <c r="GE518">
        <v>0.57278531281213896</v>
      </c>
      <c r="GF518">
        <v>2.2983307100021535</v>
      </c>
      <c r="GG518">
        <v>9.472406113291342</v>
      </c>
      <c r="GH518">
        <v>16.840002426159433</v>
      </c>
      <c r="GI518">
        <v>49.658913149869598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18.938902243589745</v>
      </c>
      <c r="AO519">
        <v>188.34163573816562</v>
      </c>
      <c r="AP519">
        <v>1145.7014526372568</v>
      </c>
      <c r="AQ519">
        <v>224.92892700046195</v>
      </c>
      <c r="AR519">
        <v>174.62828400551194</v>
      </c>
      <c r="AS519">
        <v>1265.4871520769127</v>
      </c>
      <c r="AT519" t="e">
        <v>#DIV/0!</v>
      </c>
      <c r="AU519" t="e">
        <v>#DIV/0!</v>
      </c>
      <c r="AV519"/>
      <c r="AW519"/>
      <c r="FY519" s="211">
        <v>514</v>
      </c>
      <c r="FZ519">
        <v>40.563356548871674</v>
      </c>
      <c r="GA519">
        <v>41.878831483308929</v>
      </c>
      <c r="GB519">
        <v>38.191594330894851</v>
      </c>
      <c r="GC519">
        <v>2.1108971507602603</v>
      </c>
      <c r="GD519">
        <v>0.25203181159065352</v>
      </c>
      <c r="GE519">
        <v>1.0401812366779868</v>
      </c>
      <c r="GF519">
        <v>3.0641220973345709</v>
      </c>
      <c r="GG519">
        <v>7.9821416912704741</v>
      </c>
      <c r="GH519">
        <v>12.811725781627663</v>
      </c>
      <c r="GI519">
        <v>39.744907510447412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99.914876556902954</v>
      </c>
      <c r="H520" s="63" t="s">
        <v>30</v>
      </c>
      <c r="I520" s="101">
        <f>SUM(K458:K518)</f>
        <v>517.83705091451554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12.541800213675211</v>
      </c>
      <c r="AO520">
        <v>200.00360957054519</v>
      </c>
      <c r="AP520">
        <v>1531.9129166795831</v>
      </c>
      <c r="AQ520">
        <v>234.49045477107995</v>
      </c>
      <c r="AR520">
        <v>185.61368106477008</v>
      </c>
      <c r="AS520">
        <v>815.18098204053069</v>
      </c>
      <c r="AT520" t="e">
        <v>#DIV/0!</v>
      </c>
      <c r="AU520" t="e">
        <v>#DIV/0!</v>
      </c>
      <c r="AV520"/>
      <c r="AW520"/>
      <c r="FY520" s="211">
        <v>515</v>
      </c>
      <c r="FZ520">
        <v>40.714412240155866</v>
      </c>
      <c r="GA520">
        <v>45.536919673099895</v>
      </c>
      <c r="GB520">
        <v>28.385582437210243</v>
      </c>
      <c r="GC520">
        <v>3.1538665294940778</v>
      </c>
      <c r="GD520">
        <v>0.40570100474563942</v>
      </c>
      <c r="GE520">
        <v>0.51320405208775954</v>
      </c>
      <c r="GF520">
        <v>3.3709245324931132</v>
      </c>
      <c r="GG520">
        <v>4.0919802610087963</v>
      </c>
      <c r="GH520">
        <v>0</v>
      </c>
      <c r="GI520">
        <v>31.854885648705647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7.9168002136752138</v>
      </c>
      <c r="AO521">
        <v>70.37539305568005</v>
      </c>
      <c r="AP521">
        <v>487.80955029543406</v>
      </c>
      <c r="AQ521">
        <v>160.60512900974993</v>
      </c>
      <c r="AR521">
        <v>65.283295970018585</v>
      </c>
      <c r="AS521">
        <v>497.38685792985029</v>
      </c>
      <c r="AT521" t="e">
        <v>#DIV/0!</v>
      </c>
      <c r="AU521" t="e">
        <v>#DIV/0!</v>
      </c>
      <c r="AV521"/>
      <c r="AW521"/>
      <c r="FY521" s="211">
        <v>516</v>
      </c>
      <c r="FZ521">
        <v>16.499424056772433</v>
      </c>
      <c r="GA521">
        <v>17.797711116679348</v>
      </c>
      <c r="GB521">
        <v>54.082693466212675</v>
      </c>
      <c r="GC521">
        <v>1.8388297861691547</v>
      </c>
      <c r="GD521">
        <v>0.2493208187843971</v>
      </c>
      <c r="GE521">
        <v>0.18787221295513531</v>
      </c>
      <c r="GF521">
        <v>1.1770796156576415</v>
      </c>
      <c r="GG521">
        <v>7.6676092586905469</v>
      </c>
      <c r="GH521">
        <v>15.194053003821082</v>
      </c>
      <c r="GI521">
        <v>42.623336977206662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5.1827822718631884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11.381730769230767</v>
      </c>
      <c r="AO522">
        <v>24.673204278053095</v>
      </c>
      <c r="AP522">
        <v>196.27744506387518</v>
      </c>
      <c r="AQ522">
        <v>155.08047813255885</v>
      </c>
      <c r="AR522">
        <v>22.834692630169648</v>
      </c>
      <c r="AS522">
        <v>229.20343927935073</v>
      </c>
      <c r="AT522" t="e">
        <v>#DIV/0!</v>
      </c>
      <c r="AU522" t="e">
        <v>#DIV/0!</v>
      </c>
      <c r="AV522"/>
      <c r="AW522"/>
      <c r="FY522" s="211">
        <v>517</v>
      </c>
      <c r="FZ522">
        <v>53.244248761410937</v>
      </c>
      <c r="GA522">
        <v>51.466960887249847</v>
      </c>
      <c r="GB522">
        <v>62.659434759550365</v>
      </c>
      <c r="GC522">
        <v>3.0264815866023</v>
      </c>
      <c r="GD522">
        <v>0.20285050237281971</v>
      </c>
      <c r="GE522">
        <v>9.3701609150658172E-2</v>
      </c>
      <c r="GF522">
        <v>1.6562859931174834</v>
      </c>
      <c r="GG522">
        <v>7.7803228605233565</v>
      </c>
      <c r="GH522">
        <v>19.222329648352854</v>
      </c>
      <c r="GI522">
        <v>52.742630350757622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5.3313458783346306</v>
      </c>
      <c r="G523" s="63"/>
      <c r="H523" s="63" t="s">
        <v>103</v>
      </c>
      <c r="I523" s="123">
        <f>+I520*(365/I522)</f>
        <v>532.68076531595796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9.4061698717948712</v>
      </c>
      <c r="AO523">
        <v>108.8418161546261</v>
      </c>
      <c r="AP523">
        <v>903.37839701828739</v>
      </c>
      <c r="AQ523">
        <v>109.03548409435115</v>
      </c>
      <c r="AR523">
        <v>101.0480099924889</v>
      </c>
      <c r="AS523">
        <v>806.5543062033297</v>
      </c>
      <c r="AT523" t="e">
        <v>#DIV/0!</v>
      </c>
      <c r="AU523" t="e">
        <v>#DIV/0!</v>
      </c>
      <c r="AV523"/>
      <c r="AW523"/>
      <c r="FY523" s="211">
        <v>518</v>
      </c>
      <c r="FZ523">
        <v>25.796719391698247</v>
      </c>
      <c r="GA523">
        <v>33.47136491335911</v>
      </c>
      <c r="GB523">
        <v>64.068338624369943</v>
      </c>
      <c r="GC523">
        <v>1.2426274867295717</v>
      </c>
      <c r="GD523">
        <v>0.14483293484724508</v>
      </c>
      <c r="GE523">
        <v>0.21742834599041555</v>
      </c>
      <c r="GF523">
        <v>2.1473277186597555</v>
      </c>
      <c r="GG523">
        <v>10.543266801579986</v>
      </c>
      <c r="GH523">
        <v>26.865025093876127</v>
      </c>
      <c r="GI523">
        <v>53.149607741029804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8.5145833333333307</v>
      </c>
      <c r="AO524">
        <v>130.03162344816838</v>
      </c>
      <c r="AP524">
        <v>1173.1908924751308</v>
      </c>
      <c r="AQ524">
        <v>168.19282175134197</v>
      </c>
      <c r="AR524">
        <v>120.66810310297308</v>
      </c>
      <c r="AS524">
        <v>500.61273365650698</v>
      </c>
      <c r="AT524" t="e">
        <v>#DIV/0!</v>
      </c>
      <c r="AU524" t="e">
        <v>#DIV/0!</v>
      </c>
      <c r="AV524"/>
      <c r="AW524"/>
      <c r="FY524" s="211">
        <v>519</v>
      </c>
      <c r="FZ524">
        <v>26.543187409331395</v>
      </c>
      <c r="GA524">
        <v>30.416283681518742</v>
      </c>
      <c r="GB524">
        <v>60.896197690307623</v>
      </c>
      <c r="GC524">
        <v>2.3736192594758698</v>
      </c>
      <c r="GD524">
        <v>0.36820760261959706</v>
      </c>
      <c r="GE524">
        <v>0.8635278088646654</v>
      </c>
      <c r="GF524">
        <v>2.7773878595028108</v>
      </c>
      <c r="GG524">
        <v>7.9821416912704741</v>
      </c>
      <c r="GH524">
        <v>12.811725781627663</v>
      </c>
      <c r="GI524">
        <v>52.23737217837467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13.219751602564102</v>
      </c>
      <c r="AO525">
        <v>106.55931157393186</v>
      </c>
      <c r="AP525">
        <v>798.04348690285497</v>
      </c>
      <c r="AQ525">
        <v>125.71420992393766</v>
      </c>
      <c r="AR525">
        <v>98.86088254887656</v>
      </c>
      <c r="AS525">
        <v>1000.2989238897296</v>
      </c>
      <c r="AT525" t="e">
        <v>#DIV/0!</v>
      </c>
      <c r="AU525" t="e">
        <v>#DIV/0!</v>
      </c>
      <c r="AV525"/>
      <c r="AW525"/>
      <c r="FY525" s="211">
        <v>520</v>
      </c>
      <c r="FZ525">
        <v>21.344826710534349</v>
      </c>
      <c r="GA525">
        <v>32.25192852217144</v>
      </c>
      <c r="GB525">
        <v>57.994410350866119</v>
      </c>
      <c r="GC525">
        <v>1.8616623362603093</v>
      </c>
      <c r="GD525">
        <v>0.27526696979644222</v>
      </c>
      <c r="GE525">
        <v>0.45822724991911468</v>
      </c>
      <c r="GF525">
        <v>2.4636198015537913</v>
      </c>
      <c r="GG525">
        <v>1.6029780238536757</v>
      </c>
      <c r="GH525">
        <v>8.0565532890635385</v>
      </c>
      <c r="GI525">
        <v>50.306764805153954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11.731597222222222</v>
      </c>
      <c r="AO526">
        <v>132.30249498244052</v>
      </c>
      <c r="AP526">
        <v>1218.9411812072997</v>
      </c>
      <c r="AQ526">
        <v>179.46687619414007</v>
      </c>
      <c r="AR526">
        <v>122.72141099865206</v>
      </c>
      <c r="AS526">
        <v>519.95966561679882</v>
      </c>
      <c r="AT526" t="e">
        <v>#DIV/0!</v>
      </c>
      <c r="AU526" t="e">
        <v>#DIV/0!</v>
      </c>
      <c r="AV526"/>
      <c r="AW526"/>
      <c r="FY526" s="211">
        <v>521</v>
      </c>
      <c r="FZ526">
        <v>46.426208343717292</v>
      </c>
      <c r="GA526">
        <v>47.635404927417369</v>
      </c>
      <c r="GB526">
        <v>44.770253368212245</v>
      </c>
      <c r="GC526">
        <v>3.6968230226537355</v>
      </c>
      <c r="GD526">
        <v>0.28410322810418298</v>
      </c>
      <c r="GE526">
        <v>0.22659701993714865</v>
      </c>
      <c r="GF526">
        <v>3.0508975969101035</v>
      </c>
      <c r="GG526">
        <v>10.543266801579986</v>
      </c>
      <c r="GH526">
        <v>22.836748449344356</v>
      </c>
      <c r="GI526">
        <v>47.691217979378457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12.303645833333333</v>
      </c>
      <c r="AO527">
        <v>88.038377661765978</v>
      </c>
      <c r="AP527">
        <v>592.69373207617912</v>
      </c>
      <c r="AQ527">
        <v>156.4420371371049</v>
      </c>
      <c r="AR527">
        <v>81.566702509126486</v>
      </c>
      <c r="AS527">
        <v>626.22525608535113</v>
      </c>
      <c r="AT527" t="e">
        <v>#DIV/0!</v>
      </c>
      <c r="AU527" t="e">
        <v>#DIV/0!</v>
      </c>
      <c r="AV527"/>
      <c r="AW527"/>
      <c r="FY527" s="211">
        <v>522</v>
      </c>
      <c r="FZ527">
        <v>23.792951368648676</v>
      </c>
      <c r="GA527">
        <v>23.580687543816659</v>
      </c>
      <c r="GB527">
        <v>34.619219292103139</v>
      </c>
      <c r="GC527">
        <v>1.7805658525714503</v>
      </c>
      <c r="GD527">
        <v>0.27255597699018586</v>
      </c>
      <c r="GE527">
        <v>0.51320405208775954</v>
      </c>
      <c r="GF527">
        <v>1.1212510943445115</v>
      </c>
      <c r="GG527">
        <v>6.8942986472219117</v>
      </c>
      <c r="GH527">
        <v>15.194053003821082</v>
      </c>
      <c r="GI527">
        <v>36.627611591018344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14.748958333333331</v>
      </c>
      <c r="AO528">
        <v>127.67395761368789</v>
      </c>
      <c r="AP528">
        <v>820.10440842595358</v>
      </c>
      <c r="AQ528">
        <v>152.96207777975789</v>
      </c>
      <c r="AR528">
        <v>118.37454371913731</v>
      </c>
      <c r="AS528">
        <v>919.31036096339255</v>
      </c>
      <c r="AT528" t="e">
        <v>#DIV/0!</v>
      </c>
      <c r="AU528" t="e">
        <v>#DIV/0!</v>
      </c>
      <c r="AV528"/>
      <c r="AW528"/>
      <c r="FY528" s="211">
        <v>523</v>
      </c>
      <c r="FZ528">
        <v>47.803433781300072</v>
      </c>
      <c r="GA528">
        <v>47.821243271626557</v>
      </c>
      <c r="GB528">
        <v>50.448186000608111</v>
      </c>
      <c r="GC528">
        <v>1.2857197847211965</v>
      </c>
      <c r="GD528">
        <v>0.20013950956656326</v>
      </c>
      <c r="GE528">
        <v>1.0493499106247199</v>
      </c>
      <c r="GF528">
        <v>4.6241720206380137</v>
      </c>
      <c r="GG528">
        <v>4.4786355667431135</v>
      </c>
      <c r="GH528">
        <v>3.6144188009915013</v>
      </c>
      <c r="GI528">
        <v>43.907438385421202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13.780515491452991</v>
      </c>
      <c r="AO529">
        <v>89.725491317611159</v>
      </c>
      <c r="AP529">
        <v>494.4465315691051</v>
      </c>
      <c r="AQ529">
        <v>227.82165959512221</v>
      </c>
      <c r="AR529">
        <v>83.25754862094341</v>
      </c>
      <c r="AS529">
        <v>666.45282895686012</v>
      </c>
      <c r="AT529" t="e">
        <v>#DIV/0!</v>
      </c>
      <c r="AU529" t="e">
        <v>#DIV/0!</v>
      </c>
      <c r="AV529"/>
      <c r="AW529"/>
      <c r="FY529" s="211">
        <v>524</v>
      </c>
      <c r="FZ529">
        <v>40.443431116705312</v>
      </c>
      <c r="GA529">
        <v>43.200842009634286</v>
      </c>
      <c r="GB529">
        <v>33.264831376508489</v>
      </c>
      <c r="GC529">
        <v>0.97140304431264901</v>
      </c>
      <c r="GD529">
        <v>0.21724940227086759</v>
      </c>
      <c r="GE529">
        <v>0.57278531281213896</v>
      </c>
      <c r="GF529">
        <v>2.0806494939079898</v>
      </c>
      <c r="GG529">
        <v>10.745085632327104</v>
      </c>
      <c r="GH529">
        <v>28.510974516214468</v>
      </c>
      <c r="GI529">
        <v>46.131825211544218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17.501869658119652</v>
      </c>
      <c r="AO530">
        <v>150.22138938825373</v>
      </c>
      <c r="AP530">
        <v>806.745115162562</v>
      </c>
      <c r="AQ530">
        <v>187.63978964278448</v>
      </c>
      <c r="AR530">
        <v>139.30211897979464</v>
      </c>
      <c r="AS530">
        <v>1273.6835530329736</v>
      </c>
      <c r="AT530" t="e">
        <v>#DIV/0!</v>
      </c>
      <c r="AU530" t="e">
        <v>#DIV/0!</v>
      </c>
      <c r="AV530"/>
      <c r="AW530"/>
      <c r="FY530" s="211">
        <v>525</v>
      </c>
      <c r="FZ530">
        <v>39.577037666905802</v>
      </c>
      <c r="GA530">
        <v>42.283019589307933</v>
      </c>
      <c r="GB530">
        <v>16.995933480459751</v>
      </c>
      <c r="GC530">
        <v>3.2267959933299935</v>
      </c>
      <c r="GD530">
        <v>0.35651969552780555</v>
      </c>
      <c r="GE530">
        <v>0.29074249605252656</v>
      </c>
      <c r="GF530">
        <v>2.3648597067947339</v>
      </c>
      <c r="GG530">
        <v>8.6990955018227059</v>
      </c>
      <c r="GH530">
        <v>16.840002426159433</v>
      </c>
      <c r="GI530">
        <v>32.418783854344085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0</v>
      </c>
      <c r="E531" s="108" t="e">
        <f>E405</f>
        <v>#DIV/0!</v>
      </c>
      <c r="F531" s="102"/>
      <c r="G531" s="101" t="e">
        <f>D531*E531</f>
        <v>#DIV/0!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11.238675213675211</v>
      </c>
      <c r="AO531">
        <v>88.313362768930077</v>
      </c>
      <c r="AP531">
        <v>737.17968645936276</v>
      </c>
      <c r="AQ531">
        <v>158.02747637900103</v>
      </c>
      <c r="AR531">
        <v>81.82115399621209</v>
      </c>
      <c r="AS531">
        <v>384.90215121241863</v>
      </c>
      <c r="AT531" t="e">
        <v>#DIV/0!</v>
      </c>
      <c r="AU531" t="e">
        <v>#DIV/0!</v>
      </c>
      <c r="AV531"/>
      <c r="AW531"/>
      <c r="FY531" s="211">
        <v>526</v>
      </c>
      <c r="FZ531">
        <v>21.615807833984906</v>
      </c>
      <c r="GA531">
        <v>27.245426823026243</v>
      </c>
      <c r="GB531">
        <v>21.768998508274379</v>
      </c>
      <c r="GC531">
        <v>2.1459011343284558</v>
      </c>
      <c r="GD531">
        <v>0.2287966533848648</v>
      </c>
      <c r="GE531">
        <v>0.19704088690186838</v>
      </c>
      <c r="GF531">
        <v>2.0545280456163195</v>
      </c>
      <c r="GG531">
        <v>3.6489681543580739</v>
      </c>
      <c r="GH531">
        <v>15.699248734586812</v>
      </c>
      <c r="GI531">
        <v>32.638300818478193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 t="e">
        <f>E533-E531</f>
        <v>#DIV/0!</v>
      </c>
      <c r="I532" s="101">
        <f>AVERAGE(D531:D533)</f>
        <v>5.7291666666666661</v>
      </c>
      <c r="J532" s="101" t="e">
        <f>I532*H532</f>
        <v>#DIV/0!</v>
      </c>
      <c r="K532" s="61" t="e">
        <f>J532/(C533-C531)</f>
        <v>#DIV/0!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10.500868055555555</v>
      </c>
      <c r="AO532">
        <v>104.13642495901323</v>
      </c>
      <c r="AP532">
        <v>588.82920682145493</v>
      </c>
      <c r="AQ532">
        <v>157.3179303129491</v>
      </c>
      <c r="AR532">
        <v>96.638216453421009</v>
      </c>
      <c r="AS532">
        <v>694.05362812318901</v>
      </c>
      <c r="AT532" t="e">
        <v>#DIV/0!</v>
      </c>
      <c r="AU532" t="e">
        <v>#DIV/0!</v>
      </c>
      <c r="AV532"/>
      <c r="AW532"/>
      <c r="FY532" s="211">
        <v>527</v>
      </c>
      <c r="FZ532">
        <v>67.144492468784861</v>
      </c>
      <c r="GA532">
        <v>68.558869927068883</v>
      </c>
      <c r="GB532">
        <v>29.256952993625326</v>
      </c>
      <c r="GC532">
        <v>3.0293424339652244</v>
      </c>
      <c r="GD532">
        <v>0.30121312080848733</v>
      </c>
      <c r="GE532">
        <v>0.4786147090076619</v>
      </c>
      <c r="GF532">
        <v>1.8738179812524622</v>
      </c>
      <c r="GG532">
        <v>8.9966455786427133</v>
      </c>
      <c r="GH532">
        <v>14.780195160280819</v>
      </c>
      <c r="GI532">
        <v>35.485532558766053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11.458333333333332</v>
      </c>
      <c r="E533" s="108">
        <f>E406</f>
        <v>1.281492010437409</v>
      </c>
      <c r="F533" s="102"/>
      <c r="G533" s="101">
        <f>D533*E533</f>
        <v>14.68376261959531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14.677777777777777</v>
      </c>
      <c r="AO533">
        <v>158.18228437041984</v>
      </c>
      <c r="AP533">
        <v>929.52251880843994</v>
      </c>
      <c r="AQ533">
        <v>252.09524695908826</v>
      </c>
      <c r="AR533">
        <v>146.8716220280715</v>
      </c>
      <c r="AS533">
        <v>1302.4879322717675</v>
      </c>
      <c r="AT533" t="e">
        <v>#DIV/0!</v>
      </c>
      <c r="AU533" t="e">
        <v>#DIV/0!</v>
      </c>
      <c r="AV533"/>
      <c r="AW533"/>
      <c r="FY533" s="211">
        <v>528</v>
      </c>
      <c r="FZ533">
        <v>49.589670760346927</v>
      </c>
      <c r="GA533">
        <v>53.380762775870359</v>
      </c>
      <c r="GB533">
        <v>44.117822365938991</v>
      </c>
      <c r="GC533">
        <v>2.5842265292579771</v>
      </c>
      <c r="GD533">
        <v>0.20013950956656329</v>
      </c>
      <c r="GE533">
        <v>2.9556133035280256E-2</v>
      </c>
      <c r="GF533">
        <v>2.1212062703680847</v>
      </c>
      <c r="GG533">
        <v>16.720611638249665</v>
      </c>
      <c r="GH533">
        <v>25.945971519570133</v>
      </c>
      <c r="GI533">
        <v>49.337085583136904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6.1209432931309582</v>
      </c>
      <c r="I534" s="101">
        <f>AVERAGE(D533:D535)</f>
        <v>12.5</v>
      </c>
      <c r="J534" s="101">
        <f>I534*H534</f>
        <v>76.51179116413698</v>
      </c>
      <c r="K534" s="61">
        <f>J534/(C535-C533)</f>
        <v>1.86614124790578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14.87847222222222</v>
      </c>
      <c r="AO534">
        <v>158.18430740148273</v>
      </c>
      <c r="AP534">
        <v>1016.786335672361</v>
      </c>
      <c r="AQ534">
        <v>217.64653905214021</v>
      </c>
      <c r="AR534">
        <v>146.95507439202314</v>
      </c>
      <c r="AS534">
        <v>1005.7610498782858</v>
      </c>
      <c r="AT534" t="e">
        <v>#DIV/0!</v>
      </c>
      <c r="AU534" t="e">
        <v>#DIV/0!</v>
      </c>
      <c r="AV534"/>
      <c r="AW534"/>
      <c r="FY534" s="211">
        <v>529</v>
      </c>
      <c r="FZ534">
        <v>49.318689636896366</v>
      </c>
      <c r="GA534">
        <v>53.516390983455523</v>
      </c>
      <c r="GB534">
        <v>28.604521991352062</v>
      </c>
      <c r="GC534">
        <v>2.3055685681916196</v>
      </c>
      <c r="GD534">
        <v>0.26984498418392949</v>
      </c>
      <c r="GE534">
        <v>0.41903344828328243</v>
      </c>
      <c r="GF534">
        <v>1.4350191522935309</v>
      </c>
      <c r="GG534">
        <v>5.1064841483810355</v>
      </c>
      <c r="GH534">
        <v>9.1973069806361583</v>
      </c>
      <c r="GI534">
        <v>29.848539659079123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13.541666666666666</v>
      </c>
      <c r="E535" s="108">
        <f>E407</f>
        <v>7.4024353035683674</v>
      </c>
      <c r="F535" s="102"/>
      <c r="G535" s="101">
        <f>D535*E535</f>
        <v>100.24131140248831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14.402737713675211</v>
      </c>
      <c r="AO535">
        <v>116.97113352765606</v>
      </c>
      <c r="AP535">
        <v>1019.1684135642781</v>
      </c>
      <c r="AQ535">
        <v>197.26965096289351</v>
      </c>
      <c r="AR535">
        <v>108.40942640577322</v>
      </c>
      <c r="AS535">
        <v>634.34536403658694</v>
      </c>
      <c r="AT535" t="e">
        <v>#DIV/0!</v>
      </c>
      <c r="AU535" t="e">
        <v>#DIV/0!</v>
      </c>
      <c r="AV535"/>
      <c r="AW535"/>
      <c r="FY535" s="211">
        <v>530</v>
      </c>
      <c r="FZ535">
        <v>38.288607402371547</v>
      </c>
      <c r="GA535">
        <v>44.973296205920562</v>
      </c>
      <c r="GB535">
        <v>35.671475606101339</v>
      </c>
      <c r="GC535">
        <v>3.6556699444213376</v>
      </c>
      <c r="GD535">
        <v>0.38246584653985072</v>
      </c>
      <c r="GE535">
        <v>0.41446923289228399</v>
      </c>
      <c r="GF535">
        <v>2.3944175518570092</v>
      </c>
      <c r="GG535">
        <v>15.061276813479585</v>
      </c>
      <c r="GH535">
        <v>25.945971519570133</v>
      </c>
      <c r="GI535">
        <v>44.919852804938586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-4.7649887206859258</v>
      </c>
      <c r="I536" s="101">
        <f>AVERAGE(D535:D537)</f>
        <v>21.985479797979796</v>
      </c>
      <c r="J536" s="101">
        <f>I536*H536</f>
        <v>-104.76056325624201</v>
      </c>
      <c r="K536" s="61">
        <f>J536/(C537-C535)</f>
        <v>-3.1745625229164247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12.590237713675215</v>
      </c>
      <c r="AO536">
        <v>58.933269894994439</v>
      </c>
      <c r="AP536">
        <v>545.39653733221201</v>
      </c>
      <c r="AQ536">
        <v>176.61623805917276</v>
      </c>
      <c r="AR536">
        <v>54.762456703180398</v>
      </c>
      <c r="AS536">
        <v>438.93001116159297</v>
      </c>
      <c r="AT536" t="e">
        <v>#DIV/0!</v>
      </c>
      <c r="AU536" t="e">
        <v>#DIV/0!</v>
      </c>
      <c r="AV536"/>
      <c r="AW536"/>
      <c r="FY536" s="211">
        <v>531</v>
      </c>
      <c r="FZ536">
        <v>26.814168532781956</v>
      </c>
      <c r="GA536">
        <v>28.657030976746903</v>
      </c>
      <c r="GB536">
        <v>33.801489343828479</v>
      </c>
      <c r="GC536">
        <v>2.012354497857725</v>
      </c>
      <c r="GD536">
        <v>0.32444827901427609</v>
      </c>
      <c r="GE536">
        <v>0.89308394189994589</v>
      </c>
      <c r="GF536">
        <v>4.2125562397555258</v>
      </c>
      <c r="GG536">
        <v>7.5391295846197526</v>
      </c>
      <c r="GH536">
        <v>9.1973069806361583</v>
      </c>
      <c r="GI536">
        <v>41.395280338937042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30.429292929292924</v>
      </c>
      <c r="E537" s="108">
        <f>E408</f>
        <v>2.6374465828824412</v>
      </c>
      <c r="F537" s="102"/>
      <c r="G537" s="101">
        <f>D537*E537</f>
        <v>80.25563465589245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15.512807158119656</v>
      </c>
      <c r="AO537">
        <v>100.80265377570943</v>
      </c>
      <c r="AP537">
        <v>561.48489511373464</v>
      </c>
      <c r="AQ537">
        <v>227.16152073725488</v>
      </c>
      <c r="AR537">
        <v>93.586442885008921</v>
      </c>
      <c r="AS537">
        <v>875.43232935108801</v>
      </c>
      <c r="AT537" t="e">
        <v>#DIV/0!</v>
      </c>
      <c r="AU537" t="e">
        <v>#DIV/0!</v>
      </c>
      <c r="AV537"/>
      <c r="AW537"/>
      <c r="FY537" s="211">
        <v>532</v>
      </c>
      <c r="FZ537">
        <v>34.64965809155931</v>
      </c>
      <c r="GA537">
        <v>37.064497546696707</v>
      </c>
      <c r="GB537">
        <v>47.395713921700676</v>
      </c>
      <c r="GC537">
        <v>2.4733715851543416</v>
      </c>
      <c r="GD537">
        <v>0.46657022105526474</v>
      </c>
      <c r="GE537">
        <v>0.81516533328210028</v>
      </c>
      <c r="GF537">
        <v>3.2028129600780901</v>
      </c>
      <c r="GG537">
        <v>9.7699561901113494</v>
      </c>
      <c r="GH537">
        <v>22.836748449344356</v>
      </c>
      <c r="GI537">
        <v>44.847076916039072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-1.719645797453258</v>
      </c>
      <c r="I538" s="101">
        <f>AVERAGE(D537:D539)</f>
        <v>18.940608003108</v>
      </c>
      <c r="J538" s="101">
        <f>I538*H538</f>
        <v>-32.57113695375422</v>
      </c>
      <c r="K538" s="61">
        <f>J538/(C539-C537)</f>
        <v>-1.1632548912055078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10.173744658119656</v>
      </c>
      <c r="AO538">
        <v>54.861086463146556</v>
      </c>
      <c r="AP538">
        <v>377.25155682822702</v>
      </c>
      <c r="AQ538">
        <v>144.39639842262375</v>
      </c>
      <c r="AR538">
        <v>50.960666788881937</v>
      </c>
      <c r="AS538">
        <v>503.89646889001762</v>
      </c>
      <c r="AT538" t="e">
        <v>#DIV/0!</v>
      </c>
      <c r="AU538" t="e">
        <v>#DIV/0!</v>
      </c>
      <c r="AV538"/>
      <c r="AW538"/>
      <c r="FY538" s="211">
        <v>533</v>
      </c>
      <c r="FZ538">
        <v>12.913924825408044</v>
      </c>
      <c r="GA538">
        <v>17.496097145818034</v>
      </c>
      <c r="GB538">
        <v>74.893994203575588</v>
      </c>
      <c r="GC538">
        <v>2.6579974123101309</v>
      </c>
      <c r="GD538">
        <v>0.14212194204098866</v>
      </c>
      <c r="GE538">
        <v>0.25201768907051325</v>
      </c>
      <c r="GF538">
        <v>0.93327695127180799</v>
      </c>
      <c r="GG538">
        <v>6.9506554481383152</v>
      </c>
      <c r="GH538">
        <v>23.250606292884626</v>
      </c>
      <c r="GI538">
        <v>51.582907950841317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7.4519230769230766</v>
      </c>
      <c r="E539" s="108">
        <f>E409</f>
        <v>0.9178007854291832</v>
      </c>
      <c r="F539" s="102"/>
      <c r="G539" s="101">
        <f>D539*E539</f>
        <v>6.8393808529578557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13.35590277777778</v>
      </c>
      <c r="AO539">
        <v>89.131949536530669</v>
      </c>
      <c r="AP539">
        <v>674.70744063232553</v>
      </c>
      <c r="AQ539">
        <v>205.23273703224106</v>
      </c>
      <c r="AR539">
        <v>82.620424978188083</v>
      </c>
      <c r="AS539">
        <v>807.12853812644767</v>
      </c>
      <c r="AT539" t="e">
        <v>#DIV/0!</v>
      </c>
      <c r="AU539" t="e">
        <v>#DIV/0!</v>
      </c>
      <c r="AV539"/>
      <c r="AW539"/>
      <c r="FY539" s="211">
        <v>534</v>
      </c>
      <c r="FZ539">
        <v>25.081381633182936</v>
      </c>
      <c r="GA539">
        <v>30.916716504331646</v>
      </c>
      <c r="GB539">
        <v>32.999346207135524</v>
      </c>
      <c r="GC539">
        <v>2.0975947499367962</v>
      </c>
      <c r="GD539">
        <v>0.26100872587618862</v>
      </c>
      <c r="GE539">
        <v>1.0951580388466318</v>
      </c>
      <c r="GF539">
        <v>3.1199506186477013</v>
      </c>
      <c r="GG539">
        <v>9.7699561901113494</v>
      </c>
      <c r="GH539">
        <v>18.808471804812587</v>
      </c>
      <c r="GI539">
        <v>31.486588987987883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10.455234190798887</v>
      </c>
      <c r="I540" s="101">
        <f>AVERAGE(D539:D541)</f>
        <v>11.538461538461538</v>
      </c>
      <c r="J540" s="101">
        <f>I540*H540</f>
        <v>120.63731758614099</v>
      </c>
      <c r="K540" s="61">
        <f>J540/(C541-C539)</f>
        <v>5.0265548994225417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14.797702991452988</v>
      </c>
      <c r="AO540">
        <v>79.736004238704368</v>
      </c>
      <c r="AP540">
        <v>506.95071744322837</v>
      </c>
      <c r="AQ540">
        <v>206.13907711623756</v>
      </c>
      <c r="AR540">
        <v>74.109147801040649</v>
      </c>
      <c r="AS540">
        <v>739.43977470032451</v>
      </c>
      <c r="AT540" t="e">
        <v>#DIV/0!</v>
      </c>
      <c r="AU540" t="e">
        <v>#DIV/0!</v>
      </c>
      <c r="AV540"/>
      <c r="AW540"/>
      <c r="FY540" s="211">
        <v>535</v>
      </c>
      <c r="FZ540">
        <v>53.124323329244589</v>
      </c>
      <c r="GA540">
        <v>60.767611806584114</v>
      </c>
      <c r="GB540">
        <v>88.989521742644541</v>
      </c>
      <c r="GC540">
        <v>3.5710892543489452</v>
      </c>
      <c r="GD540">
        <v>0.34226145160755195</v>
      </c>
      <c r="GE540">
        <v>0.54276018512303981</v>
      </c>
      <c r="GF540">
        <v>2.8593378291076106</v>
      </c>
      <c r="GG540">
        <v>3.5926113534416686</v>
      </c>
      <c r="GH540">
        <v>3.6144188009915013</v>
      </c>
      <c r="GI540">
        <v>70.562454575186024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15.625</v>
      </c>
      <c r="E541" s="108">
        <f>E410</f>
        <v>11.37303497622807</v>
      </c>
      <c r="F541" s="102"/>
      <c r="G541" s="101">
        <f>D541*E541</f>
        <v>177.70367150356358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13.216239316239315</v>
      </c>
      <c r="AO541">
        <v>107.38576691560495</v>
      </c>
      <c r="AP541">
        <v>616.30747411460595</v>
      </c>
      <c r="AQ541">
        <v>163.0527904107048</v>
      </c>
      <c r="AR541">
        <v>99.656517803488384</v>
      </c>
      <c r="AS541">
        <v>665.04967271868088</v>
      </c>
      <c r="AT541" t="e">
        <v>#DIV/0!</v>
      </c>
      <c r="AU541" t="e">
        <v>#DIV/0!</v>
      </c>
      <c r="AV541"/>
      <c r="AW541"/>
      <c r="FY541" s="211">
        <v>536</v>
      </c>
      <c r="FZ541">
        <v>37.046936087206902</v>
      </c>
      <c r="GA541">
        <v>45.292776861855934</v>
      </c>
      <c r="GB541">
        <v>26.769610847138217</v>
      </c>
      <c r="GC541">
        <v>1.8075421710528172</v>
      </c>
      <c r="GD541">
        <v>9.2940632823154845E-2</v>
      </c>
      <c r="GE541">
        <v>0.29074249605252656</v>
      </c>
      <c r="GF541">
        <v>1.6822582134499693</v>
      </c>
      <c r="GG541">
        <v>7.1524742788854336</v>
      </c>
      <c r="GH541">
        <v>12.811725781627663</v>
      </c>
      <c r="GI541">
        <v>28.905017152106453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-10.514170016851672</v>
      </c>
      <c r="I542" s="101">
        <f>AVERAGE(D541:D543)</f>
        <v>10.416666666666666</v>
      </c>
      <c r="J542" s="101">
        <f>I542*H542</f>
        <v>-109.52260434220491</v>
      </c>
      <c r="K542" s="61">
        <f>J542/(C543-C541)</f>
        <v>-2.2817209237959357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11.941800213675215</v>
      </c>
      <c r="AO542">
        <v>92.31620933164433</v>
      </c>
      <c r="AP542">
        <v>504.48584213425181</v>
      </c>
      <c r="AQ542">
        <v>127.24301759294013</v>
      </c>
      <c r="AR542">
        <v>85.779096866847652</v>
      </c>
      <c r="AS542">
        <v>813.52104157279359</v>
      </c>
      <c r="AT542" t="e">
        <v>#DIV/0!</v>
      </c>
      <c r="AU542" t="e">
        <v>#DIV/0!</v>
      </c>
      <c r="AV542"/>
      <c r="AW542"/>
      <c r="FY542" s="211">
        <v>537</v>
      </c>
      <c r="FZ542">
        <v>26.663112841497757</v>
      </c>
      <c r="GA542">
        <v>30.929917995846075</v>
      </c>
      <c r="GB542">
        <v>44.378569632321643</v>
      </c>
      <c r="GC542">
        <v>1.4172484960031859</v>
      </c>
      <c r="GD542">
        <v>0.29579113519597455</v>
      </c>
      <c r="GE542">
        <v>0.9072858258914962</v>
      </c>
      <c r="GF542">
        <v>2.8727115574912627</v>
      </c>
      <c r="GG542">
        <v>11.815946320615748</v>
      </c>
      <c r="GH542">
        <v>18.394613961272317</v>
      </c>
      <c r="GI542">
        <v>47.468031892848856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5.208333333333333</v>
      </c>
      <c r="E543" s="108">
        <f>E411</f>
        <v>0.85886495937639695</v>
      </c>
      <c r="F543" s="102"/>
      <c r="G543" s="101">
        <f>D543*E543</f>
        <v>4.4732549967520674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13.045966880341879</v>
      </c>
      <c r="AO543">
        <v>139.88649857396311</v>
      </c>
      <c r="AP543">
        <v>1092.7363149073974</v>
      </c>
      <c r="AQ543">
        <v>229.90567693220248</v>
      </c>
      <c r="AR543">
        <v>129.72404381562311</v>
      </c>
      <c r="AS543">
        <v>860.2612547626386</v>
      </c>
      <c r="AT543" t="e">
        <v>#DIV/0!</v>
      </c>
      <c r="AU543" t="e">
        <v>#DIV/0!</v>
      </c>
      <c r="AV543"/>
      <c r="AW543"/>
      <c r="FY543" s="211">
        <v>538</v>
      </c>
      <c r="FZ543">
        <v>64.967348934121077</v>
      </c>
      <c r="GA543">
        <v>69.327862648295635</v>
      </c>
      <c r="GB543">
        <v>28.129996450844935</v>
      </c>
      <c r="GC543">
        <v>1.991539872955312</v>
      </c>
      <c r="GD543">
        <v>0.2493208187843971</v>
      </c>
      <c r="GE543">
        <v>0.4786147090076619</v>
      </c>
      <c r="GF543">
        <v>3.7108140387338029</v>
      </c>
      <c r="GG543">
        <v>12.460777258013589</v>
      </c>
      <c r="GH543">
        <v>24.482697871682696</v>
      </c>
      <c r="GI543">
        <v>37.169804257555022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-0.47375291425714322</v>
      </c>
      <c r="I544" s="101">
        <f>AVERAGE(D543:D545)</f>
        <v>5.208333333333333</v>
      </c>
      <c r="J544" s="101">
        <f>I544*H544</f>
        <v>-2.4674630950892875</v>
      </c>
      <c r="K544" s="61">
        <f>J544/(C545-C543)</f>
        <v>-3.9166080874433136E-2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14.774572649572651</v>
      </c>
      <c r="AO544">
        <v>134.17105576206387</v>
      </c>
      <c r="AP544">
        <v>896.55999298193387</v>
      </c>
      <c r="AQ544">
        <v>244.02705308534087</v>
      </c>
      <c r="AR544">
        <v>124.43460362091949</v>
      </c>
      <c r="AS544">
        <v>959.60891227813318</v>
      </c>
      <c r="AT544" t="e">
        <v>#DIV/0!</v>
      </c>
      <c r="AU544" t="e">
        <v>#DIV/0!</v>
      </c>
      <c r="AV544"/>
      <c r="AW544"/>
      <c r="FY544" s="211">
        <v>539</v>
      </c>
      <c r="FZ544">
        <v>33.903190073926169</v>
      </c>
      <c r="GA544">
        <v>32.776999415926277</v>
      </c>
      <c r="GB544">
        <v>54.305386936036626</v>
      </c>
      <c r="GC544">
        <v>2.9776690968427721</v>
      </c>
      <c r="GD544">
        <v>0.22337466777235196</v>
      </c>
      <c r="GE544">
        <v>0.52237272603449258</v>
      </c>
      <c r="GF544">
        <v>3.1200998466068857</v>
      </c>
      <c r="GG544">
        <v>13.418924344469421</v>
      </c>
      <c r="GH544">
        <v>22.422890605804085</v>
      </c>
      <c r="GI544">
        <v>57.385562016275273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5.208333333333333</v>
      </c>
      <c r="E545" s="108">
        <f>E412</f>
        <v>0.38511204511925373</v>
      </c>
      <c r="F545" s="102"/>
      <c r="G545" s="101">
        <f>D545*E545</f>
        <v>2.0057919016627799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9.1006944444444464</v>
      </c>
      <c r="AO545">
        <v>71.79417750482412</v>
      </c>
      <c r="AP545">
        <v>534.38199806774855</v>
      </c>
      <c r="AQ545">
        <v>180.02139955275265</v>
      </c>
      <c r="AR545">
        <v>66.558625384139773</v>
      </c>
      <c r="AS545">
        <v>495.05597518419404</v>
      </c>
      <c r="AT545" t="e">
        <v>#DIV/0!</v>
      </c>
      <c r="AU545" t="e">
        <v>#DIV/0!</v>
      </c>
      <c r="AV545"/>
      <c r="AW545"/>
      <c r="FY545" s="211">
        <v>540</v>
      </c>
      <c r="FZ545">
        <v>47.14154610223261</v>
      </c>
      <c r="GA545">
        <v>50.826114366842916</v>
      </c>
      <c r="GB545">
        <v>7.0260300051089573</v>
      </c>
      <c r="GC545">
        <v>2.0143724230464661</v>
      </c>
      <c r="GD545">
        <v>0.20013950956656326</v>
      </c>
      <c r="GE545">
        <v>0.48778338295439488</v>
      </c>
      <c r="GF545">
        <v>3.9283460268687813</v>
      </c>
      <c r="GG545">
        <v>5.4931394541153544</v>
      </c>
      <c r="GH545">
        <v>5.582888179644657</v>
      </c>
      <c r="GI545">
        <v>22.093488436717241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3.2220263390579169</v>
      </c>
      <c r="I546" s="101">
        <f>AVERAGE(D545:D547)</f>
        <v>7.8124999999999982</v>
      </c>
      <c r="J546" s="101">
        <f>I546*H546</f>
        <v>25.17208077388997</v>
      </c>
      <c r="K546" s="61">
        <f>J546/(C547-C545)</f>
        <v>0.64543796856128133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18.187633547008545</v>
      </c>
      <c r="AO546">
        <v>162.14299663680004</v>
      </c>
      <c r="AP546">
        <v>808.7101994302941</v>
      </c>
      <c r="AQ546">
        <v>211.7075029280922</v>
      </c>
      <c r="AR546">
        <v>150.28041263179406</v>
      </c>
      <c r="AS546">
        <v>1174.5203955206182</v>
      </c>
      <c r="AT546" t="e">
        <v>#DIV/0!</v>
      </c>
      <c r="AU546" t="e">
        <v>#DIV/0!</v>
      </c>
      <c r="AV546"/>
      <c r="AW546"/>
      <c r="FY546" s="211">
        <v>541</v>
      </c>
      <c r="FZ546">
        <v>26.663112841497757</v>
      </c>
      <c r="GA546">
        <v>28.882252811727348</v>
      </c>
      <c r="GB546">
        <v>53.013689436790045</v>
      </c>
      <c r="GC546">
        <v>2.8050660127578988</v>
      </c>
      <c r="GD546">
        <v>0.33613618610606755</v>
      </c>
      <c r="GE546">
        <v>1.0951580388466318</v>
      </c>
      <c r="GF546">
        <v>2.6550303413970995</v>
      </c>
      <c r="GG546">
        <v>3.8901614302616783</v>
      </c>
      <c r="GH546">
        <v>13.639441468708196</v>
      </c>
      <c r="GI546">
        <v>42.73922854790839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10.416666666666664</v>
      </c>
      <c r="E547" s="108">
        <f>E413</f>
        <v>3.6071383841771705</v>
      </c>
      <c r="F547" s="102"/>
      <c r="G547" s="101">
        <f>D547*E547</f>
        <v>37.574358168512184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16.745753205128203</v>
      </c>
      <c r="AO547">
        <v>129.43048707516294</v>
      </c>
      <c r="AP547">
        <v>785.13108772769124</v>
      </c>
      <c r="AQ547">
        <v>154.84684871607777</v>
      </c>
      <c r="AR547">
        <v>119.98379257302419</v>
      </c>
      <c r="AS547">
        <v>1356.9210630148073</v>
      </c>
      <c r="AT547" t="e">
        <v>#DIV/0!</v>
      </c>
      <c r="AU547" t="e">
        <v>#DIV/0!</v>
      </c>
      <c r="AV547"/>
      <c r="AW547"/>
      <c r="FY547" s="211">
        <v>542</v>
      </c>
      <c r="FZ547">
        <v>22.362275851618058</v>
      </c>
      <c r="GA547">
        <v>33.792610481381431</v>
      </c>
      <c r="GB547">
        <v>10.434268619059278</v>
      </c>
      <c r="GC547">
        <v>1.7203154305383892</v>
      </c>
      <c r="GD547">
        <v>0.2493208187843971</v>
      </c>
      <c r="GE547">
        <v>0.87269648281139856</v>
      </c>
      <c r="GF547">
        <v>3.4337186765967198</v>
      </c>
      <c r="GG547">
        <v>3.8901614302616783</v>
      </c>
      <c r="GH547">
        <v>13.639441468708196</v>
      </c>
      <c r="GI547">
        <v>22.024369363447899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#DIV/0!</v>
      </c>
      <c r="I548" s="101">
        <f>AVERAGE(D547:D549)</f>
        <v>5.2083333333333321</v>
      </c>
      <c r="J548" s="101" t="e">
        <f>I548*H548</f>
        <v>#DIV/0!</v>
      </c>
      <c r="K548" s="61" t="e">
        <f>J548/(C549-C547)</f>
        <v>#DIV/0!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12.013715277777777</v>
      </c>
      <c r="AO548">
        <v>75.426614263251878</v>
      </c>
      <c r="AP548">
        <v>595.78951254388005</v>
      </c>
      <c r="AQ548">
        <v>203.52157121502125</v>
      </c>
      <c r="AR548">
        <v>69.940896717878942</v>
      </c>
      <c r="AS548">
        <v>402.77861179928914</v>
      </c>
      <c r="AT548" t="e">
        <v>#DIV/0!</v>
      </c>
      <c r="AU548" t="e">
        <v>#DIV/0!</v>
      </c>
      <c r="AV548"/>
      <c r="AW548"/>
      <c r="FY548" s="211">
        <v>543</v>
      </c>
      <c r="FZ548">
        <v>46.004171528982546</v>
      </c>
      <c r="GA548">
        <v>49.407859123703652</v>
      </c>
      <c r="GB548">
        <v>16.698955866869355</v>
      </c>
      <c r="GC548">
        <v>1.0610018617028212</v>
      </c>
      <c r="GD548">
        <v>9.8362618435667654E-2</v>
      </c>
      <c r="GE548">
        <v>9.3701609150658172E-2</v>
      </c>
      <c r="GF548">
        <v>1.929646502565592</v>
      </c>
      <c r="GG548">
        <v>11.815946320615748</v>
      </c>
      <c r="GH548">
        <v>22.422890605804085</v>
      </c>
      <c r="GI548">
        <v>20.186550404431326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0</v>
      </c>
      <c r="E549" s="108" t="e">
        <f>E414</f>
        <v>#DIV/0!</v>
      </c>
      <c r="F549" s="102"/>
      <c r="G549" s="101" t="e">
        <f>D549*E549</f>
        <v>#DIV/0!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12.406944444444445</v>
      </c>
      <c r="AO549">
        <v>142.48967253815954</v>
      </c>
      <c r="AP549">
        <v>981.59952738398249</v>
      </c>
      <c r="AQ549">
        <v>191.07359986135936</v>
      </c>
      <c r="AR549">
        <v>132.33465297865098</v>
      </c>
      <c r="AS549">
        <v>794.54897208746513</v>
      </c>
      <c r="AT549" t="e">
        <v>#DIV/0!</v>
      </c>
      <c r="AU549" t="e">
        <v>#DIV/0!</v>
      </c>
      <c r="AV549"/>
      <c r="AW549"/>
      <c r="FY549" s="211">
        <v>544</v>
      </c>
      <c r="FZ549">
        <v>35.245070417908259</v>
      </c>
      <c r="GA549">
        <v>39.953593015260921</v>
      </c>
      <c r="GB549">
        <v>56.368416347540183</v>
      </c>
      <c r="GC549">
        <v>1.9198948331046291</v>
      </c>
      <c r="GD549">
        <v>0.32173728620801972</v>
      </c>
      <c r="GE549">
        <v>0.83397167582938536</v>
      </c>
      <c r="GF549">
        <v>1.7514604631467512</v>
      </c>
      <c r="GG549">
        <v>0.82966741238504016</v>
      </c>
      <c r="GH549">
        <v>0</v>
      </c>
      <c r="GI549">
        <v>52.210184313699898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#DIV/0!</v>
      </c>
      <c r="I550" s="101">
        <f>AVERAGE(D549:D551)</f>
        <v>0</v>
      </c>
      <c r="J550" s="101" t="e">
        <f>I550*H550</f>
        <v>#DIV/0!</v>
      </c>
      <c r="K550" s="61" t="e">
        <f>J550/(C551-C549)</f>
        <v>#DIV/0!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12.328084935897435</v>
      </c>
      <c r="AO550">
        <v>86.046587316044821</v>
      </c>
      <c r="AP550">
        <v>739.39793283441645</v>
      </c>
      <c r="AQ550">
        <v>155.63617346086923</v>
      </c>
      <c r="AR550">
        <v>79.819926574947203</v>
      </c>
      <c r="AS550">
        <v>366.27511137944526</v>
      </c>
      <c r="AT550" t="e">
        <v>#DIV/0!</v>
      </c>
      <c r="AU550" t="e">
        <v>#DIV/0!</v>
      </c>
      <c r="AV550"/>
      <c r="AW550"/>
      <c r="FY550" s="211">
        <v>545</v>
      </c>
      <c r="FZ550">
        <v>30.995080090495296</v>
      </c>
      <c r="GA550">
        <v>37.142654594664521</v>
      </c>
      <c r="GB550">
        <v>44.357386781433618</v>
      </c>
      <c r="GC550">
        <v>0.22277870325914856</v>
      </c>
      <c r="GD550">
        <v>0.14212194204098863</v>
      </c>
      <c r="GE550">
        <v>0.76935720506018845</v>
      </c>
      <c r="GF550">
        <v>3.5560761947024315</v>
      </c>
      <c r="GG550">
        <v>3.8901614302616783</v>
      </c>
      <c r="GH550">
        <v>5.582888179644657</v>
      </c>
      <c r="GI550">
        <v>43.168067216851554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20.329647435897435</v>
      </c>
      <c r="AO551">
        <v>189.17295311228764</v>
      </c>
      <c r="AP551">
        <v>1379.3333389867282</v>
      </c>
      <c r="AQ551">
        <v>287.96639032827954</v>
      </c>
      <c r="AR551">
        <v>175.35458375933354</v>
      </c>
      <c r="AS551">
        <v>1296.5348336104039</v>
      </c>
      <c r="AT551" t="e">
        <v>#DIV/0!</v>
      </c>
      <c r="AU551" t="e">
        <v>#DIV/0!</v>
      </c>
      <c r="AV551"/>
      <c r="AW551"/>
      <c r="FY551" s="211">
        <v>546</v>
      </c>
      <c r="FZ551">
        <v>39.766041868771779</v>
      </c>
      <c r="GA551">
        <v>50.39552327781503</v>
      </c>
      <c r="GB551">
        <v>46.041480877330763</v>
      </c>
      <c r="GC551">
        <v>2.2762862793492715</v>
      </c>
      <c r="GD551">
        <v>0.2287966533848648</v>
      </c>
      <c r="GE551">
        <v>0.45822724991911468</v>
      </c>
      <c r="GF551">
        <v>2.2459385854596281</v>
      </c>
      <c r="GG551">
        <v>3.8901614302616783</v>
      </c>
      <c r="GH551">
        <v>21.695994757771736</v>
      </c>
      <c r="GI551">
        <v>48.236847817937374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11.723571047008548</v>
      </c>
      <c r="AO552">
        <v>122.50873156997871</v>
      </c>
      <c r="AP552">
        <v>831.25363247892096</v>
      </c>
      <c r="AQ552">
        <v>161.85202452219909</v>
      </c>
      <c r="AR552">
        <v>113.55879961943872</v>
      </c>
      <c r="AS552">
        <v>719.64095383033396</v>
      </c>
      <c r="AT552" t="e">
        <v>#DIV/0!</v>
      </c>
      <c r="AU552" t="e">
        <v>#DIV/0!</v>
      </c>
      <c r="AV552"/>
      <c r="AW552"/>
      <c r="FY552" s="211">
        <v>547</v>
      </c>
      <c r="FZ552">
        <v>12.913924825408044</v>
      </c>
      <c r="GA552">
        <v>21.803447857521505</v>
      </c>
      <c r="GB552">
        <v>44.846239348400708</v>
      </c>
      <c r="GC552">
        <v>2.8082149052930623</v>
      </c>
      <c r="GD552">
        <v>0.37091859542585337</v>
      </c>
      <c r="GE552">
        <v>0.58720157254823091</v>
      </c>
      <c r="GF552">
        <v>5.9157386236479468</v>
      </c>
      <c r="GG552">
        <v>7.9257848903540697</v>
      </c>
      <c r="GH552">
        <v>16.840002426159433</v>
      </c>
      <c r="GI552">
        <v>44.488263938339003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17.407986111111111</v>
      </c>
      <c r="AO553">
        <v>126.44029489337204</v>
      </c>
      <c r="AP553">
        <v>819.3487223381062</v>
      </c>
      <c r="AQ553">
        <v>185.1432296589843</v>
      </c>
      <c r="AR553">
        <v>117.25418928325207</v>
      </c>
      <c r="AS553">
        <v>1326.3582328870948</v>
      </c>
      <c r="AT553" t="e">
        <v>#DIV/0!</v>
      </c>
      <c r="AU553" t="e">
        <v>#DIV/0!</v>
      </c>
      <c r="AV553"/>
      <c r="AW553"/>
      <c r="FY553" s="211">
        <v>548</v>
      </c>
      <c r="FZ553">
        <v>53.921638009344463</v>
      </c>
      <c r="GA553">
        <v>52.250920012077984</v>
      </c>
      <c r="GB553">
        <v>43.920065662685197</v>
      </c>
      <c r="GC553">
        <v>1.9199735385341439</v>
      </c>
      <c r="GD553">
        <v>0.31561202070653527</v>
      </c>
      <c r="GE553">
        <v>0.46944603506092875</v>
      </c>
      <c r="GF553">
        <v>1.0259273963560593</v>
      </c>
      <c r="GG553">
        <v>10.212968296762071</v>
      </c>
      <c r="GH553">
        <v>26.451167250335857</v>
      </c>
      <c r="GI553">
        <v>45.993400468984255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12.926736111111111</v>
      </c>
      <c r="AO554">
        <v>87.91166894234955</v>
      </c>
      <c r="AP554">
        <v>579.27797419106298</v>
      </c>
      <c r="AQ554">
        <v>242.96877685999414</v>
      </c>
      <c r="AR554">
        <v>81.583334283095894</v>
      </c>
      <c r="AS554">
        <v>460.49784834715786</v>
      </c>
      <c r="AT554" t="e">
        <v>#DIV/0!</v>
      </c>
      <c r="AU554" t="e">
        <v>#DIV/0!</v>
      </c>
      <c r="AV554"/>
      <c r="AW554"/>
      <c r="FY554" s="211">
        <v>549</v>
      </c>
      <c r="FZ554">
        <v>60.295321791973372</v>
      </c>
      <c r="GA554">
        <v>63.206484588959448</v>
      </c>
      <c r="GB554">
        <v>41.194418885825215</v>
      </c>
      <c r="GC554">
        <v>3.1405641286706141</v>
      </c>
      <c r="GD554">
        <v>0.25203181159065352</v>
      </c>
      <c r="GE554">
        <v>0.42363790683901698</v>
      </c>
      <c r="GF554">
        <v>4.4455092007027242</v>
      </c>
      <c r="GG554">
        <v>6.15373646375118</v>
      </c>
      <c r="GH554">
        <v>13.639441468708196</v>
      </c>
      <c r="GI554">
        <v>46.997399850342369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15.604567307692307</v>
      </c>
      <c r="AO555">
        <v>101.48568834713724</v>
      </c>
      <c r="AP555">
        <v>598.57557450325032</v>
      </c>
      <c r="AQ555">
        <v>221.05646972969436</v>
      </c>
      <c r="AR555">
        <v>94.199234137659232</v>
      </c>
      <c r="AS555">
        <v>775.26868338582904</v>
      </c>
      <c r="AT555" t="e">
        <v>#DIV/0!</v>
      </c>
      <c r="AU555" t="e">
        <v>#DIV/0!</v>
      </c>
      <c r="AV555"/>
      <c r="AW555"/>
      <c r="FY555" s="211">
        <v>550</v>
      </c>
      <c r="FZ555">
        <v>28.464978510796396</v>
      </c>
      <c r="GA555">
        <v>36.269101842441088</v>
      </c>
      <c r="GB555">
        <v>24.187236465285608</v>
      </c>
      <c r="GC555">
        <v>1.8819693528369092</v>
      </c>
      <c r="GD555">
        <v>0.2493208187843971</v>
      </c>
      <c r="GE555">
        <v>0.31112995514107378</v>
      </c>
      <c r="GF555">
        <v>2.9260160538593762</v>
      </c>
      <c r="GG555">
        <v>11.574753044712143</v>
      </c>
      <c r="GH555">
        <v>16.426144582619159</v>
      </c>
      <c r="GI555">
        <v>32.87302668273086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9.2039529914529918</v>
      </c>
      <c r="AO556">
        <v>66.699168144669017</v>
      </c>
      <c r="AP556">
        <v>644.33021216346356</v>
      </c>
      <c r="AQ556">
        <v>144.79384788709794</v>
      </c>
      <c r="AR556">
        <v>61.73008352776823</v>
      </c>
      <c r="AS556">
        <v>277.98061660492112</v>
      </c>
      <c r="AT556" t="e">
        <v>#DIV/0!</v>
      </c>
      <c r="AU556" t="e">
        <v>#DIV/0!</v>
      </c>
      <c r="AV556"/>
      <c r="AW556"/>
      <c r="FY556" s="211">
        <v>551</v>
      </c>
      <c r="FZ556">
        <v>23.348594733583923</v>
      </c>
      <c r="GA556">
        <v>28.869051320212918</v>
      </c>
      <c r="GB556">
        <v>60.31032695829952</v>
      </c>
      <c r="GC556">
        <v>3.4419137821040664</v>
      </c>
      <c r="GD556">
        <v>0.27526696979644222</v>
      </c>
      <c r="GE556">
        <v>9.3701609150658172E-2</v>
      </c>
      <c r="GF556">
        <v>1.6562859931174834</v>
      </c>
      <c r="GG556">
        <v>6.7658189731511165</v>
      </c>
      <c r="GH556">
        <v>17.253860269699697</v>
      </c>
      <c r="GI556">
        <v>44.347868607158858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12.995926816239315</v>
      </c>
      <c r="AO557">
        <v>94.985810996403828</v>
      </c>
      <c r="AP557">
        <v>794.36785749296973</v>
      </c>
      <c r="AQ557">
        <v>175.71927711600114</v>
      </c>
      <c r="AR557">
        <v>88.193917574609515</v>
      </c>
      <c r="AS557">
        <v>475.70910845823568</v>
      </c>
      <c r="AT557" t="e">
        <v>#DIV/0!</v>
      </c>
      <c r="AU557" t="e">
        <v>#DIV/0!</v>
      </c>
      <c r="AV557"/>
      <c r="AW557"/>
      <c r="FY557" s="211">
        <v>552</v>
      </c>
      <c r="FZ557">
        <v>34.529732659392948</v>
      </c>
      <c r="GA557">
        <v>44.953544312310299</v>
      </c>
      <c r="GB557">
        <v>35.971555128437672</v>
      </c>
      <c r="GC557">
        <v>1.6791623523059913</v>
      </c>
      <c r="GD557">
        <v>0.25203181159065352</v>
      </c>
      <c r="GE557">
        <v>0.61151011979415226</v>
      </c>
      <c r="GF557">
        <v>2.803509307794481</v>
      </c>
      <c r="GG557">
        <v>0.77331061146863544</v>
      </c>
      <c r="GH557">
        <v>4.0282766445317693</v>
      </c>
      <c r="GI557">
        <v>36.439998022418251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12.082251602564103</v>
      </c>
      <c r="AO558">
        <v>104.92079692972906</v>
      </c>
      <c r="AP558">
        <v>923.78276411057925</v>
      </c>
      <c r="AQ558">
        <v>112.41917862320746</v>
      </c>
      <c r="AR558">
        <v>97.381703172580387</v>
      </c>
      <c r="AS558">
        <v>704.05709614807995</v>
      </c>
      <c r="AT558" t="e">
        <v>#DIV/0!</v>
      </c>
      <c r="AU558" t="e">
        <v>#DIV/0!</v>
      </c>
      <c r="AV558"/>
      <c r="AW558"/>
      <c r="FY558" s="211">
        <v>553</v>
      </c>
      <c r="FZ558">
        <v>32.525964636343375</v>
      </c>
      <c r="GA558">
        <v>36.68649143995453</v>
      </c>
      <c r="GB558">
        <v>37.62775582457477</v>
      </c>
      <c r="GC558">
        <v>2.039330816339092</v>
      </c>
      <c r="GD558">
        <v>0.19401424406507892</v>
      </c>
      <c r="GE558">
        <v>0.38947731524800216</v>
      </c>
      <c r="GF558">
        <v>1.5600499233034428</v>
      </c>
      <c r="GG558">
        <v>7.7409484153668693</v>
      </c>
      <c r="GH558">
        <v>14.871533047506276</v>
      </c>
      <c r="GI558">
        <v>34.076390824144468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7.5171874999999986</v>
      </c>
      <c r="AO559">
        <v>115.43645111536451</v>
      </c>
      <c r="AP559">
        <v>986.09433655497435</v>
      </c>
      <c r="AQ559">
        <v>169.71908644226147</v>
      </c>
      <c r="AR559">
        <v>107.09227313026575</v>
      </c>
      <c r="AS559">
        <v>463.79807301106655</v>
      </c>
      <c r="AT559" t="e">
        <v>#DIV/0!</v>
      </c>
      <c r="AU559" t="e">
        <v>#DIV/0!</v>
      </c>
      <c r="AV559"/>
      <c r="AW559"/>
      <c r="FY559" s="211">
        <v>554</v>
      </c>
      <c r="FZ559">
        <v>41.429749998671184</v>
      </c>
      <c r="GA559">
        <v>44.632298744287986</v>
      </c>
      <c r="GB559">
        <v>44.956735165101676</v>
      </c>
      <c r="GC559">
        <v>4.0029727432093392</v>
      </c>
      <c r="GD559">
        <v>0.55937019790062525</v>
      </c>
      <c r="GE559">
        <v>0.60234144584741922</v>
      </c>
      <c r="GF559">
        <v>2.5859773196595026</v>
      </c>
      <c r="GG559">
        <v>5.6949582848624711</v>
      </c>
      <c r="GH559">
        <v>23.34194418011008</v>
      </c>
      <c r="GI559">
        <v>56.953497058230063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13.768322649572649</v>
      </c>
      <c r="AO560">
        <v>97.371932482235792</v>
      </c>
      <c r="AP560">
        <v>836.02815562287367</v>
      </c>
      <c r="AQ560">
        <v>189.43399576508307</v>
      </c>
      <c r="AR560">
        <v>90.301558365694078</v>
      </c>
      <c r="AS560">
        <v>739.02020873731203</v>
      </c>
      <c r="AT560" t="e">
        <v>#DIV/0!</v>
      </c>
      <c r="AU560" t="e">
        <v>#DIV/0!</v>
      </c>
      <c r="AV560"/>
      <c r="AW560"/>
      <c r="FY560" s="211">
        <v>555</v>
      </c>
      <c r="FZ560">
        <v>30.913103168910723</v>
      </c>
      <c r="GA560">
        <v>35.364480913629166</v>
      </c>
      <c r="GB560">
        <v>47.805005126649014</v>
      </c>
      <c r="GC560">
        <v>3.5221359068653575</v>
      </c>
      <c r="GD560">
        <v>0.31902629340176319</v>
      </c>
      <c r="GE560">
        <v>0.50817084204294227</v>
      </c>
      <c r="GF560">
        <v>2.652506316452083</v>
      </c>
      <c r="GG560">
        <v>16.132137501768231</v>
      </c>
      <c r="GH560">
        <v>31.942717542755059</v>
      </c>
      <c r="GI560">
        <v>42.558371791031234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14.794270833333332</v>
      </c>
      <c r="AO561">
        <v>142.85804280761562</v>
      </c>
      <c r="AP561">
        <v>911.49938401301176</v>
      </c>
      <c r="AQ561">
        <v>169.82657233841408</v>
      </c>
      <c r="AR561">
        <v>132.39491455164233</v>
      </c>
      <c r="AS561">
        <v>962.32591494566987</v>
      </c>
      <c r="AT561" t="e">
        <v>#DIV/0!</v>
      </c>
      <c r="AU561" t="e">
        <v>#DIV/0!</v>
      </c>
      <c r="AV561"/>
      <c r="AW561"/>
      <c r="FY561" s="211">
        <v>556</v>
      </c>
      <c r="FZ561">
        <v>47.856883860747907</v>
      </c>
      <c r="GA561">
        <v>47.873828253912251</v>
      </c>
      <c r="GB561">
        <v>36.761662486411993</v>
      </c>
      <c r="GC561">
        <v>2.2342902789426908</v>
      </c>
      <c r="GD561">
        <v>0.2493208187843971</v>
      </c>
      <c r="GE561">
        <v>0.29074249605252656</v>
      </c>
      <c r="GF561">
        <v>2.5598558713678319</v>
      </c>
      <c r="GG561">
        <v>6.7658189731511165</v>
      </c>
      <c r="GH561">
        <v>17.253860269699697</v>
      </c>
      <c r="GI561">
        <v>38.349132432620657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15.21519764957265</v>
      </c>
      <c r="AO562">
        <v>95.267620497713949</v>
      </c>
      <c r="AP562">
        <v>551.59832438412434</v>
      </c>
      <c r="AQ562">
        <v>215.23529879800128</v>
      </c>
      <c r="AR562">
        <v>88.586075996103503</v>
      </c>
      <c r="AS562">
        <v>808.45837196772993</v>
      </c>
      <c r="AT562" t="e">
        <v>#DIV/0!</v>
      </c>
      <c r="AU562" t="e">
        <v>#DIV/0!</v>
      </c>
      <c r="AV562"/>
      <c r="AW562"/>
      <c r="FY562" s="211">
        <v>557</v>
      </c>
      <c r="FZ562">
        <v>41.672204279985003</v>
      </c>
      <c r="GA562">
        <v>40.723416653834441</v>
      </c>
      <c r="GB562">
        <v>58.598765143326773</v>
      </c>
      <c r="GC562">
        <v>3.7269482336702655</v>
      </c>
      <c r="GD562">
        <v>0.59700425600446194</v>
      </c>
      <c r="GE562">
        <v>1.3471757279171448</v>
      </c>
      <c r="GF562">
        <v>3.7503092154091253</v>
      </c>
      <c r="GG562">
        <v>8.3687969970047913</v>
      </c>
      <c r="GH562">
        <v>13.225583625167928</v>
      </c>
      <c r="GI562">
        <v>54.657514125680535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12.695405982905982</v>
      </c>
      <c r="AO563">
        <v>107.14751473082785</v>
      </c>
      <c r="AP563">
        <v>938.57507855027904</v>
      </c>
      <c r="AQ563">
        <v>158.49973698309782</v>
      </c>
      <c r="AR563">
        <v>99.277905322000265</v>
      </c>
      <c r="AS563">
        <v>472.26982210287019</v>
      </c>
      <c r="AT563" t="e">
        <v>#DIV/0!</v>
      </c>
      <c r="AU563" t="e">
        <v>#DIV/0!</v>
      </c>
      <c r="AV563"/>
      <c r="AW563"/>
      <c r="FY563" s="211">
        <v>558</v>
      </c>
      <c r="FZ563">
        <v>47.14154610223261</v>
      </c>
      <c r="GA563">
        <v>48.778449182724188</v>
      </c>
      <c r="GB563">
        <v>27.100182772856517</v>
      </c>
      <c r="GC563">
        <v>1.8718158445486095</v>
      </c>
      <c r="GD563">
        <v>0.22608566057860841</v>
      </c>
      <c r="GE563">
        <v>0.29074249605252656</v>
      </c>
      <c r="GF563">
        <v>1.4350191522935309</v>
      </c>
      <c r="GG563">
        <v>2.0459901305043982</v>
      </c>
      <c r="GH563">
        <v>3.6144188009915013</v>
      </c>
      <c r="GI563">
        <v>37.035745171685988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12.773571047008547</v>
      </c>
      <c r="AO564">
        <v>137.5321184605738</v>
      </c>
      <c r="AP564">
        <v>1132.5659961272834</v>
      </c>
      <c r="AQ564">
        <v>236.4811186908475</v>
      </c>
      <c r="AR564">
        <v>127.67075732552199</v>
      </c>
      <c r="AS564">
        <v>839.36622680848541</v>
      </c>
      <c r="AT564" t="e">
        <v>#DIV/0!</v>
      </c>
      <c r="AU564" t="e">
        <v>#DIV/0!</v>
      </c>
      <c r="AV564"/>
      <c r="AW564"/>
      <c r="FY564" s="211">
        <v>559</v>
      </c>
      <c r="FZ564">
        <v>48.723277310547417</v>
      </c>
      <c r="GA564">
        <v>44.696320306001148</v>
      </c>
      <c r="GB564">
        <v>59.566452069196323</v>
      </c>
      <c r="GC564">
        <v>0.93226789126899234</v>
      </c>
      <c r="GD564">
        <v>0.26371971868244504</v>
      </c>
      <c r="GE564">
        <v>0.54276018512303981</v>
      </c>
      <c r="GF564">
        <v>1.4350191522935309</v>
      </c>
      <c r="GG564">
        <v>10.212968296762071</v>
      </c>
      <c r="GH564">
        <v>22.422890605804085</v>
      </c>
      <c r="GI564">
        <v>49.541222490248352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15.283119658119659</v>
      </c>
      <c r="AO565">
        <v>117.77721571369668</v>
      </c>
      <c r="AP565">
        <v>890.52363671457738</v>
      </c>
      <c r="AQ565">
        <v>239.74854609736278</v>
      </c>
      <c r="AR565">
        <v>109.2754683177326</v>
      </c>
      <c r="AS565">
        <v>740.30012444534168</v>
      </c>
      <c r="AT565" t="e">
        <v>#DIV/0!</v>
      </c>
      <c r="AU565" t="e">
        <v>#DIV/0!</v>
      </c>
      <c r="AV565"/>
      <c r="AW565"/>
      <c r="FY565" s="211">
        <v>560</v>
      </c>
      <c r="FZ565">
        <v>39.967944222522725</v>
      </c>
      <c r="GA565">
        <v>44.708690880168845</v>
      </c>
      <c r="GB565">
        <v>46.762771225904714</v>
      </c>
      <c r="GC565">
        <v>1.614888678810199</v>
      </c>
      <c r="GD565">
        <v>0.16535710024677736</v>
      </c>
      <c r="GE565">
        <v>0.37527543125645169</v>
      </c>
      <c r="GF565">
        <v>2.7083348377652134</v>
      </c>
      <c r="GG565">
        <v>1.6029780238536757</v>
      </c>
      <c r="GH565">
        <v>4.0282766445317693</v>
      </c>
      <c r="GI565">
        <v>37.840567434304226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11.298397435897435</v>
      </c>
      <c r="AO566">
        <v>58.484959902428727</v>
      </c>
      <c r="AP566">
        <v>424.5949370441063</v>
      </c>
      <c r="AQ566">
        <v>155.163677309207</v>
      </c>
      <c r="AR566">
        <v>54.196524846941948</v>
      </c>
      <c r="AS566">
        <v>464.01567686759978</v>
      </c>
      <c r="AT566" t="e">
        <v>#DIV/0!</v>
      </c>
      <c r="AU566" t="e">
        <v>#DIV/0!</v>
      </c>
      <c r="AV566"/>
      <c r="AW566"/>
      <c r="FY566" s="211">
        <v>561</v>
      </c>
      <c r="FZ566">
        <v>13.780318275207552</v>
      </c>
      <c r="GA566">
        <v>20.673605093729137</v>
      </c>
      <c r="GB566">
        <v>40.428953822334243</v>
      </c>
      <c r="GC566">
        <v>1.0116817636174795</v>
      </c>
      <c r="GD566">
        <v>4.6470316411577423E-2</v>
      </c>
      <c r="GE566">
        <v>0.32029862908780682</v>
      </c>
      <c r="GF566">
        <v>4.5417452705167651</v>
      </c>
      <c r="GG566">
        <v>6.2100932646675844</v>
      </c>
      <c r="GH566">
        <v>5.582888179644657</v>
      </c>
      <c r="GI566">
        <v>38.425451112574862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12.953819444444443</v>
      </c>
      <c r="AO567">
        <v>138.50310570906615</v>
      </c>
      <c r="AP567">
        <v>1065.456612580281</v>
      </c>
      <c r="AQ567">
        <v>186.36268921627467</v>
      </c>
      <c r="AR567">
        <v>128.61635425316086</v>
      </c>
      <c r="AS567">
        <v>835.61773835729798</v>
      </c>
      <c r="AT567" t="e">
        <v>#DIV/0!</v>
      </c>
      <c r="AU567" t="e">
        <v>#DIV/0!</v>
      </c>
      <c r="AV567"/>
      <c r="AW567"/>
      <c r="FY567" s="211">
        <v>562</v>
      </c>
      <c r="FZ567">
        <v>13.629262583923353</v>
      </c>
      <c r="GA567">
        <v>18.639141401124839</v>
      </c>
      <c r="GB567">
        <v>35.661166012771929</v>
      </c>
      <c r="GC567">
        <v>1.7472917490197561</v>
      </c>
      <c r="GD567">
        <v>0.19401424406507889</v>
      </c>
      <c r="GE567">
        <v>0.58195398675887211</v>
      </c>
      <c r="GF567">
        <v>2.6813010176479541</v>
      </c>
      <c r="GG567">
        <v>6.4682688963311064</v>
      </c>
      <c r="GH567">
        <v>7.2288376019830025</v>
      </c>
      <c r="GI567">
        <v>31.394468294603854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11.243709935897433</v>
      </c>
      <c r="AO568">
        <v>99.318063537970801</v>
      </c>
      <c r="AP568">
        <v>1122.4324947251428</v>
      </c>
      <c r="AQ568">
        <v>162.04263097004485</v>
      </c>
      <c r="AR568">
        <v>92.115241459197804</v>
      </c>
      <c r="AS568">
        <v>557.0442622600915</v>
      </c>
      <c r="AT568" t="e">
        <v>#DIV/0!</v>
      </c>
      <c r="AU568" t="e">
        <v>#DIV/0!</v>
      </c>
      <c r="AV568"/>
      <c r="AW568"/>
      <c r="FY568" s="211">
        <v>563</v>
      </c>
      <c r="FZ568">
        <v>66.00711789553479</v>
      </c>
      <c r="GA568">
        <v>71.447965395633105</v>
      </c>
      <c r="GB568">
        <v>42.247109959112372</v>
      </c>
      <c r="GC568">
        <v>3.0229659434653811</v>
      </c>
      <c r="GD568">
        <v>0.11617579102894354</v>
      </c>
      <c r="GE568">
        <v>0.3253318391326242</v>
      </c>
      <c r="GF568">
        <v>1.7811675361682109</v>
      </c>
      <c r="GG568">
        <v>5.7513150857788764</v>
      </c>
      <c r="GH568">
        <v>11.257114246514771</v>
      </c>
      <c r="GI568">
        <v>38.245949353166999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11.216933760683759</v>
      </c>
      <c r="AO569">
        <v>71.272971723207192</v>
      </c>
      <c r="AP569">
        <v>505.08193654844632</v>
      </c>
      <c r="AQ569">
        <v>167.71195648684591</v>
      </c>
      <c r="AR569">
        <v>66.185050147008695</v>
      </c>
      <c r="AS569">
        <v>539.11237917762662</v>
      </c>
      <c r="AT569" t="e">
        <v>#DIV/0!</v>
      </c>
      <c r="AU569" t="e">
        <v>#DIV/0!</v>
      </c>
      <c r="AV569"/>
      <c r="AW569"/>
      <c r="FY569" s="211">
        <v>564</v>
      </c>
      <c r="FZ569">
        <v>48.723277310547417</v>
      </c>
      <c r="GA569">
        <v>50.415275171425286</v>
      </c>
      <c r="GB569">
        <v>32.349525273657598</v>
      </c>
      <c r="GC569">
        <v>3.2488935392596936</v>
      </c>
      <c r="GD569">
        <v>0.2493208187843971</v>
      </c>
      <c r="GE569">
        <v>0.21742834599041555</v>
      </c>
      <c r="GF569">
        <v>2.3684453315245233</v>
      </c>
      <c r="GG569">
        <v>6.5246256972475116</v>
      </c>
      <c r="GH569">
        <v>19.313667535578311</v>
      </c>
      <c r="GI569">
        <v>34.922024722370757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17.530515491452988</v>
      </c>
      <c r="AO570">
        <v>104.75170083132357</v>
      </c>
      <c r="AP570">
        <v>656.8309134839667</v>
      </c>
      <c r="AQ570">
        <v>224.75984513788038</v>
      </c>
      <c r="AR570">
        <v>97.412903265498741</v>
      </c>
      <c r="AS570">
        <v>895.30650893506038</v>
      </c>
      <c r="AT570" t="e">
        <v>#DIV/0!</v>
      </c>
      <c r="AU570" t="e">
        <v>#DIV/0!</v>
      </c>
      <c r="AV570"/>
      <c r="AW570"/>
      <c r="FY570" s="211">
        <v>565</v>
      </c>
      <c r="FZ570">
        <v>33.594260439893823</v>
      </c>
      <c r="GA570">
        <v>36.224832174338161</v>
      </c>
      <c r="GB570">
        <v>14.955494284179432</v>
      </c>
      <c r="GC570">
        <v>1.3456821615820176</v>
      </c>
      <c r="GD570">
        <v>0.14212194204098863</v>
      </c>
      <c r="GE570">
        <v>0.32029862908780687</v>
      </c>
      <c r="GF570">
        <v>3.1435480419943547</v>
      </c>
      <c r="GG570">
        <v>9.713599389194945</v>
      </c>
      <c r="GH570">
        <v>14.780195160280819</v>
      </c>
      <c r="GI570">
        <v>21.056640552907577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14.693402777777777</v>
      </c>
      <c r="AO571">
        <v>174.48671086762494</v>
      </c>
      <c r="AP571">
        <v>1063.5418159191411</v>
      </c>
      <c r="AQ571">
        <v>211.71765540350555</v>
      </c>
      <c r="AR571">
        <v>161.87394905887552</v>
      </c>
      <c r="AS571">
        <v>927.7686125880939</v>
      </c>
      <c r="AT571" t="e">
        <v>#DIV/0!</v>
      </c>
      <c r="AU571" t="e">
        <v>#DIV/0!</v>
      </c>
      <c r="AV571"/>
      <c r="AW571"/>
      <c r="FY571" s="211">
        <v>566</v>
      </c>
      <c r="FZ571">
        <v>26.663112841497757</v>
      </c>
      <c r="GA571">
        <v>28.882252811727348</v>
      </c>
      <c r="GB571">
        <v>67.628996705497016</v>
      </c>
      <c r="GC571">
        <v>4.2617377069769811</v>
      </c>
      <c r="GD571">
        <v>0.42893616295142811</v>
      </c>
      <c r="GE571">
        <v>0.50817084204294227</v>
      </c>
      <c r="GF571">
        <v>4.3536218994848763</v>
      </c>
      <c r="GG571">
        <v>12.830450207987989</v>
      </c>
      <c r="GH571">
        <v>20.363083339925474</v>
      </c>
      <c r="GI571">
        <v>65.057310166117958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13.058159722222223</v>
      </c>
      <c r="AO572">
        <v>173.12672699152949</v>
      </c>
      <c r="AP572">
        <v>1273.9385743053483</v>
      </c>
      <c r="AQ572">
        <v>200.19539574169102</v>
      </c>
      <c r="AR572">
        <v>160.6774198941184</v>
      </c>
      <c r="AS572">
        <v>1172.251864233586</v>
      </c>
      <c r="AT572" t="e">
        <v>#DIV/0!</v>
      </c>
      <c r="AU572" t="e">
        <v>#DIV/0!</v>
      </c>
      <c r="AV572"/>
      <c r="AW572"/>
      <c r="FY572" s="211">
        <v>567</v>
      </c>
      <c r="FZ572">
        <v>41.429749998671184</v>
      </c>
      <c r="GA572">
        <v>40.536968376050531</v>
      </c>
      <c r="GB572">
        <v>44.781699516417177</v>
      </c>
      <c r="GC572">
        <v>1.9750098741671696</v>
      </c>
      <c r="GD572">
        <v>0.11617579102894351</v>
      </c>
      <c r="GE572">
        <v>0.48778338295439488</v>
      </c>
      <c r="GF572">
        <v>2.5562702466380425</v>
      </c>
      <c r="GG572">
        <v>9.9547926650985517</v>
      </c>
      <c r="GH572">
        <v>16.748664538933976</v>
      </c>
      <c r="GI572">
        <v>43.073262443213636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15.905341880341879</v>
      </c>
      <c r="AO573">
        <v>96.349890734167303</v>
      </c>
      <c r="AP573">
        <v>779.7719733292447</v>
      </c>
      <c r="AQ573">
        <v>226.66771825800043</v>
      </c>
      <c r="AR573">
        <v>89.42258859500734</v>
      </c>
      <c r="AS573">
        <v>490.56927540743715</v>
      </c>
      <c r="AT573" t="e">
        <v>#DIV/0!</v>
      </c>
      <c r="AU573" t="e">
        <v>#DIV/0!</v>
      </c>
      <c r="AV573"/>
      <c r="AW573"/>
      <c r="FY573" s="211">
        <v>568</v>
      </c>
      <c r="FZ573">
        <v>28.546955432380972</v>
      </c>
      <c r="GA573">
        <v>40.518981394527209</v>
      </c>
      <c r="GB573">
        <v>54.152234032294821</v>
      </c>
      <c r="GC573">
        <v>3.6152110979569967</v>
      </c>
      <c r="GD573">
        <v>7.5127460229878956E-2</v>
      </c>
      <c r="GE573">
        <v>0.45319403987429729</v>
      </c>
      <c r="GF573">
        <v>4.2647991363388664</v>
      </c>
      <c r="GG573">
        <v>7.426415982786942</v>
      </c>
      <c r="GH573">
        <v>13.225583625167928</v>
      </c>
      <c r="GI573">
        <v>41.013872652764235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9.8532585470085472</v>
      </c>
      <c r="AO574">
        <v>48.132755497927349</v>
      </c>
      <c r="AP574">
        <v>433.52059193542686</v>
      </c>
      <c r="AQ574">
        <v>169.53999531446848</v>
      </c>
      <c r="AR574">
        <v>44.609254320228125</v>
      </c>
      <c r="AS574">
        <v>309.74358091629171</v>
      </c>
      <c r="AT574" t="e">
        <v>#DIV/0!</v>
      </c>
      <c r="AU574" t="e">
        <v>#DIV/0!</v>
      </c>
      <c r="AV574"/>
      <c r="AW574"/>
      <c r="FY574" s="211">
        <v>569</v>
      </c>
      <c r="FZ574">
        <v>30.793177736744362</v>
      </c>
      <c r="GA574">
        <v>40.781821808191978</v>
      </c>
      <c r="GB574">
        <v>57.946892130588729</v>
      </c>
      <c r="GC574">
        <v>2.9279389336997648</v>
      </c>
      <c r="GD574">
        <v>0.23150764619112119</v>
      </c>
      <c r="GE574">
        <v>0</v>
      </c>
      <c r="GF574">
        <v>1.2066374607199166</v>
      </c>
      <c r="GG574">
        <v>7.9257848903540697</v>
      </c>
      <c r="GH574">
        <v>16.840002426159433</v>
      </c>
      <c r="GI574">
        <v>49.710664512241323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10.220486111111111</v>
      </c>
      <c r="AO575">
        <v>75.100223560153239</v>
      </c>
      <c r="AP575">
        <v>516.2209979930883</v>
      </c>
      <c r="AQ575">
        <v>238.33689802592738</v>
      </c>
      <c r="AR575">
        <v>69.707034171343935</v>
      </c>
      <c r="AS575">
        <v>510.67998450092722</v>
      </c>
      <c r="AT575" t="e">
        <v>#DIV/0!</v>
      </c>
      <c r="AU575" t="e">
        <v>#DIV/0!</v>
      </c>
      <c r="AV575"/>
      <c r="AW575"/>
      <c r="FY575" s="211">
        <v>570</v>
      </c>
      <c r="FZ575">
        <v>40.956866521469685</v>
      </c>
      <c r="GA575">
        <v>43.8877231102311</v>
      </c>
      <c r="GB575">
        <v>49.862315268600014</v>
      </c>
      <c r="GC575">
        <v>2.9780358474445259</v>
      </c>
      <c r="GD575">
        <v>0.27255597699018586</v>
      </c>
      <c r="GE575">
        <v>0.4786147090076619</v>
      </c>
      <c r="GF575">
        <v>2.6120987679511725</v>
      </c>
      <c r="GG575">
        <v>4.6071152408139096</v>
      </c>
      <c r="GH575">
        <v>5.582888179644657</v>
      </c>
      <c r="GI575">
        <v>43.129292495194122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9.841279380341879</v>
      </c>
      <c r="AO576">
        <v>78.633458550863978</v>
      </c>
      <c r="AP576">
        <v>583.64191536951694</v>
      </c>
      <c r="AQ576">
        <v>179.77508447936458</v>
      </c>
      <c r="AR576">
        <v>72.923863461236834</v>
      </c>
      <c r="AS576">
        <v>408.33745537101277</v>
      </c>
      <c r="AT576" t="e">
        <v>#DIV/0!</v>
      </c>
      <c r="AU576" t="e">
        <v>#DIV/0!</v>
      </c>
      <c r="AV576"/>
      <c r="AW576"/>
      <c r="FY576" s="211">
        <v>571</v>
      </c>
      <c r="FZ576">
        <v>21.344826710534349</v>
      </c>
      <c r="GA576">
        <v>26.532973656747309</v>
      </c>
      <c r="GB576">
        <v>31.722996350989458</v>
      </c>
      <c r="GC576">
        <v>3.3954072627055196</v>
      </c>
      <c r="GD576">
        <v>0.52187679577458301</v>
      </c>
      <c r="GE576">
        <v>0.46944603506092875</v>
      </c>
      <c r="GF576">
        <v>2.1734491669514258</v>
      </c>
      <c r="GG576">
        <v>7.426415982786942</v>
      </c>
      <c r="GH576">
        <v>13.225583625167928</v>
      </c>
      <c r="GI576">
        <v>34.564373381580573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10.302911324786326</v>
      </c>
      <c r="AO577">
        <v>90.920378099210367</v>
      </c>
      <c r="AP577">
        <v>837.49982564525817</v>
      </c>
      <c r="AQ577">
        <v>131.02150572779163</v>
      </c>
      <c r="AR577">
        <v>84.182850854148086</v>
      </c>
      <c r="AS577">
        <v>622.02192686548608</v>
      </c>
      <c r="AT577" t="e">
        <v>#DIV/0!</v>
      </c>
      <c r="AU577" t="e">
        <v>#DIV/0!</v>
      </c>
      <c r="AV577"/>
      <c r="AW577"/>
      <c r="FY577" s="211">
        <v>572</v>
      </c>
      <c r="FZ577">
        <v>44.933272308450988</v>
      </c>
      <c r="GA577">
        <v>50.710338740190771</v>
      </c>
      <c r="GB577">
        <v>53.891499732617447</v>
      </c>
      <c r="GC577">
        <v>3.2599214064755619</v>
      </c>
      <c r="GD577">
        <v>0.22608566057860841</v>
      </c>
      <c r="GE577">
        <v>9.3701609150658172E-2</v>
      </c>
      <c r="GF577">
        <v>1.9035250542739217</v>
      </c>
      <c r="GG577">
        <v>3.7053249552744782</v>
      </c>
      <c r="GH577">
        <v>7.6426954455232705</v>
      </c>
      <c r="GI577">
        <v>46.179004379183162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11.092147435897434</v>
      </c>
      <c r="AO578">
        <v>71.722302249561963</v>
      </c>
      <c r="AP578">
        <v>509.41666276169423</v>
      </c>
      <c r="AQ578">
        <v>118.22570578822975</v>
      </c>
      <c r="AR578">
        <v>66.507838298278656</v>
      </c>
      <c r="AS578">
        <v>521.92223436777272</v>
      </c>
      <c r="AT578" t="e">
        <v>#DIV/0!</v>
      </c>
      <c r="AU578" t="e">
        <v>#DIV/0!</v>
      </c>
      <c r="AV578"/>
      <c r="AW578"/>
      <c r="FY578" s="211">
        <v>573</v>
      </c>
      <c r="FZ578">
        <v>18.896702052420025</v>
      </c>
      <c r="GA578">
        <v>21.718639720135101</v>
      </c>
      <c r="GB578">
        <v>48.951728394466215</v>
      </c>
      <c r="GC578">
        <v>3.4066217533636314</v>
      </c>
      <c r="GD578">
        <v>0.11888678383519996</v>
      </c>
      <c r="GE578">
        <v>0.12325774218593843</v>
      </c>
      <c r="GF578">
        <v>3.4204941761722529</v>
      </c>
      <c r="GG578">
        <v>9.5287629142077463</v>
      </c>
      <c r="GH578">
        <v>16.840002426159433</v>
      </c>
      <c r="GI578">
        <v>33.248653752654349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12.828218482905982</v>
      </c>
      <c r="AO579">
        <v>169.64476698886094</v>
      </c>
      <c r="AP579">
        <v>1332.9050922620484</v>
      </c>
      <c r="AQ579">
        <v>240.20221304553607</v>
      </c>
      <c r="AR579">
        <v>157.39416798202856</v>
      </c>
      <c r="AS579">
        <v>934.39753469167761</v>
      </c>
      <c r="AT579" t="e">
        <v>#DIV/0!</v>
      </c>
      <c r="AU579" t="e">
        <v>#DIV/0!</v>
      </c>
      <c r="AV579"/>
      <c r="AW579"/>
      <c r="FY579" s="211">
        <v>574</v>
      </c>
      <c r="FZ579">
        <v>33.663339209593445</v>
      </c>
      <c r="GA579">
        <v>41.988056707865219</v>
      </c>
      <c r="GB579">
        <v>54.662560835414723</v>
      </c>
      <c r="GC579">
        <v>3.1921587603635508</v>
      </c>
      <c r="GD579">
        <v>0.35923068833406196</v>
      </c>
      <c r="GE579">
        <v>0.41446923289228399</v>
      </c>
      <c r="GF579">
        <v>3.5158178741607053</v>
      </c>
      <c r="GG579">
        <v>7.2415795077997416</v>
      </c>
      <c r="GH579">
        <v>15.285390891046541</v>
      </c>
      <c r="GI579">
        <v>49.212086118449065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10.259815705128203</v>
      </c>
      <c r="AO580">
        <v>99.738455429929985</v>
      </c>
      <c r="AP580">
        <v>773.40128418909012</v>
      </c>
      <c r="AQ580">
        <v>198.33248374638589</v>
      </c>
      <c r="AR580">
        <v>92.693276422584333</v>
      </c>
      <c r="AS580">
        <v>454.02277577467595</v>
      </c>
      <c r="AT580" t="e">
        <v>#DIV/0!</v>
      </c>
      <c r="AU580" t="e">
        <v>#DIV/0!</v>
      </c>
      <c r="AV580"/>
      <c r="AW580"/>
      <c r="FY580" s="211">
        <v>575</v>
      </c>
      <c r="FZ580">
        <v>23.944007059932872</v>
      </c>
      <c r="GA580">
        <v>33.381771285963822</v>
      </c>
      <c r="GB580">
        <v>19.562844280976904</v>
      </c>
      <c r="GC580">
        <v>1.2727526977461023</v>
      </c>
      <c r="GD580">
        <v>0.18859225845256608</v>
      </c>
      <c r="GE580">
        <v>0.40986477433654933</v>
      </c>
      <c r="GF580">
        <v>2.1212062703680847</v>
      </c>
      <c r="GG580">
        <v>7.5391295846197526</v>
      </c>
      <c r="GH580">
        <v>9.1973069806361583</v>
      </c>
      <c r="GI580">
        <v>18.039670142209516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8.1251335470085486</v>
      </c>
      <c r="AO581">
        <v>42.105097139976621</v>
      </c>
      <c r="AP581">
        <v>457.03648705141052</v>
      </c>
      <c r="AQ581">
        <v>135.27667277549989</v>
      </c>
      <c r="AR581">
        <v>38.989392152636867</v>
      </c>
      <c r="AS581">
        <v>235.48961890531692</v>
      </c>
      <c r="AT581" t="e">
        <v>#DIV/0!</v>
      </c>
      <c r="AU581" t="e">
        <v>#DIV/0!</v>
      </c>
      <c r="AV581"/>
      <c r="AW581"/>
      <c r="FY581" s="211">
        <v>576</v>
      </c>
      <c r="FZ581">
        <v>32.916871191960297</v>
      </c>
      <c r="GA581">
        <v>35.440873049510024</v>
      </c>
      <c r="GB581">
        <v>49.77244431325186</v>
      </c>
      <c r="GC581">
        <v>3.6553031938195835</v>
      </c>
      <c r="GD581">
        <v>0.42893616295142811</v>
      </c>
      <c r="GE581">
        <v>0.40530055894555084</v>
      </c>
      <c r="GF581">
        <v>1.7380867347630993</v>
      </c>
      <c r="GG581">
        <v>8.9402887777263089</v>
      </c>
      <c r="GH581">
        <v>14.780195160280819</v>
      </c>
      <c r="GI581">
        <v>52.656307062927944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16.171274038461537</v>
      </c>
      <c r="AO582">
        <v>124.4400007884871</v>
      </c>
      <c r="AP582">
        <v>999.05795629217812</v>
      </c>
      <c r="AQ582">
        <v>230.97767268420975</v>
      </c>
      <c r="AR582">
        <v>115.14252058584542</v>
      </c>
      <c r="AS582">
        <v>639.4537722927812</v>
      </c>
      <c r="AT582" t="e">
        <v>#DIV/0!</v>
      </c>
      <c r="AU582" t="e">
        <v>#DIV/0!</v>
      </c>
      <c r="AV582"/>
      <c r="AW582"/>
      <c r="FY582" s="211">
        <v>577</v>
      </c>
      <c r="FZ582">
        <v>33.392358086142892</v>
      </c>
      <c r="GA582">
        <v>35.556648676162155</v>
      </c>
      <c r="GB582">
        <v>61.841588873040742</v>
      </c>
      <c r="GC582">
        <v>2.2143185762144606</v>
      </c>
      <c r="GD582">
        <v>0.25203181159065347</v>
      </c>
      <c r="GE582">
        <v>0.29074249605252656</v>
      </c>
      <c r="GF582">
        <v>1.6822582134499693</v>
      </c>
      <c r="GG582">
        <v>6.1209880357532764</v>
      </c>
      <c r="GH582">
        <v>15.194053003821082</v>
      </c>
      <c r="GI582">
        <v>52.533430543752331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14.449786324786327</v>
      </c>
      <c r="AO583">
        <v>130.04410603397849</v>
      </c>
      <c r="AP583">
        <v>704.48293900327519</v>
      </c>
      <c r="AQ583">
        <v>201.66037683317364</v>
      </c>
      <c r="AR583">
        <v>120.58135474141773</v>
      </c>
      <c r="AS583">
        <v>910.54434099719924</v>
      </c>
      <c r="AT583" t="e">
        <v>#DIV/0!</v>
      </c>
      <c r="AU583" t="e">
        <v>#DIV/0!</v>
      </c>
      <c r="AV583"/>
      <c r="AW583"/>
      <c r="FY583" s="211">
        <v>578</v>
      </c>
      <c r="FZ583">
        <v>24.095062751217071</v>
      </c>
      <c r="GA583">
        <v>31.108884266864642</v>
      </c>
      <c r="GB583">
        <v>44.690839585406955</v>
      </c>
      <c r="GC583">
        <v>1.0516251690739407</v>
      </c>
      <c r="GD583">
        <v>0.14212194204098866</v>
      </c>
      <c r="GE583">
        <v>0.35488797216790446</v>
      </c>
      <c r="GF583">
        <v>3.2720152097748718</v>
      </c>
      <c r="GG583">
        <v>8.5536334719919918</v>
      </c>
      <c r="GH583">
        <v>15.194053003821082</v>
      </c>
      <c r="GI583">
        <v>38.945808427267686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15.065331196581198</v>
      </c>
      <c r="AO584">
        <v>163.04108749002646</v>
      </c>
      <c r="AP584">
        <v>1302.9876175823299</v>
      </c>
      <c r="AQ584">
        <v>193.29237485432216</v>
      </c>
      <c r="AR584">
        <v>151.24403286257936</v>
      </c>
      <c r="AS584">
        <v>660.96943585255974</v>
      </c>
      <c r="AT584" t="e">
        <v>#DIV/0!</v>
      </c>
      <c r="AU584" t="e">
        <v>#DIV/0!</v>
      </c>
      <c r="AV584"/>
      <c r="AW584"/>
      <c r="FY584" s="211">
        <v>579</v>
      </c>
      <c r="FZ584">
        <v>43.946953426485138</v>
      </c>
      <c r="GA584">
        <v>43.347906796646939</v>
      </c>
      <c r="GB584">
        <v>58.993434849728359</v>
      </c>
      <c r="GC584">
        <v>2.3414761232705978</v>
      </c>
      <c r="GD584">
        <v>0.2493208187843971</v>
      </c>
      <c r="GE584">
        <v>0.28157382210579351</v>
      </c>
      <c r="GF584">
        <v>2.8333656087751251</v>
      </c>
      <c r="GG584">
        <v>8.3124401960883869</v>
      </c>
      <c r="GH584">
        <v>21.282136914231469</v>
      </c>
      <c r="GI584">
        <v>60.95829760832877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13.84440438034188</v>
      </c>
      <c r="AO585">
        <v>125.44070470372621</v>
      </c>
      <c r="AP585">
        <v>985.11466719360828</v>
      </c>
      <c r="AQ585">
        <v>208.3644275448907</v>
      </c>
      <c r="AR585">
        <v>116.31126586502431</v>
      </c>
      <c r="AS585">
        <v>792.1079951091757</v>
      </c>
      <c r="AT585" t="e">
        <v>#DIV/0!</v>
      </c>
      <c r="AU585" t="e">
        <v>#DIV/0!</v>
      </c>
      <c r="AV585"/>
      <c r="AW585"/>
      <c r="FY585" s="211">
        <v>580</v>
      </c>
      <c r="FZ585">
        <v>12.762869134123846</v>
      </c>
      <c r="GA585">
        <v>15.885674140145781</v>
      </c>
      <c r="GB585">
        <v>46.169134819777923</v>
      </c>
      <c r="GC585">
        <v>1.8005375552996807</v>
      </c>
      <c r="GD585">
        <v>0.39415375363164218</v>
      </c>
      <c r="GE585">
        <v>1.5783772064100279</v>
      </c>
      <c r="GF585">
        <v>4.9901829751703746</v>
      </c>
      <c r="GG585">
        <v>6.6531053713183059</v>
      </c>
      <c r="GH585">
        <v>13.225583625167928</v>
      </c>
      <c r="GI585">
        <v>45.819220163349414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13.304473824786323</v>
      </c>
      <c r="AO586">
        <v>121.4870045700236</v>
      </c>
      <c r="AP586">
        <v>837.11576126434989</v>
      </c>
      <c r="AQ586">
        <v>194.36750611734703</v>
      </c>
      <c r="AR586">
        <v>112.61100091818166</v>
      </c>
      <c r="AS586">
        <v>733.97546346961803</v>
      </c>
      <c r="AT586" t="e">
        <v>#DIV/0!</v>
      </c>
      <c r="AU586" t="e">
        <v>#DIV/0!</v>
      </c>
      <c r="AV586"/>
      <c r="AW586"/>
      <c r="FY586" s="211">
        <v>581</v>
      </c>
      <c r="FZ586">
        <v>36.382444991158323</v>
      </c>
      <c r="GA586">
        <v>37.064497546696707</v>
      </c>
      <c r="GB586">
        <v>33.472053972985684</v>
      </c>
      <c r="GC586">
        <v>2.4280747385317314</v>
      </c>
      <c r="GD586">
        <v>0.33057354451576043</v>
      </c>
      <c r="GE586">
        <v>0.41903344828328243</v>
      </c>
      <c r="GF586">
        <v>3.2458937614832011</v>
      </c>
      <c r="GG586">
        <v>7.595486385536157</v>
      </c>
      <c r="GH586">
        <v>17.253860269699697</v>
      </c>
      <c r="GI586">
        <v>45.098811450906865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11.320272435897435</v>
      </c>
      <c r="AO587">
        <v>89.928660888990734</v>
      </c>
      <c r="AP587">
        <v>703.73157619546691</v>
      </c>
      <c r="AQ587">
        <v>141.377348968299</v>
      </c>
      <c r="AR587">
        <v>83.474996704596535</v>
      </c>
      <c r="AS587">
        <v>454.14036634223083</v>
      </c>
      <c r="AT587" t="e">
        <v>#DIV/0!</v>
      </c>
      <c r="AU587" t="e">
        <v>#DIV/0!</v>
      </c>
      <c r="AV587"/>
      <c r="AW587"/>
      <c r="FY587" s="211">
        <v>582</v>
      </c>
      <c r="FZ587">
        <v>41.309824566504815</v>
      </c>
      <c r="GA587">
        <v>42.283019589307933</v>
      </c>
      <c r="GB587">
        <v>43.92006566268519</v>
      </c>
      <c r="GC587">
        <v>1.5847634677936684</v>
      </c>
      <c r="GD587">
        <v>0.19130325125882247</v>
      </c>
      <c r="GE587">
        <v>0.57278531281213896</v>
      </c>
      <c r="GF587">
        <v>0.90356987825034829</v>
      </c>
      <c r="GG587">
        <v>2.0459901305043982</v>
      </c>
      <c r="GH587">
        <v>3.6144188009915013</v>
      </c>
      <c r="GI587">
        <v>37.357646848489182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11.751135149572649</v>
      </c>
      <c r="AO588">
        <v>174.85740414924152</v>
      </c>
      <c r="AP588">
        <v>1196.663970962333</v>
      </c>
      <c r="AQ588">
        <v>212.54536929171888</v>
      </c>
      <c r="AR588">
        <v>162.2137508982407</v>
      </c>
      <c r="AS588">
        <v>761.79389011257956</v>
      </c>
      <c r="AT588" t="e">
        <v>#DIV/0!</v>
      </c>
      <c r="AU588" t="e">
        <v>#DIV/0!</v>
      </c>
      <c r="AV588"/>
      <c r="AW588"/>
      <c r="FY588" s="211">
        <v>583</v>
      </c>
      <c r="FZ588">
        <v>25.676793959531892</v>
      </c>
      <c r="GA588">
        <v>27.450796077073662</v>
      </c>
      <c r="GB588">
        <v>49.63420996801559</v>
      </c>
      <c r="GC588">
        <v>1.9931910475422989</v>
      </c>
      <c r="GD588">
        <v>0.42009990464368729</v>
      </c>
      <c r="GE588">
        <v>0.6960430549980775</v>
      </c>
      <c r="GF588">
        <v>2.9258668259001919</v>
      </c>
      <c r="GG588">
        <v>6.8942986472219117</v>
      </c>
      <c r="GH588">
        <v>15.194053003821082</v>
      </c>
      <c r="GI588">
        <v>51.971967244964077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11.522355769230767</v>
      </c>
      <c r="AO589">
        <v>140.14021396549398</v>
      </c>
      <c r="AP589">
        <v>1029.5559719095681</v>
      </c>
      <c r="AQ589">
        <v>156.25374971559989</v>
      </c>
      <c r="AR589">
        <v>129.93535620254272</v>
      </c>
      <c r="AS589">
        <v>620.0145901357813</v>
      </c>
      <c r="AT589" t="e">
        <v>#DIV/0!</v>
      </c>
      <c r="AU589" t="e">
        <v>#DIV/0!</v>
      </c>
      <c r="AV589"/>
      <c r="AW589"/>
      <c r="FY589" s="211">
        <v>584</v>
      </c>
      <c r="FZ589">
        <v>34.378676968108749</v>
      </c>
      <c r="GA589">
        <v>40.659395092121251</v>
      </c>
      <c r="GB589">
        <v>40.710025803288922</v>
      </c>
      <c r="GC589">
        <v>2.0766407702682685</v>
      </c>
      <c r="GD589">
        <v>0.44333506284947599</v>
      </c>
      <c r="GE589">
        <v>1.0600997011127149</v>
      </c>
      <c r="GF589">
        <v>4.3050574568805935</v>
      </c>
      <c r="GG589">
        <v>2.0459901305043982</v>
      </c>
      <c r="GH589">
        <v>3.6144188009915013</v>
      </c>
      <c r="GI589">
        <v>38.996071878182732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16.998784722222219</v>
      </c>
      <c r="AO590">
        <v>138.47257393174226</v>
      </c>
      <c r="AP590">
        <v>819.08270155676053</v>
      </c>
      <c r="AQ590">
        <v>209.53468982591937</v>
      </c>
      <c r="AR590">
        <v>128.53071019116183</v>
      </c>
      <c r="AS590">
        <v>1101.3933202037122</v>
      </c>
      <c r="AT590" t="e">
        <v>#DIV/0!</v>
      </c>
      <c r="AU590" t="e">
        <v>#DIV/0!</v>
      </c>
      <c r="AV590"/>
      <c r="AW590"/>
      <c r="FY590" s="211">
        <v>585</v>
      </c>
      <c r="FZ590">
        <v>15.633030606972927</v>
      </c>
      <c r="GA590">
        <v>16.879888696352996</v>
      </c>
      <c r="GB590">
        <v>29.841416361298219</v>
      </c>
      <c r="GC590">
        <v>1.6560417570425969</v>
      </c>
      <c r="GD590">
        <v>0.26643071148870145</v>
      </c>
      <c r="GE590">
        <v>0.83397167582938536</v>
      </c>
      <c r="GF590">
        <v>3.1200998466068857</v>
      </c>
      <c r="GG590">
        <v>6.2664500655839888</v>
      </c>
      <c r="GH590">
        <v>9.6111648241764271</v>
      </c>
      <c r="GI590">
        <v>32.174860981447516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7.0822916666666655</v>
      </c>
      <c r="AO591">
        <v>63.213224325371542</v>
      </c>
      <c r="AP591">
        <v>635.96436982421687</v>
      </c>
      <c r="AQ591">
        <v>115.65714533524235</v>
      </c>
      <c r="AR591">
        <v>58.61101230673367</v>
      </c>
      <c r="AS591">
        <v>262.57934902152357</v>
      </c>
      <c r="AT591" t="e">
        <v>#DIV/0!</v>
      </c>
      <c r="AU591" t="e">
        <v>#DIV/0!</v>
      </c>
      <c r="AV591"/>
      <c r="AW591"/>
      <c r="FY591" s="211">
        <v>586</v>
      </c>
      <c r="FZ591">
        <v>14.64671172500706</v>
      </c>
      <c r="GA591">
        <v>25.474737538826915</v>
      </c>
      <c r="GB591">
        <v>40.270094615745165</v>
      </c>
      <c r="GC591">
        <v>0.84101789929183335</v>
      </c>
      <c r="GD591">
        <v>0.16535710024677738</v>
      </c>
      <c r="GE591">
        <v>0.38947731524800216</v>
      </c>
      <c r="GF591">
        <v>3.1793647646906202</v>
      </c>
      <c r="GG591">
        <v>8.3687969970047913</v>
      </c>
      <c r="GH591">
        <v>17.253860269699697</v>
      </c>
      <c r="GI591">
        <v>38.291286129684529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14.443803418803418</v>
      </c>
      <c r="AO592">
        <v>153.33774862236919</v>
      </c>
      <c r="AP592">
        <v>1131.2778584021098</v>
      </c>
      <c r="AQ592">
        <v>200.73460620613693</v>
      </c>
      <c r="AR592">
        <v>142.12473384476056</v>
      </c>
      <c r="AS592">
        <v>864.96967863268128</v>
      </c>
      <c r="AT592" t="e">
        <v>#DIV/0!</v>
      </c>
      <c r="AU592" t="e">
        <v>#DIV/0!</v>
      </c>
      <c r="AV592"/>
      <c r="AW592"/>
      <c r="FY592" s="211">
        <v>587</v>
      </c>
      <c r="FZ592">
        <v>38.508741863355354</v>
      </c>
      <c r="GA592">
        <v>44.580323695577</v>
      </c>
      <c r="GB592">
        <v>82.165591986985234</v>
      </c>
      <c r="GC592">
        <v>2.2073139604613243</v>
      </c>
      <c r="GD592">
        <v>0.57648009060492955</v>
      </c>
      <c r="GE592">
        <v>0.65731824801606409</v>
      </c>
      <c r="GF592">
        <v>1.9557679508572623</v>
      </c>
      <c r="GG592">
        <v>6.6531053713183059</v>
      </c>
      <c r="GH592">
        <v>9.1973069806361583</v>
      </c>
      <c r="GI592">
        <v>69.988947776313566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13.076909722222222</v>
      </c>
      <c r="AO593">
        <v>108.23952457463638</v>
      </c>
      <c r="AP593">
        <v>978.01310180765552</v>
      </c>
      <c r="AQ593">
        <v>209.07841831598006</v>
      </c>
      <c r="AR593">
        <v>100.40363414813505</v>
      </c>
      <c r="AS593">
        <v>1015.5378423607</v>
      </c>
      <c r="AT593" t="e">
        <v>#DIV/0!</v>
      </c>
      <c r="AU593" t="e">
        <v>#DIV/0!</v>
      </c>
      <c r="AV593"/>
      <c r="AW593"/>
      <c r="FY593" s="211">
        <v>588</v>
      </c>
      <c r="FZ593">
        <v>34.258751535942395</v>
      </c>
      <c r="GA593">
        <v>41.981405618446622</v>
      </c>
      <c r="GB593">
        <v>28.846409295566517</v>
      </c>
      <c r="GC593">
        <v>2.1760263453449862</v>
      </c>
      <c r="GD593">
        <v>0.44062407004321952</v>
      </c>
      <c r="GE593">
        <v>0.8293672172736507</v>
      </c>
      <c r="GF593">
        <v>1.1508089394067866</v>
      </c>
      <c r="GG593">
        <v>10.212968296762071</v>
      </c>
      <c r="GH593">
        <v>18.394613961272317</v>
      </c>
      <c r="GI593">
        <v>32.707129318615856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10.767147435897437</v>
      </c>
      <c r="AO594">
        <v>75.709218708094056</v>
      </c>
      <c r="AP594">
        <v>835.15271114568134</v>
      </c>
      <c r="AQ594">
        <v>167.40893179962714</v>
      </c>
      <c r="AR594">
        <v>70.182231452360782</v>
      </c>
      <c r="AS594">
        <v>393.76729292641124</v>
      </c>
      <c r="AT594" t="e">
        <v>#DIV/0!</v>
      </c>
      <c r="AU594" t="e">
        <v>#DIV/0!</v>
      </c>
      <c r="AV594"/>
      <c r="AW594"/>
      <c r="FY594" s="211">
        <v>589</v>
      </c>
      <c r="FZ594">
        <v>52.973267637960383</v>
      </c>
      <c r="GA594">
        <v>56.897503273327096</v>
      </c>
      <c r="GB594">
        <v>32.871569034442118</v>
      </c>
      <c r="GC594">
        <v>0.80194885276293981</v>
      </c>
      <c r="GD594">
        <v>0.26643071148870145</v>
      </c>
      <c r="GE594">
        <v>0.57734952820313745</v>
      </c>
      <c r="GF594">
        <v>1.0951296460528412</v>
      </c>
      <c r="GG594">
        <v>5.936151560766076</v>
      </c>
      <c r="GH594">
        <v>13.225583625167928</v>
      </c>
      <c r="GI594">
        <v>32.136605448673897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16.88724626068376</v>
      </c>
      <c r="AO595">
        <v>136.68440021863404</v>
      </c>
      <c r="AP595">
        <v>697.67722637996519</v>
      </c>
      <c r="AQ595">
        <v>242.54690616444495</v>
      </c>
      <c r="AR595">
        <v>126.96595247889604</v>
      </c>
      <c r="AS595">
        <v>1300.789689540753</v>
      </c>
      <c r="AT595" t="e">
        <v>#DIV/0!</v>
      </c>
      <c r="AU595" t="e">
        <v>#DIV/0!</v>
      </c>
      <c r="AV595"/>
      <c r="AW595"/>
      <c r="FY595" s="211">
        <v>590</v>
      </c>
      <c r="FZ595">
        <v>22.482201283784413</v>
      </c>
      <c r="GA595">
        <v>27.951228899886566</v>
      </c>
      <c r="GB595">
        <v>30.670863267237511</v>
      </c>
      <c r="GC595">
        <v>2.9832026651684318</v>
      </c>
      <c r="GD595">
        <v>0.402990011939383</v>
      </c>
      <c r="GE595">
        <v>0.25201768907051325</v>
      </c>
      <c r="GF595">
        <v>1.3981972285224096</v>
      </c>
      <c r="GG595">
        <v>5.6949582848624711</v>
      </c>
      <c r="GH595">
        <v>7.2288376019830025</v>
      </c>
      <c r="GI595">
        <v>32.913748658807897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18.770966880341881</v>
      </c>
      <c r="AO596">
        <v>144.81169687713538</v>
      </c>
      <c r="AP596">
        <v>830.91610587153298</v>
      </c>
      <c r="AQ596">
        <v>149.27883874439493</v>
      </c>
      <c r="AR596">
        <v>134.32462989392931</v>
      </c>
      <c r="AS596">
        <v>1215.4507422154513</v>
      </c>
      <c r="AT596" t="e">
        <v>#DIV/0!</v>
      </c>
      <c r="AU596" t="e">
        <v>#DIV/0!</v>
      </c>
      <c r="AV596"/>
      <c r="AW596"/>
      <c r="FY596" s="211">
        <v>591</v>
      </c>
      <c r="FZ596">
        <v>19.09860440617096</v>
      </c>
      <c r="GA596">
        <v>24.646508745895858</v>
      </c>
      <c r="GB596">
        <v>43.792698900313546</v>
      </c>
      <c r="GC596">
        <v>3.6678413778983798</v>
      </c>
      <c r="GD596">
        <v>0.402990011939383</v>
      </c>
      <c r="GE596">
        <v>0.4786147090076619</v>
      </c>
      <c r="GF596">
        <v>1.8738179812524622</v>
      </c>
      <c r="GG596">
        <v>10.011149466014956</v>
      </c>
      <c r="GH596">
        <v>20.776941183465745</v>
      </c>
      <c r="GI596">
        <v>44.630207684127441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13.052911324786326</v>
      </c>
      <c r="AO597">
        <v>75.794917895795436</v>
      </c>
      <c r="AP597">
        <v>477.33412319601803</v>
      </c>
      <c r="AQ597">
        <v>183.29073010979744</v>
      </c>
      <c r="AR597">
        <v>70.343305482952942</v>
      </c>
      <c r="AS597">
        <v>700.47667166967631</v>
      </c>
      <c r="AT597" t="e">
        <v>#DIV/0!</v>
      </c>
      <c r="AU597" t="e">
        <v>#DIV/0!</v>
      </c>
      <c r="AV597"/>
      <c r="AW597"/>
      <c r="FY597" s="211">
        <v>592</v>
      </c>
      <c r="FZ597">
        <v>35.51605154135882</v>
      </c>
      <c r="GA597">
        <v>44.337335862845258</v>
      </c>
      <c r="GB597">
        <v>27.637111549636202</v>
      </c>
      <c r="GC597">
        <v>2.306411490365802</v>
      </c>
      <c r="GD597">
        <v>0.44604605565573241</v>
      </c>
      <c r="GE597">
        <v>1.0218438887845207</v>
      </c>
      <c r="GF597">
        <v>1.7775819114384215</v>
      </c>
      <c r="GG597">
        <v>5.8797947598496716</v>
      </c>
      <c r="GH597">
        <v>9.1973069806361583</v>
      </c>
      <c r="GI597">
        <v>35.638576895595747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11.529473824786324</v>
      </c>
      <c r="AO598">
        <v>106.2247920221981</v>
      </c>
      <c r="AP598">
        <v>757.40459440764346</v>
      </c>
      <c r="AQ598">
        <v>173.78338750859803</v>
      </c>
      <c r="AR598">
        <v>98.481446661119676</v>
      </c>
      <c r="AS598">
        <v>655.70126457648746</v>
      </c>
      <c r="AT598" t="e">
        <v>#DIV/0!</v>
      </c>
      <c r="AU598" t="e">
        <v>#DIV/0!</v>
      </c>
      <c r="AV598"/>
      <c r="AW598"/>
      <c r="FY598" s="211">
        <v>593</v>
      </c>
      <c r="FZ598">
        <v>24.214988183383429</v>
      </c>
      <c r="GA598">
        <v>27.73920855642055</v>
      </c>
      <c r="GB598">
        <v>38.712230727344156</v>
      </c>
      <c r="GC598">
        <v>2.57264924221833</v>
      </c>
      <c r="GD598">
        <v>0.48082846497551834</v>
      </c>
      <c r="GE598">
        <v>0.22199256138141404</v>
      </c>
      <c r="GF598">
        <v>1.9035250542739217</v>
      </c>
      <c r="GG598">
        <v>3.7053249552744782</v>
      </c>
      <c r="GH598">
        <v>7.6426954455232705</v>
      </c>
      <c r="GI598">
        <v>38.887579777679655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14.08676549145299</v>
      </c>
      <c r="AO599">
        <v>87.271433897715312</v>
      </c>
      <c r="AP599">
        <v>670.40003535568439</v>
      </c>
      <c r="AQ599">
        <v>182.85731973371244</v>
      </c>
      <c r="AR599">
        <v>80.92437279782547</v>
      </c>
      <c r="AS599">
        <v>876.44887804990037</v>
      </c>
      <c r="AT599" t="e">
        <v>#DIV/0!</v>
      </c>
      <c r="AU599" t="e">
        <v>#DIV/0!</v>
      </c>
      <c r="AV599"/>
      <c r="AW599"/>
      <c r="FY599" s="211">
        <v>594</v>
      </c>
      <c r="FZ599">
        <v>42.689653421068698</v>
      </c>
      <c r="GA599">
        <v>47.559012791536503</v>
      </c>
      <c r="GB599">
        <v>64.594686998360515</v>
      </c>
      <c r="GC599">
        <v>3.0164767687201257</v>
      </c>
      <c r="GD599">
        <v>0.48695373047700274</v>
      </c>
      <c r="GE599">
        <v>0.44905857597238164</v>
      </c>
      <c r="GF599">
        <v>1.8072889844598812</v>
      </c>
      <c r="GG599">
        <v>6.7094621722347103</v>
      </c>
      <c r="GH599">
        <v>17.253860269699697</v>
      </c>
      <c r="GI599">
        <v>59.154563743082633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12.912152777777777</v>
      </c>
      <c r="AO600">
        <v>73.632210011514033</v>
      </c>
      <c r="AP600">
        <v>772.74339632579711</v>
      </c>
      <c r="AQ600">
        <v>168.28971166430861</v>
      </c>
      <c r="AR600">
        <v>68.182070491047995</v>
      </c>
      <c r="AS600">
        <v>371.55492226740682</v>
      </c>
      <c r="AT600" t="e">
        <v>#DIV/0!</v>
      </c>
      <c r="AU600" t="e">
        <v>#DIV/0!</v>
      </c>
      <c r="AV600"/>
      <c r="AW600"/>
      <c r="FY600" s="211">
        <v>595</v>
      </c>
      <c r="FZ600">
        <v>58.291553768923798</v>
      </c>
      <c r="GA600">
        <v>63.342112796544598</v>
      </c>
      <c r="GB600">
        <v>42.077825220958921</v>
      </c>
      <c r="GC600">
        <v>3.0149790507719487</v>
      </c>
      <c r="GD600">
        <v>0.402990011939383</v>
      </c>
      <c r="GE600">
        <v>0.48778338295439488</v>
      </c>
      <c r="GF600">
        <v>3.7367862590662888</v>
      </c>
      <c r="GG600">
        <v>10.801442433243508</v>
      </c>
      <c r="GH600">
        <v>24.482697871682696</v>
      </c>
      <c r="GI600">
        <v>54.509326500171063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14.533119658119656</v>
      </c>
      <c r="AO601">
        <v>141.40118555169738</v>
      </c>
      <c r="AP601">
        <v>807.02241294615283</v>
      </c>
      <c r="AQ601">
        <v>116.28335552679965</v>
      </c>
      <c r="AR601">
        <v>131.22659703613803</v>
      </c>
      <c r="AS601">
        <v>1192.0191659029392</v>
      </c>
      <c r="AT601" t="e">
        <v>#DIV/0!</v>
      </c>
      <c r="AU601" t="e">
        <v>#DIV/0!</v>
      </c>
      <c r="AV601"/>
      <c r="AW601"/>
      <c r="FY601" s="211">
        <v>596</v>
      </c>
      <c r="FZ601">
        <v>84.037426498155313</v>
      </c>
      <c r="GA601">
        <v>88.153452327204391</v>
      </c>
      <c r="GB601">
        <v>56.553319538253852</v>
      </c>
      <c r="GC601">
        <v>1.6772231325467648</v>
      </c>
      <c r="GD601">
        <v>0.19401424406507889</v>
      </c>
      <c r="GE601">
        <v>0.37527543125645169</v>
      </c>
      <c r="GF601">
        <v>3.4204941761722529</v>
      </c>
      <c r="GG601">
        <v>10.543266801579986</v>
      </c>
      <c r="GH601">
        <v>18.808471804812587</v>
      </c>
      <c r="GI601">
        <v>57.58264238155936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10.218576388888888</v>
      </c>
      <c r="AO602">
        <v>84.341325033665797</v>
      </c>
      <c r="AP602">
        <v>766.03857365035719</v>
      </c>
      <c r="AQ602">
        <v>148.88070435544537</v>
      </c>
      <c r="AR602">
        <v>78.254802660207744</v>
      </c>
      <c r="AS602">
        <v>376.03745496457384</v>
      </c>
      <c r="AT602" t="e">
        <v>#DIV/0!</v>
      </c>
      <c r="AU602" t="e">
        <v>#DIV/0!</v>
      </c>
      <c r="AV602"/>
      <c r="AW602"/>
      <c r="FY602" s="211">
        <v>597</v>
      </c>
      <c r="FZ602">
        <v>30.399667764146344</v>
      </c>
      <c r="GA602">
        <v>34.889620156498367</v>
      </c>
      <c r="GB602">
        <v>30.714065377108266</v>
      </c>
      <c r="GC602">
        <v>2.5646215771315011</v>
      </c>
      <c r="GD602">
        <v>0.2493208187843971</v>
      </c>
      <c r="GE602">
        <v>0.41446923289228399</v>
      </c>
      <c r="GF602">
        <v>3.0543339936807086</v>
      </c>
      <c r="GG602">
        <v>3.7053249552744782</v>
      </c>
      <c r="GH602">
        <v>7.6426954455232705</v>
      </c>
      <c r="GI602">
        <v>30.61198934678433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15.197395833333331</v>
      </c>
      <c r="AO603">
        <v>70.16486913321117</v>
      </c>
      <c r="AP603">
        <v>618.39158502092766</v>
      </c>
      <c r="AQ603">
        <v>256.49089792412519</v>
      </c>
      <c r="AR603">
        <v>65.014795765302594</v>
      </c>
      <c r="AS603">
        <v>449.96875831934568</v>
      </c>
      <c r="AT603" t="e">
        <v>#DIV/0!</v>
      </c>
      <c r="AU603" t="e">
        <v>#DIV/0!</v>
      </c>
      <c r="AV603"/>
      <c r="AW603"/>
      <c r="FY603" s="211">
        <v>598</v>
      </c>
      <c r="FZ603">
        <v>26.392131718047199</v>
      </c>
      <c r="GA603">
        <v>30.429485173033168</v>
      </c>
      <c r="GB603">
        <v>47.911631089432902</v>
      </c>
      <c r="GC603">
        <v>2.1943468734862304</v>
      </c>
      <c r="GD603">
        <v>0.42281089744994371</v>
      </c>
      <c r="GE603">
        <v>0.59317277190068629</v>
      </c>
      <c r="GF603">
        <v>1.6562859931174834</v>
      </c>
      <c r="GG603">
        <v>6.7658189731511165</v>
      </c>
      <c r="GH603">
        <v>13.225583625167928</v>
      </c>
      <c r="GI603">
        <v>44.18287388937901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11.400827991452989</v>
      </c>
      <c r="AO604">
        <v>44.448343890629701</v>
      </c>
      <c r="AP604">
        <v>334.31537890614203</v>
      </c>
      <c r="AQ604">
        <v>170.99810459867439</v>
      </c>
      <c r="AR604">
        <v>41.130041864208039</v>
      </c>
      <c r="AS604">
        <v>291.70810165966947</v>
      </c>
      <c r="AT604" t="e">
        <v>#DIV/0!</v>
      </c>
      <c r="AU604" t="e">
        <v>#DIV/0!</v>
      </c>
      <c r="AV604"/>
      <c r="AW604"/>
      <c r="FY604" s="211">
        <v>599</v>
      </c>
      <c r="FZ604">
        <v>45.628893663617404</v>
      </c>
      <c r="GA604">
        <v>52.480807040618075</v>
      </c>
      <c r="GB604">
        <v>28.109671736272912</v>
      </c>
      <c r="GC604">
        <v>1.6412368720382715</v>
      </c>
      <c r="GD604">
        <v>0.27526696979644222</v>
      </c>
      <c r="GE604">
        <v>0.22199256138141404</v>
      </c>
      <c r="GF604">
        <v>2.2030070120137006</v>
      </c>
      <c r="GG604">
        <v>7.6676092586905469</v>
      </c>
      <c r="GH604">
        <v>15.194053003821082</v>
      </c>
      <c r="GI604">
        <v>38.568051081156696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8.8670138888888879</v>
      </c>
      <c r="AO605">
        <v>96.067639152517799</v>
      </c>
      <c r="AP605">
        <v>802.95077769992088</v>
      </c>
      <c r="AQ605">
        <v>196.78153931884512</v>
      </c>
      <c r="AR605">
        <v>89.185669283660474</v>
      </c>
      <c r="AS605">
        <v>451.45853753175629</v>
      </c>
      <c r="AT605" t="e">
        <v>#DIV/0!</v>
      </c>
      <c r="AU605" t="e">
        <v>#DIV/0!</v>
      </c>
      <c r="AV605"/>
      <c r="AW605"/>
      <c r="FY605" s="211">
        <v>600</v>
      </c>
      <c r="FZ605">
        <v>25.745872729231515</v>
      </c>
      <c r="GA605">
        <v>36.885310291906123</v>
      </c>
      <c r="GB605">
        <v>45.568649881234357</v>
      </c>
      <c r="GC605">
        <v>2.5213426556976319</v>
      </c>
      <c r="GD605">
        <v>0.35651969552780555</v>
      </c>
      <c r="GE605">
        <v>0</v>
      </c>
      <c r="GF605">
        <v>0.93327695127180799</v>
      </c>
      <c r="GG605">
        <v>5.936151560766076</v>
      </c>
      <c r="GH605">
        <v>13.225583625167928</v>
      </c>
      <c r="GI605">
        <v>40.742541653290175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11.311458333333333</v>
      </c>
      <c r="AO606">
        <v>95.600034923780214</v>
      </c>
      <c r="AP606">
        <v>607.53861303990914</v>
      </c>
      <c r="AQ606">
        <v>131.97824559126258</v>
      </c>
      <c r="AR606">
        <v>88.593044939494945</v>
      </c>
      <c r="AS606">
        <v>681.58231067502675</v>
      </c>
      <c r="AT606" t="e">
        <v>#DIV/0!</v>
      </c>
      <c r="AU606" t="e">
        <v>#DIV/0!</v>
      </c>
      <c r="AV606"/>
      <c r="AW606"/>
      <c r="FY606" s="211">
        <v>601</v>
      </c>
      <c r="FZ606">
        <v>35.840482744257216</v>
      </c>
      <c r="GA606">
        <v>44.254292637545802</v>
      </c>
      <c r="GB606">
        <v>34.539928739544095</v>
      </c>
      <c r="GC606">
        <v>2.866706234726407</v>
      </c>
      <c r="GD606">
        <v>0.40570100474563942</v>
      </c>
      <c r="GE606">
        <v>0.29074249605252656</v>
      </c>
      <c r="GF606">
        <v>2.3682961035653389</v>
      </c>
      <c r="GG606">
        <v>12.057139596519352</v>
      </c>
      <c r="GH606">
        <v>28.419636628989011</v>
      </c>
      <c r="GI606">
        <v>43.394418559437774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14.678819444444443</v>
      </c>
      <c r="AO607">
        <v>109.14241442379996</v>
      </c>
      <c r="AP607">
        <v>766.31529609019901</v>
      </c>
      <c r="AQ607">
        <v>169.37937446608638</v>
      </c>
      <c r="AR607">
        <v>101.28606094652643</v>
      </c>
      <c r="AS607">
        <v>781.44336986283236</v>
      </c>
      <c r="AT607" t="e">
        <v>#DIV/0!</v>
      </c>
      <c r="AU607" t="e">
        <v>#DIV/0!</v>
      </c>
      <c r="AV607"/>
      <c r="AW607"/>
      <c r="FY607" s="211">
        <v>602</v>
      </c>
      <c r="FZ607">
        <v>30.279742331979985</v>
      </c>
      <c r="GA607">
        <v>36.211630682823738</v>
      </c>
      <c r="GB607">
        <v>51.626843763943015</v>
      </c>
      <c r="GC607">
        <v>2.6978014630004772</v>
      </c>
      <c r="GD607">
        <v>0.39415375363164218</v>
      </c>
      <c r="GE607">
        <v>0.46441282501611136</v>
      </c>
      <c r="GF607">
        <v>3.7603836824129426</v>
      </c>
      <c r="GG607">
        <v>8.6990955018227059</v>
      </c>
      <c r="GH607">
        <v>12.811725781627663</v>
      </c>
      <c r="GI607">
        <v>54.947198566507431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13.125961538461535</v>
      </c>
      <c r="AO608">
        <v>84.729084749911323</v>
      </c>
      <c r="AP608">
        <v>784.6275745122399</v>
      </c>
      <c r="AQ608">
        <v>163.75806093616634</v>
      </c>
      <c r="AR608">
        <v>78.573499244799407</v>
      </c>
      <c r="AS608">
        <v>590.50129336367297</v>
      </c>
      <c r="AT608" t="e">
        <v>#DIV/0!</v>
      </c>
      <c r="AU608" t="e">
        <v>#DIV/0!</v>
      </c>
      <c r="AV608"/>
      <c r="AW608"/>
      <c r="FY608" s="211">
        <v>603</v>
      </c>
      <c r="FZ608">
        <v>27.478659628830528</v>
      </c>
      <c r="GA608">
        <v>36.6732899484401</v>
      </c>
      <c r="GB608">
        <v>47.566290085954378</v>
      </c>
      <c r="GC608">
        <v>1.9582657694036172</v>
      </c>
      <c r="GD608">
        <v>0.26914170429495782</v>
      </c>
      <c r="GE608">
        <v>0.28157382210579351</v>
      </c>
      <c r="GF608">
        <v>2.1768855637220303</v>
      </c>
      <c r="GG608">
        <v>6.7094621722347103</v>
      </c>
      <c r="GH608">
        <v>9.1973069806361583</v>
      </c>
      <c r="GI608">
        <v>39.984069182251844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10.044965277777777</v>
      </c>
      <c r="AO609">
        <v>72.054728718020726</v>
      </c>
      <c r="AP609">
        <v>597.14672641092216</v>
      </c>
      <c r="AQ609">
        <v>146.08102296847474</v>
      </c>
      <c r="AR609">
        <v>66.849487975030343</v>
      </c>
      <c r="AS609">
        <v>371.18920655052216</v>
      </c>
      <c r="AT609" t="e">
        <v>#DIV/0!</v>
      </c>
      <c r="AU609" t="e">
        <v>#DIV/0!</v>
      </c>
      <c r="AV609"/>
      <c r="AW609"/>
      <c r="FY609" s="211">
        <v>604</v>
      </c>
      <c r="FZ609">
        <v>47.532452657849511</v>
      </c>
      <c r="GA609">
        <v>45.273145264694918</v>
      </c>
      <c r="GB609">
        <v>62.079722261573053</v>
      </c>
      <c r="GC609">
        <v>1.4361239011463725</v>
      </c>
      <c r="GD609">
        <v>9.8362618435667654E-2</v>
      </c>
      <c r="GE609">
        <v>0.68482426985626332</v>
      </c>
      <c r="GF609">
        <v>3.4598401248883905</v>
      </c>
      <c r="GG609">
        <v>5.8797947598496716</v>
      </c>
      <c r="GH609">
        <v>9.1973069806361583</v>
      </c>
      <c r="GI609">
        <v>52.734887384216073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13.616840277777778</v>
      </c>
      <c r="AO610">
        <v>82.257293053723245</v>
      </c>
      <c r="AP610">
        <v>589.27695978745191</v>
      </c>
      <c r="AQ610">
        <v>243.72101745561216</v>
      </c>
      <c r="AR610">
        <v>76.411296629653108</v>
      </c>
      <c r="AS610">
        <v>453.55864065434798</v>
      </c>
      <c r="AT610" t="e">
        <v>#DIV/0!</v>
      </c>
      <c r="AU610" t="e">
        <v>#DIV/0!</v>
      </c>
      <c r="AV610"/>
      <c r="AW610"/>
      <c r="FY610" s="211">
        <v>605</v>
      </c>
      <c r="FZ610">
        <v>48.007939552032113</v>
      </c>
      <c r="GA610">
        <v>47.43658607546579</v>
      </c>
      <c r="GB610">
        <v>17.915109437227738</v>
      </c>
      <c r="GC610">
        <v>2.3087174607267835</v>
      </c>
      <c r="GD610">
        <v>0.31004937911622815</v>
      </c>
      <c r="GE610">
        <v>5.9112266070560512E-2</v>
      </c>
      <c r="GF610">
        <v>3.3909363311099776</v>
      </c>
      <c r="GG610">
        <v>11.31657741304862</v>
      </c>
      <c r="GH610">
        <v>14.780195160280819</v>
      </c>
      <c r="GI610">
        <v>34.411422170770138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14.558293269230768</v>
      </c>
      <c r="AO611">
        <v>124.9428783364593</v>
      </c>
      <c r="AP611">
        <v>943.57838763730615</v>
      </c>
      <c r="AQ611">
        <v>261.14749729625657</v>
      </c>
      <c r="AR611">
        <v>115.87778407214844</v>
      </c>
      <c r="AS611">
        <v>717.00751585159742</v>
      </c>
      <c r="AT611" t="e">
        <v>#DIV/0!</v>
      </c>
      <c r="AU611" t="e">
        <v>#DIV/0!</v>
      </c>
      <c r="AV611"/>
      <c r="AW611"/>
      <c r="FY611" s="211">
        <v>606</v>
      </c>
      <c r="FZ611">
        <v>35.094014726624074</v>
      </c>
      <c r="GA611">
        <v>34.035819297885205</v>
      </c>
      <c r="GB611">
        <v>10.20361210725283</v>
      </c>
      <c r="GC611">
        <v>1.2544321696048586</v>
      </c>
      <c r="GD611">
        <v>0.11888678383519996</v>
      </c>
      <c r="GE611">
        <v>0.29074249605252656</v>
      </c>
      <c r="GF611">
        <v>2.3648597067947339</v>
      </c>
      <c r="GG611">
        <v>10.728103276567186</v>
      </c>
      <c r="GH611">
        <v>20.776941183465745</v>
      </c>
      <c r="GI611">
        <v>20.710419994099457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16.790411324786323</v>
      </c>
      <c r="AO612">
        <v>156.47808514295659</v>
      </c>
      <c r="AP612">
        <v>1179.0543278208875</v>
      </c>
      <c r="AQ612">
        <v>321.34558633560601</v>
      </c>
      <c r="AR612">
        <v>145.09108085696064</v>
      </c>
      <c r="AS612">
        <v>1189.2567619502042</v>
      </c>
      <c r="AT612" t="e">
        <v>#DIV/0!</v>
      </c>
      <c r="AU612" t="e">
        <v>#DIV/0!</v>
      </c>
      <c r="AV612"/>
      <c r="AW612"/>
      <c r="FY612" s="211">
        <v>607</v>
      </c>
      <c r="FZ612">
        <v>22.362275851618058</v>
      </c>
      <c r="GA612">
        <v>29.697280113143986</v>
      </c>
      <c r="GB612">
        <v>64.643050388248625</v>
      </c>
      <c r="GC612">
        <v>0.7196426962981437</v>
      </c>
      <c r="GD612">
        <v>0.16806809305303377</v>
      </c>
      <c r="GE612">
        <v>0.64609946287425002</v>
      </c>
      <c r="GF612">
        <v>3.5850201238574875</v>
      </c>
      <c r="GG612">
        <v>9.085750807557023</v>
      </c>
      <c r="GH612">
        <v>9.1973069806361583</v>
      </c>
      <c r="GI612">
        <v>49.934938392831043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11.87934027777778</v>
      </c>
      <c r="AO613">
        <v>120.19364561634723</v>
      </c>
      <c r="AP613">
        <v>692.47336562053567</v>
      </c>
      <c r="AQ613">
        <v>144.24610866782396</v>
      </c>
      <c r="AR613">
        <v>111.40306695212968</v>
      </c>
      <c r="AS613">
        <v>778.7073300415459</v>
      </c>
      <c r="AT613" t="e">
        <v>#DIV/0!</v>
      </c>
      <c r="AU613" t="e">
        <v>#DIV/0!</v>
      </c>
      <c r="AV613"/>
      <c r="AW613"/>
      <c r="FY613" s="211">
        <v>608</v>
      </c>
      <c r="FZ613">
        <v>31.861473540294803</v>
      </c>
      <c r="GA613">
        <v>44.203472567347049</v>
      </c>
      <c r="GB613">
        <v>44.591095413335658</v>
      </c>
      <c r="GC613">
        <v>1.1851718055446714</v>
      </c>
      <c r="GD613">
        <v>0.26100872587618862</v>
      </c>
      <c r="GE613">
        <v>0.54276018512303981</v>
      </c>
      <c r="GF613">
        <v>2.3944175518570092</v>
      </c>
      <c r="GG613">
        <v>9.9717750208584679</v>
      </c>
      <c r="GH613">
        <v>20.454421227150927</v>
      </c>
      <c r="GI613">
        <v>42.781134027267484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13.444444444444446</v>
      </c>
      <c r="AO614">
        <v>131.20750248091196</v>
      </c>
      <c r="AP614">
        <v>863.40714547035145</v>
      </c>
      <c r="AQ614">
        <v>173.77414100416567</v>
      </c>
      <c r="AR614">
        <v>121.76705755053456</v>
      </c>
      <c r="AS614">
        <v>940.68094754671779</v>
      </c>
      <c r="AT614" t="e">
        <v>#DIV/0!</v>
      </c>
      <c r="AU614" t="e">
        <v>#DIV/0!</v>
      </c>
      <c r="AV614"/>
      <c r="AW614"/>
      <c r="FY614" s="211">
        <v>609</v>
      </c>
      <c r="FZ614">
        <v>44.813346876284641</v>
      </c>
      <c r="GA614">
        <v>49.984684082397422</v>
      </c>
      <c r="GB614">
        <v>28.480614672575751</v>
      </c>
      <c r="GC614">
        <v>4.1063941686635408</v>
      </c>
      <c r="GD614">
        <v>0.57989436330015764</v>
      </c>
      <c r="GE614">
        <v>0.51320405208775954</v>
      </c>
      <c r="GF614">
        <v>1.5600499233034428</v>
      </c>
      <c r="GG614">
        <v>1.6029780238536757</v>
      </c>
      <c r="GH614">
        <v>4.0282766445317693</v>
      </c>
      <c r="GI614">
        <v>35.200128287895048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12.646875</v>
      </c>
      <c r="AO615">
        <v>144.100960482998</v>
      </c>
      <c r="AP615">
        <v>1301.7232831728177</v>
      </c>
      <c r="AQ615">
        <v>191.99058919940654</v>
      </c>
      <c r="AR615">
        <v>133.63786044764166</v>
      </c>
      <c r="AS615">
        <v>1454.3523715187005</v>
      </c>
      <c r="AT615" t="e">
        <v>#DIV/0!</v>
      </c>
      <c r="AU615" t="e">
        <v>#DIV/0!</v>
      </c>
      <c r="AV615"/>
      <c r="AW615"/>
      <c r="FY615" s="211">
        <v>610</v>
      </c>
      <c r="FZ615">
        <v>43.231615667969812</v>
      </c>
      <c r="GA615">
        <v>44.040507381992825</v>
      </c>
      <c r="GB615">
        <v>23.781815114254353</v>
      </c>
      <c r="GC615">
        <v>3.5892704277240748</v>
      </c>
      <c r="GD615">
        <v>0.402990011939383</v>
      </c>
      <c r="GE615">
        <v>0.38444410520318473</v>
      </c>
      <c r="GF615">
        <v>3.9689028033288762</v>
      </c>
      <c r="GG615">
        <v>8.4251537979211975</v>
      </c>
      <c r="GH615">
        <v>9.1973069806361583</v>
      </c>
      <c r="GI615">
        <v>34.092015069164731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10.521180555555556</v>
      </c>
      <c r="AO616">
        <v>82.396969189623988</v>
      </c>
      <c r="AP616">
        <v>481.38806373388479</v>
      </c>
      <c r="AQ616">
        <v>171.91524904409343</v>
      </c>
      <c r="AR616">
        <v>76.426878782835146</v>
      </c>
      <c r="AS616">
        <v>475.94675353111251</v>
      </c>
      <c r="AT616" t="e">
        <v>#DIV/0!</v>
      </c>
      <c r="AU616" t="e">
        <v>#DIV/0!</v>
      </c>
      <c r="AV616"/>
      <c r="AW616"/>
      <c r="FY616" s="211">
        <v>611</v>
      </c>
      <c r="FZ616">
        <v>55.248016784460511</v>
      </c>
      <c r="GA616">
        <v>57.474328232020866</v>
      </c>
      <c r="GB616">
        <v>27.040373234763479</v>
      </c>
      <c r="GC616">
        <v>1.4450677366587354</v>
      </c>
      <c r="GD616">
        <v>0.14212194204098866</v>
      </c>
      <c r="GE616">
        <v>0.5672831081135028</v>
      </c>
      <c r="GF616">
        <v>5.3869626025089667</v>
      </c>
      <c r="GG616">
        <v>2.3762886353223109</v>
      </c>
      <c r="GH616">
        <v>0</v>
      </c>
      <c r="GI616">
        <v>32.590992452713266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15.169097222222224</v>
      </c>
      <c r="AO617">
        <v>90.660306700431676</v>
      </c>
      <c r="AP617">
        <v>347.00117608176703</v>
      </c>
      <c r="AQ617">
        <v>204.4373447453832</v>
      </c>
      <c r="AR617">
        <v>84.133091016010667</v>
      </c>
      <c r="AS617">
        <v>809.3425090400516</v>
      </c>
      <c r="AT617" t="e">
        <v>#DIV/0!</v>
      </c>
      <c r="AU617" t="e">
        <v>#DIV/0!</v>
      </c>
      <c r="AV617"/>
      <c r="AW617"/>
      <c r="FY617" s="211">
        <v>612</v>
      </c>
      <c r="FZ617">
        <v>53.666285576145704</v>
      </c>
      <c r="GA617">
        <v>59.508791924625186</v>
      </c>
      <c r="GB617">
        <v>43.602347249507027</v>
      </c>
      <c r="GC617">
        <v>2.0115115756835422</v>
      </c>
      <c r="GD617">
        <v>0.22608566057860841</v>
      </c>
      <c r="GE617">
        <v>0.12325774218593843</v>
      </c>
      <c r="GF617">
        <v>2.0222969476498434</v>
      </c>
      <c r="GG617">
        <v>5.8797947598496716</v>
      </c>
      <c r="GH617">
        <v>13.225583625167928</v>
      </c>
      <c r="GI617">
        <v>44.404442145577029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17.103258547008544</v>
      </c>
      <c r="AO618">
        <v>116.47802718842732</v>
      </c>
      <c r="AP618">
        <v>784.60628139023402</v>
      </c>
      <c r="AQ618">
        <v>201.89298835276571</v>
      </c>
      <c r="AR618">
        <v>107.87535763755538</v>
      </c>
      <c r="AS618">
        <v>925.45800466626076</v>
      </c>
      <c r="AT618" t="e">
        <v>#DIV/0!</v>
      </c>
      <c r="AU618" t="e">
        <v>#DIV/0!</v>
      </c>
      <c r="AV618"/>
      <c r="AW618"/>
      <c r="FY618" s="211">
        <v>613</v>
      </c>
      <c r="FZ618">
        <v>36.231389299874138</v>
      </c>
      <c r="GA618">
        <v>39.125364222329878</v>
      </c>
      <c r="GB618">
        <v>11.335313845034824</v>
      </c>
      <c r="GC618">
        <v>2.2452867094051734</v>
      </c>
      <c r="GD618">
        <v>0.30121312080848728</v>
      </c>
      <c r="GE618">
        <v>0.6318975788826996</v>
      </c>
      <c r="GF618">
        <v>2.4609465486495905</v>
      </c>
      <c r="GG618">
        <v>8.1669781662576746</v>
      </c>
      <c r="GH618">
        <v>22.836748449344356</v>
      </c>
      <c r="GI618">
        <v>24.951754785179464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13.311111111111108</v>
      </c>
      <c r="AO619">
        <v>154.90149566038548</v>
      </c>
      <c r="AP619">
        <v>1108.3801608757069</v>
      </c>
      <c r="AQ619">
        <v>172.2949448578741</v>
      </c>
      <c r="AR619">
        <v>143.5753340655549</v>
      </c>
      <c r="AS619">
        <v>848.3354630807911</v>
      </c>
      <c r="AT619" t="e">
        <v>#DIV/0!</v>
      </c>
      <c r="AU619" t="e">
        <v>#DIV/0!</v>
      </c>
      <c r="AV619"/>
      <c r="AW619"/>
      <c r="FY619" s="211">
        <v>614</v>
      </c>
      <c r="FZ619">
        <v>49.416295248732737</v>
      </c>
      <c r="GA619">
        <v>50.978898638604633</v>
      </c>
      <c r="GB619">
        <v>44.28184285254541</v>
      </c>
      <c r="GC619">
        <v>2.0624514116024861</v>
      </c>
      <c r="GD619">
        <v>0.17690435136077456</v>
      </c>
      <c r="GE619">
        <v>0.32029862908780682</v>
      </c>
      <c r="GF619">
        <v>2.652506316452083</v>
      </c>
      <c r="GG619">
        <v>2.8756575428894382</v>
      </c>
      <c r="GH619">
        <v>11.67097209005504</v>
      </c>
      <c r="GI619">
        <v>49.713913338094926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12.572315705128204</v>
      </c>
      <c r="AO620">
        <v>66.288273210758319</v>
      </c>
      <c r="AP620">
        <v>398.4828925198866</v>
      </c>
      <c r="AQ620">
        <v>228.37646022314604</v>
      </c>
      <c r="AR620">
        <v>61.381331230535253</v>
      </c>
      <c r="AS620">
        <v>358.01773581282157</v>
      </c>
      <c r="AT620" t="e">
        <v>#DIV/0!</v>
      </c>
      <c r="AU620" t="e">
        <v>#DIV/0!</v>
      </c>
      <c r="AV620"/>
      <c r="AW620"/>
      <c r="FY620" s="211">
        <v>615</v>
      </c>
      <c r="FZ620">
        <v>24.214988183383429</v>
      </c>
      <c r="GA620">
        <v>27.73920855642055</v>
      </c>
      <c r="GB620">
        <v>46.120623850676353</v>
      </c>
      <c r="GC620">
        <v>1.5016804956694529</v>
      </c>
      <c r="GD620">
        <v>2.3235158205788711E-2</v>
      </c>
      <c r="GE620">
        <v>0.42363790683901698</v>
      </c>
      <c r="GF620">
        <v>2.5301487983463722</v>
      </c>
      <c r="GG620">
        <v>5.936151560766076</v>
      </c>
      <c r="GH620">
        <v>13.225583625167928</v>
      </c>
      <c r="GI620">
        <v>39.777801233006528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13.389583333333334</v>
      </c>
      <c r="AO621">
        <v>102.5881764710545</v>
      </c>
      <c r="AP621">
        <v>484.20343656898433</v>
      </c>
      <c r="AQ621">
        <v>179.93664524584875</v>
      </c>
      <c r="AR621">
        <v>95.108599585926896</v>
      </c>
      <c r="AS621">
        <v>954.61519420913191</v>
      </c>
      <c r="AT621" t="e">
        <v>#DIV/0!</v>
      </c>
      <c r="AU621" t="e">
        <v>#DIV/0!</v>
      </c>
      <c r="AV621"/>
      <c r="AW621"/>
      <c r="FY621" s="211">
        <v>616</v>
      </c>
      <c r="FZ621">
        <v>19.964997855970466</v>
      </c>
      <c r="GA621">
        <v>21.469000797984755</v>
      </c>
      <c r="GB621">
        <v>20.683965615969779</v>
      </c>
      <c r="GC621">
        <v>2.0265438565235079</v>
      </c>
      <c r="GD621">
        <v>0.32444827901427609</v>
      </c>
      <c r="GE621">
        <v>0.38491309985700373</v>
      </c>
      <c r="GF621">
        <v>1.8072889844598812</v>
      </c>
      <c r="GG621">
        <v>5.6949582848624711</v>
      </c>
      <c r="GH621">
        <v>11.257114246514771</v>
      </c>
      <c r="GI621">
        <v>29.554812303784622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9.5730502136752129</v>
      </c>
      <c r="AO622">
        <v>91.941499208789651</v>
      </c>
      <c r="AP622">
        <v>579.40959906080809</v>
      </c>
      <c r="AQ622">
        <v>135.57783174218181</v>
      </c>
      <c r="AR622">
        <v>85.329738854680116</v>
      </c>
      <c r="AS622">
        <v>904.76208623832542</v>
      </c>
      <c r="AT622" t="e">
        <v>#DIV/0!</v>
      </c>
      <c r="AU622" t="e">
        <v>#DIV/0!</v>
      </c>
      <c r="AV622"/>
      <c r="AW622"/>
      <c r="FY622" s="211">
        <v>617</v>
      </c>
      <c r="FZ622">
        <v>48.99425843399797</v>
      </c>
      <c r="GA622">
        <v>50.703687650772167</v>
      </c>
      <c r="GB622">
        <v>34.443489139843386</v>
      </c>
      <c r="GC622">
        <v>1.9480808243619325</v>
      </c>
      <c r="GD622">
        <v>4.9181309217833827E-2</v>
      </c>
      <c r="GE622">
        <v>0</v>
      </c>
      <c r="GF622">
        <v>0.68603789011536964</v>
      </c>
      <c r="GG622">
        <v>11.042635709147113</v>
      </c>
      <c r="GH622">
        <v>18.394613961272317</v>
      </c>
      <c r="GI622">
        <v>37.363168909650796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13.730555555555558</v>
      </c>
      <c r="AO623">
        <v>75.027722057281608</v>
      </c>
      <c r="AP623">
        <v>469.61043831912383</v>
      </c>
      <c r="AQ623">
        <v>190.03943291011782</v>
      </c>
      <c r="AR623">
        <v>69.574090439020452</v>
      </c>
      <c r="AS623">
        <v>689.24605154691358</v>
      </c>
      <c r="AT623" t="e">
        <v>#DIV/0!</v>
      </c>
      <c r="AU623" t="e">
        <v>#DIV/0!</v>
      </c>
      <c r="AV623"/>
      <c r="AW623"/>
      <c r="FY623" s="211">
        <v>618</v>
      </c>
      <c r="FZ623">
        <v>22.331145592500217</v>
      </c>
      <c r="GA623">
        <v>24.08112036662957</v>
      </c>
      <c r="GB623">
        <v>40.126256939191286</v>
      </c>
      <c r="GC623">
        <v>2.7001735398762214</v>
      </c>
      <c r="GD623">
        <v>0.45488231396347317</v>
      </c>
      <c r="GE623">
        <v>0.54276018512303981</v>
      </c>
      <c r="GF623">
        <v>2.3648597067947339</v>
      </c>
      <c r="GG623">
        <v>6.6531053713183059</v>
      </c>
      <c r="GH623">
        <v>21.282136914231469</v>
      </c>
      <c r="GI623">
        <v>38.4084472434511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12.430555555555555</v>
      </c>
      <c r="AO624">
        <v>112.10623078744216</v>
      </c>
      <c r="AP624">
        <v>947.10940697071305</v>
      </c>
      <c r="AQ624">
        <v>198.24673006465531</v>
      </c>
      <c r="AR624">
        <v>103.94569349257236</v>
      </c>
      <c r="AS624">
        <v>504.85153872966265</v>
      </c>
      <c r="AT624" t="e">
        <v>#DIV/0!</v>
      </c>
      <c r="AU624" t="e">
        <v>#DIV/0!</v>
      </c>
      <c r="AV624"/>
      <c r="AW624"/>
      <c r="FY624" s="211">
        <v>619</v>
      </c>
      <c r="FZ624">
        <v>36.775954963756348</v>
      </c>
      <c r="GA624">
        <v>46.627988879695728</v>
      </c>
      <c r="GB624">
        <v>94.38870528280556</v>
      </c>
      <c r="GC624">
        <v>1.4833599675282094</v>
      </c>
      <c r="GD624">
        <v>0.16806809305303377</v>
      </c>
      <c r="GE624">
        <v>0.50817084204294227</v>
      </c>
      <c r="GF624">
        <v>2.6786277647437533</v>
      </c>
      <c r="GG624">
        <v>8.9402887777263089</v>
      </c>
      <c r="GH624">
        <v>14.780195160280819</v>
      </c>
      <c r="GI624">
        <v>68.704244229137601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11.485069444444443</v>
      </c>
      <c r="AO625">
        <v>46.778238079874527</v>
      </c>
      <c r="AP625">
        <v>351.27679119600685</v>
      </c>
      <c r="AQ625">
        <v>170.86957109489319</v>
      </c>
      <c r="AR625">
        <v>43.462662722766893</v>
      </c>
      <c r="AS625">
        <v>306.30238050089343</v>
      </c>
      <c r="AT625" t="e">
        <v>#DIV/0!</v>
      </c>
      <c r="AU625" t="e">
        <v>#DIV/0!</v>
      </c>
      <c r="AV625"/>
      <c r="AW625"/>
      <c r="FY625" s="211">
        <v>620</v>
      </c>
      <c r="FZ625">
        <v>53.395304452695143</v>
      </c>
      <c r="GA625">
        <v>55.125049077040842</v>
      </c>
      <c r="GB625">
        <v>13.711602185285749</v>
      </c>
      <c r="GC625">
        <v>0.73961439902637438</v>
      </c>
      <c r="GD625">
        <v>0.11617579102894354</v>
      </c>
      <c r="GE625">
        <v>0.55192885906977285</v>
      </c>
      <c r="GF625">
        <v>3.2423081367534121</v>
      </c>
      <c r="GG625">
        <v>5.6949582848624711</v>
      </c>
      <c r="GH625">
        <v>11.257114246514771</v>
      </c>
      <c r="GI625">
        <v>26.762475127422185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13.69596688034188</v>
      </c>
      <c r="AO626">
        <v>101.5557498636279</v>
      </c>
      <c r="AP626">
        <v>557.71434485332156</v>
      </c>
      <c r="AQ626">
        <v>171.11402136013459</v>
      </c>
      <c r="AR626">
        <v>94.138420653241042</v>
      </c>
      <c r="AS626">
        <v>650.1168151133395</v>
      </c>
      <c r="AT626" t="e">
        <v>#DIV/0!</v>
      </c>
      <c r="AU626" t="e">
        <v>#DIV/0!</v>
      </c>
      <c r="AV626"/>
      <c r="AW626"/>
      <c r="FY626" s="211">
        <v>621</v>
      </c>
      <c r="FZ626">
        <v>21.344826710534349</v>
      </c>
      <c r="GA626">
        <v>24.909349159560627</v>
      </c>
      <c r="GB626">
        <v>27.024754782203271</v>
      </c>
      <c r="GC626">
        <v>3.0782296749340476</v>
      </c>
      <c r="GD626">
        <v>0.24660982597814071</v>
      </c>
      <c r="GE626">
        <v>0.1528138752212187</v>
      </c>
      <c r="GF626">
        <v>3.0482243440059031</v>
      </c>
      <c r="GG626">
        <v>6.8942986472219117</v>
      </c>
      <c r="GH626">
        <v>15.194053003821082</v>
      </c>
      <c r="GI626">
        <v>25.632499649939756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9.8247462606837601</v>
      </c>
      <c r="AO627">
        <v>87.041989643600672</v>
      </c>
      <c r="AP627">
        <v>569.72746454509388</v>
      </c>
      <c r="AQ627">
        <v>182.27143472860263</v>
      </c>
      <c r="AR627">
        <v>80.573269839739297</v>
      </c>
      <c r="AS627">
        <v>387.29340435445158</v>
      </c>
      <c r="AT627" t="e">
        <v>#DIV/0!</v>
      </c>
      <c r="AU627" t="e">
        <v>#DIV/0!</v>
      </c>
      <c r="AV627"/>
      <c r="AW627"/>
      <c r="FY627" s="211">
        <v>622</v>
      </c>
      <c r="FZ627">
        <v>57.576216010408473</v>
      </c>
      <c r="GA627">
        <v>57.891717829534315</v>
      </c>
      <c r="GB627">
        <v>50.287919429683818</v>
      </c>
      <c r="GC627">
        <v>1.8866207295529347</v>
      </c>
      <c r="GD627">
        <v>0.21724940227086764</v>
      </c>
      <c r="GE627">
        <v>0.84314034977611829</v>
      </c>
      <c r="GF627">
        <v>3.3376318347418641</v>
      </c>
      <c r="GG627">
        <v>11.574753044712143</v>
      </c>
      <c r="GH627">
        <v>20.454421227150927</v>
      </c>
      <c r="GI627">
        <v>49.934998324147372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12.728819444444444</v>
      </c>
      <c r="AO628">
        <v>81.238916251304204</v>
      </c>
      <c r="AP628">
        <v>568.22727735306125</v>
      </c>
      <c r="AQ628">
        <v>224.67039720697045</v>
      </c>
      <c r="AR628">
        <v>75.385666745042556</v>
      </c>
      <c r="AS628">
        <v>678.41296010513054</v>
      </c>
      <c r="AT628" t="e">
        <v>#DIV/0!</v>
      </c>
      <c r="AU628" t="e">
        <v>#DIV/0!</v>
      </c>
      <c r="AV628"/>
      <c r="AW628"/>
      <c r="FY628" s="211">
        <v>623</v>
      </c>
      <c r="FZ628">
        <v>61.041789809606513</v>
      </c>
      <c r="GA628">
        <v>65.446317535611144</v>
      </c>
      <c r="GB628">
        <v>45.270264903308743</v>
      </c>
      <c r="GC628">
        <v>2.5845932798597313</v>
      </c>
      <c r="GD628">
        <v>0.27255597699018586</v>
      </c>
      <c r="GE628">
        <v>0.80855100669602065</v>
      </c>
      <c r="GF628">
        <v>2.7476807864813506</v>
      </c>
      <c r="GG628">
        <v>5.1064841483810355</v>
      </c>
      <c r="GH628">
        <v>9.1973069806361583</v>
      </c>
      <c r="GI628">
        <v>41.248918285753305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8.8240518162393151</v>
      </c>
      <c r="AO629">
        <v>64.983651316365169</v>
      </c>
      <c r="AP629">
        <v>763.82811261656138</v>
      </c>
      <c r="AQ629">
        <v>148.28689272576628</v>
      </c>
      <c r="AR629">
        <v>60.330825521319738</v>
      </c>
      <c r="AS629">
        <v>310.02924426516211</v>
      </c>
      <c r="AT629" t="e">
        <v>#DIV/0!</v>
      </c>
      <c r="AU629" t="e">
        <v>#DIV/0!</v>
      </c>
      <c r="AV629"/>
      <c r="AW629"/>
      <c r="FY629" s="211">
        <v>624</v>
      </c>
      <c r="FZ629">
        <v>64.100955484321574</v>
      </c>
      <c r="GA629">
        <v>62.903105706011175</v>
      </c>
      <c r="GB629">
        <v>23.241574473092786</v>
      </c>
      <c r="GC629">
        <v>1.3135390253767461</v>
      </c>
      <c r="GD629">
        <v>0.11888678383519996</v>
      </c>
      <c r="GE629">
        <v>0.74896974597164123</v>
      </c>
      <c r="GF629">
        <v>4.0901987216498146</v>
      </c>
      <c r="GG629">
        <v>10.59962360249639</v>
      </c>
      <c r="GH629">
        <v>22.836748449344356</v>
      </c>
      <c r="GI629">
        <v>38.187519877895795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14.822142094017092</v>
      </c>
      <c r="AO630">
        <v>85.49702676210083</v>
      </c>
      <c r="AP630">
        <v>499.47119350288114</v>
      </c>
      <c r="AQ630">
        <v>214.14974041942534</v>
      </c>
      <c r="AR630">
        <v>79.404797400019177</v>
      </c>
      <c r="AS630">
        <v>910.45508383097933</v>
      </c>
      <c r="AT630" t="e">
        <v>#DIV/0!</v>
      </c>
      <c r="AU630" t="e">
        <v>#DIV/0!</v>
      </c>
      <c r="AV630"/>
      <c r="AW630"/>
      <c r="FY630" s="211">
        <v>625</v>
      </c>
      <c r="FZ630">
        <v>29.413348882180479</v>
      </c>
      <c r="GA630">
        <v>37.341473446616114</v>
      </c>
      <c r="GB630">
        <v>75.44767798779101</v>
      </c>
      <c r="GC630">
        <v>2.5463010489902573</v>
      </c>
      <c r="GD630">
        <v>0.32173728620801972</v>
      </c>
      <c r="GE630">
        <v>0.28157382210579351</v>
      </c>
      <c r="GF630">
        <v>2.915166350420741</v>
      </c>
      <c r="GG630">
        <v>8.457902225919101</v>
      </c>
      <c r="GH630">
        <v>18.899809692038044</v>
      </c>
      <c r="GI630">
        <v>63.944093125381983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14.726388888888888</v>
      </c>
      <c r="AO631">
        <v>146.00809251359254</v>
      </c>
      <c r="AP631">
        <v>878.15241118541928</v>
      </c>
      <c r="AQ631">
        <v>161.49305936848151</v>
      </c>
      <c r="AR631">
        <v>135.47182329140938</v>
      </c>
      <c r="AS631">
        <v>1049.6425769480443</v>
      </c>
      <c r="AT631" t="e">
        <v>#DIV/0!</v>
      </c>
      <c r="AU631" t="e">
        <v>#DIV/0!</v>
      </c>
      <c r="AV631"/>
      <c r="AW631"/>
      <c r="FY631" s="211">
        <v>626</v>
      </c>
      <c r="FZ631">
        <v>39.577037666905802</v>
      </c>
      <c r="GA631">
        <v>42.495039932773956</v>
      </c>
      <c r="GB631">
        <v>9.4809143943436727</v>
      </c>
      <c r="GC631">
        <v>1.6589026044055211</v>
      </c>
      <c r="GD631">
        <v>0.14754392765350149</v>
      </c>
      <c r="GE631">
        <v>0.26118636301724629</v>
      </c>
      <c r="GF631">
        <v>2.2722092617104828</v>
      </c>
      <c r="GG631">
        <v>4.4222787658267091</v>
      </c>
      <c r="GH631">
        <v>7.6426954455232705</v>
      </c>
      <c r="GI631">
        <v>18.644088286610465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10.410590277777777</v>
      </c>
      <c r="AO632">
        <v>37.265662373307975</v>
      </c>
      <c r="AP632">
        <v>167.85573117604287</v>
      </c>
      <c r="AQ632">
        <v>113.16804332494152</v>
      </c>
      <c r="AR632">
        <v>34.59351434979019</v>
      </c>
      <c r="AS632">
        <v>437.1708663658427</v>
      </c>
      <c r="AT632" t="e">
        <v>#DIV/0!</v>
      </c>
      <c r="AU632" t="e">
        <v>#DIV/0!</v>
      </c>
      <c r="AV632"/>
      <c r="AW632"/>
      <c r="FY632" s="211">
        <v>627</v>
      </c>
      <c r="FZ632">
        <v>35.840482744257216</v>
      </c>
      <c r="GA632">
        <v>38.535337772121665</v>
      </c>
      <c r="GB632">
        <v>57.638081621098749</v>
      </c>
      <c r="GC632">
        <v>1.9488890767747371</v>
      </c>
      <c r="GD632">
        <v>0.26100872587618862</v>
      </c>
      <c r="GE632">
        <v>0.73980107202490819</v>
      </c>
      <c r="GF632">
        <v>2.9689476273053033</v>
      </c>
      <c r="GG632">
        <v>6.7658189731511165</v>
      </c>
      <c r="GH632">
        <v>13.225583625167928</v>
      </c>
      <c r="GI632">
        <v>50.514450234806063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11.212940705128204</v>
      </c>
      <c r="AO633">
        <v>113.71287752982971</v>
      </c>
      <c r="AP633">
        <v>821.17701288941339</v>
      </c>
      <c r="AQ633">
        <v>203.62515382837887</v>
      </c>
      <c r="AR633">
        <v>105.44017744928331</v>
      </c>
      <c r="AS633">
        <v>648.28805129853424</v>
      </c>
      <c r="AT633" t="e">
        <v>#DIV/0!</v>
      </c>
      <c r="AU633" t="e">
        <v>#DIV/0!</v>
      </c>
      <c r="AV633"/>
      <c r="AW633"/>
      <c r="FY633" s="211">
        <v>628</v>
      </c>
      <c r="FZ633">
        <v>30.077839978229051</v>
      </c>
      <c r="GA633">
        <v>33.495782000529005</v>
      </c>
      <c r="GB633">
        <v>54.319713962496579</v>
      </c>
      <c r="GC633">
        <v>2.9345767988511469</v>
      </c>
      <c r="GD633">
        <v>0.11888678383519996</v>
      </c>
      <c r="GE633">
        <v>0.3253318391326242</v>
      </c>
      <c r="GF633">
        <v>1.5339284750117725</v>
      </c>
      <c r="GG633">
        <v>3.7053249552744782</v>
      </c>
      <c r="GH633">
        <v>7.6426954455232705</v>
      </c>
      <c r="GI633">
        <v>49.894591669817068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10.295138888888888</v>
      </c>
      <c r="AO634">
        <v>48.203677190223672</v>
      </c>
      <c r="AP634">
        <v>354.74799167904894</v>
      </c>
      <c r="AQ634">
        <v>158.94488817307942</v>
      </c>
      <c r="AR634">
        <v>44.919771522572461</v>
      </c>
      <c r="AS634">
        <v>426.89423194600255</v>
      </c>
      <c r="AT634" t="e">
        <v>#DIV/0!</v>
      </c>
      <c r="AU634" t="e">
        <v>#DIV/0!</v>
      </c>
      <c r="AV634"/>
      <c r="AW634"/>
      <c r="FY634" s="211">
        <v>629</v>
      </c>
      <c r="FZ634">
        <v>25.525738268247693</v>
      </c>
      <c r="GA634">
        <v>29.511662752706815</v>
      </c>
      <c r="GB634">
        <v>16.809893734870581</v>
      </c>
      <c r="GC634">
        <v>3.3727628390145532</v>
      </c>
      <c r="GD634">
        <v>0.22337466777235199</v>
      </c>
      <c r="GE634">
        <v>0.5173395159896752</v>
      </c>
      <c r="GF634">
        <v>3.3088371335459934</v>
      </c>
      <c r="GG634">
        <v>3.8901614302616783</v>
      </c>
      <c r="GH634">
        <v>9.6111648241764271</v>
      </c>
      <c r="GI634">
        <v>29.784021030453889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16.326869658119659</v>
      </c>
      <c r="AO635">
        <v>108.41508799882911</v>
      </c>
      <c r="AP635">
        <v>719.39247382933445</v>
      </c>
      <c r="AQ635">
        <v>275.05560396077027</v>
      </c>
      <c r="AR635">
        <v>100.5014430421104</v>
      </c>
      <c r="AS635">
        <v>647.77791293443681</v>
      </c>
      <c r="AT635" t="e">
        <v>#DIV/0!</v>
      </c>
      <c r="AU635" t="e">
        <v>#DIV/0!</v>
      </c>
      <c r="AV635"/>
      <c r="AW635"/>
      <c r="FY635" s="211">
        <v>630</v>
      </c>
      <c r="FZ635">
        <v>26.814168532781956</v>
      </c>
      <c r="GA635">
        <v>32.328320658052306</v>
      </c>
      <c r="GB635">
        <v>21.906674863975439</v>
      </c>
      <c r="GC635">
        <v>1.2723859471443477</v>
      </c>
      <c r="GD635">
        <v>0.2145384094646112</v>
      </c>
      <c r="GE635">
        <v>0.43988990202564854</v>
      </c>
      <c r="GF635">
        <v>2.0842351186377792</v>
      </c>
      <c r="GG635">
        <v>4.4786355667431135</v>
      </c>
      <c r="GH635">
        <v>3.6144188009915013</v>
      </c>
      <c r="GI635">
        <v>30.866368556440165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11.092534722222222</v>
      </c>
      <c r="AO636">
        <v>77.165253967013854</v>
      </c>
      <c r="AP636">
        <v>691.73666744776904</v>
      </c>
      <c r="AQ636">
        <v>170.59653055969966</v>
      </c>
      <c r="AR636">
        <v>71.565325345137538</v>
      </c>
      <c r="AS636">
        <v>519.39184105401398</v>
      </c>
      <c r="AT636" t="e">
        <v>#DIV/0!</v>
      </c>
      <c r="AU636" t="e">
        <v>#DIV/0!</v>
      </c>
      <c r="AV636"/>
      <c r="AW636"/>
      <c r="FY636" s="211">
        <v>631</v>
      </c>
      <c r="FZ636">
        <v>18.23221095637145</v>
      </c>
      <c r="GA636">
        <v>25.564331166222207</v>
      </c>
      <c r="GB636">
        <v>43.931782620349821</v>
      </c>
      <c r="GC636">
        <v>1.1624053619682801</v>
      </c>
      <c r="GD636">
        <v>0.14754392765350149</v>
      </c>
      <c r="GE636">
        <v>0.21742834599041555</v>
      </c>
      <c r="GF636">
        <v>2.8594870570667958</v>
      </c>
      <c r="GG636">
        <v>8.2560833951719808</v>
      </c>
      <c r="GH636">
        <v>17.253860269699697</v>
      </c>
      <c r="GI636">
        <v>39.446010815906121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8.2239182692307686</v>
      </c>
      <c r="AO637">
        <v>68.502466573463309</v>
      </c>
      <c r="AP637">
        <v>407.67065247752521</v>
      </c>
      <c r="AQ637">
        <v>127.52565967342031</v>
      </c>
      <c r="AR637">
        <v>63.497569364656769</v>
      </c>
      <c r="AS637">
        <v>324.66455869527471</v>
      </c>
      <c r="AT637" t="e">
        <v>#DIV/0!</v>
      </c>
      <c r="AU637" t="e">
        <v>#DIV/0!</v>
      </c>
      <c r="AV637"/>
      <c r="AW637"/>
      <c r="FY637" s="211">
        <v>632</v>
      </c>
      <c r="FZ637">
        <v>21.344826710534349</v>
      </c>
      <c r="GA637">
        <v>26.957014343679354</v>
      </c>
      <c r="GB637">
        <v>32.71299700792855</v>
      </c>
      <c r="GC637">
        <v>2.7604239619092823</v>
      </c>
      <c r="GD637">
        <v>0.33328453732201685</v>
      </c>
      <c r="GE637">
        <v>0.12325774218593843</v>
      </c>
      <c r="GF637">
        <v>1.8046157315556801</v>
      </c>
      <c r="GG637">
        <v>3.0604940178766382</v>
      </c>
      <c r="GH637">
        <v>9.6111648241764271</v>
      </c>
      <c r="GI637">
        <v>35.611704336046927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14.966239316239315</v>
      </c>
      <c r="AO638">
        <v>112.60820406536141</v>
      </c>
      <c r="AP638">
        <v>815.62959453675114</v>
      </c>
      <c r="AQ638">
        <v>254.00466818197884</v>
      </c>
      <c r="AR638">
        <v>104.50451190780336</v>
      </c>
      <c r="AS638">
        <v>548.73370998237613</v>
      </c>
      <c r="AT638" t="e">
        <v>#DIV/0!</v>
      </c>
      <c r="AU638" t="e">
        <v>#DIV/0!</v>
      </c>
      <c r="AV638"/>
      <c r="AW638"/>
      <c r="FY638" s="211">
        <v>633</v>
      </c>
      <c r="FZ638">
        <v>36.382444991158323</v>
      </c>
      <c r="GA638">
        <v>42.783452412120837</v>
      </c>
      <c r="GB638">
        <v>63.861403207968252</v>
      </c>
      <c r="GC638">
        <v>3.2207862534319052</v>
      </c>
      <c r="GD638">
        <v>0.44333506284947599</v>
      </c>
      <c r="GE638">
        <v>0.46944603506092875</v>
      </c>
      <c r="GF638">
        <v>1.0259273963560593</v>
      </c>
      <c r="GG638">
        <v>5.1064841483810355</v>
      </c>
      <c r="GH638">
        <v>13.225583625167928</v>
      </c>
      <c r="GI638">
        <v>55.490936067365872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14.266319444444445</v>
      </c>
      <c r="AO639">
        <v>95.832811677037384</v>
      </c>
      <c r="AP639">
        <v>556.09269241036782</v>
      </c>
      <c r="AQ639">
        <v>233.72446271332416</v>
      </c>
      <c r="AR639">
        <v>88.833005354636754</v>
      </c>
      <c r="AS639">
        <v>469.95781326144788</v>
      </c>
      <c r="AT639" t="e">
        <v>#DIV/0!</v>
      </c>
      <c r="AU639" t="e">
        <v>#DIV/0!</v>
      </c>
      <c r="AV639"/>
      <c r="AW639"/>
      <c r="FY639" s="211">
        <v>634</v>
      </c>
      <c r="FZ639">
        <v>62.452748923288233</v>
      </c>
      <c r="GA639">
        <v>64.47652006657384</v>
      </c>
      <c r="GB639">
        <v>45.489081227204316</v>
      </c>
      <c r="GC639">
        <v>0.8410840058065967</v>
      </c>
      <c r="GD639">
        <v>0.31832301351279174</v>
      </c>
      <c r="GE639">
        <v>0.71643051408662473</v>
      </c>
      <c r="GF639">
        <v>2.3360650055988628</v>
      </c>
      <c r="GG639">
        <v>10.229950652521989</v>
      </c>
      <c r="GH639">
        <v>18.072094004957506</v>
      </c>
      <c r="GI639">
        <v>46.630380951152546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11.864503205128205</v>
      </c>
      <c r="AO640">
        <v>37.986915364692479</v>
      </c>
      <c r="AP640">
        <v>359.0696088670328</v>
      </c>
      <c r="AQ640">
        <v>228.14112186999546</v>
      </c>
      <c r="AR640">
        <v>35.335770588596844</v>
      </c>
      <c r="AS640">
        <v>229.92791872081102</v>
      </c>
      <c r="AT640" t="e">
        <v>#DIV/0!</v>
      </c>
      <c r="AU640" t="e">
        <v>#DIV/0!</v>
      </c>
      <c r="AV640"/>
      <c r="AW640"/>
      <c r="FY640" s="211">
        <v>635</v>
      </c>
      <c r="FZ640">
        <v>53.395304452695143</v>
      </c>
      <c r="GA640">
        <v>55.125049077040842</v>
      </c>
      <c r="GB640">
        <v>64.371730011088147</v>
      </c>
      <c r="GC640">
        <v>1.6099019882458041</v>
      </c>
      <c r="GD640">
        <v>0.51304053746684208</v>
      </c>
      <c r="GE640">
        <v>1.0126752148377876</v>
      </c>
      <c r="GF640">
        <v>1.6157292166573882</v>
      </c>
      <c r="GG640">
        <v>0.77331061146863544</v>
      </c>
      <c r="GH640">
        <v>16.113106578127077</v>
      </c>
      <c r="GI640">
        <v>64.286734760896053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17.281209935897436</v>
      </c>
      <c r="AO641">
        <v>130.1426160242888</v>
      </c>
      <c r="AP641">
        <v>824.79872872880696</v>
      </c>
      <c r="AQ641">
        <v>239.56908386765153</v>
      </c>
      <c r="AR641">
        <v>120.7261980349008</v>
      </c>
      <c r="AS641">
        <v>949.34350218935526</v>
      </c>
      <c r="AT641" t="e">
        <v>#DIV/0!</v>
      </c>
      <c r="AU641" t="e">
        <v>#DIV/0!</v>
      </c>
      <c r="AV641"/>
      <c r="AW641"/>
      <c r="FY641" s="211">
        <v>636</v>
      </c>
      <c r="FZ641">
        <v>53.990716779044092</v>
      </c>
      <c r="GA641">
        <v>59.849789386257761</v>
      </c>
      <c r="GB641">
        <v>37.149770840472307</v>
      </c>
      <c r="GC641">
        <v>3.2880286923033508</v>
      </c>
      <c r="GD641">
        <v>0.29850212800223097</v>
      </c>
      <c r="GE641">
        <v>0.8635278088646654</v>
      </c>
      <c r="GF641">
        <v>3.4338679045559046</v>
      </c>
      <c r="GG641">
        <v>5.4931394541153544</v>
      </c>
      <c r="GH641">
        <v>9.6111648241764271</v>
      </c>
      <c r="GI641">
        <v>43.245949809161708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9.1928018162393155</v>
      </c>
      <c r="AO642">
        <v>83.685130340385427</v>
      </c>
      <c r="AP642">
        <v>524.93419312037452</v>
      </c>
      <c r="AQ642">
        <v>126.60189664877063</v>
      </c>
      <c r="AR642">
        <v>77.654245302552198</v>
      </c>
      <c r="AS642">
        <v>634.2666371508875</v>
      </c>
      <c r="AT642" t="e">
        <v>#DIV/0!</v>
      </c>
      <c r="AU642" t="e">
        <v>#DIV/0!</v>
      </c>
      <c r="AV642"/>
      <c r="AW642"/>
      <c r="FY642" s="211">
        <v>637</v>
      </c>
      <c r="FZ642">
        <v>47.957092889565374</v>
      </c>
      <c r="GA642">
        <v>52.898196638131523</v>
      </c>
      <c r="GB642">
        <v>84.200149433388447</v>
      </c>
      <c r="GC642">
        <v>2.8676224051519403</v>
      </c>
      <c r="GD642">
        <v>0.29579113519597461</v>
      </c>
      <c r="GE642">
        <v>0.61151011979415226</v>
      </c>
      <c r="GF642">
        <v>3.4861108011392457</v>
      </c>
      <c r="GG642">
        <v>8.4409198701591812</v>
      </c>
      <c r="GH642">
        <v>15.194053003821082</v>
      </c>
      <c r="GI642">
        <v>70.743224905260234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13.200480769230769</v>
      </c>
      <c r="AO643">
        <v>84.993027066486789</v>
      </c>
      <c r="AP643">
        <v>585.96794031786874</v>
      </c>
      <c r="AQ643">
        <v>208.43840147258391</v>
      </c>
      <c r="AR643">
        <v>78.871577051051517</v>
      </c>
      <c r="AS643">
        <v>744.89904581662313</v>
      </c>
      <c r="AT643" t="e">
        <v>#DIV/0!</v>
      </c>
      <c r="AU643" t="e">
        <v>#DIV/0!</v>
      </c>
      <c r="AV643"/>
      <c r="AW643"/>
      <c r="FY643" s="211">
        <v>638</v>
      </c>
      <c r="FZ643">
        <v>17.163915152821009</v>
      </c>
      <c r="GA643">
        <v>24.190345591185874</v>
      </c>
      <c r="GB643">
        <v>45.903533712170002</v>
      </c>
      <c r="GC643">
        <v>2.7221317310398083</v>
      </c>
      <c r="GD643">
        <v>0.40570100474563942</v>
      </c>
      <c r="GE643">
        <v>0.87269648281139856</v>
      </c>
      <c r="GF643">
        <v>4.0901987216498146</v>
      </c>
      <c r="GG643">
        <v>17.752097881381825</v>
      </c>
      <c r="GH643">
        <v>27.59192094190848</v>
      </c>
      <c r="GI643">
        <v>48.008751601109672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16.193456196581195</v>
      </c>
      <c r="AO644">
        <v>129.83477152078063</v>
      </c>
      <c r="AP644">
        <v>850.90177886675986</v>
      </c>
      <c r="AQ644">
        <v>184.04867190870019</v>
      </c>
      <c r="AR644">
        <v>120.50953975514733</v>
      </c>
      <c r="AS644">
        <v>1003.5640945907826</v>
      </c>
      <c r="AT644" t="e">
        <v>#DIV/0!</v>
      </c>
      <c r="AU644" t="e">
        <v>#DIV/0!</v>
      </c>
      <c r="AV644"/>
      <c r="AW644"/>
      <c r="FY644" s="211">
        <v>639</v>
      </c>
      <c r="FZ644">
        <v>60.024340668522811</v>
      </c>
      <c r="GA644">
        <v>66.801382134383999</v>
      </c>
      <c r="GB644">
        <v>55.416463812465807</v>
      </c>
      <c r="GC644">
        <v>2.5947467881480311</v>
      </c>
      <c r="GD644">
        <v>0.31902629340176314</v>
      </c>
      <c r="GE644">
        <v>0.60690566123841772</v>
      </c>
      <c r="GF644">
        <v>1.4350191522935309</v>
      </c>
      <c r="GG644">
        <v>7.1524742788854336</v>
      </c>
      <c r="GH644">
        <v>12.811725781627663</v>
      </c>
      <c r="GI644">
        <v>50.009929119508847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10.115251068376068</v>
      </c>
      <c r="AO645">
        <v>50.471962122067083</v>
      </c>
      <c r="AP645">
        <v>524.90095465791296</v>
      </c>
      <c r="AQ645">
        <v>122.55495619703966</v>
      </c>
      <c r="AR645">
        <v>46.819983356123544</v>
      </c>
      <c r="AS645">
        <v>300.08964457280473</v>
      </c>
      <c r="AT645" t="e">
        <v>#DIV/0!</v>
      </c>
      <c r="AU645" t="e">
        <v>#DIV/0!</v>
      </c>
      <c r="AV645"/>
      <c r="AW645"/>
      <c r="FY645" s="211">
        <v>640</v>
      </c>
      <c r="FZ645">
        <v>21.344826710534349</v>
      </c>
      <c r="GA645">
        <v>24.697328816094604</v>
      </c>
      <c r="GB645">
        <v>16.102659603296885</v>
      </c>
      <c r="GC645">
        <v>0.89232448581253121</v>
      </c>
      <c r="GD645">
        <v>0.14483293484724508</v>
      </c>
      <c r="GE645">
        <v>0.24698447902569581</v>
      </c>
      <c r="GF645">
        <v>1.5573766703992418</v>
      </c>
      <c r="GG645">
        <v>5.1064841483810355</v>
      </c>
      <c r="GH645">
        <v>13.225583625167928</v>
      </c>
      <c r="GI645">
        <v>19.035605543926739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10.295232371794869</v>
      </c>
      <c r="AO646">
        <v>83.320978968164255</v>
      </c>
      <c r="AP646">
        <v>738.34868885097546</v>
      </c>
      <c r="AQ646">
        <v>124.01963635625685</v>
      </c>
      <c r="AR646">
        <v>77.157588357752573</v>
      </c>
      <c r="AS646">
        <v>513.58788599494244</v>
      </c>
      <c r="AT646" t="e">
        <v>#DIV/0!</v>
      </c>
      <c r="AU646" t="e">
        <v>#DIV/0!</v>
      </c>
      <c r="AV646"/>
      <c r="AW646"/>
      <c r="FY646" s="211">
        <v>641</v>
      </c>
      <c r="FZ646">
        <v>31.930552309994425</v>
      </c>
      <c r="GA646">
        <v>39.728371180280469</v>
      </c>
      <c r="GB646">
        <v>21.747815657386354</v>
      </c>
      <c r="GC646">
        <v>1.7736399422478288</v>
      </c>
      <c r="GD646">
        <v>0.35310542283257762</v>
      </c>
      <c r="GE646">
        <v>0.24698447902569581</v>
      </c>
      <c r="GF646">
        <v>2.4906536216710498</v>
      </c>
      <c r="GG646">
        <v>5.936151560766076</v>
      </c>
      <c r="GH646">
        <v>9.1973069806361583</v>
      </c>
      <c r="GI646">
        <v>35.004931522716248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11.504340277777775</v>
      </c>
      <c r="AO647">
        <v>105.47414723217824</v>
      </c>
      <c r="AP647">
        <v>739.50747748606898</v>
      </c>
      <c r="AQ647">
        <v>157.07114391640027</v>
      </c>
      <c r="AR647">
        <v>97.932379562631894</v>
      </c>
      <c r="AS647">
        <v>626.83395791498083</v>
      </c>
      <c r="AT647" t="e">
        <v>#DIV/0!</v>
      </c>
      <c r="AU647" t="e">
        <v>#DIV/0!</v>
      </c>
      <c r="AV647"/>
      <c r="AW647"/>
      <c r="FY647" s="211">
        <v>642</v>
      </c>
      <c r="FZ647">
        <v>11.03008223452483</v>
      </c>
      <c r="GA647">
        <v>13.625988612561034</v>
      </c>
      <c r="GB647">
        <v>60.687567729495214</v>
      </c>
      <c r="GC647">
        <v>5.0787007844869718</v>
      </c>
      <c r="GD647">
        <v>0.46100757946495757</v>
      </c>
      <c r="GE647">
        <v>0.12829095223075584</v>
      </c>
      <c r="GF647">
        <v>1.1509581673659712</v>
      </c>
      <c r="GG647">
        <v>3.6489681543580739</v>
      </c>
      <c r="GH647">
        <v>15.699248734586812</v>
      </c>
      <c r="GI647">
        <v>55.220810634571301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10.886979166666666</v>
      </c>
      <c r="AO648">
        <v>118.5868685695774</v>
      </c>
      <c r="AP648">
        <v>743.20179754523758</v>
      </c>
      <c r="AQ648">
        <v>134.31978321321515</v>
      </c>
      <c r="AR648">
        <v>109.9863959461287</v>
      </c>
      <c r="AS648">
        <v>710.91026114046508</v>
      </c>
      <c r="AT648" t="e">
        <v>#DIV/0!</v>
      </c>
      <c r="AU648" t="e">
        <v>#DIV/0!</v>
      </c>
      <c r="AV648"/>
      <c r="AW648"/>
      <c r="FY648" s="211">
        <v>643</v>
      </c>
      <c r="FZ648">
        <v>44.964402567568825</v>
      </c>
      <c r="GA648">
        <v>49.971482590882985</v>
      </c>
      <c r="GB648">
        <v>21.280261879542245</v>
      </c>
      <c r="GC648">
        <v>0.98972357245389253</v>
      </c>
      <c r="GD648">
        <v>0.17077908585929019</v>
      </c>
      <c r="GE648">
        <v>0.64609946287425002</v>
      </c>
      <c r="GF648">
        <v>2.2720600337512984</v>
      </c>
      <c r="GG648">
        <v>8.9402887777263089</v>
      </c>
      <c r="GH648">
        <v>18.808471804812587</v>
      </c>
      <c r="GI648">
        <v>26.75008376396454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17.241279380341883</v>
      </c>
      <c r="AO649">
        <v>180.61597693761172</v>
      </c>
      <c r="AP649">
        <v>995.32090761169968</v>
      </c>
      <c r="AQ649">
        <v>222.00979919986065</v>
      </c>
      <c r="AR649">
        <v>167.55565515461385</v>
      </c>
      <c r="AS649">
        <v>1177.0086346458615</v>
      </c>
      <c r="AT649" t="e">
        <v>#DIV/0!</v>
      </c>
      <c r="AU649" t="e">
        <v>#DIV/0!</v>
      </c>
      <c r="AV649"/>
      <c r="AW649"/>
      <c r="FY649" s="211">
        <v>644</v>
      </c>
      <c r="FZ649">
        <v>28.124918617646216</v>
      </c>
      <c r="GA649">
        <v>30.005444486101123</v>
      </c>
      <c r="GB649">
        <v>78.895587718271187</v>
      </c>
      <c r="GC649">
        <v>3.2451165214712363</v>
      </c>
      <c r="GD649">
        <v>0.57648009060492966</v>
      </c>
      <c r="GE649">
        <v>0.85435913491793269</v>
      </c>
      <c r="GF649">
        <v>2.1471784907005711</v>
      </c>
      <c r="GG649">
        <v>3.8338046293452734</v>
      </c>
      <c r="GH649">
        <v>5.582888179644657</v>
      </c>
      <c r="GI649">
        <v>66.190675727756599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13.513327991452991</v>
      </c>
      <c r="AO650">
        <v>57.282697325948448</v>
      </c>
      <c r="AP650">
        <v>423.46727030315498</v>
      </c>
      <c r="AQ650">
        <v>251.56267836470329</v>
      </c>
      <c r="AR650">
        <v>53.052911085167452</v>
      </c>
      <c r="AS650">
        <v>525.57175732898861</v>
      </c>
      <c r="AT650" t="e">
        <v>#DIV/0!</v>
      </c>
      <c r="AU650" t="e">
        <v>#DIV/0!</v>
      </c>
      <c r="AV650"/>
      <c r="AW650"/>
      <c r="FY650" s="211">
        <v>645</v>
      </c>
      <c r="FZ650">
        <v>37.248838440957833</v>
      </c>
      <c r="GA650">
        <v>43.489254488981175</v>
      </c>
      <c r="GB650">
        <v>56.127157387634831</v>
      </c>
      <c r="GC650">
        <v>1.9680525270901632</v>
      </c>
      <c r="GD650">
        <v>0.28695487688823373</v>
      </c>
      <c r="GE650">
        <v>0.79477787419355295</v>
      </c>
      <c r="GF650">
        <v>2.80709493252427</v>
      </c>
      <c r="GG650">
        <v>8.8118091036555146</v>
      </c>
      <c r="GH650">
        <v>16.840002426159433</v>
      </c>
      <c r="GI650">
        <v>49.577270729873547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15.383333333333335</v>
      </c>
      <c r="AO651">
        <v>84.794562289849182</v>
      </c>
      <c r="AP651">
        <v>638.28538435430289</v>
      </c>
      <c r="AQ651">
        <v>258.81658244852377</v>
      </c>
      <c r="AR651">
        <v>78.883263448927252</v>
      </c>
      <c r="AS651">
        <v>787.97969230144349</v>
      </c>
      <c r="AT651" t="e">
        <v>#DIV/0!</v>
      </c>
      <c r="AU651" t="e">
        <v>#DIV/0!</v>
      </c>
      <c r="AV651"/>
      <c r="AW651"/>
      <c r="FY651" s="211">
        <v>646</v>
      </c>
      <c r="FZ651">
        <v>34.823033603173513</v>
      </c>
      <c r="GA651">
        <v>43.561692052199902</v>
      </c>
      <c r="GB651">
        <v>44.968452122766301</v>
      </c>
      <c r="GC651">
        <v>3.9928192349210399</v>
      </c>
      <c r="GD651">
        <v>0.43777242125916888</v>
      </c>
      <c r="GE651">
        <v>5.9112266070560512E-2</v>
      </c>
      <c r="GF651">
        <v>2.7344562860568837</v>
      </c>
      <c r="GG651">
        <v>5.6386014839460668</v>
      </c>
      <c r="GH651">
        <v>15.285390891046541</v>
      </c>
      <c r="GI651">
        <v>46.688730483513474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18.204914529914529</v>
      </c>
      <c r="AO652">
        <v>168.85930438914878</v>
      </c>
      <c r="AP652">
        <v>1038.786262133018</v>
      </c>
      <c r="AQ652">
        <v>217.22445762695384</v>
      </c>
      <c r="AR652">
        <v>156.66960796261179</v>
      </c>
      <c r="AS652">
        <v>1215.6617254934074</v>
      </c>
      <c r="AT652" t="e">
        <v>#DIV/0!</v>
      </c>
      <c r="AU652" t="e">
        <v>#DIV/0!</v>
      </c>
      <c r="AV652"/>
      <c r="AW652"/>
      <c r="FY652" s="211">
        <v>647</v>
      </c>
      <c r="FZ652">
        <v>6.0647541485965553</v>
      </c>
      <c r="GA652">
        <v>12.355732151174621</v>
      </c>
      <c r="GB652">
        <v>69.72296057168279</v>
      </c>
      <c r="GC652">
        <v>2.6277328465274854</v>
      </c>
      <c r="GD652">
        <v>0.3736295882321099</v>
      </c>
      <c r="GE652">
        <v>0.40530055894555084</v>
      </c>
      <c r="GF652">
        <v>1.0259273963560593</v>
      </c>
      <c r="GG652">
        <v>2.0459901305043982</v>
      </c>
      <c r="GH652">
        <v>7.6426954455232705</v>
      </c>
      <c r="GI652">
        <v>53.320103109616618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24.275347222222219</v>
      </c>
      <c r="AO653">
        <v>191.48152930011611</v>
      </c>
      <c r="AP653">
        <v>894.67002750584197</v>
      </c>
      <c r="AQ653">
        <v>286.69467120160709</v>
      </c>
      <c r="AR653">
        <v>177.65497429931617</v>
      </c>
      <c r="AS653">
        <v>1866.1138497831157</v>
      </c>
      <c r="AT653" t="e">
        <v>#DIV/0!</v>
      </c>
      <c r="AU653" t="e">
        <v>#DIV/0!</v>
      </c>
      <c r="AV653"/>
      <c r="AW653"/>
      <c r="FY653" s="211">
        <v>648</v>
      </c>
      <c r="FZ653">
        <v>45.559814893917782</v>
      </c>
      <c r="GA653">
        <v>52.860578059447192</v>
      </c>
      <c r="GB653">
        <v>16.369962547326821</v>
      </c>
      <c r="GC653">
        <v>1.7113054885112631</v>
      </c>
      <c r="GD653">
        <v>0.34497244441380825</v>
      </c>
      <c r="GE653">
        <v>0.63189757888269948</v>
      </c>
      <c r="GF653">
        <v>3.8591437771719996</v>
      </c>
      <c r="GG653">
        <v>6.7094621722347103</v>
      </c>
      <c r="GH653">
        <v>13.225583625167928</v>
      </c>
      <c r="GI653">
        <v>31.123794774930207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15.107425213675214</v>
      </c>
      <c r="AO654">
        <v>59.62058099360479</v>
      </c>
      <c r="AP654">
        <v>404.2329268884103</v>
      </c>
      <c r="AQ654">
        <v>188.70129282082351</v>
      </c>
      <c r="AR654">
        <v>55.240954627890346</v>
      </c>
      <c r="AS654">
        <v>718.65348526151899</v>
      </c>
      <c r="AT654" t="e">
        <v>#DIV/0!</v>
      </c>
      <c r="AU654" t="e">
        <v>#DIV/0!</v>
      </c>
      <c r="AV654"/>
      <c r="AW654"/>
      <c r="FY654" s="211">
        <v>649</v>
      </c>
      <c r="FZ654">
        <v>35.245070417908259</v>
      </c>
      <c r="GA654">
        <v>41.789237855913626</v>
      </c>
      <c r="GB654">
        <v>36.697835515188416</v>
      </c>
      <c r="GC654">
        <v>2.5463010489902573</v>
      </c>
      <c r="GD654">
        <v>0.27255597699018586</v>
      </c>
      <c r="GE654">
        <v>0.61151011979415226</v>
      </c>
      <c r="GF654">
        <v>3.4599893528475749</v>
      </c>
      <c r="GG654">
        <v>5.43678265319895</v>
      </c>
      <c r="GH654">
        <v>5.582888179644657</v>
      </c>
      <c r="GI654">
        <v>37.30232674753767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14.72222222222222</v>
      </c>
      <c r="AO655">
        <v>136.69049031143965</v>
      </c>
      <c r="AP655">
        <v>1129.3624961774353</v>
      </c>
      <c r="AQ655">
        <v>257.17201369047632</v>
      </c>
      <c r="AR655">
        <v>126.75928661476642</v>
      </c>
      <c r="AS655">
        <v>721.19733922550017</v>
      </c>
      <c r="AT655" t="e">
        <v>#DIV/0!</v>
      </c>
      <c r="AU655" t="e">
        <v>#DIV/0!</v>
      </c>
      <c r="AV655"/>
      <c r="AW655"/>
      <c r="FY655" s="211">
        <v>650</v>
      </c>
      <c r="FZ655">
        <v>30.197765410395412</v>
      </c>
      <c r="GA655">
        <v>35.845061155509043</v>
      </c>
      <c r="GB655">
        <v>54.013441697523348</v>
      </c>
      <c r="GC655">
        <v>1.8336629684452497</v>
      </c>
      <c r="GD655">
        <v>6.970547461736612E-2</v>
      </c>
      <c r="GE655">
        <v>0.45822724991911468</v>
      </c>
      <c r="GF655">
        <v>2.0248209725948598</v>
      </c>
      <c r="GG655">
        <v>4.8652908724774315</v>
      </c>
      <c r="GH655">
        <v>11.257114246514771</v>
      </c>
      <c r="GI655">
        <v>48.699559106046493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6.3531249999999995</v>
      </c>
      <c r="AO656">
        <v>71.144559543815987</v>
      </c>
      <c r="AP656">
        <v>662.49050625723328</v>
      </c>
      <c r="AQ656">
        <v>102.35400701748624</v>
      </c>
      <c r="AR656">
        <v>66.021699483921751</v>
      </c>
      <c r="AS656">
        <v>578.03444271301987</v>
      </c>
      <c r="AT656" t="e">
        <v>#DIV/0!</v>
      </c>
      <c r="AU656" t="e">
        <v>#DIV/0!</v>
      </c>
      <c r="AV656"/>
      <c r="AW656"/>
      <c r="FY656" s="211">
        <v>651</v>
      </c>
      <c r="FZ656">
        <v>55.248016784460511</v>
      </c>
      <c r="GA656">
        <v>53.378997863783418</v>
      </c>
      <c r="GB656">
        <v>32.8598520767775</v>
      </c>
      <c r="GC656">
        <v>2.0945945478077577</v>
      </c>
      <c r="GD656">
        <v>0.29850212800223097</v>
      </c>
      <c r="GE656">
        <v>0.27654061206097608</v>
      </c>
      <c r="GF656">
        <v>3.5131446212565045</v>
      </c>
      <c r="GG656">
        <v>10.728103276567186</v>
      </c>
      <c r="GH656">
        <v>16.748664538933976</v>
      </c>
      <c r="GI656">
        <v>41.039127554161638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14.680208333333335</v>
      </c>
      <c r="AO657">
        <v>99.523226965018196</v>
      </c>
      <c r="AP657">
        <v>400.94540623287725</v>
      </c>
      <c r="AQ657">
        <v>148.4095126775569</v>
      </c>
      <c r="AR657">
        <v>92.175684943031754</v>
      </c>
      <c r="AS657">
        <v>1026.90102040597</v>
      </c>
      <c r="AT657" t="e">
        <v>#DIV/0!</v>
      </c>
      <c r="AU657" t="e">
        <v>#DIV/0!</v>
      </c>
      <c r="AV657"/>
      <c r="AW657"/>
      <c r="FY657" s="211">
        <v>652</v>
      </c>
      <c r="FZ657">
        <v>13.780318275207552</v>
      </c>
      <c r="GA657">
        <v>22.509249934381842</v>
      </c>
      <c r="GB657">
        <v>68.368572656088148</v>
      </c>
      <c r="GC657">
        <v>1.4140996034680224</v>
      </c>
      <c r="GD657">
        <v>0.11617579102894351</v>
      </c>
      <c r="GE657">
        <v>9.3701609150658172E-2</v>
      </c>
      <c r="GF657">
        <v>2.5861265476186865</v>
      </c>
      <c r="GG657">
        <v>12.387438101337267</v>
      </c>
      <c r="GH657">
        <v>16.748664538933976</v>
      </c>
      <c r="GI657">
        <v>54.191872928086696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14.051615918803421</v>
      </c>
      <c r="AO658">
        <v>100.10720111558075</v>
      </c>
      <c r="AP658">
        <v>620.77406670494292</v>
      </c>
      <c r="AQ658">
        <v>166.73162358364593</v>
      </c>
      <c r="AR658">
        <v>93.063683421066131</v>
      </c>
      <c r="AS658">
        <v>785.77682115272626</v>
      </c>
      <c r="AT658" t="e">
        <v>#DIV/0!</v>
      </c>
      <c r="AU658" t="e">
        <v>#DIV/0!</v>
      </c>
      <c r="AV658"/>
      <c r="AW658"/>
      <c r="FY658" s="211">
        <v>653</v>
      </c>
      <c r="FZ658">
        <v>24.025983981517449</v>
      </c>
      <c r="GA658">
        <v>31.700675629159782</v>
      </c>
      <c r="GB658">
        <v>37.171803066160329</v>
      </c>
      <c r="GC658">
        <v>3.6303448005269576</v>
      </c>
      <c r="GD658">
        <v>0.46371857227121405</v>
      </c>
      <c r="GE658">
        <v>0.29074249605252656</v>
      </c>
      <c r="GF658">
        <v>3.0508975969101035</v>
      </c>
      <c r="GG658">
        <v>6.4682688963311064</v>
      </c>
      <c r="GH658">
        <v>19.313667535578311</v>
      </c>
      <c r="GI658">
        <v>50.228687505691951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12.313888888888888</v>
      </c>
      <c r="AO659">
        <v>126.72316374604199</v>
      </c>
      <c r="AP659">
        <v>891.83914328199478</v>
      </c>
      <c r="AQ659">
        <v>174.79365353943626</v>
      </c>
      <c r="AR659">
        <v>117.52088805222333</v>
      </c>
      <c r="AS659">
        <v>714.46229358066671</v>
      </c>
      <c r="AT659" t="e">
        <v>#DIV/0!</v>
      </c>
      <c r="AU659" t="e">
        <v>#DIV/0!</v>
      </c>
      <c r="AV659"/>
      <c r="AW659"/>
      <c r="FY659" s="211">
        <v>654</v>
      </c>
      <c r="FZ659">
        <v>42.365222218170302</v>
      </c>
      <c r="GA659">
        <v>45.170350145785207</v>
      </c>
      <c r="GB659">
        <v>39.450515251835029</v>
      </c>
      <c r="GC659">
        <v>2.127719960953327</v>
      </c>
      <c r="GD659">
        <v>0.28424388408197732</v>
      </c>
      <c r="GE659">
        <v>1.3263192741747787</v>
      </c>
      <c r="GF659">
        <v>4.3077307097847939</v>
      </c>
      <c r="GG659">
        <v>7.7239660596069504</v>
      </c>
      <c r="GH659">
        <v>15.194053003821082</v>
      </c>
      <c r="GI659">
        <v>36.868567966450293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16.190237713675213</v>
      </c>
      <c r="AO660">
        <v>87.891529622793968</v>
      </c>
      <c r="AP660">
        <v>590.6032392147323</v>
      </c>
      <c r="AQ660">
        <v>219.45645359645974</v>
      </c>
      <c r="AR660">
        <v>81.446367386428761</v>
      </c>
      <c r="AS660">
        <v>669.36466165653349</v>
      </c>
      <c r="AT660" t="e">
        <v>#DIV/0!</v>
      </c>
      <c r="AU660" t="e">
        <v>#DIV/0!</v>
      </c>
      <c r="AV660"/>
      <c r="AW660"/>
      <c r="FY660" s="211">
        <v>655</v>
      </c>
      <c r="FZ660">
        <v>37.573269643856229</v>
      </c>
      <c r="GA660">
        <v>42.20662745342706</v>
      </c>
      <c r="GB660">
        <v>39.179900443423222</v>
      </c>
      <c r="GC660">
        <v>1.5065592682211186</v>
      </c>
      <c r="GD660">
        <v>0.17077908585929022</v>
      </c>
      <c r="GE660">
        <v>0.12325774218593843</v>
      </c>
      <c r="GF660">
        <v>3.3909363311099776</v>
      </c>
      <c r="GG660">
        <v>11.333559768808538</v>
      </c>
      <c r="GH660">
        <v>22.514228493029542</v>
      </c>
      <c r="GI660">
        <v>36.981455366857382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14.563461538461539</v>
      </c>
      <c r="AO661">
        <v>95.067300173939657</v>
      </c>
      <c r="AP661">
        <v>758.0107987445831</v>
      </c>
      <c r="AQ661">
        <v>217.95121278795858</v>
      </c>
      <c r="AR661">
        <v>88.139635409545946</v>
      </c>
      <c r="AS661">
        <v>596.06420651360429</v>
      </c>
      <c r="AT661" t="e">
        <v>#DIV/0!</v>
      </c>
      <c r="AU661" t="e">
        <v>#DIV/0!</v>
      </c>
      <c r="AV661"/>
      <c r="AW661"/>
      <c r="FY661" s="211">
        <v>656</v>
      </c>
      <c r="FZ661">
        <v>43.827027994318769</v>
      </c>
      <c r="GA661">
        <v>48.341207004277706</v>
      </c>
      <c r="GB661">
        <v>49.686027126805044</v>
      </c>
      <c r="GC661">
        <v>2.8566606444508365</v>
      </c>
      <c r="GD661">
        <v>0.22608566057860841</v>
      </c>
      <c r="GE661">
        <v>0.15784708526603611</v>
      </c>
      <c r="GF661">
        <v>2.2030070120137006</v>
      </c>
      <c r="GG661">
        <v>4.6071152408139096</v>
      </c>
      <c r="GH661">
        <v>5.582888179644657</v>
      </c>
      <c r="GI661">
        <v>48.906539509228111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12.257946047008543</v>
      </c>
      <c r="AO662">
        <v>87.855462454466021</v>
      </c>
      <c r="AP662">
        <v>672.56332409442723</v>
      </c>
      <c r="AQ662">
        <v>198.19006084495348</v>
      </c>
      <c r="AR662">
        <v>81.560173777451098</v>
      </c>
      <c r="AS662">
        <v>459.72862550517527</v>
      </c>
      <c r="AT662" t="e">
        <v>#DIV/0!</v>
      </c>
      <c r="AU662" t="e">
        <v>#DIV/0!</v>
      </c>
      <c r="AV662"/>
      <c r="AW662"/>
      <c r="FY662" s="211">
        <v>657</v>
      </c>
      <c r="FZ662">
        <v>32.645890068509736</v>
      </c>
      <c r="GA662">
        <v>38.823750251468546</v>
      </c>
      <c r="GB662">
        <v>55.761362764644069</v>
      </c>
      <c r="GC662">
        <v>2.0576513444803353</v>
      </c>
      <c r="GD662">
        <v>0.12159777664145635</v>
      </c>
      <c r="GE662">
        <v>0.52237272603449258</v>
      </c>
      <c r="GF662">
        <v>4.1056196944620345</v>
      </c>
      <c r="GG662">
        <v>9.0293940066406169</v>
      </c>
      <c r="GH662">
        <v>9.1973069806361583</v>
      </c>
      <c r="GI662">
        <v>47.387787389877907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11.994057158119658</v>
      </c>
      <c r="AO663">
        <v>111.9223949823426</v>
      </c>
      <c r="AP663">
        <v>923.12873576031188</v>
      </c>
      <c r="AQ663">
        <v>155.58482594715943</v>
      </c>
      <c r="AR663">
        <v>103.83248079907661</v>
      </c>
      <c r="AS663">
        <v>577.79544056633961</v>
      </c>
      <c r="AT663" t="e">
        <v>#DIV/0!</v>
      </c>
      <c r="AU663" t="e">
        <v>#DIV/0!</v>
      </c>
      <c r="AV663"/>
      <c r="AW663"/>
      <c r="FY663" s="211">
        <v>658</v>
      </c>
      <c r="FZ663">
        <v>51.813573244380315</v>
      </c>
      <c r="GA663">
        <v>62.454426948137225</v>
      </c>
      <c r="GB663">
        <v>85.921175672079883</v>
      </c>
      <c r="GC663">
        <v>3.7214146653446067</v>
      </c>
      <c r="GD663">
        <v>0.2493208187843971</v>
      </c>
      <c r="GE663">
        <v>0.53772697507822242</v>
      </c>
      <c r="GF663">
        <v>3.7045551610998131</v>
      </c>
      <c r="GG663">
        <v>4.8652908724774315</v>
      </c>
      <c r="GH663">
        <v>15.285390891046541</v>
      </c>
      <c r="GI663">
        <v>73.293861133648988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11.991840277777778</v>
      </c>
      <c r="AO664">
        <v>97.24801180263627</v>
      </c>
      <c r="AP664">
        <v>949.80101560324874</v>
      </c>
      <c r="AQ664">
        <v>172.39651536200441</v>
      </c>
      <c r="AR664">
        <v>90.089350001829459</v>
      </c>
      <c r="AS664">
        <v>595.60905969428825</v>
      </c>
      <c r="AT664" t="e">
        <v>#DIV/0!</v>
      </c>
      <c r="AU664" t="e">
        <v>#DIV/0!</v>
      </c>
      <c r="AV664"/>
      <c r="AW664"/>
      <c r="FY664" s="211">
        <v>659</v>
      </c>
      <c r="FZ664">
        <v>27.680561982581462</v>
      </c>
      <c r="GA664">
        <v>37.765514133548152</v>
      </c>
      <c r="GB664">
        <v>41.381016620949602</v>
      </c>
      <c r="GC664">
        <v>3.5186863702432039</v>
      </c>
      <c r="GD664">
        <v>0.19401424406507892</v>
      </c>
      <c r="GE664">
        <v>0.74896974597164123</v>
      </c>
      <c r="GF664">
        <v>3.6513998926908831</v>
      </c>
      <c r="GG664">
        <v>7.7409484153668693</v>
      </c>
      <c r="GH664">
        <v>14.871533047506276</v>
      </c>
      <c r="GI664">
        <v>37.778113919993494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13.736939102564103</v>
      </c>
      <c r="AO665">
        <v>132.42983038700828</v>
      </c>
      <c r="AP665">
        <v>1244.403463581167</v>
      </c>
      <c r="AQ665">
        <v>168.94449786801377</v>
      </c>
      <c r="AR665">
        <v>122.7944571097199</v>
      </c>
      <c r="AS665">
        <v>739.57487229006847</v>
      </c>
      <c r="AT665" t="e">
        <v>#DIV/0!</v>
      </c>
      <c r="AU665" t="e">
        <v>#DIV/0!</v>
      </c>
      <c r="AV665"/>
      <c r="AW665"/>
      <c r="FY665" s="211">
        <v>660</v>
      </c>
      <c r="FZ665">
        <v>16.499424056772433</v>
      </c>
      <c r="GA665">
        <v>21.681021141450778</v>
      </c>
      <c r="GB665">
        <v>24.000754668396176</v>
      </c>
      <c r="GC665">
        <v>2.9988504723469394</v>
      </c>
      <c r="GD665">
        <v>0.20285050237281971</v>
      </c>
      <c r="GE665">
        <v>9.3701609150658172E-2</v>
      </c>
      <c r="GF665">
        <v>1.9557679508572623</v>
      </c>
      <c r="GG665">
        <v>4.6071152408139096</v>
      </c>
      <c r="GH665">
        <v>5.582888179644657</v>
      </c>
      <c r="GI665">
        <v>32.501805130985701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16.299265491452992</v>
      </c>
      <c r="AO666">
        <v>131.03960692556683</v>
      </c>
      <c r="AP666">
        <v>803.22873525280352</v>
      </c>
      <c r="AQ666">
        <v>189.26464915404307</v>
      </c>
      <c r="AR666">
        <v>121.56987638156204</v>
      </c>
      <c r="AS666">
        <v>955.53746540563282</v>
      </c>
      <c r="AT666" t="e">
        <v>#DIV/0!</v>
      </c>
      <c r="AU666" t="e">
        <v>#DIV/0!</v>
      </c>
      <c r="AV666"/>
      <c r="AW666"/>
      <c r="FY666" s="211">
        <v>661</v>
      </c>
      <c r="FZ666">
        <v>50.525142979846066</v>
      </c>
      <c r="GA666">
        <v>50.247524496062198</v>
      </c>
      <c r="GB666">
        <v>37.611734253704086</v>
      </c>
      <c r="GC666">
        <v>2.0355537985506338</v>
      </c>
      <c r="GD666">
        <v>0.51846252307935492</v>
      </c>
      <c r="GE666">
        <v>1.0717874809083479</v>
      </c>
      <c r="GF666">
        <v>3.8034644838180549</v>
      </c>
      <c r="GG666">
        <v>5.4931394541153544</v>
      </c>
      <c r="GH666">
        <v>9.6111648241764271</v>
      </c>
      <c r="GI666">
        <v>48.656837516042437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11.694404380341879</v>
      </c>
      <c r="AO667">
        <v>77.651611510844276</v>
      </c>
      <c r="AP667">
        <v>521.96416405601326</v>
      </c>
      <c r="AQ667">
        <v>216.18554400381174</v>
      </c>
      <c r="AR667">
        <v>71.903141090170678</v>
      </c>
      <c r="AS667">
        <v>831.56755996490574</v>
      </c>
      <c r="AT667" t="e">
        <v>#DIV/0!</v>
      </c>
      <c r="AU667" t="e">
        <v>#DIV/0!</v>
      </c>
      <c r="AV667"/>
      <c r="AW667"/>
      <c r="FY667" s="211">
        <v>662</v>
      </c>
      <c r="FZ667">
        <v>31.266061213945854</v>
      </c>
      <c r="GA667">
        <v>37.431067074011402</v>
      </c>
      <c r="GB667">
        <v>21.18397715106628</v>
      </c>
      <c r="GC667">
        <v>0.79092098554707224</v>
      </c>
      <c r="GD667">
        <v>0.26371971868244504</v>
      </c>
      <c r="GE667">
        <v>0.89811715194476327</v>
      </c>
      <c r="GF667">
        <v>2.4931776466160662</v>
      </c>
      <c r="GG667">
        <v>3.8901614302616783</v>
      </c>
      <c r="GH667">
        <v>5.582888179644657</v>
      </c>
      <c r="GI667">
        <v>28.542937500957862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15.481597222222225</v>
      </c>
      <c r="AO668">
        <v>171.67522161505417</v>
      </c>
      <c r="AP668">
        <v>1146.3195292214941</v>
      </c>
      <c r="AQ668">
        <v>192.19621998530178</v>
      </c>
      <c r="AR668">
        <v>159.22510997805335</v>
      </c>
      <c r="AS668">
        <v>1151.597976941383</v>
      </c>
      <c r="AT668" t="e">
        <v>#DIV/0!</v>
      </c>
      <c r="AU668" t="e">
        <v>#DIV/0!</v>
      </c>
      <c r="AV668"/>
      <c r="AW668"/>
      <c r="FY668" s="211">
        <v>663</v>
      </c>
      <c r="FZ668">
        <v>11.03008223452483</v>
      </c>
      <c r="GA668">
        <v>14.050029299493078</v>
      </c>
      <c r="GB668">
        <v>13.759965575173862</v>
      </c>
      <c r="GC668">
        <v>3.1077267606972847</v>
      </c>
      <c r="GD668">
        <v>0.48695373047700274</v>
      </c>
      <c r="GE668">
        <v>0.64106625282943253</v>
      </c>
      <c r="GF668">
        <v>4.7331558103600733</v>
      </c>
      <c r="GG668">
        <v>7.4827727837033464</v>
      </c>
      <c r="GH668">
        <v>9.1973069806361583</v>
      </c>
      <c r="GI668">
        <v>28.286760720578915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16.74245459401709</v>
      </c>
      <c r="AO669">
        <v>100.20278698122715</v>
      </c>
      <c r="AP669">
        <v>557.1706307983934</v>
      </c>
      <c r="AQ669">
        <v>176.34479008019974</v>
      </c>
      <c r="AR669">
        <v>93.111555893167207</v>
      </c>
      <c r="AS669">
        <v>931.38884981275044</v>
      </c>
      <c r="AT669" t="e">
        <v>#DIV/0!</v>
      </c>
      <c r="AU669" t="e">
        <v>#DIV/0!</v>
      </c>
      <c r="AV669"/>
      <c r="AW669"/>
      <c r="FY669" s="211">
        <v>664</v>
      </c>
      <c r="FZ669">
        <v>31.064158860194919</v>
      </c>
      <c r="GA669">
        <v>37.186924262767441</v>
      </c>
      <c r="GB669">
        <v>41.227195464131611</v>
      </c>
      <c r="GC669">
        <v>3.0485806354899458</v>
      </c>
      <c r="GD669">
        <v>0.20285050237281971</v>
      </c>
      <c r="GE669">
        <v>0.25615315297242891</v>
      </c>
      <c r="GF669">
        <v>2.8997453776085216</v>
      </c>
      <c r="GG669">
        <v>0.82966741238504016</v>
      </c>
      <c r="GH669">
        <v>4.0282766445317693</v>
      </c>
      <c r="GI669">
        <v>50.289801231450234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14.331383547008548</v>
      </c>
      <c r="AO670">
        <v>91.03713010775887</v>
      </c>
      <c r="AP670">
        <v>758.68873663931959</v>
      </c>
      <c r="AQ670">
        <v>194.81868847466373</v>
      </c>
      <c r="AR670">
        <v>84.453442057781132</v>
      </c>
      <c r="AS670">
        <v>448.0847175275199</v>
      </c>
      <c r="AT670" t="e">
        <v>#DIV/0!</v>
      </c>
      <c r="AU670" t="e">
        <v>#DIV/0!</v>
      </c>
      <c r="AV670"/>
      <c r="AW670"/>
      <c r="FY670" s="211">
        <v>665</v>
      </c>
      <c r="FZ670">
        <v>23.944007059932872</v>
      </c>
      <c r="GA670">
        <v>29.710481604658412</v>
      </c>
      <c r="GB670">
        <v>27.477981533587421</v>
      </c>
      <c r="GC670">
        <v>2.2339235283409362</v>
      </c>
      <c r="GD670">
        <v>0.27255597699018586</v>
      </c>
      <c r="GE670">
        <v>0.15784708526603611</v>
      </c>
      <c r="GF670">
        <v>1.9035250542739217</v>
      </c>
      <c r="GG670">
        <v>8.8118091036555146</v>
      </c>
      <c r="GH670">
        <v>24.896555715222974</v>
      </c>
      <c r="GI670">
        <v>41.564977822534544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13.531944444444443</v>
      </c>
      <c r="AO671">
        <v>146.62269864223757</v>
      </c>
      <c r="AP671">
        <v>1102.7340200567626</v>
      </c>
      <c r="AQ671">
        <v>194.9805735967783</v>
      </c>
      <c r="AR671">
        <v>136.12010181759388</v>
      </c>
      <c r="AS671">
        <v>991.49794867179185</v>
      </c>
      <c r="AT671" t="e">
        <v>#DIV/0!</v>
      </c>
      <c r="AU671" t="e">
        <v>#DIV/0!</v>
      </c>
      <c r="AV671"/>
      <c r="AW671"/>
      <c r="FY671" s="211">
        <v>666</v>
      </c>
      <c r="FZ671">
        <v>32.796945759793935</v>
      </c>
      <c r="GA671">
        <v>36.762883575835396</v>
      </c>
      <c r="GB671">
        <v>31.478283622182751</v>
      </c>
      <c r="GC671">
        <v>1.3937611501380374</v>
      </c>
      <c r="GD671">
        <v>0.14212194204098866</v>
      </c>
      <c r="GE671">
        <v>0.41446923289228399</v>
      </c>
      <c r="GF671">
        <v>2.3944175518570092</v>
      </c>
      <c r="GG671">
        <v>7.9257848903540697</v>
      </c>
      <c r="GH671">
        <v>12.811725781627663</v>
      </c>
      <c r="GI671">
        <v>35.257760615612959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16.553605769230767</v>
      </c>
      <c r="AO672">
        <v>168.88511453880162</v>
      </c>
      <c r="AP672">
        <v>1140.8776746974349</v>
      </c>
      <c r="AQ672">
        <v>206.3944054573974</v>
      </c>
      <c r="AR672">
        <v>156.54715120694277</v>
      </c>
      <c r="AS672">
        <v>1129.9452215965684</v>
      </c>
      <c r="AT672" t="e">
        <v>#DIV/0!</v>
      </c>
      <c r="AU672" t="e">
        <v>#DIV/0!</v>
      </c>
      <c r="AV672"/>
      <c r="AW672"/>
      <c r="FY672" s="211">
        <v>667</v>
      </c>
      <c r="FZ672">
        <v>22.362275851618058</v>
      </c>
      <c r="GA672">
        <v>29.48525976967796</v>
      </c>
      <c r="GB672">
        <v>29.431430652774615</v>
      </c>
      <c r="GC672">
        <v>4.9575529773289215</v>
      </c>
      <c r="GD672">
        <v>0.54768229080883368</v>
      </c>
      <c r="GE672">
        <v>0.19704088690186838</v>
      </c>
      <c r="GF672">
        <v>1.5861713715951131</v>
      </c>
      <c r="GG672">
        <v>8.6990955018227059</v>
      </c>
      <c r="GH672">
        <v>12.811725781627663</v>
      </c>
      <c r="GI672">
        <v>40.636748553326655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16.231730769230772</v>
      </c>
      <c r="AO673">
        <v>122.32986700448086</v>
      </c>
      <c r="AP673">
        <v>626.50461578091358</v>
      </c>
      <c r="AQ673">
        <v>199.65273300339538</v>
      </c>
      <c r="AR673">
        <v>113.36389792343101</v>
      </c>
      <c r="AS673">
        <v>939.98328048131509</v>
      </c>
      <c r="AT673" t="e">
        <v>#DIV/0!</v>
      </c>
      <c r="AU673" t="e">
        <v>#DIV/0!</v>
      </c>
      <c r="AV673"/>
      <c r="AW673"/>
      <c r="FY673" s="211">
        <v>668</v>
      </c>
      <c r="FZ673">
        <v>18.112285524205092</v>
      </c>
      <c r="GA673">
        <v>23.003031667776145</v>
      </c>
      <c r="GB673">
        <v>26.153384225788191</v>
      </c>
      <c r="GC673">
        <v>2.1129150759490014</v>
      </c>
      <c r="GD673">
        <v>0.3736295882321099</v>
      </c>
      <c r="GE673">
        <v>0.4348566919808311</v>
      </c>
      <c r="GF673">
        <v>1.5573766703992418</v>
      </c>
      <c r="GG673">
        <v>2.0459901305043982</v>
      </c>
      <c r="GH673">
        <v>7.6426954455232705</v>
      </c>
      <c r="GI673">
        <v>25.837401309181569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18.50522168803419</v>
      </c>
      <c r="AO674">
        <v>99.84074518861064</v>
      </c>
      <c r="AP674">
        <v>821.58979979852973</v>
      </c>
      <c r="AQ674">
        <v>301.84673638207744</v>
      </c>
      <c r="AR674">
        <v>92.637449652611778</v>
      </c>
      <c r="AS674">
        <v>579.91488503715459</v>
      </c>
      <c r="AT674" t="e">
        <v>#DIV/0!</v>
      </c>
      <c r="AU674" t="e">
        <v>#DIV/0!</v>
      </c>
      <c r="AV674"/>
      <c r="AW674"/>
      <c r="FY674" s="211">
        <v>669</v>
      </c>
      <c r="FZ674">
        <v>35.396126109192458</v>
      </c>
      <c r="GA674">
        <v>43.611681205051902</v>
      </c>
      <c r="GB674">
        <v>30.070813087982899</v>
      </c>
      <c r="GC674">
        <v>2.4778836071042525</v>
      </c>
      <c r="GD674">
        <v>0.39415375363164218</v>
      </c>
      <c r="GE674">
        <v>0.77439041510500584</v>
      </c>
      <c r="GF674">
        <v>2.2163807403973528</v>
      </c>
      <c r="GG674">
        <v>6.7094621722347103</v>
      </c>
      <c r="GH674">
        <v>9.1973069806361583</v>
      </c>
      <c r="GI674">
        <v>34.039021723595518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17.817067307692305</v>
      </c>
      <c r="AO675">
        <v>187.19485274407711</v>
      </c>
      <c r="AP675">
        <v>1501.0640866115623</v>
      </c>
      <c r="AQ675">
        <v>175.33075837291668</v>
      </c>
      <c r="AR675">
        <v>173.66601062765778</v>
      </c>
      <c r="AS675">
        <v>1152.9847074738814</v>
      </c>
      <c r="AT675" t="e">
        <v>#DIV/0!</v>
      </c>
      <c r="AU675" t="e">
        <v>#DIV/0!</v>
      </c>
      <c r="AV675"/>
      <c r="AW675"/>
      <c r="FY675" s="211">
        <v>670</v>
      </c>
      <c r="FZ675">
        <v>36.706876194056719</v>
      </c>
      <c r="GA675">
        <v>41.288805033100715</v>
      </c>
      <c r="GB675">
        <v>61.555068431993206</v>
      </c>
      <c r="GC675">
        <v>2.0827898649324705</v>
      </c>
      <c r="GD675">
        <v>0.42009990464368729</v>
      </c>
      <c r="GE675">
        <v>1.0951580388466315</v>
      </c>
      <c r="GF675">
        <v>3.1460720669393716</v>
      </c>
      <c r="GG675">
        <v>9.713599389194945</v>
      </c>
      <c r="GH675">
        <v>18.808471804812587</v>
      </c>
      <c r="GI675">
        <v>55.206348844427502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12.336338141025641</v>
      </c>
      <c r="AO676">
        <v>122.73310655265141</v>
      </c>
      <c r="AP676">
        <v>928.85607126227455</v>
      </c>
      <c r="AQ676">
        <v>110.12417895279134</v>
      </c>
      <c r="AR676">
        <v>113.77939448463489</v>
      </c>
      <c r="AS676">
        <v>845.5498749275223</v>
      </c>
      <c r="AT676" t="e">
        <v>#DIV/0!</v>
      </c>
      <c r="AU676" t="e">
        <v>#DIV/0!</v>
      </c>
      <c r="AV676"/>
      <c r="AW676"/>
      <c r="FY676" s="211">
        <v>671</v>
      </c>
      <c r="FZ676">
        <v>46.004171528982546</v>
      </c>
      <c r="GA676">
        <v>53.5031894919411</v>
      </c>
      <c r="GB676">
        <v>35.688788603072275</v>
      </c>
      <c r="GC676">
        <v>2.9648821370271881</v>
      </c>
      <c r="GD676">
        <v>0.50135263037505062</v>
      </c>
      <c r="GE676">
        <v>0.99642321965115599</v>
      </c>
      <c r="GF676">
        <v>3.6252784443992132</v>
      </c>
      <c r="GG676">
        <v>8.8118091036555146</v>
      </c>
      <c r="GH676">
        <v>16.840002426159433</v>
      </c>
      <c r="GI676">
        <v>42.945833444870082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14.476348824786323</v>
      </c>
      <c r="AO677">
        <v>111.07335498069321</v>
      </c>
      <c r="AP677">
        <v>886.76213814776202</v>
      </c>
      <c r="AQ677">
        <v>209.57481181030298</v>
      </c>
      <c r="AR677">
        <v>103.00407695643206</v>
      </c>
      <c r="AS677">
        <v>1264.3344831591198</v>
      </c>
      <c r="AT677" t="e">
        <v>#DIV/0!</v>
      </c>
      <c r="AU677" t="e">
        <v>#DIV/0!</v>
      </c>
      <c r="AV677"/>
      <c r="AW677"/>
      <c r="FY677" s="211">
        <v>672</v>
      </c>
      <c r="FZ677">
        <v>35.960408176423584</v>
      </c>
      <c r="GA677">
        <v>34.953641718211557</v>
      </c>
      <c r="GB677">
        <v>47.395713921700676</v>
      </c>
      <c r="GC677">
        <v>3.3112279929962596</v>
      </c>
      <c r="GD677">
        <v>0.25203181159065352</v>
      </c>
      <c r="GE677">
        <v>0.38444410520318473</v>
      </c>
      <c r="GF677">
        <v>3.3646656548591229</v>
      </c>
      <c r="GG677">
        <v>6.7094621722347103</v>
      </c>
      <c r="GH677">
        <v>9.1973069806361583</v>
      </c>
      <c r="GI677">
        <v>41.602829785714015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13.120659722222223</v>
      </c>
      <c r="AO678">
        <v>119.69213708262411</v>
      </c>
      <c r="AP678">
        <v>705.40273342186129</v>
      </c>
      <c r="AQ678">
        <v>132.34302805267808</v>
      </c>
      <c r="AR678">
        <v>110.87215751400701</v>
      </c>
      <c r="AS678">
        <v>862.9475884109977</v>
      </c>
      <c r="AT678" t="e">
        <v>#DIV/0!</v>
      </c>
      <c r="AU678" t="e">
        <v>#DIV/0!</v>
      </c>
      <c r="AV678"/>
      <c r="AW678"/>
      <c r="FY678" s="211">
        <v>673</v>
      </c>
      <c r="FZ678">
        <v>21.615807833984906</v>
      </c>
      <c r="GA678">
        <v>27.245426823026243</v>
      </c>
      <c r="GB678">
        <v>77.588713817764642</v>
      </c>
      <c r="GC678">
        <v>4.6433755916864889</v>
      </c>
      <c r="GD678">
        <v>0.40570100474563942</v>
      </c>
      <c r="GE678">
        <v>0.48317892439866034</v>
      </c>
      <c r="GF678">
        <v>2.5859773196595026</v>
      </c>
      <c r="GG678">
        <v>4.6634720417303139</v>
      </c>
      <c r="GH678">
        <v>9.6111648241764271</v>
      </c>
      <c r="GI678">
        <v>56.535238739174844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10.222222222222223</v>
      </c>
      <c r="AO679">
        <v>54.976040319338985</v>
      </c>
      <c r="AP679">
        <v>453.42375645597235</v>
      </c>
      <c r="AQ679">
        <v>92.775820148473983</v>
      </c>
      <c r="AR679">
        <v>50.826854507320469</v>
      </c>
      <c r="AS679">
        <v>269.79801794329325</v>
      </c>
      <c r="AT679" t="e">
        <v>#DIV/0!</v>
      </c>
      <c r="AU679" t="e">
        <v>#DIV/0!</v>
      </c>
      <c r="AV679"/>
      <c r="AW679"/>
      <c r="FY679" s="211">
        <v>674</v>
      </c>
      <c r="FZ679">
        <v>36.775954963756348</v>
      </c>
      <c r="GA679">
        <v>48.463633720348433</v>
      </c>
      <c r="GB679">
        <v>57.19100742905141</v>
      </c>
      <c r="GC679">
        <v>2.3447037212352764</v>
      </c>
      <c r="GD679">
        <v>0.32444827901427609</v>
      </c>
      <c r="GE679">
        <v>0.71024493898962793</v>
      </c>
      <c r="GF679">
        <v>2.7108588627102295</v>
      </c>
      <c r="GG679">
        <v>9.7699561901113494</v>
      </c>
      <c r="GH679">
        <v>22.836748449344356</v>
      </c>
      <c r="GI679">
        <v>52.907114231198364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16.240771901709397</v>
      </c>
      <c r="AO680">
        <v>132.33955529085185</v>
      </c>
      <c r="AP680">
        <v>773.46760762947315</v>
      </c>
      <c r="AQ680">
        <v>171.03335354390472</v>
      </c>
      <c r="AR680">
        <v>122.7315355001785</v>
      </c>
      <c r="AS680">
        <v>1198.45648855946</v>
      </c>
      <c r="AT680" t="e">
        <v>#DIV/0!</v>
      </c>
      <c r="AU680" t="e">
        <v>#DIV/0!</v>
      </c>
      <c r="AV680"/>
      <c r="AW680"/>
      <c r="FY680" s="211">
        <v>675</v>
      </c>
      <c r="FZ680">
        <v>22.564178205368989</v>
      </c>
      <c r="GA680">
        <v>27.893757740269223</v>
      </c>
      <c r="GB680">
        <v>39.997630391697889</v>
      </c>
      <c r="GC680">
        <v>2.2087850078888009</v>
      </c>
      <c r="GD680">
        <v>0.21724940227086759</v>
      </c>
      <c r="GE680">
        <v>0.46441282501611136</v>
      </c>
      <c r="GF680">
        <v>3.4870231729648342</v>
      </c>
      <c r="GG680">
        <v>9.7699561901113494</v>
      </c>
      <c r="GH680">
        <v>18.808471804812587</v>
      </c>
      <c r="GI680">
        <v>42.598493035525713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14.467107371794873</v>
      </c>
      <c r="AO681">
        <v>129.16363769840353</v>
      </c>
      <c r="AP681">
        <v>593.20312005376456</v>
      </c>
      <c r="AQ681">
        <v>160.97366448446286</v>
      </c>
      <c r="AR681">
        <v>119.9893638701479</v>
      </c>
      <c r="AS681">
        <v>1126.3203345406603</v>
      </c>
      <c r="AT681" t="e">
        <v>#DIV/0!</v>
      </c>
      <c r="AU681" t="e">
        <v>#DIV/0!</v>
      </c>
      <c r="AV681"/>
      <c r="AW681"/>
      <c r="FY681" s="211">
        <v>676</v>
      </c>
      <c r="FZ681">
        <v>22.331145592500217</v>
      </c>
      <c r="GA681">
        <v>22.033455182510842</v>
      </c>
      <c r="GB681">
        <v>12.138274715549276</v>
      </c>
      <c r="GC681">
        <v>2.3286891634550142</v>
      </c>
      <c r="GD681">
        <v>0.4986416375687942</v>
      </c>
      <c r="GE681">
        <v>1.0163416840858841</v>
      </c>
      <c r="GF681">
        <v>5.3311340811958363</v>
      </c>
      <c r="GG681">
        <v>5.6949582848624711</v>
      </c>
      <c r="GH681">
        <v>11.257114246514771</v>
      </c>
      <c r="GI681">
        <v>29.218213300496355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11.10755876068376</v>
      </c>
      <c r="AO682">
        <v>39.644856935198284</v>
      </c>
      <c r="AP682">
        <v>205.2820424131537</v>
      </c>
      <c r="AQ682">
        <v>161.37815412233508</v>
      </c>
      <c r="AR682">
        <v>36.645774689677353</v>
      </c>
      <c r="AS682">
        <v>412.6732356860212</v>
      </c>
      <c r="AT682" t="e">
        <v>#DIV/0!</v>
      </c>
      <c r="AU682" t="e">
        <v>#DIV/0!</v>
      </c>
      <c r="AV682"/>
      <c r="AW682"/>
      <c r="FY682" s="211">
        <v>677</v>
      </c>
      <c r="FZ682">
        <v>55.572447987358906</v>
      </c>
      <c r="GA682">
        <v>55.979680853000744</v>
      </c>
      <c r="GB682">
        <v>39.716558410743211</v>
      </c>
      <c r="GC682">
        <v>1.6560417570425972</v>
      </c>
      <c r="GD682">
        <v>0.21724940227086759</v>
      </c>
      <c r="GE682">
        <v>0.57278531281213896</v>
      </c>
      <c r="GF682">
        <v>0.65633081709390995</v>
      </c>
      <c r="GG682">
        <v>7.1524742788854336</v>
      </c>
      <c r="GH682">
        <v>16.840002426159433</v>
      </c>
      <c r="GI682">
        <v>38.342706046497909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16.008600427350427</v>
      </c>
      <c r="AO683">
        <v>88.967199624905319</v>
      </c>
      <c r="AP683">
        <v>496.69184355482668</v>
      </c>
      <c r="AQ683">
        <v>150.71498363748239</v>
      </c>
      <c r="AR683">
        <v>82.517414974857644</v>
      </c>
      <c r="AS683">
        <v>1154.4373489115994</v>
      </c>
      <c r="AT683" t="e">
        <v>#DIV/0!</v>
      </c>
      <c r="AU683" t="e">
        <v>#DIV/0!</v>
      </c>
      <c r="AV683"/>
      <c r="AW683"/>
      <c r="FY683" s="211">
        <v>678</v>
      </c>
      <c r="FZ683">
        <v>31.741548108128448</v>
      </c>
      <c r="GA683">
        <v>39.59450788478226</v>
      </c>
      <c r="GB683">
        <v>33.201004405284912</v>
      </c>
      <c r="GC683">
        <v>2.9738920790543135</v>
      </c>
      <c r="GD683">
        <v>0.40570100474563942</v>
      </c>
      <c r="GE683">
        <v>0.64609946287425002</v>
      </c>
      <c r="GF683">
        <v>2.2163807403973528</v>
      </c>
      <c r="GG683">
        <v>9.7699561901113494</v>
      </c>
      <c r="GH683">
        <v>14.780195160280819</v>
      </c>
      <c r="GI683">
        <v>42.949292950145747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10.321874999999999</v>
      </c>
      <c r="AO684">
        <v>92.532174265509212</v>
      </c>
      <c r="AP684">
        <v>613.2778967821597</v>
      </c>
      <c r="AQ684">
        <v>107.27356632953983</v>
      </c>
      <c r="AR684">
        <v>85.861787351911758</v>
      </c>
      <c r="AS684">
        <v>610.45441927117099</v>
      </c>
      <c r="AT684" t="e">
        <v>#DIV/0!</v>
      </c>
      <c r="AU684" t="e">
        <v>#DIV/0!</v>
      </c>
      <c r="AV684"/>
      <c r="AW684"/>
      <c r="FY684" s="211">
        <v>679</v>
      </c>
      <c r="FZ684">
        <v>38.439663093655739</v>
      </c>
      <c r="GA684">
        <v>41.288805033100715</v>
      </c>
      <c r="GB684">
        <v>52.68425406594725</v>
      </c>
      <c r="GC684">
        <v>3.4806821845459686</v>
      </c>
      <c r="GD684">
        <v>0.29850212800223097</v>
      </c>
      <c r="GE684">
        <v>0.73980107202490819</v>
      </c>
      <c r="GF684">
        <v>3.2684295850450824</v>
      </c>
      <c r="GG684">
        <v>5.6386014839460668</v>
      </c>
      <c r="GH684">
        <v>11.257114246514771</v>
      </c>
      <c r="GI684">
        <v>55.61363333936815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11.848878205128203</v>
      </c>
      <c r="AO685">
        <v>46.159487514842411</v>
      </c>
      <c r="AP685">
        <v>353.68097814380292</v>
      </c>
      <c r="AQ685">
        <v>164.88721979493189</v>
      </c>
      <c r="AR685">
        <v>42.794652087963669</v>
      </c>
      <c r="AS685">
        <v>257.09776482038438</v>
      </c>
      <c r="AT685" t="e">
        <v>#DIV/0!</v>
      </c>
      <c r="AU685" t="e">
        <v>#DIV/0!</v>
      </c>
      <c r="AV685"/>
      <c r="AW685"/>
      <c r="FY685" s="211">
        <v>680</v>
      </c>
      <c r="FZ685">
        <v>44.693421444118272</v>
      </c>
      <c r="GA685">
        <v>49.895090455002119</v>
      </c>
      <c r="GB685">
        <v>36.90505811166561</v>
      </c>
      <c r="GC685">
        <v>3.2271627439317472</v>
      </c>
      <c r="GD685">
        <v>0.38517683934610703</v>
      </c>
      <c r="GE685">
        <v>0.39408177380373677</v>
      </c>
      <c r="GF685">
        <v>2.7108588627102295</v>
      </c>
      <c r="GG685">
        <v>6.7094621722347103</v>
      </c>
      <c r="GH685">
        <v>17.253860269699697</v>
      </c>
      <c r="GI685">
        <v>42.489453106528202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15.583159722222224</v>
      </c>
      <c r="AO686">
        <v>76.48047816107298</v>
      </c>
      <c r="AP686">
        <v>665.66340677061476</v>
      </c>
      <c r="AQ686">
        <v>230.02328957294785</v>
      </c>
      <c r="AR686">
        <v>70.945984872747019</v>
      </c>
      <c r="AS686">
        <v>516.44750058828845</v>
      </c>
      <c r="AT686" t="e">
        <v>#DIV/0!</v>
      </c>
      <c r="AU686" t="e">
        <v>#DIV/0!</v>
      </c>
      <c r="AV686"/>
      <c r="AW686"/>
      <c r="FY686" s="211">
        <v>681</v>
      </c>
      <c r="FZ686">
        <v>50.45606421014643</v>
      </c>
      <c r="GA686">
        <v>56.558270723781462</v>
      </c>
      <c r="GB686">
        <v>74.959383410359138</v>
      </c>
      <c r="GC686">
        <v>1.3819564672627505</v>
      </c>
      <c r="GD686">
        <v>9.2940632823154845E-2</v>
      </c>
      <c r="GE686">
        <v>0.12829095223075584</v>
      </c>
      <c r="GF686">
        <v>1.8369960574813406</v>
      </c>
      <c r="GG686">
        <v>7.5391295846197526</v>
      </c>
      <c r="GH686">
        <v>13.225583625167928</v>
      </c>
      <c r="GI686">
        <v>65.454356746066352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14.551175213675211</v>
      </c>
      <c r="AO687">
        <v>117.8798745363619</v>
      </c>
      <c r="AP687">
        <v>901.81619123052781</v>
      </c>
      <c r="AQ687">
        <v>211.88173103013355</v>
      </c>
      <c r="AR687">
        <v>109.36640190064921</v>
      </c>
      <c r="AS687">
        <v>519.32250275569038</v>
      </c>
      <c r="AT687" t="e">
        <v>#DIV/0!</v>
      </c>
      <c r="AU687" t="e">
        <v>#DIV/0!</v>
      </c>
      <c r="AV687"/>
      <c r="AW687"/>
      <c r="FY687" s="211">
        <v>682</v>
      </c>
      <c r="FZ687">
        <v>36.706876194056719</v>
      </c>
      <c r="GA687">
        <v>45.596155744804193</v>
      </c>
      <c r="GB687">
        <v>72.158479884686471</v>
      </c>
      <c r="GC687">
        <v>3.2672140674009373</v>
      </c>
      <c r="GD687">
        <v>0.34497244441380831</v>
      </c>
      <c r="GE687">
        <v>0.56314764421158703</v>
      </c>
      <c r="GF687">
        <v>2.0222969476498434</v>
      </c>
      <c r="GG687">
        <v>6.8942986472219117</v>
      </c>
      <c r="GH687">
        <v>19.222329648352854</v>
      </c>
      <c r="GI687">
        <v>58.682821493150144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11.726829594017094</v>
      </c>
      <c r="AO688">
        <v>116.61887088875562</v>
      </c>
      <c r="AP688">
        <v>802.26164758426887</v>
      </c>
      <c r="AQ688">
        <v>183.13173231956995</v>
      </c>
      <c r="AR688">
        <v>108.06676461022192</v>
      </c>
      <c r="AS688">
        <v>525.00245662824011</v>
      </c>
      <c r="AT688" t="e">
        <v>#DIV/0!</v>
      </c>
      <c r="AU688" t="e">
        <v>#DIV/0!</v>
      </c>
      <c r="AV688"/>
      <c r="AW688"/>
      <c r="FY688" s="211">
        <v>683</v>
      </c>
      <c r="FZ688">
        <v>59.378081679707122</v>
      </c>
      <c r="GA688">
        <v>59.559611994823925</v>
      </c>
      <c r="GB688">
        <v>53.104696947013714</v>
      </c>
      <c r="GC688">
        <v>3.6434985109442963</v>
      </c>
      <c r="GD688">
        <v>0.26086806989839428</v>
      </c>
      <c r="GE688">
        <v>0.59112266070560515</v>
      </c>
      <c r="GF688">
        <v>2.4077912802406609</v>
      </c>
      <c r="GG688">
        <v>5.936151560766076</v>
      </c>
      <c r="GH688">
        <v>9.1973069806361583</v>
      </c>
      <c r="GI688">
        <v>55.030587011280993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15.295232371794871</v>
      </c>
      <c r="AO689">
        <v>186.54289404103955</v>
      </c>
      <c r="AP689">
        <v>1206.7694067123821</v>
      </c>
      <c r="AQ689">
        <v>205.37805692034766</v>
      </c>
      <c r="AR689">
        <v>173.04126816149605</v>
      </c>
      <c r="AS689">
        <v>837.56446426964169</v>
      </c>
      <c r="AT689" t="e">
        <v>#DIV/0!</v>
      </c>
      <c r="AU689" t="e">
        <v>#DIV/0!</v>
      </c>
      <c r="AV689"/>
      <c r="AW689"/>
      <c r="FY689" s="211">
        <v>684</v>
      </c>
      <c r="FZ689">
        <v>41.227847644920246</v>
      </c>
      <c r="GA689">
        <v>46.223800773696716</v>
      </c>
      <c r="GB689">
        <v>47.7424622895144</v>
      </c>
      <c r="GC689">
        <v>1.1742100448435671</v>
      </c>
      <c r="GD689">
        <v>0.14754392765350149</v>
      </c>
      <c r="GE689">
        <v>0.29074249605252656</v>
      </c>
      <c r="GF689">
        <v>1.8999394295441325</v>
      </c>
      <c r="GG689">
        <v>4.8652908724774315</v>
      </c>
      <c r="GH689">
        <v>7.2288376019830025</v>
      </c>
      <c r="GI689">
        <v>43.672326986392108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16.543883547008548</v>
      </c>
      <c r="AO690">
        <v>113.37175420905086</v>
      </c>
      <c r="AP690">
        <v>981.34618968160567</v>
      </c>
      <c r="AQ690">
        <v>234.03467078575966</v>
      </c>
      <c r="AR690">
        <v>105.21711168885211</v>
      </c>
      <c r="AS690">
        <v>639.94753498458363</v>
      </c>
      <c r="AT690" t="e">
        <v>#DIV/0!</v>
      </c>
      <c r="AU690" t="e">
        <v>#DIV/0!</v>
      </c>
      <c r="AV690"/>
      <c r="AW690"/>
      <c r="FY690" s="211">
        <v>685</v>
      </c>
      <c r="FZ690">
        <v>46.546133775883661</v>
      </c>
      <c r="GA690">
        <v>49.984684082397422</v>
      </c>
      <c r="GB690">
        <v>79.471430362331404</v>
      </c>
      <c r="GC690">
        <v>2.4420367013618742</v>
      </c>
      <c r="GD690">
        <v>0.27255597699018586</v>
      </c>
      <c r="GE690">
        <v>0.24698447902569581</v>
      </c>
      <c r="GF690">
        <v>3.1993765633074851</v>
      </c>
      <c r="GG690">
        <v>8.4409198701591812</v>
      </c>
      <c r="GH690">
        <v>15.194053003821082</v>
      </c>
      <c r="GI690">
        <v>67.505784660740304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13.358907585470083</v>
      </c>
      <c r="AO691">
        <v>114.43718858000383</v>
      </c>
      <c r="AP691">
        <v>730.46890373165093</v>
      </c>
      <c r="AQ691">
        <v>168.00995777592638</v>
      </c>
      <c r="AR691">
        <v>106.10862873992627</v>
      </c>
      <c r="AS691">
        <v>604.44200396977953</v>
      </c>
      <c r="AT691" t="e">
        <v>#DIV/0!</v>
      </c>
      <c r="AU691" t="e">
        <v>#DIV/0!</v>
      </c>
      <c r="AV691"/>
      <c r="AW691"/>
      <c r="FY691" s="211">
        <v>686</v>
      </c>
      <c r="FZ691">
        <v>66.60253022188374</v>
      </c>
      <c r="GA691">
        <v>69.393649122095781</v>
      </c>
      <c r="GB691">
        <v>32.142302677180403</v>
      </c>
      <c r="GC691">
        <v>2.3696621145279018</v>
      </c>
      <c r="GD691">
        <v>7.5127460229878956E-2</v>
      </c>
      <c r="GE691">
        <v>0</v>
      </c>
      <c r="GF691">
        <v>1.4243186768140799</v>
      </c>
      <c r="GG691">
        <v>1.5466212229372709</v>
      </c>
      <c r="GH691">
        <v>0</v>
      </c>
      <c r="GI691">
        <v>33.717703322845274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12.217013888888889</v>
      </c>
      <c r="AO692">
        <v>64.376145728032753</v>
      </c>
      <c r="AP692">
        <v>232.98803032744985</v>
      </c>
      <c r="AQ692">
        <v>111.84796788873946</v>
      </c>
      <c r="AR692">
        <v>59.661428150687897</v>
      </c>
      <c r="AS692">
        <v>506.48552652450979</v>
      </c>
      <c r="AT692" t="e">
        <v>#DIV/0!</v>
      </c>
      <c r="AU692" t="e">
        <v>#DIV/0!</v>
      </c>
      <c r="AV692"/>
      <c r="AW692"/>
      <c r="FY692" s="211">
        <v>687</v>
      </c>
      <c r="FZ692">
        <v>22.211220160333859</v>
      </c>
      <c r="GA692">
        <v>25.827171579886979</v>
      </c>
      <c r="GB692">
        <v>38.223936149912284</v>
      </c>
      <c r="GC692">
        <v>0.97140304431264901</v>
      </c>
      <c r="GD692">
        <v>0.16806809305303377</v>
      </c>
      <c r="GE692">
        <v>0.64609946287425002</v>
      </c>
      <c r="GF692">
        <v>3.1496576916691605</v>
      </c>
      <c r="GG692">
        <v>8.5706158277519098</v>
      </c>
      <c r="GH692">
        <v>10.843256402974506</v>
      </c>
      <c r="GI692">
        <v>37.937114181508285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10.412286324786324</v>
      </c>
      <c r="AO693">
        <v>105.88718628040854</v>
      </c>
      <c r="AP693">
        <v>663.05887486180779</v>
      </c>
      <c r="AQ693">
        <v>216.70627729186512</v>
      </c>
      <c r="AR693">
        <v>98.294711146267815</v>
      </c>
      <c r="AS693">
        <v>506.15645735774473</v>
      </c>
      <c r="AT693" t="e">
        <v>#DIV/0!</v>
      </c>
      <c r="AU693" t="e">
        <v>#DIV/0!</v>
      </c>
      <c r="AV693"/>
      <c r="AW693"/>
      <c r="FY693" s="211">
        <v>688</v>
      </c>
      <c r="FZ693">
        <v>24.93032594189874</v>
      </c>
      <c r="GA693">
        <v>32.553542493032758</v>
      </c>
      <c r="GB693">
        <v>59.588478620190351</v>
      </c>
      <c r="GC693">
        <v>1.8889266999139158</v>
      </c>
      <c r="GD693">
        <v>0.36820760261959706</v>
      </c>
      <c r="GE693">
        <v>0.6960430549980775</v>
      </c>
      <c r="GF693">
        <v>2.8997453776085216</v>
      </c>
      <c r="GG693">
        <v>2.8756575428894382</v>
      </c>
      <c r="GH693">
        <v>3.6144188009915013</v>
      </c>
      <c r="GI693">
        <v>48.100634304815891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16.297836538461539</v>
      </c>
      <c r="AO694">
        <v>110.06364305704521</v>
      </c>
      <c r="AP694">
        <v>599.19938035249004</v>
      </c>
      <c r="AQ694">
        <v>178.27857798580507</v>
      </c>
      <c r="AR694">
        <v>102.07494479872693</v>
      </c>
      <c r="AS694">
        <v>719.92542785320211</v>
      </c>
      <c r="AT694" t="e">
        <v>#DIV/0!</v>
      </c>
      <c r="AU694" t="e">
        <v>#DIV/0!</v>
      </c>
      <c r="AV694"/>
      <c r="AW694"/>
      <c r="FY694" s="211">
        <v>689</v>
      </c>
      <c r="FZ694">
        <v>46.2751526524331</v>
      </c>
      <c r="GA694">
        <v>55.415226468474671</v>
      </c>
      <c r="GB694">
        <v>45.222343564720887</v>
      </c>
      <c r="GC694">
        <v>2.3336758540194089</v>
      </c>
      <c r="GD694">
        <v>0.25203181159065352</v>
      </c>
      <c r="GE694">
        <v>0.44402536592756425</v>
      </c>
      <c r="GF694">
        <v>3.3907871031507932</v>
      </c>
      <c r="GG694">
        <v>6.6531053713183059</v>
      </c>
      <c r="GH694">
        <v>13.225583625167928</v>
      </c>
      <c r="GI694">
        <v>43.285159209713022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21.184254807692305</v>
      </c>
      <c r="AO695">
        <v>183.45745590569328</v>
      </c>
      <c r="AP695">
        <v>1139.2174988191841</v>
      </c>
      <c r="AQ695">
        <v>212.70948623215088</v>
      </c>
      <c r="AR695">
        <v>170.16662584484018</v>
      </c>
      <c r="AS695">
        <v>1639.4020840332025</v>
      </c>
      <c r="AT695" t="e">
        <v>#DIV/0!</v>
      </c>
      <c r="AU695" t="e">
        <v>#DIV/0!</v>
      </c>
      <c r="AV695"/>
      <c r="AW695"/>
      <c r="FY695" s="211">
        <v>690</v>
      </c>
      <c r="FZ695">
        <v>37.693195076022597</v>
      </c>
      <c r="GA695">
        <v>42.5082414242884</v>
      </c>
      <c r="GB695">
        <v>12.228587722197691</v>
      </c>
      <c r="GC695">
        <v>0.82104619656360267</v>
      </c>
      <c r="GD695">
        <v>0.16806809305303377</v>
      </c>
      <c r="GE695">
        <v>0.31112995514107378</v>
      </c>
      <c r="GF695">
        <v>2.7344562860568837</v>
      </c>
      <c r="GG695">
        <v>5.6386014839460668</v>
      </c>
      <c r="GH695">
        <v>11.257114246514771</v>
      </c>
      <c r="GI695">
        <v>16.717260948996955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16.044791666666669</v>
      </c>
      <c r="AO696">
        <v>150.65102035276874</v>
      </c>
      <c r="AP696">
        <v>1293.2753350439527</v>
      </c>
      <c r="AQ696">
        <v>204.66362577904047</v>
      </c>
      <c r="AR696">
        <v>139.79899122847905</v>
      </c>
      <c r="AS696">
        <v>1087.5509497892822</v>
      </c>
      <c r="AT696" t="e">
        <v>#DIV/0!</v>
      </c>
      <c r="AU696" t="e">
        <v>#DIV/0!</v>
      </c>
      <c r="AV696"/>
      <c r="AW696"/>
      <c r="FY696" s="211">
        <v>691</v>
      </c>
      <c r="FZ696">
        <v>28.464978510796396</v>
      </c>
      <c r="GA696">
        <v>36.057081498975066</v>
      </c>
      <c r="GB696">
        <v>76.94100204420846</v>
      </c>
      <c r="GC696">
        <v>3.1408521738428532</v>
      </c>
      <c r="GD696">
        <v>0.28410322810418298</v>
      </c>
      <c r="GE696">
        <v>0.39408177380373677</v>
      </c>
      <c r="GF696">
        <v>1.7514604631467512</v>
      </c>
      <c r="GG696">
        <v>6.9506554481383152</v>
      </c>
      <c r="GH696">
        <v>11.165776359289314</v>
      </c>
      <c r="GI696">
        <v>62.122258744836785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16.899439102564102</v>
      </c>
      <c r="AO697">
        <v>186.84014778563625</v>
      </c>
      <c r="AP697">
        <v>1331.4337600632102</v>
      </c>
      <c r="AQ697">
        <v>271.63297240993904</v>
      </c>
      <c r="AR697">
        <v>173.31294427078714</v>
      </c>
      <c r="AS697">
        <v>1400.3442408394124</v>
      </c>
      <c r="AT697" t="e">
        <v>#DIV/0!</v>
      </c>
      <c r="AU697" t="e">
        <v>#DIV/0!</v>
      </c>
      <c r="AV697"/>
      <c r="AW697"/>
      <c r="FY697" s="211">
        <v>692</v>
      </c>
      <c r="FZ697">
        <v>24.063932492099234</v>
      </c>
      <c r="GA697">
        <v>29.376034545121655</v>
      </c>
      <c r="GB697">
        <v>48.318785698670254</v>
      </c>
      <c r="GC697">
        <v>2.934943549452901</v>
      </c>
      <c r="GD697">
        <v>0.29237686250074657</v>
      </c>
      <c r="GE697">
        <v>0.6960430549980775</v>
      </c>
      <c r="GF697">
        <v>3.1435480419943547</v>
      </c>
      <c r="GG697">
        <v>6.6531053713183059</v>
      </c>
      <c r="GH697">
        <v>9.1973069806361583</v>
      </c>
      <c r="GI697">
        <v>35.44737792133791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14.905341880341876</v>
      </c>
      <c r="AO698">
        <v>178.6383879910432</v>
      </c>
      <c r="AP698">
        <v>1368.7175456892039</v>
      </c>
      <c r="AQ698">
        <v>245.45859271594844</v>
      </c>
      <c r="AR698">
        <v>165.81925705767333</v>
      </c>
      <c r="AS698">
        <v>950.85935123186891</v>
      </c>
      <c r="AT698" t="e">
        <v>#DIV/0!</v>
      </c>
      <c r="AU698" t="e">
        <v>#DIV/0!</v>
      </c>
      <c r="AV698"/>
      <c r="AW698"/>
      <c r="FY698" s="211">
        <v>693</v>
      </c>
      <c r="FZ698">
        <v>58.020572645473237</v>
      </c>
      <c r="GA698">
        <v>58.3223089185622</v>
      </c>
      <c r="GB698">
        <v>53.625046163387509</v>
      </c>
      <c r="GC698">
        <v>0.66840221629220897</v>
      </c>
      <c r="GD698">
        <v>0.12430876944771278</v>
      </c>
      <c r="GE698">
        <v>0.24698447902569581</v>
      </c>
      <c r="GF698">
        <v>3.1471336667241445</v>
      </c>
      <c r="GG698">
        <v>10.59962360249639</v>
      </c>
      <c r="GH698">
        <v>22.836748449344356</v>
      </c>
      <c r="GI698">
        <v>51.55557338112191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17.094364316239314</v>
      </c>
      <c r="AO699">
        <v>122.53992404825381</v>
      </c>
      <c r="AP699">
        <v>801.06756098157814</v>
      </c>
      <c r="AQ699">
        <v>249.10971669601696</v>
      </c>
      <c r="AR699">
        <v>113.6360345104151</v>
      </c>
      <c r="AS699">
        <v>794.48094005276494</v>
      </c>
      <c r="AT699" t="e">
        <v>#DIV/0!</v>
      </c>
      <c r="AU699" t="e">
        <v>#DIV/0!</v>
      </c>
      <c r="AV699"/>
      <c r="AW699"/>
      <c r="FY699" s="211">
        <v>694</v>
      </c>
      <c r="FZ699">
        <v>36.555820502772534</v>
      </c>
      <c r="GA699">
        <v>39.466361683962454</v>
      </c>
      <c r="GB699">
        <v>17.373732241190655</v>
      </c>
      <c r="GC699">
        <v>1.7770502094345324</v>
      </c>
      <c r="GD699">
        <v>0.14212194204098866</v>
      </c>
      <c r="GE699">
        <v>0.24698447902569581</v>
      </c>
      <c r="GF699">
        <v>3.6381753922664162</v>
      </c>
      <c r="GG699">
        <v>9.2875696383041415</v>
      </c>
      <c r="GH699">
        <v>14.871533047506276</v>
      </c>
      <c r="GI699">
        <v>33.825591527945903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14.386939102564099</v>
      </c>
      <c r="AO700">
        <v>126.9770807917602</v>
      </c>
      <c r="AP700">
        <v>774.70646798001997</v>
      </c>
      <c r="AQ700">
        <v>194.47300206707766</v>
      </c>
      <c r="AR700">
        <v>117.74870264474838</v>
      </c>
      <c r="AS700">
        <v>1485.1486513345303</v>
      </c>
      <c r="AT700" t="e">
        <v>#DIV/0!</v>
      </c>
      <c r="AU700" t="e">
        <v>#DIV/0!</v>
      </c>
      <c r="AV700"/>
      <c r="AW700"/>
      <c r="FY700" s="211">
        <v>695</v>
      </c>
      <c r="FZ700">
        <v>31.861473540294803</v>
      </c>
      <c r="GA700">
        <v>38.484517701922911</v>
      </c>
      <c r="GB700">
        <v>64.893040335307617</v>
      </c>
      <c r="GC700">
        <v>3.2422556741083119</v>
      </c>
      <c r="GD700">
        <v>0.28410322810418298</v>
      </c>
      <c r="GE700">
        <v>0.22659701993714865</v>
      </c>
      <c r="GF700">
        <v>3.5158178741607053</v>
      </c>
      <c r="GG700">
        <v>12.348063656180779</v>
      </c>
      <c r="GH700">
        <v>20.454421227150927</v>
      </c>
      <c r="GI700">
        <v>54.28470233500785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15.057118055555552</v>
      </c>
      <c r="AO701">
        <v>127.73150387429561</v>
      </c>
      <c r="AP701">
        <v>978.33215251276465</v>
      </c>
      <c r="AQ701">
        <v>273.30395947601829</v>
      </c>
      <c r="AR701">
        <v>118.46936005069109</v>
      </c>
      <c r="AS701">
        <v>652.3250219009384</v>
      </c>
      <c r="AT701" t="e">
        <v>#DIV/0!</v>
      </c>
      <c r="AU701" t="e">
        <v>#DIV/0!</v>
      </c>
      <c r="AV701"/>
      <c r="AW701"/>
      <c r="FY701" s="211">
        <v>696</v>
      </c>
      <c r="FZ701">
        <v>40.29237542542112</v>
      </c>
      <c r="GA701">
        <v>45.685749372199496</v>
      </c>
      <c r="GB701">
        <v>50.884657744556549</v>
      </c>
      <c r="GC701">
        <v>2.0314832784117729</v>
      </c>
      <c r="GD701">
        <v>0.34497244441380825</v>
      </c>
      <c r="GE701">
        <v>0.71024493898962793</v>
      </c>
      <c r="GF701">
        <v>1.7514604631467512</v>
      </c>
      <c r="GG701">
        <v>3.8901614302616783</v>
      </c>
      <c r="GH701">
        <v>13.639441468708196</v>
      </c>
      <c r="GI701">
        <v>43.930206586350195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9.6103365384615387</v>
      </c>
      <c r="AO702">
        <v>91.571391974027975</v>
      </c>
      <c r="AP702">
        <v>669.85122678206596</v>
      </c>
      <c r="AQ702">
        <v>207.27191481851429</v>
      </c>
      <c r="AR702">
        <v>84.855899346032771</v>
      </c>
      <c r="AS702">
        <v>451.97640579318443</v>
      </c>
      <c r="AT702" t="e">
        <v>#DIV/0!</v>
      </c>
      <c r="AU702" t="e">
        <v>#DIV/0!</v>
      </c>
      <c r="AV702"/>
      <c r="AW702"/>
      <c r="FY702" s="211">
        <v>697</v>
      </c>
      <c r="FZ702">
        <v>25.745872729231515</v>
      </c>
      <c r="GA702">
        <v>31.166355426481989</v>
      </c>
      <c r="GB702">
        <v>27.588593288523349</v>
      </c>
      <c r="GC702">
        <v>3.3636308771020023</v>
      </c>
      <c r="GD702">
        <v>0.37975485373359424</v>
      </c>
      <c r="GE702">
        <v>0.12829095223075584</v>
      </c>
      <c r="GF702">
        <v>0.92984055450120318</v>
      </c>
      <c r="GG702">
        <v>4.6071152408139096</v>
      </c>
      <c r="GH702">
        <v>13.639441468708196</v>
      </c>
      <c r="GI702">
        <v>30.194390345134003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10.341105769230769</v>
      </c>
      <c r="AO703">
        <v>51.568173574904982</v>
      </c>
      <c r="AP703">
        <v>505.19351010838903</v>
      </c>
      <c r="AQ703">
        <v>148.54854259427691</v>
      </c>
      <c r="AR703">
        <v>47.7222528125072</v>
      </c>
      <c r="AS703">
        <v>298.46510589220009</v>
      </c>
      <c r="AT703" t="e">
        <v>#DIV/0!</v>
      </c>
      <c r="AU703" t="e">
        <v>#DIV/0!</v>
      </c>
      <c r="AV703"/>
      <c r="AW703"/>
      <c r="FY703" s="211">
        <v>698</v>
      </c>
      <c r="FZ703">
        <v>52.679966694179825</v>
      </c>
      <c r="GA703">
        <v>56.029670005852751</v>
      </c>
      <c r="GB703">
        <v>24.723452381305336</v>
      </c>
      <c r="GC703">
        <v>2.7905491729258132</v>
      </c>
      <c r="GD703">
        <v>0.30733838630997173</v>
      </c>
      <c r="GE703">
        <v>0.32029862908780687</v>
      </c>
      <c r="GF703">
        <v>4.9805440994756962</v>
      </c>
      <c r="GG703">
        <v>6.0252567896803839</v>
      </c>
      <c r="GH703">
        <v>7.6426954455232705</v>
      </c>
      <c r="GI703">
        <v>37.3603837496482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13.283854166666666</v>
      </c>
      <c r="AO704">
        <v>105.87301739484681</v>
      </c>
      <c r="AP704">
        <v>856.27782585720149</v>
      </c>
      <c r="AQ704">
        <v>177.51598043895876</v>
      </c>
      <c r="AR704">
        <v>98.098440404369597</v>
      </c>
      <c r="AS704">
        <v>595.49298359730972</v>
      </c>
      <c r="AT704" t="e">
        <v>#DIV/0!</v>
      </c>
      <c r="AU704" t="e">
        <v>#DIV/0!</v>
      </c>
      <c r="AV704"/>
      <c r="AW704"/>
      <c r="FY704" s="211">
        <v>699</v>
      </c>
      <c r="FZ704">
        <v>23.944007059932872</v>
      </c>
      <c r="GA704">
        <v>27.662816420539684</v>
      </c>
      <c r="GB704">
        <v>7.0898569763325341</v>
      </c>
      <c r="GC704">
        <v>1.8161853624781887</v>
      </c>
      <c r="GD704">
        <v>0.21724940227086764</v>
      </c>
      <c r="GE704">
        <v>0.83397167582938536</v>
      </c>
      <c r="GF704">
        <v>2.2459385854596281</v>
      </c>
      <c r="GG704">
        <v>3.8901614302616783</v>
      </c>
      <c r="GH704">
        <v>5.582888179644657</v>
      </c>
      <c r="GI704">
        <v>23.339526011566129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13.78989049145299</v>
      </c>
      <c r="AO705">
        <v>87.544325095198943</v>
      </c>
      <c r="AP705">
        <v>655.39255868977409</v>
      </c>
      <c r="AQ705">
        <v>216.49709102651633</v>
      </c>
      <c r="AR705">
        <v>81.177518621094137</v>
      </c>
      <c r="AS705">
        <v>580.97185507822235</v>
      </c>
      <c r="AT705" t="e">
        <v>#DIV/0!</v>
      </c>
      <c r="AU705" t="e">
        <v>#DIV/0!</v>
      </c>
      <c r="AV705"/>
      <c r="AW705"/>
      <c r="FY705" s="211">
        <v>700</v>
      </c>
      <c r="FZ705">
        <v>53.395304452695143</v>
      </c>
      <c r="GA705">
        <v>57.172714261159562</v>
      </c>
      <c r="GB705">
        <v>50.872653606816407</v>
      </c>
      <c r="GC705">
        <v>0.78076747725877238</v>
      </c>
      <c r="GD705">
        <v>0.1913032512588225</v>
      </c>
      <c r="GE705">
        <v>0.50817084204294227</v>
      </c>
      <c r="GF705">
        <v>3.0913051454110141</v>
      </c>
      <c r="GG705">
        <v>3.7053249552744782</v>
      </c>
      <c r="GH705">
        <v>11.67097209005504</v>
      </c>
      <c r="GI705">
        <v>49.645773733777865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6.1640624999999982</v>
      </c>
      <c r="AO706">
        <v>55.827718806834731</v>
      </c>
      <c r="AP706">
        <v>374.5256404410336</v>
      </c>
      <c r="AQ706">
        <v>130.07770143278105</v>
      </c>
      <c r="AR706">
        <v>51.768260730226402</v>
      </c>
      <c r="AS706">
        <v>249.45943098985549</v>
      </c>
      <c r="AT706" t="e">
        <v>#DIV/0!</v>
      </c>
      <c r="AU706" t="e">
        <v>#DIV/0!</v>
      </c>
      <c r="AV706"/>
      <c r="AW706"/>
      <c r="FY706" s="211">
        <v>701</v>
      </c>
      <c r="FZ706">
        <v>50.556273238963897</v>
      </c>
      <c r="GA706">
        <v>55.227623212178536</v>
      </c>
      <c r="GB706">
        <v>44.530573014482663</v>
      </c>
      <c r="GC706">
        <v>2.8403580414983343</v>
      </c>
      <c r="GD706">
        <v>0.37091859542585343</v>
      </c>
      <c r="GE706">
        <v>0.70521172894481055</v>
      </c>
      <c r="GF706">
        <v>4.512038197495305</v>
      </c>
      <c r="GG706">
        <v>8.4409198701591812</v>
      </c>
      <c r="GH706">
        <v>11.165776359289314</v>
      </c>
      <c r="GI706">
        <v>45.629289987074358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19.879861111111108</v>
      </c>
      <c r="AO707">
        <v>184.73644720642548</v>
      </c>
      <c r="AP707">
        <v>992.42335563904794</v>
      </c>
      <c r="AQ707">
        <v>227.27225024514186</v>
      </c>
      <c r="AR707">
        <v>171.34470746048976</v>
      </c>
      <c r="AS707">
        <v>1325.1191737772742</v>
      </c>
      <c r="AT707" t="e">
        <v>#DIV/0!</v>
      </c>
      <c r="AU707" t="e">
        <v>#DIV/0!</v>
      </c>
      <c r="AV707"/>
      <c r="AW707"/>
      <c r="FY707" s="211">
        <v>702</v>
      </c>
      <c r="FZ707">
        <v>47.261471534398957</v>
      </c>
      <c r="GA707">
        <v>47.032397969466764</v>
      </c>
      <c r="GB707">
        <v>39.10435651453502</v>
      </c>
      <c r="GC707">
        <v>3.7599342920497203</v>
      </c>
      <c r="GD707">
        <v>0.52729878138709574</v>
      </c>
      <c r="GE707">
        <v>0.56314764421158692</v>
      </c>
      <c r="GF707">
        <v>2.7378926828274883</v>
      </c>
      <c r="GG707">
        <v>2.8756575428894382</v>
      </c>
      <c r="GH707">
        <v>7.6426954455232705</v>
      </c>
      <c r="GI707">
        <v>42.611857718068286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14.000133547008545</v>
      </c>
      <c r="AO708">
        <v>142.2751674080601</v>
      </c>
      <c r="AP708">
        <v>806.50419021284472</v>
      </c>
      <c r="AQ708">
        <v>160.12345451812956</v>
      </c>
      <c r="AR708">
        <v>131.9115352584657</v>
      </c>
      <c r="AS708">
        <v>749.44711628287382</v>
      </c>
      <c r="AT708" t="e">
        <v>#DIV/0!</v>
      </c>
      <c r="AU708" t="e">
        <v>#DIV/0!</v>
      </c>
      <c r="AV708"/>
      <c r="AW708"/>
      <c r="FY708" s="211">
        <v>703</v>
      </c>
      <c r="FZ708">
        <v>19.694016732519909</v>
      </c>
      <c r="GA708">
        <v>22.804212815824553</v>
      </c>
      <c r="GB708">
        <v>45.838004904524411</v>
      </c>
      <c r="GC708">
        <v>2.5314961639859321</v>
      </c>
      <c r="GD708">
        <v>0.402990011939383</v>
      </c>
      <c r="GE708">
        <v>0.4786147090076619</v>
      </c>
      <c r="GF708">
        <v>2.6120987679511725</v>
      </c>
      <c r="GG708">
        <v>3.5926113534416686</v>
      </c>
      <c r="GH708">
        <v>7.6426954455232705</v>
      </c>
      <c r="GI708">
        <v>39.678027260051209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10.613848824786325</v>
      </c>
      <c r="AO709">
        <v>64.441815021801744</v>
      </c>
      <c r="AP709">
        <v>481.44848285566962</v>
      </c>
      <c r="AQ709">
        <v>259.14670229187533</v>
      </c>
      <c r="AR709">
        <v>59.8406492573544</v>
      </c>
      <c r="AS709">
        <v>475.66656974065671</v>
      </c>
      <c r="AT709" t="e">
        <v>#DIV/0!</v>
      </c>
      <c r="AU709" t="e">
        <v>#DIV/0!</v>
      </c>
      <c r="AV709"/>
      <c r="AW709"/>
      <c r="FY709" s="211">
        <v>704</v>
      </c>
      <c r="FZ709">
        <v>64.305461255053615</v>
      </c>
      <c r="GA709">
        <v>68.237403375274539</v>
      </c>
      <c r="GB709">
        <v>23.94711406025576</v>
      </c>
      <c r="GC709">
        <v>3.2056146178258249</v>
      </c>
      <c r="GD709">
        <v>0.37704386092733788</v>
      </c>
      <c r="GE709">
        <v>0.38444410520318473</v>
      </c>
      <c r="GF709">
        <v>3.3385442065674527</v>
      </c>
      <c r="GG709">
        <v>1.6593348247700803</v>
      </c>
      <c r="GH709">
        <v>12.08482993359531</v>
      </c>
      <c r="GI709">
        <v>45.829105436437835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12.216546474358974</v>
      </c>
      <c r="AO710">
        <v>109.05986054500538</v>
      </c>
      <c r="AP710">
        <v>743.74633230833786</v>
      </c>
      <c r="AQ710">
        <v>157.18494066444958</v>
      </c>
      <c r="AR710">
        <v>101.14872616452199</v>
      </c>
      <c r="AS710">
        <v>1185.3832563382427</v>
      </c>
      <c r="AT710" t="e">
        <v>#DIV/0!</v>
      </c>
      <c r="AU710" t="e">
        <v>#DIV/0!</v>
      </c>
      <c r="AV710"/>
      <c r="AW710"/>
      <c r="FY710" s="211">
        <v>705</v>
      </c>
      <c r="FZ710">
        <v>61.826206337821446</v>
      </c>
      <c r="GA710">
        <v>62.326280747317398</v>
      </c>
      <c r="GB710">
        <v>37.042734467366671</v>
      </c>
      <c r="GC710">
        <v>2.3055685681916196</v>
      </c>
      <c r="GD710">
        <v>0.32173728620801972</v>
      </c>
      <c r="GE710">
        <v>0.50817084204294227</v>
      </c>
      <c r="GF710">
        <v>3.6119047160155615</v>
      </c>
      <c r="GG710">
        <v>6.7094621722347103</v>
      </c>
      <c r="GH710">
        <v>13.225583625167928</v>
      </c>
      <c r="GI710">
        <v>41.764759450697191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16.971354166666664</v>
      </c>
      <c r="AO711">
        <v>147.79670352913197</v>
      </c>
      <c r="AP711">
        <v>1096.7659747027083</v>
      </c>
      <c r="AQ711">
        <v>229.59499259217529</v>
      </c>
      <c r="AR711">
        <v>137.09860534896583</v>
      </c>
      <c r="AS711">
        <v>1021.8134908995886</v>
      </c>
      <c r="AT711" t="e">
        <v>#DIV/0!</v>
      </c>
      <c r="AU711" t="e">
        <v>#DIV/0!</v>
      </c>
      <c r="AV711"/>
      <c r="AW711"/>
      <c r="FY711" s="211">
        <v>706</v>
      </c>
      <c r="FZ711">
        <v>49.68987978916438</v>
      </c>
      <c r="GA711">
        <v>60.876837031140404</v>
      </c>
      <c r="GB711">
        <v>51.984017663321097</v>
      </c>
      <c r="GC711">
        <v>2.9299568588885063</v>
      </c>
      <c r="GD711">
        <v>0.32444827901427609</v>
      </c>
      <c r="GE711">
        <v>0.21742834599041555</v>
      </c>
      <c r="GF711">
        <v>2.5600050993270163</v>
      </c>
      <c r="GG711">
        <v>11.429291014881432</v>
      </c>
      <c r="GH711">
        <v>18.808471804812587</v>
      </c>
      <c r="GI711">
        <v>47.534944279856639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11.625</v>
      </c>
      <c r="AO712">
        <v>94.833263771080524</v>
      </c>
      <c r="AP712">
        <v>612.51835040747198</v>
      </c>
      <c r="AQ712">
        <v>203.16075315245916</v>
      </c>
      <c r="AR712">
        <v>88.109729537677978</v>
      </c>
      <c r="AS712">
        <v>428.25171001640922</v>
      </c>
      <c r="AT712" t="e">
        <v>#DIV/0!</v>
      </c>
      <c r="AU712" t="e">
        <v>#DIV/0!</v>
      </c>
      <c r="AV712"/>
      <c r="AW712"/>
      <c r="FY712" s="211">
        <v>707</v>
      </c>
      <c r="FZ712">
        <v>8.6639344979950792</v>
      </c>
      <c r="GA712">
        <v>15.109199412153675</v>
      </c>
      <c r="GB712">
        <v>61.704748925434387</v>
      </c>
      <c r="GC712">
        <v>1.63408356587901</v>
      </c>
      <c r="GD712">
        <v>0.14754392765350149</v>
      </c>
      <c r="GE712">
        <v>0.29074249605252656</v>
      </c>
      <c r="GF712">
        <v>2.8332163808159407</v>
      </c>
      <c r="GG712">
        <v>6.7094621722347103</v>
      </c>
      <c r="GH712">
        <v>17.253860269699697</v>
      </c>
      <c r="GI712">
        <v>49.989274705686398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9.7937499999999993</v>
      </c>
      <c r="AO713">
        <v>75.712648422302294</v>
      </c>
      <c r="AP713">
        <v>622.93400115178474</v>
      </c>
      <c r="AQ713">
        <v>137.74328573646054</v>
      </c>
      <c r="AR713">
        <v>70.39751916220429</v>
      </c>
      <c r="AS713">
        <v>374.50392353402253</v>
      </c>
      <c r="AT713" t="e">
        <v>#DIV/0!</v>
      </c>
      <c r="AU713" t="e">
        <v>#DIV/0!</v>
      </c>
      <c r="AV713"/>
      <c r="AW713"/>
      <c r="FY713" s="211">
        <v>708</v>
      </c>
      <c r="FZ713">
        <v>22.362275851618058</v>
      </c>
      <c r="GA713">
        <v>29.697280113143986</v>
      </c>
      <c r="GB713">
        <v>64.340647977192461</v>
      </c>
      <c r="GC713">
        <v>2.6002410870382393</v>
      </c>
      <c r="GD713">
        <v>9.8362618435667654E-2</v>
      </c>
      <c r="GE713">
        <v>0.31526541904298944</v>
      </c>
      <c r="GF713">
        <v>6.9767195988338688</v>
      </c>
      <c r="GG713">
        <v>4.8089340715610271</v>
      </c>
      <c r="GH713">
        <v>8.0565532890635385</v>
      </c>
      <c r="GI713">
        <v>58.094064750123948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17.644444444444446</v>
      </c>
      <c r="AO714">
        <v>158.35024660709999</v>
      </c>
      <c r="AP714">
        <v>871.96128244288889</v>
      </c>
      <c r="AQ714">
        <v>192.86015535398906</v>
      </c>
      <c r="AR714">
        <v>146.81532499623211</v>
      </c>
      <c r="AS714">
        <v>1258.6257616882863</v>
      </c>
      <c r="AT714" t="e">
        <v>#DIV/0!</v>
      </c>
      <c r="AU714" t="e">
        <v>#DIV/0!</v>
      </c>
      <c r="AV714"/>
      <c r="AW714"/>
      <c r="FY714" s="211">
        <v>709</v>
      </c>
      <c r="FZ714">
        <v>47.412527225683164</v>
      </c>
      <c r="GA714">
        <v>44.971531293833621</v>
      </c>
      <c r="GB714">
        <v>35.017758852421814</v>
      </c>
      <c r="GC714">
        <v>2.4249258459965679</v>
      </c>
      <c r="GD714">
        <v>0.25203181159065347</v>
      </c>
      <c r="GE714">
        <v>0.29074249605252656</v>
      </c>
      <c r="GF714">
        <v>3.5192542709313104</v>
      </c>
      <c r="GG714">
        <v>8.5536334719919918</v>
      </c>
      <c r="GH714">
        <v>15.194053003821082</v>
      </c>
      <c r="GI714">
        <v>39.120401057814419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10.360603632478632</v>
      </c>
      <c r="AO715">
        <v>87.461366090668761</v>
      </c>
      <c r="AP715">
        <v>701.11418521051303</v>
      </c>
      <c r="AQ715">
        <v>96.622601104315635</v>
      </c>
      <c r="AR715">
        <v>81.018349765905896</v>
      </c>
      <c r="AS715">
        <v>550.11976477649455</v>
      </c>
      <c r="AT715" t="e">
        <v>#DIV/0!</v>
      </c>
      <c r="AU715" t="e">
        <v>#DIV/0!</v>
      </c>
      <c r="AV715"/>
      <c r="AW715"/>
      <c r="FY715" s="211">
        <v>710</v>
      </c>
      <c r="FZ715">
        <v>18.896702052420025</v>
      </c>
      <c r="GA715">
        <v>23.766304904253829</v>
      </c>
      <c r="GB715">
        <v>53.613887195258101</v>
      </c>
      <c r="GC715">
        <v>2.3000349998659608</v>
      </c>
      <c r="GD715">
        <v>0.26371971868244504</v>
      </c>
      <c r="GE715">
        <v>0.49900216809620901</v>
      </c>
      <c r="GF715">
        <v>4.050852772933677</v>
      </c>
      <c r="GG715">
        <v>7.0961174779690293</v>
      </c>
      <c r="GH715">
        <v>5.582888179644657</v>
      </c>
      <c r="GI715">
        <v>43.904158348979706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12.773958333333329</v>
      </c>
      <c r="AO716">
        <v>82.031159594685064</v>
      </c>
      <c r="AP716">
        <v>691.02454217858099</v>
      </c>
      <c r="AQ716">
        <v>231.03428981575007</v>
      </c>
      <c r="AR716">
        <v>76.189707263269852</v>
      </c>
      <c r="AS716">
        <v>564.55123217249297</v>
      </c>
      <c r="AT716" t="e">
        <v>#DIV/0!</v>
      </c>
      <c r="AU716" t="e">
        <v>#DIV/0!</v>
      </c>
      <c r="AV716"/>
      <c r="AW716"/>
      <c r="FY716" s="211">
        <v>711</v>
      </c>
      <c r="FZ716">
        <v>12.913924825408044</v>
      </c>
      <c r="GA716">
        <v>15.660452305165331</v>
      </c>
      <c r="GB716">
        <v>66.641539967768637</v>
      </c>
      <c r="GC716">
        <v>0.81990263030242905</v>
      </c>
      <c r="GD716">
        <v>0.17349007866554661</v>
      </c>
      <c r="GE716">
        <v>0.44402536592756425</v>
      </c>
      <c r="GF716">
        <v>4.0211456999122177</v>
      </c>
      <c r="GG716">
        <v>10.358430326592785</v>
      </c>
      <c r="GH716">
        <v>12.811725781627663</v>
      </c>
      <c r="GI716">
        <v>52.94615050691494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15.788501602564105</v>
      </c>
      <c r="AO717">
        <v>109.13938809338251</v>
      </c>
      <c r="AP717">
        <v>814.21237536089427</v>
      </c>
      <c r="AQ717">
        <v>223.97898224551227</v>
      </c>
      <c r="AR717">
        <v>101.1160140746172</v>
      </c>
      <c r="AS717">
        <v>513.21830413315706</v>
      </c>
      <c r="AT717" t="e">
        <v>#DIV/0!</v>
      </c>
      <c r="AU717" t="e">
        <v>#DIV/0!</v>
      </c>
      <c r="AV717"/>
      <c r="AW717"/>
      <c r="FY717" s="211">
        <v>712</v>
      </c>
      <c r="FZ717">
        <v>28.124918617646216</v>
      </c>
      <c r="GA717">
        <v>34.312795197804597</v>
      </c>
      <c r="GB717">
        <v>67.173043947082576</v>
      </c>
      <c r="GC717">
        <v>1.6959851624990581</v>
      </c>
      <c r="GD717">
        <v>0.38260650251764494</v>
      </c>
      <c r="GE717">
        <v>0.69190759109616184</v>
      </c>
      <c r="GF717">
        <v>2.4934761025344354</v>
      </c>
      <c r="GG717">
        <v>7.0961174779690293</v>
      </c>
      <c r="GH717">
        <v>9.6111648241764271</v>
      </c>
      <c r="GI717">
        <v>56.753114972989913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11.037593482905983</v>
      </c>
      <c r="AO718">
        <v>97.659205429369891</v>
      </c>
      <c r="AP718">
        <v>852.73586590616844</v>
      </c>
      <c r="AQ718">
        <v>194.1167101253576</v>
      </c>
      <c r="AR718">
        <v>90.483246021071039</v>
      </c>
      <c r="AS718">
        <v>446.41455347831317</v>
      </c>
      <c r="AT718" t="e">
        <v>#DIV/0!</v>
      </c>
      <c r="AU718" t="e">
        <v>#DIV/0!</v>
      </c>
      <c r="AV718"/>
      <c r="AW718"/>
      <c r="FY718" s="211">
        <v>713</v>
      </c>
      <c r="FZ718">
        <v>47.888014119865744</v>
      </c>
      <c r="GA718">
        <v>51.230302472841913</v>
      </c>
      <c r="GB718">
        <v>26.945340999397978</v>
      </c>
      <c r="GC718">
        <v>2.7221317310398083</v>
      </c>
      <c r="GD718">
        <v>0.33328453732201685</v>
      </c>
      <c r="GE718">
        <v>0.32029862908780682</v>
      </c>
      <c r="GF718">
        <v>3.1174265937026844</v>
      </c>
      <c r="GG718">
        <v>4.6634720417303139</v>
      </c>
      <c r="GH718">
        <v>9.6111648241764271</v>
      </c>
      <c r="GI718">
        <v>37.910389916182581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10.908854166666668</v>
      </c>
      <c r="AO719">
        <v>58.575851856553541</v>
      </c>
      <c r="AP719">
        <v>478.37356187576569</v>
      </c>
      <c r="AQ719">
        <v>145.27476816476917</v>
      </c>
      <c r="AR719">
        <v>54.333436821527599</v>
      </c>
      <c r="AS719">
        <v>571.29229499940323</v>
      </c>
      <c r="AT719" t="e">
        <v>#DIV/0!</v>
      </c>
      <c r="AU719" t="e">
        <v>#DIV/0!</v>
      </c>
      <c r="AV719"/>
      <c r="AW719"/>
      <c r="FY719" s="211">
        <v>714</v>
      </c>
      <c r="FZ719">
        <v>34.64965809155931</v>
      </c>
      <c r="GA719">
        <v>38.688122043883389</v>
      </c>
      <c r="GB719">
        <v>51.938966137814866</v>
      </c>
      <c r="GC719">
        <v>3.6024241381414122</v>
      </c>
      <c r="GD719">
        <v>0.30121312080848728</v>
      </c>
      <c r="GE719">
        <v>0.3253318391326242</v>
      </c>
      <c r="GF719">
        <v>1.0951296460528412</v>
      </c>
      <c r="GG719">
        <v>5.936151560766076</v>
      </c>
      <c r="GH719">
        <v>9.1973069806361583</v>
      </c>
      <c r="GI719">
        <v>42.753751122266991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13.284468482905982</v>
      </c>
      <c r="AO720">
        <v>28.994555808721451</v>
      </c>
      <c r="AP720">
        <v>223.47620004478284</v>
      </c>
      <c r="AQ720">
        <v>223.36889567591092</v>
      </c>
      <c r="AR720">
        <v>27.027340465320897</v>
      </c>
      <c r="AS720">
        <v>280.14077432630785</v>
      </c>
      <c r="AT720" t="e">
        <v>#DIV/0!</v>
      </c>
      <c r="AU720" t="e">
        <v>#DIV/0!</v>
      </c>
      <c r="AV720"/>
      <c r="AW720"/>
      <c r="FY720" s="211">
        <v>715</v>
      </c>
      <c r="FZ720">
        <v>17.961229832920893</v>
      </c>
      <c r="GA720">
        <v>19.344943477985169</v>
      </c>
      <c r="GB720">
        <v>49.47936819455704</v>
      </c>
      <c r="GC720">
        <v>2.0444976340629966</v>
      </c>
      <c r="GD720">
        <v>0.3503944300263212</v>
      </c>
      <c r="GE720">
        <v>0.64609946287425002</v>
      </c>
      <c r="GF720">
        <v>3.5327772272741464</v>
      </c>
      <c r="GG720">
        <v>7.1524742788854336</v>
      </c>
      <c r="GH720">
        <v>9.6111648241764271</v>
      </c>
      <c r="GI720">
        <v>49.422187544083584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11.329513888888888</v>
      </c>
      <c r="AO721">
        <v>58.969591012762614</v>
      </c>
      <c r="AP721">
        <v>534.38177042502821</v>
      </c>
      <c r="AQ721">
        <v>229.64240821306353</v>
      </c>
      <c r="AR721">
        <v>54.625477506123232</v>
      </c>
      <c r="AS721">
        <v>322.18808142336843</v>
      </c>
      <c r="AT721" t="e">
        <v>#DIV/0!</v>
      </c>
      <c r="AU721" t="e">
        <v>#DIV/0!</v>
      </c>
      <c r="AV721"/>
      <c r="AW721"/>
      <c r="FY721" s="211">
        <v>716</v>
      </c>
      <c r="FZ721">
        <v>45.830796017368336</v>
      </c>
      <c r="GA721">
        <v>47.005994986437912</v>
      </c>
      <c r="GB721">
        <v>39.077175975534928</v>
      </c>
      <c r="GC721">
        <v>2.7592615578094755</v>
      </c>
      <c r="GD721">
        <v>0.29579113519597455</v>
      </c>
      <c r="GE721">
        <v>0.54276018512303981</v>
      </c>
      <c r="GF721">
        <v>2.803658535753665</v>
      </c>
      <c r="GG721">
        <v>7.4827727837033464</v>
      </c>
      <c r="GH721">
        <v>9.1973069806361583</v>
      </c>
      <c r="GI721">
        <v>35.164687218369423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18.091319444444441</v>
      </c>
      <c r="AO722">
        <v>185.79413515638905</v>
      </c>
      <c r="AP722">
        <v>1255.7453274299251</v>
      </c>
      <c r="AQ722">
        <v>246.35528016639677</v>
      </c>
      <c r="AR722">
        <v>172.40400808437229</v>
      </c>
      <c r="AS722">
        <v>1430.4037800197148</v>
      </c>
      <c r="AT722" t="e">
        <v>#DIV/0!</v>
      </c>
      <c r="AU722" t="e">
        <v>#DIV/0!</v>
      </c>
      <c r="AV722"/>
      <c r="AW722"/>
      <c r="FY722" s="211">
        <v>717</v>
      </c>
      <c r="FZ722">
        <v>24.063932492099234</v>
      </c>
      <c r="GA722">
        <v>27.964430391400995</v>
      </c>
      <c r="GB722">
        <v>26.408683032077988</v>
      </c>
      <c r="GC722">
        <v>1.7504406415549201</v>
      </c>
      <c r="GD722">
        <v>0.34768343722006478</v>
      </c>
      <c r="GE722">
        <v>0.43988990202564854</v>
      </c>
      <c r="GF722">
        <v>0</v>
      </c>
      <c r="GG722">
        <v>3.0604940178766382</v>
      </c>
      <c r="GH722">
        <v>9.6111648241764271</v>
      </c>
      <c r="GI722">
        <v>29.207642940819646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15.690972222222223</v>
      </c>
      <c r="AO723">
        <v>171.66091981006008</v>
      </c>
      <c r="AP723">
        <v>1045.8175415596809</v>
      </c>
      <c r="AQ723">
        <v>164.33606635360493</v>
      </c>
      <c r="AR723">
        <v>159.27280633106486</v>
      </c>
      <c r="AS723">
        <v>1146.2087292493104</v>
      </c>
      <c r="AT723" t="e">
        <v>#DIV/0!</v>
      </c>
      <c r="AU723" t="e">
        <v>#DIV/0!</v>
      </c>
      <c r="AV723"/>
      <c r="AW723"/>
      <c r="FY723" s="211">
        <v>718</v>
      </c>
      <c r="FZ723">
        <v>55.572447987358906</v>
      </c>
      <c r="GA723">
        <v>58.027346037119472</v>
      </c>
      <c r="GB723">
        <v>41.551469554957059</v>
      </c>
      <c r="GC723">
        <v>3.5750810690582915</v>
      </c>
      <c r="GD723">
        <v>0.35923068833406196</v>
      </c>
      <c r="GE723">
        <v>0.30609674509625634</v>
      </c>
      <c r="GF723">
        <v>4.0741517403619616</v>
      </c>
      <c r="GG723">
        <v>6.8942986472219117</v>
      </c>
      <c r="GH723">
        <v>11.165776359289314</v>
      </c>
      <c r="GI723">
        <v>48.433094020873313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16.434081196581197</v>
      </c>
      <c r="AO724">
        <v>129.76563170492062</v>
      </c>
      <c r="AP724">
        <v>963.70774959732898</v>
      </c>
      <c r="AQ724">
        <v>197.35034477605379</v>
      </c>
      <c r="AR724">
        <v>120.32387564342346</v>
      </c>
      <c r="AS724">
        <v>900.75334564860952</v>
      </c>
      <c r="AT724" t="e">
        <v>#DIV/0!</v>
      </c>
      <c r="AU724" t="e">
        <v>#DIV/0!</v>
      </c>
      <c r="AV724"/>
      <c r="AW724"/>
      <c r="FY724" s="211">
        <v>719</v>
      </c>
      <c r="FZ724">
        <v>37.964176199473151</v>
      </c>
      <c r="GA724">
        <v>40.961009062982576</v>
      </c>
      <c r="GB724">
        <v>53.950049485588735</v>
      </c>
      <c r="GC724">
        <v>3.5860428297593963</v>
      </c>
      <c r="GD724">
        <v>0.42622517014517169</v>
      </c>
      <c r="GE724">
        <v>0.25201768907051325</v>
      </c>
      <c r="GF724">
        <v>0.43879882895893124</v>
      </c>
      <c r="GG724">
        <v>0.82966741238504016</v>
      </c>
      <c r="GH724">
        <v>4.0282766445317693</v>
      </c>
      <c r="GI724">
        <v>53.297569666989908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12.128432158119658</v>
      </c>
      <c r="AO725">
        <v>98.765921773635768</v>
      </c>
      <c r="AP725">
        <v>537.77641164243255</v>
      </c>
      <c r="AQ725">
        <v>196.75685933013716</v>
      </c>
      <c r="AR725">
        <v>91.525772107313855</v>
      </c>
      <c r="AS725">
        <v>621.47756887579953</v>
      </c>
      <c r="AT725" t="e">
        <v>#DIV/0!</v>
      </c>
      <c r="AU725" t="e">
        <v>#DIV/0!</v>
      </c>
      <c r="AV725"/>
      <c r="AW725"/>
      <c r="FY725" s="211">
        <v>720</v>
      </c>
      <c r="FZ725">
        <v>48.99425843399797</v>
      </c>
      <c r="GA725">
        <v>52.539332491424872</v>
      </c>
      <c r="GB725">
        <v>20.269520423015386</v>
      </c>
      <c r="GC725">
        <v>1.559805074501043</v>
      </c>
      <c r="GD725">
        <v>0.34226145160755195</v>
      </c>
      <c r="GE725">
        <v>0.89764815729094427</v>
      </c>
      <c r="GF725">
        <v>3.994875023661363</v>
      </c>
      <c r="GG725">
        <v>5.7513150857788764</v>
      </c>
      <c r="GH725">
        <v>15.285390891046541</v>
      </c>
      <c r="GI725">
        <v>34.096466441076636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11.160643696581198</v>
      </c>
      <c r="AO726">
        <v>67.470828037621445</v>
      </c>
      <c r="AP726">
        <v>589.08464719007839</v>
      </c>
      <c r="AQ726">
        <v>159.97366781810365</v>
      </c>
      <c r="AR726">
        <v>62.487342931997979</v>
      </c>
      <c r="AS726">
        <v>447.52588593920433</v>
      </c>
      <c r="AT726" t="e">
        <v>#DIV/0!</v>
      </c>
      <c r="AU726" t="e">
        <v>#DIV/0!</v>
      </c>
      <c r="AV726"/>
      <c r="AW726"/>
      <c r="FY726" s="211">
        <v>721</v>
      </c>
      <c r="FZ726">
        <v>52.853342205794036</v>
      </c>
      <c r="GA726">
        <v>60.691219670703248</v>
      </c>
      <c r="GB726">
        <v>64.579223417025048</v>
      </c>
      <c r="GC726">
        <v>3.52114103101031</v>
      </c>
      <c r="GD726">
        <v>0.60584051431220265</v>
      </c>
      <c r="GE726">
        <v>0.50403537814102639</v>
      </c>
      <c r="GF726">
        <v>0.46492027725060159</v>
      </c>
      <c r="GG726">
        <v>10.986278908230709</v>
      </c>
      <c r="GH726">
        <v>22.422890605804085</v>
      </c>
      <c r="GI726">
        <v>65.521817299162564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12.045966880341879</v>
      </c>
      <c r="AO727">
        <v>83.151284148651072</v>
      </c>
      <c r="AP727">
        <v>857.86130394381189</v>
      </c>
      <c r="AQ727">
        <v>176.79078748828513</v>
      </c>
      <c r="AR727">
        <v>77.065632420423924</v>
      </c>
      <c r="AS727">
        <v>630.45766170103093</v>
      </c>
      <c r="AT727" t="e">
        <v>#DIV/0!</v>
      </c>
      <c r="AU727" t="e">
        <v>#DIV/0!</v>
      </c>
      <c r="AV727"/>
      <c r="AW727"/>
      <c r="FY727" s="211">
        <v>722</v>
      </c>
      <c r="FZ727">
        <v>45.084327999735194</v>
      </c>
      <c r="GA727">
        <v>48.437451721091605</v>
      </c>
      <c r="GB727">
        <v>59.683798035631369</v>
      </c>
      <c r="GC727">
        <v>1.9672096049159802</v>
      </c>
      <c r="GD727">
        <v>0.2145384094646112</v>
      </c>
      <c r="GE727">
        <v>0.34068608817635404</v>
      </c>
      <c r="GF727">
        <v>3.7308258373506678</v>
      </c>
      <c r="GG727">
        <v>7.426415982786942</v>
      </c>
      <c r="GH727">
        <v>17.253860269699697</v>
      </c>
      <c r="GI727">
        <v>52.832951468287582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13.926348824786325</v>
      </c>
      <c r="AO728">
        <v>107.76059319654806</v>
      </c>
      <c r="AP728">
        <v>539.29407166901547</v>
      </c>
      <c r="AQ728">
        <v>208.33513039631603</v>
      </c>
      <c r="AR728">
        <v>100.00015359399137</v>
      </c>
      <c r="AS728">
        <v>795.91346823110587</v>
      </c>
      <c r="AT728" t="e">
        <v>#DIV/0!</v>
      </c>
      <c r="AU728" t="e">
        <v>#DIV/0!</v>
      </c>
      <c r="AV728"/>
      <c r="AW728"/>
      <c r="FY728" s="211">
        <v>723</v>
      </c>
      <c r="FZ728">
        <v>52.138004447278711</v>
      </c>
      <c r="GA728">
        <v>59.548175415396429</v>
      </c>
      <c r="GB728">
        <v>25.808485273609936</v>
      </c>
      <c r="GC728">
        <v>3.0332995789131925</v>
      </c>
      <c r="GD728">
        <v>0.47540647936300551</v>
      </c>
      <c r="GE728">
        <v>0.51320405208775954</v>
      </c>
      <c r="GF728">
        <v>1.5896077683657179</v>
      </c>
      <c r="GG728">
        <v>4.921647673393835</v>
      </c>
      <c r="GH728">
        <v>11.257114246514771</v>
      </c>
      <c r="GI728">
        <v>32.331564611686034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13.843536324786323</v>
      </c>
      <c r="AO729">
        <v>65.644317935108532</v>
      </c>
      <c r="AP729">
        <v>360.09184279370584</v>
      </c>
      <c r="AQ729">
        <v>184.74182586534727</v>
      </c>
      <c r="AR729">
        <v>60.906979733721158</v>
      </c>
      <c r="AS729">
        <v>848.76106597374974</v>
      </c>
      <c r="AT729" t="e">
        <v>#DIV/0!</v>
      </c>
      <c r="AU729" t="e">
        <v>#DIV/0!</v>
      </c>
      <c r="AV729"/>
      <c r="AW729"/>
      <c r="FY729" s="211">
        <v>724</v>
      </c>
      <c r="FZ729">
        <v>25.525738268247693</v>
      </c>
      <c r="GA729">
        <v>27.463997568588088</v>
      </c>
      <c r="GB729">
        <v>61.411672806739588</v>
      </c>
      <c r="GC729">
        <v>1.5233033729846706</v>
      </c>
      <c r="GD729">
        <v>9.2940632823154845E-2</v>
      </c>
      <c r="GE729">
        <v>0.39408177380373677</v>
      </c>
      <c r="GF729">
        <v>2.0248209725948598</v>
      </c>
      <c r="GG729">
        <v>3.8338046293452734</v>
      </c>
      <c r="GH729">
        <v>9.6111648241764271</v>
      </c>
      <c r="GI729">
        <v>50.95320089068705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13.374091880341879</v>
      </c>
      <c r="AO730">
        <v>102.18158584188576</v>
      </c>
      <c r="AP730">
        <v>740.57193737982891</v>
      </c>
      <c r="AQ730">
        <v>188.48805468106212</v>
      </c>
      <c r="AR730">
        <v>94.775658218809824</v>
      </c>
      <c r="AS730">
        <v>501.29919805872811</v>
      </c>
      <c r="AT730" t="e">
        <v>#DIV/0!</v>
      </c>
      <c r="AU730" t="e">
        <v>#DIV/0!</v>
      </c>
      <c r="AV730"/>
      <c r="AW730"/>
      <c r="FY730" s="211">
        <v>725</v>
      </c>
      <c r="FZ730">
        <v>40.834337672322235</v>
      </c>
      <c r="GA730">
        <v>43.7908684598425</v>
      </c>
      <c r="GB730">
        <v>61.457492277416982</v>
      </c>
      <c r="GC730">
        <v>4.6543373523875928</v>
      </c>
      <c r="GD730">
        <v>0.37975485373359424</v>
      </c>
      <c r="GE730">
        <v>0.48778338295439488</v>
      </c>
      <c r="GF730">
        <v>2.9950690755969736</v>
      </c>
      <c r="GG730">
        <v>11.815946320615748</v>
      </c>
      <c r="GH730">
        <v>22.422890605804085</v>
      </c>
      <c r="GI730">
        <v>50.622438733926046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14.927216880341879</v>
      </c>
      <c r="AO731">
        <v>92.291260213630963</v>
      </c>
      <c r="AP731">
        <v>623.42085746204316</v>
      </c>
      <c r="AQ731">
        <v>159.54513690684627</v>
      </c>
      <c r="AR731">
        <v>85.670080024944667</v>
      </c>
      <c r="AS731">
        <v>955.5004648546427</v>
      </c>
      <c r="AT731" t="e">
        <v>#DIV/0!</v>
      </c>
      <c r="AU731" t="e">
        <v>#DIV/0!</v>
      </c>
      <c r="AV731"/>
      <c r="AW731"/>
      <c r="FY731" s="211">
        <v>726</v>
      </c>
      <c r="FZ731">
        <v>42.296143448470694</v>
      </c>
      <c r="GA731">
        <v>43.502455980495611</v>
      </c>
      <c r="GB731">
        <v>18.355598614306707</v>
      </c>
      <c r="GC731">
        <v>2.9878226051310719</v>
      </c>
      <c r="GD731">
        <v>0.22337466777235199</v>
      </c>
      <c r="GE731">
        <v>0.38947731524800216</v>
      </c>
      <c r="GF731">
        <v>1.5896077683657179</v>
      </c>
      <c r="GG731">
        <v>4.921647673393835</v>
      </c>
      <c r="GH731">
        <v>11.257114246514771</v>
      </c>
      <c r="GI731">
        <v>25.740227098154953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11.161244658119656</v>
      </c>
      <c r="AO732">
        <v>68.18563768660762</v>
      </c>
      <c r="AP732">
        <v>652.09109416970023</v>
      </c>
      <c r="AQ732">
        <v>190.16020537593226</v>
      </c>
      <c r="AR732">
        <v>63.211185849616143</v>
      </c>
      <c r="AS732">
        <v>343.73580680728764</v>
      </c>
      <c r="AT732" t="e">
        <v>#DIV/0!</v>
      </c>
      <c r="AU732" t="e">
        <v>#DIV/0!</v>
      </c>
      <c r="AV732"/>
      <c r="AW732"/>
      <c r="FY732" s="211">
        <v>727</v>
      </c>
      <c r="FZ732">
        <v>44.542365752834087</v>
      </c>
      <c r="GA732">
        <v>46.02498192174513</v>
      </c>
      <c r="GB732">
        <v>35.219827460892958</v>
      </c>
      <c r="GC732">
        <v>3.637716166881849</v>
      </c>
      <c r="GD732">
        <v>0.42893616295142811</v>
      </c>
      <c r="GE732">
        <v>0.25201768907051325</v>
      </c>
      <c r="GF732">
        <v>0.46492027725060159</v>
      </c>
      <c r="GG732">
        <v>2.8193007419730334</v>
      </c>
      <c r="GH732">
        <v>7.6426954455232705</v>
      </c>
      <c r="GI732">
        <v>36.740922704196002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7.380341880341879</v>
      </c>
      <c r="AO733">
        <v>62.09497819315169</v>
      </c>
      <c r="AP733">
        <v>540.53640299152084</v>
      </c>
      <c r="AQ733">
        <v>122.85436167925155</v>
      </c>
      <c r="AR733">
        <v>57.683596299098944</v>
      </c>
      <c r="AS733">
        <v>345.7959756271062</v>
      </c>
      <c r="AT733" t="e">
        <v>#DIV/0!</v>
      </c>
      <c r="AU733" t="e">
        <v>#DIV/0!</v>
      </c>
      <c r="AV733"/>
      <c r="AW733"/>
      <c r="FY733" s="211">
        <v>728</v>
      </c>
      <c r="FZ733">
        <v>22.362275851618058</v>
      </c>
      <c r="GA733">
        <v>25.389929401440508</v>
      </c>
      <c r="GB733">
        <v>58.029765356989358</v>
      </c>
      <c r="GC733">
        <v>5.6494765183021789</v>
      </c>
      <c r="GD733">
        <v>0.40570100474563942</v>
      </c>
      <c r="GE733">
        <v>0.41446923289228399</v>
      </c>
      <c r="GF733">
        <v>1.4350191522935309</v>
      </c>
      <c r="GG733">
        <v>10.212968296762071</v>
      </c>
      <c r="GH733">
        <v>34.507720539399394</v>
      </c>
      <c r="GI733">
        <v>58.238903372286075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12.146928418803416</v>
      </c>
      <c r="AO734">
        <v>101.37337015115151</v>
      </c>
      <c r="AP734">
        <v>884.71748874976015</v>
      </c>
      <c r="AQ734">
        <v>229.95899284967055</v>
      </c>
      <c r="AR734">
        <v>93.835274060571678</v>
      </c>
      <c r="AS734">
        <v>485.81814591768648</v>
      </c>
      <c r="AT734" t="e">
        <v>#DIV/0!</v>
      </c>
      <c r="AU734" t="e">
        <v>#DIV/0!</v>
      </c>
      <c r="AV734"/>
      <c r="AW734"/>
      <c r="FY734" s="211">
        <v>729</v>
      </c>
      <c r="FZ734">
        <v>35.960408176423584</v>
      </c>
      <c r="GA734">
        <v>38.83695174298299</v>
      </c>
      <c r="GB734">
        <v>43.112645307739939</v>
      </c>
      <c r="GC734">
        <v>2.8511270761251768</v>
      </c>
      <c r="GD734">
        <v>4.6470316411577423E-2</v>
      </c>
      <c r="GE734">
        <v>0.29074249605252656</v>
      </c>
      <c r="GF734">
        <v>2.5859773196595026</v>
      </c>
      <c r="GG734">
        <v>5.6949582848624711</v>
      </c>
      <c r="GH734">
        <v>15.285390891046541</v>
      </c>
      <c r="GI734">
        <v>43.339573259585158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14.399572649572653</v>
      </c>
      <c r="AO735">
        <v>111.55354625679226</v>
      </c>
      <c r="AP735">
        <v>708.4399676467981</v>
      </c>
      <c r="AQ735">
        <v>195.73383298988523</v>
      </c>
      <c r="AR735">
        <v>103.5635295677822</v>
      </c>
      <c r="AS735">
        <v>1025.5378747806249</v>
      </c>
      <c r="AT735" t="e">
        <v>#DIV/0!</v>
      </c>
      <c r="AU735" t="e">
        <v>#DIV/0!</v>
      </c>
      <c r="AV735"/>
      <c r="AW735"/>
      <c r="FY735" s="211">
        <v>730</v>
      </c>
      <c r="FZ735">
        <v>26.663112841497757</v>
      </c>
      <c r="GA735">
        <v>28.670232468261325</v>
      </c>
      <c r="GB735">
        <v>26.896977609509864</v>
      </c>
      <c r="GC735">
        <v>0.84101789929183335</v>
      </c>
      <c r="GD735">
        <v>0.14212194204098866</v>
      </c>
      <c r="GE735">
        <v>0.83810713973130091</v>
      </c>
      <c r="GF735">
        <v>5.0900046697142036</v>
      </c>
      <c r="GG735">
        <v>6.580982498163916</v>
      </c>
      <c r="GH735">
        <v>7.2288376019830025</v>
      </c>
      <c r="GI735">
        <v>30.492928694151889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13.782118055555554</v>
      </c>
      <c r="AO736">
        <v>63.554427544597004</v>
      </c>
      <c r="AP736">
        <v>306.0726747180023</v>
      </c>
      <c r="AQ736">
        <v>183.7308734734012</v>
      </c>
      <c r="AR736">
        <v>58.992560165311431</v>
      </c>
      <c r="AS736">
        <v>600.43900355194285</v>
      </c>
      <c r="AT736" t="e">
        <v>#DIV/0!</v>
      </c>
      <c r="AU736" t="e">
        <v>#DIV/0!</v>
      </c>
      <c r="AV736"/>
      <c r="AW736"/>
      <c r="FY736" s="211">
        <v>731</v>
      </c>
      <c r="FZ736">
        <v>12.047531375608536</v>
      </c>
      <c r="GA736">
        <v>14.74262988483898</v>
      </c>
      <c r="GB736">
        <v>26.003703732346992</v>
      </c>
      <c r="GC736">
        <v>2.4579119043760222</v>
      </c>
      <c r="GD736">
        <v>0.20285050237281971</v>
      </c>
      <c r="GE736">
        <v>0.25615315297242897</v>
      </c>
      <c r="GF736">
        <v>4.0768249932661629</v>
      </c>
      <c r="GG736">
        <v>12.589256932084382</v>
      </c>
      <c r="GH736">
        <v>22.422890605804085</v>
      </c>
      <c r="GI736">
        <v>30.675038340303011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16.308814102564103</v>
      </c>
      <c r="AO737">
        <v>114.15295261269382</v>
      </c>
      <c r="AP737">
        <v>927.04271495990736</v>
      </c>
      <c r="AQ737">
        <v>282.15070930743377</v>
      </c>
      <c r="AR737">
        <v>105.97485271796918</v>
      </c>
      <c r="AS737">
        <v>766.69616424982189</v>
      </c>
      <c r="AT737" t="e">
        <v>#DIV/0!</v>
      </c>
      <c r="AU737" t="e">
        <v>#DIV/0!</v>
      </c>
      <c r="AV737"/>
      <c r="AW737"/>
      <c r="FY737" s="211">
        <v>732</v>
      </c>
      <c r="FZ737">
        <v>20.711465873603618</v>
      </c>
      <c r="GA737">
        <v>27.804164112873931</v>
      </c>
      <c r="GB737">
        <v>54.879650973921066</v>
      </c>
      <c r="GC737">
        <v>3.6606880717391177</v>
      </c>
      <c r="GD737">
        <v>0.34768343722006478</v>
      </c>
      <c r="GE737">
        <v>0.4786147090076619</v>
      </c>
      <c r="GF737">
        <v>2.338738258503064</v>
      </c>
      <c r="GG737">
        <v>6.7094621722347103</v>
      </c>
      <c r="GH737">
        <v>17.253860269699697</v>
      </c>
      <c r="GI737">
        <v>41.876269053803256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14.318402777777774</v>
      </c>
      <c r="AO738">
        <v>129.18544011477593</v>
      </c>
      <c r="AP738">
        <v>862.98466692347642</v>
      </c>
      <c r="AQ738">
        <v>236.97206541713999</v>
      </c>
      <c r="AR738">
        <v>119.9161949658552</v>
      </c>
      <c r="AS738">
        <v>767.73394034075363</v>
      </c>
      <c r="AT738" t="e">
        <v>#DIV/0!</v>
      </c>
      <c r="AU738" t="e">
        <v>#DIV/0!</v>
      </c>
      <c r="AV738"/>
      <c r="AW738"/>
      <c r="FY738" s="211">
        <v>733</v>
      </c>
      <c r="FZ738">
        <v>34.258751535942395</v>
      </c>
      <c r="GA738">
        <v>38.310115937141212</v>
      </c>
      <c r="GB738">
        <v>22.991265704979778</v>
      </c>
      <c r="GC738">
        <v>2.2933971347145783</v>
      </c>
      <c r="GD738">
        <v>0.2493208187843971</v>
      </c>
      <c r="GE738">
        <v>0.21742834599041555</v>
      </c>
      <c r="GF738">
        <v>2.342323883232853</v>
      </c>
      <c r="GG738">
        <v>13.73345677704935</v>
      </c>
      <c r="GH738">
        <v>20.040563383610664</v>
      </c>
      <c r="GI738">
        <v>31.860253338607126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11.613194444444442</v>
      </c>
      <c r="AO739">
        <v>84.085648048699255</v>
      </c>
      <c r="AP739">
        <v>684.28776770613354</v>
      </c>
      <c r="AQ739">
        <v>191.61650954660939</v>
      </c>
      <c r="AR739">
        <v>77.980916423898677</v>
      </c>
      <c r="AS739">
        <v>404.53444093568783</v>
      </c>
      <c r="AT739" t="e">
        <v>#DIV/0!</v>
      </c>
      <c r="AU739" t="e">
        <v>#DIV/0!</v>
      </c>
      <c r="AV739"/>
      <c r="AW739"/>
      <c r="FY739" s="211">
        <v>734</v>
      </c>
      <c r="FZ739">
        <v>61.041789809606513</v>
      </c>
      <c r="GA739">
        <v>63.822693038424468</v>
      </c>
      <c r="GB739">
        <v>66.274608789902373</v>
      </c>
      <c r="GC739">
        <v>3.6275626585935488</v>
      </c>
      <c r="GD739">
        <v>0.47540647936300551</v>
      </c>
      <c r="GE739">
        <v>0.71024493898962793</v>
      </c>
      <c r="GF739">
        <v>1.5599006953442582</v>
      </c>
      <c r="GG739">
        <v>4.0919802610087963</v>
      </c>
      <c r="GH739">
        <v>7.2288376019830025</v>
      </c>
      <c r="GI739">
        <v>58.761890741193177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14.466279380341877</v>
      </c>
      <c r="AO740">
        <v>133.86067784562005</v>
      </c>
      <c r="AP740">
        <v>569.53616821739558</v>
      </c>
      <c r="AQ740">
        <v>182.83472573999055</v>
      </c>
      <c r="AR740">
        <v>124.18682528699175</v>
      </c>
      <c r="AS740">
        <v>1092.6421991454097</v>
      </c>
      <c r="AT740" t="e">
        <v>#DIV/0!</v>
      </c>
      <c r="AU740" t="e">
        <v>#DIV/0!</v>
      </c>
      <c r="AV740"/>
      <c r="AW740"/>
      <c r="FY740" s="211">
        <v>735</v>
      </c>
      <c r="FZ740">
        <v>6.9311475983960635</v>
      </c>
      <c r="GA740">
        <v>17.156864596272399</v>
      </c>
      <c r="GB740">
        <v>60.769680302735964</v>
      </c>
      <c r="GC740">
        <v>0.98814714907620127</v>
      </c>
      <c r="GD740">
        <v>0.35666035150559994</v>
      </c>
      <c r="GE740">
        <v>0.9826500871486884</v>
      </c>
      <c r="GF740">
        <v>2.3944175518570092</v>
      </c>
      <c r="GG740">
        <v>9.9717750208584679</v>
      </c>
      <c r="GH740">
        <v>16.426144582619159</v>
      </c>
      <c r="GI740">
        <v>55.588337416961132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17.305689102564102</v>
      </c>
      <c r="AO741">
        <v>152.94622060951471</v>
      </c>
      <c r="AP741">
        <v>943.4524551209314</v>
      </c>
      <c r="AQ741">
        <v>239.46091873460017</v>
      </c>
      <c r="AR741">
        <v>141.90793469764515</v>
      </c>
      <c r="AS741">
        <v>845.43928461878761</v>
      </c>
      <c r="AT741" t="e">
        <v>#DIV/0!</v>
      </c>
      <c r="AU741" t="e">
        <v>#DIV/0!</v>
      </c>
      <c r="AV741"/>
      <c r="AW741"/>
      <c r="FY741" s="211">
        <v>736</v>
      </c>
      <c r="FZ741">
        <v>55.84342911080946</v>
      </c>
      <c r="GA741">
        <v>56.268093332347632</v>
      </c>
      <c r="GB741">
        <v>25.749812290392406</v>
      </c>
      <c r="GC741">
        <v>1.0015282553291796</v>
      </c>
      <c r="GD741">
        <v>0.16806809305303377</v>
      </c>
      <c r="GE741">
        <v>0.67565559590953028</v>
      </c>
      <c r="GF741">
        <v>3.7106648107746185</v>
      </c>
      <c r="GG741">
        <v>1.6593348247700803</v>
      </c>
      <c r="GH741">
        <v>8.0565532890635385</v>
      </c>
      <c r="GI741">
        <v>32.792027045047256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9.5906784188034173</v>
      </c>
      <c r="AO742">
        <v>93.405495636899417</v>
      </c>
      <c r="AP742">
        <v>685.35254523559718</v>
      </c>
      <c r="AQ742">
        <v>151.26346941785371</v>
      </c>
      <c r="AR742">
        <v>86.626415114251316</v>
      </c>
      <c r="AS742">
        <v>443.68757377280184</v>
      </c>
      <c r="AT742" t="e">
        <v>#DIV/0!</v>
      </c>
      <c r="AU742" t="e">
        <v>#DIV/0!</v>
      </c>
      <c r="AV742"/>
      <c r="AW742"/>
      <c r="FY742" s="211">
        <v>737</v>
      </c>
      <c r="FZ742">
        <v>32.525964636343375</v>
      </c>
      <c r="GA742">
        <v>38.310115937141212</v>
      </c>
      <c r="GB742">
        <v>60.199273152063334</v>
      </c>
      <c r="GC742">
        <v>3.3580973087763426</v>
      </c>
      <c r="GD742">
        <v>0.39144276082538576</v>
      </c>
      <c r="GE742">
        <v>0.59773698729168456</v>
      </c>
      <c r="GF742">
        <v>1.7380867347630993</v>
      </c>
      <c r="GG742">
        <v>4.8652908724774315</v>
      </c>
      <c r="GH742">
        <v>7.2288376019830025</v>
      </c>
      <c r="GI742">
        <v>56.060970809595894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13.144791666666666</v>
      </c>
      <c r="AO743">
        <v>144.66051251021335</v>
      </c>
      <c r="AP743">
        <v>1076.042633628417</v>
      </c>
      <c r="AQ743">
        <v>177.77368432331889</v>
      </c>
      <c r="AR743">
        <v>134.27500104590936</v>
      </c>
      <c r="AS743">
        <v>1149.7694480632797</v>
      </c>
      <c r="AT743" t="e">
        <v>#DIV/0!</v>
      </c>
      <c r="AU743" t="e">
        <v>#DIV/0!</v>
      </c>
      <c r="AV743"/>
      <c r="AW743"/>
      <c r="FY743" s="211">
        <v>738</v>
      </c>
      <c r="FZ743">
        <v>40.021394301970567</v>
      </c>
      <c r="GA743">
        <v>49.492667261090062</v>
      </c>
      <c r="GB743">
        <v>86.162992621520459</v>
      </c>
      <c r="GC743">
        <v>2.4733715851543416</v>
      </c>
      <c r="GD743">
        <v>0.29579113519597461</v>
      </c>
      <c r="GE743">
        <v>0.40986477433654933</v>
      </c>
      <c r="GF743">
        <v>2.3684453315245233</v>
      </c>
      <c r="GG743">
        <v>8.5536334719919918</v>
      </c>
      <c r="GH743">
        <v>11.165776359289314</v>
      </c>
      <c r="GI743">
        <v>62.628893307195312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18.26941773504273</v>
      </c>
      <c r="AO744">
        <v>137.71115944651717</v>
      </c>
      <c r="AP744">
        <v>867.97506777540468</v>
      </c>
      <c r="AQ744">
        <v>216.64622872672911</v>
      </c>
      <c r="AR744">
        <v>128.03240684128346</v>
      </c>
      <c r="AS744">
        <v>989.67422322595451</v>
      </c>
      <c r="AT744" t="e">
        <v>#DIV/0!</v>
      </c>
      <c r="AU744" t="e">
        <v>#DIV/0!</v>
      </c>
      <c r="AV744"/>
      <c r="AW744"/>
      <c r="FY744" s="211">
        <v>739</v>
      </c>
      <c r="FZ744">
        <v>49.86065188379748</v>
      </c>
      <c r="GA744">
        <v>53.669175255217247</v>
      </c>
      <c r="GB744">
        <v>63.973306389004435</v>
      </c>
      <c r="GC744">
        <v>1.453234756511679</v>
      </c>
      <c r="GD744">
        <v>0.16806809305303377</v>
      </c>
      <c r="GE744">
        <v>0.67565559590953028</v>
      </c>
      <c r="GF744">
        <v>3.0211905238886438</v>
      </c>
      <c r="GG744">
        <v>6.6531053713183059</v>
      </c>
      <c r="GH744">
        <v>9.1973069806361583</v>
      </c>
      <c r="GI744">
        <v>51.798252234462282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11.836471688034189</v>
      </c>
      <c r="AO745">
        <v>130.18666230261707</v>
      </c>
      <c r="AP745">
        <v>1218.1257708791586</v>
      </c>
      <c r="AQ745">
        <v>188.00424487088949</v>
      </c>
      <c r="AR745">
        <v>120.84433576711247</v>
      </c>
      <c r="AS745">
        <v>569.75706995955056</v>
      </c>
      <c r="AT745" t="e">
        <v>#DIV/0!</v>
      </c>
      <c r="AU745" t="e">
        <v>#DIV/0!</v>
      </c>
      <c r="AV745"/>
      <c r="AW745"/>
      <c r="FY745" s="211">
        <v>740</v>
      </c>
      <c r="FZ745">
        <v>31.064158860194919</v>
      </c>
      <c r="GA745">
        <v>36.974903919301418</v>
      </c>
      <c r="GB745">
        <v>77.71206314700575</v>
      </c>
      <c r="GC745">
        <v>3.6935954246890574</v>
      </c>
      <c r="GD745">
        <v>0.28410322810418298</v>
      </c>
      <c r="GE745">
        <v>0</v>
      </c>
      <c r="GF745">
        <v>1.8892389540646817</v>
      </c>
      <c r="GG745">
        <v>2.3199318344059066</v>
      </c>
      <c r="GH745">
        <v>4.0282766445317693</v>
      </c>
      <c r="GI745">
        <v>64.850703681971027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11.504340277777777</v>
      </c>
      <c r="AO746">
        <v>49.452069828269636</v>
      </c>
      <c r="AP746">
        <v>211.44421503453168</v>
      </c>
      <c r="AQ746">
        <v>133.44432336434608</v>
      </c>
      <c r="AR746">
        <v>45.734989448344777</v>
      </c>
      <c r="AS746">
        <v>475.00517724091452</v>
      </c>
      <c r="AT746" t="e">
        <v>#DIV/0!</v>
      </c>
      <c r="AU746" t="e">
        <v>#DIV/0!</v>
      </c>
      <c r="AV746"/>
      <c r="AW746"/>
      <c r="FY746" s="211">
        <v>741</v>
      </c>
      <c r="FZ746">
        <v>35.51605154135882</v>
      </c>
      <c r="GA746">
        <v>42.077650335260515</v>
      </c>
      <c r="GB746">
        <v>80.358419371306695</v>
      </c>
      <c r="GC746">
        <v>3.9035871681326224</v>
      </c>
      <c r="GD746">
        <v>0.53071305408232372</v>
      </c>
      <c r="GE746">
        <v>0.25154869441669431</v>
      </c>
      <c r="GF746">
        <v>1.8046157315556801</v>
      </c>
      <c r="GG746">
        <v>10.212968296762071</v>
      </c>
      <c r="GH746">
        <v>26.451167250335857</v>
      </c>
      <c r="GI746">
        <v>71.707698149688881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9.3638087606837601</v>
      </c>
      <c r="AO747">
        <v>25.197089473480798</v>
      </c>
      <c r="AP747">
        <v>105.02232255828285</v>
      </c>
      <c r="AQ747">
        <v>125.47479142397341</v>
      </c>
      <c r="AR747">
        <v>23.296626356511158</v>
      </c>
      <c r="AS747">
        <v>179.98098343502011</v>
      </c>
      <c r="AT747" t="e">
        <v>#DIV/0!</v>
      </c>
      <c r="AU747" t="e">
        <v>#DIV/0!</v>
      </c>
      <c r="AV747"/>
      <c r="AW747"/>
      <c r="FY747" s="211">
        <v>742</v>
      </c>
      <c r="FZ747">
        <v>38.288607402371547</v>
      </c>
      <c r="GA747">
        <v>37.418696499843726</v>
      </c>
      <c r="GB747">
        <v>29.539161529455516</v>
      </c>
      <c r="GC747">
        <v>3.3844455020044153</v>
      </c>
      <c r="GD747">
        <v>0.35651969552780549</v>
      </c>
      <c r="GE747">
        <v>0.52237272603449258</v>
      </c>
      <c r="GF747">
        <v>2.1902592921056825</v>
      </c>
      <c r="GG747">
        <v>7.7973052162832746</v>
      </c>
      <c r="GH747">
        <v>18.899809692038044</v>
      </c>
      <c r="GI747">
        <v>39.850758410117244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17.271527777777777</v>
      </c>
      <c r="AO748">
        <v>205.28727704128869</v>
      </c>
      <c r="AP748">
        <v>1425.0719010676585</v>
      </c>
      <c r="AQ748">
        <v>176.06059693260619</v>
      </c>
      <c r="AR748">
        <v>190.55582090456511</v>
      </c>
      <c r="AS748">
        <v>1181.8166575061846</v>
      </c>
      <c r="AT748" t="e">
        <v>#DIV/0!</v>
      </c>
      <c r="AU748" t="e">
        <v>#DIV/0!</v>
      </c>
      <c r="AV748"/>
      <c r="AW748"/>
      <c r="FY748" s="211">
        <v>743</v>
      </c>
      <c r="FZ748">
        <v>23.348594733583923</v>
      </c>
      <c r="GA748">
        <v>24.985741295441493</v>
      </c>
      <c r="GB748">
        <v>63.787111772190514</v>
      </c>
      <c r="GC748">
        <v>3.8133194530957599</v>
      </c>
      <c r="GD748">
        <v>0.3797548537335943</v>
      </c>
      <c r="GE748">
        <v>0.31616316518589116</v>
      </c>
      <c r="GF748">
        <v>1.8369960574813406</v>
      </c>
      <c r="GG748">
        <v>7.5391295846197526</v>
      </c>
      <c r="GH748">
        <v>13.225583625167928</v>
      </c>
      <c r="GI748">
        <v>51.722569264843941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12.233293269230767</v>
      </c>
      <c r="AO749">
        <v>100.5287738663805</v>
      </c>
      <c r="AP749">
        <v>705.22993976675707</v>
      </c>
      <c r="AQ749">
        <v>166.29687686005278</v>
      </c>
      <c r="AR749">
        <v>93.181683272880832</v>
      </c>
      <c r="AS749">
        <v>592.20503486628161</v>
      </c>
      <c r="AT749" t="e">
        <v>#DIV/0!</v>
      </c>
      <c r="AU749" t="e">
        <v>#DIV/0!</v>
      </c>
      <c r="AV749"/>
      <c r="AW749"/>
      <c r="FY749" s="211">
        <v>744</v>
      </c>
      <c r="FZ749">
        <v>44.662291185000434</v>
      </c>
      <c r="GA749">
        <v>48.586281420191177</v>
      </c>
      <c r="GB749">
        <v>20.190951809820813</v>
      </c>
      <c r="GC749">
        <v>2.5381340291373133</v>
      </c>
      <c r="GD749">
        <v>0.2493208187843971</v>
      </c>
      <c r="GE749">
        <v>0.32029862908780687</v>
      </c>
      <c r="GF749">
        <v>4.0507035449744935</v>
      </c>
      <c r="GG749">
        <v>8.5706158277519098</v>
      </c>
      <c r="GH749">
        <v>14.871533047506276</v>
      </c>
      <c r="GI749">
        <v>37.814005107356728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19.748090277777784</v>
      </c>
      <c r="AO750">
        <v>176.49103555033525</v>
      </c>
      <c r="AP750">
        <v>1110.8177015842014</v>
      </c>
      <c r="AQ750">
        <v>267.59491501440874</v>
      </c>
      <c r="AR750">
        <v>163.65103594324245</v>
      </c>
      <c r="AS750">
        <v>1362.9470310070508</v>
      </c>
      <c r="AT750" t="e">
        <v>#DIV/0!</v>
      </c>
      <c r="AU750" t="e">
        <v>#DIV/0!</v>
      </c>
      <c r="AV750"/>
      <c r="AW750"/>
      <c r="FY750" s="211">
        <v>745</v>
      </c>
      <c r="FZ750">
        <v>46.870564978782056</v>
      </c>
      <c r="GA750">
        <v>48.490036703377299</v>
      </c>
      <c r="GB750">
        <v>51.600628537977862</v>
      </c>
      <c r="GC750">
        <v>3.1657026491227498</v>
      </c>
      <c r="GD750">
        <v>0.47811747216926198</v>
      </c>
      <c r="GE750">
        <v>0.24698447902569581</v>
      </c>
      <c r="GF750">
        <v>2.9816953472133219</v>
      </c>
      <c r="GG750">
        <v>8.6990955018227059</v>
      </c>
      <c r="GH750">
        <v>16.840002426159433</v>
      </c>
      <c r="GI750">
        <v>54.093486562796713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15.439503205128208</v>
      </c>
      <c r="AO751">
        <v>136.05895176780277</v>
      </c>
      <c r="AP751">
        <v>983.46643828044307</v>
      </c>
      <c r="AQ751">
        <v>171.56582465743068</v>
      </c>
      <c r="AR751">
        <v>126.08371052697284</v>
      </c>
      <c r="AS751">
        <v>831.11117004171876</v>
      </c>
      <c r="AT751" t="e">
        <v>#DIV/0!</v>
      </c>
      <c r="AU751" t="e">
        <v>#DIV/0!</v>
      </c>
      <c r="AV751"/>
      <c r="AW751"/>
      <c r="FY751" s="211">
        <v>746</v>
      </c>
      <c r="FZ751">
        <v>35.840482744257216</v>
      </c>
      <c r="GA751">
        <v>40.37098261277437</v>
      </c>
      <c r="GB751">
        <v>38.850465072580434</v>
      </c>
      <c r="GC751">
        <v>2.0882180573079157</v>
      </c>
      <c r="GD751">
        <v>0.18859225845256608</v>
      </c>
      <c r="GE751">
        <v>0.21742834599041555</v>
      </c>
      <c r="GF751">
        <v>1.6824074414091537</v>
      </c>
      <c r="GG751">
        <v>7.7409484153668693</v>
      </c>
      <c r="GH751">
        <v>10.843256402974506</v>
      </c>
      <c r="GI751">
        <v>36.802931806000664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10.843709935897433</v>
      </c>
      <c r="AO752">
        <v>103.9819266248285</v>
      </c>
      <c r="AP752">
        <v>445.23717193849336</v>
      </c>
      <c r="AQ752">
        <v>185.92516664749675</v>
      </c>
      <c r="AR752">
        <v>96.433487493641209</v>
      </c>
      <c r="AS752">
        <v>716.79069262369649</v>
      </c>
      <c r="AT752" t="e">
        <v>#DIV/0!</v>
      </c>
      <c r="AU752" t="e">
        <v>#DIV/0!</v>
      </c>
      <c r="AV752"/>
      <c r="AW752"/>
      <c r="FY752" s="211">
        <v>747</v>
      </c>
      <c r="FZ752">
        <v>34.974089294457706</v>
      </c>
      <c r="GA752">
        <v>39.241139848981987</v>
      </c>
      <c r="GB752">
        <v>47.411332374260887</v>
      </c>
      <c r="GC752">
        <v>1.2043352558600975</v>
      </c>
      <c r="GD752">
        <v>0.16806809305303377</v>
      </c>
      <c r="GE752">
        <v>0.4786147090076619</v>
      </c>
      <c r="GF752">
        <v>2.338738258503064</v>
      </c>
      <c r="GG752">
        <v>9.7699561901113494</v>
      </c>
      <c r="GH752">
        <v>26.865025093876127</v>
      </c>
      <c r="GI752">
        <v>46.629375501607377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16.062553418803418</v>
      </c>
      <c r="AO753">
        <v>141.81634454628824</v>
      </c>
      <c r="AP753">
        <v>993.70573038041891</v>
      </c>
      <c r="AQ753">
        <v>205.27581680126076</v>
      </c>
      <c r="AR753">
        <v>131.43697496156861</v>
      </c>
      <c r="AS753">
        <v>797.7476517926076</v>
      </c>
      <c r="AT753" t="e">
        <v>#DIV/0!</v>
      </c>
      <c r="AU753" t="e">
        <v>#DIV/0!</v>
      </c>
      <c r="AV753"/>
      <c r="AW753"/>
      <c r="FY753" s="211">
        <v>748</v>
      </c>
      <c r="FZ753">
        <v>50.405217547679698</v>
      </c>
      <c r="GA753">
        <v>57.500510231277701</v>
      </c>
      <c r="GB753">
        <v>24.697550301700218</v>
      </c>
      <c r="GC753">
        <v>1.6760134597708276</v>
      </c>
      <c r="GD753">
        <v>0.1913032512588225</v>
      </c>
      <c r="GE753">
        <v>0.28157382210579351</v>
      </c>
      <c r="GF753">
        <v>2.6156843926809614</v>
      </c>
      <c r="GG753">
        <v>4.4786355667431135</v>
      </c>
      <c r="GH753">
        <v>11.67097209005504</v>
      </c>
      <c r="GI753">
        <v>30.642600463354782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14.794270833333332</v>
      </c>
      <c r="AO754">
        <v>159.33166125334213</v>
      </c>
      <c r="AP754">
        <v>1240.1427033001798</v>
      </c>
      <c r="AQ754">
        <v>263.57283014926907</v>
      </c>
      <c r="AR754">
        <v>147.72981628490459</v>
      </c>
      <c r="AS754">
        <v>999.25868654241515</v>
      </c>
      <c r="AT754" t="e">
        <v>#DIV/0!</v>
      </c>
      <c r="AU754" t="e">
        <v>#DIV/0!</v>
      </c>
      <c r="AV754"/>
      <c r="AW754"/>
      <c r="FY754" s="211">
        <v>749</v>
      </c>
      <c r="FZ754">
        <v>49.809805221330748</v>
      </c>
      <c r="GA754">
        <v>53.199810608992834</v>
      </c>
      <c r="GB754">
        <v>28.879154232894418</v>
      </c>
      <c r="GC754">
        <v>2.330526961484245</v>
      </c>
      <c r="GD754">
        <v>0.38260650251764494</v>
      </c>
      <c r="GE754">
        <v>0.90430272704175985</v>
      </c>
      <c r="GF754">
        <v>4.1730610630802039</v>
      </c>
      <c r="GG754">
        <v>4.4786355667431135</v>
      </c>
      <c r="GH754">
        <v>7.6426954455232705</v>
      </c>
      <c r="GI754">
        <v>31.744447806071406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14.484508547008549</v>
      </c>
      <c r="AO755">
        <v>123.83496469766381</v>
      </c>
      <c r="AP755">
        <v>937.12985650049836</v>
      </c>
      <c r="AQ755">
        <v>240.46994708379879</v>
      </c>
      <c r="AR755">
        <v>114.82148337192355</v>
      </c>
      <c r="AS755">
        <v>693.52200686821834</v>
      </c>
      <c r="AT755" t="e">
        <v>#DIV/0!</v>
      </c>
      <c r="AU755" t="e">
        <v>#DIV/0!</v>
      </c>
      <c r="AV755"/>
      <c r="AW755"/>
      <c r="FY755" s="211">
        <v>750</v>
      </c>
      <c r="FZ755">
        <v>41.15876887522063</v>
      </c>
      <c r="GA755">
        <v>42.296221080822377</v>
      </c>
      <c r="GB755">
        <v>27.763070947672642</v>
      </c>
      <c r="GC755">
        <v>2.2460949618179775</v>
      </c>
      <c r="GD755">
        <v>0.39415375363164218</v>
      </c>
      <c r="GE755">
        <v>0.63189757888269948</v>
      </c>
      <c r="GF755">
        <v>3.3385442065674527</v>
      </c>
      <c r="GG755">
        <v>3.7053249552744782</v>
      </c>
      <c r="GH755">
        <v>7.6426954455232705</v>
      </c>
      <c r="GI755">
        <v>35.324867447628399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14.940892094017093</v>
      </c>
      <c r="AO756">
        <v>164.86252355999562</v>
      </c>
      <c r="AP756">
        <v>1435.6285350418261</v>
      </c>
      <c r="AQ756">
        <v>222.81697569426871</v>
      </c>
      <c r="AR756">
        <v>152.92553775349523</v>
      </c>
      <c r="AS756">
        <v>759.99689849349738</v>
      </c>
      <c r="AT756" t="e">
        <v>#DIV/0!</v>
      </c>
      <c r="AU756" t="e">
        <v>#DIV/0!</v>
      </c>
      <c r="AV756"/>
      <c r="AW756"/>
      <c r="FY756" s="211">
        <v>751</v>
      </c>
      <c r="FZ756">
        <v>64.154405563769416</v>
      </c>
      <c r="GA756">
        <v>67.051021056534324</v>
      </c>
      <c r="GB756">
        <v>62.905554852692269</v>
      </c>
      <c r="GC756">
        <v>4.4092337073631036</v>
      </c>
      <c r="GD756">
        <v>0.44946032835096039</v>
      </c>
      <c r="GE756">
        <v>0.60690566123841772</v>
      </c>
      <c r="GF756">
        <v>2.176736335762846</v>
      </c>
      <c r="GG756">
        <v>4.0919802610087963</v>
      </c>
      <c r="GH756">
        <v>7.2288376019830025</v>
      </c>
      <c r="GI756">
        <v>61.921849835265043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18.860937500000002</v>
      </c>
      <c r="AO757">
        <v>150.59590243058949</v>
      </c>
      <c r="AP757">
        <v>736.01837380858183</v>
      </c>
      <c r="AQ757">
        <v>272.81441959290015</v>
      </c>
      <c r="AR757">
        <v>139.76095297608143</v>
      </c>
      <c r="AS757">
        <v>1162.562648688903</v>
      </c>
      <c r="AT757" t="e">
        <v>#DIV/0!</v>
      </c>
      <c r="AU757" t="e">
        <v>#DIV/0!</v>
      </c>
      <c r="AV757"/>
      <c r="AW757"/>
      <c r="FY757" s="211">
        <v>752</v>
      </c>
      <c r="FZ757">
        <v>37.693195076022597</v>
      </c>
      <c r="GA757">
        <v>40.884616927101717</v>
      </c>
      <c r="GB757">
        <v>22.093272599099823</v>
      </c>
      <c r="GC757">
        <v>1.6792410577355059</v>
      </c>
      <c r="GD757">
        <v>0.17077908585929022</v>
      </c>
      <c r="GE757">
        <v>9.3701609150658172E-2</v>
      </c>
      <c r="GF757">
        <v>2.8594870570667958</v>
      </c>
      <c r="GG757">
        <v>7.2415795077997416</v>
      </c>
      <c r="GH757">
        <v>15.285390891046541</v>
      </c>
      <c r="GI757">
        <v>26.751818077290086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12.052350427350429</v>
      </c>
      <c r="AO758">
        <v>73.910425180177555</v>
      </c>
      <c r="AP758">
        <v>367.7443393206064</v>
      </c>
      <c r="AQ758">
        <v>178.24793596578172</v>
      </c>
      <c r="AR758">
        <v>68.700788358732751</v>
      </c>
      <c r="AS758">
        <v>394.84281663455135</v>
      </c>
      <c r="AT758" t="e">
        <v>#DIV/0!</v>
      </c>
      <c r="AU758" t="e">
        <v>#DIV/0!</v>
      </c>
      <c r="AV758"/>
      <c r="AW758"/>
      <c r="FY758" s="211">
        <v>753</v>
      </c>
      <c r="FZ758">
        <v>32.525964636343375</v>
      </c>
      <c r="GA758">
        <v>40.569801464725963</v>
      </c>
      <c r="GB758">
        <v>19.797247416454191</v>
      </c>
      <c r="GC758">
        <v>3.2952134352159979</v>
      </c>
      <c r="GD758">
        <v>0.402990011939383</v>
      </c>
      <c r="GE758">
        <v>0.4786147090076619</v>
      </c>
      <c r="GF758">
        <v>3.3242581063582124</v>
      </c>
      <c r="GG758">
        <v>7.426415982786942</v>
      </c>
      <c r="GH758">
        <v>13.225583625167928</v>
      </c>
      <c r="GI758">
        <v>28.77942637287132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13.259508547008545</v>
      </c>
      <c r="AO759">
        <v>150.67800173919568</v>
      </c>
      <c r="AP759">
        <v>1054.6155532511657</v>
      </c>
      <c r="AQ759">
        <v>190.95496380534416</v>
      </c>
      <c r="AR759">
        <v>139.76735424625977</v>
      </c>
      <c r="AS759">
        <v>809.1755086773843</v>
      </c>
      <c r="AT759" t="e">
        <v>#DIV/0!</v>
      </c>
      <c r="AU759" t="e">
        <v>#DIV/0!</v>
      </c>
      <c r="AV759"/>
      <c r="AW759"/>
      <c r="FY759" s="211">
        <v>754</v>
      </c>
      <c r="FZ759">
        <v>23.077613610133366</v>
      </c>
      <c r="GA759">
        <v>34.935654736688235</v>
      </c>
      <c r="GB759">
        <v>33.595266788186748</v>
      </c>
      <c r="GC759">
        <v>1.3749991201857437</v>
      </c>
      <c r="GD759">
        <v>0.19672523687133531</v>
      </c>
      <c r="GE759">
        <v>0.40530055894555084</v>
      </c>
      <c r="GF759">
        <v>1.6562859931174834</v>
      </c>
      <c r="GG759">
        <v>8.8118091036555146</v>
      </c>
      <c r="GH759">
        <v>12.811725781627663</v>
      </c>
      <c r="GI759">
        <v>29.212287628848436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13.212072649572651</v>
      </c>
      <c r="AO760">
        <v>119.32213668084356</v>
      </c>
      <c r="AP760">
        <v>869.60675687382468</v>
      </c>
      <c r="AQ760">
        <v>181.85413541961137</v>
      </c>
      <c r="AR760">
        <v>110.61114139117049</v>
      </c>
      <c r="AS760">
        <v>881.09570257132441</v>
      </c>
      <c r="AT760" t="e">
        <v>#DIV/0!</v>
      </c>
      <c r="AU760" t="e">
        <v>#DIV/0!</v>
      </c>
      <c r="AV760"/>
      <c r="AW760"/>
      <c r="FY760" s="211">
        <v>755</v>
      </c>
      <c r="FZ760">
        <v>42.245296786003948</v>
      </c>
      <c r="GA760">
        <v>50.58769104034802</v>
      </c>
      <c r="GB760">
        <v>41.927573771277238</v>
      </c>
      <c r="GC760">
        <v>3.8033933406431002</v>
      </c>
      <c r="GD760">
        <v>0.48695373047700274</v>
      </c>
      <c r="GE760">
        <v>0.35488797216790446</v>
      </c>
      <c r="GF760">
        <v>2.803658535753665</v>
      </c>
      <c r="GG760">
        <v>10.543266801579986</v>
      </c>
      <c r="GH760">
        <v>14.780195160280819</v>
      </c>
      <c r="GI760">
        <v>44.369365402794529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14.377430555555554</v>
      </c>
      <c r="AO761">
        <v>81.283394687697864</v>
      </c>
      <c r="AP761">
        <v>423.46142288241145</v>
      </c>
      <c r="AQ761">
        <v>233.46631465844712</v>
      </c>
      <c r="AR761">
        <v>75.337193607184474</v>
      </c>
      <c r="AS761">
        <v>753.05053843935241</v>
      </c>
      <c r="AT761" t="e">
        <v>#DIV/0!</v>
      </c>
      <c r="AU761" t="e">
        <v>#DIV/0!</v>
      </c>
      <c r="AV761"/>
      <c r="AW761"/>
      <c r="FY761" s="211">
        <v>756</v>
      </c>
      <c r="FZ761">
        <v>38.779722986805915</v>
      </c>
      <c r="GA761">
        <v>43.245111677737206</v>
      </c>
      <c r="GB761">
        <v>46.800825022463414</v>
      </c>
      <c r="GC761">
        <v>1.0136996888062209</v>
      </c>
      <c r="GD761">
        <v>0.14212194204098866</v>
      </c>
      <c r="GE761">
        <v>0.15784708526603611</v>
      </c>
      <c r="GF761">
        <v>1.0259273963560593</v>
      </c>
      <c r="GG761">
        <v>2.0459901305043982</v>
      </c>
      <c r="GH761">
        <v>3.6144188009915013</v>
      </c>
      <c r="GI761">
        <v>37.735590896764421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9.5756143162393155</v>
      </c>
      <c r="AO762">
        <v>51.471368328971472</v>
      </c>
      <c r="AP762">
        <v>431.65872652320013</v>
      </c>
      <c r="AQ762">
        <v>174.62571315711412</v>
      </c>
      <c r="AR762">
        <v>47.718752569813383</v>
      </c>
      <c r="AS762">
        <v>297.41823883286258</v>
      </c>
      <c r="AT762" t="e">
        <v>#DIV/0!</v>
      </c>
      <c r="AU762" t="e">
        <v>#DIV/0!</v>
      </c>
      <c r="AV762"/>
      <c r="AW762"/>
      <c r="FY762" s="211">
        <v>757</v>
      </c>
      <c r="FZ762">
        <v>16.379498624606079</v>
      </c>
      <c r="GA762">
        <v>21.379407170589467</v>
      </c>
      <c r="GB762">
        <v>51.079876203293608</v>
      </c>
      <c r="GC762">
        <v>1.3883329577625925</v>
      </c>
      <c r="GD762">
        <v>0.3503944300263212</v>
      </c>
      <c r="GE762">
        <v>0.49900216809620901</v>
      </c>
      <c r="GF762">
        <v>2.7344562860568837</v>
      </c>
      <c r="GG762">
        <v>9.713599389194945</v>
      </c>
      <c r="GH762">
        <v>14.780195160280819</v>
      </c>
      <c r="GI762">
        <v>50.584821345395071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13.664022435897433</v>
      </c>
      <c r="AO763">
        <v>73.830034320643861</v>
      </c>
      <c r="AP763">
        <v>298.78815582274939</v>
      </c>
      <c r="AQ763">
        <v>209.0806746197193</v>
      </c>
      <c r="AR763">
        <v>68.691902441329589</v>
      </c>
      <c r="AS763">
        <v>730.97838640730743</v>
      </c>
      <c r="AT763" t="e">
        <v>#DIV/0!</v>
      </c>
      <c r="AU763" t="e">
        <v>#DIV/0!</v>
      </c>
      <c r="AV763"/>
      <c r="AW763"/>
      <c r="FY763" s="211">
        <v>758</v>
      </c>
      <c r="FZ763">
        <v>32.645890068509736</v>
      </c>
      <c r="GA763">
        <v>35.152460570163143</v>
      </c>
      <c r="GB763">
        <v>21.68829329936883</v>
      </c>
      <c r="GC763">
        <v>2.6755237899112663</v>
      </c>
      <c r="GD763">
        <v>0.16806809305303377</v>
      </c>
      <c r="GE763">
        <v>0.35488797216790446</v>
      </c>
      <c r="GF763">
        <v>1.8738179812524622</v>
      </c>
      <c r="GG763">
        <v>2.8756575428894382</v>
      </c>
      <c r="GH763">
        <v>11.67097209005504</v>
      </c>
      <c r="GI763">
        <v>28.325692828180092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11.781730769230766</v>
      </c>
      <c r="AO764">
        <v>153.00370648865922</v>
      </c>
      <c r="AP764">
        <v>944.35275976906985</v>
      </c>
      <c r="AQ764">
        <v>184.160061126627</v>
      </c>
      <c r="AR764">
        <v>141.97801315908703</v>
      </c>
      <c r="AS764">
        <v>1085.9131761123961</v>
      </c>
      <c r="AT764" t="e">
        <v>#DIV/0!</v>
      </c>
      <c r="AU764" t="e">
        <v>#DIV/0!</v>
      </c>
      <c r="AV764"/>
      <c r="AW764"/>
      <c r="FY764" s="211">
        <v>759</v>
      </c>
      <c r="FZ764">
        <v>43.827027994318769</v>
      </c>
      <c r="GA764">
        <v>55.120263587031943</v>
      </c>
      <c r="GB764">
        <v>52.993506626737492</v>
      </c>
      <c r="GC764">
        <v>2.0698227779573766</v>
      </c>
      <c r="GD764">
        <v>0.12159777664145635</v>
      </c>
      <c r="GE764">
        <v>0.12325774218593843</v>
      </c>
      <c r="GF764">
        <v>1.9961754993581731</v>
      </c>
      <c r="GG764">
        <v>0.82966741238504016</v>
      </c>
      <c r="GH764">
        <v>0</v>
      </c>
      <c r="GI764">
        <v>41.507660887521723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12.625480769230768</v>
      </c>
      <c r="AO765">
        <v>144.97909263309509</v>
      </c>
      <c r="AP765">
        <v>1162.0360629869922</v>
      </c>
      <c r="AQ765">
        <v>183.54504613567966</v>
      </c>
      <c r="AR765">
        <v>134.3957695688585</v>
      </c>
      <c r="AS765">
        <v>822.32115433428407</v>
      </c>
      <c r="AT765" t="e">
        <v>#DIV/0!</v>
      </c>
      <c r="AU765" t="e">
        <v>#DIV/0!</v>
      </c>
      <c r="AV765"/>
      <c r="AW765"/>
      <c r="FY765" s="211">
        <v>760</v>
      </c>
      <c r="FZ765">
        <v>36.555820502772534</v>
      </c>
      <c r="GA765">
        <v>37.630716843309749</v>
      </c>
      <c r="GB765">
        <v>31.112488999191992</v>
      </c>
      <c r="GC765">
        <v>3.0043840406725986</v>
      </c>
      <c r="GD765">
        <v>0.46030429957598595</v>
      </c>
      <c r="GE765">
        <v>0.18787221295513531</v>
      </c>
      <c r="GF765">
        <v>0.46492027725060159</v>
      </c>
      <c r="GG765">
        <v>3.8338046293452734</v>
      </c>
      <c r="GH765">
        <v>5.582888179644657</v>
      </c>
      <c r="GI765">
        <v>30.859630475125286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12.613848824786324</v>
      </c>
      <c r="AO766">
        <v>83.878589154749349</v>
      </c>
      <c r="AP766">
        <v>450.92141727790931</v>
      </c>
      <c r="AQ766">
        <v>164.50163925304156</v>
      </c>
      <c r="AR766">
        <v>77.777021459267061</v>
      </c>
      <c r="AS766">
        <v>751.59783448601922</v>
      </c>
      <c r="AT766" t="e">
        <v>#DIV/0!</v>
      </c>
      <c r="AU766" t="e">
        <v>#DIV/0!</v>
      </c>
      <c r="AV766"/>
      <c r="AW766"/>
      <c r="FY766" s="211">
        <v>761</v>
      </c>
      <c r="FZ766">
        <v>41.943185403435564</v>
      </c>
      <c r="GA766">
        <v>43.05949431730005</v>
      </c>
      <c r="GB766">
        <v>46.338303619696418</v>
      </c>
      <c r="GC766">
        <v>1.4132913510552179</v>
      </c>
      <c r="GD766">
        <v>9.5651625629411249E-2</v>
      </c>
      <c r="GE766">
        <v>0.19243642834613378</v>
      </c>
      <c r="GF766">
        <v>1.1770796156576415</v>
      </c>
      <c r="GG766">
        <v>4.6071152408139096</v>
      </c>
      <c r="GH766">
        <v>9.6111648241764271</v>
      </c>
      <c r="GI766">
        <v>40.734934370165277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18.771621260683762</v>
      </c>
      <c r="AO767">
        <v>160.52103213834604</v>
      </c>
      <c r="AP767">
        <v>1091.7563847287779</v>
      </c>
      <c r="AQ767">
        <v>274.99598520396819</v>
      </c>
      <c r="AR767">
        <v>148.73094070419077</v>
      </c>
      <c r="AS767">
        <v>1198.1929322777528</v>
      </c>
      <c r="AT767" t="e">
        <v>#DIV/0!</v>
      </c>
      <c r="AU767" t="e">
        <v>#DIV/0!</v>
      </c>
      <c r="AV767"/>
      <c r="AW767"/>
      <c r="FY767" s="211">
        <v>762</v>
      </c>
      <c r="FZ767">
        <v>34.64965809155931</v>
      </c>
      <c r="GA767">
        <v>43.207493099052883</v>
      </c>
      <c r="GB767">
        <v>30.778047219556594</v>
      </c>
      <c r="GC767">
        <v>2.0369461405485962</v>
      </c>
      <c r="GD767">
        <v>9.5651625629411249E-2</v>
      </c>
      <c r="GE767">
        <v>0.4786147090076619</v>
      </c>
      <c r="GF767">
        <v>3.3242581063582124</v>
      </c>
      <c r="GG767">
        <v>9.472406113291342</v>
      </c>
      <c r="GH767">
        <v>16.840002426159433</v>
      </c>
      <c r="GI767">
        <v>40.055335910485269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10.523437499999998</v>
      </c>
      <c r="AO768">
        <v>103.48095449408497</v>
      </c>
      <c r="AP768">
        <v>745.20823768793957</v>
      </c>
      <c r="AQ768">
        <v>154.75308188817277</v>
      </c>
      <c r="AR768">
        <v>96.083406707257808</v>
      </c>
      <c r="AS768">
        <v>879.78790053189823</v>
      </c>
      <c r="AT768" t="e">
        <v>#DIV/0!</v>
      </c>
      <c r="AU768" t="e">
        <v>#DIV/0!</v>
      </c>
      <c r="AV768"/>
      <c r="AW768"/>
      <c r="FY768" s="211">
        <v>763</v>
      </c>
      <c r="FZ768">
        <v>37.422213952572037</v>
      </c>
      <c r="GA768">
        <v>40.596204447754829</v>
      </c>
      <c r="GB768">
        <v>62.235122024566806</v>
      </c>
      <c r="GC768">
        <v>2.212300651025719</v>
      </c>
      <c r="GD768">
        <v>0.29850212800223097</v>
      </c>
      <c r="GE768">
        <v>0.6960430549980775</v>
      </c>
      <c r="GF768">
        <v>3.1174265937026848</v>
      </c>
      <c r="GG768">
        <v>9.7869385458712674</v>
      </c>
      <c r="GH768">
        <v>22.514228493029542</v>
      </c>
      <c r="GI768">
        <v>57.741666837122089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13.357425213675214</v>
      </c>
      <c r="AO769">
        <v>133.63460045465735</v>
      </c>
      <c r="AP769">
        <v>994.62574545530947</v>
      </c>
      <c r="AQ769">
        <v>149.82551576087096</v>
      </c>
      <c r="AR769">
        <v>123.91635181095383</v>
      </c>
      <c r="AS769">
        <v>778.13626434059495</v>
      </c>
      <c r="AT769" t="e">
        <v>#DIV/0!</v>
      </c>
      <c r="AU769" t="e">
        <v>#DIV/0!</v>
      </c>
      <c r="AV769"/>
      <c r="AW769"/>
      <c r="FY769" s="211">
        <v>764</v>
      </c>
      <c r="FZ769">
        <v>25.796719391698247</v>
      </c>
      <c r="GA769">
        <v>31.635720072706405</v>
      </c>
      <c r="GB769">
        <v>52.504212008470148</v>
      </c>
      <c r="GC769">
        <v>2.6257463580921292</v>
      </c>
      <c r="GD769">
        <v>0.32444827901427609</v>
      </c>
      <c r="GE769">
        <v>0.38491309985700373</v>
      </c>
      <c r="GF769">
        <v>2.0249702005540442</v>
      </c>
      <c r="GG769">
        <v>9.5287629142077463</v>
      </c>
      <c r="GH769">
        <v>16.840002426159433</v>
      </c>
      <c r="GI769">
        <v>42.052588635128032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7.9818643162393155</v>
      </c>
      <c r="AO770">
        <v>66.171555901945382</v>
      </c>
      <c r="AP770">
        <v>752.02297879150967</v>
      </c>
      <c r="AQ770">
        <v>146.07766855826009</v>
      </c>
      <c r="AR770">
        <v>61.355290207080458</v>
      </c>
      <c r="AS770">
        <v>302.36250924143059</v>
      </c>
      <c r="AT770" t="e">
        <v>#DIV/0!</v>
      </c>
      <c r="AU770" t="e">
        <v>#DIV/0!</v>
      </c>
      <c r="AV770"/>
      <c r="AW770"/>
      <c r="FY770" s="211">
        <v>765</v>
      </c>
      <c r="FZ770">
        <v>30.008761208529432</v>
      </c>
      <c r="GA770">
        <v>34.087573362824145</v>
      </c>
      <c r="GB770">
        <v>13.301903656837666</v>
      </c>
      <c r="GC770">
        <v>1.4572391701357768</v>
      </c>
      <c r="GD770">
        <v>0.11888678383519996</v>
      </c>
      <c r="GE770">
        <v>9.3701609150658172E-2</v>
      </c>
      <c r="GF770">
        <v>2.342323883232853</v>
      </c>
      <c r="GG770">
        <v>4.5349923676595187</v>
      </c>
      <c r="GH770">
        <v>7.6426954455232705</v>
      </c>
      <c r="GI770">
        <v>18.347868745574615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16.000347222222224</v>
      </c>
      <c r="AO771">
        <v>112.92613485053505</v>
      </c>
      <c r="AP771">
        <v>854.63038705005886</v>
      </c>
      <c r="AQ771">
        <v>211.90228254132623</v>
      </c>
      <c r="AR771">
        <v>104.71442997199779</v>
      </c>
      <c r="AS771">
        <v>663.5748215982245</v>
      </c>
      <c r="AT771" t="e">
        <v>#DIV/0!</v>
      </c>
      <c r="AU771" t="e">
        <v>#DIV/0!</v>
      </c>
      <c r="AV771"/>
      <c r="AW771"/>
      <c r="FY771" s="211">
        <v>766</v>
      </c>
      <c r="FZ771">
        <v>26.543187409331395</v>
      </c>
      <c r="GA771">
        <v>29.992242994586697</v>
      </c>
      <c r="GB771">
        <v>57.386513067863987</v>
      </c>
      <c r="GC771">
        <v>2.43156371114795</v>
      </c>
      <c r="GD771">
        <v>9.5651625629411249E-2</v>
      </c>
      <c r="GE771">
        <v>0.25615315297242891</v>
      </c>
      <c r="GF771">
        <v>3.8295859321097243</v>
      </c>
      <c r="GG771">
        <v>4.4222787658267091</v>
      </c>
      <c r="GH771">
        <v>3.6144188009915013</v>
      </c>
      <c r="GI771">
        <v>51.544674670183355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9.0706597222222225</v>
      </c>
      <c r="AO772">
        <v>101.78890774281899</v>
      </c>
      <c r="AP772">
        <v>724.55418617489636</v>
      </c>
      <c r="AQ772">
        <v>174.56125562773616</v>
      </c>
      <c r="AR772">
        <v>94.350638631358095</v>
      </c>
      <c r="AS772">
        <v>429.36477192853084</v>
      </c>
      <c r="AT772" t="e">
        <v>#DIV/0!</v>
      </c>
      <c r="AU772" t="e">
        <v>#DIV/0!</v>
      </c>
      <c r="AV772"/>
      <c r="AW772"/>
      <c r="FY772" s="211">
        <v>767</v>
      </c>
      <c r="FZ772">
        <v>33.241302394858693</v>
      </c>
      <c r="GA772">
        <v>41.71284572003276</v>
      </c>
      <c r="GB772">
        <v>36.209540937756529</v>
      </c>
      <c r="GC772">
        <v>2.9530774541519005</v>
      </c>
      <c r="GD772">
        <v>0.42893616295142811</v>
      </c>
      <c r="GE772">
        <v>0.44905857597238164</v>
      </c>
      <c r="GF772">
        <v>2.2722092617104828</v>
      </c>
      <c r="GG772">
        <v>8.5142590268355036</v>
      </c>
      <c r="GH772">
        <v>18.899809692038044</v>
      </c>
      <c r="GI772">
        <v>36.970639154889582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15.718576388888888</v>
      </c>
      <c r="AO773">
        <v>106.89920395720313</v>
      </c>
      <c r="AP773">
        <v>630.53991116568136</v>
      </c>
      <c r="AQ773">
        <v>168.88958373530198</v>
      </c>
      <c r="AR773">
        <v>99.062830798029196</v>
      </c>
      <c r="AS773">
        <v>1104.4047007850486</v>
      </c>
      <c r="AT773" t="e">
        <v>#DIV/0!</v>
      </c>
      <c r="AU773" t="e">
        <v>#DIV/0!</v>
      </c>
      <c r="AV773"/>
      <c r="AW773"/>
      <c r="FY773" s="211">
        <v>768</v>
      </c>
      <c r="FZ773">
        <v>28.39589974109677</v>
      </c>
      <c r="GA773">
        <v>30.505877308914034</v>
      </c>
      <c r="GB773">
        <v>30.495125822966447</v>
      </c>
      <c r="GC773">
        <v>1.9672096049159804</v>
      </c>
      <c r="GD773">
        <v>0.16535710024677736</v>
      </c>
      <c r="GE773">
        <v>0.38444410520318484</v>
      </c>
      <c r="GF773">
        <v>3.8034644838180549</v>
      </c>
      <c r="GG773">
        <v>4.4786355667431135</v>
      </c>
      <c r="GH773">
        <v>3.6144188009915013</v>
      </c>
      <c r="GI773">
        <v>24.707235789532042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11.751095085470084</v>
      </c>
      <c r="AO774">
        <v>105.48793392532488</v>
      </c>
      <c r="AP774">
        <v>603.62461894751959</v>
      </c>
      <c r="AQ774">
        <v>137.43126423555094</v>
      </c>
      <c r="AR774">
        <v>97.977580537251711</v>
      </c>
      <c r="AS774">
        <v>1003.3595109312258</v>
      </c>
      <c r="AT774" t="e">
        <v>#DIV/0!</v>
      </c>
      <c r="AU774" t="e">
        <v>#DIV/0!</v>
      </c>
      <c r="AV774"/>
      <c r="AW774"/>
      <c r="FY774" s="211">
        <v>769</v>
      </c>
      <c r="FZ774">
        <v>43.978083685602968</v>
      </c>
      <c r="GA774">
        <v>50.58769104034802</v>
      </c>
      <c r="GB774">
        <v>27.699243976449058</v>
      </c>
      <c r="GC774">
        <v>2.9660918098031246</v>
      </c>
      <c r="GD774">
        <v>0.45488231396347317</v>
      </c>
      <c r="GE774">
        <v>0.37574442591027063</v>
      </c>
      <c r="GF774">
        <v>0.87759765791786248</v>
      </c>
      <c r="GG774">
        <v>5.7513150857788764</v>
      </c>
      <c r="GH774">
        <v>11.257114246514771</v>
      </c>
      <c r="GI774">
        <v>38.817420856654493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12.348611111111111</v>
      </c>
      <c r="AO775">
        <v>132.9581345192812</v>
      </c>
      <c r="AP775">
        <v>969.51090836173717</v>
      </c>
      <c r="AQ775">
        <v>198.58898030413792</v>
      </c>
      <c r="AR775">
        <v>123.28110241359549</v>
      </c>
      <c r="AS775">
        <v>894.75481078895427</v>
      </c>
      <c r="AT775" t="e">
        <v>#DIV/0!</v>
      </c>
      <c r="AU775" t="e">
        <v>#DIV/0!</v>
      </c>
      <c r="AV775"/>
      <c r="AW775"/>
      <c r="FY775" s="211">
        <v>770</v>
      </c>
      <c r="FZ775">
        <v>48.127864984198467</v>
      </c>
      <c r="GA775">
        <v>52.257571101496588</v>
      </c>
      <c r="GB775">
        <v>59.243866848087606</v>
      </c>
      <c r="GC775">
        <v>3.3100183202203235</v>
      </c>
      <c r="GD775">
        <v>0.34768343722006478</v>
      </c>
      <c r="GE775">
        <v>0.64609946287425002</v>
      </c>
      <c r="GF775">
        <v>2.7108588627102295</v>
      </c>
      <c r="GG775">
        <v>10.78446007748359</v>
      </c>
      <c r="GH775">
        <v>24.805217827997517</v>
      </c>
      <c r="GI775">
        <v>60.11908960007672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8.7395833333333339</v>
      </c>
      <c r="AO776">
        <v>109.42168394399695</v>
      </c>
      <c r="AP776">
        <v>963.68130461034934</v>
      </c>
      <c r="AQ776">
        <v>149.6928304598438</v>
      </c>
      <c r="AR776">
        <v>101.50434503153708</v>
      </c>
      <c r="AS776">
        <v>629.64832094204428</v>
      </c>
      <c r="AT776" t="e">
        <v>#DIV/0!</v>
      </c>
      <c r="AU776" t="e">
        <v>#DIV/0!</v>
      </c>
      <c r="AV776"/>
      <c r="AW776"/>
      <c r="FY776" s="211">
        <v>771</v>
      </c>
      <c r="FZ776">
        <v>0</v>
      </c>
      <c r="GA776">
        <v>6.1429955523561777</v>
      </c>
      <c r="GB776">
        <v>89.750273252112407</v>
      </c>
      <c r="GC776">
        <v>1.8336629684452497</v>
      </c>
      <c r="GD776">
        <v>0.14483293484724508</v>
      </c>
      <c r="GE776">
        <v>0.41446923289228399</v>
      </c>
      <c r="GF776">
        <v>2.338738258503064</v>
      </c>
      <c r="GG776">
        <v>1.6029780238536757</v>
      </c>
      <c r="GH776">
        <v>4.0282766445317693</v>
      </c>
      <c r="GI776">
        <v>60.138254890012746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10.178779380341878</v>
      </c>
      <c r="AO777">
        <v>90.858732602896424</v>
      </c>
      <c r="AP777">
        <v>554.10504706356767</v>
      </c>
      <c r="AQ777">
        <v>189.17265679627604</v>
      </c>
      <c r="AR777">
        <v>84.321247662960175</v>
      </c>
      <c r="AS777">
        <v>639.94909233129499</v>
      </c>
      <c r="AT777" t="e">
        <v>#DIV/0!</v>
      </c>
      <c r="AU777" t="e">
        <v>#DIV/0!</v>
      </c>
      <c r="AV777"/>
      <c r="AW777"/>
      <c r="FY777" s="211">
        <v>772</v>
      </c>
      <c r="FZ777">
        <v>35.840482744257216</v>
      </c>
      <c r="GA777">
        <v>38.535337772121665</v>
      </c>
      <c r="GB777">
        <v>43.581451578694512</v>
      </c>
      <c r="GC777">
        <v>2.4632180768660419</v>
      </c>
      <c r="GD777">
        <v>0.29850212800223097</v>
      </c>
      <c r="GE777">
        <v>0.25201768907051325</v>
      </c>
      <c r="GF777">
        <v>2.549155395888381</v>
      </c>
      <c r="GG777">
        <v>8.3124401960883869</v>
      </c>
      <c r="GH777">
        <v>17.253860269699697</v>
      </c>
      <c r="GI777">
        <v>43.938076467449726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12.468376068376067</v>
      </c>
      <c r="AO778">
        <v>66.102244071326879</v>
      </c>
      <c r="AP778">
        <v>408.2108275114627</v>
      </c>
      <c r="AQ778">
        <v>180.93841344164872</v>
      </c>
      <c r="AR778">
        <v>61.270381139960826</v>
      </c>
      <c r="AS778">
        <v>540.45221824042824</v>
      </c>
      <c r="AT778" t="e">
        <v>#DIV/0!</v>
      </c>
      <c r="AU778" t="e">
        <v>#DIV/0!</v>
      </c>
      <c r="AV778"/>
      <c r="AW778"/>
      <c r="FY778" s="211">
        <v>773</v>
      </c>
      <c r="FZ778">
        <v>29.413348882180479</v>
      </c>
      <c r="GA778">
        <v>29.362833053607233</v>
      </c>
      <c r="GB778">
        <v>49.665407940146217</v>
      </c>
      <c r="GC778">
        <v>1.8025554804884218</v>
      </c>
      <c r="GD778">
        <v>0.27255597699018586</v>
      </c>
      <c r="GE778">
        <v>9.3701609150658172E-2</v>
      </c>
      <c r="GF778">
        <v>1.520405518668936</v>
      </c>
      <c r="GG778">
        <v>11.24445453989423</v>
      </c>
      <c r="GH778">
        <v>28.097116672674204</v>
      </c>
      <c r="GI778">
        <v>52.858546274320247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14.993189102564102</v>
      </c>
      <c r="AO779">
        <v>103.79528688601741</v>
      </c>
      <c r="AP779">
        <v>817.80795327349176</v>
      </c>
      <c r="AQ779">
        <v>236.62064672864531</v>
      </c>
      <c r="AR779">
        <v>96.379064676379642</v>
      </c>
      <c r="AS779">
        <v>753.45589894891634</v>
      </c>
      <c r="AT779" t="e">
        <v>#DIV/0!</v>
      </c>
      <c r="AU779" t="e">
        <v>#DIV/0!</v>
      </c>
      <c r="AV779"/>
      <c r="AW779"/>
      <c r="FY779" s="211">
        <v>774</v>
      </c>
      <c r="FZ779">
        <v>31.741548108128448</v>
      </c>
      <c r="GA779">
        <v>39.806528228248283</v>
      </c>
      <c r="GB779">
        <v>37.591109392351285</v>
      </c>
      <c r="GC779">
        <v>1.2817626397732285</v>
      </c>
      <c r="GD779">
        <v>2.3235158205788711E-2</v>
      </c>
      <c r="GE779">
        <v>0.12325774218593843</v>
      </c>
      <c r="GF779">
        <v>2.4349743283171041</v>
      </c>
      <c r="GG779">
        <v>1.6593348247700803</v>
      </c>
      <c r="GH779">
        <v>8.0565532890635385</v>
      </c>
      <c r="GI779">
        <v>32.550517093248885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13.810763888888889</v>
      </c>
      <c r="AO780">
        <v>161.46716566609021</v>
      </c>
      <c r="AP780">
        <v>1155.7910030592936</v>
      </c>
      <c r="AQ780">
        <v>183.7180833858875</v>
      </c>
      <c r="AR780">
        <v>149.85313358196512</v>
      </c>
      <c r="AS780">
        <v>809.89302641638415</v>
      </c>
      <c r="AT780" t="e">
        <v>#DIV/0!</v>
      </c>
      <c r="AU780" t="e">
        <v>#DIV/0!</v>
      </c>
      <c r="AV780"/>
      <c r="AW780"/>
      <c r="FY780" s="211">
        <v>775</v>
      </c>
      <c r="FZ780">
        <v>30.642122045460162</v>
      </c>
      <c r="GA780">
        <v>34.652027747350232</v>
      </c>
      <c r="GB780">
        <v>50.382951665049326</v>
      </c>
      <c r="GC780">
        <v>3.2219172207783275</v>
      </c>
      <c r="GD780">
        <v>0.28410322810418298</v>
      </c>
      <c r="GE780">
        <v>0.32029862908780687</v>
      </c>
      <c r="GF780">
        <v>3.1174265937026848</v>
      </c>
      <c r="GG780">
        <v>7.7409484153668693</v>
      </c>
      <c r="GH780">
        <v>14.871533047506276</v>
      </c>
      <c r="GI780">
        <v>47.332527507209484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8.0572516025641026</v>
      </c>
      <c r="AO781">
        <v>58.289673337047873</v>
      </c>
      <c r="AP781">
        <v>344.22870576347981</v>
      </c>
      <c r="AQ781">
        <v>111.93594623330313</v>
      </c>
      <c r="AR781">
        <v>54.080419903626961</v>
      </c>
      <c r="AS781">
        <v>589.17301522929847</v>
      </c>
      <c r="AT781" t="e">
        <v>#DIV/0!</v>
      </c>
      <c r="AU781" t="e">
        <v>#DIV/0!</v>
      </c>
      <c r="AV781"/>
      <c r="AW781"/>
      <c r="FY781" s="211">
        <v>776</v>
      </c>
      <c r="FZ781">
        <v>58.291553768923798</v>
      </c>
      <c r="GA781">
        <v>59.034762084841134</v>
      </c>
      <c r="GB781">
        <v>29.188985359024951</v>
      </c>
      <c r="GC781">
        <v>0.93024996608025101</v>
      </c>
      <c r="GD781">
        <v>0.24048456047665634</v>
      </c>
      <c r="GE781">
        <v>0.75515532106863803</v>
      </c>
      <c r="GF781">
        <v>4.9220423252583654</v>
      </c>
      <c r="GG781">
        <v>6.7094621722347103</v>
      </c>
      <c r="GH781">
        <v>9.1973069806361583</v>
      </c>
      <c r="GI781">
        <v>40.931125204374311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14.538421474358975</v>
      </c>
      <c r="AO782">
        <v>106.78379659036291</v>
      </c>
      <c r="AP782">
        <v>593.98441968148552</v>
      </c>
      <c r="AQ782">
        <v>180.11627013064313</v>
      </c>
      <c r="AR782">
        <v>98.943319064403084</v>
      </c>
      <c r="AS782">
        <v>734.62654412512484</v>
      </c>
      <c r="AT782" t="e">
        <v>#DIV/0!</v>
      </c>
      <c r="AU782" t="e">
        <v>#DIV/0!</v>
      </c>
      <c r="AV782"/>
      <c r="AW782"/>
      <c r="FY782" s="211">
        <v>777</v>
      </c>
      <c r="FZ782">
        <v>13.629262583923353</v>
      </c>
      <c r="GA782">
        <v>20.474786241777544</v>
      </c>
      <c r="GB782">
        <v>51.531524348501989</v>
      </c>
      <c r="GC782">
        <v>1.5261642203475945</v>
      </c>
      <c r="GD782">
        <v>0.28695487688823373</v>
      </c>
      <c r="GE782">
        <v>0.69604305499807739</v>
      </c>
      <c r="GF782">
        <v>3.3907871031507932</v>
      </c>
      <c r="GG782">
        <v>3.5926113534416686</v>
      </c>
      <c r="GH782">
        <v>7.6426954455232705</v>
      </c>
      <c r="GI782">
        <v>47.037427290780599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11.567534722222224</v>
      </c>
      <c r="AO783">
        <v>111.66798223031098</v>
      </c>
      <c r="AP783">
        <v>1043.012714470336</v>
      </c>
      <c r="AQ783">
        <v>181.65167838119731</v>
      </c>
      <c r="AR783">
        <v>103.6939396506065</v>
      </c>
      <c r="AS783">
        <v>479.77393454455063</v>
      </c>
      <c r="AT783" t="e">
        <v>#DIV/0!</v>
      </c>
      <c r="AU783" t="e">
        <v>#DIV/0!</v>
      </c>
      <c r="AV783"/>
      <c r="AW783"/>
      <c r="FY783" s="211">
        <v>778</v>
      </c>
      <c r="FZ783">
        <v>24.214988183383429</v>
      </c>
      <c r="GA783">
        <v>33.882204108776726</v>
      </c>
      <c r="GB783">
        <v>73.746983755682876</v>
      </c>
      <c r="GC783">
        <v>4.1603342067115223</v>
      </c>
      <c r="GD783">
        <v>0.3797548537335943</v>
      </c>
      <c r="GE783">
        <v>0.64106625282943253</v>
      </c>
      <c r="GF783">
        <v>3.5821976429941018</v>
      </c>
      <c r="GG783">
        <v>0.77331061146863544</v>
      </c>
      <c r="GH783">
        <v>4.0282766445317693</v>
      </c>
      <c r="GI783">
        <v>60.684209960326029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10.306423611111111</v>
      </c>
      <c r="AO784">
        <v>124.08926407772928</v>
      </c>
      <c r="AP784">
        <v>1059.3724342925741</v>
      </c>
      <c r="AQ784">
        <v>128.51766832442792</v>
      </c>
      <c r="AR784">
        <v>114.99662842188577</v>
      </c>
      <c r="AS784">
        <v>670.54480457652164</v>
      </c>
      <c r="AT784" t="e">
        <v>#DIV/0!</v>
      </c>
      <c r="AU784" t="e">
        <v>#DIV/0!</v>
      </c>
      <c r="AV784"/>
      <c r="AW784"/>
      <c r="FY784" s="211">
        <v>779</v>
      </c>
      <c r="FZ784">
        <v>51.32245765994594</v>
      </c>
      <c r="GA784">
        <v>49.497452751098933</v>
      </c>
      <c r="GB784">
        <v>25.589545719468113</v>
      </c>
      <c r="GC784">
        <v>3.0521749840563785</v>
      </c>
      <c r="GD784">
        <v>0.4228108974499436</v>
      </c>
      <c r="GE784">
        <v>0.52855830113148927</v>
      </c>
      <c r="GF784">
        <v>2.3360650055988628</v>
      </c>
      <c r="GG784">
        <v>3.0604940178766382</v>
      </c>
      <c r="GH784">
        <v>17.667718113239967</v>
      </c>
      <c r="GI784">
        <v>36.87896226333666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11.663675213675214</v>
      </c>
      <c r="AO785">
        <v>34.943677329842359</v>
      </c>
      <c r="AP785">
        <v>346.71383240533351</v>
      </c>
      <c r="AQ785">
        <v>182.76518509894288</v>
      </c>
      <c r="AR785">
        <v>32.496860804377846</v>
      </c>
      <c r="AS785">
        <v>240.0584537463356</v>
      </c>
      <c r="AT785" t="e">
        <v>#DIV/0!</v>
      </c>
      <c r="AU785" t="e">
        <v>#DIV/0!</v>
      </c>
      <c r="AV785"/>
      <c r="AW785"/>
      <c r="FY785" s="211">
        <v>780</v>
      </c>
      <c r="FZ785">
        <v>34.327830305642017</v>
      </c>
      <c r="GA785">
        <v>46.333025998253014</v>
      </c>
      <c r="GB785">
        <v>39.844490454661354</v>
      </c>
      <c r="GC785">
        <v>3.2036753980665988</v>
      </c>
      <c r="GD785">
        <v>0.42009990464368729</v>
      </c>
      <c r="GE785">
        <v>0.8635278088646654</v>
      </c>
      <c r="GF785">
        <v>4.146027242962945</v>
      </c>
      <c r="GG785">
        <v>8.3124401960883869</v>
      </c>
      <c r="GH785">
        <v>13.225583625167928</v>
      </c>
      <c r="GI785">
        <v>42.261117024037574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18.231169871794872</v>
      </c>
      <c r="AO786">
        <v>158.20189993543599</v>
      </c>
      <c r="AP786">
        <v>722.868179734367</v>
      </c>
      <c r="AQ786">
        <v>262.35273052236539</v>
      </c>
      <c r="AR786">
        <v>146.80351774301272</v>
      </c>
      <c r="AS786">
        <v>1176.6106423742947</v>
      </c>
      <c r="AT786" t="e">
        <v>#DIV/0!</v>
      </c>
      <c r="AU786" t="e">
        <v>#DIV/0!</v>
      </c>
      <c r="AV786"/>
      <c r="AW786"/>
      <c r="FY786" s="211">
        <v>781</v>
      </c>
      <c r="FZ786">
        <v>52.339906801029656</v>
      </c>
      <c r="GA786">
        <v>52.237718520563575</v>
      </c>
      <c r="GB786">
        <v>19.248872491469577</v>
      </c>
      <c r="GC786">
        <v>3.4699131499191269</v>
      </c>
      <c r="GD786">
        <v>0.45217132115721692</v>
      </c>
      <c r="GE786">
        <v>0.38491309985700373</v>
      </c>
      <c r="GF786">
        <v>1.3423687072092796</v>
      </c>
      <c r="GG786">
        <v>12.057139596519352</v>
      </c>
      <c r="GH786">
        <v>20.363083339925474</v>
      </c>
      <c r="GI786">
        <v>30.876624310172833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11.869925213675213</v>
      </c>
      <c r="AO787">
        <v>119.64683354122727</v>
      </c>
      <c r="AP787">
        <v>902.23092499821178</v>
      </c>
      <c r="AQ787">
        <v>166.39448175755464</v>
      </c>
      <c r="AR787">
        <v>111.03042005360187</v>
      </c>
      <c r="AS787">
        <v>577.88142420889289</v>
      </c>
      <c r="AT787" t="e">
        <v>#DIV/0!</v>
      </c>
      <c r="AU787" t="e">
        <v>#DIV/0!</v>
      </c>
      <c r="AV787"/>
      <c r="AW787"/>
      <c r="FY787" s="211">
        <v>782</v>
      </c>
      <c r="FZ787">
        <v>23.348594733583923</v>
      </c>
      <c r="GA787">
        <v>22.938076111322765</v>
      </c>
      <c r="GB787">
        <v>23.771505520924936</v>
      </c>
      <c r="GC787">
        <v>1.3147486981526828</v>
      </c>
      <c r="GD787">
        <v>0.34155817171858044</v>
      </c>
      <c r="GE787">
        <v>0.88894847799803023</v>
      </c>
      <c r="GF787">
        <v>2.0545280456163195</v>
      </c>
      <c r="GG787">
        <v>6.7094621722347103</v>
      </c>
      <c r="GH787">
        <v>13.225583625167928</v>
      </c>
      <c r="GI787">
        <v>27.604143453337159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13.788020833333334</v>
      </c>
      <c r="AO788">
        <v>117.5358377231762</v>
      </c>
      <c r="AP788">
        <v>705.45768738509537</v>
      </c>
      <c r="AQ788">
        <v>193.02454231813834</v>
      </c>
      <c r="AR788">
        <v>109.05994085271163</v>
      </c>
      <c r="AS788">
        <v>958.43675057269445</v>
      </c>
      <c r="AT788" t="e">
        <v>#DIV/0!</v>
      </c>
      <c r="AU788" t="e">
        <v>#DIV/0!</v>
      </c>
      <c r="AV788"/>
      <c r="AW788"/>
      <c r="FY788" s="211">
        <v>783</v>
      </c>
      <c r="FZ788">
        <v>20.629488952019038</v>
      </c>
      <c r="GA788">
        <v>27.861635272491284</v>
      </c>
      <c r="GB788">
        <v>33.646942042456743</v>
      </c>
      <c r="GC788">
        <v>4.2077976689289995</v>
      </c>
      <c r="GD788">
        <v>0.65502182353003646</v>
      </c>
      <c r="GE788">
        <v>0.66648692196279713</v>
      </c>
      <c r="GF788">
        <v>2.80709493252427</v>
      </c>
      <c r="GG788">
        <v>7.7973052162832746</v>
      </c>
      <c r="GH788">
        <v>14.871533047506276</v>
      </c>
      <c r="GI788">
        <v>41.823070424204197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15.958159722222224</v>
      </c>
      <c r="AO789">
        <v>109.24201365618333</v>
      </c>
      <c r="AP789">
        <v>504.79116262780639</v>
      </c>
      <c r="AQ789">
        <v>204.33092594812081</v>
      </c>
      <c r="AR789">
        <v>101.33788414983081</v>
      </c>
      <c r="AS789">
        <v>1277.8608944687651</v>
      </c>
      <c r="AT789" t="e">
        <v>#DIV/0!</v>
      </c>
      <c r="AU789" t="e">
        <v>#DIV/0!</v>
      </c>
      <c r="AV789"/>
      <c r="AW789"/>
      <c r="FY789" s="211">
        <v>784</v>
      </c>
      <c r="FZ789">
        <v>71.596385149948759</v>
      </c>
      <c r="GA789">
        <v>73.449595999561964</v>
      </c>
      <c r="GB789">
        <v>42.284318586060344</v>
      </c>
      <c r="GC789">
        <v>2.4391026057475989</v>
      </c>
      <c r="GD789">
        <v>0.52729878138709574</v>
      </c>
      <c r="GE789">
        <v>0.6573182480160642</v>
      </c>
      <c r="GF789">
        <v>1.2436086124502226</v>
      </c>
      <c r="GG789">
        <v>3.8338046293452734</v>
      </c>
      <c r="GH789">
        <v>9.6111648241764271</v>
      </c>
      <c r="GI789">
        <v>48.943708576738736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11.592841880341876</v>
      </c>
      <c r="AO790">
        <v>119.88736560423983</v>
      </c>
      <c r="AP790">
        <v>922.88595039600273</v>
      </c>
      <c r="AQ790">
        <v>155.2688208042926</v>
      </c>
      <c r="AR790">
        <v>111.31923629069428</v>
      </c>
      <c r="AS790">
        <v>897.7896616370258</v>
      </c>
      <c r="AT790" t="e">
        <v>#DIV/0!</v>
      </c>
      <c r="AU790" t="e">
        <v>#DIV/0!</v>
      </c>
      <c r="AV790"/>
      <c r="AW790"/>
      <c r="FY790" s="211">
        <v>785</v>
      </c>
      <c r="FZ790">
        <v>38.559588525822107</v>
      </c>
      <c r="GA790">
        <v>47.097353525920155</v>
      </c>
      <c r="GB790">
        <v>40.672087944965185</v>
      </c>
      <c r="GC790">
        <v>3.1979537033407506</v>
      </c>
      <c r="GD790">
        <v>0.29579113519597461</v>
      </c>
      <c r="GE790">
        <v>0.44905857597238164</v>
      </c>
      <c r="GF790">
        <v>1.1508089394067866</v>
      </c>
      <c r="GG790">
        <v>4.0919802610087963</v>
      </c>
      <c r="GH790">
        <v>11.257114246514771</v>
      </c>
      <c r="GI790">
        <v>35.875571450670172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12.639850427350426</v>
      </c>
      <c r="AO791">
        <v>86.070175893955664</v>
      </c>
      <c r="AP791">
        <v>774.91925968731005</v>
      </c>
      <c r="AQ791">
        <v>192.56585609961536</v>
      </c>
      <c r="AR791">
        <v>79.85489991818045</v>
      </c>
      <c r="AS791">
        <v>452.0038764313025</v>
      </c>
      <c r="AT791" t="e">
        <v>#DIV/0!</v>
      </c>
      <c r="AU791" t="e">
        <v>#DIV/0!</v>
      </c>
      <c r="AV791"/>
      <c r="AW791"/>
      <c r="FY791" s="211">
        <v>786</v>
      </c>
      <c r="FZ791">
        <v>66.60253022188374</v>
      </c>
      <c r="GA791">
        <v>65.72235944079037</v>
      </c>
      <c r="GB791">
        <v>46.275613203348357</v>
      </c>
      <c r="GC791">
        <v>3.8174647244439166</v>
      </c>
      <c r="GD791">
        <v>0.402990011939383</v>
      </c>
      <c r="GE791">
        <v>0.31112995514107378</v>
      </c>
      <c r="GF791">
        <v>3.6416117890370212</v>
      </c>
      <c r="GG791">
        <v>9.5851197151241507</v>
      </c>
      <c r="GH791">
        <v>16.840002426159433</v>
      </c>
      <c r="GI791">
        <v>66.977469610027995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11.882946047008547</v>
      </c>
      <c r="AO792">
        <v>69.365108250571694</v>
      </c>
      <c r="AP792">
        <v>524.9350517928026</v>
      </c>
      <c r="AQ792">
        <v>210.20112774291897</v>
      </c>
      <c r="AR792">
        <v>64.175420681085328</v>
      </c>
      <c r="AS792">
        <v>530.27570346055109</v>
      </c>
      <c r="AT792" t="e">
        <v>#DIV/0!</v>
      </c>
      <c r="AU792" t="e">
        <v>#DIV/0!</v>
      </c>
      <c r="AV792"/>
      <c r="AW792"/>
      <c r="FY792" s="211">
        <v>787</v>
      </c>
      <c r="FZ792">
        <v>14.64671172500706</v>
      </c>
      <c r="GA792">
        <v>21.379407170589467</v>
      </c>
      <c r="GB792">
        <v>61.555068431993206</v>
      </c>
      <c r="GC792">
        <v>0.94857049422149453</v>
      </c>
      <c r="GD792">
        <v>0.14212194204098863</v>
      </c>
      <c r="GE792">
        <v>0.31616316518589116</v>
      </c>
      <c r="GF792">
        <v>0.93327695127180799</v>
      </c>
      <c r="GG792">
        <v>0.82966741238504016</v>
      </c>
      <c r="GH792">
        <v>4.0282766445317693</v>
      </c>
      <c r="GI792">
        <v>44.129205180044629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12.666065705128203</v>
      </c>
      <c r="AO793">
        <v>95.328125296602977</v>
      </c>
      <c r="AP793">
        <v>707.1348502329821</v>
      </c>
      <c r="AQ793">
        <v>149.80825651933313</v>
      </c>
      <c r="AR793">
        <v>88.398112499947601</v>
      </c>
      <c r="AS793">
        <v>561.20351490271912</v>
      </c>
      <c r="AT793" t="e">
        <v>#DIV/0!</v>
      </c>
      <c r="AU793" t="e">
        <v>#DIV/0!</v>
      </c>
      <c r="AV793"/>
      <c r="AW793"/>
      <c r="FY793" s="211">
        <v>788</v>
      </c>
      <c r="FZ793">
        <v>41.943185403435564</v>
      </c>
      <c r="GA793">
        <v>44.683118814486733</v>
      </c>
      <c r="GB793">
        <v>47.921498631462057</v>
      </c>
      <c r="GC793">
        <v>3.7225896683591655</v>
      </c>
      <c r="GD793">
        <v>0.36549660981334064</v>
      </c>
      <c r="GE793">
        <v>0.34571929822117142</v>
      </c>
      <c r="GF793">
        <v>1.4908476736066609</v>
      </c>
      <c r="GG793">
        <v>6.9112810029818297</v>
      </c>
      <c r="GH793">
        <v>10.843256402974506</v>
      </c>
      <c r="GI793">
        <v>42.751066928613703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17.812593482905982</v>
      </c>
      <c r="AO794">
        <v>155.02093874709936</v>
      </c>
      <c r="AP794">
        <v>875.57059350551901</v>
      </c>
      <c r="AQ794">
        <v>206.09332622043812</v>
      </c>
      <c r="AR794">
        <v>143.75932508667086</v>
      </c>
      <c r="AS794">
        <v>927.7088822153928</v>
      </c>
      <c r="AT794" t="e">
        <v>#DIV/0!</v>
      </c>
      <c r="AU794" t="e">
        <v>#DIV/0!</v>
      </c>
      <c r="AV794"/>
      <c r="AW794"/>
      <c r="FY794" s="211">
        <v>789</v>
      </c>
      <c r="FZ794">
        <v>19.612039810935336</v>
      </c>
      <c r="GA794">
        <v>29.004679527798075</v>
      </c>
      <c r="GB794">
        <v>38.989843264703509</v>
      </c>
      <c r="GC794">
        <v>2.4448975487247981</v>
      </c>
      <c r="GD794">
        <v>0.5389866884788872</v>
      </c>
      <c r="GE794">
        <v>1.2392722347749361</v>
      </c>
      <c r="GF794">
        <v>3.2423081367534121</v>
      </c>
      <c r="GG794">
        <v>6.7094621722347103</v>
      </c>
      <c r="GH794">
        <v>13.225583625167928</v>
      </c>
      <c r="GI794">
        <v>43.31185220902168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11.736378205128204</v>
      </c>
      <c r="AO795">
        <v>104.07610880473442</v>
      </c>
      <c r="AP795">
        <v>733.02792030686885</v>
      </c>
      <c r="AQ795">
        <v>190.35623971320291</v>
      </c>
      <c r="AR795">
        <v>96.705255547706258</v>
      </c>
      <c r="AS795">
        <v>760.40344451358067</v>
      </c>
      <c r="AT795" t="e">
        <v>#DIV/0!</v>
      </c>
      <c r="AU795" t="e">
        <v>#DIV/0!</v>
      </c>
      <c r="AV795"/>
      <c r="AW795"/>
      <c r="FY795" s="211">
        <v>790</v>
      </c>
      <c r="FZ795">
        <v>24.063932492099234</v>
      </c>
      <c r="GA795">
        <v>24.08112036662957</v>
      </c>
      <c r="GB795">
        <v>14.275440691605825</v>
      </c>
      <c r="GC795">
        <v>1.6702185167936283</v>
      </c>
      <c r="GD795">
        <v>0.25203181159065352</v>
      </c>
      <c r="GE795">
        <v>0.34068608817635404</v>
      </c>
      <c r="GF795">
        <v>3.9258220019237653</v>
      </c>
      <c r="GG795">
        <v>7.5391295846197526</v>
      </c>
      <c r="GH795">
        <v>13.225583625167928</v>
      </c>
      <c r="GI795">
        <v>26.847271554596126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14.599399038461536</v>
      </c>
      <c r="AO796">
        <v>121.33757339014664</v>
      </c>
      <c r="AP796">
        <v>1295.6635982231392</v>
      </c>
      <c r="AQ796">
        <v>192.93781795838817</v>
      </c>
      <c r="AR796">
        <v>112.54150291761692</v>
      </c>
      <c r="AS796">
        <v>480.82355789380364</v>
      </c>
      <c r="AT796" t="e">
        <v>#DIV/0!</v>
      </c>
      <c r="AU796" t="e">
        <v>#DIV/0!</v>
      </c>
      <c r="AV796"/>
      <c r="AW796"/>
      <c r="FY796" s="211">
        <v>791</v>
      </c>
      <c r="FZ796">
        <v>29.533274314346837</v>
      </c>
      <c r="GA796">
        <v>31.500091865121245</v>
      </c>
      <c r="GB796">
        <v>9.9480261208875227</v>
      </c>
      <c r="GC796">
        <v>1.967685776488409</v>
      </c>
      <c r="GD796">
        <v>4.6470316411577423E-2</v>
      </c>
      <c r="GE796">
        <v>0.42363790683901698</v>
      </c>
      <c r="GF796">
        <v>2.9950690755969736</v>
      </c>
      <c r="GG796">
        <v>10.78446007748359</v>
      </c>
      <c r="GH796">
        <v>20.776941183465745</v>
      </c>
      <c r="GI796">
        <v>25.827900421908979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12.810590277777777</v>
      </c>
      <c r="AO797">
        <v>97.826568972791605</v>
      </c>
      <c r="AP797">
        <v>706.4377607627282</v>
      </c>
      <c r="AQ797">
        <v>192.77271133782315</v>
      </c>
      <c r="AR797">
        <v>90.690887246085822</v>
      </c>
      <c r="AS797">
        <v>656.62622551396998</v>
      </c>
      <c r="AT797" t="e">
        <v>#DIV/0!</v>
      </c>
      <c r="AU797" t="e">
        <v>#DIV/0!</v>
      </c>
      <c r="AV797"/>
      <c r="AW797"/>
      <c r="FY797" s="211">
        <v>792</v>
      </c>
      <c r="FZ797">
        <v>69.148260491834435</v>
      </c>
      <c r="GA797">
        <v>74.354216928373887</v>
      </c>
      <c r="GB797">
        <v>10.008106468440261</v>
      </c>
      <c r="GC797">
        <v>1.1428751610510997</v>
      </c>
      <c r="GD797">
        <v>0.16535710024677736</v>
      </c>
      <c r="GE797">
        <v>0.44402536592756425</v>
      </c>
      <c r="GF797">
        <v>3.803464483818054</v>
      </c>
      <c r="GG797">
        <v>2.4326454362387158</v>
      </c>
      <c r="GH797">
        <v>0</v>
      </c>
      <c r="GI797">
        <v>23.435380406732349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8.9992254273504262</v>
      </c>
      <c r="AO798">
        <v>76.964161596905782</v>
      </c>
      <c r="AP798">
        <v>589.39298552191974</v>
      </c>
      <c r="AQ798">
        <v>122.19714901005703</v>
      </c>
      <c r="AR798">
        <v>71.374713778450214</v>
      </c>
      <c r="AS798">
        <v>595.08297759119955</v>
      </c>
      <c r="AT798" t="e">
        <v>#DIV/0!</v>
      </c>
      <c r="AU798" t="e">
        <v>#DIV/0!</v>
      </c>
      <c r="AV798"/>
      <c r="AW798"/>
      <c r="FY798" s="211">
        <v>793</v>
      </c>
      <c r="FZ798">
        <v>41.227847644920246</v>
      </c>
      <c r="GA798">
        <v>43.964115246111966</v>
      </c>
      <c r="GB798">
        <v>48.920678001549035</v>
      </c>
      <c r="GC798">
        <v>2.595956460923968</v>
      </c>
      <c r="GD798">
        <v>0.27797796260269864</v>
      </c>
      <c r="GE798">
        <v>0.53772697507822231</v>
      </c>
      <c r="GF798">
        <v>5.2386328640707696</v>
      </c>
      <c r="GG798">
        <v>4.0356234600923919</v>
      </c>
      <c r="GH798">
        <v>4.0282766445317693</v>
      </c>
      <c r="GI798">
        <v>38.022516388419547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15.088194444444444</v>
      </c>
      <c r="AO799">
        <v>96.02041398949271</v>
      </c>
      <c r="AP799">
        <v>596.97084858042774</v>
      </c>
      <c r="AQ799">
        <v>154.96637630190691</v>
      </c>
      <c r="AR799">
        <v>89.023785516738016</v>
      </c>
      <c r="AS799">
        <v>732.91819581845516</v>
      </c>
      <c r="AT799" t="e">
        <v>#DIV/0!</v>
      </c>
      <c r="AU799" t="e">
        <v>#DIV/0!</v>
      </c>
      <c r="AV799"/>
      <c r="AW799"/>
      <c r="FY799" s="211">
        <v>794</v>
      </c>
      <c r="FZ799">
        <v>34.378676968108749</v>
      </c>
      <c r="GA799">
        <v>38.61172990800253</v>
      </c>
      <c r="GB799">
        <v>17.325368851302542</v>
      </c>
      <c r="GC799">
        <v>1.9752372700028096</v>
      </c>
      <c r="GD799">
        <v>0.34768343722006478</v>
      </c>
      <c r="GE799">
        <v>0.21742834599041555</v>
      </c>
      <c r="GF799">
        <v>2.394566779816194</v>
      </c>
      <c r="GG799">
        <v>5.43678265319895</v>
      </c>
      <c r="GH799">
        <v>9.6111648241764271</v>
      </c>
      <c r="GI799">
        <v>26.903945132644758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12.861244658119656</v>
      </c>
      <c r="AO800">
        <v>80.350977277674303</v>
      </c>
      <c r="AP800">
        <v>537.74702570230261</v>
      </c>
      <c r="AQ800">
        <v>254.58630601343251</v>
      </c>
      <c r="AR800">
        <v>74.59031802990593</v>
      </c>
      <c r="AS800">
        <v>624.91755932730848</v>
      </c>
      <c r="AT800" t="e">
        <v>#DIV/0!</v>
      </c>
      <c r="AU800" t="e">
        <v>#DIV/0!</v>
      </c>
      <c r="AV800"/>
      <c r="AW800"/>
      <c r="FY800" s="211">
        <v>795</v>
      </c>
      <c r="FZ800">
        <v>17.365817506571943</v>
      </c>
      <c r="GA800">
        <v>24.646508745895858</v>
      </c>
      <c r="GB800">
        <v>22.853589349278717</v>
      </c>
      <c r="GC800">
        <v>1.9346997181089545</v>
      </c>
      <c r="GD800">
        <v>0.19130325125882247</v>
      </c>
      <c r="GE800">
        <v>0.40530055894555084</v>
      </c>
      <c r="GF800">
        <v>2.1212062703680847</v>
      </c>
      <c r="GG800">
        <v>5.4931394541153544</v>
      </c>
      <c r="GH800">
        <v>9.6111648241764271</v>
      </c>
      <c r="GI800">
        <v>27.365692467222829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13.501736111111111</v>
      </c>
      <c r="AO801">
        <v>151.38523394093872</v>
      </c>
      <c r="AP801">
        <v>1108.5757741778548</v>
      </c>
      <c r="AQ801">
        <v>182.64730830881706</v>
      </c>
      <c r="AR801">
        <v>140.41095899554935</v>
      </c>
      <c r="AS801">
        <v>668.9850793386247</v>
      </c>
      <c r="AT801" t="e">
        <v>#DIV/0!</v>
      </c>
      <c r="AU801" t="e">
        <v>#DIV/0!</v>
      </c>
      <c r="AV801"/>
      <c r="AW801"/>
      <c r="FY801" s="211">
        <v>796</v>
      </c>
      <c r="FZ801">
        <v>46.697189467167846</v>
      </c>
      <c r="GA801">
        <v>47.923817406764257</v>
      </c>
      <c r="GB801">
        <v>81.580973748087601</v>
      </c>
      <c r="GC801">
        <v>4.1184043128197043</v>
      </c>
      <c r="GD801">
        <v>0.7472591764642198</v>
      </c>
      <c r="GE801">
        <v>1.4567005807653519</v>
      </c>
      <c r="GF801">
        <v>3.3349585818376637</v>
      </c>
      <c r="GG801">
        <v>12.000782795602948</v>
      </c>
      <c r="GH801">
        <v>32.447913273520783</v>
      </c>
      <c r="GI801">
        <v>73.668074412568146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14.958827457264956</v>
      </c>
      <c r="AO802">
        <v>64.770337576890114</v>
      </c>
      <c r="AP802">
        <v>577.42712960988808</v>
      </c>
      <c r="AQ802">
        <v>280.17629109789544</v>
      </c>
      <c r="AR802">
        <v>59.974092169048987</v>
      </c>
      <c r="AS802">
        <v>462.95815006232039</v>
      </c>
      <c r="AT802" t="e">
        <v>#DIV/0!</v>
      </c>
      <c r="AU802" t="e">
        <v>#DIV/0!</v>
      </c>
      <c r="AV802"/>
      <c r="AW802"/>
      <c r="FY802" s="211">
        <v>797</v>
      </c>
      <c r="FZ802">
        <v>23.310646223002138</v>
      </c>
      <c r="GA802">
        <v>34.864982085556449</v>
      </c>
      <c r="GB802">
        <v>47.547243830777333</v>
      </c>
      <c r="GC802">
        <v>1.069945697215184</v>
      </c>
      <c r="GD802">
        <v>0.14483293484724508</v>
      </c>
      <c r="GE802">
        <v>0.44402536592756425</v>
      </c>
      <c r="GF802">
        <v>4.4895023739334246</v>
      </c>
      <c r="GG802">
        <v>5.308302979128154</v>
      </c>
      <c r="GH802">
        <v>7.6426954455232705</v>
      </c>
      <c r="GI802">
        <v>37.605640991266753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9.6326388888888879</v>
      </c>
      <c r="AO803">
        <v>122.5176072516451</v>
      </c>
      <c r="AP803">
        <v>962.63300900955642</v>
      </c>
      <c r="AQ803">
        <v>148.90846911727135</v>
      </c>
      <c r="AR803">
        <v>113.64453932274343</v>
      </c>
      <c r="AS803">
        <v>549.69227240480257</v>
      </c>
      <c r="AT803" t="e">
        <v>#DIV/0!</v>
      </c>
      <c r="AU803" t="e">
        <v>#DIV/0!</v>
      </c>
      <c r="AV803"/>
      <c r="AW803"/>
      <c r="FY803" s="211">
        <v>798</v>
      </c>
      <c r="FZ803">
        <v>38.559588525822107</v>
      </c>
      <c r="GA803">
        <v>43.638084188080768</v>
      </c>
      <c r="GB803">
        <v>67.173043947082576</v>
      </c>
      <c r="GC803">
        <v>2.130868853488491</v>
      </c>
      <c r="GD803">
        <v>0.27255597699018586</v>
      </c>
      <c r="GE803">
        <v>0.37527543125645169</v>
      </c>
      <c r="GF803">
        <v>2.2434145605146116</v>
      </c>
      <c r="GG803">
        <v>7.9821416912704741</v>
      </c>
      <c r="GH803">
        <v>12.811725781627663</v>
      </c>
      <c r="GI803">
        <v>59.225615148027678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14.45829326923077</v>
      </c>
      <c r="AO804">
        <v>164.57958522100643</v>
      </c>
      <c r="AP804">
        <v>1069.2432531908003</v>
      </c>
      <c r="AQ804">
        <v>200.97806043395477</v>
      </c>
      <c r="AR804">
        <v>152.59802033654123</v>
      </c>
      <c r="AS804">
        <v>846.00443058880342</v>
      </c>
      <c r="AT804" t="e">
        <v>#DIV/0!</v>
      </c>
      <c r="AU804" t="e">
        <v>#DIV/0!</v>
      </c>
      <c r="AV804"/>
      <c r="AW804"/>
      <c r="FY804" s="211">
        <v>799</v>
      </c>
      <c r="FZ804">
        <v>37.422213952572037</v>
      </c>
      <c r="GA804">
        <v>44.479514472526262</v>
      </c>
      <c r="GB804">
        <v>40.811900896377225</v>
      </c>
      <c r="GC804">
        <v>2.7138160207807402</v>
      </c>
      <c r="GD804">
        <v>0.12159777664145638</v>
      </c>
      <c r="GE804">
        <v>0.19704088690186838</v>
      </c>
      <c r="GF804">
        <v>1.5896077683657179</v>
      </c>
      <c r="GG804">
        <v>6.9676378038982341</v>
      </c>
      <c r="GH804">
        <v>10.843256402974506</v>
      </c>
      <c r="GI804">
        <v>35.267072132787895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15.305515491452988</v>
      </c>
      <c r="AO805">
        <v>146.04614395665689</v>
      </c>
      <c r="AP805">
        <v>1327.4686499418005</v>
      </c>
      <c r="AQ805">
        <v>158.31892521859325</v>
      </c>
      <c r="AR805">
        <v>135.46225483460233</v>
      </c>
      <c r="AS805">
        <v>838.5189238249859</v>
      </c>
      <c r="AT805" t="e">
        <v>#DIV/0!</v>
      </c>
      <c r="AU805" t="e">
        <v>#DIV/0!</v>
      </c>
      <c r="AV805"/>
      <c r="AW805"/>
      <c r="FY805" s="211">
        <v>800</v>
      </c>
      <c r="FZ805">
        <v>19.964997855970466</v>
      </c>
      <c r="GA805">
        <v>27.611996350340938</v>
      </c>
      <c r="GB805">
        <v>50.62307407007917</v>
      </c>
      <c r="GC805">
        <v>3.0133278761849622</v>
      </c>
      <c r="GD805">
        <v>0.40570100474563942</v>
      </c>
      <c r="GE805">
        <v>0.24698447902569581</v>
      </c>
      <c r="GF805">
        <v>2.899894605567706</v>
      </c>
      <c r="GG805">
        <v>8.5536334719919918</v>
      </c>
      <c r="GH805">
        <v>19.222329648352854</v>
      </c>
      <c r="GI805">
        <v>48.13632792324502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9.1207932692307683</v>
      </c>
      <c r="AO806">
        <v>68.333360007912148</v>
      </c>
      <c r="AP806">
        <v>428.78306026464242</v>
      </c>
      <c r="AQ806">
        <v>116.22123673320283</v>
      </c>
      <c r="AR806">
        <v>63.340698710156609</v>
      </c>
      <c r="AS806">
        <v>610.27358845001174</v>
      </c>
      <c r="AT806" t="e">
        <v>#DIV/0!</v>
      </c>
      <c r="AU806" t="e">
        <v>#DIV/0!</v>
      </c>
      <c r="AV806"/>
      <c r="AW806"/>
      <c r="FY806" s="211">
        <v>801</v>
      </c>
      <c r="FZ806">
        <v>29.142367758729922</v>
      </c>
      <c r="GA806">
        <v>32.957730599031777</v>
      </c>
      <c r="GB806">
        <v>15.773224232454096</v>
      </c>
      <c r="GC806">
        <v>2.6809786528074109</v>
      </c>
      <c r="GD806">
        <v>0.30733838630997173</v>
      </c>
      <c r="GE806">
        <v>0.29074249605252656</v>
      </c>
      <c r="GF806">
        <v>3.2720152097748718</v>
      </c>
      <c r="GG806">
        <v>6.5246256972475116</v>
      </c>
      <c r="GH806">
        <v>7.2288376019830025</v>
      </c>
      <c r="GI806">
        <v>30.616631826030623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11.064770299145298</v>
      </c>
      <c r="AO807">
        <v>57.189568510987804</v>
      </c>
      <c r="AP807">
        <v>327.80598685055799</v>
      </c>
      <c r="AQ807">
        <v>133.80355705854987</v>
      </c>
      <c r="AR807">
        <v>53.079871526469901</v>
      </c>
      <c r="AS807">
        <v>427.44080316845509</v>
      </c>
      <c r="AT807" t="e">
        <v>#DIV/0!</v>
      </c>
      <c r="AU807" t="e">
        <v>#DIV/0!</v>
      </c>
      <c r="AV807"/>
      <c r="AW807"/>
      <c r="FY807" s="211">
        <v>802</v>
      </c>
      <c r="FZ807">
        <v>15.513105174806567</v>
      </c>
      <c r="GA807">
        <v>24.34489477503454</v>
      </c>
      <c r="GB807">
        <v>36.964580469683135</v>
      </c>
      <c r="GC807">
        <v>1.0626530362898081</v>
      </c>
      <c r="GD807">
        <v>0.1913032512588225</v>
      </c>
      <c r="GE807">
        <v>0.70521172894481055</v>
      </c>
      <c r="GF807">
        <v>4.0766757653069785</v>
      </c>
      <c r="GG807">
        <v>3.8338046293452734</v>
      </c>
      <c r="GH807">
        <v>5.582888179644657</v>
      </c>
      <c r="GI807">
        <v>42.563564777391043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8.7152377136752115</v>
      </c>
      <c r="AO808">
        <v>65.603290127956683</v>
      </c>
      <c r="AP808">
        <v>629.81720172229484</v>
      </c>
      <c r="AQ808">
        <v>184.93433184266314</v>
      </c>
      <c r="AR808">
        <v>60.742478190185786</v>
      </c>
      <c r="AS808">
        <v>558.77366640885703</v>
      </c>
      <c r="AT808" t="e">
        <v>#DIV/0!</v>
      </c>
      <c r="AU808" t="e">
        <v>#DIV/0!</v>
      </c>
      <c r="AV808"/>
      <c r="AW808"/>
      <c r="FY808" s="211">
        <v>803</v>
      </c>
      <c r="FZ808">
        <v>63.114636602355716</v>
      </c>
      <c r="GA808">
        <v>69.662309707832392</v>
      </c>
      <c r="GB808">
        <v>45.192545664914178</v>
      </c>
      <c r="GC808">
        <v>1.9810196140652576</v>
      </c>
      <c r="GD808">
        <v>0.27255597699018586</v>
      </c>
      <c r="GE808">
        <v>0.81311522208701925</v>
      </c>
      <c r="GF808">
        <v>3.6775213409825538</v>
      </c>
      <c r="GG808">
        <v>8.6990955018227059</v>
      </c>
      <c r="GH808">
        <v>20.868279070691202</v>
      </c>
      <c r="GI808">
        <v>53.181980505186246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11.777430555555558</v>
      </c>
      <c r="AO809">
        <v>88.587466185753698</v>
      </c>
      <c r="AP809">
        <v>760.54789360950281</v>
      </c>
      <c r="AQ809">
        <v>188.84935164830057</v>
      </c>
      <c r="AR809">
        <v>82.161706256849655</v>
      </c>
      <c r="AS809">
        <v>470.32189497271611</v>
      </c>
      <c r="AT809" t="e">
        <v>#DIV/0!</v>
      </c>
      <c r="AU809" t="e">
        <v>#DIV/0!</v>
      </c>
      <c r="AV809"/>
      <c r="AW809"/>
      <c r="FY809" s="211">
        <v>804</v>
      </c>
      <c r="FZ809">
        <v>42.094241094719749</v>
      </c>
      <c r="GA809">
        <v>45.093958009904341</v>
      </c>
      <c r="GB809">
        <v>46.280890421600645</v>
      </c>
      <c r="GC809">
        <v>2.2433002209698172</v>
      </c>
      <c r="GD809">
        <v>0.30121312080848733</v>
      </c>
      <c r="GE809">
        <v>0.67565559590953028</v>
      </c>
      <c r="GF809">
        <v>2.0913499693874407</v>
      </c>
      <c r="GG809">
        <v>3.0604940178766382</v>
      </c>
      <c r="GH809">
        <v>9.6111648241764271</v>
      </c>
      <c r="GI809">
        <v>47.394969186653526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9.7307291666666664</v>
      </c>
      <c r="AO810">
        <v>53.135822631608583</v>
      </c>
      <c r="AP810">
        <v>245.84387406042629</v>
      </c>
      <c r="AQ810">
        <v>137.20258417046344</v>
      </c>
      <c r="AR810">
        <v>49.299482329007944</v>
      </c>
      <c r="AS810">
        <v>391.50351680792437</v>
      </c>
      <c r="AT810" t="e">
        <v>#DIV/0!</v>
      </c>
      <c r="AU810" t="e">
        <v>#DIV/0!</v>
      </c>
      <c r="AV810"/>
      <c r="AW810"/>
      <c r="FY810" s="211">
        <v>805</v>
      </c>
      <c r="FZ810">
        <v>17.961229832920893</v>
      </c>
      <c r="GA810">
        <v>21.180588318637867</v>
      </c>
      <c r="GB810">
        <v>79.507789614479378</v>
      </c>
      <c r="GC810">
        <v>2.9318960786477328</v>
      </c>
      <c r="GD810">
        <v>0.35380870272154913</v>
      </c>
      <c r="GE810">
        <v>0.54689564902495547</v>
      </c>
      <c r="GF810">
        <v>3.6487266397866831</v>
      </c>
      <c r="GG810">
        <v>2.0459901305043982</v>
      </c>
      <c r="GH810">
        <v>7.6426954455232705</v>
      </c>
      <c r="GI810">
        <v>59.72832787566071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10.109775641025642</v>
      </c>
      <c r="AO811">
        <v>110.83469883327504</v>
      </c>
      <c r="AP811">
        <v>821.68842567425202</v>
      </c>
      <c r="AQ811">
        <v>111.98842214594255</v>
      </c>
      <c r="AR811">
        <v>102.86835286812558</v>
      </c>
      <c r="AS811">
        <v>737.06798278647136</v>
      </c>
      <c r="AT811" t="e">
        <v>#DIV/0!</v>
      </c>
      <c r="AU811" t="e">
        <v>#DIV/0!</v>
      </c>
      <c r="AV811"/>
      <c r="AW811"/>
      <c r="FY811" s="211">
        <v>806</v>
      </c>
      <c r="FZ811">
        <v>44.933272308450988</v>
      </c>
      <c r="GA811">
        <v>46.827028715419338</v>
      </c>
      <c r="GB811">
        <v>17.613412594920245</v>
      </c>
      <c r="GC811">
        <v>1.8153424403040062</v>
      </c>
      <c r="GD811">
        <v>0.16535710024677738</v>
      </c>
      <c r="GE811">
        <v>0.28157382210579351</v>
      </c>
      <c r="GF811">
        <v>2.3684453315245233</v>
      </c>
      <c r="GG811">
        <v>8.5536334719919918</v>
      </c>
      <c r="GH811">
        <v>11.165776359289314</v>
      </c>
      <c r="GI811">
        <v>27.694717434670135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21.716800213675214</v>
      </c>
      <c r="AO812">
        <v>152.27844493026186</v>
      </c>
      <c r="AP812">
        <v>1142.9172522275096</v>
      </c>
      <c r="AQ812">
        <v>303.97607375559852</v>
      </c>
      <c r="AR812">
        <v>141.42328580765292</v>
      </c>
      <c r="AS812">
        <v>1000.9347119953032</v>
      </c>
      <c r="AT812" t="e">
        <v>#DIV/0!</v>
      </c>
      <c r="AU812" t="e">
        <v>#DIV/0!</v>
      </c>
      <c r="AV812"/>
      <c r="AW812"/>
      <c r="FY812" s="211">
        <v>807</v>
      </c>
      <c r="FZ812">
        <v>21.344826710534349</v>
      </c>
      <c r="GA812">
        <v>28.792659184332059</v>
      </c>
      <c r="GB812">
        <v>45.993404667518163</v>
      </c>
      <c r="GC812">
        <v>4.0049906683980812</v>
      </c>
      <c r="GD812">
        <v>0.57989436330015742</v>
      </c>
      <c r="GE812">
        <v>0.54276018512303981</v>
      </c>
      <c r="GF812">
        <v>3.2981366580665417</v>
      </c>
      <c r="GG812">
        <v>2.3762886353223109</v>
      </c>
      <c r="GH812">
        <v>4.0282766445317693</v>
      </c>
      <c r="GI812">
        <v>49.643581006698341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12.007638888888888</v>
      </c>
      <c r="AO813">
        <v>142.50753657864368</v>
      </c>
      <c r="AP813">
        <v>1372.682575481178</v>
      </c>
      <c r="AQ813">
        <v>162.4278179271775</v>
      </c>
      <c r="AR813">
        <v>132.11893350415761</v>
      </c>
      <c r="AS813">
        <v>554.93819682545973</v>
      </c>
      <c r="AT813" t="e">
        <v>#DIV/0!</v>
      </c>
      <c r="AU813" t="e">
        <v>#DIV/0!</v>
      </c>
      <c r="AV813"/>
      <c r="AW813"/>
      <c r="FY813" s="211">
        <v>808</v>
      </c>
      <c r="FZ813">
        <v>13.90024370737391</v>
      </c>
      <c r="GA813">
        <v>16.879888696352996</v>
      </c>
      <c r="GB813">
        <v>29.108280150119402</v>
      </c>
      <c r="GC813">
        <v>1.4442248144845526</v>
      </c>
      <c r="GD813">
        <v>0.16535710024677736</v>
      </c>
      <c r="GE813">
        <v>0.18787221295513531</v>
      </c>
      <c r="GF813">
        <v>1.1509581673659712</v>
      </c>
      <c r="GG813">
        <v>6.7094621722347103</v>
      </c>
      <c r="GH813">
        <v>13.225583625167928</v>
      </c>
      <c r="GI813">
        <v>28.428486273828749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14.343015491452993</v>
      </c>
      <c r="AO814">
        <v>121.90463081558315</v>
      </c>
      <c r="AP814">
        <v>858.3231644929574</v>
      </c>
      <c r="AQ814">
        <v>234.41231410416106</v>
      </c>
      <c r="AR814">
        <v>112.982521761276</v>
      </c>
      <c r="AS814">
        <v>757.84466181791947</v>
      </c>
      <c r="AT814" t="e">
        <v>#DIV/0!</v>
      </c>
      <c r="AU814" t="e">
        <v>#DIV/0!</v>
      </c>
      <c r="AV814"/>
      <c r="AW814"/>
      <c r="FY814" s="211">
        <v>809</v>
      </c>
      <c r="FZ814">
        <v>43.042611466103835</v>
      </c>
      <c r="GA814">
        <v>45.954309270613336</v>
      </c>
      <c r="GB814">
        <v>34.981112420198322</v>
      </c>
      <c r="GC814">
        <v>1.3538491814349611</v>
      </c>
      <c r="GD814">
        <v>0.28424388408197732</v>
      </c>
      <c r="GE814">
        <v>0.73063239807817515</v>
      </c>
      <c r="GF814">
        <v>3.4635749775773648</v>
      </c>
      <c r="GG814">
        <v>14.48978503275807</v>
      </c>
      <c r="GH814">
        <v>28.419636628989011</v>
      </c>
      <c r="GI814">
        <v>42.41328488862856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10.462072649572647</v>
      </c>
      <c r="AO815">
        <v>132.8979068767691</v>
      </c>
      <c r="AP815">
        <v>1314.8306063173395</v>
      </c>
      <c r="AQ815">
        <v>180.41365811382593</v>
      </c>
      <c r="AR815">
        <v>123.17972923539486</v>
      </c>
      <c r="AS815">
        <v>556.89205852966472</v>
      </c>
      <c r="AT815" t="e">
        <v>#DIV/0!</v>
      </c>
      <c r="AU815" t="e">
        <v>#DIV/0!</v>
      </c>
      <c r="AV815"/>
      <c r="AW815"/>
      <c r="FY815" s="211">
        <v>810</v>
      </c>
      <c r="FZ815">
        <v>64.696367810670523</v>
      </c>
      <c r="GA815">
        <v>69.25147051241477</v>
      </c>
      <c r="GB815">
        <v>52.16321455118748</v>
      </c>
      <c r="GC815">
        <v>2.4277866933594918</v>
      </c>
      <c r="GD815">
        <v>0.25203181159065347</v>
      </c>
      <c r="GE815">
        <v>6.4145476115377922E-2</v>
      </c>
      <c r="GF815">
        <v>1.2066374607199166</v>
      </c>
      <c r="GG815">
        <v>3.8338046293452734</v>
      </c>
      <c r="GH815">
        <v>9.6111648241764271</v>
      </c>
      <c r="GI815">
        <v>56.509834334647969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15.704861111111109</v>
      </c>
      <c r="AO816">
        <v>192.87758766396641</v>
      </c>
      <c r="AP816">
        <v>1433.7240685461888</v>
      </c>
      <c r="AQ816">
        <v>180.67826728550443</v>
      </c>
      <c r="AR816">
        <v>179.0281621345965</v>
      </c>
      <c r="AS816">
        <v>1250.8702855498323</v>
      </c>
      <c r="AT816" t="e">
        <v>#DIV/0!</v>
      </c>
      <c r="AU816" t="e">
        <v>#DIV/0!</v>
      </c>
      <c r="AV816"/>
      <c r="AW816"/>
      <c r="FY816" s="211">
        <v>811</v>
      </c>
      <c r="FZ816">
        <v>50.011707575081687</v>
      </c>
      <c r="GA816">
        <v>51.608308579584104</v>
      </c>
      <c r="GB816">
        <v>32.254493038292097</v>
      </c>
      <c r="GC816">
        <v>3.3209800809214274</v>
      </c>
      <c r="GD816">
        <v>0.55951085387841948</v>
      </c>
      <c r="GE816">
        <v>0.97808587175768991</v>
      </c>
      <c r="GF816">
        <v>1.6822582134499693</v>
      </c>
      <c r="GG816">
        <v>0</v>
      </c>
      <c r="GH816">
        <v>4.0282766445317693</v>
      </c>
      <c r="GI816">
        <v>37.336776503525975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13.264716880341879</v>
      </c>
      <c r="AO817">
        <v>70.443631998607813</v>
      </c>
      <c r="AP817">
        <v>266.48224461384189</v>
      </c>
      <c r="AQ817">
        <v>128.79449246042171</v>
      </c>
      <c r="AR817">
        <v>65.21606695629103</v>
      </c>
      <c r="AS817">
        <v>732.29133722480833</v>
      </c>
      <c r="AT817" t="e">
        <v>#DIV/0!</v>
      </c>
      <c r="AU817" t="e">
        <v>#DIV/0!</v>
      </c>
      <c r="AV817"/>
      <c r="AW817"/>
      <c r="FY817" s="211">
        <v>812</v>
      </c>
      <c r="FZ817">
        <v>61.908183259406016</v>
      </c>
      <c r="GA817">
        <v>64.316474771818775</v>
      </c>
      <c r="GB817">
        <v>34.789795456356849</v>
      </c>
      <c r="GC817">
        <v>1.746924998418002</v>
      </c>
      <c r="GD817">
        <v>0.16806809305303377</v>
      </c>
      <c r="GE817">
        <v>0.61151011979415226</v>
      </c>
      <c r="GF817">
        <v>2.5301487983463722</v>
      </c>
      <c r="GG817">
        <v>10.011149466014956</v>
      </c>
      <c r="GH817">
        <v>20.776941183465745</v>
      </c>
      <c r="GI817">
        <v>45.860904764780436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15.421834935897436</v>
      </c>
      <c r="AO818">
        <v>113.75180293434751</v>
      </c>
      <c r="AP818">
        <v>727.24433127577083</v>
      </c>
      <c r="AQ818">
        <v>134.83868178770561</v>
      </c>
      <c r="AR818">
        <v>105.30495875176035</v>
      </c>
      <c r="AS818">
        <v>955.29522587070767</v>
      </c>
      <c r="AT818" t="e">
        <v>#DIV/0!</v>
      </c>
      <c r="AU818" t="e">
        <v>#DIV/0!</v>
      </c>
      <c r="AV818"/>
      <c r="AW818"/>
      <c r="FY818" s="211">
        <v>813</v>
      </c>
      <c r="FZ818">
        <v>21.344826710534349</v>
      </c>
      <c r="GA818">
        <v>30.84032436845078</v>
      </c>
      <c r="GB818">
        <v>21.397755425190748</v>
      </c>
      <c r="GC818">
        <v>1.9578990188018635</v>
      </c>
      <c r="GD818">
        <v>9.2940632823154845E-2</v>
      </c>
      <c r="GE818">
        <v>0.26118636301724629</v>
      </c>
      <c r="GF818">
        <v>1.5896077683657179</v>
      </c>
      <c r="GG818">
        <v>11.042635709147113</v>
      </c>
      <c r="GH818">
        <v>22.422890605804085</v>
      </c>
      <c r="GI818">
        <v>22.985529134261252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16.830475427350429</v>
      </c>
      <c r="AO819">
        <v>88.099475359801943</v>
      </c>
      <c r="AP819">
        <v>495.83374308890785</v>
      </c>
      <c r="AQ819">
        <v>267.46305920692748</v>
      </c>
      <c r="AR819">
        <v>81.822375407807854</v>
      </c>
      <c r="AS819">
        <v>695.36640690815511</v>
      </c>
      <c r="AT819" t="e">
        <v>#DIV/0!</v>
      </c>
      <c r="AU819" t="e">
        <v>#DIV/0!</v>
      </c>
      <c r="AV819"/>
      <c r="AW819"/>
      <c r="FY819" s="211">
        <v>814</v>
      </c>
      <c r="FZ819">
        <v>43.946953426485138</v>
      </c>
      <c r="GA819">
        <v>47.443237164884394</v>
      </c>
      <c r="GB819">
        <v>35.597626221623855</v>
      </c>
      <c r="GC819">
        <v>3.0794393477099846</v>
      </c>
      <c r="GD819">
        <v>0.44604605565573241</v>
      </c>
      <c r="GE819">
        <v>0.76065752576727441</v>
      </c>
      <c r="GF819">
        <v>2.5194483228669209</v>
      </c>
      <c r="GG819">
        <v>2.3762886353223109</v>
      </c>
      <c r="GH819">
        <v>4.0282766445317693</v>
      </c>
      <c r="GI819">
        <v>35.431371005111089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12.866105769230771</v>
      </c>
      <c r="AO820">
        <v>84.712563654160505</v>
      </c>
      <c r="AP820">
        <v>767.10084631837196</v>
      </c>
      <c r="AQ820">
        <v>198.84723646200658</v>
      </c>
      <c r="AR820">
        <v>78.611406909746975</v>
      </c>
      <c r="AS820">
        <v>409.02624149837851</v>
      </c>
      <c r="AT820" t="e">
        <v>#DIV/0!</v>
      </c>
      <c r="AU820" t="e">
        <v>#DIV/0!</v>
      </c>
      <c r="AV820"/>
      <c r="AW820"/>
      <c r="FY820" s="211">
        <v>815</v>
      </c>
      <c r="FZ820">
        <v>68.877279368383881</v>
      </c>
      <c r="GA820">
        <v>74.065804449026999</v>
      </c>
      <c r="GB820">
        <v>37.479206211315095</v>
      </c>
      <c r="GC820">
        <v>2.157845171969857</v>
      </c>
      <c r="GD820">
        <v>0.1913032512588225</v>
      </c>
      <c r="GE820">
        <v>0.31112995514107378</v>
      </c>
      <c r="GF820">
        <v>3.8331715568395137</v>
      </c>
      <c r="GG820">
        <v>13.475281145385829</v>
      </c>
      <c r="GH820">
        <v>22.422890605804085</v>
      </c>
      <c r="GI820">
        <v>42.586555103255769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14.357638888888886</v>
      </c>
      <c r="AO821">
        <v>110.41620417968416</v>
      </c>
      <c r="AP821">
        <v>915.35207993619804</v>
      </c>
      <c r="AQ821">
        <v>195.54794828790745</v>
      </c>
      <c r="AR821">
        <v>102.39854457959702</v>
      </c>
      <c r="AS821">
        <v>676.12245897536809</v>
      </c>
      <c r="AT821" t="e">
        <v>#DIV/0!</v>
      </c>
      <c r="AU821" t="e">
        <v>#DIV/0!</v>
      </c>
      <c r="AV821"/>
      <c r="AW821"/>
      <c r="FY821" s="211">
        <v>816</v>
      </c>
      <c r="FZ821">
        <v>18.23221095637145</v>
      </c>
      <c r="GA821">
        <v>23.516665982103483</v>
      </c>
      <c r="GB821">
        <v>29.470173278214581</v>
      </c>
      <c r="GC821">
        <v>2.4096055199843627</v>
      </c>
      <c r="GD821">
        <v>0.16806809305303377</v>
      </c>
      <c r="GE821">
        <v>0.77899487366074038</v>
      </c>
      <c r="GF821">
        <v>2.4077912802406609</v>
      </c>
      <c r="GG821">
        <v>3.8901614302616783</v>
      </c>
      <c r="GH821">
        <v>13.639441468708196</v>
      </c>
      <c r="GI821">
        <v>30.81167760027493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10.186899038461537</v>
      </c>
      <c r="AO822">
        <v>109.05666905795135</v>
      </c>
      <c r="AP822">
        <v>808.02658011717187</v>
      </c>
      <c r="AQ822">
        <v>161.41855957892312</v>
      </c>
      <c r="AR822">
        <v>101.09253224465343</v>
      </c>
      <c r="AS822">
        <v>874.63610163636451</v>
      </c>
      <c r="AT822" t="e">
        <v>#DIV/0!</v>
      </c>
      <c r="AU822" t="e">
        <v>#DIV/0!</v>
      </c>
      <c r="AV822"/>
      <c r="AW822"/>
      <c r="FY822" s="211">
        <v>817</v>
      </c>
      <c r="FZ822">
        <v>86.605476588435991</v>
      </c>
      <c r="GA822">
        <v>87.126404682321748</v>
      </c>
      <c r="GB822">
        <v>50.973970710369493</v>
      </c>
      <c r="GC822">
        <v>1.0597921889268842</v>
      </c>
      <c r="GD822">
        <v>0.14483293484724508</v>
      </c>
      <c r="GE822">
        <v>0.26118636301724629</v>
      </c>
      <c r="GF822">
        <v>2.5194483228669209</v>
      </c>
      <c r="GG822">
        <v>8.4972766710755856</v>
      </c>
      <c r="GH822">
        <v>11.165776359289314</v>
      </c>
      <c r="GI822">
        <v>51.773273555289649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16.721180555555556</v>
      </c>
      <c r="AO823">
        <v>161.37152931126803</v>
      </c>
      <c r="AP823">
        <v>1356.9089419428644</v>
      </c>
      <c r="AQ823">
        <v>160.60481872382479</v>
      </c>
      <c r="AR823">
        <v>149.64634147385797</v>
      </c>
      <c r="AS823">
        <v>1128.0835051237873</v>
      </c>
      <c r="AT823" t="e">
        <v>#DIV/0!</v>
      </c>
      <c r="AU823" t="e">
        <v>#DIV/0!</v>
      </c>
      <c r="AV823"/>
      <c r="AW823"/>
      <c r="FY823" s="211">
        <v>818</v>
      </c>
      <c r="FZ823">
        <v>18.827623282720403</v>
      </c>
      <c r="GA823">
        <v>24.146075923082947</v>
      </c>
      <c r="GB823">
        <v>59.678636755614036</v>
      </c>
      <c r="GC823">
        <v>3.4297423486270251</v>
      </c>
      <c r="GD823">
        <v>0.32444827901427609</v>
      </c>
      <c r="GE823">
        <v>0.67565559590953028</v>
      </c>
      <c r="GF823">
        <v>3.7072284140040135</v>
      </c>
      <c r="GG823">
        <v>8.5142590268355036</v>
      </c>
      <c r="GH823">
        <v>14.871533047506276</v>
      </c>
      <c r="GI823">
        <v>43.525796153737453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10.231770833333332</v>
      </c>
      <c r="AO824">
        <v>117.78908649726202</v>
      </c>
      <c r="AP824">
        <v>738.1032714272086</v>
      </c>
      <c r="AQ824">
        <v>111.20035692013013</v>
      </c>
      <c r="AR824">
        <v>109.30302307517314</v>
      </c>
      <c r="AS824">
        <v>900.39016534632924</v>
      </c>
      <c r="AT824" t="e">
        <v>#DIV/0!</v>
      </c>
      <c r="AU824" t="e">
        <v>#DIV/0!</v>
      </c>
      <c r="AV824"/>
      <c r="AW824"/>
      <c r="FY824" s="211">
        <v>819</v>
      </c>
      <c r="FZ824">
        <v>43.162536898270197</v>
      </c>
      <c r="GA824">
        <v>46.255923241474662</v>
      </c>
      <c r="GB824">
        <v>48.538861807687596</v>
      </c>
      <c r="GC824">
        <v>3.1173648279777053</v>
      </c>
      <c r="GD824">
        <v>0.24660982597814071</v>
      </c>
      <c r="GE824">
        <v>0.64563046822043102</v>
      </c>
      <c r="GF824">
        <v>3.7737574107965948</v>
      </c>
      <c r="GG824">
        <v>8.7554523027391102</v>
      </c>
      <c r="GH824">
        <v>16.840002426159433</v>
      </c>
      <c r="GI824">
        <v>46.309129944798357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17.041493055555559</v>
      </c>
      <c r="AO825">
        <v>138.89632200866276</v>
      </c>
      <c r="AP825">
        <v>812.3910148893026</v>
      </c>
      <c r="AQ825">
        <v>215.13304014846361</v>
      </c>
      <c r="AR825">
        <v>128.92379746103239</v>
      </c>
      <c r="AS825">
        <v>1200.8821763110936</v>
      </c>
      <c r="AT825" t="e">
        <v>#DIV/0!</v>
      </c>
      <c r="AU825" t="e">
        <v>#DIV/0!</v>
      </c>
      <c r="AV825"/>
      <c r="AW825"/>
      <c r="FY825" s="211">
        <v>820</v>
      </c>
      <c r="FZ825">
        <v>8.5819575764105043</v>
      </c>
      <c r="GA825">
        <v>14.74262988483898</v>
      </c>
      <c r="GB825">
        <v>14.672727758814032</v>
      </c>
      <c r="GC825">
        <v>1.8839872780256508</v>
      </c>
      <c r="GD825">
        <v>0.37091859542585337</v>
      </c>
      <c r="GE825">
        <v>0.37527543125645169</v>
      </c>
      <c r="GF825">
        <v>2.899894605567706</v>
      </c>
      <c r="GG825">
        <v>12.645613733000786</v>
      </c>
      <c r="GH825">
        <v>22.422890605804085</v>
      </c>
      <c r="GI825">
        <v>20.668601920517023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14.745579594017093</v>
      </c>
      <c r="AO826">
        <v>165.713983303958</v>
      </c>
      <c r="AP826">
        <v>1121.3447191284845</v>
      </c>
      <c r="AQ826">
        <v>260.01645810422792</v>
      </c>
      <c r="AR826">
        <v>153.67052245151021</v>
      </c>
      <c r="AS826">
        <v>898.80513981441902</v>
      </c>
      <c r="AT826" t="e">
        <v>#DIV/0!</v>
      </c>
      <c r="AU826" t="e">
        <v>#DIV/0!</v>
      </c>
      <c r="AV826"/>
      <c r="AW826"/>
      <c r="FY826" s="211">
        <v>821</v>
      </c>
      <c r="FZ826">
        <v>24.063932492099234</v>
      </c>
      <c r="GA826">
        <v>24.08112036662957</v>
      </c>
      <c r="GB826">
        <v>37.380033312572799</v>
      </c>
      <c r="GC826">
        <v>1.3569980739701248</v>
      </c>
      <c r="GD826">
        <v>0.2287966533848648</v>
      </c>
      <c r="GE826">
        <v>5.9112266070560512E-2</v>
      </c>
      <c r="GF826">
        <v>2.2990938538685568</v>
      </c>
      <c r="GG826">
        <v>3.0604940178766382</v>
      </c>
      <c r="GH826">
        <v>9.6111648241764271</v>
      </c>
      <c r="GI826">
        <v>46.807425564190879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13.824612713675213</v>
      </c>
      <c r="AO827">
        <v>105.20922971295177</v>
      </c>
      <c r="AP827">
        <v>787.63292228315584</v>
      </c>
      <c r="AQ827">
        <v>181.78039736102309</v>
      </c>
      <c r="AR827">
        <v>97.592599953622425</v>
      </c>
      <c r="AS827">
        <v>787.59786944361451</v>
      </c>
      <c r="AT827" t="e">
        <v>#DIV/0!</v>
      </c>
      <c r="AU827" t="e">
        <v>#DIV/0!</v>
      </c>
      <c r="AV827"/>
      <c r="AW827"/>
      <c r="FY827" s="211">
        <v>822</v>
      </c>
      <c r="FZ827">
        <v>45.559814893917782</v>
      </c>
      <c r="GA827">
        <v>50.600892531862456</v>
      </c>
      <c r="GB827">
        <v>86.969854986930486</v>
      </c>
      <c r="GC827">
        <v>2.7209220582638718</v>
      </c>
      <c r="GD827">
        <v>0.402990011939383</v>
      </c>
      <c r="GE827">
        <v>0.38491309985700373</v>
      </c>
      <c r="GF827">
        <v>1.1508089394067866</v>
      </c>
      <c r="GG827">
        <v>2.0459901305043982</v>
      </c>
      <c r="GH827">
        <v>7.6426954455232705</v>
      </c>
      <c r="GI827">
        <v>78.182214332100486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14.322275641025644</v>
      </c>
      <c r="AO828">
        <v>73.706756256436179</v>
      </c>
      <c r="AP828">
        <v>315.6209375237529</v>
      </c>
      <c r="AQ828">
        <v>242.72010091145432</v>
      </c>
      <c r="AR828">
        <v>68.401938080689177</v>
      </c>
      <c r="AS828">
        <v>513.60592479802938</v>
      </c>
      <c r="AT828" t="e">
        <v>#DIV/0!</v>
      </c>
      <c r="AU828" t="e">
        <v>#DIV/0!</v>
      </c>
      <c r="AV828"/>
      <c r="AW828"/>
      <c r="FY828" s="211">
        <v>823</v>
      </c>
      <c r="FZ828">
        <v>31.659571186543868</v>
      </c>
      <c r="GA828">
        <v>39.863999387865633</v>
      </c>
      <c r="GB828">
        <v>60.434234277075845</v>
      </c>
      <c r="GC828">
        <v>3.2582702318885746</v>
      </c>
      <c r="GD828">
        <v>0.23150764619112119</v>
      </c>
      <c r="GE828">
        <v>6.4145476115377922E-2</v>
      </c>
      <c r="GF828">
        <v>0.95939839956347828</v>
      </c>
      <c r="GG828">
        <v>7.9257848903540697</v>
      </c>
      <c r="GH828">
        <v>16.840002426159433</v>
      </c>
      <c r="GI828">
        <v>51.093924818323977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8.6901976495726494</v>
      </c>
      <c r="AO829">
        <v>111.66135480803666</v>
      </c>
      <c r="AP829">
        <v>927.68211598053074</v>
      </c>
      <c r="AQ829">
        <v>133.93559573639632</v>
      </c>
      <c r="AR829">
        <v>103.56134941029703</v>
      </c>
      <c r="AS829">
        <v>424.18927646618727</v>
      </c>
      <c r="AT829" t="e">
        <v>#DIV/0!</v>
      </c>
      <c r="AU829" t="e">
        <v>#DIV/0!</v>
      </c>
      <c r="AV829"/>
      <c r="AW829"/>
      <c r="FY829" s="211">
        <v>824</v>
      </c>
      <c r="FZ829">
        <v>41.227847644920246</v>
      </c>
      <c r="GA829">
        <v>43.752094902645943</v>
      </c>
      <c r="GB829">
        <v>20.725473181429827</v>
      </c>
      <c r="GC829">
        <v>2.2656251627351587</v>
      </c>
      <c r="GD829">
        <v>0.25203181159065352</v>
      </c>
      <c r="GE829">
        <v>0.44402536592756425</v>
      </c>
      <c r="GF829">
        <v>2.6786277647437533</v>
      </c>
      <c r="GG829">
        <v>6.8942986472219117</v>
      </c>
      <c r="GH829">
        <v>15.194053003821082</v>
      </c>
      <c r="GI829">
        <v>31.385852423152134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11.269925213675213</v>
      </c>
      <c r="AO830">
        <v>96.892193206032999</v>
      </c>
      <c r="AP830">
        <v>704.56002780021186</v>
      </c>
      <c r="AQ830">
        <v>175.62934434995844</v>
      </c>
      <c r="AR830">
        <v>89.860828443688803</v>
      </c>
      <c r="AS830">
        <v>429.4452437069894</v>
      </c>
      <c r="AT830" t="e">
        <v>#DIV/0!</v>
      </c>
      <c r="AU830" t="e">
        <v>#DIV/0!</v>
      </c>
      <c r="AV830"/>
      <c r="AW830"/>
      <c r="FY830" s="211">
        <v>825</v>
      </c>
      <c r="FZ830">
        <v>47.412527225683164</v>
      </c>
      <c r="GA830">
        <v>46.807176134486326</v>
      </c>
      <c r="GB830">
        <v>30.468794658766356</v>
      </c>
      <c r="GC830">
        <v>2.011144825081788</v>
      </c>
      <c r="GD830">
        <v>0.24660982597814071</v>
      </c>
      <c r="GE830">
        <v>0.22199256138141404</v>
      </c>
      <c r="GF830">
        <v>1.4647262253149904</v>
      </c>
      <c r="GG830">
        <v>5.936151560766076</v>
      </c>
      <c r="GH830">
        <v>13.225583625167928</v>
      </c>
      <c r="GI830">
        <v>40.003640061615592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15.231730769230769</v>
      </c>
      <c r="AO831">
        <v>155.64822359312106</v>
      </c>
      <c r="AP831">
        <v>1063.1804442688929</v>
      </c>
      <c r="AQ831">
        <v>265.40046681838089</v>
      </c>
      <c r="AR831">
        <v>144.32126494802233</v>
      </c>
      <c r="AS831">
        <v>1093.5154334099363</v>
      </c>
      <c r="AT831" t="e">
        <v>#DIV/0!</v>
      </c>
      <c r="AU831" t="e">
        <v>#DIV/0!</v>
      </c>
      <c r="AV831"/>
      <c r="AW831"/>
      <c r="FY831" s="211">
        <v>826</v>
      </c>
      <c r="FZ831">
        <v>3.4655737991980318</v>
      </c>
      <c r="GA831">
        <v>13.27355457150097</v>
      </c>
      <c r="GB831">
        <v>51.180056751971179</v>
      </c>
      <c r="GC831">
        <v>2.0865668827209283</v>
      </c>
      <c r="GD831">
        <v>9.2940632823154845E-2</v>
      </c>
      <c r="GE831">
        <v>9.3701609150658172E-2</v>
      </c>
      <c r="GF831">
        <v>1.0259273963560593</v>
      </c>
      <c r="GG831">
        <v>6.1209880357532764</v>
      </c>
      <c r="GH831">
        <v>11.165776359289314</v>
      </c>
      <c r="GI831">
        <v>37.775706731951274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13.590544871794872</v>
      </c>
      <c r="AO832">
        <v>138.14423905369341</v>
      </c>
      <c r="AP832">
        <v>908.96949893513045</v>
      </c>
      <c r="AQ832">
        <v>125.32479048287313</v>
      </c>
      <c r="AR832">
        <v>128.27443176458354</v>
      </c>
      <c r="AS832">
        <v>780.13441035269432</v>
      </c>
      <c r="AT832" t="e">
        <v>#DIV/0!</v>
      </c>
      <c r="AU832" t="e">
        <v>#DIV/0!</v>
      </c>
      <c r="AV832"/>
      <c r="AW832"/>
      <c r="FY832" s="211">
        <v>827</v>
      </c>
      <c r="FZ832">
        <v>37.248838440957833</v>
      </c>
      <c r="GA832">
        <v>43.91329517591322</v>
      </c>
      <c r="GB832">
        <v>29.395071400626644</v>
      </c>
      <c r="GC832">
        <v>3.6475029245683945</v>
      </c>
      <c r="GD832">
        <v>0.3797548537335943</v>
      </c>
      <c r="GE832">
        <v>0.4786147090076619</v>
      </c>
      <c r="GF832">
        <v>3.3242581063582124</v>
      </c>
      <c r="GG832">
        <v>5.3804258522825439</v>
      </c>
      <c r="GH832">
        <v>13.639441468708196</v>
      </c>
      <c r="GI832">
        <v>37.152454298688099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13.32534722222222</v>
      </c>
      <c r="AO833">
        <v>94.458174050627832</v>
      </c>
      <c r="AP833">
        <v>553.29372618887044</v>
      </c>
      <c r="AQ833">
        <v>300.12743837644007</v>
      </c>
      <c r="AR833">
        <v>87.521349990365863</v>
      </c>
      <c r="AS833">
        <v>654.33391724445062</v>
      </c>
      <c r="AT833" t="e">
        <v>#DIV/0!</v>
      </c>
      <c r="AU833" t="e">
        <v>#DIV/0!</v>
      </c>
      <c r="AV833"/>
      <c r="AW833"/>
      <c r="FY833" s="211">
        <v>828</v>
      </c>
      <c r="FZ833">
        <v>42.245296786003948</v>
      </c>
      <c r="GA833">
        <v>50.58769104034802</v>
      </c>
      <c r="GB833">
        <v>69.91942584883634</v>
      </c>
      <c r="GC833">
        <v>4.7317647363007236</v>
      </c>
      <c r="GD833">
        <v>0.33328453732201685</v>
      </c>
      <c r="GE833">
        <v>6.4145476115377922E-2</v>
      </c>
      <c r="GF833">
        <v>0.71215933840703993</v>
      </c>
      <c r="GG833">
        <v>4.8652908724774315</v>
      </c>
      <c r="GH833">
        <v>7.2288376019830025</v>
      </c>
      <c r="GI833">
        <v>50.853873065140931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14.615584935897434</v>
      </c>
      <c r="AO834">
        <v>162.6816886789419</v>
      </c>
      <c r="AP834">
        <v>1247.9023044207293</v>
      </c>
      <c r="AQ834">
        <v>177.70099882705145</v>
      </c>
      <c r="AR834">
        <v>150.89411450277024</v>
      </c>
      <c r="AS834">
        <v>716.27424476954911</v>
      </c>
      <c r="AT834" t="e">
        <v>#DIV/0!</v>
      </c>
      <c r="AU834" t="e">
        <v>#DIV/0!</v>
      </c>
      <c r="AV834"/>
      <c r="AW834"/>
      <c r="FY834" s="211">
        <v>829</v>
      </c>
      <c r="FZ834">
        <v>41.943185403435564</v>
      </c>
      <c r="GA834">
        <v>43.271514660766073</v>
      </c>
      <c r="GB834">
        <v>33.722043920044683</v>
      </c>
      <c r="GC834">
        <v>3.8381699283756556</v>
      </c>
      <c r="GD834">
        <v>0.45217132115721681</v>
      </c>
      <c r="GE834">
        <v>0.64609946287425002</v>
      </c>
      <c r="GF834">
        <v>1.7514604631467512</v>
      </c>
      <c r="GG834">
        <v>8.9966455786427133</v>
      </c>
      <c r="GH834">
        <v>22.836748449344356</v>
      </c>
      <c r="GI834">
        <v>36.07147427551341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14.765892094017094</v>
      </c>
      <c r="AO835">
        <v>119.46796075770378</v>
      </c>
      <c r="AP835">
        <v>919.01295223870898</v>
      </c>
      <c r="AQ835">
        <v>217.64526915410221</v>
      </c>
      <c r="AR835">
        <v>110.82369266561956</v>
      </c>
      <c r="AS835">
        <v>541.28689356345581</v>
      </c>
      <c r="AT835" t="e">
        <v>#DIV/0!</v>
      </c>
      <c r="AU835" t="e">
        <v>#DIV/0!</v>
      </c>
      <c r="AV835"/>
      <c r="AW835"/>
      <c r="FY835" s="211">
        <v>830</v>
      </c>
      <c r="FZ835">
        <v>22.211220160333859</v>
      </c>
      <c r="GA835">
        <v>27.874836764005707</v>
      </c>
      <c r="GB835">
        <v>39.637112986959416</v>
      </c>
      <c r="GC835">
        <v>3.5010206378759534</v>
      </c>
      <c r="GD835">
        <v>0.30121312080848728</v>
      </c>
      <c r="GE835">
        <v>0.8381071397313008</v>
      </c>
      <c r="GF835">
        <v>6.0198452242154064</v>
      </c>
      <c r="GG835">
        <v>4.0356234600923919</v>
      </c>
      <c r="GH835">
        <v>8.0565532890635385</v>
      </c>
      <c r="GI835">
        <v>38.633232784840409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8.2072916666666664</v>
      </c>
      <c r="AO836">
        <v>62.48879000597924</v>
      </c>
      <c r="AP836">
        <v>550.89653986405403</v>
      </c>
      <c r="AQ836">
        <v>99.264497389661074</v>
      </c>
      <c r="AR836">
        <v>57.992228669601964</v>
      </c>
      <c r="AS836">
        <v>306.78753083719852</v>
      </c>
      <c r="AT836" t="e">
        <v>#DIV/0!</v>
      </c>
      <c r="AU836" t="e">
        <v>#DIV/0!</v>
      </c>
      <c r="AV836"/>
      <c r="AW836"/>
      <c r="FY836" s="211">
        <v>831</v>
      </c>
      <c r="FZ836">
        <v>24.659344818448183</v>
      </c>
      <c r="GA836">
        <v>32.265130013685877</v>
      </c>
      <c r="GB836">
        <v>55.118110475518698</v>
      </c>
      <c r="GC836">
        <v>1.3448739091692135</v>
      </c>
      <c r="GD836">
        <v>0.24590654608916915</v>
      </c>
      <c r="GE836">
        <v>0.63693078892751687</v>
      </c>
      <c r="GF836">
        <v>2.2460878134188125</v>
      </c>
      <c r="GG836">
        <v>7.5391295846197526</v>
      </c>
      <c r="GH836">
        <v>13.225583625167928</v>
      </c>
      <c r="GI836">
        <v>45.529850145074533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11.231770833333334</v>
      </c>
      <c r="AO837">
        <v>114.8652871773849</v>
      </c>
      <c r="AP837">
        <v>730.68809828093981</v>
      </c>
      <c r="AQ837">
        <v>148.94817142483964</v>
      </c>
      <c r="AR837">
        <v>106.44436081514803</v>
      </c>
      <c r="AS837">
        <v>989.29392168768322</v>
      </c>
      <c r="AT837" t="e">
        <v>#DIV/0!</v>
      </c>
      <c r="AU837" t="e">
        <v>#DIV/0!</v>
      </c>
      <c r="AV837"/>
      <c r="AW837"/>
      <c r="FY837" s="211">
        <v>832</v>
      </c>
      <c r="FZ837">
        <v>66.700135833720097</v>
      </c>
      <c r="GA837">
        <v>65.656572966990225</v>
      </c>
      <c r="GB837">
        <v>40.204852988175084</v>
      </c>
      <c r="GC837">
        <v>1.3240592842668004</v>
      </c>
      <c r="GD837">
        <v>9.5651625629411235E-2</v>
      </c>
      <c r="GE837">
        <v>0.12829095223075584</v>
      </c>
      <c r="GF837">
        <v>0.74171718346931514</v>
      </c>
      <c r="GG837">
        <v>5.1064841483810355</v>
      </c>
      <c r="GH837">
        <v>9.1973069806361583</v>
      </c>
      <c r="GI837">
        <v>42.290710610626263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18.17686965811966</v>
      </c>
      <c r="AO838">
        <v>92.383944247299041</v>
      </c>
      <c r="AP838">
        <v>561.03495350033597</v>
      </c>
      <c r="AQ838">
        <v>275.66109643030592</v>
      </c>
      <c r="AR838">
        <v>85.678779316848392</v>
      </c>
      <c r="AS838">
        <v>898.67859417347142</v>
      </c>
      <c r="AT838" t="e">
        <v>#DIV/0!</v>
      </c>
      <c r="AU838" t="e">
        <v>#DIV/0!</v>
      </c>
      <c r="AV838"/>
      <c r="AW838"/>
      <c r="FY838" s="211">
        <v>833</v>
      </c>
      <c r="FZ838">
        <v>32.374908945059175</v>
      </c>
      <c r="GA838">
        <v>40.795023299706408</v>
      </c>
      <c r="GB838">
        <v>29.650370206916435</v>
      </c>
      <c r="GC838">
        <v>1.8584820069717607</v>
      </c>
      <c r="GD838">
        <v>0.14212194204098866</v>
      </c>
      <c r="GE838">
        <v>0.44905857597238164</v>
      </c>
      <c r="GF838">
        <v>1.8072889844598812</v>
      </c>
      <c r="GG838">
        <v>13.861936451120147</v>
      </c>
      <c r="GH838">
        <v>34.09386269585913</v>
      </c>
      <c r="GI838">
        <v>37.44917337209084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16.852216880341878</v>
      </c>
      <c r="AO839">
        <v>176.65784420738478</v>
      </c>
      <c r="AP839">
        <v>1166.4756621098441</v>
      </c>
      <c r="AQ839">
        <v>212.33083874008139</v>
      </c>
      <c r="AR839">
        <v>163.86739364161141</v>
      </c>
      <c r="AS839">
        <v>1461.1780822971041</v>
      </c>
      <c r="AT839" t="e">
        <v>#DIV/0!</v>
      </c>
      <c r="AU839" t="e">
        <v>#DIV/0!</v>
      </c>
      <c r="AV839"/>
      <c r="AW839"/>
      <c r="FY839" s="211">
        <v>834</v>
      </c>
      <c r="FZ839">
        <v>19.612039810935336</v>
      </c>
      <c r="GA839">
        <v>28.792659184332059</v>
      </c>
      <c r="GB839">
        <v>42.150383179336153</v>
      </c>
      <c r="GC839">
        <v>3.4042370775731352</v>
      </c>
      <c r="GD839">
        <v>2.3235158205788711E-2</v>
      </c>
      <c r="GE839">
        <v>0.39408177380373677</v>
      </c>
      <c r="GF839">
        <v>3.5588986755658167</v>
      </c>
      <c r="GG839">
        <v>6.0816135905967892</v>
      </c>
      <c r="GH839">
        <v>15.699248734586812</v>
      </c>
      <c r="GI839">
        <v>35.349058980793359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14.942361111111115</v>
      </c>
      <c r="AO840">
        <v>109.48147528697515</v>
      </c>
      <c r="AP840">
        <v>469.04297682329627</v>
      </c>
      <c r="AQ840">
        <v>164.81992990818827</v>
      </c>
      <c r="AR840">
        <v>101.57224629389427</v>
      </c>
      <c r="AS840">
        <v>1091.4379177481419</v>
      </c>
      <c r="AT840" t="e">
        <v>#DIV/0!</v>
      </c>
      <c r="AU840" t="e">
        <v>#DIV/0!</v>
      </c>
      <c r="AV840"/>
      <c r="AW840"/>
      <c r="FY840" s="211">
        <v>835</v>
      </c>
      <c r="FZ840">
        <v>28.275974308930415</v>
      </c>
      <c r="GA840">
        <v>31.827887835239402</v>
      </c>
      <c r="GB840">
        <v>81.935206284638483</v>
      </c>
      <c r="GC840">
        <v>1.0116817636174795</v>
      </c>
      <c r="GD840">
        <v>4.9181309217833827E-2</v>
      </c>
      <c r="GE840">
        <v>2.9556133035280256E-2</v>
      </c>
      <c r="GF840">
        <v>1.9557679508572623</v>
      </c>
      <c r="GG840">
        <v>3.5926113534416686</v>
      </c>
      <c r="GH840">
        <v>7.6426954455232705</v>
      </c>
      <c r="GI840">
        <v>61.439014746317611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10.963635149572648</v>
      </c>
      <c r="AO841">
        <v>74.412548692927572</v>
      </c>
      <c r="AP841">
        <v>623.70772044172816</v>
      </c>
      <c r="AQ841">
        <v>187.79834670424177</v>
      </c>
      <c r="AR841">
        <v>69.036705020398472</v>
      </c>
      <c r="AS841">
        <v>617.45405442471997</v>
      </c>
      <c r="AT841" t="e">
        <v>#DIV/0!</v>
      </c>
      <c r="AU841" t="e">
        <v>#DIV/0!</v>
      </c>
      <c r="AV841"/>
      <c r="AW841"/>
      <c r="FY841" s="211">
        <v>836</v>
      </c>
      <c r="FZ841">
        <v>50.79612410329662</v>
      </c>
      <c r="GA841">
        <v>54.419247000180512</v>
      </c>
      <c r="GB841">
        <v>15.379961890387728</v>
      </c>
      <c r="GC841">
        <v>1.3468918343579546</v>
      </c>
      <c r="GD841">
        <v>0.26643071148870145</v>
      </c>
      <c r="GE841">
        <v>0.69604305499807739</v>
      </c>
      <c r="GF841">
        <v>3.3646656548591229</v>
      </c>
      <c r="GG841">
        <v>6.7094621722347103</v>
      </c>
      <c r="GH841">
        <v>13.225583625167928</v>
      </c>
      <c r="GI841">
        <v>29.894887986908515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10.976696047008543</v>
      </c>
      <c r="AO842">
        <v>113.09634885489149</v>
      </c>
      <c r="AP842">
        <v>877.07058348506098</v>
      </c>
      <c r="AQ842">
        <v>126.28079277071484</v>
      </c>
      <c r="AR842">
        <v>104.83991610081308</v>
      </c>
      <c r="AS842">
        <v>691.78118733533154</v>
      </c>
      <c r="AT842" t="e">
        <v>#DIV/0!</v>
      </c>
      <c r="AU842" t="e">
        <v>#DIV/0!</v>
      </c>
      <c r="AV842"/>
      <c r="AW842"/>
      <c r="FY842" s="211">
        <v>837</v>
      </c>
      <c r="FZ842">
        <v>28.39589974109677</v>
      </c>
      <c r="GA842">
        <v>32.553542493032758</v>
      </c>
      <c r="GB842">
        <v>17.001210698712057</v>
      </c>
      <c r="GC842">
        <v>2.0127212484594796</v>
      </c>
      <c r="GD842">
        <v>0.23150764619112119</v>
      </c>
      <c r="GE842">
        <v>9.3701609150658172E-2</v>
      </c>
      <c r="GF842">
        <v>1.9035250542739217</v>
      </c>
      <c r="GG842">
        <v>10.840816878399995</v>
      </c>
      <c r="GH842">
        <v>16.748664538933976</v>
      </c>
      <c r="GI842">
        <v>22.580659131067016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12.461030982905982</v>
      </c>
      <c r="AO843">
        <v>78.564292862888038</v>
      </c>
      <c r="AP843">
        <v>594.11846513343016</v>
      </c>
      <c r="AQ843">
        <v>174.55965723084441</v>
      </c>
      <c r="AR843">
        <v>72.912298958920118</v>
      </c>
      <c r="AS843">
        <v>586.71090839032195</v>
      </c>
      <c r="AT843" t="e">
        <v>#DIV/0!</v>
      </c>
      <c r="AU843" t="e">
        <v>#DIV/0!</v>
      </c>
      <c r="AV843"/>
      <c r="AW843"/>
      <c r="FY843" s="211">
        <v>838</v>
      </c>
      <c r="FZ843">
        <v>17.365817506571943</v>
      </c>
      <c r="GA843">
        <v>26.906194273480601</v>
      </c>
      <c r="GB843">
        <v>26.372765831230268</v>
      </c>
      <c r="GC843">
        <v>0.89030656062378999</v>
      </c>
      <c r="GD843">
        <v>4.9181309217833827E-2</v>
      </c>
      <c r="GE843">
        <v>0.26118636301724629</v>
      </c>
      <c r="GF843">
        <v>2.4933268745752506</v>
      </c>
      <c r="GG843">
        <v>8.5706158277519098</v>
      </c>
      <c r="GH843">
        <v>10.843256402974506</v>
      </c>
      <c r="GI843">
        <v>27.432621778719039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16.463154380341884</v>
      </c>
      <c r="AO844">
        <v>188.43867693598145</v>
      </c>
      <c r="AP844">
        <v>1402.1323399905946</v>
      </c>
      <c r="AQ844">
        <v>231.54176930293485</v>
      </c>
      <c r="AR844">
        <v>174.75910083161327</v>
      </c>
      <c r="AS844">
        <v>921.74714738846694</v>
      </c>
      <c r="AT844" t="e">
        <v>#DIV/0!</v>
      </c>
      <c r="AU844" t="e">
        <v>#DIV/0!</v>
      </c>
      <c r="AV844"/>
      <c r="AW844"/>
      <c r="FY844" s="211">
        <v>839</v>
      </c>
      <c r="FZ844">
        <v>36.111463867707769</v>
      </c>
      <c r="GA844">
        <v>42.707060276239979</v>
      </c>
      <c r="GB844">
        <v>48.73076840204277</v>
      </c>
      <c r="GC844">
        <v>1.7324868640154305</v>
      </c>
      <c r="GD844">
        <v>0.27526696979644216</v>
      </c>
      <c r="GE844">
        <v>0.3253318391326242</v>
      </c>
      <c r="GF844">
        <v>1.6157292166573882</v>
      </c>
      <c r="GG844">
        <v>4.8652908724774315</v>
      </c>
      <c r="GH844">
        <v>19.313667535578311</v>
      </c>
      <c r="GI844">
        <v>46.340260015089797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12.250827991452988</v>
      </c>
      <c r="AO845">
        <v>104.44847137359667</v>
      </c>
      <c r="AP845">
        <v>653.5434803620758</v>
      </c>
      <c r="AQ845">
        <v>193.52951346330065</v>
      </c>
      <c r="AR845">
        <v>97.029217109585375</v>
      </c>
      <c r="AS845">
        <v>629.38857492266652</v>
      </c>
      <c r="AT845" t="e">
        <v>#DIV/0!</v>
      </c>
      <c r="AU845" t="e">
        <v>#DIV/0!</v>
      </c>
      <c r="AV845"/>
      <c r="AW845"/>
      <c r="FY845" s="211">
        <v>840</v>
      </c>
      <c r="FZ845">
        <v>46.2751526524331</v>
      </c>
      <c r="GA845">
        <v>51.531916443703238</v>
      </c>
      <c r="GB845">
        <v>20.285541993886063</v>
      </c>
      <c r="GC845">
        <v>1.2014744084971736</v>
      </c>
      <c r="GD845">
        <v>0.19130325125882247</v>
      </c>
      <c r="GE845">
        <v>0.57278531281213896</v>
      </c>
      <c r="GF845">
        <v>1.7811675361682109</v>
      </c>
      <c r="GG845">
        <v>6.7658189731511165</v>
      </c>
      <c r="GH845">
        <v>13.225583625167928</v>
      </c>
      <c r="GI845">
        <v>24.269664572053475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17.052043269230769</v>
      </c>
      <c r="AO846">
        <v>176.44737118751169</v>
      </c>
      <c r="AP846">
        <v>1223.048125062543</v>
      </c>
      <c r="AQ846">
        <v>151.10876556792647</v>
      </c>
      <c r="AR846">
        <v>163.70454287487166</v>
      </c>
      <c r="AS846">
        <v>1257.9291826308261</v>
      </c>
      <c r="AT846" t="e">
        <v>#DIV/0!</v>
      </c>
      <c r="AU846" t="e">
        <v>#DIV/0!</v>
      </c>
      <c r="AV846"/>
      <c r="AW846"/>
      <c r="FY846" s="211">
        <v>841</v>
      </c>
      <c r="FZ846">
        <v>28.275974308930415</v>
      </c>
      <c r="GA846">
        <v>36.347258890408895</v>
      </c>
      <c r="GB846">
        <v>36.746198905076525</v>
      </c>
      <c r="GC846">
        <v>2.4461072215007356</v>
      </c>
      <c r="GD846">
        <v>0.3736295882321099</v>
      </c>
      <c r="GE846">
        <v>0.8635278088646654</v>
      </c>
      <c r="GF846">
        <v>3.0507483689509192</v>
      </c>
      <c r="GG846">
        <v>8.9402887777263089</v>
      </c>
      <c r="GH846">
        <v>18.808471804812587</v>
      </c>
      <c r="GI846">
        <v>37.496454162776082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10.655649038461537</v>
      </c>
      <c r="AO847">
        <v>59.484668552185369</v>
      </c>
      <c r="AP847">
        <v>599.28760224747634</v>
      </c>
      <c r="AQ847">
        <v>182.81094772011969</v>
      </c>
      <c r="AR847">
        <v>55.204837335761816</v>
      </c>
      <c r="AS847">
        <v>353.14544009332081</v>
      </c>
      <c r="AT847" t="e">
        <v>#DIV/0!</v>
      </c>
      <c r="AU847" t="e">
        <v>#DIV/0!</v>
      </c>
      <c r="AV847"/>
      <c r="AW847"/>
      <c r="FY847" s="211">
        <v>842</v>
      </c>
      <c r="FZ847">
        <v>50.080786344781302</v>
      </c>
      <c r="GA847">
        <v>61.254843137882574</v>
      </c>
      <c r="GB847">
        <v>37.777591189240709</v>
      </c>
      <c r="GC847">
        <v>2.0945945478077577</v>
      </c>
      <c r="GD847">
        <v>0.32444827901427609</v>
      </c>
      <c r="GE847">
        <v>0.38491309985700373</v>
      </c>
      <c r="GF847">
        <v>2.2460878134188125</v>
      </c>
      <c r="GG847">
        <v>7.5391295846197526</v>
      </c>
      <c r="GH847">
        <v>9.1973069806361583</v>
      </c>
      <c r="GI847">
        <v>40.264768595481797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15.038715277777779</v>
      </c>
      <c r="AO848">
        <v>143.43677630705162</v>
      </c>
      <c r="AP848">
        <v>690.60092969586594</v>
      </c>
      <c r="AQ848">
        <v>231.44578257412516</v>
      </c>
      <c r="AR848">
        <v>132.92363412666478</v>
      </c>
      <c r="AS848">
        <v>1413.9085319637618</v>
      </c>
      <c r="AT848" t="e">
        <v>#DIV/0!</v>
      </c>
      <c r="AU848" t="e">
        <v>#DIV/0!</v>
      </c>
      <c r="AV848"/>
      <c r="AW848"/>
      <c r="FY848" s="211">
        <v>843</v>
      </c>
      <c r="FZ848">
        <v>25.827849650816088</v>
      </c>
      <c r="GA848">
        <v>31.108884266864642</v>
      </c>
      <c r="GB848">
        <v>36.176641129203894</v>
      </c>
      <c r="GC848">
        <v>1.4744161320158466</v>
      </c>
      <c r="GD848">
        <v>0.19401424406507889</v>
      </c>
      <c r="GE848">
        <v>0.60234144584741922</v>
      </c>
      <c r="GF848">
        <v>1.6822582134499693</v>
      </c>
      <c r="GG848">
        <v>0</v>
      </c>
      <c r="GH848">
        <v>8.0565532890635385</v>
      </c>
      <c r="GI848">
        <v>32.831738730913763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10.250227029914528</v>
      </c>
      <c r="AO849">
        <v>59.316005587914127</v>
      </c>
      <c r="AP849">
        <v>666.01062531353739</v>
      </c>
      <c r="AQ849">
        <v>192.48222648019714</v>
      </c>
      <c r="AR849">
        <v>55.211529608751292</v>
      </c>
      <c r="AS849">
        <v>297.12996325797212</v>
      </c>
      <c r="AT849" t="e">
        <v>#DIV/0!</v>
      </c>
      <c r="AU849" t="e">
        <v>#DIV/0!</v>
      </c>
      <c r="AV849"/>
      <c r="AW849"/>
      <c r="FY849" s="211">
        <v>844</v>
      </c>
      <c r="FZ849">
        <v>29.26229319089628</v>
      </c>
      <c r="GA849">
        <v>31.635720072706405</v>
      </c>
      <c r="GB849">
        <v>43.197367949776037</v>
      </c>
      <c r="GC849">
        <v>3.658530791784262</v>
      </c>
      <c r="GD849">
        <v>0.38246584653985072</v>
      </c>
      <c r="GE849">
        <v>0.58195398675887211</v>
      </c>
      <c r="GF849">
        <v>3.3673389077633242</v>
      </c>
      <c r="GG849">
        <v>9.3269440834606279</v>
      </c>
      <c r="GH849">
        <v>15.194053003821082</v>
      </c>
      <c r="GI849">
        <v>44.310809478322149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15.334561965811963</v>
      </c>
      <c r="AO850">
        <v>191.9617082618411</v>
      </c>
      <c r="AP850">
        <v>1125.120017079217</v>
      </c>
      <c r="AQ850">
        <v>155.06545616572896</v>
      </c>
      <c r="AR850">
        <v>178.29190310728606</v>
      </c>
      <c r="AS850">
        <v>1138.0001841502783</v>
      </c>
      <c r="AT850" t="e">
        <v>#DIV/0!</v>
      </c>
      <c r="AU850" t="e">
        <v>#DIV/0!</v>
      </c>
      <c r="AV850"/>
      <c r="AW850"/>
      <c r="FY850" s="211">
        <v>845</v>
      </c>
      <c r="FZ850">
        <v>13.780318275207552</v>
      </c>
      <c r="GA850">
        <v>16.366254382025662</v>
      </c>
      <c r="GB850">
        <v>35.485312630265923</v>
      </c>
      <c r="GC850">
        <v>1.1330569666111692</v>
      </c>
      <c r="GD850">
        <v>9.5651625629411235E-2</v>
      </c>
      <c r="GE850">
        <v>0.48778338295439488</v>
      </c>
      <c r="GF850">
        <v>3.2423081367534121</v>
      </c>
      <c r="GG850">
        <v>8.7554523027391102</v>
      </c>
      <c r="GH850">
        <v>12.811725781627663</v>
      </c>
      <c r="GI850">
        <v>32.774165439742866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12.689196047008545</v>
      </c>
      <c r="AO851">
        <v>65.422571730747265</v>
      </c>
      <c r="AP851">
        <v>321.01275107526442</v>
      </c>
      <c r="AQ851">
        <v>217.75957713081866</v>
      </c>
      <c r="AR851">
        <v>60.697208766056818</v>
      </c>
      <c r="AS851">
        <v>557.66492401475057</v>
      </c>
      <c r="AT851" t="e">
        <v>#DIV/0!</v>
      </c>
      <c r="AU851" t="e">
        <v>#DIV/0!</v>
      </c>
      <c r="AV851"/>
      <c r="AW851"/>
      <c r="FY851" s="211">
        <v>846</v>
      </c>
      <c r="FZ851">
        <v>29.533274314346837</v>
      </c>
      <c r="GA851">
        <v>39.902772945062168</v>
      </c>
      <c r="GB851">
        <v>55.135391831511129</v>
      </c>
      <c r="GC851">
        <v>1.9150947659824782</v>
      </c>
      <c r="GD851">
        <v>0.14483293484724508</v>
      </c>
      <c r="GE851">
        <v>0.70521172894481055</v>
      </c>
      <c r="GF851">
        <v>3.5821976429941018</v>
      </c>
      <c r="GG851">
        <v>5.8797947598496716</v>
      </c>
      <c r="GH851">
        <v>13.225583625167928</v>
      </c>
      <c r="GI851">
        <v>44.960678603851406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11.120446047008546</v>
      </c>
      <c r="AO852">
        <v>58.62335756471947</v>
      </c>
      <c r="AP852">
        <v>323.08997181029014</v>
      </c>
      <c r="AQ852">
        <v>176.09929803387988</v>
      </c>
      <c r="AR852">
        <v>54.34916284142858</v>
      </c>
      <c r="AS852">
        <v>468.72871604589642</v>
      </c>
      <c r="AT852" t="e">
        <v>#DIV/0!</v>
      </c>
      <c r="AU852" t="e">
        <v>#DIV/0!</v>
      </c>
      <c r="AV852"/>
      <c r="AW852"/>
      <c r="FY852" s="211">
        <v>847</v>
      </c>
      <c r="FZ852">
        <v>20.831391305769973</v>
      </c>
      <c r="GA852">
        <v>30.153443267853966</v>
      </c>
      <c r="GB852">
        <v>67.894605105116227</v>
      </c>
      <c r="GC852">
        <v>3.0293424339652244</v>
      </c>
      <c r="GD852">
        <v>0.27797796260269864</v>
      </c>
      <c r="GE852">
        <v>0.24698447902569581</v>
      </c>
      <c r="GF852">
        <v>3.8070501085478434</v>
      </c>
      <c r="GG852">
        <v>13.531637946302233</v>
      </c>
      <c r="GH852">
        <v>26.451167250335857</v>
      </c>
      <c r="GI852">
        <v>61.65397376661987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7.6588541666666661</v>
      </c>
      <c r="AO853">
        <v>57.444692734308958</v>
      </c>
      <c r="AP853">
        <v>401.68420971674726</v>
      </c>
      <c r="AQ853">
        <v>132.36224903931776</v>
      </c>
      <c r="AR853">
        <v>53.215003187471225</v>
      </c>
      <c r="AS853">
        <v>283.92267589842044</v>
      </c>
      <c r="AT853" t="e">
        <v>#DIV/0!</v>
      </c>
      <c r="AU853" t="e">
        <v>#DIV/0!</v>
      </c>
      <c r="AV853"/>
      <c r="AW853"/>
      <c r="FY853" s="211">
        <v>848</v>
      </c>
      <c r="FZ853">
        <v>34.378676968108749</v>
      </c>
      <c r="GA853">
        <v>36.564064723883803</v>
      </c>
      <c r="GB853">
        <v>41.082105294467269</v>
      </c>
      <c r="GC853">
        <v>1.1941817475717977</v>
      </c>
      <c r="GD853">
        <v>0.16806809305303377</v>
      </c>
      <c r="GE853">
        <v>0.18787221295513531</v>
      </c>
      <c r="GF853">
        <v>0.87759765791786248</v>
      </c>
      <c r="GG853">
        <v>5.7513150857788764</v>
      </c>
      <c r="GH853">
        <v>15.285390891046541</v>
      </c>
      <c r="GI853">
        <v>46.086783260904753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9.9063835470085468</v>
      </c>
      <c r="AO854">
        <v>101.87760102952703</v>
      </c>
      <c r="AP854">
        <v>676.37432551057088</v>
      </c>
      <c r="AQ854">
        <v>121.18527272816237</v>
      </c>
      <c r="AR854">
        <v>94.403935314020032</v>
      </c>
      <c r="AS854">
        <v>657.80264802674469</v>
      </c>
      <c r="AT854" t="e">
        <v>#DIV/0!</v>
      </c>
      <c r="AU854" t="e">
        <v>#DIV/0!</v>
      </c>
      <c r="AV854"/>
      <c r="AW854"/>
      <c r="FY854" s="211">
        <v>849</v>
      </c>
      <c r="FZ854">
        <v>18.827623282720403</v>
      </c>
      <c r="GA854">
        <v>26.193741107201674</v>
      </c>
      <c r="GB854">
        <v>34.652119100655788</v>
      </c>
      <c r="GC854">
        <v>1.3937611501380374</v>
      </c>
      <c r="GD854">
        <v>6.9705474617366134E-2</v>
      </c>
      <c r="GE854">
        <v>2.9556133035280256E-2</v>
      </c>
      <c r="GF854">
        <v>2.4206882281078643</v>
      </c>
      <c r="GG854">
        <v>4.3659219649103038</v>
      </c>
      <c r="GH854">
        <v>7.6426954455232705</v>
      </c>
      <c r="GI854">
        <v>34.354374822903182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12.467708333333331</v>
      </c>
      <c r="AO855">
        <v>84.034134705182993</v>
      </c>
      <c r="AP855">
        <v>603.33688738961314</v>
      </c>
      <c r="AQ855">
        <v>202.01732585873793</v>
      </c>
      <c r="AR855">
        <v>78.096281814471638</v>
      </c>
      <c r="AS855">
        <v>552.16645815369623</v>
      </c>
      <c r="AT855" t="e">
        <v>#DIV/0!</v>
      </c>
      <c r="AU855" t="e">
        <v>#DIV/0!</v>
      </c>
      <c r="AV855"/>
      <c r="AW855"/>
      <c r="FY855" s="211">
        <v>850</v>
      </c>
      <c r="FZ855">
        <v>19.612039810935336</v>
      </c>
      <c r="GA855">
        <v>20.814018791323178</v>
      </c>
      <c r="GB855">
        <v>6.0998563193934414</v>
      </c>
      <c r="GC855">
        <v>0.93347756404492932</v>
      </c>
      <c r="GD855">
        <v>0.19401424406507889</v>
      </c>
      <c r="GE855">
        <v>0.70521172894481055</v>
      </c>
      <c r="GF855">
        <v>4.707034362068403</v>
      </c>
      <c r="GG855">
        <v>13.677099976132947</v>
      </c>
      <c r="GH855">
        <v>24.068840028142432</v>
      </c>
      <c r="GI855">
        <v>17.433919404947609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9.9668402777777771</v>
      </c>
      <c r="AO856">
        <v>106.93046526706239</v>
      </c>
      <c r="AP856">
        <v>981.9431247870923</v>
      </c>
      <c r="AQ856">
        <v>166.10040876913126</v>
      </c>
      <c r="AR856">
        <v>99.217635772567959</v>
      </c>
      <c r="AS856">
        <v>544.56787905341582</v>
      </c>
      <c r="AT856" t="e">
        <v>#DIV/0!</v>
      </c>
      <c r="AU856" t="e">
        <v>#DIV/0!</v>
      </c>
      <c r="AV856"/>
      <c r="AW856"/>
      <c r="FY856" s="211">
        <v>851</v>
      </c>
      <c r="FZ856">
        <v>26.93409396494831</v>
      </c>
      <c r="GA856">
        <v>28.958644947608214</v>
      </c>
      <c r="GB856">
        <v>18.493717021308026</v>
      </c>
      <c r="GC856">
        <v>1.6690561126938208</v>
      </c>
      <c r="GD856">
        <v>0.12159777664145635</v>
      </c>
      <c r="GE856">
        <v>0.15784708526603611</v>
      </c>
      <c r="GF856">
        <v>1.2731664575124977</v>
      </c>
      <c r="GG856">
        <v>11.227472184134314</v>
      </c>
      <c r="GH856">
        <v>20.363083339925474</v>
      </c>
      <c r="GI856">
        <v>31.191699096799017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12.992147435897433</v>
      </c>
      <c r="AO857">
        <v>91.506111017234701</v>
      </c>
      <c r="AP857">
        <v>771.11252900783211</v>
      </c>
      <c r="AQ857">
        <v>173.34865983727923</v>
      </c>
      <c r="AR857">
        <v>84.823665614820783</v>
      </c>
      <c r="AS857">
        <v>523.12974770248115</v>
      </c>
      <c r="AT857" t="e">
        <v>#DIV/0!</v>
      </c>
      <c r="AU857" t="e">
        <v>#DIV/0!</v>
      </c>
      <c r="AV857"/>
      <c r="AW857"/>
      <c r="FY857" s="211">
        <v>852</v>
      </c>
      <c r="FZ857">
        <v>49.145314125282184</v>
      </c>
      <c r="GA857">
        <v>50.902506502723774</v>
      </c>
      <c r="GB857">
        <v>28.481867165686207</v>
      </c>
      <c r="GC857">
        <v>3.8862489169316756</v>
      </c>
      <c r="GD857">
        <v>0.3797548537335943</v>
      </c>
      <c r="GE857">
        <v>0.64106625282943253</v>
      </c>
      <c r="GF857">
        <v>4.2125562397555258</v>
      </c>
      <c r="GG857">
        <v>5.4931394541153544</v>
      </c>
      <c r="GH857">
        <v>5.582888179644657</v>
      </c>
      <c r="GI857">
        <v>39.182888404285066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13.256557158119657</v>
      </c>
      <c r="AO858">
        <v>84.234393035329347</v>
      </c>
      <c r="AP858">
        <v>605.53480890487367</v>
      </c>
      <c r="AQ858">
        <v>211.16446957274016</v>
      </c>
      <c r="AR858">
        <v>78.08218971597239</v>
      </c>
      <c r="AS858">
        <v>563.90521208460041</v>
      </c>
      <c r="AT858" t="e">
        <v>#DIV/0!</v>
      </c>
      <c r="AU858" t="e">
        <v>#DIV/0!</v>
      </c>
      <c r="AV858"/>
      <c r="AW858"/>
      <c r="FY858" s="211">
        <v>853</v>
      </c>
      <c r="FZ858">
        <v>40.29237542542112</v>
      </c>
      <c r="GA858">
        <v>49.357039053504906</v>
      </c>
      <c r="GB858">
        <v>20.536823367045319</v>
      </c>
      <c r="GC858">
        <v>0.58811398501615419</v>
      </c>
      <c r="GD858">
        <v>4.6470316411577423E-2</v>
      </c>
      <c r="GE858">
        <v>0.6206787937408853</v>
      </c>
      <c r="GF858">
        <v>5.5406388467555656</v>
      </c>
      <c r="GG858">
        <v>15.150382042393895</v>
      </c>
      <c r="GH858">
        <v>28.419636628989011</v>
      </c>
      <c r="GI858">
        <v>32.486491748898032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12.044057158119658</v>
      </c>
      <c r="AO859">
        <v>106.50666340072056</v>
      </c>
      <c r="AP859">
        <v>480.47753576252023</v>
      </c>
      <c r="AQ859">
        <v>137.95469710224023</v>
      </c>
      <c r="AR859">
        <v>98.877731962013641</v>
      </c>
      <c r="AS859">
        <v>724.30374735800513</v>
      </c>
      <c r="AT859" t="e">
        <v>#DIV/0!</v>
      </c>
      <c r="AU859" t="e">
        <v>#DIV/0!</v>
      </c>
      <c r="AV859"/>
      <c r="AW859"/>
      <c r="FY859" s="211">
        <v>854</v>
      </c>
      <c r="FZ859">
        <v>19.09860440617096</v>
      </c>
      <c r="GA859">
        <v>18.503513193539682</v>
      </c>
      <c r="GB859">
        <v>65.321254565186749</v>
      </c>
      <c r="GC859">
        <v>3.0382862694775872</v>
      </c>
      <c r="GD859">
        <v>0.17690435136077456</v>
      </c>
      <c r="GE859">
        <v>0.19704088690186838</v>
      </c>
      <c r="GF859">
        <v>2.9843686001175227</v>
      </c>
      <c r="GG859">
        <v>11.31657741304862</v>
      </c>
      <c r="GH859">
        <v>18.808471804812587</v>
      </c>
      <c r="GI859">
        <v>52.106248076395069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13.291065705128201</v>
      </c>
      <c r="AO860">
        <v>95.133239232665773</v>
      </c>
      <c r="AP860">
        <v>778.91014083453024</v>
      </c>
      <c r="AQ860">
        <v>180.91747731182886</v>
      </c>
      <c r="AR860">
        <v>88.261557556978545</v>
      </c>
      <c r="AS860">
        <v>442.16477874954023</v>
      </c>
      <c r="AT860" t="e">
        <v>#DIV/0!</v>
      </c>
      <c r="AU860" t="e">
        <v>#DIV/0!</v>
      </c>
      <c r="AV860"/>
      <c r="AW860"/>
      <c r="FY860" s="211">
        <v>855</v>
      </c>
      <c r="FZ860">
        <v>32.796945759793935</v>
      </c>
      <c r="GA860">
        <v>38.810548759954116</v>
      </c>
      <c r="GB860">
        <v>22.475790588547813</v>
      </c>
      <c r="GC860">
        <v>2.3927827097912959</v>
      </c>
      <c r="GD860">
        <v>0.42009990464368735</v>
      </c>
      <c r="GE860">
        <v>1.0859893648998986</v>
      </c>
      <c r="GF860">
        <v>1.7775819114384215</v>
      </c>
      <c r="GG860">
        <v>2.8193007419730334</v>
      </c>
      <c r="GH860">
        <v>3.6144188009915013</v>
      </c>
      <c r="GI860">
        <v>27.714768434486245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11.635376602564101</v>
      </c>
      <c r="AO861">
        <v>85.375017221578872</v>
      </c>
      <c r="AP861">
        <v>765.50788009115456</v>
      </c>
      <c r="AQ861">
        <v>124.93202892355714</v>
      </c>
      <c r="AR861">
        <v>79.099485491044845</v>
      </c>
      <c r="AS861">
        <v>637.6649205561913</v>
      </c>
      <c r="AT861" t="e">
        <v>#DIV/0!</v>
      </c>
      <c r="AU861" t="e">
        <v>#DIV/0!</v>
      </c>
      <c r="AV861"/>
      <c r="AW861"/>
      <c r="FY861" s="211">
        <v>856</v>
      </c>
      <c r="FZ861">
        <v>26.814168532781956</v>
      </c>
      <c r="GA861">
        <v>32.752361344984351</v>
      </c>
      <c r="GB861">
        <v>29.896219490598646</v>
      </c>
      <c r="GC861">
        <v>1.9642755093017057</v>
      </c>
      <c r="GD861">
        <v>0.52117351588561134</v>
      </c>
      <c r="GE861">
        <v>0.75148885182054126</v>
      </c>
      <c r="GF861">
        <v>0.49447812231287674</v>
      </c>
      <c r="GG861">
        <v>10.212968296762071</v>
      </c>
      <c r="GH861">
        <v>18.394613961272317</v>
      </c>
      <c r="GI861">
        <v>38.491252923004623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14.782251602564099</v>
      </c>
      <c r="AO862">
        <v>144.45933110249038</v>
      </c>
      <c r="AP862">
        <v>940.74304946319842</v>
      </c>
      <c r="AQ862">
        <v>194.98483315255777</v>
      </c>
      <c r="AR862">
        <v>133.96191539779423</v>
      </c>
      <c r="AS862">
        <v>781.32584660395821</v>
      </c>
      <c r="AT862" t="e">
        <v>#DIV/0!</v>
      </c>
      <c r="AU862" t="e">
        <v>#DIV/0!</v>
      </c>
      <c r="AV862"/>
      <c r="AW862"/>
      <c r="FY862" s="211">
        <v>857</v>
      </c>
      <c r="FZ862">
        <v>64.545312119386338</v>
      </c>
      <c r="GA862">
        <v>65.59338232262381</v>
      </c>
      <c r="GB862">
        <v>7.2120697506981273</v>
      </c>
      <c r="GC862">
        <v>0.85002784131895948</v>
      </c>
      <c r="GD862">
        <v>9.5651625629411235E-2</v>
      </c>
      <c r="GE862">
        <v>0.41446923289228399</v>
      </c>
      <c r="GF862">
        <v>2.1210570424089008</v>
      </c>
      <c r="GG862">
        <v>8.9966455786427133</v>
      </c>
      <c r="GH862">
        <v>14.780195160280819</v>
      </c>
      <c r="GI862">
        <v>22.093396178848192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17.642494658119659</v>
      </c>
      <c r="AO863">
        <v>124.9022733350125</v>
      </c>
      <c r="AP863">
        <v>797.86408937856334</v>
      </c>
      <c r="AQ863">
        <v>227.87757362613962</v>
      </c>
      <c r="AR863">
        <v>115.88155099548838</v>
      </c>
      <c r="AS863">
        <v>880.93374602365907</v>
      </c>
      <c r="AT863" t="e">
        <v>#DIV/0!</v>
      </c>
      <c r="AU863" t="e">
        <v>#DIV/0!</v>
      </c>
      <c r="AV863"/>
      <c r="AW863"/>
      <c r="FY863" s="211">
        <v>858</v>
      </c>
      <c r="FZ863">
        <v>13.90024370737391</v>
      </c>
      <c r="GA863">
        <v>20.975219064590448</v>
      </c>
      <c r="GB863">
        <v>49.027714374654671</v>
      </c>
      <c r="GC863">
        <v>4.2621044575787348</v>
      </c>
      <c r="GD863">
        <v>0.53000977419335216</v>
      </c>
      <c r="GE863">
        <v>0.4348566919808311</v>
      </c>
      <c r="GF863">
        <v>3.2028129600780901</v>
      </c>
      <c r="GG863">
        <v>4.6634720417303139</v>
      </c>
      <c r="GH863">
        <v>9.6111648241764271</v>
      </c>
      <c r="GI863">
        <v>40.991841956640826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13.092841880341879</v>
      </c>
      <c r="AO864">
        <v>95.020069539874342</v>
      </c>
      <c r="AP864">
        <v>502.41133924614275</v>
      </c>
      <c r="AQ864">
        <v>181.57605593568783</v>
      </c>
      <c r="AR864">
        <v>88.307928362178345</v>
      </c>
      <c r="AS864">
        <v>867.80482835567659</v>
      </c>
      <c r="AT864" t="e">
        <v>#DIV/0!</v>
      </c>
      <c r="AU864" t="e">
        <v>#DIV/0!</v>
      </c>
      <c r="AV864"/>
      <c r="AW864"/>
      <c r="FY864" s="211">
        <v>859</v>
      </c>
      <c r="FZ864">
        <v>44.662291185000434</v>
      </c>
      <c r="GA864">
        <v>48.162240733259139</v>
      </c>
      <c r="GB864">
        <v>37.101407450584198</v>
      </c>
      <c r="GC864">
        <v>2.3696621145279018</v>
      </c>
      <c r="GD864">
        <v>0.17077908585929019</v>
      </c>
      <c r="GE864">
        <v>0.44905857597238164</v>
      </c>
      <c r="GF864">
        <v>1.0951296460528412</v>
      </c>
      <c r="GG864">
        <v>3.8901614302616783</v>
      </c>
      <c r="GH864">
        <v>9.6111648241764271</v>
      </c>
      <c r="GI864">
        <v>34.283865695727414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10.209468482905981</v>
      </c>
      <c r="AO865">
        <v>106.61263208026128</v>
      </c>
      <c r="AP865">
        <v>726.24898246134615</v>
      </c>
      <c r="AQ865">
        <v>129.95018670981318</v>
      </c>
      <c r="AR865">
        <v>98.906912244270202</v>
      </c>
      <c r="AS865">
        <v>678.7503514636187</v>
      </c>
      <c r="AT865" t="e">
        <v>#DIV/0!</v>
      </c>
      <c r="AU865" t="e">
        <v>#DIV/0!</v>
      </c>
      <c r="AV865"/>
      <c r="AW865"/>
      <c r="FY865" s="211">
        <v>860</v>
      </c>
      <c r="FZ865">
        <v>44.573496011951917</v>
      </c>
      <c r="GA865">
        <v>51.217100981327484</v>
      </c>
      <c r="GB865">
        <v>23.150566962869121</v>
      </c>
      <c r="GC865">
        <v>2.2440770366292369</v>
      </c>
      <c r="GD865">
        <v>0.22337466777235196</v>
      </c>
      <c r="GE865">
        <v>0.3253318391326242</v>
      </c>
      <c r="GF865">
        <v>2.4637690295129757</v>
      </c>
      <c r="GG865">
        <v>7.2979363087161477</v>
      </c>
      <c r="GH865">
        <v>19.313667535578311</v>
      </c>
      <c r="GI865">
        <v>36.002324647903777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9.9295138888888879</v>
      </c>
      <c r="AO866">
        <v>61.970622955106137</v>
      </c>
      <c r="AP866">
        <v>412.9739354254171</v>
      </c>
      <c r="AQ866">
        <v>108.24551222999816</v>
      </c>
      <c r="AR866">
        <v>57.396911328326155</v>
      </c>
      <c r="AS866">
        <v>737.0386274798351</v>
      </c>
      <c r="AT866" t="e">
        <v>#DIV/0!</v>
      </c>
      <c r="AU866" t="e">
        <v>#DIV/0!</v>
      </c>
      <c r="AV866"/>
      <c r="AW866"/>
      <c r="FY866" s="211">
        <v>861</v>
      </c>
      <c r="FZ866">
        <v>53.244248761410937</v>
      </c>
      <c r="GA866">
        <v>55.562291255487303</v>
      </c>
      <c r="GB866">
        <v>47.031210724810165</v>
      </c>
      <c r="GC866">
        <v>2.011144825081788</v>
      </c>
      <c r="GD866">
        <v>0.32173728620801967</v>
      </c>
      <c r="GE866">
        <v>1.1639079735177442</v>
      </c>
      <c r="GF866">
        <v>3.8024028840332815</v>
      </c>
      <c r="GG866">
        <v>6.6531053713183059</v>
      </c>
      <c r="GH866">
        <v>17.253860269699697</v>
      </c>
      <c r="GI866">
        <v>55.061205836291109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12.408253205128206</v>
      </c>
      <c r="AO867">
        <v>102.07970068392025</v>
      </c>
      <c r="AP867">
        <v>623.72819639375348</v>
      </c>
      <c r="AQ867">
        <v>140.39037798683719</v>
      </c>
      <c r="AR867">
        <v>94.575524254362648</v>
      </c>
      <c r="AS867">
        <v>1090.5392681645189</v>
      </c>
      <c r="AT867" t="e">
        <v>#DIV/0!</v>
      </c>
      <c r="AU867" t="e">
        <v>#DIV/0!</v>
      </c>
      <c r="AV867"/>
      <c r="AW867"/>
      <c r="FY867" s="211">
        <v>862</v>
      </c>
      <c r="FZ867">
        <v>23.792951368648676</v>
      </c>
      <c r="GA867">
        <v>29.935703439638857</v>
      </c>
      <c r="GB867">
        <v>69.432709877580237</v>
      </c>
      <c r="GC867">
        <v>1.6230556986631424</v>
      </c>
      <c r="GD867">
        <v>9.5651625629411235E-2</v>
      </c>
      <c r="GE867">
        <v>0.26118636301724629</v>
      </c>
      <c r="GF867">
        <v>1.5896077683657179</v>
      </c>
      <c r="GG867">
        <v>5.936151560766076</v>
      </c>
      <c r="GH867">
        <v>17.253860269699697</v>
      </c>
      <c r="GI867">
        <v>54.264698958364121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17.879433760683757</v>
      </c>
      <c r="AO868">
        <v>160.21909280595133</v>
      </c>
      <c r="AP868">
        <v>813.20070027562019</v>
      </c>
      <c r="AQ868">
        <v>187.90823009498746</v>
      </c>
      <c r="AR868">
        <v>148.54465132143642</v>
      </c>
      <c r="AS868">
        <v>1419.7639915098039</v>
      </c>
      <c r="AT868" t="e">
        <v>#DIV/0!</v>
      </c>
      <c r="AU868" t="e">
        <v>#DIV/0!</v>
      </c>
      <c r="AV868"/>
      <c r="AW868"/>
      <c r="FY868" s="211">
        <v>863</v>
      </c>
      <c r="FZ868">
        <v>28.666880864547327</v>
      </c>
      <c r="GA868">
        <v>33.053975315845662</v>
      </c>
      <c r="GB868">
        <v>58.457218933708631</v>
      </c>
      <c r="GC868">
        <v>1.0015282553291796</v>
      </c>
      <c r="GD868">
        <v>0.16806809305303377</v>
      </c>
      <c r="GE868">
        <v>0.67565559590953028</v>
      </c>
      <c r="GF868">
        <v>2.803509307794481</v>
      </c>
      <c r="GG868">
        <v>9.9547926650985517</v>
      </c>
      <c r="GH868">
        <v>16.748664538933976</v>
      </c>
      <c r="GI868">
        <v>52.816584586709766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11.927083333333332</v>
      </c>
      <c r="AO869">
        <v>51.771740151466403</v>
      </c>
      <c r="AP869">
        <v>537.38926683567581</v>
      </c>
      <c r="AQ869">
        <v>193.03865020817645</v>
      </c>
      <c r="AR869">
        <v>48.033444343484867</v>
      </c>
      <c r="AS869">
        <v>292.82142960814883</v>
      </c>
      <c r="AT869" t="e">
        <v>#DIV/0!</v>
      </c>
      <c r="AU869" t="e">
        <v>#DIV/0!</v>
      </c>
      <c r="AV869"/>
      <c r="AW869"/>
      <c r="FY869" s="211">
        <v>864</v>
      </c>
      <c r="FZ869">
        <v>31.064158860194919</v>
      </c>
      <c r="GA869">
        <v>36.974903919301418</v>
      </c>
      <c r="GB869">
        <v>37.989533014434997</v>
      </c>
      <c r="GC869">
        <v>2.5706313170295885</v>
      </c>
      <c r="GD869">
        <v>0.31276037192248451</v>
      </c>
      <c r="GE869">
        <v>5.9112266070560512E-2</v>
      </c>
      <c r="GF869">
        <v>2.2434145605146116</v>
      </c>
      <c r="GG869">
        <v>0.82966741238504016</v>
      </c>
      <c r="GH869">
        <v>8.0565532890635385</v>
      </c>
      <c r="GI869">
        <v>41.295515472085683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12.451522435897436</v>
      </c>
      <c r="AO870">
        <v>66.380955826931171</v>
      </c>
      <c r="AP870">
        <v>455.41850987887204</v>
      </c>
      <c r="AQ870">
        <v>191.55126956701142</v>
      </c>
      <c r="AR870">
        <v>61.557268722815131</v>
      </c>
      <c r="AS870">
        <v>433.56760838640099</v>
      </c>
      <c r="AT870" t="e">
        <v>#DIV/0!</v>
      </c>
      <c r="AU870" t="e">
        <v>#DIV/0!</v>
      </c>
      <c r="AV870"/>
      <c r="AW870"/>
      <c r="FY870" s="211">
        <v>865</v>
      </c>
      <c r="FZ870">
        <v>53.395304452695143</v>
      </c>
      <c r="GA870">
        <v>59.008359101812268</v>
      </c>
      <c r="GB870">
        <v>29.720194866252086</v>
      </c>
      <c r="GC870">
        <v>1.6490371412894609</v>
      </c>
      <c r="GD870">
        <v>0.17690435136077456</v>
      </c>
      <c r="GE870">
        <v>6.4145476115377922E-2</v>
      </c>
      <c r="GF870">
        <v>0.68603789011536964</v>
      </c>
      <c r="GG870">
        <v>10.011149466014956</v>
      </c>
      <c r="GH870">
        <v>16.748664538933976</v>
      </c>
      <c r="GI870">
        <v>39.745534457103091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12.055475427350428</v>
      </c>
      <c r="AO871">
        <v>113.09082782227543</v>
      </c>
      <c r="AP871">
        <v>744.05599100388918</v>
      </c>
      <c r="AQ871">
        <v>133.90822697651996</v>
      </c>
      <c r="AR871">
        <v>104.88309393159356</v>
      </c>
      <c r="AS871">
        <v>555.12902701815381</v>
      </c>
      <c r="AT871" t="e">
        <v>#DIV/0!</v>
      </c>
      <c r="AU871" t="e">
        <v>#DIV/0!</v>
      </c>
      <c r="AV871"/>
      <c r="AW871"/>
      <c r="FY871" s="211">
        <v>866</v>
      </c>
      <c r="FZ871">
        <v>34.64965809155931</v>
      </c>
      <c r="GA871">
        <v>42.783452412120837</v>
      </c>
      <c r="GB871">
        <v>22.708941230914636</v>
      </c>
      <c r="GC871">
        <v>1.7626120750319609</v>
      </c>
      <c r="GD871">
        <v>0.32444827901427609</v>
      </c>
      <c r="GE871">
        <v>0.31112995514107378</v>
      </c>
      <c r="GF871">
        <v>3.1732551150158148</v>
      </c>
      <c r="GG871">
        <v>11.557770688952226</v>
      </c>
      <c r="GH871">
        <v>20.776941183465745</v>
      </c>
      <c r="GI871">
        <v>35.11944833988008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11.533814102564101</v>
      </c>
      <c r="AO872">
        <v>101.15351527984839</v>
      </c>
      <c r="AP872">
        <v>941.3347399570772</v>
      </c>
      <c r="AQ872">
        <v>160.29300054872468</v>
      </c>
      <c r="AR872">
        <v>93.744696475736333</v>
      </c>
      <c r="AS872">
        <v>743.34524452638516</v>
      </c>
      <c r="AT872" t="e">
        <v>#DIV/0!</v>
      </c>
      <c r="AU872" t="e">
        <v>#DIV/0!</v>
      </c>
      <c r="AV872"/>
      <c r="AW872"/>
      <c r="FY872" s="211">
        <v>867</v>
      </c>
      <c r="FZ872">
        <v>49.416295248732737</v>
      </c>
      <c r="GA872">
        <v>54.862208663376066</v>
      </c>
      <c r="GB872">
        <v>30.196895716265583</v>
      </c>
      <c r="GC872">
        <v>4.0922835154272725</v>
      </c>
      <c r="GD872">
        <v>0.45488231396347323</v>
      </c>
      <c r="GE872">
        <v>0.31112995514107378</v>
      </c>
      <c r="GF872">
        <v>3.4204941761722529</v>
      </c>
      <c r="GG872">
        <v>7.4827727837033464</v>
      </c>
      <c r="GH872">
        <v>9.1973069806361583</v>
      </c>
      <c r="GI872">
        <v>32.999278380141781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9.1787793803418811</v>
      </c>
      <c r="AO873">
        <v>99.46745218054852</v>
      </c>
      <c r="AP873">
        <v>575.66009412943765</v>
      </c>
      <c r="AQ873">
        <v>186.70220685272955</v>
      </c>
      <c r="AR873">
        <v>92.184700000301262</v>
      </c>
      <c r="AS873">
        <v>592.99998567868568</v>
      </c>
      <c r="AT873" t="e">
        <v>#DIV/0!</v>
      </c>
      <c r="AU873" t="e">
        <v>#DIV/0!</v>
      </c>
      <c r="AV873"/>
      <c r="AW873"/>
      <c r="FY873" s="211">
        <v>868</v>
      </c>
      <c r="FZ873">
        <v>13.033850257574402</v>
      </c>
      <c r="GA873">
        <v>20.269416987730118</v>
      </c>
      <c r="GB873">
        <v>30.007273296834832</v>
      </c>
      <c r="GC873">
        <v>2.0517902949883733</v>
      </c>
      <c r="GD873">
        <v>0.29850212800223097</v>
      </c>
      <c r="GE873">
        <v>0.40530055894555084</v>
      </c>
      <c r="GF873">
        <v>2.6122479959103573</v>
      </c>
      <c r="GG873">
        <v>10.302073525676381</v>
      </c>
      <c r="GH873">
        <v>12.811725781627663</v>
      </c>
      <c r="GI873">
        <v>30.73209274612632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13.684895833333334</v>
      </c>
      <c r="AO874">
        <v>164.70170661853641</v>
      </c>
      <c r="AP874">
        <v>1230.1493340646823</v>
      </c>
      <c r="AQ874">
        <v>147.59943985299759</v>
      </c>
      <c r="AR874">
        <v>152.67480556575239</v>
      </c>
      <c r="AS874">
        <v>887.72019678518575</v>
      </c>
      <c r="AT874" t="e">
        <v>#DIV/0!</v>
      </c>
      <c r="AU874" t="e">
        <v>#DIV/0!</v>
      </c>
      <c r="AV874"/>
      <c r="AW874"/>
      <c r="FY874" s="211">
        <v>869</v>
      </c>
      <c r="FZ874">
        <v>17.365817506571943</v>
      </c>
      <c r="GA874">
        <v>20.763198721124425</v>
      </c>
      <c r="GB874">
        <v>65.392928640157862</v>
      </c>
      <c r="GC874">
        <v>1.4795829497397515</v>
      </c>
      <c r="GD874">
        <v>0.37634058103836632</v>
      </c>
      <c r="GE874">
        <v>0.37574442591027063</v>
      </c>
      <c r="GF874">
        <v>0.43879882895893124</v>
      </c>
      <c r="GG874">
        <v>10.028131821774872</v>
      </c>
      <c r="GH874">
        <v>28.510974516214468</v>
      </c>
      <c r="GI874">
        <v>56.833857930627261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9.8943643162393133</v>
      </c>
      <c r="AO875">
        <v>99.691700680643976</v>
      </c>
      <c r="AP875">
        <v>741.26801247881178</v>
      </c>
      <c r="AQ875">
        <v>181.7957607414217</v>
      </c>
      <c r="AR875">
        <v>92.547507435911101</v>
      </c>
      <c r="AS875">
        <v>537.29723785282579</v>
      </c>
      <c r="AT875" t="e">
        <v>#DIV/0!</v>
      </c>
      <c r="AU875" t="e">
        <v>#DIV/0!</v>
      </c>
      <c r="AV875"/>
      <c r="AW875"/>
      <c r="FY875" s="211">
        <v>870</v>
      </c>
      <c r="FZ875">
        <v>32.374908945059175</v>
      </c>
      <c r="GA875">
        <v>32.604362563231504</v>
      </c>
      <c r="GB875">
        <v>43.803850576431657</v>
      </c>
      <c r="GC875">
        <v>2.3379604801336797</v>
      </c>
      <c r="GD875">
        <v>6.9705474617366134E-2</v>
      </c>
      <c r="GE875">
        <v>0.42363790683901698</v>
      </c>
      <c r="GF875">
        <v>2.9689476273053033</v>
      </c>
      <c r="GG875">
        <v>6.7658189731511165</v>
      </c>
      <c r="GH875">
        <v>9.1973069806361583</v>
      </c>
      <c r="GI875">
        <v>43.55257622286684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15.078739316239316</v>
      </c>
      <c r="AO876">
        <v>137.67792117597665</v>
      </c>
      <c r="AP876">
        <v>915.51025824195813</v>
      </c>
      <c r="AQ876">
        <v>186.81164502139393</v>
      </c>
      <c r="AR876">
        <v>127.94834020946077</v>
      </c>
      <c r="AS876">
        <v>1055.6579211320384</v>
      </c>
      <c r="AT876" t="e">
        <v>#DIV/0!</v>
      </c>
      <c r="AU876" t="e">
        <v>#DIV/0!</v>
      </c>
      <c r="AV876"/>
      <c r="AW876"/>
      <c r="FY876" s="211">
        <v>871</v>
      </c>
      <c r="FZ876">
        <v>46.2751526524331</v>
      </c>
      <c r="GA876">
        <v>49.69627160305054</v>
      </c>
      <c r="GB876">
        <v>60.77369773586652</v>
      </c>
      <c r="GC876">
        <v>1.7704123442831503</v>
      </c>
      <c r="GD876">
        <v>0.32173728620801967</v>
      </c>
      <c r="GE876">
        <v>0.57231631815832018</v>
      </c>
      <c r="GF876">
        <v>3.1469844387649597</v>
      </c>
      <c r="GG876">
        <v>2.8756575428894382</v>
      </c>
      <c r="GH876">
        <v>7.6426954455232705</v>
      </c>
      <c r="GI876">
        <v>56.861907829815308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18.40287126068376</v>
      </c>
      <c r="AO877">
        <v>132.40074466058545</v>
      </c>
      <c r="AP877">
        <v>622.36746188686993</v>
      </c>
      <c r="AQ877">
        <v>242.10511518785836</v>
      </c>
      <c r="AR877">
        <v>122.88919343933384</v>
      </c>
      <c r="AS877">
        <v>1168.5226544033569</v>
      </c>
      <c r="AT877" t="e">
        <v>#DIV/0!</v>
      </c>
      <c r="AU877" t="e">
        <v>#DIV/0!</v>
      </c>
      <c r="AV877"/>
      <c r="AW877"/>
      <c r="FY877" s="211">
        <v>872</v>
      </c>
      <c r="FZ877">
        <v>28.427030000214614</v>
      </c>
      <c r="GA877">
        <v>37.957681896081148</v>
      </c>
      <c r="GB877">
        <v>56.613129076346894</v>
      </c>
      <c r="GC877">
        <v>1.5725920343166271</v>
      </c>
      <c r="GD877">
        <v>7.2416467423622538E-2</v>
      </c>
      <c r="GE877">
        <v>0.68482426985626321</v>
      </c>
      <c r="GF877">
        <v>3.4337186765967198</v>
      </c>
      <c r="GG877">
        <v>5.936151560766076</v>
      </c>
      <c r="GH877">
        <v>9.1973069806361583</v>
      </c>
      <c r="GI877">
        <v>50.814024519443961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13.451388888888886</v>
      </c>
      <c r="AO878">
        <v>198.99415334628043</v>
      </c>
      <c r="AP878">
        <v>1543.64545957471</v>
      </c>
      <c r="AQ878">
        <v>204.18557693037314</v>
      </c>
      <c r="AR878">
        <v>184.65665289408247</v>
      </c>
      <c r="AS878">
        <v>1019.8718341947523</v>
      </c>
      <c r="AT878" t="e">
        <v>#DIV/0!</v>
      </c>
      <c r="AU878" t="e">
        <v>#DIV/0!</v>
      </c>
      <c r="AV878"/>
      <c r="AW878"/>
      <c r="FY878" s="211">
        <v>873</v>
      </c>
      <c r="FZ878">
        <v>33.594260439893823</v>
      </c>
      <c r="GA878">
        <v>39.896121855643571</v>
      </c>
      <c r="GB878">
        <v>55.023078240153197</v>
      </c>
      <c r="GC878">
        <v>1.7805658525714503</v>
      </c>
      <c r="GD878">
        <v>0.20285050237281971</v>
      </c>
      <c r="GE878">
        <v>9.3701609150658172E-2</v>
      </c>
      <c r="GF878">
        <v>1.7380867347630993</v>
      </c>
      <c r="GG878">
        <v>5.8797947598496716</v>
      </c>
      <c r="GH878">
        <v>13.225583625167928</v>
      </c>
      <c r="GI878">
        <v>49.433390394108066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14.351696047008545</v>
      </c>
      <c r="AO879">
        <v>132.15091367861353</v>
      </c>
      <c r="AP879">
        <v>835.88157489975708</v>
      </c>
      <c r="AQ879">
        <v>204.34687815693013</v>
      </c>
      <c r="AR879">
        <v>122.49085511723652</v>
      </c>
      <c r="AS879">
        <v>773.38534395102329</v>
      </c>
      <c r="AT879" t="e">
        <v>#DIV/0!</v>
      </c>
      <c r="AU879" t="e">
        <v>#DIV/0!</v>
      </c>
      <c r="AV879"/>
      <c r="AW879"/>
      <c r="FY879" s="211">
        <v>874</v>
      </c>
      <c r="FZ879">
        <v>63.883424440318848</v>
      </c>
      <c r="GA879">
        <v>64.502923049602686</v>
      </c>
      <c r="GB879">
        <v>30.590158058331951</v>
      </c>
      <c r="GC879">
        <v>3.5876192531370874</v>
      </c>
      <c r="GD879">
        <v>0.50135263037505062</v>
      </c>
      <c r="GE879">
        <v>0.73063239807817515</v>
      </c>
      <c r="GF879">
        <v>2.5859773196595026</v>
      </c>
      <c r="GG879">
        <v>9.7699561901113494</v>
      </c>
      <c r="GH879">
        <v>18.808471804812587</v>
      </c>
      <c r="GI879">
        <v>34.690717600562536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10.21940438034188</v>
      </c>
      <c r="AO880">
        <v>61.409151305502007</v>
      </c>
      <c r="AP880">
        <v>463.02869730735279</v>
      </c>
      <c r="AQ880">
        <v>161.39625048300283</v>
      </c>
      <c r="AR880">
        <v>57.027417609580986</v>
      </c>
      <c r="AS880">
        <v>544.62757936125206</v>
      </c>
      <c r="AT880" t="e">
        <v>#DIV/0!</v>
      </c>
      <c r="AU880" t="e">
        <v>#DIV/0!</v>
      </c>
      <c r="AV880"/>
      <c r="AW880"/>
      <c r="FY880" s="211">
        <v>875</v>
      </c>
      <c r="FZ880">
        <v>11.181137925809029</v>
      </c>
      <c r="GA880">
        <v>21.803447857521505</v>
      </c>
      <c r="GB880">
        <v>39.616372187371653</v>
      </c>
      <c r="GC880">
        <v>1.6030839959349117</v>
      </c>
      <c r="GD880">
        <v>6.970547461736612E-2</v>
      </c>
      <c r="GE880">
        <v>0.35488797216790446</v>
      </c>
      <c r="GF880">
        <v>3.4635749775773648</v>
      </c>
      <c r="GG880">
        <v>8.3687969970047913</v>
      </c>
      <c r="GH880">
        <v>17.253860269699697</v>
      </c>
      <c r="GI880">
        <v>33.672528596663838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13.927737713675214</v>
      </c>
      <c r="AO881">
        <v>119.67569778476198</v>
      </c>
      <c r="AP881">
        <v>848.82169587599765</v>
      </c>
      <c r="AQ881">
        <v>211.20533174169248</v>
      </c>
      <c r="AR881">
        <v>110.97155059857108</v>
      </c>
      <c r="AS881">
        <v>1037.9918034381406</v>
      </c>
      <c r="AT881" t="e">
        <v>#DIV/0!</v>
      </c>
      <c r="AU881" t="e">
        <v>#DIV/0!</v>
      </c>
      <c r="AV881"/>
      <c r="AW881"/>
      <c r="FY881" s="211">
        <v>876</v>
      </c>
      <c r="FZ881">
        <v>35.840482744257216</v>
      </c>
      <c r="GA881">
        <v>38.323317428655642</v>
      </c>
      <c r="GB881">
        <v>55.528096184042298</v>
      </c>
      <c r="GC881">
        <v>1.9078021050571023</v>
      </c>
      <c r="GD881">
        <v>0.29237686250074657</v>
      </c>
      <c r="GE881">
        <v>0.8635278088646654</v>
      </c>
      <c r="GF881">
        <v>2.7773878595028108</v>
      </c>
      <c r="GG881">
        <v>11.042635709147113</v>
      </c>
      <c r="GH881">
        <v>22.422890605804085</v>
      </c>
      <c r="GI881">
        <v>53.317871032631217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10.584895833333334</v>
      </c>
      <c r="AO882">
        <v>43.531568927101354</v>
      </c>
      <c r="AP882">
        <v>421.80026628180917</v>
      </c>
      <c r="AQ882">
        <v>173.16765737109597</v>
      </c>
      <c r="AR882">
        <v>40.361813717486719</v>
      </c>
      <c r="AS882">
        <v>264.89681993698173</v>
      </c>
      <c r="AT882" t="e">
        <v>#DIV/0!</v>
      </c>
      <c r="AU882" t="e">
        <v>#DIV/0!</v>
      </c>
      <c r="AV882"/>
      <c r="AW882"/>
      <c r="FY882" s="211">
        <v>877</v>
      </c>
      <c r="FZ882">
        <v>46.395078084599447</v>
      </c>
      <c r="GA882">
        <v>47.950220389793117</v>
      </c>
      <c r="GB882">
        <v>41.953475850882349</v>
      </c>
      <c r="GC882">
        <v>3.2740320597118302</v>
      </c>
      <c r="GD882">
        <v>0.33057354451576043</v>
      </c>
      <c r="GE882">
        <v>0.78816354760747354</v>
      </c>
      <c r="GF882">
        <v>2.8725623295320784</v>
      </c>
      <c r="GG882">
        <v>0</v>
      </c>
      <c r="GH882">
        <v>0</v>
      </c>
      <c r="GI882">
        <v>49.703570525653454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11.820272435897436</v>
      </c>
      <c r="AO883">
        <v>83.637716619392961</v>
      </c>
      <c r="AP883">
        <v>740.46019975950162</v>
      </c>
      <c r="AQ883">
        <v>192.43354773355978</v>
      </c>
      <c r="AR883">
        <v>77.439590002748616</v>
      </c>
      <c r="AS883">
        <v>377.14793533010584</v>
      </c>
      <c r="AT883" t="e">
        <v>#DIV/0!</v>
      </c>
      <c r="AU883" t="e">
        <v>#DIV/0!</v>
      </c>
      <c r="AV883"/>
      <c r="AW883"/>
      <c r="FY883" s="211">
        <v>878</v>
      </c>
      <c r="FZ883">
        <v>56.589897128442622</v>
      </c>
      <c r="GA883">
        <v>68.322211512660942</v>
      </c>
      <c r="GB883">
        <v>41.39135785525751</v>
      </c>
      <c r="GC883">
        <v>2.5080088181207834</v>
      </c>
      <c r="GD883">
        <v>0.34768343722006478</v>
      </c>
      <c r="GE883">
        <v>0.28157382210579351</v>
      </c>
      <c r="GF883">
        <v>2.8594870570667958</v>
      </c>
      <c r="GG883">
        <v>5.1955893772953443</v>
      </c>
      <c r="GH883">
        <v>11.67097209005504</v>
      </c>
      <c r="GI883">
        <v>47.365235987862661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10.385416666666668</v>
      </c>
      <c r="AO884">
        <v>104.47795750812671</v>
      </c>
      <c r="AP884">
        <v>905.29626456058963</v>
      </c>
      <c r="AQ884">
        <v>122.52427357341622</v>
      </c>
      <c r="AR884">
        <v>96.889985574595599</v>
      </c>
      <c r="AS884">
        <v>660.44280273418349</v>
      </c>
      <c r="AT884" t="e">
        <v>#DIV/0!</v>
      </c>
      <c r="AU884" t="e">
        <v>#DIV/0!</v>
      </c>
      <c r="AV884"/>
      <c r="AW884"/>
      <c r="FY884" s="211">
        <v>879</v>
      </c>
      <c r="FZ884">
        <v>20.629488952019038</v>
      </c>
      <c r="GA884">
        <v>33.368569794449392</v>
      </c>
      <c r="GB884">
        <v>48.93239495921366</v>
      </c>
      <c r="GC884">
        <v>5.0485755734704405</v>
      </c>
      <c r="GD884">
        <v>0.44048341406542535</v>
      </c>
      <c r="GE884">
        <v>0.39408177380373677</v>
      </c>
      <c r="GF884">
        <v>1.8071397565006966</v>
      </c>
      <c r="GG884">
        <v>8.1669781662576746</v>
      </c>
      <c r="GH884">
        <v>18.808471804812587</v>
      </c>
      <c r="GI884">
        <v>49.50170510273081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12.73958333333333</v>
      </c>
      <c r="AO885">
        <v>96.655825428611735</v>
      </c>
      <c r="AP885">
        <v>727.96915584433737</v>
      </c>
      <c r="AQ885">
        <v>201.56537592211816</v>
      </c>
      <c r="AR885">
        <v>89.906902857553433</v>
      </c>
      <c r="AS885">
        <v>965.99079368548962</v>
      </c>
      <c r="AT885" t="e">
        <v>#DIV/0!</v>
      </c>
      <c r="AU885" t="e">
        <v>#DIV/0!</v>
      </c>
      <c r="AV885"/>
      <c r="AW885"/>
      <c r="FY885" s="211">
        <v>880</v>
      </c>
      <c r="FZ885">
        <v>55.692373419525275</v>
      </c>
      <c r="GA885">
        <v>64.47195556033698</v>
      </c>
      <c r="GB885">
        <v>39.27147323519339</v>
      </c>
      <c r="GC885">
        <v>2.1097661834138375</v>
      </c>
      <c r="GD885">
        <v>0.31290102790027885</v>
      </c>
      <c r="GE885">
        <v>0.66648692196279713</v>
      </c>
      <c r="GF885">
        <v>2.338738258503064</v>
      </c>
      <c r="GG885">
        <v>3.6489681543580739</v>
      </c>
      <c r="GH885">
        <v>7.6426954455232705</v>
      </c>
      <c r="GI885">
        <v>33.749039577277536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13.226923076923077</v>
      </c>
      <c r="AO886">
        <v>119.42662354085545</v>
      </c>
      <c r="AP886">
        <v>604.27699078710316</v>
      </c>
      <c r="AQ886">
        <v>174.09907575027179</v>
      </c>
      <c r="AR886">
        <v>110.73211309659111</v>
      </c>
      <c r="AS886">
        <v>846.20493404349315</v>
      </c>
      <c r="AT886" t="e">
        <v>#DIV/0!</v>
      </c>
      <c r="AU886" t="e">
        <v>#DIV/0!</v>
      </c>
      <c r="AV886"/>
      <c r="AW886"/>
      <c r="FY886" s="211">
        <v>881</v>
      </c>
      <c r="FZ886">
        <v>50.254161856395513</v>
      </c>
      <c r="GA886">
        <v>51.794756857368014</v>
      </c>
      <c r="GB886">
        <v>26.81225496747377</v>
      </c>
      <c r="GC886">
        <v>1.9880242298183939</v>
      </c>
      <c r="GD886">
        <v>0.11617579102894354</v>
      </c>
      <c r="GE886">
        <v>0.12829095223075584</v>
      </c>
      <c r="GF886">
        <v>0.90371910620953289</v>
      </c>
      <c r="GG886">
        <v>7.7239660596069504</v>
      </c>
      <c r="GH886">
        <v>15.194053003821082</v>
      </c>
      <c r="GI886">
        <v>32.051148168629474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14.660550213675213</v>
      </c>
      <c r="AO887">
        <v>66.093316521788239</v>
      </c>
      <c r="AP887">
        <v>310.78727626243602</v>
      </c>
      <c r="AQ887">
        <v>229.93683319699261</v>
      </c>
      <c r="AR887">
        <v>61.233757199096885</v>
      </c>
      <c r="AS887">
        <v>743.16963214539351</v>
      </c>
      <c r="AT887" t="e">
        <v>#DIV/0!</v>
      </c>
      <c r="AU887" t="e">
        <v>#DIV/0!</v>
      </c>
      <c r="AV887"/>
      <c r="AW887"/>
      <c r="FY887" s="211">
        <v>882</v>
      </c>
      <c r="FZ887">
        <v>34.378676968108749</v>
      </c>
      <c r="GA887">
        <v>38.61172990800253</v>
      </c>
      <c r="GB887">
        <v>52.142318880374972</v>
      </c>
      <c r="GC887">
        <v>3.0833964926579536</v>
      </c>
      <c r="GD887">
        <v>0.37704386092733788</v>
      </c>
      <c r="GE887">
        <v>0.29074249605252656</v>
      </c>
      <c r="GF887">
        <v>3.5192542709313104</v>
      </c>
      <c r="GG887">
        <v>11.631109845628547</v>
      </c>
      <c r="GH887">
        <v>16.426144582619159</v>
      </c>
      <c r="GI887">
        <v>56.736011857510064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16.238635149572648</v>
      </c>
      <c r="AO888">
        <v>147.61957225976508</v>
      </c>
      <c r="AP888">
        <v>1332.3633304356306</v>
      </c>
      <c r="AQ888">
        <v>194.70887548168207</v>
      </c>
      <c r="AR888">
        <v>136.8278053019701</v>
      </c>
      <c r="AS888">
        <v>1259.9268875703201</v>
      </c>
      <c r="AT888" t="e">
        <v>#DIV/0!</v>
      </c>
      <c r="AU888" t="e">
        <v>#DIV/0!</v>
      </c>
      <c r="AV888"/>
      <c r="AW888"/>
      <c r="FY888" s="211">
        <v>883</v>
      </c>
      <c r="FZ888">
        <v>11.301063357975387</v>
      </c>
      <c r="GA888">
        <v>16.17408661949267</v>
      </c>
      <c r="GB888">
        <v>19.563980835852412</v>
      </c>
      <c r="GC888">
        <v>2.428882990944536</v>
      </c>
      <c r="GD888">
        <v>0.4494603283509605</v>
      </c>
      <c r="GE888">
        <v>0.28157382210579351</v>
      </c>
      <c r="GF888">
        <v>1.4908476736066609</v>
      </c>
      <c r="GG888">
        <v>4.8652908724774315</v>
      </c>
      <c r="GH888">
        <v>15.285390891046541</v>
      </c>
      <c r="GI888">
        <v>30.204754198777863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10.715411324786324</v>
      </c>
      <c r="AO889">
        <v>40.108595974289301</v>
      </c>
      <c r="AP889">
        <v>358.03835809569188</v>
      </c>
      <c r="AQ889">
        <v>200.86743401367426</v>
      </c>
      <c r="AR889">
        <v>37.169989845871015</v>
      </c>
      <c r="AS889">
        <v>289.52719734875029</v>
      </c>
      <c r="AT889" t="e">
        <v>#DIV/0!</v>
      </c>
      <c r="AU889" t="e">
        <v>#DIV/0!</v>
      </c>
      <c r="AV889"/>
      <c r="AW889"/>
      <c r="FY889" s="211">
        <v>884</v>
      </c>
      <c r="FZ889">
        <v>35.51605154135882</v>
      </c>
      <c r="GA889">
        <v>44.337335862845258</v>
      </c>
      <c r="GB889">
        <v>52.223582078815738</v>
      </c>
      <c r="GC889">
        <v>1.2426274867295719</v>
      </c>
      <c r="GD889">
        <v>0.24048456047665634</v>
      </c>
      <c r="GE889">
        <v>0.43988990202564854</v>
      </c>
      <c r="GF889">
        <v>1.6158784446165728</v>
      </c>
      <c r="GG889">
        <v>10.543266801579986</v>
      </c>
      <c r="GH889">
        <v>18.808471804812587</v>
      </c>
      <c r="GI889">
        <v>48.054807552493649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12.55954861111111</v>
      </c>
      <c r="AO890">
        <v>116.04783628620574</v>
      </c>
      <c r="AP890">
        <v>837.69377517991006</v>
      </c>
      <c r="AQ890">
        <v>229.65123274498978</v>
      </c>
      <c r="AR890">
        <v>107.64696597704911</v>
      </c>
      <c r="AS890">
        <v>548.98370432824709</v>
      </c>
      <c r="AT890" t="e">
        <v>#DIV/0!</v>
      </c>
      <c r="AU890" t="e">
        <v>#DIV/0!</v>
      </c>
      <c r="AV890"/>
      <c r="AW890"/>
      <c r="FY890" s="211">
        <v>885</v>
      </c>
      <c r="FZ890">
        <v>40.563356548871674</v>
      </c>
      <c r="GA890">
        <v>45.974161851546384</v>
      </c>
      <c r="GB890">
        <v>67.221407336970685</v>
      </c>
      <c r="GC890">
        <v>1.5937734098207947</v>
      </c>
      <c r="GD890">
        <v>5.1892302024090238E-2</v>
      </c>
      <c r="GE890">
        <v>0.39408177380373677</v>
      </c>
      <c r="GF890">
        <v>1.7514604631467512</v>
      </c>
      <c r="GG890">
        <v>0.82966741238504016</v>
      </c>
      <c r="GH890">
        <v>0</v>
      </c>
      <c r="GI890">
        <v>49.756969317620722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14.383506944444445</v>
      </c>
      <c r="AO891">
        <v>153.195345002631</v>
      </c>
      <c r="AP891">
        <v>1005.7651597093991</v>
      </c>
      <c r="AQ891">
        <v>137.38739625436807</v>
      </c>
      <c r="AR891">
        <v>142.18819726990833</v>
      </c>
      <c r="AS891">
        <v>1241.2334817347398</v>
      </c>
      <c r="AT891" t="e">
        <v>#DIV/0!</v>
      </c>
      <c r="AU891" t="e">
        <v>#DIV/0!</v>
      </c>
      <c r="AV891"/>
      <c r="AW891"/>
      <c r="FY891" s="211">
        <v>886</v>
      </c>
      <c r="FZ891">
        <v>61.977262029105646</v>
      </c>
      <c r="GA891">
        <v>63.936703752989665</v>
      </c>
      <c r="GB891">
        <v>21.921001890435399</v>
      </c>
      <c r="GC891">
        <v>1.8608666827622564</v>
      </c>
      <c r="GD891">
        <v>0.40855265352969006</v>
      </c>
      <c r="GE891">
        <v>1.5692085324632949</v>
      </c>
      <c r="GF891">
        <v>4.3338521580764642</v>
      </c>
      <c r="GG891">
        <v>1.5466212229372709</v>
      </c>
      <c r="GH891">
        <v>0</v>
      </c>
      <c r="GI891">
        <v>23.674192657617024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15.071274038461539</v>
      </c>
      <c r="AO892">
        <v>132.01092368345908</v>
      </c>
      <c r="AP892">
        <v>1009.7219381598852</v>
      </c>
      <c r="AQ892">
        <v>222.31638834046294</v>
      </c>
      <c r="AR892">
        <v>122.44256998005893</v>
      </c>
      <c r="AS892">
        <v>646.88989125058458</v>
      </c>
      <c r="AT892" t="e">
        <v>#DIV/0!</v>
      </c>
      <c r="AU892" t="e">
        <v>#DIV/0!</v>
      </c>
      <c r="AV892"/>
      <c r="AW892"/>
      <c r="FY892" s="211">
        <v>887</v>
      </c>
      <c r="FZ892">
        <v>37.693195076022597</v>
      </c>
      <c r="GA892">
        <v>38.83695174298299</v>
      </c>
      <c r="GB892">
        <v>63.069722918512149</v>
      </c>
      <c r="GC892">
        <v>2.1858445397849167</v>
      </c>
      <c r="GD892">
        <v>0.34768343722006478</v>
      </c>
      <c r="GE892">
        <v>0.64106625282943253</v>
      </c>
      <c r="GF892">
        <v>4.2386776880471961</v>
      </c>
      <c r="GG892">
        <v>11.574753044712143</v>
      </c>
      <c r="GH892">
        <v>24.482697871682696</v>
      </c>
      <c r="GI892">
        <v>57.328267894802849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18.639890491452995</v>
      </c>
      <c r="AO893">
        <v>146.1859564342495</v>
      </c>
      <c r="AP893">
        <v>851.03815878551654</v>
      </c>
      <c r="AQ893">
        <v>193.26767633229551</v>
      </c>
      <c r="AR893">
        <v>135.51380803962161</v>
      </c>
      <c r="AS893">
        <v>1261.9467800598877</v>
      </c>
      <c r="AT893" t="e">
        <v>#DIV/0!</v>
      </c>
      <c r="AU893" t="e">
        <v>#DIV/0!</v>
      </c>
      <c r="AV893"/>
      <c r="AW893"/>
      <c r="FY893" s="211">
        <v>888</v>
      </c>
      <c r="FZ893">
        <v>53.395304452695143</v>
      </c>
      <c r="GA893">
        <v>62.679648783117678</v>
      </c>
      <c r="GB893">
        <v>57.408539618858022</v>
      </c>
      <c r="GC893">
        <v>2.2291234612187858</v>
      </c>
      <c r="GD893">
        <v>9.2940632823154845E-2</v>
      </c>
      <c r="GE893">
        <v>0.29074249605252656</v>
      </c>
      <c r="GF893">
        <v>2.7775370874619951</v>
      </c>
      <c r="GG893">
        <v>7.5391295846197526</v>
      </c>
      <c r="GH893">
        <v>13.225583625167928</v>
      </c>
      <c r="GI893">
        <v>45.940804732990962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12.728218482905982</v>
      </c>
      <c r="AO894">
        <v>64.170312236172563</v>
      </c>
      <c r="AP894">
        <v>668.63412543062077</v>
      </c>
      <c r="AQ894">
        <v>236.53201708608754</v>
      </c>
      <c r="AR894">
        <v>59.617133740734232</v>
      </c>
      <c r="AS894">
        <v>362.34485973527745</v>
      </c>
      <c r="AT894" t="e">
        <v>#DIV/0!</v>
      </c>
      <c r="AU894" t="e">
        <v>#DIV/0!</v>
      </c>
      <c r="AV894"/>
      <c r="AW894"/>
      <c r="FY894" s="211">
        <v>889</v>
      </c>
      <c r="FZ894">
        <v>27.529506291297263</v>
      </c>
      <c r="GA894">
        <v>37.990735968528604</v>
      </c>
      <c r="GB894">
        <v>18.018833945951496</v>
      </c>
      <c r="GC894">
        <v>2.4265770205835544</v>
      </c>
      <c r="GD894">
        <v>0.27526696979644222</v>
      </c>
      <c r="GE894">
        <v>0.22659701993714865</v>
      </c>
      <c r="GF894">
        <v>2.1210570424089008</v>
      </c>
      <c r="GG894">
        <v>7.9821416912704741</v>
      </c>
      <c r="GH894">
        <v>12.811725781627663</v>
      </c>
      <c r="GI894">
        <v>30.695748720073603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18.883733974358972</v>
      </c>
      <c r="AO895">
        <v>168.41740498120299</v>
      </c>
      <c r="AP895">
        <v>1065.2535962096997</v>
      </c>
      <c r="AQ895">
        <v>187.09788929732349</v>
      </c>
      <c r="AR895">
        <v>156.19829179541532</v>
      </c>
      <c r="AS895">
        <v>1036.0465446524634</v>
      </c>
      <c r="AT895" t="e">
        <v>#DIV/0!</v>
      </c>
      <c r="AU895" t="e">
        <v>#DIV/0!</v>
      </c>
      <c r="AV895"/>
      <c r="AW895"/>
      <c r="FY895" s="211">
        <v>890</v>
      </c>
      <c r="FZ895">
        <v>28.345053078630038</v>
      </c>
      <c r="GA895">
        <v>40.062818239817226</v>
      </c>
      <c r="GB895">
        <v>25.246054131625066</v>
      </c>
      <c r="GC895">
        <v>1.5508612389886802</v>
      </c>
      <c r="GD895">
        <v>0.37634058103836632</v>
      </c>
      <c r="GE895">
        <v>0.4348566919808311</v>
      </c>
      <c r="GF895">
        <v>3.1471336667241445</v>
      </c>
      <c r="GG895">
        <v>9.5851197151241507</v>
      </c>
      <c r="GH895">
        <v>20.868279070691202</v>
      </c>
      <c r="GI895">
        <v>32.810156214861564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11.715277777777777</v>
      </c>
      <c r="AO896">
        <v>163.46407484728215</v>
      </c>
      <c r="AP896">
        <v>1362.9041443882093</v>
      </c>
      <c r="AQ896">
        <v>209.90439778399445</v>
      </c>
      <c r="AR896">
        <v>151.67721161766022</v>
      </c>
      <c r="AS896">
        <v>762.00272202631777</v>
      </c>
      <c r="AT896" t="e">
        <v>#DIV/0!</v>
      </c>
      <c r="AU896" t="e">
        <v>#DIV/0!</v>
      </c>
      <c r="AV896"/>
      <c r="AW896"/>
      <c r="FY896" s="211">
        <v>891</v>
      </c>
      <c r="FZ896">
        <v>46.395078084599447</v>
      </c>
      <c r="GA896">
        <v>44.278930708487707</v>
      </c>
      <c r="GB896">
        <v>23.735146268776965</v>
      </c>
      <c r="GC896">
        <v>2.7349186908553929</v>
      </c>
      <c r="GD896">
        <v>0.22879665338486482</v>
      </c>
      <c r="GE896">
        <v>0.38491309985700373</v>
      </c>
      <c r="GF896">
        <v>3.1532433163989499</v>
      </c>
      <c r="GG896">
        <v>8.4251537979211975</v>
      </c>
      <c r="GH896">
        <v>9.1973069806361583</v>
      </c>
      <c r="GI896">
        <v>35.926368824498823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11.114503205128205</v>
      </c>
      <c r="AO897">
        <v>93.674946622413955</v>
      </c>
      <c r="AP897">
        <v>433.69930720259924</v>
      </c>
      <c r="AQ897">
        <v>186.96655099258243</v>
      </c>
      <c r="AR897">
        <v>86.978557736262431</v>
      </c>
      <c r="AS897">
        <v>814.68974759604714</v>
      </c>
      <c r="AT897" t="e">
        <v>#DIV/0!</v>
      </c>
      <c r="AU897" t="e">
        <v>#DIV/0!</v>
      </c>
      <c r="AV897"/>
      <c r="AW897"/>
      <c r="FY897" s="211">
        <v>892</v>
      </c>
      <c r="FZ897">
        <v>42.960634544519252</v>
      </c>
      <c r="GA897">
        <v>45.799760086764664</v>
      </c>
      <c r="GB897">
        <v>44.356095355333359</v>
      </c>
      <c r="GC897">
        <v>3.3283388483615663</v>
      </c>
      <c r="GD897">
        <v>0.34768343722006478</v>
      </c>
      <c r="GE897">
        <v>0.82893846578456798</v>
      </c>
      <c r="GF897">
        <v>4.9508370264542361</v>
      </c>
      <c r="GG897">
        <v>10.302073525676381</v>
      </c>
      <c r="GH897">
        <v>16.840002426159433</v>
      </c>
      <c r="GI897">
        <v>42.085677146805892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15.744618055555557</v>
      </c>
      <c r="AO898">
        <v>72.768116964936226</v>
      </c>
      <c r="AP898">
        <v>424.992525660159</v>
      </c>
      <c r="AQ898">
        <v>217.1964291628131</v>
      </c>
      <c r="AR898">
        <v>67.327494346667734</v>
      </c>
      <c r="AS898">
        <v>536.71287711162279</v>
      </c>
      <c r="AT898" t="e">
        <v>#DIV/0!</v>
      </c>
      <c r="AU898" t="e">
        <v>#DIV/0!</v>
      </c>
      <c r="AV898"/>
      <c r="AW898"/>
      <c r="FY898" s="211">
        <v>893</v>
      </c>
      <c r="FZ898">
        <v>27.680561982581462</v>
      </c>
      <c r="GA898">
        <v>31.410498237725953</v>
      </c>
      <c r="GB898">
        <v>15.538821096976813</v>
      </c>
      <c r="GC898">
        <v>1.3057387561255567</v>
      </c>
      <c r="GD898">
        <v>0.19130325125882247</v>
      </c>
      <c r="GE898">
        <v>0.73980107202490819</v>
      </c>
      <c r="GF898">
        <v>3.0507483689509192</v>
      </c>
      <c r="GG898">
        <v>5.8797947598496716</v>
      </c>
      <c r="GH898">
        <v>17.253860269699697</v>
      </c>
      <c r="GI898">
        <v>24.261751329589078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8.3880208333333339</v>
      </c>
      <c r="AO899">
        <v>53.665932603838236</v>
      </c>
      <c r="AP899">
        <v>538.74744982179709</v>
      </c>
      <c r="AQ899">
        <v>102.04533159063025</v>
      </c>
      <c r="AR899">
        <v>49.8728112617599</v>
      </c>
      <c r="AS899">
        <v>550.04492149695</v>
      </c>
      <c r="AT899" t="e">
        <v>#DIV/0!</v>
      </c>
      <c r="AU899" t="e">
        <v>#DIV/0!</v>
      </c>
      <c r="AV899"/>
      <c r="AW899"/>
      <c r="FY899" s="211">
        <v>894</v>
      </c>
      <c r="FZ899">
        <v>30.642122045460162</v>
      </c>
      <c r="GA899">
        <v>33.028403250163549</v>
      </c>
      <c r="GB899">
        <v>71.499198732679105</v>
      </c>
      <c r="GC899">
        <v>3.1042111175603662</v>
      </c>
      <c r="GD899">
        <v>0.57105810499241683</v>
      </c>
      <c r="GE899">
        <v>1.218884775686389</v>
      </c>
      <c r="GF899">
        <v>3.8321099570547408</v>
      </c>
      <c r="GG899">
        <v>7.4827727837033464</v>
      </c>
      <c r="GH899">
        <v>13.225583625167928</v>
      </c>
      <c r="GI899">
        <v>66.909183613612043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11.883506944444445</v>
      </c>
      <c r="AO900">
        <v>137.22641446114406</v>
      </c>
      <c r="AP900">
        <v>1417.0070562321694</v>
      </c>
      <c r="AQ900">
        <v>213.0223960357545</v>
      </c>
      <c r="AR900">
        <v>127.3339395537279</v>
      </c>
      <c r="AS900">
        <v>581.04847602622965</v>
      </c>
      <c r="AT900" t="e">
        <v>#DIV/0!</v>
      </c>
      <c r="AU900" t="e">
        <v>#DIV/0!</v>
      </c>
      <c r="AV900"/>
      <c r="AW900"/>
      <c r="FY900" s="211">
        <v>895</v>
      </c>
      <c r="FZ900">
        <v>55.128091352294163</v>
      </c>
      <c r="GA900">
        <v>64.939334310702421</v>
      </c>
      <c r="GB900">
        <v>48.639760891819094</v>
      </c>
      <c r="GC900">
        <v>2.3454805368946952</v>
      </c>
      <c r="GD900">
        <v>0.24660982597814071</v>
      </c>
      <c r="GE900">
        <v>0.38947731524800216</v>
      </c>
      <c r="GF900">
        <v>1.3423687072092796</v>
      </c>
      <c r="GG900">
        <v>8.9966455786427133</v>
      </c>
      <c r="GH900">
        <v>18.808471804812587</v>
      </c>
      <c r="GI900">
        <v>51.66599130112013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12.024572649572651</v>
      </c>
      <c r="AO901">
        <v>134.72879830581243</v>
      </c>
      <c r="AP901">
        <v>922.80887549878867</v>
      </c>
      <c r="AQ901">
        <v>208.1367704161899</v>
      </c>
      <c r="AR901">
        <v>124.95542276604348</v>
      </c>
      <c r="AS901">
        <v>798.89057557295246</v>
      </c>
      <c r="AT901" t="e">
        <v>#DIV/0!</v>
      </c>
      <c r="AU901" t="e">
        <v>#DIV/0!</v>
      </c>
      <c r="AV901"/>
      <c r="AW901"/>
      <c r="FY901" s="211">
        <v>896</v>
      </c>
      <c r="FZ901">
        <v>37.693195076022597</v>
      </c>
      <c r="GA901">
        <v>46.391551449059826</v>
      </c>
      <c r="GB901">
        <v>48.283833810857494</v>
      </c>
      <c r="GC901">
        <v>3.8666439648051996</v>
      </c>
      <c r="GD901">
        <v>0.40570100474563942</v>
      </c>
      <c r="GE901">
        <v>0.64609946287425002</v>
      </c>
      <c r="GF901">
        <v>2.2163807403973528</v>
      </c>
      <c r="GG901">
        <v>1.6029780238536757</v>
      </c>
      <c r="GH901">
        <v>8.0565532890635385</v>
      </c>
      <c r="GI901">
        <v>40.641570824428491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12.712152777777778</v>
      </c>
      <c r="AO902">
        <v>58.772322451034668</v>
      </c>
      <c r="AP902">
        <v>423.73465752621036</v>
      </c>
      <c r="AQ902">
        <v>181.22826157991673</v>
      </c>
      <c r="AR902">
        <v>54.441618055924749</v>
      </c>
      <c r="AS902">
        <v>281.5204241140122</v>
      </c>
      <c r="AT902" t="e">
        <v>#DIV/0!</v>
      </c>
      <c r="AU902" t="e">
        <v>#DIV/0!</v>
      </c>
      <c r="AV902"/>
      <c r="AW902"/>
      <c r="FY902" s="211">
        <v>897</v>
      </c>
      <c r="FZ902">
        <v>49.318689636896366</v>
      </c>
      <c r="GA902">
        <v>51.256705455870772</v>
      </c>
      <c r="GB902">
        <v>47.566290085954378</v>
      </c>
      <c r="GC902">
        <v>2.6859967801251905</v>
      </c>
      <c r="GD902">
        <v>0.22337466777235199</v>
      </c>
      <c r="GE902">
        <v>0.29074249605252656</v>
      </c>
      <c r="GF902">
        <v>2.1471784907005711</v>
      </c>
      <c r="GG902">
        <v>2.8193007419730334</v>
      </c>
      <c r="GH902">
        <v>3.6144188009915013</v>
      </c>
      <c r="GI902">
        <v>40.197938349228316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14.710202991452991</v>
      </c>
      <c r="AO903">
        <v>73.350321009511376</v>
      </c>
      <c r="AP903">
        <v>448.9356150414676</v>
      </c>
      <c r="AQ903">
        <v>240.39886046659703</v>
      </c>
      <c r="AR903">
        <v>68.124526495939179</v>
      </c>
      <c r="AS903">
        <v>617.78812336932299</v>
      </c>
      <c r="AT903" t="e">
        <v>#DIV/0!</v>
      </c>
      <c r="AU903" t="e">
        <v>#DIV/0!</v>
      </c>
      <c r="AV903"/>
      <c r="AW903"/>
      <c r="FY903" s="211">
        <v>898</v>
      </c>
      <c r="FZ903">
        <v>46.990490410948397</v>
      </c>
      <c r="GA903">
        <v>48.579630330772581</v>
      </c>
      <c r="GB903">
        <v>15.800404771454184</v>
      </c>
      <c r="GC903">
        <v>0.68951748528161327</v>
      </c>
      <c r="GD903">
        <v>0.19401424406507889</v>
      </c>
      <c r="GE903">
        <v>0.44905857597238164</v>
      </c>
      <c r="GF903">
        <v>2.5194483228669209</v>
      </c>
      <c r="GG903">
        <v>12.589256932084382</v>
      </c>
      <c r="GH903">
        <v>22.422890605804085</v>
      </c>
      <c r="GI903">
        <v>24.323641087815652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14.635202991452989</v>
      </c>
      <c r="AO904">
        <v>136.20006135619968</v>
      </c>
      <c r="AP904">
        <v>847.87682069743119</v>
      </c>
      <c r="AQ904">
        <v>245.57935447500594</v>
      </c>
      <c r="AR904">
        <v>126.38591895431834</v>
      </c>
      <c r="AS904">
        <v>642.46071697613297</v>
      </c>
      <c r="AT904" t="e">
        <v>#DIV/0!</v>
      </c>
      <c r="AU904" t="e">
        <v>#DIV/0!</v>
      </c>
      <c r="AV904"/>
      <c r="AW904"/>
      <c r="FY904" s="211">
        <v>899</v>
      </c>
      <c r="FZ904">
        <v>8.6639344979950792</v>
      </c>
      <c r="GA904">
        <v>13.27355457150097</v>
      </c>
      <c r="GB904">
        <v>34.024298751887386</v>
      </c>
      <c r="GC904">
        <v>3.0973931252494742</v>
      </c>
      <c r="GD904">
        <v>0.2493208187843971</v>
      </c>
      <c r="GE904">
        <v>0.44905857597238164</v>
      </c>
      <c r="GF904">
        <v>1.3423687072092796</v>
      </c>
      <c r="GG904">
        <v>5.936151560766076</v>
      </c>
      <c r="GH904">
        <v>13.225583625167928</v>
      </c>
      <c r="GI904">
        <v>32.390429773035486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12.949051816239315</v>
      </c>
      <c r="AO905">
        <v>149.00260413644889</v>
      </c>
      <c r="AP905">
        <v>944.10952586352676</v>
      </c>
      <c r="AQ905">
        <v>140.07819045147514</v>
      </c>
      <c r="AR905">
        <v>138.13567584065407</v>
      </c>
      <c r="AS905">
        <v>1016.2453765513063</v>
      </c>
      <c r="AT905" t="e">
        <v>#DIV/0!</v>
      </c>
      <c r="AU905" t="e">
        <v>#DIV/0!</v>
      </c>
      <c r="AV905"/>
      <c r="AW905"/>
      <c r="FY905" s="211">
        <v>900</v>
      </c>
      <c r="FZ905">
        <v>39.646116436605425</v>
      </c>
      <c r="GA905">
        <v>40.067603729826104</v>
      </c>
      <c r="GB905">
        <v>45.615451035562515</v>
      </c>
      <c r="GC905">
        <v>4.2788485623422874</v>
      </c>
      <c r="GD905">
        <v>0.4986416375687942</v>
      </c>
      <c r="GE905">
        <v>0.66648692196279713</v>
      </c>
      <c r="GF905">
        <v>1.8999394295441325</v>
      </c>
      <c r="GG905">
        <v>0.77331061146863544</v>
      </c>
      <c r="GH905">
        <v>0</v>
      </c>
      <c r="GI905">
        <v>39.951698853007301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11.787673611111112</v>
      </c>
      <c r="AO906">
        <v>83.224517352482934</v>
      </c>
      <c r="AP906">
        <v>626.06977143119252</v>
      </c>
      <c r="AQ906">
        <v>162.42667262948126</v>
      </c>
      <c r="AR906">
        <v>77.264306335908387</v>
      </c>
      <c r="AS906">
        <v>678.88926387022502</v>
      </c>
      <c r="AT906" t="e">
        <v>#DIV/0!</v>
      </c>
      <c r="AU906" t="e">
        <v>#DIV/0!</v>
      </c>
      <c r="AV906"/>
      <c r="AW906"/>
      <c r="FY906" s="211">
        <v>901</v>
      </c>
      <c r="FZ906">
        <v>37.693195076022597</v>
      </c>
      <c r="GA906">
        <v>40.672596583635695</v>
      </c>
      <c r="GB906">
        <v>45.398073716980647</v>
      </c>
      <c r="GC906">
        <v>1.5809864500052107</v>
      </c>
      <c r="GD906">
        <v>0.30121312080848733</v>
      </c>
      <c r="GE906">
        <v>0.4786147090076619</v>
      </c>
      <c r="GF906">
        <v>3.0543339936807086</v>
      </c>
      <c r="GG906">
        <v>3.7053249552744782</v>
      </c>
      <c r="GH906">
        <v>7.6426954455232705</v>
      </c>
      <c r="GI906">
        <v>46.329967400994647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11.739115918803419</v>
      </c>
      <c r="AO907">
        <v>119.30990208964313</v>
      </c>
      <c r="AP907">
        <v>909.91629340901216</v>
      </c>
      <c r="AQ907">
        <v>174.45985642541655</v>
      </c>
      <c r="AR907">
        <v>110.53003440549851</v>
      </c>
      <c r="AS907">
        <v>824.15593163570634</v>
      </c>
      <c r="AT907" t="e">
        <v>#DIV/0!</v>
      </c>
      <c r="AU907" t="e">
        <v>#DIV/0!</v>
      </c>
      <c r="AV907"/>
      <c r="AW907"/>
      <c r="FY907" s="211">
        <v>902</v>
      </c>
      <c r="FZ907">
        <v>22.362275851618058</v>
      </c>
      <c r="GA907">
        <v>25.389929401440508</v>
      </c>
      <c r="GB907">
        <v>31.647452422101257</v>
      </c>
      <c r="GC907">
        <v>2.9108280783344584</v>
      </c>
      <c r="GD907">
        <v>0.27797796260269864</v>
      </c>
      <c r="GE907">
        <v>0.25154869441669431</v>
      </c>
      <c r="GF907">
        <v>2.4872172249004452</v>
      </c>
      <c r="GG907">
        <v>8.6990955018227059</v>
      </c>
      <c r="GH907">
        <v>20.868279070691202</v>
      </c>
      <c r="GI907">
        <v>37.25485168869352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14.752390491452989</v>
      </c>
      <c r="AO908">
        <v>87.257824721024761</v>
      </c>
      <c r="AP908">
        <v>608.70256975689847</v>
      </c>
      <c r="AQ908">
        <v>211.8000408630794</v>
      </c>
      <c r="AR908">
        <v>80.899293522594178</v>
      </c>
      <c r="AS908">
        <v>441.48660254749041</v>
      </c>
      <c r="AT908" t="e">
        <v>#DIV/0!</v>
      </c>
      <c r="AU908" t="e">
        <v>#DIV/0!</v>
      </c>
      <c r="AV908"/>
      <c r="AW908"/>
      <c r="FY908" s="211">
        <v>903</v>
      </c>
      <c r="FZ908">
        <v>46.395078084599447</v>
      </c>
      <c r="GA908">
        <v>50.20990591737786</v>
      </c>
      <c r="GB908">
        <v>31.707532769653998</v>
      </c>
      <c r="GC908">
        <v>3.6284055807677316</v>
      </c>
      <c r="GD908">
        <v>0.40570100474563942</v>
      </c>
      <c r="GE908">
        <v>0.25201768907051325</v>
      </c>
      <c r="GF908">
        <v>1.1248367190743009</v>
      </c>
      <c r="GG908">
        <v>4.7198288426467183</v>
      </c>
      <c r="GH908">
        <v>9.6111648241764271</v>
      </c>
      <c r="GI908">
        <v>45.518786171134884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10.802911324786326</v>
      </c>
      <c r="AO909">
        <v>48.10401439843789</v>
      </c>
      <c r="AP909">
        <v>197.2972299549632</v>
      </c>
      <c r="AQ909">
        <v>127.31287912478287</v>
      </c>
      <c r="AR909">
        <v>44.643556151444287</v>
      </c>
      <c r="AS909">
        <v>443.6608191165173</v>
      </c>
      <c r="AT909" t="e">
        <v>#DIV/0!</v>
      </c>
      <c r="AU909" t="e">
        <v>#DIV/0!</v>
      </c>
      <c r="AV909"/>
      <c r="AW909"/>
      <c r="FY909" s="211">
        <v>904</v>
      </c>
      <c r="FZ909">
        <v>25.676793959531892</v>
      </c>
      <c r="GA909">
        <v>27.238775733607639</v>
      </c>
      <c r="GB909">
        <v>64.152906395181276</v>
      </c>
      <c r="GC909">
        <v>2.6147184908762622</v>
      </c>
      <c r="GD909">
        <v>0.29850212800223097</v>
      </c>
      <c r="GE909">
        <v>0.41446923289228399</v>
      </c>
      <c r="GF909">
        <v>1.8738179812524622</v>
      </c>
      <c r="GG909">
        <v>0.82966741238504016</v>
      </c>
      <c r="GH909">
        <v>4.0282766445317693</v>
      </c>
      <c r="GI909">
        <v>47.764740209456384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17.396794871794874</v>
      </c>
      <c r="AO910">
        <v>96.447651935847404</v>
      </c>
      <c r="AP910">
        <v>531.91743538172659</v>
      </c>
      <c r="AQ910">
        <v>231.51352800608004</v>
      </c>
      <c r="AR910">
        <v>89.423542883203496</v>
      </c>
      <c r="AS910">
        <v>716.09731865675781</v>
      </c>
      <c r="AT910" t="e">
        <v>#DIV/0!</v>
      </c>
      <c r="AU910" t="e">
        <v>#DIV/0!</v>
      </c>
      <c r="AV910"/>
      <c r="AW910"/>
      <c r="FY910" s="211">
        <v>905</v>
      </c>
      <c r="FZ910">
        <v>17.365817506571943</v>
      </c>
      <c r="GA910">
        <v>20.55117837765841</v>
      </c>
      <c r="GB910">
        <v>51.924786690568361</v>
      </c>
      <c r="GC910">
        <v>2.2730586813845934</v>
      </c>
      <c r="GD910">
        <v>0.22608566057860841</v>
      </c>
      <c r="GE910">
        <v>0.21742834599041555</v>
      </c>
      <c r="GF910">
        <v>2.342323883232853</v>
      </c>
      <c r="GG910">
        <v>2.4890022371551206</v>
      </c>
      <c r="GH910">
        <v>8.0565532890635385</v>
      </c>
      <c r="GI910">
        <v>53.318942476097575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14.554607371794873</v>
      </c>
      <c r="AO911">
        <v>105.51335217102375</v>
      </c>
      <c r="AP911">
        <v>717.00769333859284</v>
      </c>
      <c r="AQ911">
        <v>252.50223162472122</v>
      </c>
      <c r="AR911">
        <v>97.903059616687969</v>
      </c>
      <c r="AS911">
        <v>635.61399204581971</v>
      </c>
      <c r="AT911" t="e">
        <v>#DIV/0!</v>
      </c>
      <c r="AU911" t="e">
        <v>#DIV/0!</v>
      </c>
      <c r="AV911"/>
      <c r="AW911"/>
      <c r="FY911" s="211">
        <v>906</v>
      </c>
      <c r="FZ911">
        <v>15.633030606972927</v>
      </c>
      <c r="GA911">
        <v>20.975219064590448</v>
      </c>
      <c r="GB911">
        <v>57.430974962856503</v>
      </c>
      <c r="GC911">
        <v>3.3283388483615663</v>
      </c>
      <c r="GD911">
        <v>0.34497244441380825</v>
      </c>
      <c r="GE911">
        <v>0.46944603506092875</v>
      </c>
      <c r="GF911">
        <v>1.4908476736066609</v>
      </c>
      <c r="GG911">
        <v>2.8193007419730334</v>
      </c>
      <c r="GH911">
        <v>7.6426954455232705</v>
      </c>
      <c r="GI911">
        <v>45.042040258482558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16.32118055555555</v>
      </c>
      <c r="AO912">
        <v>164.51909857518066</v>
      </c>
      <c r="AP912">
        <v>1186.1537413183844</v>
      </c>
      <c r="AQ912">
        <v>189.80450764610808</v>
      </c>
      <c r="AR912">
        <v>152.75336108137017</v>
      </c>
      <c r="AS912">
        <v>936.11737495739601</v>
      </c>
      <c r="AT912" t="e">
        <v>#DIV/0!</v>
      </c>
      <c r="AU912" t="e">
        <v>#DIV/0!</v>
      </c>
      <c r="AV912"/>
      <c r="AW912"/>
      <c r="FY912" s="211">
        <v>907</v>
      </c>
      <c r="FZ912">
        <v>24.334913615549787</v>
      </c>
      <c r="GA912">
        <v>28.252842870747884</v>
      </c>
      <c r="GB912">
        <v>73.996850472495638</v>
      </c>
      <c r="GC912">
        <v>2.6147184908762622</v>
      </c>
      <c r="GD912">
        <v>0.32173728620801972</v>
      </c>
      <c r="GE912">
        <v>0.84314034977611829</v>
      </c>
      <c r="GF912">
        <v>2.8727115574912627</v>
      </c>
      <c r="GG912">
        <v>6.7094621722347103</v>
      </c>
      <c r="GH912">
        <v>21.282136914231469</v>
      </c>
      <c r="GI912">
        <v>63.309967384905697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13.381076388888889</v>
      </c>
      <c r="AO913">
        <v>124.46255166776291</v>
      </c>
      <c r="AP913">
        <v>834.88866549128318</v>
      </c>
      <c r="AQ913">
        <v>200.12063550556499</v>
      </c>
      <c r="AR913">
        <v>115.37124868973947</v>
      </c>
      <c r="AS913">
        <v>969.09571343684479</v>
      </c>
      <c r="AT913" t="e">
        <v>#DIV/0!</v>
      </c>
      <c r="AU913" t="e">
        <v>#DIV/0!</v>
      </c>
      <c r="AV913"/>
      <c r="AW913"/>
      <c r="FY913" s="211">
        <v>908</v>
      </c>
      <c r="FZ913">
        <v>25.796719391698247</v>
      </c>
      <c r="GA913">
        <v>29.588054888587678</v>
      </c>
      <c r="GB913">
        <v>24.393729830387031</v>
      </c>
      <c r="GC913">
        <v>2.0343441257746968</v>
      </c>
      <c r="GD913">
        <v>0.31902629340176314</v>
      </c>
      <c r="GE913">
        <v>0.73980107202490819</v>
      </c>
      <c r="GF913">
        <v>3.2423081367534121</v>
      </c>
      <c r="GG913">
        <v>11.815946320615748</v>
      </c>
      <c r="GH913">
        <v>18.394613961272317</v>
      </c>
      <c r="GI913">
        <v>34.299068773756574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8.3506944444444429</v>
      </c>
      <c r="AO914">
        <v>95.306630441404877</v>
      </c>
      <c r="AP914">
        <v>823.98913832644848</v>
      </c>
      <c r="AQ914">
        <v>174.55835276706529</v>
      </c>
      <c r="AR914">
        <v>88.389990999692372</v>
      </c>
      <c r="AS914">
        <v>691.08595262646497</v>
      </c>
      <c r="AT914" t="e">
        <v>#DIV/0!</v>
      </c>
      <c r="AU914" t="e">
        <v>#DIV/0!</v>
      </c>
      <c r="AV914"/>
      <c r="AW914"/>
      <c r="FY914" s="211">
        <v>909</v>
      </c>
      <c r="FZ914">
        <v>47.14154610223261</v>
      </c>
      <c r="GA914">
        <v>50.614094023376893</v>
      </c>
      <c r="GB914">
        <v>38.286626566260352</v>
      </c>
      <c r="GC914">
        <v>1.900289880978153</v>
      </c>
      <c r="GD914">
        <v>0.15638018596124226</v>
      </c>
      <c r="GE914">
        <v>0</v>
      </c>
      <c r="GF914">
        <v>0.93327695127180799</v>
      </c>
      <c r="GG914">
        <v>6.9676378038982341</v>
      </c>
      <c r="GH914">
        <v>14.871533047506276</v>
      </c>
      <c r="GI914">
        <v>37.154290850728053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13.735510149572647</v>
      </c>
      <c r="AO915">
        <v>159.02480914069628</v>
      </c>
      <c r="AP915">
        <v>953.63629937790984</v>
      </c>
      <c r="AQ915">
        <v>112.65209400756845</v>
      </c>
      <c r="AR915">
        <v>147.54263008948251</v>
      </c>
      <c r="AS915">
        <v>1126.9896037453607</v>
      </c>
      <c r="AT915" t="e">
        <v>#DIV/0!</v>
      </c>
      <c r="AU915" t="e">
        <v>#DIV/0!</v>
      </c>
      <c r="AV915"/>
      <c r="AW915"/>
      <c r="FY915" s="211">
        <v>910</v>
      </c>
      <c r="FZ915">
        <v>32.645890068509736</v>
      </c>
      <c r="GA915">
        <v>38.61172990800253</v>
      </c>
      <c r="GB915">
        <v>51.673512609420399</v>
      </c>
      <c r="GC915">
        <v>2.6065514710233186</v>
      </c>
      <c r="GD915">
        <v>0.24660982597814071</v>
      </c>
      <c r="GE915">
        <v>0.52237272603449258</v>
      </c>
      <c r="GF915">
        <v>3.1757791399608308</v>
      </c>
      <c r="GG915">
        <v>14.618264706828862</v>
      </c>
      <c r="GH915">
        <v>22.331552718578628</v>
      </c>
      <c r="GI915">
        <v>48.982580297249207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14.059508547008544</v>
      </c>
      <c r="AO916">
        <v>159.99472060283685</v>
      </c>
      <c r="AP916">
        <v>899.54679252759331</v>
      </c>
      <c r="AQ916">
        <v>173.39809721788799</v>
      </c>
      <c r="AR916">
        <v>148.37731100381765</v>
      </c>
      <c r="AS916">
        <v>878.60700348561636</v>
      </c>
      <c r="AT916" t="e">
        <v>#DIV/0!</v>
      </c>
      <c r="AU916" t="e">
        <v>#DIV/0!</v>
      </c>
      <c r="AV916"/>
      <c r="AW916"/>
      <c r="FY916" s="211">
        <v>911</v>
      </c>
      <c r="FZ916">
        <v>18.896702052420025</v>
      </c>
      <c r="GA916">
        <v>21.930660063601124</v>
      </c>
      <c r="GB916">
        <v>18.919437120626789</v>
      </c>
      <c r="GC916">
        <v>2.8904549552430954</v>
      </c>
      <c r="GD916">
        <v>0.39144276082538576</v>
      </c>
      <c r="GE916">
        <v>0.46441282501611136</v>
      </c>
      <c r="GF916">
        <v>3.0482243440059031</v>
      </c>
      <c r="GG916">
        <v>9.9717750208584679</v>
      </c>
      <c r="GH916">
        <v>20.454421227150927</v>
      </c>
      <c r="GI916">
        <v>27.984260947679616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14.684895833333332</v>
      </c>
      <c r="AO917">
        <v>109.40684735710718</v>
      </c>
      <c r="AP917">
        <v>687.08384458424473</v>
      </c>
      <c r="AQ917">
        <v>186.8570014519334</v>
      </c>
      <c r="AR917">
        <v>101.39676058919824</v>
      </c>
      <c r="AS917">
        <v>1182.4304566796545</v>
      </c>
      <c r="AT917" t="e">
        <v>#DIV/0!</v>
      </c>
      <c r="AU917" t="e">
        <v>#DIV/0!</v>
      </c>
      <c r="AV917"/>
      <c r="AW917"/>
      <c r="FY917" s="211">
        <v>912</v>
      </c>
      <c r="FZ917">
        <v>13.862295196792127</v>
      </c>
      <c r="GA917">
        <v>20.616133934111783</v>
      </c>
      <c r="GB917">
        <v>11.335313845034824</v>
      </c>
      <c r="GC917">
        <v>1.6678464399178838</v>
      </c>
      <c r="GD917">
        <v>0.14212194204098866</v>
      </c>
      <c r="GE917">
        <v>0.58195398675887211</v>
      </c>
      <c r="GF917">
        <v>2.0248209725948598</v>
      </c>
      <c r="GG917">
        <v>9.9547926650985517</v>
      </c>
      <c r="GH917">
        <v>20.776941183465745</v>
      </c>
      <c r="GI917">
        <v>25.664123504090661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13.713461538461539</v>
      </c>
      <c r="AO918">
        <v>121.74315818045469</v>
      </c>
      <c r="AP918">
        <v>763.1557598762073</v>
      </c>
      <c r="AQ918">
        <v>152.14945589662156</v>
      </c>
      <c r="AR918">
        <v>113.04075073987323</v>
      </c>
      <c r="AS918">
        <v>821.0416205987558</v>
      </c>
      <c r="AT918" t="e">
        <v>#DIV/0!</v>
      </c>
      <c r="AU918" t="e">
        <v>#DIV/0!</v>
      </c>
      <c r="AV918"/>
      <c r="AW918"/>
      <c r="FY918" s="211">
        <v>913</v>
      </c>
      <c r="FZ918">
        <v>30.279742331979985</v>
      </c>
      <c r="GA918">
        <v>36.211630682823738</v>
      </c>
      <c r="GB918">
        <v>28.879154232894418</v>
      </c>
      <c r="GC918">
        <v>4.4367254668523497</v>
      </c>
      <c r="GD918">
        <v>0.63178666532424776</v>
      </c>
      <c r="GE918">
        <v>0.63693078892751687</v>
      </c>
      <c r="GF918">
        <v>2.4672054262835803</v>
      </c>
      <c r="GG918">
        <v>2.4890022371551206</v>
      </c>
      <c r="GH918">
        <v>4.0282766445317693</v>
      </c>
      <c r="GI918">
        <v>31.735765850981647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14.129607371794872</v>
      </c>
      <c r="AO919">
        <v>117.74205964216091</v>
      </c>
      <c r="AP919">
        <v>673.64386929959767</v>
      </c>
      <c r="AQ919">
        <v>193.5732576032475</v>
      </c>
      <c r="AR919">
        <v>109.25939890532054</v>
      </c>
      <c r="AS919">
        <v>899.20575186032249</v>
      </c>
      <c r="AT919" t="e">
        <v>#DIV/0!</v>
      </c>
      <c r="AU919" t="e">
        <v>#DIV/0!</v>
      </c>
      <c r="AV919"/>
      <c r="AW919"/>
      <c r="FY919" s="211">
        <v>914</v>
      </c>
      <c r="FZ919">
        <v>55.84342911080946</v>
      </c>
      <c r="GA919">
        <v>58.103738173000337</v>
      </c>
      <c r="GB919">
        <v>19.435354288359004</v>
      </c>
      <c r="GC919">
        <v>2.9249387315707267</v>
      </c>
      <c r="GD919">
        <v>0.43164715575768448</v>
      </c>
      <c r="GE919">
        <v>0.50817084204294216</v>
      </c>
      <c r="GF919">
        <v>4.3240640544226006</v>
      </c>
      <c r="GG919">
        <v>7.4827727837033464</v>
      </c>
      <c r="GH919">
        <v>13.225583625167928</v>
      </c>
      <c r="GI919">
        <v>34.003280243596699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13.123958333333331</v>
      </c>
      <c r="AO920">
        <v>103.71172920623412</v>
      </c>
      <c r="AP920">
        <v>581.73729410863746</v>
      </c>
      <c r="AQ920">
        <v>174.89266818771722</v>
      </c>
      <c r="AR920">
        <v>96.248319557318808</v>
      </c>
      <c r="AS920">
        <v>744.672078216351</v>
      </c>
      <c r="AT920" t="e">
        <v>#DIV/0!</v>
      </c>
      <c r="AU920" t="e">
        <v>#DIV/0!</v>
      </c>
      <c r="AV920"/>
      <c r="AW920"/>
      <c r="FY920" s="211">
        <v>915</v>
      </c>
      <c r="FZ920">
        <v>27.529506291297263</v>
      </c>
      <c r="GA920">
        <v>29.8000752320537</v>
      </c>
      <c r="GB920">
        <v>35.374816813564948</v>
      </c>
      <c r="GC920">
        <v>4.1506961394311022</v>
      </c>
      <c r="GD920">
        <v>0.6898042328498224</v>
      </c>
      <c r="GE920">
        <v>0.51320405208775954</v>
      </c>
      <c r="GF920">
        <v>2.7632509872527549</v>
      </c>
      <c r="GG920">
        <v>13.306210742636612</v>
      </c>
      <c r="GH920">
        <v>22.422890605804085</v>
      </c>
      <c r="GI920">
        <v>46.772984677365343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12.318977029914524</v>
      </c>
      <c r="AO921">
        <v>89.380437525099936</v>
      </c>
      <c r="AP921">
        <v>618.72555161449327</v>
      </c>
      <c r="AQ921">
        <v>158.7651771483014</v>
      </c>
      <c r="AR921">
        <v>83.003149778700248</v>
      </c>
      <c r="AS921">
        <v>601.62960681547122</v>
      </c>
      <c r="AT921" t="e">
        <v>#DIV/0!</v>
      </c>
      <c r="AU921" t="e">
        <v>#DIV/0!</v>
      </c>
      <c r="AV921"/>
      <c r="AW921"/>
      <c r="FY921" s="211">
        <v>916</v>
      </c>
      <c r="FZ921">
        <v>26.663112841497757</v>
      </c>
      <c r="GA921">
        <v>24.786922443489896</v>
      </c>
      <c r="GB921">
        <v>60.124981716285596</v>
      </c>
      <c r="GC921">
        <v>1.9232617858354217</v>
      </c>
      <c r="GD921">
        <v>9.8362618435667654E-2</v>
      </c>
      <c r="GE921">
        <v>6.4145476115377922E-2</v>
      </c>
      <c r="GF921">
        <v>0.68603789011536964</v>
      </c>
      <c r="GG921">
        <v>5.936151560766076</v>
      </c>
      <c r="GH921">
        <v>13.225583625167928</v>
      </c>
      <c r="GI921">
        <v>43.461548879376259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15.007946047008545</v>
      </c>
      <c r="AO922">
        <v>219.91055912825641</v>
      </c>
      <c r="AP922">
        <v>1440.6946564149432</v>
      </c>
      <c r="AQ922">
        <v>155.17686608184169</v>
      </c>
      <c r="AR922">
        <v>204.00703009955328</v>
      </c>
      <c r="AS922">
        <v>1333.5243700947358</v>
      </c>
      <c r="AT922" t="e">
        <v>#DIV/0!</v>
      </c>
      <c r="AU922" t="e">
        <v>#DIV/0!</v>
      </c>
      <c r="AV922"/>
      <c r="AW922"/>
      <c r="FY922" s="211">
        <v>917</v>
      </c>
      <c r="FZ922">
        <v>44.542365752834087</v>
      </c>
      <c r="GA922">
        <v>49.69627160305054</v>
      </c>
      <c r="GB922">
        <v>31.781816913420428</v>
      </c>
      <c r="GC922">
        <v>1.2222890333995866</v>
      </c>
      <c r="GD922">
        <v>0.23777356767039995</v>
      </c>
      <c r="GE922">
        <v>0.56818085425640441</v>
      </c>
      <c r="GF922">
        <v>2.3575956280858881</v>
      </c>
      <c r="GG922">
        <v>5.43678265319895</v>
      </c>
      <c r="GH922">
        <v>9.6111648241764271</v>
      </c>
      <c r="GI922">
        <v>36.955451898803794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18.612847222222221</v>
      </c>
      <c r="AO923">
        <v>153.54989297309714</v>
      </c>
      <c r="AP923">
        <v>1111.1500544675444</v>
      </c>
      <c r="AQ923">
        <v>224.53848111451686</v>
      </c>
      <c r="AR923">
        <v>142.64696658525199</v>
      </c>
      <c r="AS923">
        <v>1126.8273354734783</v>
      </c>
      <c r="AT923" t="e">
        <v>#DIV/0!</v>
      </c>
      <c r="AU923" t="e">
        <v>#DIV/0!</v>
      </c>
      <c r="AV923"/>
      <c r="AW923"/>
      <c r="FY923" s="211">
        <v>918</v>
      </c>
      <c r="FZ923">
        <v>37.724325335140421</v>
      </c>
      <c r="GA923">
        <v>40.145760777793917</v>
      </c>
      <c r="GB923">
        <v>52.088923115409742</v>
      </c>
      <c r="GC923">
        <v>2.828186608021293</v>
      </c>
      <c r="GD923">
        <v>0.39415375363164218</v>
      </c>
      <c r="GE923">
        <v>0.46944603506092875</v>
      </c>
      <c r="GF923">
        <v>2.3684453315245233</v>
      </c>
      <c r="GG923">
        <v>5.4931394541153544</v>
      </c>
      <c r="GH923">
        <v>13.639441468708196</v>
      </c>
      <c r="GI923">
        <v>48.962956778078912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12.698918269230766</v>
      </c>
      <c r="AO924">
        <v>51.706036872772266</v>
      </c>
      <c r="AP924">
        <v>231.00568693382252</v>
      </c>
      <c r="AQ924">
        <v>150.62361279427236</v>
      </c>
      <c r="AR924">
        <v>47.866665130370805</v>
      </c>
      <c r="AS924">
        <v>450.64755934514181</v>
      </c>
      <c r="AT924" t="e">
        <v>#DIV/0!</v>
      </c>
      <c r="AU924" t="e">
        <v>#DIV/0!</v>
      </c>
      <c r="AV924"/>
      <c r="AW924"/>
      <c r="FY924" s="211">
        <v>919</v>
      </c>
      <c r="FZ924">
        <v>28.275974308930415</v>
      </c>
      <c r="GA924">
        <v>32.251928522171447</v>
      </c>
      <c r="GB924">
        <v>57.892089001288298</v>
      </c>
      <c r="GC924">
        <v>4.8649446221697001</v>
      </c>
      <c r="GD924">
        <v>0.62023941421025064</v>
      </c>
      <c r="GE924">
        <v>0.72146372413144211</v>
      </c>
      <c r="GF924">
        <v>2.1473277186597555</v>
      </c>
      <c r="GG924">
        <v>8.5142590268355036</v>
      </c>
      <c r="GH924">
        <v>18.899809692038044</v>
      </c>
      <c r="GI924">
        <v>51.845192882649414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10.735069444444445</v>
      </c>
      <c r="AO925">
        <v>107.11979501078903</v>
      </c>
      <c r="AP925">
        <v>794.64662906963429</v>
      </c>
      <c r="AQ925">
        <v>198.02567541221362</v>
      </c>
      <c r="AR925">
        <v>99.360854498201618</v>
      </c>
      <c r="AS925">
        <v>651.47316130159015</v>
      </c>
      <c r="AT925" t="e">
        <v>#DIV/0!</v>
      </c>
      <c r="AU925" t="e">
        <v>#DIV/0!</v>
      </c>
      <c r="AV925"/>
      <c r="AW925"/>
      <c r="FY925" s="211">
        <v>920</v>
      </c>
      <c r="FZ925">
        <v>72.140950813830955</v>
      </c>
      <c r="GA925">
        <v>77.280930975622397</v>
      </c>
      <c r="GB925">
        <v>75.150584435965655</v>
      </c>
      <c r="GC925">
        <v>1.4780852317915749</v>
      </c>
      <c r="GD925">
        <v>0.21724940227086764</v>
      </c>
      <c r="GE925">
        <v>6.4145476115377922E-2</v>
      </c>
      <c r="GF925">
        <v>0.93327695127180799</v>
      </c>
      <c r="GG925">
        <v>10.028131821774872</v>
      </c>
      <c r="GH925">
        <v>24.482697871682696</v>
      </c>
      <c r="GI925">
        <v>68.548500430715123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14.018189102564099</v>
      </c>
      <c r="AO926">
        <v>81.222216368221567</v>
      </c>
      <c r="AP926">
        <v>578.99166534187975</v>
      </c>
      <c r="AQ926">
        <v>215.41484347158612</v>
      </c>
      <c r="AR926">
        <v>75.230641303524436</v>
      </c>
      <c r="AS926">
        <v>434.96390613319744</v>
      </c>
      <c r="AT926" t="e">
        <v>#DIV/0!</v>
      </c>
      <c r="AU926" t="e">
        <v>#DIV/0!</v>
      </c>
      <c r="AV926"/>
      <c r="AW926"/>
      <c r="FY926" s="211">
        <v>921</v>
      </c>
      <c r="FZ926">
        <v>52.52891100289564</v>
      </c>
      <c r="GA926">
        <v>53.995206313248467</v>
      </c>
      <c r="GB926">
        <v>30.893262264974648</v>
      </c>
      <c r="GC926">
        <v>2.5013709529694017</v>
      </c>
      <c r="GD926">
        <v>0.42893616295142811</v>
      </c>
      <c r="GE926">
        <v>0.28157382210579351</v>
      </c>
      <c r="GF926">
        <v>2.3684453315245233</v>
      </c>
      <c r="GG926">
        <v>7.5391295846197526</v>
      </c>
      <c r="GH926">
        <v>17.253860269699697</v>
      </c>
      <c r="GI926">
        <v>45.041449717931307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11.436418269230769</v>
      </c>
      <c r="AO927">
        <v>86.031488765213751</v>
      </c>
      <c r="AP927">
        <v>560.36928436175344</v>
      </c>
      <c r="AQ927">
        <v>124.95179131742745</v>
      </c>
      <c r="AR927">
        <v>79.758257854221185</v>
      </c>
      <c r="AS927">
        <v>578.89608681223217</v>
      </c>
      <c r="AT927" t="e">
        <v>#DIV/0!</v>
      </c>
      <c r="AU927" t="e">
        <v>#DIV/0!</v>
      </c>
      <c r="AV927"/>
      <c r="AW927"/>
      <c r="FY927" s="211">
        <v>922</v>
      </c>
      <c r="FZ927">
        <v>61.48614644467127</v>
      </c>
      <c r="GA927">
        <v>62.417639286799655</v>
      </c>
      <c r="GB927">
        <v>30.733553683585569</v>
      </c>
      <c r="GC927">
        <v>2.9401103671768061</v>
      </c>
      <c r="GD927">
        <v>0.44333506284947605</v>
      </c>
      <c r="GE927">
        <v>1.0514000218198007</v>
      </c>
      <c r="GF927">
        <v>2.7773878595028108</v>
      </c>
      <c r="GG927">
        <v>5.936151560766076</v>
      </c>
      <c r="GH927">
        <v>13.225583625167928</v>
      </c>
      <c r="GI927">
        <v>32.787224677578145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14.237246260683758</v>
      </c>
      <c r="AO928">
        <v>81.109085346015164</v>
      </c>
      <c r="AP928">
        <v>254.87834611663985</v>
      </c>
      <c r="AQ928">
        <v>106.6263436699063</v>
      </c>
      <c r="AR928">
        <v>75.252138367135629</v>
      </c>
      <c r="AS928">
        <v>1010.9981249412148</v>
      </c>
      <c r="AT928" t="e">
        <v>#DIV/0!</v>
      </c>
      <c r="AU928" t="e">
        <v>#DIV/0!</v>
      </c>
      <c r="AV928"/>
      <c r="AW928"/>
      <c r="FY928" s="211">
        <v>923</v>
      </c>
      <c r="FZ928">
        <v>15.36204948352237</v>
      </c>
      <c r="GA928">
        <v>18.639141401124839</v>
      </c>
      <c r="GB928">
        <v>76.489353899000093</v>
      </c>
      <c r="GC928">
        <v>3.3601152339650842</v>
      </c>
      <c r="GD928">
        <v>0.32173728620801972</v>
      </c>
      <c r="GE928">
        <v>0.38491309985700373</v>
      </c>
      <c r="GF928">
        <v>1.1212510943445115</v>
      </c>
      <c r="GG928">
        <v>2.8193007419730334</v>
      </c>
      <c r="GH928">
        <v>11.67097209005504</v>
      </c>
      <c r="GI928">
        <v>58.483594737945928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13.714236111111109</v>
      </c>
      <c r="AO929">
        <v>104.4741212821062</v>
      </c>
      <c r="AP929">
        <v>645.82463783787864</v>
      </c>
      <c r="AQ929">
        <v>141.79622032775438</v>
      </c>
      <c r="AR929">
        <v>96.894156900157441</v>
      </c>
      <c r="AS929">
        <v>702.14819586479211</v>
      </c>
      <c r="AT929" t="e">
        <v>#DIV/0!</v>
      </c>
      <c r="AU929" t="e">
        <v>#DIV/0!</v>
      </c>
      <c r="AV929"/>
      <c r="AW929"/>
      <c r="FY929" s="211">
        <v>924</v>
      </c>
      <c r="FZ929">
        <v>53.395304452695143</v>
      </c>
      <c r="GA929">
        <v>57.172714261159562</v>
      </c>
      <c r="GB929">
        <v>12.452246505056602</v>
      </c>
      <c r="GC929">
        <v>2.6117843952619868</v>
      </c>
      <c r="GD929">
        <v>0.52729878138709574</v>
      </c>
      <c r="GE929">
        <v>0.62776211498078383</v>
      </c>
      <c r="GF929">
        <v>1.394760831751805</v>
      </c>
      <c r="GG929">
        <v>8.4409198701591812</v>
      </c>
      <c r="GH929">
        <v>11.165776359289314</v>
      </c>
      <c r="GI929">
        <v>29.649469230659768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10.652737713675211</v>
      </c>
      <c r="AO930">
        <v>36.15070229317088</v>
      </c>
      <c r="AP930">
        <v>364.43255751114077</v>
      </c>
      <c r="AQ930">
        <v>196.28297900843071</v>
      </c>
      <c r="AR930">
        <v>33.4128105681881</v>
      </c>
      <c r="AS930">
        <v>293.44129183108237</v>
      </c>
      <c r="AT930" t="e">
        <v>#DIV/0!</v>
      </c>
      <c r="AU930" t="e">
        <v>#DIV/0!</v>
      </c>
      <c r="AV930"/>
      <c r="AW930"/>
      <c r="FY930" s="211">
        <v>925</v>
      </c>
      <c r="FZ930">
        <v>33.903190073926169</v>
      </c>
      <c r="GA930">
        <v>32.776999415926277</v>
      </c>
      <c r="GB930">
        <v>33.758403172192658</v>
      </c>
      <c r="GC930">
        <v>3.6483772834959618</v>
      </c>
      <c r="GD930">
        <v>0.50135263037505062</v>
      </c>
      <c r="GE930">
        <v>0.63693078892751687</v>
      </c>
      <c r="GF930">
        <v>1.7811675361682109</v>
      </c>
      <c r="GG930">
        <v>6.7658189731511165</v>
      </c>
      <c r="GH930">
        <v>13.225583625167928</v>
      </c>
      <c r="GI930">
        <v>43.651029917440511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14.266493055555554</v>
      </c>
      <c r="AO931">
        <v>38.759418926377847</v>
      </c>
      <c r="AP931">
        <v>175.27934526712531</v>
      </c>
      <c r="AQ931">
        <v>183.3234397743434</v>
      </c>
      <c r="AR931">
        <v>35.979188332229768</v>
      </c>
      <c r="AS931">
        <v>466.72945271487447</v>
      </c>
      <c r="AT931" t="e">
        <v>#DIV/0!</v>
      </c>
      <c r="AU931" t="e">
        <v>#DIV/0!</v>
      </c>
      <c r="AV931"/>
      <c r="AW931"/>
      <c r="FY931" s="211">
        <v>926</v>
      </c>
      <c r="FZ931">
        <v>19.694016732519909</v>
      </c>
      <c r="GA931">
        <v>20.968567975171851</v>
      </c>
      <c r="GB931">
        <v>57.860480618835901</v>
      </c>
      <c r="GC931">
        <v>1.7324868640154305</v>
      </c>
      <c r="GD931">
        <v>0.32715927182053239</v>
      </c>
      <c r="GE931">
        <v>0.21742834599041555</v>
      </c>
      <c r="GF931">
        <v>1.2174871641585521</v>
      </c>
      <c r="GG931">
        <v>2.8756575428894382</v>
      </c>
      <c r="GH931">
        <v>11.67097209005504</v>
      </c>
      <c r="GI931">
        <v>48.431563756818484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12.457465277777777</v>
      </c>
      <c r="AO932">
        <v>164.76907402527993</v>
      </c>
      <c r="AP932">
        <v>1026.507480614438</v>
      </c>
      <c r="AQ932">
        <v>176.97010883708535</v>
      </c>
      <c r="AR932">
        <v>152.88371651489291</v>
      </c>
      <c r="AS932">
        <v>1168.6269563302121</v>
      </c>
      <c r="AT932" t="e">
        <v>#DIV/0!</v>
      </c>
      <c r="AU932" t="e">
        <v>#DIV/0!</v>
      </c>
      <c r="AV932"/>
      <c r="AW932"/>
      <c r="FY932" s="211">
        <v>927</v>
      </c>
      <c r="FZ932">
        <v>31.861473540294803</v>
      </c>
      <c r="GA932">
        <v>34.17716699021944</v>
      </c>
      <c r="GB932">
        <v>63.802730224750725</v>
      </c>
      <c r="GC932">
        <v>3.1045778681621208</v>
      </c>
      <c r="GD932">
        <v>0.50135263037505062</v>
      </c>
      <c r="GE932">
        <v>0.76982619971400745</v>
      </c>
      <c r="GF932">
        <v>2.4897412498454616</v>
      </c>
      <c r="GG932">
        <v>5.6386014839460668</v>
      </c>
      <c r="GH932">
        <v>15.285390891046541</v>
      </c>
      <c r="GI932">
        <v>53.630805034065254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10.914155982905982</v>
      </c>
      <c r="AO933">
        <v>107.17142793050448</v>
      </c>
      <c r="AP933">
        <v>907.28696535663289</v>
      </c>
      <c r="AQ933">
        <v>182.40969272889652</v>
      </c>
      <c r="AR933">
        <v>99.319018172330374</v>
      </c>
      <c r="AS933">
        <v>1255.5050586298385</v>
      </c>
      <c r="AT933" t="e">
        <v>#DIV/0!</v>
      </c>
      <c r="AU933" t="e">
        <v>#DIV/0!</v>
      </c>
      <c r="AV933"/>
      <c r="AW933"/>
      <c r="FY933" s="211">
        <v>928</v>
      </c>
      <c r="FZ933">
        <v>66.429154710269529</v>
      </c>
      <c r="GA933">
        <v>71.51115603999952</v>
      </c>
      <c r="GB933">
        <v>24.470002990651004</v>
      </c>
      <c r="GC933">
        <v>1.9732193448140682</v>
      </c>
      <c r="GD933">
        <v>0.32444827901427609</v>
      </c>
      <c r="GE933">
        <v>0.4786147090076619</v>
      </c>
      <c r="GF933">
        <v>2.3126168102113933</v>
      </c>
      <c r="GG933">
        <v>4.7198288426467183</v>
      </c>
      <c r="GH933">
        <v>9.6111648241764271</v>
      </c>
      <c r="GI933">
        <v>36.878741875226723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14.167454594017093</v>
      </c>
      <c r="AO934">
        <v>126.63247985143371</v>
      </c>
      <c r="AP934">
        <v>845.14604926226082</v>
      </c>
      <c r="AQ934">
        <v>204.11477865748495</v>
      </c>
      <c r="AR934">
        <v>117.55977531333272</v>
      </c>
      <c r="AS934">
        <v>855.43536035348234</v>
      </c>
      <c r="AT934" t="e">
        <v>#DIV/0!</v>
      </c>
      <c r="AU934" t="e">
        <v>#DIV/0!</v>
      </c>
      <c r="AV934"/>
      <c r="AW934"/>
      <c r="FY934" s="211">
        <v>929</v>
      </c>
      <c r="FZ934">
        <v>28.124918617646216</v>
      </c>
      <c r="GA934">
        <v>32.265130013685877</v>
      </c>
      <c r="GB934">
        <v>58.142110589325796</v>
      </c>
      <c r="GC934">
        <v>2.0001956632954352</v>
      </c>
      <c r="GD934">
        <v>0.26371971868244504</v>
      </c>
      <c r="GE934">
        <v>0.34571929822117142</v>
      </c>
      <c r="GF934">
        <v>1.9592043476278671</v>
      </c>
      <c r="GG934">
        <v>5.936151560766076</v>
      </c>
      <c r="GH934">
        <v>13.225583625167928</v>
      </c>
      <c r="GI934">
        <v>51.043929261555959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15.221447649572649</v>
      </c>
      <c r="AO935">
        <v>112.94970712123725</v>
      </c>
      <c r="AP935">
        <v>765.96997408028381</v>
      </c>
      <c r="AQ935">
        <v>206.03322891308426</v>
      </c>
      <c r="AR935">
        <v>104.91190287298565</v>
      </c>
      <c r="AS935">
        <v>572.04571115037527</v>
      </c>
      <c r="AT935" t="e">
        <v>#DIV/0!</v>
      </c>
      <c r="AU935" t="e">
        <v>#DIV/0!</v>
      </c>
      <c r="AV935"/>
      <c r="AW935"/>
      <c r="FY935" s="211">
        <v>930</v>
      </c>
      <c r="FZ935">
        <v>34.258751535942395</v>
      </c>
      <c r="GA935">
        <v>38.522136280607235</v>
      </c>
      <c r="GB935">
        <v>53.705336756782032</v>
      </c>
      <c r="GC935">
        <v>1.2222890333995866</v>
      </c>
      <c r="GD935">
        <v>7.2416467423622538E-2</v>
      </c>
      <c r="GE935">
        <v>0.32029862908780687</v>
      </c>
      <c r="GF935">
        <v>2.2137074874931519</v>
      </c>
      <c r="GG935">
        <v>2.0459901305043982</v>
      </c>
      <c r="GH935">
        <v>7.6426954455232705</v>
      </c>
      <c r="GI935">
        <v>51.167570833912748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15.839022435897434</v>
      </c>
      <c r="AO936">
        <v>146.99143234203331</v>
      </c>
      <c r="AP936">
        <v>836.98961320397905</v>
      </c>
      <c r="AQ936">
        <v>330.32455341104139</v>
      </c>
      <c r="AR936">
        <v>136.42910676955711</v>
      </c>
      <c r="AS936">
        <v>894.51135440660096</v>
      </c>
      <c r="AT936" t="e">
        <v>#DIV/0!</v>
      </c>
      <c r="AU936" t="e">
        <v>#DIV/0!</v>
      </c>
      <c r="AV936"/>
      <c r="AW936"/>
      <c r="FY936" s="211">
        <v>931</v>
      </c>
      <c r="FZ936">
        <v>14.64671172500706</v>
      </c>
      <c r="GA936">
        <v>17.284076802352015</v>
      </c>
      <c r="GB936">
        <v>36.872158303112961</v>
      </c>
      <c r="GC936">
        <v>2.0929433732207707</v>
      </c>
      <c r="GD936">
        <v>0.25203181159065352</v>
      </c>
      <c r="GE936">
        <v>0.38444410520318484</v>
      </c>
      <c r="GF936">
        <v>4.2945062093603266</v>
      </c>
      <c r="GG936">
        <v>10.302073525676381</v>
      </c>
      <c r="GH936">
        <v>20.868279070691202</v>
      </c>
      <c r="GI936">
        <v>36.037760959865494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13.023090277777778</v>
      </c>
      <c r="AO937">
        <v>59.734985804531426</v>
      </c>
      <c r="AP937">
        <v>285.68823445207408</v>
      </c>
      <c r="AQ937">
        <v>212.83214542292066</v>
      </c>
      <c r="AR937">
        <v>55.502730742922409</v>
      </c>
      <c r="AS937">
        <v>567.62088405216082</v>
      </c>
      <c r="AT937" t="e">
        <v>#DIV/0!</v>
      </c>
      <c r="AU937" t="e">
        <v>#DIV/0!</v>
      </c>
      <c r="AV937"/>
      <c r="AW937"/>
      <c r="FY937" s="211">
        <v>932</v>
      </c>
      <c r="FZ937">
        <v>49.536220680899085</v>
      </c>
      <c r="GA937">
        <v>51.492532952931967</v>
      </c>
      <c r="GB937">
        <v>26.174279896600702</v>
      </c>
      <c r="GC937">
        <v>0.98357447778969043</v>
      </c>
      <c r="GD937">
        <v>0.1913032512588225</v>
      </c>
      <c r="GE937">
        <v>0.34068608817635404</v>
      </c>
      <c r="GF937">
        <v>4.3646208308826964</v>
      </c>
      <c r="GG937">
        <v>5.308302979128154</v>
      </c>
      <c r="GH937">
        <v>3.6144188009915013</v>
      </c>
      <c r="GI937">
        <v>32.302016239850168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13.006076388888889</v>
      </c>
      <c r="AO938">
        <v>104.92740174140872</v>
      </c>
      <c r="AP938">
        <v>675.18575423509719</v>
      </c>
      <c r="AQ938">
        <v>213.79853258991753</v>
      </c>
      <c r="AR938">
        <v>97.318709180383266</v>
      </c>
      <c r="AS938">
        <v>603.09342017855761</v>
      </c>
      <c r="AT938" t="e">
        <v>#DIV/0!</v>
      </c>
      <c r="AU938" t="e">
        <v>#DIV/0!</v>
      </c>
      <c r="AV938"/>
      <c r="AW938"/>
      <c r="FY938" s="211">
        <v>933</v>
      </c>
      <c r="FZ938">
        <v>52.138004447278711</v>
      </c>
      <c r="GA938">
        <v>57.500510231277701</v>
      </c>
      <c r="GB938">
        <v>49.028563749454676</v>
      </c>
      <c r="GC938">
        <v>1.7872351544762173</v>
      </c>
      <c r="GD938">
        <v>0.2350625748641435</v>
      </c>
      <c r="GE938">
        <v>0.34571929822117142</v>
      </c>
      <c r="GF938">
        <v>1.2731664575124977</v>
      </c>
      <c r="GG938">
        <v>5.1064841483810355</v>
      </c>
      <c r="GH938">
        <v>21.282136914231469</v>
      </c>
      <c r="GI938">
        <v>46.991294891558262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14.59054487179487</v>
      </c>
      <c r="AO939">
        <v>131.74186678098272</v>
      </c>
      <c r="AP939">
        <v>989.02525014193009</v>
      </c>
      <c r="AQ939">
        <v>188.65242906799594</v>
      </c>
      <c r="AR939">
        <v>122.36022053202957</v>
      </c>
      <c r="AS939">
        <v>867.08391885108381</v>
      </c>
      <c r="AT939" t="e">
        <v>#DIV/0!</v>
      </c>
      <c r="AU939" t="e">
        <v>#DIV/0!</v>
      </c>
      <c r="AV939"/>
      <c r="AW939"/>
      <c r="FY939" s="211">
        <v>934</v>
      </c>
      <c r="FZ939">
        <v>43.946953426485138</v>
      </c>
      <c r="GA939">
        <v>55.209857214427245</v>
      </c>
      <c r="GB939">
        <v>49.374175562392885</v>
      </c>
      <c r="GC939">
        <v>0.98357447778969043</v>
      </c>
      <c r="GD939">
        <v>0.11888678383519996</v>
      </c>
      <c r="GE939">
        <v>0.29074249605252656</v>
      </c>
      <c r="GF939">
        <v>3.0508975969101035</v>
      </c>
      <c r="GG939">
        <v>4.4222787658267091</v>
      </c>
      <c r="GH939">
        <v>3.6144188009915013</v>
      </c>
      <c r="GI939">
        <v>45.098510783431934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10.855689102564101</v>
      </c>
      <c r="AO940">
        <v>87.720249308379024</v>
      </c>
      <c r="AP940">
        <v>994.28102602849776</v>
      </c>
      <c r="AQ940">
        <v>177.43803680240126</v>
      </c>
      <c r="AR940">
        <v>81.373144070852518</v>
      </c>
      <c r="AS940">
        <v>516.69266463633767</v>
      </c>
      <c r="AT940" t="e">
        <v>#DIV/0!</v>
      </c>
      <c r="AU940" t="e">
        <v>#DIV/0!</v>
      </c>
      <c r="AV940"/>
      <c r="AW940"/>
      <c r="FY940" s="211">
        <v>935</v>
      </c>
      <c r="FZ940">
        <v>12.129508297193111</v>
      </c>
      <c r="GA940">
        <v>22.663799118230514</v>
      </c>
      <c r="GB940">
        <v>67.028511766953443</v>
      </c>
      <c r="GC940">
        <v>2.3716800397166429</v>
      </c>
      <c r="GD940">
        <v>0.24048456047665634</v>
      </c>
      <c r="GE940">
        <v>0.51320405208775954</v>
      </c>
      <c r="GF940">
        <v>2.9582471518258524</v>
      </c>
      <c r="GG940">
        <v>11.372934213965024</v>
      </c>
      <c r="GH940">
        <v>14.780195160280819</v>
      </c>
      <c r="GI940">
        <v>50.240782450273386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14.35182959401709</v>
      </c>
      <c r="AO941">
        <v>111.7324602805591</v>
      </c>
      <c r="AP941">
        <v>649.14171717447584</v>
      </c>
      <c r="AQ941">
        <v>170.64885341677137</v>
      </c>
      <c r="AR941">
        <v>103.67217660141463</v>
      </c>
      <c r="AS941">
        <v>962.15001666286969</v>
      </c>
      <c r="AT941" t="e">
        <v>#DIV/0!</v>
      </c>
      <c r="AU941" t="e">
        <v>#DIV/0!</v>
      </c>
      <c r="AV941"/>
      <c r="AW941"/>
      <c r="FY941" s="211">
        <v>936</v>
      </c>
      <c r="FZ941">
        <v>19.763095502219532</v>
      </c>
      <c r="GA941">
        <v>24.896147668046201</v>
      </c>
      <c r="GB941">
        <v>48.075767514274276</v>
      </c>
      <c r="GC941">
        <v>2.4107490862455361</v>
      </c>
      <c r="GD941">
        <v>0.26100872587618862</v>
      </c>
      <c r="GE941">
        <v>1.0605686957665339</v>
      </c>
      <c r="GF941">
        <v>3.6513998926908831</v>
      </c>
      <c r="GG941">
        <v>5.6949582848624711</v>
      </c>
      <c r="GH941">
        <v>11.257114246514771</v>
      </c>
      <c r="GI941">
        <v>40.207924109898102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11.748263888888889</v>
      </c>
      <c r="AO942">
        <v>94.514484594478105</v>
      </c>
      <c r="AP942">
        <v>511.75451619134759</v>
      </c>
      <c r="AQ942">
        <v>164.99582036227557</v>
      </c>
      <c r="AR942">
        <v>87.810583274878852</v>
      </c>
      <c r="AS942">
        <v>642.73953154062758</v>
      </c>
      <c r="AT942" t="e">
        <v>#DIV/0!</v>
      </c>
      <c r="AU942" t="e">
        <v>#DIV/0!</v>
      </c>
      <c r="AV942"/>
      <c r="AW942"/>
      <c r="FY942" s="211">
        <v>937</v>
      </c>
      <c r="FZ942">
        <v>30.913103168910723</v>
      </c>
      <c r="GA942">
        <v>35.152460570163143</v>
      </c>
      <c r="GB942">
        <v>39.748900229760643</v>
      </c>
      <c r="GC942">
        <v>1.4885267852521145</v>
      </c>
      <c r="GD942">
        <v>0.39415375363164218</v>
      </c>
      <c r="GE942">
        <v>0.76065752576727441</v>
      </c>
      <c r="GF942">
        <v>1.1212510943445115</v>
      </c>
      <c r="GG942">
        <v>7.9257848903540697</v>
      </c>
      <c r="GH942">
        <v>16.840002426159433</v>
      </c>
      <c r="GI942">
        <v>39.957724228827502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14.780381944444443</v>
      </c>
      <c r="AO943">
        <v>112.82562358840978</v>
      </c>
      <c r="AP943">
        <v>679.63331973972572</v>
      </c>
      <c r="AQ943">
        <v>211.26166611241945</v>
      </c>
      <c r="AR943">
        <v>104.75536365440054</v>
      </c>
      <c r="AS943">
        <v>621.92133971319322</v>
      </c>
      <c r="AT943" t="e">
        <v>#DIV/0!</v>
      </c>
      <c r="AU943" t="e">
        <v>#DIV/0!</v>
      </c>
      <c r="AV943"/>
      <c r="AW943"/>
      <c r="FY943" s="211">
        <v>938</v>
      </c>
      <c r="FZ943">
        <v>20.831391305769973</v>
      </c>
      <c r="GA943">
        <v>26.27013324308254</v>
      </c>
      <c r="GB943">
        <v>68.309899672870628</v>
      </c>
      <c r="GC943">
        <v>2.1125483253472468</v>
      </c>
      <c r="GD943">
        <v>0.29850212800223097</v>
      </c>
      <c r="GE943">
        <v>0.4786147090076619</v>
      </c>
      <c r="GF943">
        <v>1.8738179812524622</v>
      </c>
      <c r="GG943">
        <v>5.936151560766076</v>
      </c>
      <c r="GH943">
        <v>17.253860269699697</v>
      </c>
      <c r="GI943">
        <v>58.019713309492388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10.82096688034188</v>
      </c>
      <c r="AO944">
        <v>75.128570958627975</v>
      </c>
      <c r="AP944">
        <v>809.0615654451517</v>
      </c>
      <c r="AQ944">
        <v>218.70894842601729</v>
      </c>
      <c r="AR944">
        <v>69.73333045935388</v>
      </c>
      <c r="AS944">
        <v>583.90673689115954</v>
      </c>
      <c r="AT944" t="e">
        <v>#DIV/0!</v>
      </c>
      <c r="AU944" t="e">
        <v>#DIV/0!</v>
      </c>
      <c r="AV944"/>
      <c r="AW944"/>
      <c r="FY944" s="211">
        <v>939</v>
      </c>
      <c r="FZ944">
        <v>56.438841437158416</v>
      </c>
      <c r="GA944">
        <v>60.780813298098522</v>
      </c>
      <c r="GB944">
        <v>42.970657046821529</v>
      </c>
      <c r="GC944">
        <v>1.443081248223379</v>
      </c>
      <c r="GD944">
        <v>0.28966586969449015</v>
      </c>
      <c r="GE944">
        <v>0.46944603506092875</v>
      </c>
      <c r="GF944">
        <v>0.77868833519962088</v>
      </c>
      <c r="GG944">
        <v>3.0604940178766382</v>
      </c>
      <c r="GH944">
        <v>5.582888179644657</v>
      </c>
      <c r="GI944">
        <v>39.563189009379293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13.759682158119656</v>
      </c>
      <c r="AO945">
        <v>102.62993496138843</v>
      </c>
      <c r="AP945">
        <v>502.74394679813139</v>
      </c>
      <c r="AQ945">
        <v>193.30666269597475</v>
      </c>
      <c r="AR945">
        <v>95.122654732324435</v>
      </c>
      <c r="AS945">
        <v>1016.5292034818928</v>
      </c>
      <c r="AT945" t="e">
        <v>#DIV/0!</v>
      </c>
      <c r="AU945" t="e">
        <v>#DIV/0!</v>
      </c>
      <c r="AV945"/>
      <c r="AW945"/>
      <c r="FY945" s="211">
        <v>940</v>
      </c>
      <c r="FZ945">
        <v>26.663112841497757</v>
      </c>
      <c r="GA945">
        <v>34.813228020617501</v>
      </c>
      <c r="GB945">
        <v>50.478541889950037</v>
      </c>
      <c r="GC945">
        <v>3.1252123659050235</v>
      </c>
      <c r="GD945">
        <v>0.12159777664145635</v>
      </c>
      <c r="GE945">
        <v>0.41446923289228399</v>
      </c>
      <c r="GF945">
        <v>3.1902144681292559</v>
      </c>
      <c r="GG945">
        <v>5.3646597800445592</v>
      </c>
      <c r="GH945">
        <v>7.6426954455232705</v>
      </c>
      <c r="GI945">
        <v>43.928061763249403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14.624919871794869</v>
      </c>
      <c r="AO946">
        <v>130.86406574621279</v>
      </c>
      <c r="AP946">
        <v>949.75738495505618</v>
      </c>
      <c r="AQ946">
        <v>191.17119260067625</v>
      </c>
      <c r="AR946">
        <v>121.40767343604422</v>
      </c>
      <c r="AS946">
        <v>1574.4182147650706</v>
      </c>
      <c r="AT946" t="e">
        <v>#DIV/0!</v>
      </c>
      <c r="AU946" t="e">
        <v>#DIV/0!</v>
      </c>
      <c r="AV946"/>
      <c r="AW946"/>
      <c r="FY946" s="211">
        <v>941</v>
      </c>
      <c r="FZ946">
        <v>58.291553768923798</v>
      </c>
      <c r="GA946">
        <v>61.082427268959854</v>
      </c>
      <c r="GB946">
        <v>14.891667312955855</v>
      </c>
      <c r="GC946">
        <v>3.1054207903363027</v>
      </c>
      <c r="GD946">
        <v>0.45488231396347317</v>
      </c>
      <c r="GE946">
        <v>0.37574442591027063</v>
      </c>
      <c r="GF946">
        <v>1.5897569963249023</v>
      </c>
      <c r="GG946">
        <v>7.5391295846197526</v>
      </c>
      <c r="GH946">
        <v>9.1973069806361583</v>
      </c>
      <c r="GI946">
        <v>30.783878599498912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12.755034722222222</v>
      </c>
      <c r="AO947">
        <v>85.928462663652141</v>
      </c>
      <c r="AP947">
        <v>523.96674138981098</v>
      </c>
      <c r="AQ947">
        <v>143.03498588608005</v>
      </c>
      <c r="AR947">
        <v>79.760149591159234</v>
      </c>
      <c r="AS947">
        <v>610.79051325059243</v>
      </c>
      <c r="AT947" t="e">
        <v>#DIV/0!</v>
      </c>
      <c r="AU947" t="e">
        <v>#DIV/0!</v>
      </c>
      <c r="AV947"/>
      <c r="AW947"/>
      <c r="FY947" s="211">
        <v>942</v>
      </c>
      <c r="FZ947">
        <v>48.158995243316305</v>
      </c>
      <c r="GA947">
        <v>55.402024976960234</v>
      </c>
      <c r="GB947">
        <v>56.787722673731146</v>
      </c>
      <c r="GC947">
        <v>1.8686669520134456</v>
      </c>
      <c r="GD947">
        <v>0.16806809305303375</v>
      </c>
      <c r="GE947">
        <v>9.3701609150658172E-2</v>
      </c>
      <c r="GF947">
        <v>1.7380867347630993</v>
      </c>
      <c r="GG947">
        <v>7.9257848903540697</v>
      </c>
      <c r="GH947">
        <v>12.811725781627663</v>
      </c>
      <c r="GI947">
        <v>56.423793251882188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8.4053819444444446</v>
      </c>
      <c r="AO948">
        <v>44.182044428441706</v>
      </c>
      <c r="AP948">
        <v>479.36103234608294</v>
      </c>
      <c r="AQ948">
        <v>174.30795619850912</v>
      </c>
      <c r="AR948">
        <v>40.85530520668037</v>
      </c>
      <c r="AS948">
        <v>242.86454164163086</v>
      </c>
      <c r="AT948" t="e">
        <v>#DIV/0!</v>
      </c>
      <c r="AU948" t="e">
        <v>#DIV/0!</v>
      </c>
      <c r="AV948"/>
      <c r="AW948"/>
      <c r="FY948" s="211">
        <v>943</v>
      </c>
      <c r="FZ948">
        <v>24.095062751217071</v>
      </c>
      <c r="GA948">
        <v>31.532924953796687</v>
      </c>
      <c r="GB948">
        <v>51.86652411767259</v>
      </c>
      <c r="GC948">
        <v>3.1193827531664464</v>
      </c>
      <c r="GD948">
        <v>0.27526696979644222</v>
      </c>
      <c r="GE948">
        <v>0.45319403987429729</v>
      </c>
      <c r="GF948">
        <v>4.6513550687144569</v>
      </c>
      <c r="GG948">
        <v>3.2623128486237558</v>
      </c>
      <c r="GH948">
        <v>0</v>
      </c>
      <c r="GI948">
        <v>39.717876790940444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11.622008547008548</v>
      </c>
      <c r="AO949">
        <v>80.367421814472394</v>
      </c>
      <c r="AP949">
        <v>571.19746284843507</v>
      </c>
      <c r="AQ949">
        <v>235.68817786725592</v>
      </c>
      <c r="AR949">
        <v>74.678990842844129</v>
      </c>
      <c r="AS949">
        <v>435.8539104888788</v>
      </c>
      <c r="AT949" t="e">
        <v>#DIV/0!</v>
      </c>
      <c r="AU949" t="e">
        <v>#DIV/0!</v>
      </c>
      <c r="AV949"/>
      <c r="AW949"/>
      <c r="FY949" s="211">
        <v>944</v>
      </c>
      <c r="FZ949">
        <v>55.518997907911064</v>
      </c>
      <c r="GA949">
        <v>61.646050736139188</v>
      </c>
      <c r="GB949">
        <v>86.157273351967888</v>
      </c>
      <c r="GC949">
        <v>2.1491893816297343</v>
      </c>
      <c r="GD949">
        <v>0.27526696979644222</v>
      </c>
      <c r="GE949">
        <v>0.37527543125645169</v>
      </c>
      <c r="GF949">
        <v>3.5859324956830756</v>
      </c>
      <c r="GG949">
        <v>9.3833008843770322</v>
      </c>
      <c r="GH949">
        <v>15.194053003821082</v>
      </c>
      <c r="GI949">
        <v>66.626910644144218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12.8609375</v>
      </c>
      <c r="AO950">
        <v>128.06401790561276</v>
      </c>
      <c r="AP950">
        <v>1141.55153887094</v>
      </c>
      <c r="AQ950">
        <v>206.11029590814292</v>
      </c>
      <c r="AR950">
        <v>118.71212646139983</v>
      </c>
      <c r="AS950">
        <v>755.86750116532335</v>
      </c>
      <c r="AT950" t="e">
        <v>#DIV/0!</v>
      </c>
      <c r="AU950" t="e">
        <v>#DIV/0!</v>
      </c>
      <c r="AV950"/>
      <c r="AW950"/>
      <c r="FY950" s="211">
        <v>945</v>
      </c>
      <c r="FZ950">
        <v>26.392131718047199</v>
      </c>
      <c r="GA950">
        <v>26.546175148261739</v>
      </c>
      <c r="GB950">
        <v>52.758390630500251</v>
      </c>
      <c r="GC950">
        <v>2.5415009818681065</v>
      </c>
      <c r="GD950">
        <v>0.26371971868244504</v>
      </c>
      <c r="GE950">
        <v>0.60690566123841772</v>
      </c>
      <c r="GF950">
        <v>2.3944175518570092</v>
      </c>
      <c r="GG950">
        <v>4.8652908724774315</v>
      </c>
      <c r="GH950">
        <v>11.257114246514771</v>
      </c>
      <c r="GI950">
        <v>44.058759162894667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15.63902243589744</v>
      </c>
      <c r="AO951">
        <v>156.73282706523133</v>
      </c>
      <c r="AP951">
        <v>1246.4868521898345</v>
      </c>
      <c r="AQ951">
        <v>184.2993468110032</v>
      </c>
      <c r="AR951">
        <v>145.29004480910751</v>
      </c>
      <c r="AS951">
        <v>762.33739827640807</v>
      </c>
      <c r="AT951" t="e">
        <v>#DIV/0!</v>
      </c>
      <c r="AU951" t="e">
        <v>#DIV/0!</v>
      </c>
      <c r="AV951"/>
      <c r="AW951"/>
      <c r="FY951" s="211">
        <v>946</v>
      </c>
      <c r="FZ951">
        <v>23.944007059932872</v>
      </c>
      <c r="GA951">
        <v>33.169750942497792</v>
      </c>
      <c r="GB951">
        <v>58.833323150028804</v>
      </c>
      <c r="GC951">
        <v>1.7113054885112631</v>
      </c>
      <c r="GD951">
        <v>0.39415375363164218</v>
      </c>
      <c r="GE951">
        <v>0.6960430549980775</v>
      </c>
      <c r="GF951">
        <v>3.0913051454110141</v>
      </c>
      <c r="GG951">
        <v>8.8118091036555146</v>
      </c>
      <c r="GH951">
        <v>16.840002426159433</v>
      </c>
      <c r="GI951">
        <v>50.251622685718665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15.977216880341876</v>
      </c>
      <c r="AO952">
        <v>98.325206750620907</v>
      </c>
      <c r="AP952">
        <v>512.89796978553159</v>
      </c>
      <c r="AQ952">
        <v>157.27873372639451</v>
      </c>
      <c r="AR952">
        <v>91.226635865639025</v>
      </c>
      <c r="AS952">
        <v>974.83973230519041</v>
      </c>
      <c r="AT952" t="e">
        <v>#DIV/0!</v>
      </c>
      <c r="AU952" t="e">
        <v>#DIV/0!</v>
      </c>
      <c r="AV952"/>
      <c r="AW952"/>
      <c r="FY952" s="211">
        <v>947</v>
      </c>
      <c r="FZ952">
        <v>26.663112841497757</v>
      </c>
      <c r="GA952">
        <v>28.670232468261325</v>
      </c>
      <c r="GB952">
        <v>31.126816025651941</v>
      </c>
      <c r="GC952">
        <v>3.281036675464966</v>
      </c>
      <c r="GD952">
        <v>0.31902629340176319</v>
      </c>
      <c r="GE952">
        <v>0.44905857597238164</v>
      </c>
      <c r="GF952">
        <v>1.3684901555009499</v>
      </c>
      <c r="GG952">
        <v>6.8942986472219117</v>
      </c>
      <c r="GH952">
        <v>15.194053003821082</v>
      </c>
      <c r="GI952">
        <v>32.492027216611241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10.893055555555557</v>
      </c>
      <c r="AO953">
        <v>96.167798905400588</v>
      </c>
      <c r="AP953">
        <v>752.70479062472327</v>
      </c>
      <c r="AQ953">
        <v>174.30256467317105</v>
      </c>
      <c r="AR953">
        <v>89.278581855907944</v>
      </c>
      <c r="AS953">
        <v>469.36182896624666</v>
      </c>
      <c r="AT953" t="e">
        <v>#DIV/0!</v>
      </c>
      <c r="AU953" t="e">
        <v>#DIV/0!</v>
      </c>
      <c r="AV953"/>
      <c r="AW953"/>
      <c r="FY953" s="211">
        <v>948</v>
      </c>
      <c r="FZ953">
        <v>41.227847644920246</v>
      </c>
      <c r="GA953">
        <v>43.964115246111966</v>
      </c>
      <c r="GB953">
        <v>120.54291291710923</v>
      </c>
      <c r="GC953">
        <v>3.0924064346850795</v>
      </c>
      <c r="GD953">
        <v>0.33328453732201685</v>
      </c>
      <c r="GE953">
        <v>0.28570928600770917</v>
      </c>
      <c r="GF953">
        <v>3.9222363771939759</v>
      </c>
      <c r="GG953">
        <v>1.5466212229372709</v>
      </c>
      <c r="GH953">
        <v>8.0565532890635385</v>
      </c>
      <c r="GI953">
        <v>92.608423271252832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12.899572649572647</v>
      </c>
      <c r="AO954">
        <v>66.157531427963974</v>
      </c>
      <c r="AP954">
        <v>634.0217592482029</v>
      </c>
      <c r="AQ954">
        <v>201.38463250529088</v>
      </c>
      <c r="AR954">
        <v>61.492977107417879</v>
      </c>
      <c r="AS954">
        <v>578.23733197415413</v>
      </c>
      <c r="AT954" t="e">
        <v>#DIV/0!</v>
      </c>
      <c r="AU954" t="e">
        <v>#DIV/0!</v>
      </c>
      <c r="AV954"/>
      <c r="AW954"/>
      <c r="FY954" s="211">
        <v>949</v>
      </c>
      <c r="FZ954">
        <v>16.379498624606079</v>
      </c>
      <c r="GA954">
        <v>19.331741986470739</v>
      </c>
      <c r="GB954">
        <v>41.529008244674053</v>
      </c>
      <c r="GC954">
        <v>1.7151486128144842</v>
      </c>
      <c r="GD954">
        <v>0.17077908585929019</v>
      </c>
      <c r="GE954">
        <v>0.70521172894481055</v>
      </c>
      <c r="GF954">
        <v>3.7737574107965948</v>
      </c>
      <c r="GG954">
        <v>1.6029780238536757</v>
      </c>
      <c r="GH954">
        <v>4.0282766445317693</v>
      </c>
      <c r="GI954">
        <v>40.871728192512386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10.832425213675213</v>
      </c>
      <c r="AO955">
        <v>108.27812450394515</v>
      </c>
      <c r="AP955">
        <v>771.30335145884487</v>
      </c>
      <c r="AQ955">
        <v>211.37776447715754</v>
      </c>
      <c r="AR955">
        <v>100.41518686941789</v>
      </c>
      <c r="AS955">
        <v>650.70816028686704</v>
      </c>
      <c r="AT955" t="e">
        <v>#DIV/0!</v>
      </c>
      <c r="AU955" t="e">
        <v>#DIV/0!</v>
      </c>
      <c r="AV955"/>
      <c r="AW955"/>
      <c r="FY955" s="211">
        <v>950</v>
      </c>
      <c r="FZ955">
        <v>15.36204948352237</v>
      </c>
      <c r="GA955">
        <v>18.215100714192793</v>
      </c>
      <c r="GB955">
        <v>60.45316459401792</v>
      </c>
      <c r="GC955">
        <v>2.7674285776624186</v>
      </c>
      <c r="GD955">
        <v>0.27526696979644222</v>
      </c>
      <c r="GE955">
        <v>0.21742834599041555</v>
      </c>
      <c r="GF955">
        <v>1.4908476736066609</v>
      </c>
      <c r="GG955">
        <v>10.986278908230709</v>
      </c>
      <c r="GH955">
        <v>18.394613961272317</v>
      </c>
      <c r="GI955">
        <v>46.948080322222474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15.262686965811962</v>
      </c>
      <c r="AO956">
        <v>208.52890123287466</v>
      </c>
      <c r="AP956">
        <v>1573.6104678005263</v>
      </c>
      <c r="AQ956">
        <v>175.74179358445053</v>
      </c>
      <c r="AR956">
        <v>193.48131772674415</v>
      </c>
      <c r="AS956">
        <v>1224.1083272757382</v>
      </c>
      <c r="AT956" t="e">
        <v>#DIV/0!</v>
      </c>
      <c r="AU956" t="e">
        <v>#DIV/0!</v>
      </c>
      <c r="AV956"/>
      <c r="AW956"/>
      <c r="FY956" s="211">
        <v>951</v>
      </c>
      <c r="FZ956">
        <v>29.926784286944855</v>
      </c>
      <c r="GA956">
        <v>38.028354547212928</v>
      </c>
      <c r="GB956">
        <v>65.786314212470486</v>
      </c>
      <c r="GC956">
        <v>2.9658644139674846</v>
      </c>
      <c r="GD956">
        <v>0.2493208187843971</v>
      </c>
      <c r="GE956">
        <v>0.64609946287425002</v>
      </c>
      <c r="GF956">
        <v>2.7108588627102295</v>
      </c>
      <c r="GG956">
        <v>10.78446007748359</v>
      </c>
      <c r="GH956">
        <v>24.805217827997517</v>
      </c>
      <c r="GI956">
        <v>60.703681416860945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9.3118990384615383</v>
      </c>
      <c r="AO957">
        <v>77.73155191447124</v>
      </c>
      <c r="AP957">
        <v>731.21537155537669</v>
      </c>
      <c r="AQ957">
        <v>187.3117680421293</v>
      </c>
      <c r="AR957">
        <v>72.06232437381162</v>
      </c>
      <c r="AS957">
        <v>422.52958500089397</v>
      </c>
      <c r="AT957" t="e">
        <v>#DIV/0!</v>
      </c>
      <c r="AU957" t="e">
        <v>#DIV/0!</v>
      </c>
      <c r="AV957"/>
      <c r="AW957"/>
      <c r="FY957" s="211">
        <v>952</v>
      </c>
      <c r="FZ957">
        <v>26.814168532781956</v>
      </c>
      <c r="GA957">
        <v>38.259295866942466</v>
      </c>
      <c r="GB957">
        <v>56.261374299740559</v>
      </c>
      <c r="GC957">
        <v>2.8477168089384741</v>
      </c>
      <c r="GD957">
        <v>0.42552189025620024</v>
      </c>
      <c r="GE957">
        <v>1.1547392995710113</v>
      </c>
      <c r="GF957">
        <v>3.5848708958983027</v>
      </c>
      <c r="GG957">
        <v>8.4972766710755856</v>
      </c>
      <c r="GH957">
        <v>15.194053003821082</v>
      </c>
      <c r="GI957">
        <v>45.464960231514183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17.48936965811966</v>
      </c>
      <c r="AO958">
        <v>153.03261207554542</v>
      </c>
      <c r="AP958">
        <v>1094.2467836361752</v>
      </c>
      <c r="AQ958">
        <v>241.37857020685183</v>
      </c>
      <c r="AR958">
        <v>141.84167582358822</v>
      </c>
      <c r="AS958">
        <v>1286.9583208810157</v>
      </c>
      <c r="AT958" t="e">
        <v>#DIV/0!</v>
      </c>
      <c r="AU958" t="e">
        <v>#DIV/0!</v>
      </c>
      <c r="AV958"/>
      <c r="AW958"/>
      <c r="FY958" s="211">
        <v>953</v>
      </c>
      <c r="FZ958">
        <v>19.88302093438589</v>
      </c>
      <c r="GA958">
        <v>23.36211679825481</v>
      </c>
      <c r="GB958">
        <v>44.297864423416101</v>
      </c>
      <c r="GC958">
        <v>3.1326851539899101</v>
      </c>
      <c r="GD958">
        <v>0.3797548537335943</v>
      </c>
      <c r="GE958">
        <v>0.4786147090076619</v>
      </c>
      <c r="GF958">
        <v>3.5453757192229802</v>
      </c>
      <c r="GG958">
        <v>16.66425483733326</v>
      </c>
      <c r="GH958">
        <v>25.945971519570133</v>
      </c>
      <c r="GI958">
        <v>44.841971435833912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13.136939102564099</v>
      </c>
      <c r="AO959">
        <v>101.65742816345845</v>
      </c>
      <c r="AP959">
        <v>737.76798698113544</v>
      </c>
      <c r="AQ959">
        <v>158.97390029380219</v>
      </c>
      <c r="AR959">
        <v>94.22028708906825</v>
      </c>
      <c r="AS959">
        <v>645.28986064651315</v>
      </c>
      <c r="AT959" t="e">
        <v>#DIV/0!</v>
      </c>
      <c r="AU959" t="e">
        <v>#DIV/0!</v>
      </c>
      <c r="AV959"/>
      <c r="AW959"/>
      <c r="FY959" s="211">
        <v>954</v>
      </c>
      <c r="FZ959">
        <v>35.396126109192458</v>
      </c>
      <c r="GA959">
        <v>45.871366732636652</v>
      </c>
      <c r="GB959">
        <v>27.854643739442814</v>
      </c>
      <c r="GC959">
        <v>2.506357643533796</v>
      </c>
      <c r="GD959">
        <v>0.2493208187843971</v>
      </c>
      <c r="GE959">
        <v>0.64609946287425002</v>
      </c>
      <c r="GF959">
        <v>2.7108588627102295</v>
      </c>
      <c r="GG959">
        <v>11.815946320615748</v>
      </c>
      <c r="GH959">
        <v>18.394613961272317</v>
      </c>
      <c r="GI959">
        <v>33.936278057317836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15.532812500000002</v>
      </c>
      <c r="AO960">
        <v>134.59404934534109</v>
      </c>
      <c r="AP960">
        <v>1084.2099943180012</v>
      </c>
      <c r="AQ960">
        <v>300.91225080672615</v>
      </c>
      <c r="AR960">
        <v>124.8353577047221</v>
      </c>
      <c r="AS960">
        <v>783.03156084781858</v>
      </c>
      <c r="AT960" t="e">
        <v>#DIV/0!</v>
      </c>
      <c r="AU960" t="e">
        <v>#DIV/0!</v>
      </c>
      <c r="AV960"/>
      <c r="AW960"/>
      <c r="FY960" s="211">
        <v>955</v>
      </c>
      <c r="FZ960">
        <v>48.99425843399797</v>
      </c>
      <c r="GA960">
        <v>55.011038362475645</v>
      </c>
      <c r="GB960">
        <v>22.800506730673515</v>
      </c>
      <c r="GC960">
        <v>3.1347030791786512</v>
      </c>
      <c r="GD960">
        <v>0.50135263037505062</v>
      </c>
      <c r="GE960">
        <v>0.4348566919808311</v>
      </c>
      <c r="GF960">
        <v>2.2695360088062819</v>
      </c>
      <c r="GG960">
        <v>3.8338046293452734</v>
      </c>
      <c r="GH960">
        <v>13.639441468708196</v>
      </c>
      <c r="GI960">
        <v>30.467149062187929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12.329861111111111</v>
      </c>
      <c r="AO961">
        <v>126.14867533329247</v>
      </c>
      <c r="AP961">
        <v>896.30723513767816</v>
      </c>
      <c r="AQ961">
        <v>171.68440569234201</v>
      </c>
      <c r="AR961">
        <v>116.97207989874153</v>
      </c>
      <c r="AS961">
        <v>836.94892949365988</v>
      </c>
      <c r="AT961" t="e">
        <v>#DIV/0!</v>
      </c>
      <c r="AU961" t="e">
        <v>#DIV/0!</v>
      </c>
      <c r="AV961"/>
      <c r="AW961"/>
      <c r="FY961" s="211">
        <v>956</v>
      </c>
      <c r="FZ961">
        <v>54.586129105393049</v>
      </c>
      <c r="GA961">
        <v>56.38386895899977</v>
      </c>
      <c r="GB961">
        <v>38.807262962709657</v>
      </c>
      <c r="GC961">
        <v>0.91229618854076189</v>
      </c>
      <c r="GD961">
        <v>0.23777356767039992</v>
      </c>
      <c r="GE961">
        <v>0.83397167582938536</v>
      </c>
      <c r="GF961">
        <v>2.6813010176479541</v>
      </c>
      <c r="GG961">
        <v>4.4222787658267091</v>
      </c>
      <c r="GH961">
        <v>3.6144188009915013</v>
      </c>
      <c r="GI961">
        <v>41.497462993773013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13.483333333333334</v>
      </c>
      <c r="AO962">
        <v>112.75710254852478</v>
      </c>
      <c r="AP962">
        <v>923.49647166814088</v>
      </c>
      <c r="AQ962">
        <v>197.74332281054507</v>
      </c>
      <c r="AR962">
        <v>104.61086156434848</v>
      </c>
      <c r="AS962">
        <v>555.45488151530628</v>
      </c>
      <c r="AT962" t="e">
        <v>#DIV/0!</v>
      </c>
      <c r="AU962" t="e">
        <v>#DIV/0!</v>
      </c>
      <c r="AV962"/>
      <c r="AW962"/>
      <c r="FY962" s="211">
        <v>957</v>
      </c>
      <c r="FZ962">
        <v>36.382444991158323</v>
      </c>
      <c r="GA962">
        <v>40.73578722800211</v>
      </c>
      <c r="GB962">
        <v>39.365940189012392</v>
      </c>
      <c r="GC962">
        <v>2.9283804355108152</v>
      </c>
      <c r="GD962">
        <v>0.48980537926105344</v>
      </c>
      <c r="GE962">
        <v>0.62272890493596655</v>
      </c>
      <c r="GF962">
        <v>2.4906536216710498</v>
      </c>
      <c r="GG962">
        <v>0.82966741238504016</v>
      </c>
      <c r="GH962">
        <v>8.0565532890635385</v>
      </c>
      <c r="GI962">
        <v>41.623723327006864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11.773571047008547</v>
      </c>
      <c r="AO963">
        <v>117.51481265578006</v>
      </c>
      <c r="AP963">
        <v>816.01063365551443</v>
      </c>
      <c r="AQ963">
        <v>146.45815190340531</v>
      </c>
      <c r="AR963">
        <v>109.03613984373463</v>
      </c>
      <c r="AS963">
        <v>657.11491191400046</v>
      </c>
      <c r="AT963" t="e">
        <v>#DIV/0!</v>
      </c>
      <c r="AU963" t="e">
        <v>#DIV/0!</v>
      </c>
      <c r="AV963"/>
      <c r="AW963"/>
      <c r="FY963" s="211">
        <v>958</v>
      </c>
      <c r="FZ963">
        <v>50.185083086695876</v>
      </c>
      <c r="GA963">
        <v>50.126862692078397</v>
      </c>
      <c r="GB963">
        <v>45.886368294412527</v>
      </c>
      <c r="GC963">
        <v>0.93145963885618799</v>
      </c>
      <c r="GD963">
        <v>0.14483293484724508</v>
      </c>
      <c r="GE963">
        <v>0.34571929822117142</v>
      </c>
      <c r="GF963">
        <v>1.929646502565592</v>
      </c>
      <c r="GG963">
        <v>6.7094621722347103</v>
      </c>
      <c r="GH963">
        <v>13.225583625167928</v>
      </c>
      <c r="GI963">
        <v>49.124819554431177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18.866105769230771</v>
      </c>
      <c r="AO964">
        <v>94.69943497294517</v>
      </c>
      <c r="AP964">
        <v>576.50819952439565</v>
      </c>
      <c r="AQ964">
        <v>315.58011022660389</v>
      </c>
      <c r="AR964">
        <v>87.913011826857456</v>
      </c>
      <c r="AS964">
        <v>725.28303888310734</v>
      </c>
      <c r="AT964" t="e">
        <v>#DIV/0!</v>
      </c>
      <c r="AU964" t="e">
        <v>#DIV/0!</v>
      </c>
      <c r="AV964"/>
      <c r="AW964"/>
      <c r="FY964" s="211">
        <v>959</v>
      </c>
      <c r="FZ964">
        <v>67.295548160069046</v>
      </c>
      <c r="GA964">
        <v>70.169292932741115</v>
      </c>
      <c r="GB964">
        <v>30.782766448273676</v>
      </c>
      <c r="GC964">
        <v>3.3916302449170619</v>
      </c>
      <c r="GD964">
        <v>0.48424273767074627</v>
      </c>
      <c r="GE964">
        <v>0.26118636301724629</v>
      </c>
      <c r="GF964">
        <v>2.0545280456163195</v>
      </c>
      <c r="GG964">
        <v>10.801442433243508</v>
      </c>
      <c r="GH964">
        <v>20.454421227150927</v>
      </c>
      <c r="GI964">
        <v>48.040568882868683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14.766586538461539</v>
      </c>
      <c r="AO965">
        <v>113.70730988479337</v>
      </c>
      <c r="AP965">
        <v>781.35208126088594</v>
      </c>
      <c r="AQ965">
        <v>130.1081285550639</v>
      </c>
      <c r="AR965">
        <v>105.47986068703847</v>
      </c>
      <c r="AS965">
        <v>1034.2048808383283</v>
      </c>
      <c r="AT965" t="e">
        <v>#DIV/0!</v>
      </c>
      <c r="AU965" t="e">
        <v>#DIV/0!</v>
      </c>
      <c r="AV965"/>
      <c r="AW965"/>
      <c r="FY965" s="211">
        <v>960</v>
      </c>
      <c r="FZ965">
        <v>24.214988183383429</v>
      </c>
      <c r="GA965">
        <v>27.527188212954528</v>
      </c>
      <c r="GB965">
        <v>83.466423591695943</v>
      </c>
      <c r="GC965">
        <v>7.5022949378221764</v>
      </c>
      <c r="GD965">
        <v>0.79700310959323073</v>
      </c>
      <c r="GE965">
        <v>0.15784708526603611</v>
      </c>
      <c r="GF965">
        <v>1.0259273963560593</v>
      </c>
      <c r="GG965">
        <v>4.0919802610087963</v>
      </c>
      <c r="GH965">
        <v>7.2288376019830025</v>
      </c>
      <c r="GI965">
        <v>65.914869829790646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11.842881944444445</v>
      </c>
      <c r="AO966">
        <v>89.242504886060175</v>
      </c>
      <c r="AP966">
        <v>694.48597921738906</v>
      </c>
      <c r="AQ966">
        <v>175.11025955051451</v>
      </c>
      <c r="AR966">
        <v>82.7120459998564</v>
      </c>
      <c r="AS966">
        <v>453.50326950857323</v>
      </c>
      <c r="AT966" t="e">
        <v>#DIV/0!</v>
      </c>
      <c r="AU966" t="e">
        <v>#DIV/0!</v>
      </c>
      <c r="AV966"/>
      <c r="AW966"/>
      <c r="FY966" s="211">
        <v>961</v>
      </c>
      <c r="FZ966">
        <v>48.007939552032113</v>
      </c>
      <c r="GA966">
        <v>49.272230916118495</v>
      </c>
      <c r="GB966">
        <v>33.598136601268372</v>
      </c>
      <c r="GC966">
        <v>2.9588723971290998</v>
      </c>
      <c r="GD966">
        <v>0.36820760261959706</v>
      </c>
      <c r="GE966">
        <v>0.25201768907051325</v>
      </c>
      <c r="GF966">
        <v>0.68603789011536964</v>
      </c>
      <c r="GG966">
        <v>6.9506554481383152</v>
      </c>
      <c r="GH966">
        <v>11.165776359289314</v>
      </c>
      <c r="GI966">
        <v>34.616280623082204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19.486030982905984</v>
      </c>
      <c r="AO967">
        <v>171.79115706262473</v>
      </c>
      <c r="AP967">
        <v>1048.1818866723911</v>
      </c>
      <c r="AQ967">
        <v>236.6069559273067</v>
      </c>
      <c r="AR967">
        <v>159.4095076569169</v>
      </c>
      <c r="AS967">
        <v>1353.0290979604536</v>
      </c>
      <c r="AT967" t="e">
        <v>#DIV/0!</v>
      </c>
      <c r="AU967" t="e">
        <v>#DIV/0!</v>
      </c>
      <c r="AV967"/>
      <c r="AW967"/>
      <c r="FY967" s="211">
        <v>962</v>
      </c>
      <c r="FZ967">
        <v>28.546955432380972</v>
      </c>
      <c r="GA967">
        <v>34.375985842171033</v>
      </c>
      <c r="GB967">
        <v>49.627912133122727</v>
      </c>
      <c r="GC967">
        <v>2.159054844745794</v>
      </c>
      <c r="GD967">
        <v>0.14483293484724508</v>
      </c>
      <c r="GE967">
        <v>0.25154869441669431</v>
      </c>
      <c r="GF967">
        <v>2.0518547927121187</v>
      </c>
      <c r="GG967">
        <v>3.0604940178766382</v>
      </c>
      <c r="GH967">
        <v>13.639441468708196</v>
      </c>
      <c r="GI967">
        <v>40.769483618581745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16.085029380341876</v>
      </c>
      <c r="AO968">
        <v>121.40875968207506</v>
      </c>
      <c r="AP968">
        <v>983.7938467131786</v>
      </c>
      <c r="AQ968">
        <v>198.5039775005398</v>
      </c>
      <c r="AR968">
        <v>112.6234259868491</v>
      </c>
      <c r="AS968">
        <v>555.72508761894437</v>
      </c>
      <c r="AT968" t="e">
        <v>#DIV/0!</v>
      </c>
      <c r="AU968" t="e">
        <v>#DIV/0!</v>
      </c>
      <c r="AV968"/>
      <c r="AW968"/>
      <c r="FY968" s="211">
        <v>963</v>
      </c>
      <c r="FZ968">
        <v>31.184084292361277</v>
      </c>
      <c r="GA968">
        <v>37.700558577094768</v>
      </c>
      <c r="GB968">
        <v>51.595761730047329</v>
      </c>
      <c r="GC968">
        <v>2.8523020791397355</v>
      </c>
      <c r="GD968">
        <v>0.2350625748641435</v>
      </c>
      <c r="GE968">
        <v>0.25658190446151169</v>
      </c>
      <c r="GF968">
        <v>0.71215933840703993</v>
      </c>
      <c r="GG968">
        <v>6.8942986472219117</v>
      </c>
      <c r="GH968">
        <v>15.194053003821082</v>
      </c>
      <c r="GI968">
        <v>38.934578641385443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13.341973824786322</v>
      </c>
      <c r="AO969">
        <v>150.1462268303037</v>
      </c>
      <c r="AP969">
        <v>1018.1626904021863</v>
      </c>
      <c r="AQ969">
        <v>182.53163038474827</v>
      </c>
      <c r="AR969">
        <v>139.10681704181383</v>
      </c>
      <c r="AS969">
        <v>1056.6822289911286</v>
      </c>
      <c r="AT969" t="e">
        <v>#DIV/0!</v>
      </c>
      <c r="AU969" t="e">
        <v>#DIV/0!</v>
      </c>
      <c r="AV969"/>
      <c r="AW969"/>
      <c r="FY969" s="211">
        <v>964</v>
      </c>
      <c r="FZ969">
        <v>49.265239557448531</v>
      </c>
      <c r="GA969">
        <v>47.320810448813646</v>
      </c>
      <c r="GB969">
        <v>28.640726372275292</v>
      </c>
      <c r="GC969">
        <v>2.8554509716748995</v>
      </c>
      <c r="GD969">
        <v>0.20013950956656329</v>
      </c>
      <c r="GE969">
        <v>2.9556133035280256E-2</v>
      </c>
      <c r="GF969">
        <v>1.4908476736066609</v>
      </c>
      <c r="GG969">
        <v>2.8193007419730334</v>
      </c>
      <c r="GH969">
        <v>3.6144188009915013</v>
      </c>
      <c r="GI969">
        <v>26.437188237758619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14.572702991452989</v>
      </c>
      <c r="AO970">
        <v>129.14902043996389</v>
      </c>
      <c r="AP970">
        <v>1053.1666973770152</v>
      </c>
      <c r="AQ970">
        <v>179.38161170838049</v>
      </c>
      <c r="AR970">
        <v>119.68964322536334</v>
      </c>
      <c r="AS970">
        <v>747.60979149571449</v>
      </c>
      <c r="AT970" t="e">
        <v>#DIV/0!</v>
      </c>
      <c r="AU970" t="e">
        <v>#DIV/0!</v>
      </c>
      <c r="AV970"/>
      <c r="AW970"/>
      <c r="FY970" s="211">
        <v>965</v>
      </c>
      <c r="FZ970">
        <v>18.896702052420025</v>
      </c>
      <c r="GA970">
        <v>21.718639720135101</v>
      </c>
      <c r="GB970">
        <v>35.894161783914001</v>
      </c>
      <c r="GC970">
        <v>2.952530576390636</v>
      </c>
      <c r="GD970">
        <v>0.21724940227086764</v>
      </c>
      <c r="GE970">
        <v>0.63693078892751687</v>
      </c>
      <c r="GF970">
        <v>2.0249702005540442</v>
      </c>
      <c r="GG970">
        <v>6.4682688963311064</v>
      </c>
      <c r="GH970">
        <v>11.257114246514771</v>
      </c>
      <c r="GI970">
        <v>31.73782790714834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9.8098958333333321</v>
      </c>
      <c r="AO971">
        <v>109.94907634566019</v>
      </c>
      <c r="AP971">
        <v>888.90681133502289</v>
      </c>
      <c r="AQ971">
        <v>181.08664709772933</v>
      </c>
      <c r="AR971">
        <v>102.05517738709321</v>
      </c>
      <c r="AS971">
        <v>452.02431941969411</v>
      </c>
      <c r="AT971" t="e">
        <v>#DIV/0!</v>
      </c>
      <c r="AU971" t="e">
        <v>#DIV/0!</v>
      </c>
      <c r="AV971"/>
      <c r="AW971"/>
      <c r="FY971" s="211">
        <v>966</v>
      </c>
      <c r="FZ971">
        <v>30.12868664069579</v>
      </c>
      <c r="GA971">
        <v>32.553542493032758</v>
      </c>
      <c r="GB971">
        <v>46.880238805268704</v>
      </c>
      <c r="GC971">
        <v>3.3201718285086224</v>
      </c>
      <c r="GD971">
        <v>0.20285050237281971</v>
      </c>
      <c r="GE971">
        <v>0.59112266070560515</v>
      </c>
      <c r="GF971">
        <v>3.1199506186477013</v>
      </c>
      <c r="GG971">
        <v>3.6489681543580739</v>
      </c>
      <c r="GH971">
        <v>11.67097209005504</v>
      </c>
      <c r="GI971">
        <v>46.819974690468513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13.247916666666665</v>
      </c>
      <c r="AO972">
        <v>79.152365978265493</v>
      </c>
      <c r="AP972">
        <v>643.21736259202578</v>
      </c>
      <c r="AQ972">
        <v>203.97676403738222</v>
      </c>
      <c r="AR972">
        <v>73.400290736779155</v>
      </c>
      <c r="AS972">
        <v>622.85042292667117</v>
      </c>
      <c r="AT972" t="e">
        <v>#DIV/0!</v>
      </c>
      <c r="AU972" t="e">
        <v>#DIV/0!</v>
      </c>
      <c r="AV972"/>
      <c r="AW972"/>
      <c r="FY972" s="211">
        <v>967</v>
      </c>
      <c r="FZ972">
        <v>25.676793959531892</v>
      </c>
      <c r="GA972">
        <v>27.450796077073662</v>
      </c>
      <c r="GB972">
        <v>72.396342463759083</v>
      </c>
      <c r="GC972">
        <v>2.4733715851543416</v>
      </c>
      <c r="GD972">
        <v>0.2493208187843971</v>
      </c>
      <c r="GE972">
        <v>0.90225261584667882</v>
      </c>
      <c r="GF972">
        <v>5.6071678435481465</v>
      </c>
      <c r="GG972">
        <v>8.2560833951719808</v>
      </c>
      <c r="GH972">
        <v>17.253860269699697</v>
      </c>
      <c r="GI972">
        <v>60.502642654906282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11.211030982905982</v>
      </c>
      <c r="AO973">
        <v>91.995778466501889</v>
      </c>
      <c r="AP973">
        <v>925.82162243661583</v>
      </c>
      <c r="AQ973">
        <v>173.52568477800716</v>
      </c>
      <c r="AR973">
        <v>85.356045551600971</v>
      </c>
      <c r="AS973">
        <v>420.53543230391915</v>
      </c>
      <c r="AT973" t="e">
        <v>#DIV/0!</v>
      </c>
      <c r="AU973" t="e">
        <v>#DIV/0!</v>
      </c>
      <c r="AV973"/>
      <c r="AW973"/>
      <c r="FY973" s="211">
        <v>968</v>
      </c>
      <c r="FZ973">
        <v>38.779722986805915</v>
      </c>
      <c r="GA973">
        <v>48.752046199695322</v>
      </c>
      <c r="GB973">
        <v>8.2003758632264994</v>
      </c>
      <c r="GC973">
        <v>3.0761038317325777</v>
      </c>
      <c r="GD973">
        <v>0.52187679577458301</v>
      </c>
      <c r="GE973">
        <v>0.76935720506018845</v>
      </c>
      <c r="GF973">
        <v>4.707034362068403</v>
      </c>
      <c r="GG973">
        <v>5.4931394541153544</v>
      </c>
      <c r="GH973">
        <v>5.582888179644657</v>
      </c>
      <c r="GI973">
        <v>27.138018410820216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12.681557158119656</v>
      </c>
      <c r="AO974">
        <v>92.374330145438634</v>
      </c>
      <c r="AP974">
        <v>515.41761667325648</v>
      </c>
      <c r="AQ974">
        <v>218.60983779951081</v>
      </c>
      <c r="AR974">
        <v>85.698839948516323</v>
      </c>
      <c r="AS974">
        <v>846.51420018508009</v>
      </c>
      <c r="AT974" t="e">
        <v>#DIV/0!</v>
      </c>
      <c r="AU974" t="e">
        <v>#DIV/0!</v>
      </c>
      <c r="AV974"/>
      <c r="AW974"/>
      <c r="FY974" s="211">
        <v>969</v>
      </c>
      <c r="FZ974">
        <v>15.633030606972927</v>
      </c>
      <c r="GA974">
        <v>18.715533537005701</v>
      </c>
      <c r="GB974">
        <v>61.261992313298393</v>
      </c>
      <c r="GC974">
        <v>1.746924998418002</v>
      </c>
      <c r="GD974">
        <v>0.11888678383519996</v>
      </c>
      <c r="GE974">
        <v>0.45822724991911468</v>
      </c>
      <c r="GF974">
        <v>3.1235362433774903</v>
      </c>
      <c r="GG974">
        <v>6.580982498163916</v>
      </c>
      <c r="GH974">
        <v>11.257114246514771</v>
      </c>
      <c r="GI974">
        <v>53.100839877738558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14.303472222222222</v>
      </c>
      <c r="AO975">
        <v>96.370504911363213</v>
      </c>
      <c r="AP975">
        <v>919.78338188860312</v>
      </c>
      <c r="AQ975">
        <v>253.73562747556832</v>
      </c>
      <c r="AR975">
        <v>89.376887539542452</v>
      </c>
      <c r="AS975">
        <v>718.79749413389879</v>
      </c>
      <c r="AT975" t="e">
        <v>#DIV/0!</v>
      </c>
      <c r="AU975" t="e">
        <v>#DIV/0!</v>
      </c>
      <c r="AV975"/>
      <c r="AW975"/>
      <c r="FY975" s="211">
        <v>970</v>
      </c>
      <c r="FZ975">
        <v>30.642122045460162</v>
      </c>
      <c r="GA975">
        <v>42.630668140359106</v>
      </c>
      <c r="GB975">
        <v>75.86812816086875</v>
      </c>
      <c r="GC975">
        <v>3.8021836678671637</v>
      </c>
      <c r="GD975">
        <v>0.53342404688858014</v>
      </c>
      <c r="GE975">
        <v>0.58195398675887211</v>
      </c>
      <c r="GF975">
        <v>1.9986995243031895</v>
      </c>
      <c r="GG975">
        <v>2.8756575428894382</v>
      </c>
      <c r="GH975">
        <v>7.6426954455232705</v>
      </c>
      <c r="GI975">
        <v>66.430104394997912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21.289756944444441</v>
      </c>
      <c r="AO976">
        <v>222.33072942074415</v>
      </c>
      <c r="AP976">
        <v>1291.6255986004276</v>
      </c>
      <c r="AQ976">
        <v>221.92736020985382</v>
      </c>
      <c r="AR976">
        <v>206.17051031774506</v>
      </c>
      <c r="AS976">
        <v>1346.2590740506448</v>
      </c>
      <c r="AT976" t="e">
        <v>#DIV/0!</v>
      </c>
      <c r="AU976" t="e">
        <v>#DIV/0!</v>
      </c>
      <c r="AV976"/>
      <c r="AW976"/>
      <c r="FY976" s="211">
        <v>971</v>
      </c>
      <c r="FZ976">
        <v>62.097187461272</v>
      </c>
      <c r="GA976">
        <v>66.498003251435705</v>
      </c>
      <c r="GB976">
        <v>60.040413945474249</v>
      </c>
      <c r="GC976">
        <v>4.5158040253524678</v>
      </c>
      <c r="GD976">
        <v>0.46371857227121405</v>
      </c>
      <c r="GE976">
        <v>0.39408177380373677</v>
      </c>
      <c r="GF976">
        <v>3.1200998466068857</v>
      </c>
      <c r="GG976">
        <v>15.447932119213901</v>
      </c>
      <c r="GH976">
        <v>34.416382652173937</v>
      </c>
      <c r="GI976">
        <v>67.207593180161808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11.4234375</v>
      </c>
      <c r="AO977">
        <v>91.724863061917077</v>
      </c>
      <c r="AP977">
        <v>619.74640821397929</v>
      </c>
      <c r="AQ977">
        <v>187.87615507886341</v>
      </c>
      <c r="AR977">
        <v>85.043132488325369</v>
      </c>
      <c r="AS977">
        <v>576.82368416686006</v>
      </c>
      <c r="AT977" t="e">
        <v>#DIV/0!</v>
      </c>
      <c r="AU977" t="e">
        <v>#DIV/0!</v>
      </c>
      <c r="AV977"/>
      <c r="AW977"/>
      <c r="FY977" s="211">
        <v>972</v>
      </c>
      <c r="FZ977">
        <v>35.125144985741898</v>
      </c>
      <c r="GA977">
        <v>46.782538063544401</v>
      </c>
      <c r="GB977">
        <v>39.854242058455554</v>
      </c>
      <c r="GC977">
        <v>2.3336758540194089</v>
      </c>
      <c r="GD977">
        <v>0.32444827901427609</v>
      </c>
      <c r="GE977">
        <v>0.40530055894555084</v>
      </c>
      <c r="GF977">
        <v>1.4647262253149904</v>
      </c>
      <c r="GG977">
        <v>0.82966741238504016</v>
      </c>
      <c r="GH977">
        <v>16.113106578127077</v>
      </c>
      <c r="GI977">
        <v>41.293093094589651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12.900133547008545</v>
      </c>
      <c r="AO978">
        <v>98.672759121554748</v>
      </c>
      <c r="AP978">
        <v>524.59116483162745</v>
      </c>
      <c r="AQ978">
        <v>174.62756377956316</v>
      </c>
      <c r="AR978">
        <v>91.549905157401412</v>
      </c>
      <c r="AS978">
        <v>844.02088400453954</v>
      </c>
      <c r="AT978" t="e">
        <v>#DIV/0!</v>
      </c>
      <c r="AU978" t="e">
        <v>#DIV/0!</v>
      </c>
      <c r="AV978"/>
      <c r="AW978"/>
      <c r="FY978" s="211">
        <v>973</v>
      </c>
      <c r="FZ978">
        <v>34.64965809155931</v>
      </c>
      <c r="GA978">
        <v>41.159827914934162</v>
      </c>
      <c r="GB978">
        <v>38.786638101356857</v>
      </c>
      <c r="GC978">
        <v>1.6992127604637364</v>
      </c>
      <c r="GD978">
        <v>0.45502296994126756</v>
      </c>
      <c r="GE978">
        <v>1.2142803171306547</v>
      </c>
      <c r="GF978">
        <v>1.3126616341878199</v>
      </c>
      <c r="GG978">
        <v>2.0459901305043982</v>
      </c>
      <c r="GH978">
        <v>3.6144188009915013</v>
      </c>
      <c r="GI978">
        <v>30.211801608933076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10.770793269230769</v>
      </c>
      <c r="AO979">
        <v>165.27068068488188</v>
      </c>
      <c r="AP979">
        <v>1250.0327332616121</v>
      </c>
      <c r="AQ979">
        <v>185.55944078880424</v>
      </c>
      <c r="AR979">
        <v>153.34902881508023</v>
      </c>
      <c r="AS979">
        <v>723.48581193396069</v>
      </c>
      <c r="AT979" t="e">
        <v>#DIV/0!</v>
      </c>
      <c r="AU979" t="e">
        <v>#DIV/0!</v>
      </c>
      <c r="AV979"/>
      <c r="AW979"/>
      <c r="FY979" s="211">
        <v>974</v>
      </c>
      <c r="FZ979">
        <v>11.181137925809029</v>
      </c>
      <c r="GA979">
        <v>15.660452305165331</v>
      </c>
      <c r="GB979">
        <v>47.09862036987532</v>
      </c>
      <c r="GC979">
        <v>2.005978007357883</v>
      </c>
      <c r="GD979">
        <v>0.11888678383519996</v>
      </c>
      <c r="GE979">
        <v>0.24698447902569581</v>
      </c>
      <c r="GF979">
        <v>2.6822133894735427</v>
      </c>
      <c r="GG979">
        <v>3.7053249552744782</v>
      </c>
      <c r="GH979">
        <v>7.6426954455232705</v>
      </c>
      <c r="GI979">
        <v>43.41269325102985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7.7718349358974352</v>
      </c>
      <c r="AO980">
        <v>83.992309686887964</v>
      </c>
      <c r="AP980">
        <v>590.02270048738421</v>
      </c>
      <c r="AQ980">
        <v>162.673678447144</v>
      </c>
      <c r="AR980">
        <v>77.841735054427645</v>
      </c>
      <c r="AS980">
        <v>453.58662493247255</v>
      </c>
      <c r="AT980" t="e">
        <v>#DIV/0!</v>
      </c>
      <c r="AU980" t="e">
        <v>#DIV/0!</v>
      </c>
      <c r="AV980"/>
      <c r="AW980"/>
      <c r="FY980" s="211">
        <v>975</v>
      </c>
      <c r="FZ980">
        <v>55.248016784460511</v>
      </c>
      <c r="GA980">
        <v>57.050287545088821</v>
      </c>
      <c r="GB980">
        <v>9.64577128904482</v>
      </c>
      <c r="GC980">
        <v>1.6278557657852932</v>
      </c>
      <c r="GD980">
        <v>0.22337466777235196</v>
      </c>
      <c r="GE980">
        <v>0.52237272603449258</v>
      </c>
      <c r="GF980">
        <v>3.6668208655031029</v>
      </c>
      <c r="GG980">
        <v>8.1997265942555781</v>
      </c>
      <c r="GH980">
        <v>13.225583625167928</v>
      </c>
      <c r="GI980">
        <v>28.263298001977617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10.80574252136752</v>
      </c>
      <c r="AO981">
        <v>76.784721765261025</v>
      </c>
      <c r="AP981">
        <v>465.74816045734514</v>
      </c>
      <c r="AQ981">
        <v>131.80439557460642</v>
      </c>
      <c r="AR981">
        <v>71.297990816817432</v>
      </c>
      <c r="AS981">
        <v>403.58842664488202</v>
      </c>
      <c r="AT981" t="e">
        <v>#DIV/0!</v>
      </c>
      <c r="AU981" t="e">
        <v>#DIV/0!</v>
      </c>
      <c r="AV981"/>
      <c r="AW981"/>
      <c r="FY981" s="211">
        <v>976</v>
      </c>
      <c r="FZ981">
        <v>48.452296187096863</v>
      </c>
      <c r="GA981">
        <v>54.434213403781868</v>
      </c>
      <c r="GB981">
        <v>41.991523972747068</v>
      </c>
      <c r="GC981">
        <v>4.271114399605862</v>
      </c>
      <c r="GD981">
        <v>0.45217132115721681</v>
      </c>
      <c r="GE981">
        <v>0.89764815729094416</v>
      </c>
      <c r="GF981">
        <v>4.4859167492036347</v>
      </c>
      <c r="GG981">
        <v>6.4682688963311064</v>
      </c>
      <c r="GH981">
        <v>7.2288376019830025</v>
      </c>
      <c r="GI981">
        <v>41.060015038422549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15.542801816239313</v>
      </c>
      <c r="AO982">
        <v>132.22034846554874</v>
      </c>
      <c r="AP982">
        <v>949.33239016451967</v>
      </c>
      <c r="AQ982">
        <v>178.93647848411365</v>
      </c>
      <c r="AR982">
        <v>122.73430483726717</v>
      </c>
      <c r="AS982">
        <v>870.7075007052963</v>
      </c>
      <c r="AT982" t="e">
        <v>#DIV/0!</v>
      </c>
      <c r="AU982" t="e">
        <v>#DIV/0!</v>
      </c>
      <c r="AV982"/>
      <c r="AW982"/>
      <c r="FY982" s="211">
        <v>977</v>
      </c>
      <c r="FZ982">
        <v>34.974089294457706</v>
      </c>
      <c r="GA982">
        <v>37.405495008329282</v>
      </c>
      <c r="GB982">
        <v>57.541470779557478</v>
      </c>
      <c r="GC982">
        <v>4.1786547348527661</v>
      </c>
      <c r="GD982">
        <v>0.40570100474563942</v>
      </c>
      <c r="GE982">
        <v>0.4786147090076619</v>
      </c>
      <c r="GF982">
        <v>1.8738179812524622</v>
      </c>
      <c r="GG982">
        <v>16.149119857528149</v>
      </c>
      <c r="GH982">
        <v>31.620197586440248</v>
      </c>
      <c r="GI982">
        <v>53.13344739534314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18.968576388888888</v>
      </c>
      <c r="AO983">
        <v>123.09575792542128</v>
      </c>
      <c r="AP983">
        <v>743.71455441888907</v>
      </c>
      <c r="AQ983">
        <v>220.76863168347614</v>
      </c>
      <c r="AR983">
        <v>114.2132504239529</v>
      </c>
      <c r="AS983">
        <v>1099.1320426632858</v>
      </c>
      <c r="AT983" t="e">
        <v>#DIV/0!</v>
      </c>
      <c r="AU983" t="e">
        <v>#DIV/0!</v>
      </c>
      <c r="AV983"/>
      <c r="AW983"/>
      <c r="FY983" s="211">
        <v>978</v>
      </c>
      <c r="FZ983">
        <v>83.886370806871128</v>
      </c>
      <c r="GA983">
        <v>86.1189886346001</v>
      </c>
      <c r="GB983">
        <v>48.76181879495995</v>
      </c>
      <c r="GC983">
        <v>3.4114218204857814</v>
      </c>
      <c r="GD983">
        <v>0.44333506284947599</v>
      </c>
      <c r="GE983">
        <v>0.53359151117630665</v>
      </c>
      <c r="GF983">
        <v>1.0259273963560593</v>
      </c>
      <c r="GG983">
        <v>6.1209880357532764</v>
      </c>
      <c r="GH983">
        <v>15.194053003821082</v>
      </c>
      <c r="GI983">
        <v>51.497216776261048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13.332077991452991</v>
      </c>
      <c r="AO984">
        <v>39.840757416703369</v>
      </c>
      <c r="AP984">
        <v>269.90749497585989</v>
      </c>
      <c r="AQ984">
        <v>143.02056328894372</v>
      </c>
      <c r="AR984">
        <v>36.786703391703021</v>
      </c>
      <c r="AS984">
        <v>311.25025495421767</v>
      </c>
      <c r="AT984" t="e">
        <v>#DIV/0!</v>
      </c>
      <c r="AU984" t="e">
        <v>#DIV/0!</v>
      </c>
      <c r="AV984"/>
      <c r="AW984"/>
      <c r="FY984" s="211">
        <v>979</v>
      </c>
      <c r="FZ984">
        <v>24.063932492099234</v>
      </c>
      <c r="GA984">
        <v>31.423699729240383</v>
      </c>
      <c r="GB984">
        <v>28.309751328246527</v>
      </c>
      <c r="GC984">
        <v>1.7605941498432198</v>
      </c>
      <c r="GD984">
        <v>0.27526696979644222</v>
      </c>
      <c r="GE984">
        <v>0.63189757888269948</v>
      </c>
      <c r="GF984">
        <v>3.5823468709532857</v>
      </c>
      <c r="GG984">
        <v>4.4222787658267091</v>
      </c>
      <c r="GH984">
        <v>3.6144188009915013</v>
      </c>
      <c r="GI984">
        <v>31.887989557046602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14.014289529914526</v>
      </c>
      <c r="AO985">
        <v>141.89236703441665</v>
      </c>
      <c r="AP985">
        <v>845.82194447838515</v>
      </c>
      <c r="AQ985">
        <v>171.99706835524407</v>
      </c>
      <c r="AR985">
        <v>131.59250520284917</v>
      </c>
      <c r="AS985">
        <v>790.25032722044898</v>
      </c>
      <c r="AT985" t="e">
        <v>#DIV/0!</v>
      </c>
      <c r="AU985" t="e">
        <v>#DIV/0!</v>
      </c>
      <c r="AV985"/>
      <c r="AW985"/>
      <c r="FY985" s="211">
        <v>980</v>
      </c>
      <c r="FZ985">
        <v>52.52891100289564</v>
      </c>
      <c r="GA985">
        <v>61.973846706257348</v>
      </c>
      <c r="GB985">
        <v>42.400404767373651</v>
      </c>
      <c r="GC985">
        <v>2.3857906929529107</v>
      </c>
      <c r="GD985">
        <v>0.24660982597814071</v>
      </c>
      <c r="GE985">
        <v>0.12325774218593843</v>
      </c>
      <c r="GF985">
        <v>2.9521375021510465</v>
      </c>
      <c r="GG985">
        <v>7.426415982786942</v>
      </c>
      <c r="GH985">
        <v>13.225583625167928</v>
      </c>
      <c r="GI985">
        <v>42.363740075031906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17.711631944444441</v>
      </c>
      <c r="AO986">
        <v>118.83345274351284</v>
      </c>
      <c r="AP986">
        <v>779.32421072826548</v>
      </c>
      <c r="AQ986">
        <v>233.00563695591637</v>
      </c>
      <c r="AR986">
        <v>110.24691331843219</v>
      </c>
      <c r="AS986">
        <v>758.31306656332595</v>
      </c>
      <c r="AT986" t="e">
        <v>#DIV/0!</v>
      </c>
      <c r="AU986" t="e">
        <v>#DIV/0!</v>
      </c>
      <c r="AV986"/>
      <c r="AW986"/>
      <c r="FY986" s="211">
        <v>981</v>
      </c>
      <c r="FZ986">
        <v>55.84342911080946</v>
      </c>
      <c r="GA986">
        <v>57.891717829534315</v>
      </c>
      <c r="GB986">
        <v>46.036048787853716</v>
      </c>
      <c r="GC986">
        <v>1.3819564672627505</v>
      </c>
      <c r="GD986">
        <v>0.11888678383519996</v>
      </c>
      <c r="GE986">
        <v>0.77852587900692138</v>
      </c>
      <c r="GF986">
        <v>3.7736081828374095</v>
      </c>
      <c r="GG986">
        <v>6.1209880357532764</v>
      </c>
      <c r="GH986">
        <v>15.194053003821082</v>
      </c>
      <c r="GI986">
        <v>47.514922769990108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23.412980769230767</v>
      </c>
      <c r="AO987">
        <v>171.92164528178634</v>
      </c>
      <c r="AP987">
        <v>960.23455593190238</v>
      </c>
      <c r="AQ987">
        <v>314.20121682776596</v>
      </c>
      <c r="AR987">
        <v>159.70186323710541</v>
      </c>
      <c r="AS987">
        <v>1576.5279498918414</v>
      </c>
      <c r="AT987" t="e">
        <v>#DIV/0!</v>
      </c>
      <c r="AU987" t="e">
        <v>#DIV/0!</v>
      </c>
      <c r="AV987"/>
      <c r="AW987"/>
      <c r="FY987" s="211">
        <v>982</v>
      </c>
      <c r="FZ987">
        <v>21.344826710534349</v>
      </c>
      <c r="GA987">
        <v>28.368618497400014</v>
      </c>
      <c r="GB987">
        <v>57.210782915604227</v>
      </c>
      <c r="GC987">
        <v>3.5229788290395416</v>
      </c>
      <c r="GD987">
        <v>0.29850212800223097</v>
      </c>
      <c r="GE987">
        <v>0.50817084204294227</v>
      </c>
      <c r="GF987">
        <v>2.8997453776085216</v>
      </c>
      <c r="GG987">
        <v>3.8901614302616783</v>
      </c>
      <c r="GH987">
        <v>9.6111648241764271</v>
      </c>
      <c r="GI987">
        <v>48.226756820685964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12.535376602564101</v>
      </c>
      <c r="AO988">
        <v>129.99213240660228</v>
      </c>
      <c r="AP988">
        <v>881.33579036486447</v>
      </c>
      <c r="AQ988">
        <v>184.52594311013786</v>
      </c>
      <c r="AR988">
        <v>120.83948754869678</v>
      </c>
      <c r="AS988">
        <v>682.2593599438585</v>
      </c>
      <c r="AT988" t="e">
        <v>#DIV/0!</v>
      </c>
      <c r="AU988" t="e">
        <v>#DIV/0!</v>
      </c>
      <c r="AV988"/>
      <c r="AW988"/>
      <c r="FY988" s="211">
        <v>983</v>
      </c>
      <c r="FZ988">
        <v>32.796945759793935</v>
      </c>
      <c r="GA988">
        <v>38.810548759954116</v>
      </c>
      <c r="GB988">
        <v>20.258361454885979</v>
      </c>
      <c r="GC988">
        <v>4.0844045407465686</v>
      </c>
      <c r="GD988">
        <v>0.48695373047700274</v>
      </c>
      <c r="GE988">
        <v>0.44905857597238164</v>
      </c>
      <c r="GF988">
        <v>1.8072889844598812</v>
      </c>
      <c r="GG988">
        <v>4.6634720417303139</v>
      </c>
      <c r="GH988">
        <v>9.6111648241764271</v>
      </c>
      <c r="GI988">
        <v>35.271087152064169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10.952083333333331</v>
      </c>
      <c r="AO989">
        <v>111.5037840871269</v>
      </c>
      <c r="AP989">
        <v>1186.5507588283472</v>
      </c>
      <c r="AQ989">
        <v>155.14951233000278</v>
      </c>
      <c r="AR989">
        <v>103.41088267449848</v>
      </c>
      <c r="AS989">
        <v>552.83544085299286</v>
      </c>
      <c r="AT989" t="e">
        <v>#DIV/0!</v>
      </c>
      <c r="AU989" t="e">
        <v>#DIV/0!</v>
      </c>
      <c r="AV989"/>
      <c r="AW989"/>
      <c r="FY989" s="211">
        <v>984</v>
      </c>
      <c r="FZ989">
        <v>50.82725436241445</v>
      </c>
      <c r="GA989">
        <v>53.892411194338742</v>
      </c>
      <c r="GB989">
        <v>80.129170223835445</v>
      </c>
      <c r="GC989">
        <v>2.0444976340629966</v>
      </c>
      <c r="GD989">
        <v>0.25474280439690988</v>
      </c>
      <c r="GE989">
        <v>0</v>
      </c>
      <c r="GF989">
        <v>0.71215933840703993</v>
      </c>
      <c r="GG989">
        <v>2.8193007419730334</v>
      </c>
      <c r="GH989">
        <v>23.755802023650347</v>
      </c>
      <c r="GI989">
        <v>67.32201185321864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11.628699252136752</v>
      </c>
      <c r="AO990">
        <v>105.83473961867196</v>
      </c>
      <c r="AP990">
        <v>699.78231959266566</v>
      </c>
      <c r="AQ990">
        <v>133.75498691236959</v>
      </c>
      <c r="AR990">
        <v>98.15696278202347</v>
      </c>
      <c r="AS990">
        <v>710.21044509554758</v>
      </c>
      <c r="AT990" t="e">
        <v>#DIV/0!</v>
      </c>
      <c r="AU990" t="e">
        <v>#DIV/0!</v>
      </c>
      <c r="AV990"/>
      <c r="AW990"/>
      <c r="FY990" s="211">
        <v>985</v>
      </c>
      <c r="FZ990">
        <v>31.590492416844246</v>
      </c>
      <c r="GA990">
        <v>33.888754510872552</v>
      </c>
      <c r="GB990">
        <v>40.646043960840601</v>
      </c>
      <c r="GC990">
        <v>2.8374971941354099</v>
      </c>
      <c r="GD990">
        <v>0.46385922824900827</v>
      </c>
      <c r="GE990">
        <v>0.65731824801606409</v>
      </c>
      <c r="GF990">
        <v>0.77868833519962088</v>
      </c>
      <c r="GG990">
        <v>5.1064841483810355</v>
      </c>
      <c r="GH990">
        <v>13.225583625167928</v>
      </c>
      <c r="GI990">
        <v>38.743595119553483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13.22999465811966</v>
      </c>
      <c r="AO991">
        <v>82.088336371208229</v>
      </c>
      <c r="AP991">
        <v>305.48579601494998</v>
      </c>
      <c r="AQ991">
        <v>177.67310786509051</v>
      </c>
      <c r="AR991">
        <v>76.115667852934109</v>
      </c>
      <c r="AS991">
        <v>716.77929941833111</v>
      </c>
      <c r="AT991" t="e">
        <v>#DIV/0!</v>
      </c>
      <c r="AU991" t="e">
        <v>#DIV/0!</v>
      </c>
      <c r="AV991"/>
      <c r="AW991"/>
      <c r="FY991" s="211">
        <v>986</v>
      </c>
      <c r="FZ991">
        <v>13.90024370737391</v>
      </c>
      <c r="GA991">
        <v>15.044243855700294</v>
      </c>
      <c r="GB991">
        <v>46.502440044537806</v>
      </c>
      <c r="GC991">
        <v>4.6273610339062259</v>
      </c>
      <c r="GD991">
        <v>0.41453726305338018</v>
      </c>
      <c r="GE991">
        <v>0</v>
      </c>
      <c r="GF991">
        <v>1.3981972285224096</v>
      </c>
      <c r="GG991">
        <v>12.830450207987989</v>
      </c>
      <c r="GH991">
        <v>24.391359984457242</v>
      </c>
      <c r="GI991">
        <v>46.676062782253084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16.343015491452988</v>
      </c>
      <c r="AO992">
        <v>181.70538976027416</v>
      </c>
      <c r="AP992">
        <v>1614.7530730722228</v>
      </c>
      <c r="AQ992">
        <v>209.7420057276201</v>
      </c>
      <c r="AR992">
        <v>168.43141450772632</v>
      </c>
      <c r="AS992">
        <v>934.21037063676829</v>
      </c>
      <c r="AT992" t="e">
        <v>#DIV/0!</v>
      </c>
      <c r="AU992" t="e">
        <v>#DIV/0!</v>
      </c>
      <c r="AV992"/>
      <c r="AW992"/>
      <c r="FY992" s="211">
        <v>987</v>
      </c>
      <c r="FZ992">
        <v>25.796719391698247</v>
      </c>
      <c r="GA992">
        <v>25.916765207282271</v>
      </c>
      <c r="GB992">
        <v>54.193631334213904</v>
      </c>
      <c r="GC992">
        <v>1.2544321696048586</v>
      </c>
      <c r="GD992">
        <v>0.24048456047665634</v>
      </c>
      <c r="GE992">
        <v>0.40530055894555084</v>
      </c>
      <c r="GF992">
        <v>2.3684453315245233</v>
      </c>
      <c r="GG992">
        <v>5.4931394541153544</v>
      </c>
      <c r="GH992">
        <v>9.6111648241764271</v>
      </c>
      <c r="GI992">
        <v>47.784885771386598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18.292494658119658</v>
      </c>
      <c r="AO993">
        <v>160.94504802689232</v>
      </c>
      <c r="AP993">
        <v>987.19914468324976</v>
      </c>
      <c r="AQ993">
        <v>237.76060835151452</v>
      </c>
      <c r="AR993">
        <v>149.34045204401474</v>
      </c>
      <c r="AS993">
        <v>1167.1951638550293</v>
      </c>
      <c r="AT993" t="e">
        <v>#DIV/0!</v>
      </c>
      <c r="AU993" t="e">
        <v>#DIV/0!</v>
      </c>
      <c r="AV993"/>
      <c r="AW993"/>
      <c r="FY993" s="211">
        <v>988</v>
      </c>
      <c r="FZ993">
        <v>17.961229832920893</v>
      </c>
      <c r="GA993">
        <v>21.180588318637867</v>
      </c>
      <c r="GB993">
        <v>23.830178504142467</v>
      </c>
      <c r="GC993">
        <v>3.2039634432388384</v>
      </c>
      <c r="GD993">
        <v>0.38246584653985061</v>
      </c>
      <c r="GE993">
        <v>0.44402536592756425</v>
      </c>
      <c r="GF993">
        <v>3.4203449482130686</v>
      </c>
      <c r="GG993">
        <v>2.8193007419730334</v>
      </c>
      <c r="GH993">
        <v>3.6144188009915013</v>
      </c>
      <c r="GI993">
        <v>31.43095544878938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14.368843482905978</v>
      </c>
      <c r="AO994">
        <v>143.80886741518606</v>
      </c>
      <c r="AP994">
        <v>1106.7952976376941</v>
      </c>
      <c r="AQ994">
        <v>296.99371184313418</v>
      </c>
      <c r="AR994">
        <v>133.41176877017443</v>
      </c>
      <c r="AS994">
        <v>752.56198879156443</v>
      </c>
      <c r="AT994" t="e">
        <v>#DIV/0!</v>
      </c>
      <c r="AU994" t="e">
        <v>#DIV/0!</v>
      </c>
      <c r="AV994"/>
      <c r="AW994"/>
      <c r="FY994" s="211">
        <v>989</v>
      </c>
      <c r="FZ994">
        <v>60.839887455855589</v>
      </c>
      <c r="GA994">
        <v>61.106844356129741</v>
      </c>
      <c r="GB994">
        <v>65.663543448569683</v>
      </c>
      <c r="GC994">
        <v>1.6638420262937861</v>
      </c>
      <c r="GD994">
        <v>0.21724940227086759</v>
      </c>
      <c r="GE994">
        <v>0.79938233274928749</v>
      </c>
      <c r="GF994">
        <v>3.5156686462015205</v>
      </c>
      <c r="GG994">
        <v>4.6071152408139096</v>
      </c>
      <c r="GH994">
        <v>9.6111648241764271</v>
      </c>
      <c r="GI994">
        <v>63.91449994062296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11.772702991452991</v>
      </c>
      <c r="AO995">
        <v>95.833366249519059</v>
      </c>
      <c r="AP995">
        <v>632.66844630625314</v>
      </c>
      <c r="AQ995">
        <v>129.97217624292659</v>
      </c>
      <c r="AR995">
        <v>88.830087059448047</v>
      </c>
      <c r="AS995">
        <v>556.126271417103</v>
      </c>
      <c r="AT995" t="e">
        <v>#DIV/0!</v>
      </c>
      <c r="AU995" t="e">
        <v>#DIV/0!</v>
      </c>
      <c r="AV995"/>
      <c r="AW995"/>
      <c r="FY995" s="211">
        <v>990</v>
      </c>
      <c r="FZ995">
        <v>46.817114899334214</v>
      </c>
      <c r="GA995">
        <v>48.01341103415956</v>
      </c>
      <c r="GB995">
        <v>34.300093514589769</v>
      </c>
      <c r="GC995">
        <v>1.775399034847545</v>
      </c>
      <c r="GD995">
        <v>0.16806809305303375</v>
      </c>
      <c r="GE995">
        <v>0.37574442591027063</v>
      </c>
      <c r="GF995">
        <v>0.87759765791786248</v>
      </c>
      <c r="GG995">
        <v>1.6593348247700803</v>
      </c>
      <c r="GH995">
        <v>4.0282766445317693</v>
      </c>
      <c r="GI995">
        <v>35.430157533283506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15.254861111111111</v>
      </c>
      <c r="AO996">
        <v>166.09226137904332</v>
      </c>
      <c r="AP996">
        <v>1173.0468856996968</v>
      </c>
      <c r="AQ996">
        <v>225.62669792278146</v>
      </c>
      <c r="AR996">
        <v>154.09934497114565</v>
      </c>
      <c r="AS996">
        <v>932.58162538867543</v>
      </c>
      <c r="AT996" t="e">
        <v>#DIV/0!</v>
      </c>
      <c r="AU996" t="e">
        <v>#DIV/0!</v>
      </c>
      <c r="AV996"/>
      <c r="AW996"/>
      <c r="FY996" s="211">
        <v>991</v>
      </c>
      <c r="FZ996">
        <v>31.861473540294803</v>
      </c>
      <c r="GA996">
        <v>38.272497358456889</v>
      </c>
      <c r="GB996">
        <v>36.065179999467972</v>
      </c>
      <c r="GC996">
        <v>1.2829062060344021</v>
      </c>
      <c r="GD996">
        <v>4.6470316411577423E-2</v>
      </c>
      <c r="GE996">
        <v>0.1528138752212187</v>
      </c>
      <c r="GF996">
        <v>3.7342622341212723</v>
      </c>
      <c r="GG996">
        <v>6.7094621722347103</v>
      </c>
      <c r="GH996">
        <v>9.1973069806361583</v>
      </c>
      <c r="GI996">
        <v>32.880150987628646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14.418362713675211</v>
      </c>
      <c r="AO997">
        <v>85.60590788934671</v>
      </c>
      <c r="AP997">
        <v>628.42713914337685</v>
      </c>
      <c r="AQ997">
        <v>234.65413685070422</v>
      </c>
      <c r="AR997">
        <v>79.354448333645379</v>
      </c>
      <c r="AS997">
        <v>599.42462591437084</v>
      </c>
      <c r="AT997" t="e">
        <v>#DIV/0!</v>
      </c>
      <c r="AU997" t="e">
        <v>#DIV/0!</v>
      </c>
      <c r="AV997"/>
      <c r="AW997"/>
      <c r="FY997" s="211">
        <v>992</v>
      </c>
      <c r="FZ997">
        <v>35.245070417908259</v>
      </c>
      <c r="GA997">
        <v>39.953593015260921</v>
      </c>
      <c r="GB997">
        <v>97.727813740995487</v>
      </c>
      <c r="GC997">
        <v>1.7159568652272887</v>
      </c>
      <c r="GD997">
        <v>0.35937134431185624</v>
      </c>
      <c r="GE997">
        <v>0.59317277190068629</v>
      </c>
      <c r="GF997">
        <v>2.4206882281078643</v>
      </c>
      <c r="GG997">
        <v>4.3659219649103038</v>
      </c>
      <c r="GH997">
        <v>7.6426954455232705</v>
      </c>
      <c r="GI997">
        <v>73.396758621969695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13.725787927350424</v>
      </c>
      <c r="AO998">
        <v>129.44718790716297</v>
      </c>
      <c r="AP998">
        <v>1066.033160856533</v>
      </c>
      <c r="AQ998">
        <v>175.88170837535591</v>
      </c>
      <c r="AR998">
        <v>120.04844887337991</v>
      </c>
      <c r="AS998">
        <v>599.67180126879146</v>
      </c>
      <c r="AT998" t="e">
        <v>#DIV/0!</v>
      </c>
      <c r="AU998" t="e">
        <v>#DIV/0!</v>
      </c>
      <c r="AV998"/>
      <c r="AW998"/>
      <c r="FY998" s="211">
        <v>993</v>
      </c>
      <c r="FZ998">
        <v>67.26441790095123</v>
      </c>
      <c r="GA998">
        <v>64.765153529692753</v>
      </c>
      <c r="GB998">
        <v>37.494669792650562</v>
      </c>
      <c r="GC998">
        <v>3.4650343773674619</v>
      </c>
      <c r="GD998">
        <v>0.47540647936300551</v>
      </c>
      <c r="GE998">
        <v>0.83397167582938536</v>
      </c>
      <c r="GF998">
        <v>4.4921756268376249</v>
      </c>
      <c r="GG998">
        <v>6.9112810029818297</v>
      </c>
      <c r="GH998">
        <v>11.67097209005504</v>
      </c>
      <c r="GI998">
        <v>44.44679934959953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16.167321047008549</v>
      </c>
      <c r="AO999">
        <v>120.96878580459827</v>
      </c>
      <c r="AP999">
        <v>608.80399525204416</v>
      </c>
      <c r="AQ999">
        <v>148.23928582426078</v>
      </c>
      <c r="AR999">
        <v>112.24019656805577</v>
      </c>
      <c r="AS999">
        <v>1160.9742230020877</v>
      </c>
      <c r="AT999" t="e">
        <v>#DIV/0!</v>
      </c>
      <c r="AU999" t="e">
        <v>#DIV/0!</v>
      </c>
      <c r="AV999"/>
      <c r="AW999"/>
      <c r="FY999" s="211">
        <v>994</v>
      </c>
      <c r="FZ999">
        <v>15.513105174806567</v>
      </c>
      <c r="GA999">
        <v>20.249564406797088</v>
      </c>
      <c r="GB999">
        <v>41.858443615516848</v>
      </c>
      <c r="GC999">
        <v>1.3819564672627505</v>
      </c>
      <c r="GD999">
        <v>0.24048456047665634</v>
      </c>
      <c r="GE999">
        <v>0.6960430549980775</v>
      </c>
      <c r="GF999">
        <v>3.3385442065674527</v>
      </c>
      <c r="GG999">
        <v>1.6593348247700803</v>
      </c>
      <c r="GH999">
        <v>4.0282766445317693</v>
      </c>
      <c r="GI999">
        <v>35.60565448817681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13.436071047008545</v>
      </c>
      <c r="AO1000">
        <v>83.662562729246332</v>
      </c>
      <c r="AP1000">
        <v>574.70920881235861</v>
      </c>
      <c r="AQ1000">
        <v>281.75735017629756</v>
      </c>
      <c r="AR1000">
        <v>77.972068252438589</v>
      </c>
      <c r="AS1000">
        <v>492.52640613668922</v>
      </c>
      <c r="AT1000" t="e">
        <v>#DIV/0!</v>
      </c>
      <c r="AU1000" t="e">
        <v>#DIV/0!</v>
      </c>
      <c r="AV1000"/>
      <c r="AW1000"/>
      <c r="FY1000" s="211">
        <v>995</v>
      </c>
      <c r="FZ1000">
        <v>16.499424056772433</v>
      </c>
      <c r="GA1000">
        <v>23.516665982103483</v>
      </c>
      <c r="GB1000">
        <v>29.538024974580001</v>
      </c>
      <c r="GC1000">
        <v>2.5712594422828827</v>
      </c>
      <c r="GD1000">
        <v>0.3361361861060676</v>
      </c>
      <c r="GE1000">
        <v>0.82480300188265243</v>
      </c>
      <c r="GF1000">
        <v>2.0545280456163195</v>
      </c>
      <c r="GG1000">
        <v>9.7699561901113494</v>
      </c>
      <c r="GH1000">
        <v>18.808471804812587</v>
      </c>
      <c r="GI1000">
        <v>32.136637212559513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12.557291666666664</v>
      </c>
      <c r="AO1001">
        <v>101.05092130699782</v>
      </c>
      <c r="AP1001">
        <v>684.06953223512028</v>
      </c>
      <c r="AQ1001">
        <v>167.93831678725994</v>
      </c>
      <c r="AR1001">
        <v>93.792492454139278</v>
      </c>
      <c r="AS1001">
        <v>678.5849324543417</v>
      </c>
      <c r="AT1001" t="e">
        <v>#DIV/0!</v>
      </c>
      <c r="AU1001" t="e">
        <v>#DIV/0!</v>
      </c>
      <c r="AV1001"/>
      <c r="AW1001"/>
      <c r="FY1001" s="211">
        <v>996</v>
      </c>
      <c r="FZ1001">
        <v>32.916871191960297</v>
      </c>
      <c r="GA1001">
        <v>35.228852706044002</v>
      </c>
      <c r="GB1001">
        <v>15.5660016359769</v>
      </c>
      <c r="GC1001">
        <v>2.0656790095671647</v>
      </c>
      <c r="GD1001">
        <v>0.25203181159065352</v>
      </c>
      <c r="GE1001">
        <v>0.18740321830131634</v>
      </c>
      <c r="GF1001">
        <v>3.3943727278805826</v>
      </c>
      <c r="GG1001">
        <v>10.59962360249639</v>
      </c>
      <c r="GH1001">
        <v>26.865025093876127</v>
      </c>
      <c r="GI1001">
        <v>29.308158858974121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12.156383547008547</v>
      </c>
      <c r="AO1002">
        <v>102.29025872531881</v>
      </c>
      <c r="AP1002">
        <v>621.22539072750533</v>
      </c>
      <c r="AQ1002">
        <v>165.78489610779235</v>
      </c>
      <c r="AR1002">
        <v>94.880765179583591</v>
      </c>
      <c r="AS1002">
        <v>529.79971896262509</v>
      </c>
      <c r="AT1002" t="e">
        <v>#DIV/0!</v>
      </c>
      <c r="AU1002" t="e">
        <v>#DIV/0!</v>
      </c>
      <c r="AV1002"/>
      <c r="AW1002"/>
      <c r="FY1002" s="211">
        <v>997</v>
      </c>
      <c r="FZ1002">
        <v>13.033850257574402</v>
      </c>
      <c r="GA1002">
        <v>15.962066276026645</v>
      </c>
      <c r="GB1002">
        <v>52.306455305216346</v>
      </c>
      <c r="GC1002">
        <v>5.2056095558063218</v>
      </c>
      <c r="GD1002">
        <v>0.61738776542620011</v>
      </c>
      <c r="GE1002">
        <v>0.45822724991911468</v>
      </c>
      <c r="GF1002">
        <v>2.2459385854596281</v>
      </c>
      <c r="GG1002">
        <v>6.9506554481383152</v>
      </c>
      <c r="GH1002">
        <v>15.194053003821082</v>
      </c>
      <c r="GI1002">
        <v>51.970115719829707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10.49926549145299</v>
      </c>
      <c r="AO1003">
        <v>65.323120714640424</v>
      </c>
      <c r="AP1003">
        <v>476.08618012029979</v>
      </c>
      <c r="AQ1003">
        <v>173.0649686034244</v>
      </c>
      <c r="AR1003">
        <v>60.604953649074602</v>
      </c>
      <c r="AS1003">
        <v>599.69880005321761</v>
      </c>
      <c r="AT1003" t="e">
        <v>#DIV/0!</v>
      </c>
      <c r="AU1003" t="e">
        <v>#DIV/0!</v>
      </c>
      <c r="AV1003"/>
      <c r="AW1003"/>
      <c r="FY1003" s="211">
        <v>998</v>
      </c>
      <c r="FZ1003">
        <v>29.26229319089628</v>
      </c>
      <c r="GA1003">
        <v>35.731050440943861</v>
      </c>
      <c r="GB1003">
        <v>40.567188167570521</v>
      </c>
      <c r="GC1003">
        <v>2.1943468734862304</v>
      </c>
      <c r="GD1003">
        <v>0.39415375363164218</v>
      </c>
      <c r="GE1003">
        <v>1.1888596479972899</v>
      </c>
      <c r="GF1003">
        <v>4.9939178278593479</v>
      </c>
      <c r="GG1003">
        <v>7.0961174779690293</v>
      </c>
      <c r="GH1003">
        <v>9.6111648241764271</v>
      </c>
      <c r="GI1003">
        <v>41.344460183756965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12.200654380341881</v>
      </c>
      <c r="AO1004">
        <v>104.51262769763412</v>
      </c>
      <c r="AP1004">
        <v>738.06776100387492</v>
      </c>
      <c r="AQ1004">
        <v>108.28747125137446</v>
      </c>
      <c r="AR1004">
        <v>96.746750073926762</v>
      </c>
      <c r="AS1004">
        <v>671.7403912686583</v>
      </c>
      <c r="AT1004" t="e">
        <v>#DIV/0!</v>
      </c>
      <c r="AU1004" t="e">
        <v>#DIV/0!</v>
      </c>
      <c r="AV1004"/>
      <c r="AW1004"/>
      <c r="FY1004" s="211">
        <v>999</v>
      </c>
      <c r="FZ1004">
        <v>35.51605154135882</v>
      </c>
      <c r="GA1004">
        <v>38.194340310489082</v>
      </c>
      <c r="GB1004">
        <v>26.488096814883281</v>
      </c>
      <c r="GC1004">
        <v>2.6358998663804294</v>
      </c>
      <c r="GD1004">
        <v>0.32173728620801967</v>
      </c>
      <c r="GE1004">
        <v>0.71024493898962793</v>
      </c>
      <c r="GF1004">
        <v>2.6813010176479541</v>
      </c>
      <c r="GG1004">
        <v>6.4682688963311064</v>
      </c>
      <c r="GH1004">
        <v>11.257114246514771</v>
      </c>
      <c r="GI1004">
        <v>27.195548844299385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19.057905982905982</v>
      </c>
      <c r="AO1005">
        <v>141.21828172731566</v>
      </c>
      <c r="AP1005">
        <v>879.09461407622859</v>
      </c>
      <c r="AQ1005">
        <v>271.93919767368379</v>
      </c>
      <c r="AR1005">
        <v>130.93885180227991</v>
      </c>
      <c r="AS1005">
        <v>1307.3173269931037</v>
      </c>
      <c r="AT1005" t="e">
        <v>#DIV/0!</v>
      </c>
      <c r="AU1005" t="e">
        <v>#DIV/0!</v>
      </c>
      <c r="AV1005"/>
      <c r="AW1005"/>
      <c r="FY1005" s="211">
        <v>1000</v>
      </c>
      <c r="FZ1005">
        <v>68.726223677099682</v>
      </c>
      <c r="GA1005">
        <v>69.98367557230398</v>
      </c>
      <c r="GB1005">
        <v>45.142487730615343</v>
      </c>
      <c r="GC1005">
        <v>1.162038611366526</v>
      </c>
      <c r="GD1005">
        <v>2.3235158205788711E-2</v>
      </c>
      <c r="GE1005">
        <v>2.9556133035280256E-2</v>
      </c>
      <c r="GF1005">
        <v>3.0544832216398929</v>
      </c>
      <c r="GG1005">
        <v>8.3687969970047913</v>
      </c>
      <c r="GH1005">
        <v>9.1973069806361583</v>
      </c>
      <c r="GI1005">
        <v>48.642041929994399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9.9697115384615387</v>
      </c>
      <c r="AO1006">
        <v>104.94873198192283</v>
      </c>
      <c r="AP1006">
        <v>743.64336868987857</v>
      </c>
      <c r="AQ1006">
        <v>173.44519766239759</v>
      </c>
      <c r="AR1006">
        <v>97.436614656029505</v>
      </c>
      <c r="AS1006">
        <v>692.82696127278518</v>
      </c>
      <c r="AT1006" t="e">
        <v>#DIV/0!</v>
      </c>
      <c r="AU1006" t="e">
        <v>#DIV/0!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11.281249999999998</v>
      </c>
      <c r="AO1007">
        <v>129.17685630156515</v>
      </c>
      <c r="AP1007">
        <v>726.09771034415451</v>
      </c>
      <c r="AQ1007">
        <v>160.20252367050765</v>
      </c>
      <c r="AR1007">
        <v>119.65534753842539</v>
      </c>
      <c r="AS1007">
        <v>880.65513886738461</v>
      </c>
      <c r="AT1007" t="e">
        <v>#DIV/0!</v>
      </c>
      <c r="AU1007" t="e">
        <v>#DIV/0!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14.392321047008545</v>
      </c>
      <c r="AO1008">
        <v>117.97046517448071</v>
      </c>
      <c r="AP1008">
        <v>831.22949744374807</v>
      </c>
      <c r="AQ1008">
        <v>263.42104241611565</v>
      </c>
      <c r="AR1008">
        <v>109.44293552276686</v>
      </c>
      <c r="AS1008">
        <v>775.25748390043361</v>
      </c>
      <c r="AT1008" t="e">
        <v>#DIV/0!</v>
      </c>
      <c r="AU1008" t="e">
        <v>#DIV/0!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14.378472222222223</v>
      </c>
      <c r="AO1009">
        <v>103.60065140418396</v>
      </c>
      <c r="AP1009">
        <v>755.51986731634884</v>
      </c>
      <c r="AQ1009">
        <v>241.81988182532845</v>
      </c>
      <c r="AR1009">
        <v>96.153008901406011</v>
      </c>
      <c r="AS1009">
        <v>630.95201065946617</v>
      </c>
      <c r="AT1009" t="e">
        <v>#DIV/0!</v>
      </c>
      <c r="AU1009" t="e">
        <v>#DIV/0!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11.248223824786326</v>
      </c>
      <c r="AO1010">
        <v>76.699671713168499</v>
      </c>
      <c r="AP1010">
        <v>386.70406053060987</v>
      </c>
      <c r="AQ1010">
        <v>124.57140744390411</v>
      </c>
      <c r="AR1010">
        <v>71.117543313088191</v>
      </c>
      <c r="AS1010">
        <v>567.10598301109007</v>
      </c>
      <c r="AT1010" t="e">
        <v>#DIV/0!</v>
      </c>
      <c r="AU1010" t="e">
        <v>#DIV/0!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12.363114316239315</v>
      </c>
      <c r="AO1011">
        <v>93.1372131905933</v>
      </c>
      <c r="AP1011">
        <v>663.3888993828798</v>
      </c>
      <c r="AQ1011">
        <v>136.05590689682728</v>
      </c>
      <c r="AR1011">
        <v>86.377544570368102</v>
      </c>
      <c r="AS1011">
        <v>574.64710422938253</v>
      </c>
      <c r="AT1011" t="e">
        <v>#DIV/0!</v>
      </c>
      <c r="AU1011" t="e">
        <v>#DIV/0!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10.065064102564101</v>
      </c>
      <c r="AO1012">
        <v>49.685614029382549</v>
      </c>
      <c r="AP1012">
        <v>348.6014174065732</v>
      </c>
      <c r="AQ1012">
        <v>156.38401985666755</v>
      </c>
      <c r="AR1012">
        <v>46.188860189966121</v>
      </c>
      <c r="AS1012">
        <v>492.21143733070562</v>
      </c>
      <c r="AT1012" t="e">
        <v>#DIV/0!</v>
      </c>
      <c r="AU1012" t="e">
        <v>#DIV/0!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15.28125</v>
      </c>
      <c r="AO1013">
        <v>133.65124505814742</v>
      </c>
      <c r="AP1013">
        <v>963.39193699572729</v>
      </c>
      <c r="AQ1013">
        <v>163.94435916721778</v>
      </c>
      <c r="AR1013">
        <v>123.94767962189439</v>
      </c>
      <c r="AS1013">
        <v>714.32074299173053</v>
      </c>
      <c r="AT1013" t="e">
        <v>#DIV/0!</v>
      </c>
      <c r="AU1013" t="e">
        <v>#DIV/0!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14.699652777777777</v>
      </c>
      <c r="AO1014">
        <v>89.37911762619737</v>
      </c>
      <c r="AP1014">
        <v>715.24205680354635</v>
      </c>
      <c r="AQ1014">
        <v>172.38355238828757</v>
      </c>
      <c r="AR1014">
        <v>82.927851891220172</v>
      </c>
      <c r="AS1014">
        <v>635.5360827764988</v>
      </c>
      <c r="AT1014" t="e">
        <v>#DIV/0!</v>
      </c>
      <c r="AU1014" t="e">
        <v>#DIV/0!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13.715972222222224</v>
      </c>
      <c r="AO1015">
        <v>115.99914625531289</v>
      </c>
      <c r="AP1015">
        <v>626.73993282023946</v>
      </c>
      <c r="AQ1015">
        <v>151.46860376310249</v>
      </c>
      <c r="AR1015">
        <v>107.66255316194091</v>
      </c>
      <c r="AS1015">
        <v>891.36429202542627</v>
      </c>
      <c r="AT1015" t="e">
        <v>#DIV/0!</v>
      </c>
      <c r="AU1015" t="e">
        <v>#DIV/0!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10.927350427350428</v>
      </c>
      <c r="AO1016">
        <v>107.83552246605871</v>
      </c>
      <c r="AP1016">
        <v>774.10653532111519</v>
      </c>
      <c r="AQ1016">
        <v>254.32984601190179</v>
      </c>
      <c r="AR1016">
        <v>99.914876556902954</v>
      </c>
      <c r="AS1016">
        <v>532.68076531595796</v>
      </c>
      <c r="AT1016" t="e">
        <v>#DIV/0!</v>
      </c>
      <c r="AU1016" t="e">
        <v>#DIV/0!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M12:FN12"/>
    <mergeCell ref="FM13:FN13"/>
    <mergeCell ref="FM14:FN14"/>
    <mergeCell ref="FM15:FN15"/>
    <mergeCell ref="FM16:FN16"/>
    <mergeCell ref="FM7:FN7"/>
    <mergeCell ref="FM8:FN8"/>
    <mergeCell ref="FM9:FN9"/>
    <mergeCell ref="FM10:FN10"/>
    <mergeCell ref="FM11:FN11"/>
    <mergeCell ref="FK12:FL12"/>
    <mergeCell ref="FK13:FL13"/>
    <mergeCell ref="FK14:FL14"/>
    <mergeCell ref="FK15:FL15"/>
    <mergeCell ref="FK16:FL16"/>
    <mergeCell ref="FI11:FJ11"/>
    <mergeCell ref="FK7:FL7"/>
    <mergeCell ref="FK8:FL8"/>
    <mergeCell ref="FK9:FL9"/>
    <mergeCell ref="FK10:FL10"/>
    <mergeCell ref="FK11:FL11"/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</mergeCells>
  <phoneticPr fontId="3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2011-01-13T04:50:59Z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