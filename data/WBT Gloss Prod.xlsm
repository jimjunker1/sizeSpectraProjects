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165" yWindow="45" windowWidth="14355" windowHeight="8040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H422" i="1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G422"/>
  <c r="FM16"/>
  <c r="FM15"/>
  <c r="FM14"/>
  <c r="FM13"/>
  <c r="FM12"/>
  <c r="FM11"/>
  <c r="FM10"/>
  <c r="FM9"/>
  <c r="FM8"/>
  <c r="FM7"/>
  <c r="FK16"/>
  <c r="FK15"/>
  <c r="FK14"/>
  <c r="FK13"/>
  <c r="FK12"/>
  <c r="FK11"/>
  <c r="FK10"/>
  <c r="FK9"/>
  <c r="FK8"/>
  <c r="FK7"/>
  <c r="FI8"/>
  <c r="FI9"/>
  <c r="FI10"/>
  <c r="FI11"/>
  <c r="FI12"/>
  <c r="FI13"/>
  <c r="FI14"/>
  <c r="FI15"/>
  <c r="FI16"/>
  <c r="FI7"/>
  <c r="FH16"/>
  <c r="FH15"/>
  <c r="FH14"/>
  <c r="FH13"/>
  <c r="FH12"/>
  <c r="FH11"/>
  <c r="FH10"/>
  <c r="FH9"/>
  <c r="FH8"/>
  <c r="FH7"/>
  <c r="GI4"/>
  <c r="GH4"/>
  <c r="GG4"/>
  <c r="GF4"/>
  <c r="GE4"/>
  <c r="GD4"/>
  <c r="GC4"/>
  <c r="GB4"/>
  <c r="GA4"/>
  <c r="FZ4"/>
  <c r="CX117" l="1"/>
  <c r="CX108"/>
  <c r="CX155"/>
  <c r="CX110"/>
  <c r="CX116"/>
  <c r="DE234"/>
  <c r="DE233"/>
  <c r="DE232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J36"/>
  <c r="E463" s="1"/>
  <c r="K36"/>
  <c r="E465" s="1"/>
  <c r="L36"/>
  <c r="E467" s="1"/>
  <c r="M36"/>
  <c r="E469" s="1"/>
  <c r="N36"/>
  <c r="E471" s="1"/>
  <c r="O36"/>
  <c r="O372" s="1"/>
  <c r="O381" s="1"/>
  <c r="P36"/>
  <c r="E475" s="1"/>
  <c r="Q36"/>
  <c r="R36"/>
  <c r="E479" s="1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E503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 s="1"/>
  <c r="EE207"/>
  <c r="FO207" s="1"/>
  <c r="ED207"/>
  <c r="FN207" s="1"/>
  <c r="EC207"/>
  <c r="FM207" s="1"/>
  <c r="EB207"/>
  <c r="FL207" s="1"/>
  <c r="EA207"/>
  <c r="FK207" s="1"/>
  <c r="DZ207"/>
  <c r="FJ207" s="1"/>
  <c r="DY207"/>
  <c r="FI207" s="1"/>
  <c r="DX207"/>
  <c r="FH207" s="1"/>
  <c r="DW207"/>
  <c r="FG207" s="1"/>
  <c r="DV207"/>
  <c r="FF207" s="1"/>
  <c r="DU207"/>
  <c r="FE207" s="1"/>
  <c r="DT207"/>
  <c r="FD207" s="1"/>
  <c r="DS207"/>
  <c r="FC207" s="1"/>
  <c r="DR207"/>
  <c r="FB207" s="1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 s="1"/>
  <c r="DG207"/>
  <c r="EQ207" s="1"/>
  <c r="DD207"/>
  <c r="DC207" s="1"/>
  <c r="CZ207"/>
  <c r="CM207"/>
  <c r="CL207"/>
  <c r="CK207"/>
  <c r="AY207"/>
  <c r="B207"/>
  <c r="DF206"/>
  <c r="EJ206"/>
  <c r="FT206" s="1"/>
  <c r="EI206"/>
  <c r="FS206" s="1"/>
  <c r="EH206"/>
  <c r="FR206" s="1"/>
  <c r="EG206"/>
  <c r="FQ206"/>
  <c r="EF206"/>
  <c r="FP206" s="1"/>
  <c r="EE206"/>
  <c r="FO206" s="1"/>
  <c r="ED206"/>
  <c r="FN206" s="1"/>
  <c r="EC206"/>
  <c r="FM206"/>
  <c r="EB206"/>
  <c r="FL206" s="1"/>
  <c r="EA206"/>
  <c r="FK206" s="1"/>
  <c r="DZ206"/>
  <c r="FJ206" s="1"/>
  <c r="DY206"/>
  <c r="FI206" s="1"/>
  <c r="DX206"/>
  <c r="FH206" s="1"/>
  <c r="DW206"/>
  <c r="FG206" s="1"/>
  <c r="DV206"/>
  <c r="FF206" s="1"/>
  <c r="DU206"/>
  <c r="FE206" s="1"/>
  <c r="DT206"/>
  <c r="FD206" s="1"/>
  <c r="DS206"/>
  <c r="FC206" s="1"/>
  <c r="DR206"/>
  <c r="FB206" s="1"/>
  <c r="DQ206"/>
  <c r="FA206"/>
  <c r="DP206"/>
  <c r="EZ206" s="1"/>
  <c r="DO206"/>
  <c r="EY206" s="1"/>
  <c r="DN206"/>
  <c r="EX206" s="1"/>
  <c r="DM206"/>
  <c r="EW206"/>
  <c r="DL206"/>
  <c r="EV206" s="1"/>
  <c r="DK206"/>
  <c r="EU206" s="1"/>
  <c r="DJ206"/>
  <c r="ET206" s="1"/>
  <c r="DI206"/>
  <c r="ES206" s="1"/>
  <c r="DH206"/>
  <c r="ER206" s="1"/>
  <c r="DG206"/>
  <c r="EQ206" s="1"/>
  <c r="DD206"/>
  <c r="DE206" s="1"/>
  <c r="DC206"/>
  <c r="CZ206"/>
  <c r="CM206"/>
  <c r="CL206"/>
  <c r="CK206"/>
  <c r="AY206"/>
  <c r="B206"/>
  <c r="DF205"/>
  <c r="EP205" s="1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 s="1"/>
  <c r="DZ205"/>
  <c r="FJ205" s="1"/>
  <c r="DY205"/>
  <c r="FI205" s="1"/>
  <c r="DX205"/>
  <c r="FH205" s="1"/>
  <c r="DW205"/>
  <c r="FG205" s="1"/>
  <c r="DV205"/>
  <c r="FF205" s="1"/>
  <c r="DU205"/>
  <c r="FE205" s="1"/>
  <c r="DT205"/>
  <c r="FD205" s="1"/>
  <c r="DS205"/>
  <c r="FC205" s="1"/>
  <c r="DR205"/>
  <c r="FB205" s="1"/>
  <c r="DQ205"/>
  <c r="FA205" s="1"/>
  <c r="DP205"/>
  <c r="EZ205" s="1"/>
  <c r="DO205"/>
  <c r="EY205" s="1"/>
  <c r="DN205"/>
  <c r="EX205" s="1"/>
  <c r="DM205"/>
  <c r="EW205" s="1"/>
  <c r="DL205"/>
  <c r="EV205" s="1"/>
  <c r="DK205"/>
  <c r="EU205" s="1"/>
  <c r="DJ205"/>
  <c r="ET205" s="1"/>
  <c r="DI205"/>
  <c r="ES205" s="1"/>
  <c r="DH205"/>
  <c r="ER205" s="1"/>
  <c r="DG205"/>
  <c r="EQ205" s="1"/>
  <c r="DD205"/>
  <c r="CZ205"/>
  <c r="CM205"/>
  <c r="CL205"/>
  <c r="CK205"/>
  <c r="AY205"/>
  <c r="B205"/>
  <c r="DF204"/>
  <c r="EJ204"/>
  <c r="FT204"/>
  <c r="EI204"/>
  <c r="FS204" s="1"/>
  <c r="EH204"/>
  <c r="FR204"/>
  <c r="EG204"/>
  <c r="FQ204" s="1"/>
  <c r="EF204"/>
  <c r="FP204"/>
  <c r="EE204"/>
  <c r="FO204" s="1"/>
  <c r="ED204"/>
  <c r="FN204"/>
  <c r="EC204"/>
  <c r="FM204" s="1"/>
  <c r="EB204"/>
  <c r="FL204"/>
  <c r="EA204"/>
  <c r="FK204" s="1"/>
  <c r="DZ204"/>
  <c r="FJ204"/>
  <c r="DY204"/>
  <c r="FI204" s="1"/>
  <c r="DX204"/>
  <c r="FH204"/>
  <c r="DW204"/>
  <c r="FG204" s="1"/>
  <c r="DV204"/>
  <c r="FF204"/>
  <c r="DU204"/>
  <c r="FE204" s="1"/>
  <c r="DT204"/>
  <c r="FD204"/>
  <c r="DS204"/>
  <c r="FC204" s="1"/>
  <c r="DR204"/>
  <c r="FB204"/>
  <c r="DQ204"/>
  <c r="FA204" s="1"/>
  <c r="DP204"/>
  <c r="EZ204"/>
  <c r="DO204"/>
  <c r="EY204" s="1"/>
  <c r="DN204"/>
  <c r="EX204"/>
  <c r="DM204"/>
  <c r="EW204" s="1"/>
  <c r="DL204"/>
  <c r="EV204"/>
  <c r="DK204"/>
  <c r="EU204" s="1"/>
  <c r="DJ204"/>
  <c r="ET204"/>
  <c r="DI204"/>
  <c r="ES204" s="1"/>
  <c r="DH204"/>
  <c r="ER204"/>
  <c r="DG204"/>
  <c r="EQ204" s="1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 s="1"/>
  <c r="EH203"/>
  <c r="FR203" s="1"/>
  <c r="EG203"/>
  <c r="FQ203" s="1"/>
  <c r="EF203"/>
  <c r="FP203" s="1"/>
  <c r="EE203"/>
  <c r="FO203" s="1"/>
  <c r="ED203"/>
  <c r="FN203" s="1"/>
  <c r="EC203"/>
  <c r="FM203" s="1"/>
  <c r="EB203"/>
  <c r="FL203" s="1"/>
  <c r="EA203"/>
  <c r="FK203" s="1"/>
  <c r="DZ203"/>
  <c r="FJ203" s="1"/>
  <c r="DY203"/>
  <c r="FI203" s="1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 s="1"/>
  <c r="DP203"/>
  <c r="EZ203" s="1"/>
  <c r="DO203"/>
  <c r="EY203" s="1"/>
  <c r="DN203"/>
  <c r="EX203" s="1"/>
  <c r="DM203"/>
  <c r="EW203" s="1"/>
  <c r="DL203"/>
  <c r="EV203" s="1"/>
  <c r="DK203"/>
  <c r="EU203" s="1"/>
  <c r="DJ203"/>
  <c r="ET203" s="1"/>
  <c r="DI203"/>
  <c r="ES203" s="1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 s="1"/>
  <c r="EI202"/>
  <c r="FS202"/>
  <c r="EH202"/>
  <c r="FR202" s="1"/>
  <c r="EG202"/>
  <c r="FQ202"/>
  <c r="EF202"/>
  <c r="FP202" s="1"/>
  <c r="EE202"/>
  <c r="FO202"/>
  <c r="ED202"/>
  <c r="FN202" s="1"/>
  <c r="EC202"/>
  <c r="FM202"/>
  <c r="EB202"/>
  <c r="FL202" s="1"/>
  <c r="EA202"/>
  <c r="FK202"/>
  <c r="DZ202"/>
  <c r="FJ202" s="1"/>
  <c r="DY202"/>
  <c r="FI202"/>
  <c r="DX202"/>
  <c r="FH202" s="1"/>
  <c r="DW202"/>
  <c r="FG202"/>
  <c r="DV202"/>
  <c r="FF202" s="1"/>
  <c r="DU202"/>
  <c r="FE202"/>
  <c r="DT202"/>
  <c r="FD202" s="1"/>
  <c r="DS202"/>
  <c r="FC202"/>
  <c r="DR202"/>
  <c r="FB202" s="1"/>
  <c r="DQ202"/>
  <c r="FA202"/>
  <c r="DP202"/>
  <c r="EZ202" s="1"/>
  <c r="DO202"/>
  <c r="EY202"/>
  <c r="DN202"/>
  <c r="EX202" s="1"/>
  <c r="DM202"/>
  <c r="EW202"/>
  <c r="DL202"/>
  <c r="EV202" s="1"/>
  <c r="DK202"/>
  <c r="EU202"/>
  <c r="DJ202"/>
  <c r="ET202" s="1"/>
  <c r="DI202"/>
  <c r="ES202"/>
  <c r="DH202"/>
  <c r="ER202" s="1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 s="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 s="1"/>
  <c r="DY201"/>
  <c r="FI201" s="1"/>
  <c r="DX201"/>
  <c r="FH201" s="1"/>
  <c r="DW201"/>
  <c r="FG201" s="1"/>
  <c r="DV201"/>
  <c r="FF201" s="1"/>
  <c r="DU201"/>
  <c r="FE201" s="1"/>
  <c r="DT201"/>
  <c r="FD201" s="1"/>
  <c r="DS201"/>
  <c r="FC201" s="1"/>
  <c r="DR201"/>
  <c r="FB201" s="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DD201"/>
  <c r="CZ201"/>
  <c r="CM201"/>
  <c r="CL201"/>
  <c r="CK201"/>
  <c r="AY201"/>
  <c r="B201"/>
  <c r="DF200"/>
  <c r="EJ200"/>
  <c r="FT200" s="1"/>
  <c r="EI200"/>
  <c r="FS200" s="1"/>
  <c r="EH200"/>
  <c r="FR200" s="1"/>
  <c r="EG200"/>
  <c r="FQ200" s="1"/>
  <c r="EF200"/>
  <c r="FP200" s="1"/>
  <c r="EE200"/>
  <c r="FO200" s="1"/>
  <c r="ED200"/>
  <c r="FN200" s="1"/>
  <c r="EC200"/>
  <c r="FM200" s="1"/>
  <c r="EB200"/>
  <c r="FL200" s="1"/>
  <c r="EA200"/>
  <c r="FK200"/>
  <c r="DZ200"/>
  <c r="FJ200" s="1"/>
  <c r="DY200"/>
  <c r="FI200" s="1"/>
  <c r="DX200"/>
  <c r="FH200" s="1"/>
  <c r="DW200"/>
  <c r="FG200"/>
  <c r="DV200"/>
  <c r="FF200" s="1"/>
  <c r="DU200"/>
  <c r="FE200" s="1"/>
  <c r="DT200"/>
  <c r="FD200" s="1"/>
  <c r="DS200"/>
  <c r="FC200" s="1"/>
  <c r="DR200"/>
  <c r="FB200" s="1"/>
  <c r="DQ200"/>
  <c r="FA200" s="1"/>
  <c r="DP200"/>
  <c r="EZ200" s="1"/>
  <c r="DO200"/>
  <c r="EY200" s="1"/>
  <c r="DN200"/>
  <c r="EX200" s="1"/>
  <c r="DM200"/>
  <c r="EW200" s="1"/>
  <c r="DL200"/>
  <c r="EV200" s="1"/>
  <c r="DK200"/>
  <c r="EU200"/>
  <c r="DJ200"/>
  <c r="ET200" s="1"/>
  <c r="DI200"/>
  <c r="ES200" s="1"/>
  <c r="DH200"/>
  <c r="ER200" s="1"/>
  <c r="DG200"/>
  <c r="EQ200"/>
  <c r="DD200"/>
  <c r="DE200" s="1"/>
  <c r="DC200"/>
  <c r="CZ200"/>
  <c r="CM200"/>
  <c r="CL200"/>
  <c r="CK200"/>
  <c r="AY200"/>
  <c r="B200"/>
  <c r="DF199"/>
  <c r="EP199" s="1"/>
  <c r="FU199" s="1"/>
  <c r="EJ199"/>
  <c r="FT199" s="1"/>
  <c r="EI199"/>
  <c r="FS199" s="1"/>
  <c r="EH199"/>
  <c r="FR199" s="1"/>
  <c r="EG199"/>
  <c r="FQ199" s="1"/>
  <c r="EF199"/>
  <c r="FP199" s="1"/>
  <c r="EE199"/>
  <c r="FO199" s="1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 s="1"/>
  <c r="DV199"/>
  <c r="FF199" s="1"/>
  <c r="DU199"/>
  <c r="FE199" s="1"/>
  <c r="DT199"/>
  <c r="FD199" s="1"/>
  <c r="DS199"/>
  <c r="FC199" s="1"/>
  <c r="DR199"/>
  <c r="FB199" s="1"/>
  <c r="DQ199"/>
  <c r="FA199" s="1"/>
  <c r="DP199"/>
  <c r="EZ199" s="1"/>
  <c r="DO199"/>
  <c r="EY199"/>
  <c r="DN199"/>
  <c r="EX199" s="1"/>
  <c r="DM199"/>
  <c r="EW199" s="1"/>
  <c r="DL199"/>
  <c r="EV199" s="1"/>
  <c r="DK199"/>
  <c r="EU199" s="1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J198"/>
  <c r="FT198" s="1"/>
  <c r="EI198"/>
  <c r="FS198" s="1"/>
  <c r="EH198"/>
  <c r="FR198"/>
  <c r="EG198"/>
  <c r="FQ198" s="1"/>
  <c r="EF198"/>
  <c r="FP198" s="1"/>
  <c r="EE198"/>
  <c r="FO198" s="1"/>
  <c r="ED198"/>
  <c r="FN198"/>
  <c r="EC198"/>
  <c r="FM198" s="1"/>
  <c r="EB198"/>
  <c r="FL198" s="1"/>
  <c r="EA198"/>
  <c r="FK198" s="1"/>
  <c r="DZ198"/>
  <c r="FJ198" s="1"/>
  <c r="DY198"/>
  <c r="FI198" s="1"/>
  <c r="DX198"/>
  <c r="FH198" s="1"/>
  <c r="DW198"/>
  <c r="FG198" s="1"/>
  <c r="DV198"/>
  <c r="FF198" s="1"/>
  <c r="DU198"/>
  <c r="FE198" s="1"/>
  <c r="DT198"/>
  <c r="FD198" s="1"/>
  <c r="DS198"/>
  <c r="FC198" s="1"/>
  <c r="DR198"/>
  <c r="FB198"/>
  <c r="DQ198"/>
  <c r="FA198" s="1"/>
  <c r="DP198"/>
  <c r="EZ198" s="1"/>
  <c r="DO198"/>
  <c r="EY198" s="1"/>
  <c r="DN198"/>
  <c r="EX198"/>
  <c r="DM198"/>
  <c r="EW198" s="1"/>
  <c r="DL198"/>
  <c r="EV198" s="1"/>
  <c r="DK198"/>
  <c r="EU198" s="1"/>
  <c r="DJ198"/>
  <c r="ET198" s="1"/>
  <c r="DI198"/>
  <c r="ES198" s="1"/>
  <c r="DH198"/>
  <c r="ER198" s="1"/>
  <c r="DG198"/>
  <c r="EQ198" s="1"/>
  <c r="DD198"/>
  <c r="DE198" s="1"/>
  <c r="DC198"/>
  <c r="CZ198"/>
  <c r="CM198"/>
  <c r="CL198"/>
  <c r="CK198"/>
  <c r="AY198"/>
  <c r="B198"/>
  <c r="DF197"/>
  <c r="EP197" s="1"/>
  <c r="FU197" s="1"/>
  <c r="EJ197"/>
  <c r="FT197" s="1"/>
  <c r="EI197"/>
  <c r="FS197" s="1"/>
  <c r="EH197"/>
  <c r="FR197" s="1"/>
  <c r="EG197"/>
  <c r="FQ197" s="1"/>
  <c r="EF197"/>
  <c r="FP197" s="1"/>
  <c r="EE197"/>
  <c r="FO197" s="1"/>
  <c r="ED197"/>
  <c r="FN197" s="1"/>
  <c r="EC197"/>
  <c r="FM197" s="1"/>
  <c r="EB197"/>
  <c r="FL197" s="1"/>
  <c r="EA197"/>
  <c r="FK197" s="1"/>
  <c r="DZ197"/>
  <c r="FJ197" s="1"/>
  <c r="DY197"/>
  <c r="FI197" s="1"/>
  <c r="DX197"/>
  <c r="FH197" s="1"/>
  <c r="DW197"/>
  <c r="FG197" s="1"/>
  <c r="DV197"/>
  <c r="FF197" s="1"/>
  <c r="DU197"/>
  <c r="FE197" s="1"/>
  <c r="DT197"/>
  <c r="FD197"/>
  <c r="DS197"/>
  <c r="FC197" s="1"/>
  <c r="DR197"/>
  <c r="FB197" s="1"/>
  <c r="DQ197"/>
  <c r="FA197" s="1"/>
  <c r="DP197"/>
  <c r="EZ197" s="1"/>
  <c r="DO197"/>
  <c r="EY197" s="1"/>
  <c r="DN197"/>
  <c r="EX197" s="1"/>
  <c r="DM197"/>
  <c r="EW197" s="1"/>
  <c r="DL197"/>
  <c r="EV197" s="1"/>
  <c r="DK197"/>
  <c r="EU197" s="1"/>
  <c r="DJ197"/>
  <c r="ET197" s="1"/>
  <c r="DI197"/>
  <c r="ES197" s="1"/>
  <c r="DH197"/>
  <c r="ER197" s="1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 s="1"/>
  <c r="EI196"/>
  <c r="FS196" s="1"/>
  <c r="EH196"/>
  <c r="FR196" s="1"/>
  <c r="EG196"/>
  <c r="FQ196" s="1"/>
  <c r="EF196"/>
  <c r="FP196" s="1"/>
  <c r="EE196"/>
  <c r="FO196" s="1"/>
  <c r="ED196"/>
  <c r="FN196" s="1"/>
  <c r="EC196"/>
  <c r="FM196" s="1"/>
  <c r="EB196"/>
  <c r="FL196" s="1"/>
  <c r="EA196"/>
  <c r="FK196" s="1"/>
  <c r="DZ196"/>
  <c r="FJ196" s="1"/>
  <c r="DY196"/>
  <c r="FI196" s="1"/>
  <c r="DX196"/>
  <c r="FH196" s="1"/>
  <c r="DW196"/>
  <c r="FG196" s="1"/>
  <c r="DV196"/>
  <c r="FF196" s="1"/>
  <c r="DU196"/>
  <c r="FE196" s="1"/>
  <c r="DT196"/>
  <c r="FD196" s="1"/>
  <c r="DS196"/>
  <c r="FC196" s="1"/>
  <c r="DR196"/>
  <c r="FB196" s="1"/>
  <c r="DQ196"/>
  <c r="FA196" s="1"/>
  <c r="DP196"/>
  <c r="EZ196" s="1"/>
  <c r="DO196"/>
  <c r="EY196" s="1"/>
  <c r="DN196"/>
  <c r="EX196" s="1"/>
  <c r="DM196"/>
  <c r="EW196" s="1"/>
  <c r="DL196"/>
  <c r="EV196" s="1"/>
  <c r="DK196"/>
  <c r="EU196" s="1"/>
  <c r="DJ196"/>
  <c r="ET196" s="1"/>
  <c r="DI196"/>
  <c r="ES196" s="1"/>
  <c r="DH196"/>
  <c r="ER196" s="1"/>
  <c r="DG196"/>
  <c r="EQ196" s="1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 s="1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 s="1"/>
  <c r="DT195"/>
  <c r="FD195" s="1"/>
  <c r="DS195"/>
  <c r="FC195" s="1"/>
  <c r="DR195"/>
  <c r="FB195" s="1"/>
  <c r="DQ195"/>
  <c r="FA195" s="1"/>
  <c r="DP195"/>
  <c r="EZ195" s="1"/>
  <c r="DO195"/>
  <c r="EY195" s="1"/>
  <c r="DN195"/>
  <c r="EX195" s="1"/>
  <c r="DM195"/>
  <c r="EW195" s="1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 s="1"/>
  <c r="EI194"/>
  <c r="FS194" s="1"/>
  <c r="EH194"/>
  <c r="FR194" s="1"/>
  <c r="EG194"/>
  <c r="FQ194" s="1"/>
  <c r="EF194"/>
  <c r="FP194" s="1"/>
  <c r="EE194"/>
  <c r="FO194" s="1"/>
  <c r="ED194"/>
  <c r="FN194" s="1"/>
  <c r="EC194"/>
  <c r="FM194" s="1"/>
  <c r="EB194"/>
  <c r="FL194"/>
  <c r="EA194"/>
  <c r="FK194" s="1"/>
  <c r="DZ194"/>
  <c r="FJ194" s="1"/>
  <c r="DY194"/>
  <c r="FI194" s="1"/>
  <c r="DX194"/>
  <c r="FH194"/>
  <c r="DW194"/>
  <c r="FG194" s="1"/>
  <c r="DV194"/>
  <c r="FF194" s="1"/>
  <c r="DU194"/>
  <c r="FE194" s="1"/>
  <c r="DT194"/>
  <c r="FD194" s="1"/>
  <c r="DS194"/>
  <c r="FC194" s="1"/>
  <c r="DR194"/>
  <c r="FB194" s="1"/>
  <c r="DQ194"/>
  <c r="FA194" s="1"/>
  <c r="DP194"/>
  <c r="EZ194" s="1"/>
  <c r="DO194"/>
  <c r="EY194" s="1"/>
  <c r="DN194"/>
  <c r="EX194" s="1"/>
  <c r="DM194"/>
  <c r="EW194" s="1"/>
  <c r="DL194"/>
  <c r="EV194"/>
  <c r="DK194"/>
  <c r="EU194" s="1"/>
  <c r="DJ194"/>
  <c r="ET194" s="1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 s="1"/>
  <c r="EE193"/>
  <c r="FO193" s="1"/>
  <c r="ED193"/>
  <c r="FN193"/>
  <c r="EC193"/>
  <c r="FM193" s="1"/>
  <c r="EB193"/>
  <c r="FL193" s="1"/>
  <c r="EA193"/>
  <c r="FK193" s="1"/>
  <c r="DZ193"/>
  <c r="FJ193" s="1"/>
  <c r="DY193"/>
  <c r="FI193" s="1"/>
  <c r="DX193"/>
  <c r="FH193" s="1"/>
  <c r="DW193"/>
  <c r="FG193" s="1"/>
  <c r="DV193"/>
  <c r="FF193" s="1"/>
  <c r="DU193"/>
  <c r="FE193" s="1"/>
  <c r="DT193"/>
  <c r="FD193" s="1"/>
  <c r="DS193"/>
  <c r="FC193" s="1"/>
  <c r="DR193"/>
  <c r="FB193" s="1"/>
  <c r="DQ193"/>
  <c r="FA193" s="1"/>
  <c r="DP193"/>
  <c r="EZ193" s="1"/>
  <c r="DO193"/>
  <c r="EY193" s="1"/>
  <c r="DN193"/>
  <c r="EX193" s="1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 s="1"/>
  <c r="EH192"/>
  <c r="FR192" s="1"/>
  <c r="EG192"/>
  <c r="FQ192" s="1"/>
  <c r="EF192"/>
  <c r="FP192" s="1"/>
  <c r="EE192"/>
  <c r="FO192" s="1"/>
  <c r="ED192"/>
  <c r="FN192" s="1"/>
  <c r="EC192"/>
  <c r="FM192" s="1"/>
  <c r="EB192"/>
  <c r="FL192" s="1"/>
  <c r="EA192"/>
  <c r="FK192" s="1"/>
  <c r="DZ192"/>
  <c r="FJ192" s="1"/>
  <c r="DY192"/>
  <c r="FI192"/>
  <c r="DX192"/>
  <c r="FH192" s="1"/>
  <c r="DW192"/>
  <c r="FG192" s="1"/>
  <c r="DV192"/>
  <c r="FF192" s="1"/>
  <c r="DU192"/>
  <c r="FE192"/>
  <c r="DT192"/>
  <c r="FD192" s="1"/>
  <c r="DS192"/>
  <c r="FC192" s="1"/>
  <c r="DR192"/>
  <c r="FB192" s="1"/>
  <c r="DQ192"/>
  <c r="FA192" s="1"/>
  <c r="DP192"/>
  <c r="EZ192" s="1"/>
  <c r="DO192"/>
  <c r="EY192" s="1"/>
  <c r="DN192"/>
  <c r="EX192" s="1"/>
  <c r="DM192"/>
  <c r="EW192" s="1"/>
  <c r="DL192"/>
  <c r="EV192" s="1"/>
  <c r="DK192"/>
  <c r="EU192" s="1"/>
  <c r="DJ192"/>
  <c r="ET192" s="1"/>
  <c r="DI192"/>
  <c r="ES192"/>
  <c r="DH192"/>
  <c r="ER192" s="1"/>
  <c r="DG192"/>
  <c r="EQ192" s="1"/>
  <c r="DD192"/>
  <c r="DE192" s="1"/>
  <c r="DC192"/>
  <c r="CZ192"/>
  <c r="CM192"/>
  <c r="CL192"/>
  <c r="CK192"/>
  <c r="AY192"/>
  <c r="B192"/>
  <c r="DF191"/>
  <c r="EP191" s="1"/>
  <c r="FU191" s="1"/>
  <c r="EJ191"/>
  <c r="FT191" s="1"/>
  <c r="EI191"/>
  <c r="FS191" s="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 s="1"/>
  <c r="DZ191"/>
  <c r="FJ191" s="1"/>
  <c r="DY191"/>
  <c r="FI191" s="1"/>
  <c r="DX191"/>
  <c r="FH191" s="1"/>
  <c r="DW191"/>
  <c r="FG191" s="1"/>
  <c r="DV191"/>
  <c r="FF191" s="1"/>
  <c r="DU191"/>
  <c r="FE191" s="1"/>
  <c r="DT191"/>
  <c r="FD191" s="1"/>
  <c r="DS191"/>
  <c r="FC191" s="1"/>
  <c r="DR191"/>
  <c r="FB191" s="1"/>
  <c r="DQ191"/>
  <c r="FA191" s="1"/>
  <c r="DP191"/>
  <c r="EZ191" s="1"/>
  <c r="DO191"/>
  <c r="EY191" s="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 s="1"/>
  <c r="EG190"/>
  <c r="FQ190" s="1"/>
  <c r="EF190"/>
  <c r="FP190" s="1"/>
  <c r="EE190"/>
  <c r="FO190" s="1"/>
  <c r="ED190"/>
  <c r="FN190" s="1"/>
  <c r="EC190"/>
  <c r="FM190" s="1"/>
  <c r="EB190"/>
  <c r="FL190" s="1"/>
  <c r="EA190"/>
  <c r="FK190" s="1"/>
  <c r="DZ190"/>
  <c r="FJ190" s="1"/>
  <c r="DY190"/>
  <c r="FI190" s="1"/>
  <c r="DX190"/>
  <c r="FH190" s="1"/>
  <c r="DW190"/>
  <c r="FG190" s="1"/>
  <c r="DV190"/>
  <c r="FF190" s="1"/>
  <c r="DU190"/>
  <c r="FE190" s="1"/>
  <c r="DT190"/>
  <c r="FD190"/>
  <c r="DS190"/>
  <c r="FC190" s="1"/>
  <c r="DR190"/>
  <c r="FB190" s="1"/>
  <c r="DQ190"/>
  <c r="FA190" s="1"/>
  <c r="DP190"/>
  <c r="EZ190" s="1"/>
  <c r="DO190"/>
  <c r="EY190" s="1"/>
  <c r="DN190"/>
  <c r="EX190" s="1"/>
  <c r="DM190"/>
  <c r="EW190" s="1"/>
  <c r="DL190"/>
  <c r="EV190" s="1"/>
  <c r="DK190"/>
  <c r="EU190" s="1"/>
  <c r="DJ190"/>
  <c r="ET190" s="1"/>
  <c r="DI190"/>
  <c r="ES190" s="1"/>
  <c r="DH190"/>
  <c r="ER190" s="1"/>
  <c r="DG190"/>
  <c r="EQ190" s="1"/>
  <c r="DD190"/>
  <c r="CZ190"/>
  <c r="CM190"/>
  <c r="CL190"/>
  <c r="CK190"/>
  <c r="AY190"/>
  <c r="B190"/>
  <c r="DF189"/>
  <c r="EP189" s="1"/>
  <c r="FU189" s="1"/>
  <c r="EJ189"/>
  <c r="FT189" s="1"/>
  <c r="EI189"/>
  <c r="FS189" s="1"/>
  <c r="EH189"/>
  <c r="FR189" s="1"/>
  <c r="EG189"/>
  <c r="FQ189" s="1"/>
  <c r="EF189"/>
  <c r="FP189" s="1"/>
  <c r="EE189"/>
  <c r="FO189" s="1"/>
  <c r="ED189"/>
  <c r="FN189" s="1"/>
  <c r="EC189"/>
  <c r="FM189" s="1"/>
  <c r="EB189"/>
  <c r="FL189" s="1"/>
  <c r="EA189"/>
  <c r="FK189" s="1"/>
  <c r="DZ189"/>
  <c r="FJ189" s="1"/>
  <c r="DY189"/>
  <c r="FI189" s="1"/>
  <c r="DX189"/>
  <c r="FH189" s="1"/>
  <c r="DW189"/>
  <c r="FG189" s="1"/>
  <c r="DV189"/>
  <c r="FF189" s="1"/>
  <c r="DU189"/>
  <c r="FE189" s="1"/>
  <c r="DT189"/>
  <c r="FD189" s="1"/>
  <c r="DS189"/>
  <c r="FC189" s="1"/>
  <c r="DR189"/>
  <c r="FB189" s="1"/>
  <c r="DQ189"/>
  <c r="FA189" s="1"/>
  <c r="DP189"/>
  <c r="EZ189" s="1"/>
  <c r="DO189"/>
  <c r="EY189" s="1"/>
  <c r="DN189"/>
  <c r="EX189" s="1"/>
  <c r="DM189"/>
  <c r="EW189" s="1"/>
  <c r="DL189"/>
  <c r="EV189" s="1"/>
  <c r="DK189"/>
  <c r="EU189" s="1"/>
  <c r="DJ189"/>
  <c r="ET189" s="1"/>
  <c r="DI189"/>
  <c r="ES189" s="1"/>
  <c r="DH189"/>
  <c r="ER189" s="1"/>
  <c r="DG189"/>
  <c r="EQ189" s="1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 s="1"/>
  <c r="DM188"/>
  <c r="EW188" s="1"/>
  <c r="DL188"/>
  <c r="EV188" s="1"/>
  <c r="DK188"/>
  <c r="EU188" s="1"/>
  <c r="DJ188"/>
  <c r="ET188" s="1"/>
  <c r="DI188"/>
  <c r="ES188" s="1"/>
  <c r="DH188"/>
  <c r="ER188" s="1"/>
  <c r="DG188"/>
  <c r="EQ188" s="1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78"/>
  <c r="CX186"/>
  <c r="CZ186"/>
  <c r="DJ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DD186"/>
  <c r="BA186"/>
  <c r="CM186"/>
  <c r="CL186"/>
  <c r="CK186"/>
  <c r="AY186"/>
  <c r="B182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81"/>
  <c r="CX184"/>
  <c r="CZ184"/>
  <c r="DF184"/>
  <c r="DL184"/>
  <c r="DT184"/>
  <c r="EA184"/>
  <c r="EI184"/>
  <c r="DD184"/>
  <c r="BA184"/>
  <c r="CM184"/>
  <c r="CL184"/>
  <c r="CK184"/>
  <c r="AY184"/>
  <c r="B179"/>
  <c r="CX183"/>
  <c r="CZ183"/>
  <c r="DH183"/>
  <c r="DL183"/>
  <c r="DP183"/>
  <c r="DR183"/>
  <c r="DT183"/>
  <c r="DZ183"/>
  <c r="EF183"/>
  <c r="EH183"/>
  <c r="EJ183"/>
  <c r="DD183"/>
  <c r="DC183" s="1"/>
  <c r="DE183"/>
  <c r="BA183"/>
  <c r="CM183" s="1"/>
  <c r="CL183"/>
  <c r="CK183"/>
  <c r="AY183"/>
  <c r="B183"/>
  <c r="CX182"/>
  <c r="CZ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84"/>
  <c r="CX181"/>
  <c r="CZ181"/>
  <c r="DO181"/>
  <c r="DQ181"/>
  <c r="DS181"/>
  <c r="DU181"/>
  <c r="DW181"/>
  <c r="DY181"/>
  <c r="EA181"/>
  <c r="EC181"/>
  <c r="EE181"/>
  <c r="EG181"/>
  <c r="EI181"/>
  <c r="DD181"/>
  <c r="DE181"/>
  <c r="DC181"/>
  <c r="BA181"/>
  <c r="CM181" s="1"/>
  <c r="CL181"/>
  <c r="CK181"/>
  <c r="AY181"/>
  <c r="B187"/>
  <c r="CX180"/>
  <c r="CZ180"/>
  <c r="DF180"/>
  <c r="DH180"/>
  <c r="DJ180"/>
  <c r="DK180"/>
  <c r="DN180"/>
  <c r="DP180"/>
  <c r="DQ180"/>
  <c r="DR180"/>
  <c r="DS180"/>
  <c r="DU180"/>
  <c r="DV180"/>
  <c r="DX180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86"/>
  <c r="CX179"/>
  <c r="CZ179"/>
  <c r="DP179"/>
  <c r="DR179"/>
  <c r="EF179"/>
  <c r="EH179"/>
  <c r="DD179"/>
  <c r="DC179" s="1"/>
  <c r="BA179"/>
  <c r="CM179"/>
  <c r="CL179"/>
  <c r="CK179"/>
  <c r="AY179"/>
  <c r="B185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0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71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69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75"/>
  <c r="CZ174"/>
  <c r="DG174"/>
  <c r="DI174"/>
  <c r="DK174"/>
  <c r="DM174"/>
  <c r="DO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DD174"/>
  <c r="DE174" s="1"/>
  <c r="DC174"/>
  <c r="BA174"/>
  <c r="CM174" s="1"/>
  <c r="CL174"/>
  <c r="CK174"/>
  <c r="AY174"/>
  <c r="B176"/>
  <c r="CZ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72"/>
  <c r="CZ172"/>
  <c r="DD172"/>
  <c r="DE172" s="1"/>
  <c r="DC172"/>
  <c r="BA172"/>
  <c r="CM172" s="1"/>
  <c r="CL172"/>
  <c r="CK172"/>
  <c r="AY172"/>
  <c r="B174"/>
  <c r="CX171"/>
  <c r="CZ171"/>
  <c r="DF171"/>
  <c r="DH171"/>
  <c r="DJ171"/>
  <c r="DL171"/>
  <c r="DN171"/>
  <c r="DP171"/>
  <c r="DR171"/>
  <c r="DT171"/>
  <c r="DV171"/>
  <c r="DX171"/>
  <c r="DZ171"/>
  <c r="EB171"/>
  <c r="ED171"/>
  <c r="EF171"/>
  <c r="EH171"/>
  <c r="EJ171"/>
  <c r="DD171"/>
  <c r="BA171"/>
  <c r="CM171"/>
  <c r="CL171"/>
  <c r="CK171"/>
  <c r="AY171"/>
  <c r="B173"/>
  <c r="CX170"/>
  <c r="CZ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DD170"/>
  <c r="DC170" s="1"/>
  <c r="DE170"/>
  <c r="BA170"/>
  <c r="CM170"/>
  <c r="CL170"/>
  <c r="CK170"/>
  <c r="AY170"/>
  <c r="B170"/>
  <c r="CZ169"/>
  <c r="DI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77"/>
  <c r="CX168"/>
  <c r="CZ168"/>
  <c r="DZ168" s="1"/>
  <c r="DJ168"/>
  <c r="DP168"/>
  <c r="EF168"/>
  <c r="DD168"/>
  <c r="DC168" s="1"/>
  <c r="DE168"/>
  <c r="CL168"/>
  <c r="CK168"/>
  <c r="AY168"/>
  <c r="B168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63"/>
  <c r="CW166"/>
  <c r="CX166"/>
  <c r="CZ166"/>
  <c r="DF166"/>
  <c r="DK166"/>
  <c r="DP166"/>
  <c r="DQ166"/>
  <c r="DV166"/>
  <c r="EA166"/>
  <c r="EF166"/>
  <c r="EG166"/>
  <c r="DD166"/>
  <c r="BA166"/>
  <c r="CM166"/>
  <c r="CL166"/>
  <c r="CK166"/>
  <c r="AY166"/>
  <c r="B161"/>
  <c r="CZ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DD165"/>
  <c r="DE165"/>
  <c r="DC165"/>
  <c r="BA165"/>
  <c r="CM165"/>
  <c r="CL165"/>
  <c r="CK165"/>
  <c r="AY165"/>
  <c r="B165"/>
  <c r="CZ164"/>
  <c r="DJ164" s="1"/>
  <c r="DF164"/>
  <c r="DG164"/>
  <c r="DH164"/>
  <c r="DI164"/>
  <c r="DK164"/>
  <c r="DL164"/>
  <c r="DN164"/>
  <c r="DO164"/>
  <c r="DP164"/>
  <c r="DQ164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4"/>
  <c r="CZ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DD163"/>
  <c r="BA163"/>
  <c r="CM163"/>
  <c r="CL163"/>
  <c r="CK163"/>
  <c r="AY163"/>
  <c r="B158"/>
  <c r="CZ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2"/>
  <c r="CX161"/>
  <c r="CZ161"/>
  <c r="DP161"/>
  <c r="DV161"/>
  <c r="DD161"/>
  <c r="BA161"/>
  <c r="CM161"/>
  <c r="CL161"/>
  <c r="CK161"/>
  <c r="AY161"/>
  <c r="B160"/>
  <c r="CW160"/>
  <c r="CX160"/>
  <c r="CZ160"/>
  <c r="EB160"/>
  <c r="ED160"/>
  <c r="DD160"/>
  <c r="DC160" s="1"/>
  <c r="DE160"/>
  <c r="BA160"/>
  <c r="CM160"/>
  <c r="CL160"/>
  <c r="CK160"/>
  <c r="AY160"/>
  <c r="B166"/>
  <c r="CX159"/>
  <c r="DH159" s="1"/>
  <c r="CZ159"/>
  <c r="DG159"/>
  <c r="DJ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67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59"/>
  <c r="CZ157"/>
  <c r="DF157"/>
  <c r="DH157"/>
  <c r="DJ157"/>
  <c r="DL157"/>
  <c r="DN157"/>
  <c r="DP157"/>
  <c r="DR157"/>
  <c r="DT157"/>
  <c r="DV157"/>
  <c r="DX157"/>
  <c r="DZ157"/>
  <c r="EB157"/>
  <c r="ED157"/>
  <c r="EF157"/>
  <c r="EH157"/>
  <c r="EJ157"/>
  <c r="DD157"/>
  <c r="DC157" s="1"/>
  <c r="DE157"/>
  <c r="BA157"/>
  <c r="CM157" s="1"/>
  <c r="CL157"/>
  <c r="CK157"/>
  <c r="AY157"/>
  <c r="B155"/>
  <c r="CX156"/>
  <c r="DI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51"/>
  <c r="CZ155"/>
  <c r="DK155" s="1"/>
  <c r="DG155"/>
  <c r="DO155"/>
  <c r="DW155"/>
  <c r="EE155"/>
  <c r="DD155"/>
  <c r="DE155"/>
  <c r="DC155"/>
  <c r="BA155"/>
  <c r="CM155" s="1"/>
  <c r="CL155"/>
  <c r="CK155"/>
  <c r="AY155"/>
  <c r="B153"/>
  <c r="CZ154"/>
  <c r="DG154" s="1"/>
  <c r="DF154"/>
  <c r="DH154"/>
  <c r="DJ154"/>
  <c r="DL154"/>
  <c r="DN154"/>
  <c r="DP154"/>
  <c r="DR154"/>
  <c r="DT154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48"/>
  <c r="CZ153"/>
  <c r="DG153"/>
  <c r="DI153"/>
  <c r="DK153"/>
  <c r="DM153"/>
  <c r="DO153"/>
  <c r="DQ153"/>
  <c r="DS153"/>
  <c r="DU153"/>
  <c r="DW153"/>
  <c r="DY153"/>
  <c r="EA153"/>
  <c r="EC153"/>
  <c r="EE153"/>
  <c r="EG153"/>
  <c r="EI153"/>
  <c r="DD153"/>
  <c r="DE153"/>
  <c r="DC153"/>
  <c r="BA153"/>
  <c r="CM153" s="1"/>
  <c r="CL153"/>
  <c r="CK153"/>
  <c r="AY153"/>
  <c r="B156"/>
  <c r="CZ152"/>
  <c r="DG152" s="1"/>
  <c r="DF152"/>
  <c r="DH152"/>
  <c r="DJ152"/>
  <c r="DL152"/>
  <c r="DN152"/>
  <c r="DP152"/>
  <c r="DR152"/>
  <c r="DT152"/>
  <c r="DV152"/>
  <c r="DX152"/>
  <c r="DZ152"/>
  <c r="EB152"/>
  <c r="ED152"/>
  <c r="EF152"/>
  <c r="EH152"/>
  <c r="EJ152"/>
  <c r="DD152"/>
  <c r="DC152" s="1"/>
  <c r="DE152"/>
  <c r="BA152"/>
  <c r="CM152"/>
  <c r="CL152"/>
  <c r="CK152"/>
  <c r="AY152"/>
  <c r="B154"/>
  <c r="CZ151"/>
  <c r="DK151" s="1"/>
  <c r="DG151"/>
  <c r="DO151"/>
  <c r="DW151"/>
  <c r="EE151"/>
  <c r="DD151"/>
  <c r="DE151" s="1"/>
  <c r="DE231" s="1"/>
  <c r="DC151"/>
  <c r="B152"/>
  <c r="CZ150"/>
  <c r="DG150" s="1"/>
  <c r="DF150"/>
  <c r="DH150"/>
  <c r="DJ150"/>
  <c r="DL150"/>
  <c r="DN150"/>
  <c r="DP150"/>
  <c r="DR150"/>
  <c r="DT150"/>
  <c r="DV150"/>
  <c r="DX150"/>
  <c r="DZ150"/>
  <c r="EB150"/>
  <c r="ED150"/>
  <c r="EF150"/>
  <c r="EH150"/>
  <c r="EJ150"/>
  <c r="DD150"/>
  <c r="DC150" s="1"/>
  <c r="DE150"/>
  <c r="B157"/>
  <c r="CW149"/>
  <c r="CX149"/>
  <c r="CZ149"/>
  <c r="DF149"/>
  <c r="DH149"/>
  <c r="DJ149"/>
  <c r="DL149"/>
  <c r="DN149"/>
  <c r="DP149"/>
  <c r="DR149"/>
  <c r="DT149"/>
  <c r="DV149"/>
  <c r="DX149"/>
  <c r="DZ149"/>
  <c r="EB149"/>
  <c r="ED149"/>
  <c r="EF149"/>
  <c r="EH149"/>
  <c r="EJ149"/>
  <c r="DD149"/>
  <c r="CM149"/>
  <c r="CL149"/>
  <c r="CK149"/>
  <c r="AY149"/>
  <c r="B149"/>
  <c r="CZ148"/>
  <c r="DF148"/>
  <c r="DJ148"/>
  <c r="DN148"/>
  <c r="DR148"/>
  <c r="DV148"/>
  <c r="DZ148"/>
  <c r="ED148"/>
  <c r="EH148"/>
  <c r="DD148"/>
  <c r="CL148"/>
  <c r="CK148"/>
  <c r="AY148"/>
  <c r="B150"/>
  <c r="CZ147"/>
  <c r="DF147"/>
  <c r="DH147"/>
  <c r="DJ147"/>
  <c r="DL147"/>
  <c r="DN147"/>
  <c r="DP147"/>
  <c r="DR147"/>
  <c r="DT147"/>
  <c r="DV147"/>
  <c r="DX147"/>
  <c r="DZ147"/>
  <c r="EB147"/>
  <c r="ED147"/>
  <c r="EF147"/>
  <c r="EH147"/>
  <c r="EJ147"/>
  <c r="DD147"/>
  <c r="BA147"/>
  <c r="CM147"/>
  <c r="CL147"/>
  <c r="CK147"/>
  <c r="AY147"/>
  <c r="B139"/>
  <c r="CX146"/>
  <c r="CZ146"/>
  <c r="DG146" s="1"/>
  <c r="DF146"/>
  <c r="DH146"/>
  <c r="DJ146"/>
  <c r="DL146"/>
  <c r="DN146"/>
  <c r="DP146"/>
  <c r="DR146"/>
  <c r="DT146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42"/>
  <c r="CX145"/>
  <c r="CZ145"/>
  <c r="DI145"/>
  <c r="DM145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DD145"/>
  <c r="DE145"/>
  <c r="DC145"/>
  <c r="BA145"/>
  <c r="CM145"/>
  <c r="CL145"/>
  <c r="CK145"/>
  <c r="AY145"/>
  <c r="B145"/>
  <c r="CX144"/>
  <c r="CZ144"/>
  <c r="DG144"/>
  <c r="DK144"/>
  <c r="DO144"/>
  <c r="DS144"/>
  <c r="DW144"/>
  <c r="EA144"/>
  <c r="EE144"/>
  <c r="EI144"/>
  <c r="DD144"/>
  <c r="DE144"/>
  <c r="DC144"/>
  <c r="BA144"/>
  <c r="CM144" s="1"/>
  <c r="CL144"/>
  <c r="CK144"/>
  <c r="AY144"/>
  <c r="B146"/>
  <c r="CZ143"/>
  <c r="DG143" s="1"/>
  <c r="DF143"/>
  <c r="DH143"/>
  <c r="DJ143"/>
  <c r="DL143"/>
  <c r="DN143"/>
  <c r="DP143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47"/>
  <c r="CX142"/>
  <c r="CZ142"/>
  <c r="DI142"/>
  <c r="DM142"/>
  <c r="DN142"/>
  <c r="DO142"/>
  <c r="DP142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DD142"/>
  <c r="DE142"/>
  <c r="DC142"/>
  <c r="BA142"/>
  <c r="CM142"/>
  <c r="CL142"/>
  <c r="CK142"/>
  <c r="AY142"/>
  <c r="B143"/>
  <c r="CW141"/>
  <c r="CX141"/>
  <c r="CZ141"/>
  <c r="DI141"/>
  <c r="DM141"/>
  <c r="DO141"/>
  <c r="DQ141"/>
  <c r="DS141"/>
  <c r="DU141"/>
  <c r="DW141"/>
  <c r="DY141"/>
  <c r="EA141"/>
  <c r="EC141"/>
  <c r="EE141"/>
  <c r="EG141"/>
  <c r="EI141"/>
  <c r="DD141"/>
  <c r="DE141"/>
  <c r="DC141"/>
  <c r="BA141"/>
  <c r="CM141"/>
  <c r="CL141"/>
  <c r="CK141"/>
  <c r="AY141"/>
  <c r="B140"/>
  <c r="CW140"/>
  <c r="CX140"/>
  <c r="CZ140"/>
  <c r="DO140"/>
  <c r="DQ140"/>
  <c r="DS140"/>
  <c r="DU140"/>
  <c r="DW140"/>
  <c r="DY140"/>
  <c r="EA140"/>
  <c r="EC140"/>
  <c r="EE140"/>
  <c r="EG140"/>
  <c r="EI140"/>
  <c r="DD140"/>
  <c r="DE140"/>
  <c r="DC140"/>
  <c r="BA140"/>
  <c r="CM140"/>
  <c r="CL140"/>
  <c r="CK140"/>
  <c r="AY140"/>
  <c r="B144"/>
  <c r="CZ139"/>
  <c r="DJ139" s="1"/>
  <c r="DF139"/>
  <c r="DG139"/>
  <c r="DH139"/>
  <c r="DI139"/>
  <c r="DK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DC139"/>
  <c r="BA139"/>
  <c r="CM139"/>
  <c r="CL139"/>
  <c r="CK139"/>
  <c r="AY139"/>
  <c r="B141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38"/>
  <c r="CZ137"/>
  <c r="DF137"/>
  <c r="DG137"/>
  <c r="DH137"/>
  <c r="DI137"/>
  <c r="DJ137"/>
  <c r="DK137"/>
  <c r="DL137"/>
  <c r="DM137"/>
  <c r="DN137"/>
  <c r="DO137"/>
  <c r="DP137"/>
  <c r="DQ137"/>
  <c r="DR137"/>
  <c r="DS137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DD137"/>
  <c r="DE137"/>
  <c r="DC137"/>
  <c r="BA137"/>
  <c r="CM137" s="1"/>
  <c r="CL137"/>
  <c r="CK137"/>
  <c r="AY137"/>
  <c r="B134"/>
  <c r="CZ136"/>
  <c r="DG136" s="1"/>
  <c r="DF136"/>
  <c r="DH136"/>
  <c r="DJ136"/>
  <c r="DL136"/>
  <c r="DN136"/>
  <c r="DP136"/>
  <c r="DR136"/>
  <c r="DT136"/>
  <c r="DV136"/>
  <c r="DX136"/>
  <c r="DZ136"/>
  <c r="EB136"/>
  <c r="ED136"/>
  <c r="EF136"/>
  <c r="EH136"/>
  <c r="EJ136"/>
  <c r="DD136"/>
  <c r="DC136" s="1"/>
  <c r="DE136"/>
  <c r="BA136"/>
  <c r="CM136"/>
  <c r="CL136"/>
  <c r="CK136"/>
  <c r="AY136"/>
  <c r="B129"/>
  <c r="CW135"/>
  <c r="CX135"/>
  <c r="CZ135"/>
  <c r="DF135"/>
  <c r="DH135"/>
  <c r="DJ135"/>
  <c r="DL135"/>
  <c r="DN135"/>
  <c r="DP135"/>
  <c r="DR135"/>
  <c r="DT135"/>
  <c r="DV135"/>
  <c r="DX135"/>
  <c r="DZ135"/>
  <c r="EB135"/>
  <c r="ED135"/>
  <c r="EF135"/>
  <c r="EH135"/>
  <c r="EJ135"/>
  <c r="DD135"/>
  <c r="DC135" s="1"/>
  <c r="BA135"/>
  <c r="CM135"/>
  <c r="CL135"/>
  <c r="CK135"/>
  <c r="AY135"/>
  <c r="B133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36"/>
  <c r="CZ133"/>
  <c r="DG133" s="1"/>
  <c r="DD133"/>
  <c r="DE133"/>
  <c r="DC133"/>
  <c r="BA133"/>
  <c r="CM133" s="1"/>
  <c r="CL133"/>
  <c r="CK133"/>
  <c r="AY133"/>
  <c r="B137"/>
  <c r="CX132"/>
  <c r="CZ132"/>
  <c r="DF132"/>
  <c r="DH132"/>
  <c r="DJ132"/>
  <c r="DL132"/>
  <c r="DN132"/>
  <c r="DP132"/>
  <c r="DR132"/>
  <c r="DT132"/>
  <c r="DV132"/>
  <c r="DX132"/>
  <c r="DZ132"/>
  <c r="EB132"/>
  <c r="ED132"/>
  <c r="EF132"/>
  <c r="EH132"/>
  <c r="EJ132"/>
  <c r="DD132"/>
  <c r="BA132"/>
  <c r="CM132" s="1"/>
  <c r="CL132"/>
  <c r="CK132"/>
  <c r="AY132"/>
  <c r="B130"/>
  <c r="CZ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31"/>
  <c r="CX130"/>
  <c r="DG130" s="1"/>
  <c r="CZ130"/>
  <c r="DI130"/>
  <c r="DM130"/>
  <c r="DQ130"/>
  <c r="DU130"/>
  <c r="DY130"/>
  <c r="EC130"/>
  <c r="EG130"/>
  <c r="DD130"/>
  <c r="DE130"/>
  <c r="DC130"/>
  <c r="BA130"/>
  <c r="CM130" s="1"/>
  <c r="CL130"/>
  <c r="CK130"/>
  <c r="AY130"/>
  <c r="B132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35"/>
  <c r="CW128"/>
  <c r="CX128"/>
  <c r="CZ128"/>
  <c r="DH128"/>
  <c r="DL128"/>
  <c r="DP128"/>
  <c r="DT128"/>
  <c r="DX128"/>
  <c r="EB128"/>
  <c r="EF128"/>
  <c r="EJ128"/>
  <c r="DD128"/>
  <c r="CL128"/>
  <c r="CK128"/>
  <c r="AY128"/>
  <c r="B128"/>
  <c r="CX127"/>
  <c r="CZ127"/>
  <c r="DD127"/>
  <c r="DE127"/>
  <c r="DC127"/>
  <c r="BA127"/>
  <c r="CM127" s="1"/>
  <c r="CL127"/>
  <c r="CK127"/>
  <c r="AY127"/>
  <c r="B123"/>
  <c r="CX126"/>
  <c r="CZ126"/>
  <c r="DF126"/>
  <c r="DH126"/>
  <c r="DJ126"/>
  <c r="DL126"/>
  <c r="DN126"/>
  <c r="DP126"/>
  <c r="DR126"/>
  <c r="DT126"/>
  <c r="DV126"/>
  <c r="DX126"/>
  <c r="DZ126"/>
  <c r="EB126"/>
  <c r="ED126"/>
  <c r="EF126"/>
  <c r="EH126"/>
  <c r="EJ126"/>
  <c r="DD126"/>
  <c r="BA126"/>
  <c r="CM126" s="1"/>
  <c r="CL126"/>
  <c r="CK126"/>
  <c r="AY126"/>
  <c r="B122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EH125"/>
  <c r="EJ125"/>
  <c r="DD125"/>
  <c r="DC125" s="1"/>
  <c r="BA125"/>
  <c r="CM125"/>
  <c r="CL125"/>
  <c r="CK125"/>
  <c r="AY125"/>
  <c r="B126"/>
  <c r="CX124"/>
  <c r="DI124" s="1"/>
  <c r="CZ124"/>
  <c r="DN124"/>
  <c r="DO124"/>
  <c r="DP124"/>
  <c r="DQ124"/>
  <c r="DR124"/>
  <c r="DS124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DD124"/>
  <c r="DE124"/>
  <c r="DC124"/>
  <c r="BA124"/>
  <c r="CM124"/>
  <c r="CL124"/>
  <c r="CK124"/>
  <c r="AY124"/>
  <c r="B120"/>
  <c r="CX123"/>
  <c r="CZ123"/>
  <c r="DD123"/>
  <c r="DE123"/>
  <c r="DC123"/>
  <c r="BA123"/>
  <c r="CM123" s="1"/>
  <c r="CL123"/>
  <c r="CK123"/>
  <c r="AY123"/>
  <c r="B118"/>
  <c r="CX122"/>
  <c r="CZ122"/>
  <c r="DF122"/>
  <c r="DH122"/>
  <c r="DJ122"/>
  <c r="DL122"/>
  <c r="DN122"/>
  <c r="DP122"/>
  <c r="DR122"/>
  <c r="DT122"/>
  <c r="DV122"/>
  <c r="DX122"/>
  <c r="DZ122"/>
  <c r="EB122"/>
  <c r="ED122"/>
  <c r="EF122"/>
  <c r="EH122"/>
  <c r="EJ122"/>
  <c r="DD122"/>
  <c r="BA122"/>
  <c r="CM122" s="1"/>
  <c r="CL122"/>
  <c r="CK122"/>
  <c r="AY122"/>
  <c r="B124"/>
  <c r="CW121"/>
  <c r="CX121"/>
  <c r="CZ121"/>
  <c r="DD121"/>
  <c r="BA121"/>
  <c r="CM121"/>
  <c r="CL121"/>
  <c r="CK121"/>
  <c r="AY121"/>
  <c r="B127"/>
  <c r="CZ120"/>
  <c r="DF120"/>
  <c r="DG120"/>
  <c r="DH120"/>
  <c r="DI120"/>
  <c r="DJ120"/>
  <c r="DK120"/>
  <c r="DL120"/>
  <c r="DM120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19"/>
  <c r="CW119"/>
  <c r="CX119"/>
  <c r="DG119" s="1"/>
  <c r="CZ119"/>
  <c r="DI119"/>
  <c r="DM119"/>
  <c r="DO119"/>
  <c r="DQ119"/>
  <c r="DS119"/>
  <c r="DU119"/>
  <c r="DW119"/>
  <c r="DY119"/>
  <c r="EA119"/>
  <c r="EC119"/>
  <c r="EE119"/>
  <c r="EG119"/>
  <c r="EI119"/>
  <c r="DD119"/>
  <c r="DE119"/>
  <c r="DC119"/>
  <c r="BA119"/>
  <c r="CM119"/>
  <c r="CL119"/>
  <c r="CK119"/>
  <c r="AY119"/>
  <c r="B125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1"/>
  <c r="CZ117"/>
  <c r="DI117" s="1"/>
  <c r="DG117"/>
  <c r="DK117"/>
  <c r="DO117"/>
  <c r="DS117"/>
  <c r="DW117"/>
  <c r="EA117"/>
  <c r="EE117"/>
  <c r="EI117"/>
  <c r="DD117"/>
  <c r="DE117"/>
  <c r="DC117"/>
  <c r="BA117"/>
  <c r="CM117" s="1"/>
  <c r="CL117"/>
  <c r="CK117"/>
  <c r="AY117"/>
  <c r="B115"/>
  <c r="CZ116"/>
  <c r="DG116" s="1"/>
  <c r="DF116"/>
  <c r="DH116"/>
  <c r="DJ116"/>
  <c r="DL116"/>
  <c r="DN116"/>
  <c r="DP116"/>
  <c r="DR116"/>
  <c r="DT116"/>
  <c r="DV116"/>
  <c r="DX116"/>
  <c r="DZ116"/>
  <c r="EB116"/>
  <c r="ED116"/>
  <c r="EF116"/>
  <c r="EH116"/>
  <c r="EJ116"/>
  <c r="DD116"/>
  <c r="DC116" s="1"/>
  <c r="BA116"/>
  <c r="CM116"/>
  <c r="CL116"/>
  <c r="CK116"/>
  <c r="AY116"/>
  <c r="B111"/>
  <c r="CZ115"/>
  <c r="DI115"/>
  <c r="DM115"/>
  <c r="DQ115"/>
  <c r="DU115"/>
  <c r="DY115"/>
  <c r="EC115"/>
  <c r="EG115"/>
  <c r="DD115"/>
  <c r="DE115"/>
  <c r="DC115"/>
  <c r="BA115"/>
  <c r="CM115" s="1"/>
  <c r="CL115"/>
  <c r="CK115"/>
  <c r="AY115"/>
  <c r="B116"/>
  <c r="CZ114"/>
  <c r="DG114" s="1"/>
  <c r="DF114"/>
  <c r="DH114"/>
  <c r="DJ114"/>
  <c r="DL114"/>
  <c r="DN114"/>
  <c r="DP114"/>
  <c r="DR114"/>
  <c r="DT114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14"/>
  <c r="CZ113"/>
  <c r="DI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09"/>
  <c r="CZ112"/>
  <c r="DG112" s="1"/>
  <c r="DF112"/>
  <c r="DH112"/>
  <c r="DJ112"/>
  <c r="DL112"/>
  <c r="DN112"/>
  <c r="DP112"/>
  <c r="DR112"/>
  <c r="DT112"/>
  <c r="DV112"/>
  <c r="DX112"/>
  <c r="DZ112"/>
  <c r="EB112"/>
  <c r="ED112"/>
  <c r="EF112"/>
  <c r="EH112"/>
  <c r="EJ112"/>
  <c r="DD112"/>
  <c r="DC112" s="1"/>
  <c r="BA112"/>
  <c r="CM112"/>
  <c r="CL112"/>
  <c r="CK112"/>
  <c r="AY112"/>
  <c r="B113"/>
  <c r="CZ111"/>
  <c r="DI111"/>
  <c r="DM111"/>
  <c r="DQ111"/>
  <c r="DU111"/>
  <c r="DY111"/>
  <c r="EC111"/>
  <c r="EG111"/>
  <c r="DD111"/>
  <c r="DE111"/>
  <c r="DC111"/>
  <c r="BA111"/>
  <c r="CM111" s="1"/>
  <c r="CL111"/>
  <c r="CK111"/>
  <c r="AY111"/>
  <c r="B112"/>
  <c r="CZ110"/>
  <c r="DG110" s="1"/>
  <c r="DF110"/>
  <c r="DH110"/>
  <c r="DJ110"/>
  <c r="DL110"/>
  <c r="DN110"/>
  <c r="DP110"/>
  <c r="DR110"/>
  <c r="DT110"/>
  <c r="DV110"/>
  <c r="DX110"/>
  <c r="DZ110"/>
  <c r="EB110"/>
  <c r="ED110"/>
  <c r="EF110"/>
  <c r="EH110"/>
  <c r="EJ110"/>
  <c r="DD110"/>
  <c r="DC110" s="1"/>
  <c r="DE110"/>
  <c r="BA110"/>
  <c r="CM110"/>
  <c r="CL110"/>
  <c r="CK110"/>
  <c r="AY110"/>
  <c r="B110"/>
  <c r="CZ109"/>
  <c r="DI109" s="1"/>
  <c r="DG109"/>
  <c r="DK109"/>
  <c r="DO109"/>
  <c r="DS109"/>
  <c r="DW109"/>
  <c r="EA109"/>
  <c r="EE109"/>
  <c r="EI109"/>
  <c r="DD109"/>
  <c r="DE109"/>
  <c r="DC109"/>
  <c r="BA109"/>
  <c r="CM109" s="1"/>
  <c r="CL109"/>
  <c r="CK109"/>
  <c r="AY109"/>
  <c r="B108"/>
  <c r="CZ108"/>
  <c r="DG108" s="1"/>
  <c r="DF108"/>
  <c r="DH108"/>
  <c r="DJ108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17"/>
  <c r="CW107"/>
  <c r="CX107"/>
  <c r="DG107" s="1"/>
  <c r="CZ107"/>
  <c r="DO107" s="1"/>
  <c r="DI107"/>
  <c r="DM107"/>
  <c r="DQ107"/>
  <c r="DU107"/>
  <c r="DY107"/>
  <c r="EC107"/>
  <c r="EG107"/>
  <c r="DD107"/>
  <c r="DE107"/>
  <c r="DC107"/>
  <c r="BA107"/>
  <c r="CM107" s="1"/>
  <c r="CL107"/>
  <c r="CK107"/>
  <c r="AY107"/>
  <c r="B104"/>
  <c r="CZ106"/>
  <c r="DG106" s="1"/>
  <c r="DF106"/>
  <c r="DH106"/>
  <c r="DJ106"/>
  <c r="DL106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105"/>
  <c r="CZ105"/>
  <c r="DI105" s="1"/>
  <c r="DG105"/>
  <c r="DK105"/>
  <c r="DO105"/>
  <c r="DS105"/>
  <c r="DW105"/>
  <c r="EA105"/>
  <c r="EE105"/>
  <c r="EI105"/>
  <c r="DD105"/>
  <c r="DE105"/>
  <c r="DC105"/>
  <c r="BA105"/>
  <c r="CM105" s="1"/>
  <c r="CL105"/>
  <c r="CK105"/>
  <c r="AY105"/>
  <c r="B101"/>
  <c r="CZ104"/>
  <c r="DG104" s="1"/>
  <c r="DF104"/>
  <c r="DH104"/>
  <c r="DJ104"/>
  <c r="DL104"/>
  <c r="DN104"/>
  <c r="DP104"/>
  <c r="DR104"/>
  <c r="DT104"/>
  <c r="DV104"/>
  <c r="DX104"/>
  <c r="DZ104"/>
  <c r="EB104"/>
  <c r="ED104"/>
  <c r="EF104"/>
  <c r="EH104"/>
  <c r="EJ104"/>
  <c r="DD104"/>
  <c r="DC104" s="1"/>
  <c r="BA104"/>
  <c r="CM104"/>
  <c r="CL104"/>
  <c r="CK104"/>
  <c r="AY104"/>
  <c r="B103"/>
  <c r="CZ103"/>
  <c r="DI103"/>
  <c r="DM103"/>
  <c r="DQ103"/>
  <c r="DU103"/>
  <c r="DY103"/>
  <c r="EC103"/>
  <c r="EG103"/>
  <c r="DD103"/>
  <c r="DE103"/>
  <c r="DC103"/>
  <c r="BA103"/>
  <c r="CM103" s="1"/>
  <c r="CL103"/>
  <c r="CK103"/>
  <c r="AY103"/>
  <c r="B107"/>
  <c r="CZ102"/>
  <c r="DG102" s="1"/>
  <c r="DF102"/>
  <c r="DH102"/>
  <c r="DJ102"/>
  <c r="DL102"/>
  <c r="DN102"/>
  <c r="DP102"/>
  <c r="DR102"/>
  <c r="DT102"/>
  <c r="DV102"/>
  <c r="DX102"/>
  <c r="DZ102"/>
  <c r="EB102"/>
  <c r="ED102"/>
  <c r="EF102"/>
  <c r="EH102"/>
  <c r="EJ102"/>
  <c r="DD102"/>
  <c r="DC102" s="1"/>
  <c r="DE102"/>
  <c r="BA102"/>
  <c r="CM102"/>
  <c r="CL102"/>
  <c r="CK102"/>
  <c r="AY102"/>
  <c r="B99"/>
  <c r="CX101"/>
  <c r="DG101" s="1"/>
  <c r="CZ101"/>
  <c r="DI101"/>
  <c r="DM10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100"/>
  <c r="CX100"/>
  <c r="CZ100"/>
  <c r="DI100" s="1"/>
  <c r="DG100"/>
  <c r="DK100"/>
  <c r="DO100"/>
  <c r="DS100"/>
  <c r="DW100"/>
  <c r="EA100"/>
  <c r="EE100"/>
  <c r="EI100"/>
  <c r="DD100"/>
  <c r="DE100"/>
  <c r="DC100"/>
  <c r="BA100"/>
  <c r="CM100" s="1"/>
  <c r="CL100"/>
  <c r="CK100"/>
  <c r="AY100"/>
  <c r="B106"/>
  <c r="CZ99"/>
  <c r="DG99" s="1"/>
  <c r="DF99"/>
  <c r="DH99"/>
  <c r="DJ99"/>
  <c r="DL99"/>
  <c r="DN99"/>
  <c r="DP99"/>
  <c r="DR99"/>
  <c r="DT99"/>
  <c r="DV99"/>
  <c r="DX99"/>
  <c r="DZ99"/>
  <c r="EB99"/>
  <c r="ED99"/>
  <c r="EF99"/>
  <c r="EG99"/>
  <c r="EH99"/>
  <c r="EI99"/>
  <c r="EJ99"/>
  <c r="DD99"/>
  <c r="DC99" s="1"/>
  <c r="BA99"/>
  <c r="CM99"/>
  <c r="CL99"/>
  <c r="CK99"/>
  <c r="AY99"/>
  <c r="B98"/>
  <c r="CZ98"/>
  <c r="DI98"/>
  <c r="DM98"/>
  <c r="DQ98"/>
  <c r="DU98"/>
  <c r="DY98"/>
  <c r="EC98"/>
  <c r="EG98"/>
  <c r="DD98"/>
  <c r="DE98" s="1"/>
  <c r="DC98"/>
  <c r="CL98"/>
  <c r="CK98"/>
  <c r="AY98"/>
  <c r="B102"/>
  <c r="CZ97"/>
  <c r="DG97" s="1"/>
  <c r="DD97"/>
  <c r="DE97" s="1"/>
  <c r="DC97"/>
  <c r="BA97"/>
  <c r="CM97" s="1"/>
  <c r="CL97"/>
  <c r="CK97"/>
  <c r="AY97"/>
  <c r="B97"/>
  <c r="CZ96"/>
  <c r="DF96"/>
  <c r="DG96"/>
  <c r="DH96"/>
  <c r="DI96"/>
  <c r="DJ96"/>
  <c r="DK96"/>
  <c r="DL96"/>
  <c r="DM96"/>
  <c r="DN96"/>
  <c r="DO96"/>
  <c r="DP96"/>
  <c r="DQ96"/>
  <c r="DR96"/>
  <c r="DS96"/>
  <c r="DT96"/>
  <c r="DU96"/>
  <c r="DV96"/>
  <c r="DW96"/>
  <c r="DX96"/>
  <c r="DY96"/>
  <c r="DZ96"/>
  <c r="EA96"/>
  <c r="EB96"/>
  <c r="EC96"/>
  <c r="ED96"/>
  <c r="EE96"/>
  <c r="EF96"/>
  <c r="EG96"/>
  <c r="EH96"/>
  <c r="EI96"/>
  <c r="EJ96"/>
  <c r="DD96"/>
  <c r="DC96" s="1"/>
  <c r="BA96"/>
  <c r="CM96"/>
  <c r="CL96"/>
  <c r="CK96"/>
  <c r="AY96"/>
  <c r="B92"/>
  <c r="CZ95"/>
  <c r="DD95"/>
  <c r="DE95" s="1"/>
  <c r="DC95"/>
  <c r="BA95"/>
  <c r="CM95" s="1"/>
  <c r="CL95"/>
  <c r="CK95"/>
  <c r="AY95"/>
  <c r="B90"/>
  <c r="CZ94"/>
  <c r="DF94"/>
  <c r="DG94"/>
  <c r="DH94"/>
  <c r="DI94"/>
  <c r="DJ94"/>
  <c r="DK94"/>
  <c r="DL94"/>
  <c r="DM94"/>
  <c r="DN94"/>
  <c r="DO94"/>
  <c r="DP94"/>
  <c r="DQ94"/>
  <c r="DR94"/>
  <c r="DS94"/>
  <c r="DT94"/>
  <c r="DU94"/>
  <c r="DV94"/>
  <c r="DW94"/>
  <c r="DX94"/>
  <c r="DY94"/>
  <c r="DZ94"/>
  <c r="EA94"/>
  <c r="EB94"/>
  <c r="EC94"/>
  <c r="ED94"/>
  <c r="EE94"/>
  <c r="EF94"/>
  <c r="EG94"/>
  <c r="EH94"/>
  <c r="EI94"/>
  <c r="EJ94"/>
  <c r="DD94"/>
  <c r="DC94" s="1"/>
  <c r="BA94"/>
  <c r="CM94"/>
  <c r="CL94"/>
  <c r="CK94"/>
  <c r="AY94"/>
  <c r="B93"/>
  <c r="CZ93"/>
  <c r="DD93"/>
  <c r="DE93" s="1"/>
  <c r="DC93"/>
  <c r="BA93"/>
  <c r="CM93" s="1"/>
  <c r="CL93"/>
  <c r="CK93"/>
  <c r="AY93"/>
  <c r="B88"/>
  <c r="CZ92"/>
  <c r="DF92"/>
  <c r="DG92"/>
  <c r="DH92"/>
  <c r="DI92"/>
  <c r="DJ92"/>
  <c r="DK92"/>
  <c r="DL92"/>
  <c r="DM92"/>
  <c r="DN92"/>
  <c r="DO92"/>
  <c r="DP92"/>
  <c r="DQ92"/>
  <c r="DR92"/>
  <c r="DS92"/>
  <c r="DT92"/>
  <c r="DU92"/>
  <c r="DV92"/>
  <c r="DW92"/>
  <c r="DX92"/>
  <c r="DY92"/>
  <c r="DZ92"/>
  <c r="EA92"/>
  <c r="EB92"/>
  <c r="EC92"/>
  <c r="ED92"/>
  <c r="EE92"/>
  <c r="EF92"/>
  <c r="EG92"/>
  <c r="EH92"/>
  <c r="EI92"/>
  <c r="EJ92"/>
  <c r="DD92"/>
  <c r="DC92" s="1"/>
  <c r="BA92"/>
  <c r="CM92"/>
  <c r="CL92"/>
  <c r="CK92"/>
  <c r="AY92"/>
  <c r="B91"/>
  <c r="CZ91"/>
  <c r="DG91" s="1"/>
  <c r="DD91"/>
  <c r="DE91" s="1"/>
  <c r="DC91"/>
  <c r="BA91"/>
  <c r="CM91" s="1"/>
  <c r="CL91"/>
  <c r="CK91"/>
  <c r="AY91"/>
  <c r="B95"/>
  <c r="CZ90"/>
  <c r="DF90"/>
  <c r="DG90"/>
  <c r="DH90"/>
  <c r="DI90"/>
  <c r="DJ90"/>
  <c r="DK90"/>
  <c r="DL90"/>
  <c r="DM90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96"/>
  <c r="CX89"/>
  <c r="CZ89"/>
  <c r="DN89" s="1"/>
  <c r="DO89"/>
  <c r="DQ89"/>
  <c r="DS89"/>
  <c r="DU89"/>
  <c r="DW89"/>
  <c r="DY89"/>
  <c r="EA89"/>
  <c r="EC89"/>
  <c r="EE89"/>
  <c r="EG89"/>
  <c r="EI89"/>
  <c r="DD89"/>
  <c r="DE89"/>
  <c r="DC89"/>
  <c r="BA89"/>
  <c r="CM89" s="1"/>
  <c r="CL89"/>
  <c r="CK89"/>
  <c r="AY89"/>
  <c r="B94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89"/>
  <c r="C79"/>
  <c r="C78"/>
  <c r="C77"/>
  <c r="C76"/>
  <c r="C75"/>
  <c r="C74"/>
  <c r="C73"/>
  <c r="C72"/>
  <c r="C71"/>
  <c r="C70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EK189" l="1"/>
  <c r="EK205"/>
  <c r="FQ89"/>
  <c r="FI89"/>
  <c r="FA94"/>
  <c r="EW94"/>
  <c r="ES94"/>
  <c r="ES100"/>
  <c r="EW103"/>
  <c r="EW111"/>
  <c r="ES119"/>
  <c r="EW120"/>
  <c r="ES120"/>
  <c r="ES130"/>
  <c r="ES141"/>
  <c r="FA142"/>
  <c r="EW142"/>
  <c r="FA159"/>
  <c r="FA164"/>
  <c r="FA180"/>
  <c r="EW182"/>
  <c r="ES182"/>
  <c r="EW90"/>
  <c r="ES90"/>
  <c r="EW101"/>
  <c r="EW107"/>
  <c r="EW115"/>
  <c r="ES124"/>
  <c r="EW138"/>
  <c r="EW145"/>
  <c r="EW162"/>
  <c r="ES162"/>
  <c r="ES164"/>
  <c r="EW173"/>
  <c r="ES173"/>
  <c r="EZ94"/>
  <c r="EZ99"/>
  <c r="EZ142"/>
  <c r="EZ143"/>
  <c r="EZ150"/>
  <c r="FM96"/>
  <c r="FI96"/>
  <c r="EW96"/>
  <c r="ES96"/>
  <c r="EW98"/>
  <c r="ES101"/>
  <c r="ES105"/>
  <c r="FI107"/>
  <c r="ES107"/>
  <c r="ES113"/>
  <c r="FI115"/>
  <c r="ES115"/>
  <c r="FM119"/>
  <c r="EW119"/>
  <c r="FM130"/>
  <c r="EW130"/>
  <c r="FM131"/>
  <c r="FI131"/>
  <c r="EW131"/>
  <c r="ES131"/>
  <c r="FI139"/>
  <c r="ES139"/>
  <c r="FM141"/>
  <c r="EW141"/>
  <c r="FM143"/>
  <c r="FI143"/>
  <c r="ES145"/>
  <c r="FI153"/>
  <c r="ES153"/>
  <c r="FM156"/>
  <c r="FI156"/>
  <c r="FQ165"/>
  <c r="FM165"/>
  <c r="FI165"/>
  <c r="EW165"/>
  <c r="ES165"/>
  <c r="EW174"/>
  <c r="FM180"/>
  <c r="FM185"/>
  <c r="EP122"/>
  <c r="EP131"/>
  <c r="J372"/>
  <c r="J376" s="1"/>
  <c r="EW92"/>
  <c r="ES92"/>
  <c r="ES103"/>
  <c r="ES109"/>
  <c r="ES111"/>
  <c r="ES117"/>
  <c r="EP132"/>
  <c r="EW137"/>
  <c r="ES137"/>
  <c r="ES142"/>
  <c r="EW153"/>
  <c r="ES156"/>
  <c r="EW158"/>
  <c r="ES158"/>
  <c r="ES163"/>
  <c r="ES169"/>
  <c r="EW170"/>
  <c r="ES170"/>
  <c r="ES174"/>
  <c r="EW176"/>
  <c r="N372"/>
  <c r="N382" s="1"/>
  <c r="FJ92"/>
  <c r="FJ96"/>
  <c r="FJ156"/>
  <c r="FJ157"/>
  <c r="FJ165"/>
  <c r="EY100"/>
  <c r="FC109"/>
  <c r="EY144"/>
  <c r="EY165"/>
  <c r="FC181"/>
  <c r="EZ101"/>
  <c r="EZ183"/>
  <c r="U372"/>
  <c r="U379" s="1"/>
  <c r="EY96"/>
  <c r="EY131"/>
  <c r="EY155"/>
  <c r="EY156"/>
  <c r="EZ88"/>
  <c r="FP96"/>
  <c r="FD96"/>
  <c r="FP102"/>
  <c r="FP104"/>
  <c r="FD106"/>
  <c r="FD108"/>
  <c r="FP110"/>
  <c r="FP112"/>
  <c r="FL114"/>
  <c r="FD114"/>
  <c r="FL116"/>
  <c r="FD116"/>
  <c r="FP125"/>
  <c r="FP126"/>
  <c r="FD131"/>
  <c r="FP132"/>
  <c r="FP135"/>
  <c r="FD149"/>
  <c r="FP156"/>
  <c r="FD156"/>
  <c r="FP165"/>
  <c r="FD165"/>
  <c r="FP166"/>
  <c r="FP171"/>
  <c r="P372"/>
  <c r="P374" s="1"/>
  <c r="FN132"/>
  <c r="FN134"/>
  <c r="FN145"/>
  <c r="FJ180"/>
  <c r="FS90"/>
  <c r="FC90"/>
  <c r="EY90"/>
  <c r="FC92"/>
  <c r="EY92"/>
  <c r="FF94"/>
  <c r="FB94"/>
  <c r="EX94"/>
  <c r="EV99"/>
  <c r="FJ102"/>
  <c r="FB102"/>
  <c r="FJ104"/>
  <c r="FB104"/>
  <c r="FS105"/>
  <c r="FF106"/>
  <c r="EX106"/>
  <c r="FJ110"/>
  <c r="FB110"/>
  <c r="FJ112"/>
  <c r="FB112"/>
  <c r="FF114"/>
  <c r="FF116"/>
  <c r="EX116"/>
  <c r="FJ120"/>
  <c r="FF120"/>
  <c r="FB120"/>
  <c r="FS124"/>
  <c r="EY124"/>
  <c r="FB125"/>
  <c r="FB126"/>
  <c r="FF129"/>
  <c r="FB132"/>
  <c r="FF134"/>
  <c r="FB135"/>
  <c r="FS137"/>
  <c r="EY137"/>
  <c r="EY139"/>
  <c r="EY140"/>
  <c r="FF142"/>
  <c r="FB142"/>
  <c r="EX142"/>
  <c r="EV143"/>
  <c r="FJ146"/>
  <c r="FB146"/>
  <c r="FF149"/>
  <c r="EV150"/>
  <c r="FJ154"/>
  <c r="FB154"/>
  <c r="FF159"/>
  <c r="FB159"/>
  <c r="FS163"/>
  <c r="EY163"/>
  <c r="EX164"/>
  <c r="FS170"/>
  <c r="EY170"/>
  <c r="FJ171"/>
  <c r="FB171"/>
  <c r="EV173"/>
  <c r="FC174"/>
  <c r="FB179"/>
  <c r="FB180"/>
  <c r="EY181"/>
  <c r="FF182"/>
  <c r="FB182"/>
  <c r="FS184"/>
  <c r="EY185"/>
  <c r="EY186"/>
  <c r="AF372"/>
  <c r="AF379" s="1"/>
  <c r="FJ101"/>
  <c r="FJ149"/>
  <c r="EX88"/>
  <c r="FO89"/>
  <c r="FR90"/>
  <c r="FJ90"/>
  <c r="FF90"/>
  <c r="FB90"/>
  <c r="EX90"/>
  <c r="FF92"/>
  <c r="FB92"/>
  <c r="EX92"/>
  <c r="EV96"/>
  <c r="FB99"/>
  <c r="FO101"/>
  <c r="FO105"/>
  <c r="EV106"/>
  <c r="EV108"/>
  <c r="FO113"/>
  <c r="EV114"/>
  <c r="FF122"/>
  <c r="EX122"/>
  <c r="FR124"/>
  <c r="FJ124"/>
  <c r="FF124"/>
  <c r="FB124"/>
  <c r="FR129"/>
  <c r="FB129"/>
  <c r="EV131"/>
  <c r="FR134"/>
  <c r="FB134"/>
  <c r="FF136"/>
  <c r="EX136"/>
  <c r="FR137"/>
  <c r="FF137"/>
  <c r="FB137"/>
  <c r="EX139"/>
  <c r="FB143"/>
  <c r="FO145"/>
  <c r="FR147"/>
  <c r="FB147"/>
  <c r="FR150"/>
  <c r="FB150"/>
  <c r="FO151"/>
  <c r="FF152"/>
  <c r="EX152"/>
  <c r="FO153"/>
  <c r="FF157"/>
  <c r="EX158"/>
  <c r="FF161"/>
  <c r="FO162"/>
  <c r="FR163"/>
  <c r="FJ163"/>
  <c r="FF163"/>
  <c r="FB163"/>
  <c r="EX163"/>
  <c r="EV164"/>
  <c r="FR170"/>
  <c r="FF170"/>
  <c r="FB170"/>
  <c r="EX170"/>
  <c r="FO173"/>
  <c r="FR174"/>
  <c r="FF174"/>
  <c r="FB174"/>
  <c r="FR175"/>
  <c r="EX177"/>
  <c r="FF180"/>
  <c r="FJ183"/>
  <c r="FR186"/>
  <c r="FF186"/>
  <c r="FB186"/>
  <c r="EX186"/>
  <c r="W372"/>
  <c r="W377" s="1"/>
  <c r="FE96"/>
  <c r="FT101"/>
  <c r="ET102"/>
  <c r="ET112"/>
  <c r="FH122"/>
  <c r="FP136"/>
  <c r="FP138"/>
  <c r="FT139"/>
  <c r="FH145"/>
  <c r="ET146"/>
  <c r="FT147"/>
  <c r="ET148"/>
  <c r="FT150"/>
  <c r="ET154"/>
  <c r="FH157"/>
  <c r="FT162"/>
  <c r="FH164"/>
  <c r="ET167"/>
  <c r="FT173"/>
  <c r="FH173"/>
  <c r="FT175"/>
  <c r="FH178"/>
  <c r="FP183"/>
  <c r="FP90"/>
  <c r="FF96"/>
  <c r="FB96"/>
  <c r="FF99"/>
  <c r="FP106"/>
  <c r="FP108"/>
  <c r="FB122"/>
  <c r="FP124"/>
  <c r="FF131"/>
  <c r="FB131"/>
  <c r="FB136"/>
  <c r="FP139"/>
  <c r="FF139"/>
  <c r="FF143"/>
  <c r="FF147"/>
  <c r="FP149"/>
  <c r="FF150"/>
  <c r="FB152"/>
  <c r="FF156"/>
  <c r="FB156"/>
  <c r="FB157"/>
  <c r="FP163"/>
  <c r="FF165"/>
  <c r="FB165"/>
  <c r="FF166"/>
  <c r="FP167"/>
  <c r="FP170"/>
  <c r="FB175"/>
  <c r="FF177"/>
  <c r="FB183"/>
  <c r="FP186"/>
  <c r="ET94"/>
  <c r="FL99"/>
  <c r="FP101"/>
  <c r="FH101"/>
  <c r="ET104"/>
  <c r="ET110"/>
  <c r="ET120"/>
  <c r="FH136"/>
  <c r="ET139"/>
  <c r="FT145"/>
  <c r="FL147"/>
  <c r="FL150"/>
  <c r="FH152"/>
  <c r="FH162"/>
  <c r="ET171"/>
  <c r="FP173"/>
  <c r="FP177"/>
  <c r="FP178"/>
  <c r="FH180"/>
  <c r="FM89"/>
  <c r="FQ90"/>
  <c r="FM90"/>
  <c r="FI90"/>
  <c r="FT92"/>
  <c r="FP92"/>
  <c r="FI92"/>
  <c r="FT94"/>
  <c r="FP94"/>
  <c r="FT99"/>
  <c r="FP99"/>
  <c r="FF101"/>
  <c r="FB101"/>
  <c r="FF102"/>
  <c r="FI103"/>
  <c r="FF104"/>
  <c r="FB106"/>
  <c r="ET106"/>
  <c r="FQ107"/>
  <c r="ET108"/>
  <c r="FF110"/>
  <c r="FI111"/>
  <c r="FF112"/>
  <c r="FB114"/>
  <c r="FQ115"/>
  <c r="FB116"/>
  <c r="FI119"/>
  <c r="FT120"/>
  <c r="FT122"/>
  <c r="FM124"/>
  <c r="FI124"/>
  <c r="FF125"/>
  <c r="FF126"/>
  <c r="FF132"/>
  <c r="FF135"/>
  <c r="FT136"/>
  <c r="FM137"/>
  <c r="FI137"/>
  <c r="FI141"/>
  <c r="FT142"/>
  <c r="FP142"/>
  <c r="FF145"/>
  <c r="FB145"/>
  <c r="FF146"/>
  <c r="FB149"/>
  <c r="ET149"/>
  <c r="FP150"/>
  <c r="FT152"/>
  <c r="FM153"/>
  <c r="FF154"/>
  <c r="FT157"/>
  <c r="FT159"/>
  <c r="FF162"/>
  <c r="FB162"/>
  <c r="ET162"/>
  <c r="FQ163"/>
  <c r="FM163"/>
  <c r="FI163"/>
  <c r="FF164"/>
  <c r="FM170"/>
  <c r="FI170"/>
  <c r="FF171"/>
  <c r="FF173"/>
  <c r="FB173"/>
  <c r="FQ174"/>
  <c r="FM174"/>
  <c r="FI174"/>
  <c r="ET175"/>
  <c r="FM176"/>
  <c r="FT182"/>
  <c r="FP182"/>
  <c r="FT183"/>
  <c r="FM186"/>
  <c r="FI186"/>
  <c r="FF187"/>
  <c r="AK372"/>
  <c r="AK381" s="1"/>
  <c r="S372"/>
  <c r="S375" s="1"/>
  <c r="H516"/>
  <c r="FA89"/>
  <c r="FK90"/>
  <c r="EU90"/>
  <c r="FR92"/>
  <c r="FG92"/>
  <c r="FA96"/>
  <c r="FA103"/>
  <c r="FR104"/>
  <c r="FK109"/>
  <c r="FK117"/>
  <c r="FR120"/>
  <c r="FK124"/>
  <c r="FA131"/>
  <c r="FR135"/>
  <c r="FK137"/>
  <c r="EU137"/>
  <c r="FD139"/>
  <c r="FO140"/>
  <c r="FR142"/>
  <c r="FD145"/>
  <c r="FA153"/>
  <c r="FO155"/>
  <c r="FD162"/>
  <c r="FK163"/>
  <c r="FA165"/>
  <c r="FA166"/>
  <c r="FK167"/>
  <c r="FK169"/>
  <c r="FO170"/>
  <c r="FO174"/>
  <c r="FR180"/>
  <c r="FO181"/>
  <c r="FK186"/>
  <c r="FR187"/>
  <c r="EV88"/>
  <c r="EX89"/>
  <c r="FA90"/>
  <c r="FL92"/>
  <c r="FE92"/>
  <c r="FA92"/>
  <c r="FH94"/>
  <c r="FD94"/>
  <c r="EV94"/>
  <c r="FS96"/>
  <c r="FO96"/>
  <c r="FK96"/>
  <c r="EU96"/>
  <c r="FH99"/>
  <c r="FO100"/>
  <c r="FR101"/>
  <c r="EX101"/>
  <c r="EX102"/>
  <c r="EX104"/>
  <c r="FK105"/>
  <c r="EU105"/>
  <c r="FR106"/>
  <c r="FA107"/>
  <c r="FS109"/>
  <c r="EX110"/>
  <c r="FK113"/>
  <c r="EU113"/>
  <c r="FR114"/>
  <c r="FA115"/>
  <c r="FR116"/>
  <c r="FS117"/>
  <c r="FA119"/>
  <c r="FH120"/>
  <c r="FD120"/>
  <c r="EV120"/>
  <c r="FD122"/>
  <c r="EV122"/>
  <c r="FE124"/>
  <c r="EX126"/>
  <c r="EX129"/>
  <c r="FO131"/>
  <c r="FK131"/>
  <c r="EU131"/>
  <c r="EX132"/>
  <c r="EX134"/>
  <c r="FD136"/>
  <c r="FA137"/>
  <c r="FK140"/>
  <c r="FH142"/>
  <c r="FD142"/>
  <c r="FS143"/>
  <c r="FO143"/>
  <c r="FK143"/>
  <c r="FO144"/>
  <c r="FR145"/>
  <c r="EX145"/>
  <c r="EX146"/>
  <c r="FH147"/>
  <c r="FR149"/>
  <c r="FH150"/>
  <c r="FD152"/>
  <c r="EX154"/>
  <c r="FO156"/>
  <c r="FK156"/>
  <c r="FD157"/>
  <c r="EV157"/>
  <c r="FH159"/>
  <c r="FD159"/>
  <c r="FR162"/>
  <c r="EX162"/>
  <c r="FA163"/>
  <c r="FK164"/>
  <c r="EU164"/>
  <c r="FS165"/>
  <c r="FO165"/>
  <c r="FK165"/>
  <c r="EU165"/>
  <c r="FK166"/>
  <c r="EU166"/>
  <c r="FA170"/>
  <c r="FR173"/>
  <c r="EX173"/>
  <c r="FE174"/>
  <c r="FD175"/>
  <c r="FH177"/>
  <c r="FR179"/>
  <c r="FE180"/>
  <c r="FS181"/>
  <c r="FK181"/>
  <c r="FH182"/>
  <c r="FD182"/>
  <c r="EV182"/>
  <c r="FD183"/>
  <c r="FD184"/>
  <c r="FA186"/>
  <c r="AB372"/>
  <c r="AB380" s="1"/>
  <c r="M372"/>
  <c r="M380" s="1"/>
  <c r="H466"/>
  <c r="FO90"/>
  <c r="FG90"/>
  <c r="EU92"/>
  <c r="FR94"/>
  <c r="FR99"/>
  <c r="FD99"/>
  <c r="FD101"/>
  <c r="FR102"/>
  <c r="EU109"/>
  <c r="FR110"/>
  <c r="FR112"/>
  <c r="EU117"/>
  <c r="EU118"/>
  <c r="FO124"/>
  <c r="FR125"/>
  <c r="FR126"/>
  <c r="FR132"/>
  <c r="FO137"/>
  <c r="FD138"/>
  <c r="FO139"/>
  <c r="FD143"/>
  <c r="FG144"/>
  <c r="FR146"/>
  <c r="FD147"/>
  <c r="FD150"/>
  <c r="FR154"/>
  <c r="EU155"/>
  <c r="FR159"/>
  <c r="FO163"/>
  <c r="FG163"/>
  <c r="EU163"/>
  <c r="EU169"/>
  <c r="FK170"/>
  <c r="EU170"/>
  <c r="FR171"/>
  <c r="FD173"/>
  <c r="FK174"/>
  <c r="EU180"/>
  <c r="FR182"/>
  <c r="FO186"/>
  <c r="AI372"/>
  <c r="AI378" s="1"/>
  <c r="FD90"/>
  <c r="EV90"/>
  <c r="FO92"/>
  <c r="FD92"/>
  <c r="EV92"/>
  <c r="FO94"/>
  <c r="FR96"/>
  <c r="EX96"/>
  <c r="FA98"/>
  <c r="EX99"/>
  <c r="FA101"/>
  <c r="FD102"/>
  <c r="EV102"/>
  <c r="FD104"/>
  <c r="EV104"/>
  <c r="FO109"/>
  <c r="FD110"/>
  <c r="FD112"/>
  <c r="FO117"/>
  <c r="FO119"/>
  <c r="FO120"/>
  <c r="FR122"/>
  <c r="FD124"/>
  <c r="FD125"/>
  <c r="EV125"/>
  <c r="FD126"/>
  <c r="FR131"/>
  <c r="EX131"/>
  <c r="FD132"/>
  <c r="FD135"/>
  <c r="EV135"/>
  <c r="FR136"/>
  <c r="FD137"/>
  <c r="FA140"/>
  <c r="FO141"/>
  <c r="FO142"/>
  <c r="FR143"/>
  <c r="FA145"/>
  <c r="FD146"/>
  <c r="FR152"/>
  <c r="FD154"/>
  <c r="FR156"/>
  <c r="EX156"/>
  <c r="FR157"/>
  <c r="EV158"/>
  <c r="FO159"/>
  <c r="FD163"/>
  <c r="FO164"/>
  <c r="FD164"/>
  <c r="FR165"/>
  <c r="FO169"/>
  <c r="FD170"/>
  <c r="EV170"/>
  <c r="FD171"/>
  <c r="FL174"/>
  <c r="FD174"/>
  <c r="FO182"/>
  <c r="FR183"/>
  <c r="EV184"/>
  <c r="FO185"/>
  <c r="FD186"/>
  <c r="Y372"/>
  <c r="Y381" s="1"/>
  <c r="L372"/>
  <c r="L376" s="1"/>
  <c r="H382"/>
  <c r="H380"/>
  <c r="H375"/>
  <c r="H378"/>
  <c r="H379"/>
  <c r="EQ97"/>
  <c r="EQ100"/>
  <c r="EQ137"/>
  <c r="EQ143"/>
  <c r="EQ144"/>
  <c r="EQ150"/>
  <c r="EQ151"/>
  <c r="ER159"/>
  <c r="ER162"/>
  <c r="EQ163"/>
  <c r="EQ170"/>
  <c r="FS89"/>
  <c r="FK89"/>
  <c r="FC89"/>
  <c r="FT90"/>
  <c r="FH90"/>
  <c r="EZ90"/>
  <c r="FS92"/>
  <c r="FK92"/>
  <c r="FH92"/>
  <c r="EZ92"/>
  <c r="FS94"/>
  <c r="FK94"/>
  <c r="FC94"/>
  <c r="EY94"/>
  <c r="EU94"/>
  <c r="EQ94"/>
  <c r="FN96"/>
  <c r="ET96"/>
  <c r="FS99"/>
  <c r="FK100"/>
  <c r="EU100"/>
  <c r="FM101"/>
  <c r="FI101"/>
  <c r="FE101"/>
  <c r="FT102"/>
  <c r="EQ102"/>
  <c r="FE103"/>
  <c r="FT104"/>
  <c r="EQ104"/>
  <c r="EQ105"/>
  <c r="FH106"/>
  <c r="ER106"/>
  <c r="FM107"/>
  <c r="ER108"/>
  <c r="EY109"/>
  <c r="FT110"/>
  <c r="EQ110"/>
  <c r="FE111"/>
  <c r="FT112"/>
  <c r="EQ112"/>
  <c r="EQ113"/>
  <c r="FH114"/>
  <c r="ER114"/>
  <c r="FM115"/>
  <c r="FH116"/>
  <c r="EY117"/>
  <c r="EY119"/>
  <c r="EQ119"/>
  <c r="FK120"/>
  <c r="EY120"/>
  <c r="EU120"/>
  <c r="EQ120"/>
  <c r="FT124"/>
  <c r="FH124"/>
  <c r="FT125"/>
  <c r="EQ125"/>
  <c r="FT126"/>
  <c r="EQ130"/>
  <c r="FN131"/>
  <c r="FT132"/>
  <c r="FT135"/>
  <c r="ET136"/>
  <c r="FT137"/>
  <c r="FH137"/>
  <c r="FK139"/>
  <c r="EU139"/>
  <c r="FI140"/>
  <c r="EY141"/>
  <c r="FS142"/>
  <c r="FK142"/>
  <c r="FC142"/>
  <c r="EY142"/>
  <c r="FK144"/>
  <c r="EU144"/>
  <c r="FM145"/>
  <c r="FI145"/>
  <c r="FT146"/>
  <c r="EQ146"/>
  <c r="FH149"/>
  <c r="EZ149"/>
  <c r="EY151"/>
  <c r="ET152"/>
  <c r="FK153"/>
  <c r="EU153"/>
  <c r="FT154"/>
  <c r="EQ154"/>
  <c r="EQ156"/>
  <c r="FK159"/>
  <c r="EY159"/>
  <c r="FM162"/>
  <c r="FI162"/>
  <c r="FT163"/>
  <c r="FH163"/>
  <c r="FT164"/>
  <c r="FI164"/>
  <c r="EY164"/>
  <c r="ET164"/>
  <c r="ET165"/>
  <c r="EU167"/>
  <c r="EY169"/>
  <c r="FT170"/>
  <c r="FH170"/>
  <c r="ER170"/>
  <c r="FT171"/>
  <c r="FM173"/>
  <c r="FI173"/>
  <c r="FT174"/>
  <c r="FH174"/>
  <c r="EY174"/>
  <c r="EQ174"/>
  <c r="FK176"/>
  <c r="EU176"/>
  <c r="FN180"/>
  <c r="FI180"/>
  <c r="FI181"/>
  <c r="FS182"/>
  <c r="FK182"/>
  <c r="EY182"/>
  <c r="EU182"/>
  <c r="EQ182"/>
  <c r="FT186"/>
  <c r="FH186"/>
  <c r="EZ187"/>
  <c r="AD372"/>
  <c r="AD379" s="1"/>
  <c r="EQ90"/>
  <c r="EQ92"/>
  <c r="EQ99"/>
  <c r="EQ91"/>
  <c r="EQ96"/>
  <c r="EQ101"/>
  <c r="EQ107"/>
  <c r="EQ131"/>
  <c r="EQ136"/>
  <c r="EQ139"/>
  <c r="EQ152"/>
  <c r="EQ159"/>
  <c r="EQ165"/>
  <c r="H468"/>
  <c r="EY89"/>
  <c r="ET90"/>
  <c r="FM92"/>
  <c r="ET92"/>
  <c r="FM94"/>
  <c r="FI94"/>
  <c r="FE94"/>
  <c r="FT96"/>
  <c r="FH96"/>
  <c r="ER96"/>
  <c r="ET99"/>
  <c r="FS100"/>
  <c r="FC100"/>
  <c r="FS101"/>
  <c r="FK101"/>
  <c r="FC101"/>
  <c r="EY101"/>
  <c r="FH102"/>
  <c r="EZ102"/>
  <c r="FM103"/>
  <c r="FH104"/>
  <c r="EZ104"/>
  <c r="EY105"/>
  <c r="FT106"/>
  <c r="EQ106"/>
  <c r="FE107"/>
  <c r="EY107"/>
  <c r="EQ108"/>
  <c r="EQ109"/>
  <c r="FH110"/>
  <c r="EZ110"/>
  <c r="FM111"/>
  <c r="FH112"/>
  <c r="EY113"/>
  <c r="FT114"/>
  <c r="EQ114"/>
  <c r="FT116"/>
  <c r="EQ117"/>
  <c r="EQ118"/>
  <c r="FK119"/>
  <c r="FM120"/>
  <c r="FI120"/>
  <c r="FE120"/>
  <c r="FN122"/>
  <c r="FH125"/>
  <c r="FH126"/>
  <c r="EZ126"/>
  <c r="ER126"/>
  <c r="ER129"/>
  <c r="FI130"/>
  <c r="FT131"/>
  <c r="FH131"/>
  <c r="FH132"/>
  <c r="EZ132"/>
  <c r="EQ133"/>
  <c r="FH135"/>
  <c r="EZ135"/>
  <c r="EU138"/>
  <c r="EQ138"/>
  <c r="FH139"/>
  <c r="FM140"/>
  <c r="FK141"/>
  <c r="FM142"/>
  <c r="FI142"/>
  <c r="FT143"/>
  <c r="FH143"/>
  <c r="FS144"/>
  <c r="FK145"/>
  <c r="EY145"/>
  <c r="FH146"/>
  <c r="FT149"/>
  <c r="EU151"/>
  <c r="EY153"/>
  <c r="EQ153"/>
  <c r="FH154"/>
  <c r="FT156"/>
  <c r="FH156"/>
  <c r="EZ156"/>
  <c r="ET156"/>
  <c r="FN157"/>
  <c r="FM159"/>
  <c r="FI159"/>
  <c r="ET159"/>
  <c r="FK162"/>
  <c r="EY162"/>
  <c r="EU162"/>
  <c r="EQ162"/>
  <c r="FN163"/>
  <c r="ET163"/>
  <c r="EQ164"/>
  <c r="FT165"/>
  <c r="FH165"/>
  <c r="EZ165"/>
  <c r="ER165"/>
  <c r="EQ169"/>
  <c r="FH171"/>
  <c r="EZ171"/>
  <c r="ER171"/>
  <c r="FK173"/>
  <c r="EY173"/>
  <c r="EU173"/>
  <c r="EQ173"/>
  <c r="EU174"/>
  <c r="FH175"/>
  <c r="FK180"/>
  <c r="ET180"/>
  <c r="FM181"/>
  <c r="FM182"/>
  <c r="FI182"/>
  <c r="FK184"/>
  <c r="FK185"/>
  <c r="EU185"/>
  <c r="Z372"/>
  <c r="Z378" s="1"/>
  <c r="EK137"/>
  <c r="EK201"/>
  <c r="EK191"/>
  <c r="EK196"/>
  <c r="EP198"/>
  <c r="FU198" s="1"/>
  <c r="FJ108"/>
  <c r="EX108"/>
  <c r="EV128"/>
  <c r="FS138"/>
  <c r="FM138"/>
  <c r="FM158"/>
  <c r="EY158"/>
  <c r="FJ168"/>
  <c r="FS178"/>
  <c r="FB178"/>
  <c r="EY178"/>
  <c r="FF88"/>
  <c r="FO118"/>
  <c r="EZ128"/>
  <c r="FB148"/>
  <c r="ET168"/>
  <c r="FI178"/>
  <c r="EU178"/>
  <c r="FH88"/>
  <c r="ER8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T138"/>
  <c r="FT158"/>
  <c r="FN158"/>
  <c r="FD158"/>
  <c r="EZ178"/>
  <c r="FT88"/>
  <c r="FD88"/>
  <c r="FM98"/>
  <c r="FK118"/>
  <c r="FI138"/>
  <c r="FF138"/>
  <c r="FI158"/>
  <c r="FR108"/>
  <c r="FF108"/>
  <c r="EY118"/>
  <c r="FP128"/>
  <c r="ES138"/>
  <c r="FR148"/>
  <c r="FT178"/>
  <c r="FM178"/>
  <c r="FC178"/>
  <c r="FP88"/>
  <c r="FE98"/>
  <c r="FN108"/>
  <c r="FR88"/>
  <c r="FJ88"/>
  <c r="FB88"/>
  <c r="ET88"/>
  <c r="FI98"/>
  <c r="ES98"/>
  <c r="FH128"/>
  <c r="FE138"/>
  <c r="EY138"/>
  <c r="FJ148"/>
  <c r="FO158"/>
  <c r="FH158"/>
  <c r="FE158"/>
  <c r="FB158"/>
  <c r="FR178"/>
  <c r="FO178"/>
  <c r="FK178"/>
  <c r="ES178"/>
  <c r="FF158"/>
  <c r="FF178"/>
  <c r="FT108"/>
  <c r="FH108"/>
  <c r="FR138"/>
  <c r="FH138"/>
  <c r="FB138"/>
  <c r="FR158"/>
  <c r="EV147"/>
  <c r="ET147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G430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428" s="1"/>
  <c r="G25"/>
  <c r="G41" s="1"/>
  <c r="G427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Q23"/>
  <c r="Q39" s="1"/>
  <c r="D72"/>
  <c r="D535" s="1"/>
  <c r="Y22"/>
  <c r="Y38" s="1"/>
  <c r="AI30"/>
  <c r="AI46" s="1"/>
  <c r="AA30"/>
  <c r="AA46" s="1"/>
  <c r="O30"/>
  <c r="O46" s="1"/>
  <c r="G21"/>
  <c r="G37" s="1"/>
  <c r="G423" s="1"/>
  <c r="X30"/>
  <c r="X46" s="1"/>
  <c r="T30"/>
  <c r="T46" s="1"/>
  <c r="H30"/>
  <c r="H46" s="1"/>
  <c r="AK30"/>
  <c r="AK46" s="1"/>
  <c r="AG21"/>
  <c r="AG37" s="1"/>
  <c r="AC30"/>
  <c r="AC46" s="1"/>
  <c r="Y30"/>
  <c r="Y46" s="1"/>
  <c r="U21"/>
  <c r="U37" s="1"/>
  <c r="Q30"/>
  <c r="Q46" s="1"/>
  <c r="M21"/>
  <c r="M37" s="1"/>
  <c r="I21"/>
  <c r="I37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AE432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73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O376"/>
  <c r="O373"/>
  <c r="O380"/>
  <c r="AA372"/>
  <c r="AA374" s="1"/>
  <c r="FJ182"/>
  <c r="FJ158"/>
  <c r="FJ150"/>
  <c r="FJ143"/>
  <c r="FJ142"/>
  <c r="FJ114"/>
  <c r="FJ159"/>
  <c r="FJ145"/>
  <c r="FJ137"/>
  <c r="FJ131"/>
  <c r="E487"/>
  <c r="H488" s="1"/>
  <c r="FE156"/>
  <c r="FC164"/>
  <c r="T372"/>
  <c r="T381" s="1"/>
  <c r="FC169"/>
  <c r="FC156"/>
  <c r="FC153"/>
  <c r="EZ186"/>
  <c r="EZ177"/>
  <c r="EZ170"/>
  <c r="EZ152"/>
  <c r="EZ145"/>
  <c r="EZ131"/>
  <c r="EZ116"/>
  <c r="E477"/>
  <c r="H478" s="1"/>
  <c r="Q372"/>
  <c r="Q382" s="1"/>
  <c r="EZ182"/>
  <c r="EZ154"/>
  <c r="EZ146"/>
  <c r="EZ137"/>
  <c r="EZ120"/>
  <c r="R372"/>
  <c r="R379" s="1"/>
  <c r="FA174"/>
  <c r="FA181"/>
  <c r="FA162"/>
  <c r="FA156"/>
  <c r="EX157"/>
  <c r="EX150"/>
  <c r="EX143"/>
  <c r="EX120"/>
  <c r="E473"/>
  <c r="H474" s="1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382" s="1"/>
  <c r="E511"/>
  <c r="H512" s="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O375"/>
  <c r="O377"/>
  <c r="V372"/>
  <c r="V376" s="1"/>
  <c r="G372"/>
  <c r="G382" s="1"/>
  <c r="H514"/>
  <c r="E497"/>
  <c r="H498" s="1"/>
  <c r="E483"/>
  <c r="H484" s="1"/>
  <c r="AJ372"/>
  <c r="AJ381" s="1"/>
  <c r="FS164"/>
  <c r="FS162"/>
  <c r="FS139"/>
  <c r="FS180"/>
  <c r="FS169"/>
  <c r="FS156"/>
  <c r="FS153"/>
  <c r="AG372"/>
  <c r="AG378" s="1"/>
  <c r="FP152"/>
  <c r="FP145"/>
  <c r="FP143"/>
  <c r="FP131"/>
  <c r="FP116"/>
  <c r="E509"/>
  <c r="H508" s="1"/>
  <c r="FP157"/>
  <c r="FP154"/>
  <c r="FP146"/>
  <c r="FP137"/>
  <c r="FP120"/>
  <c r="K372"/>
  <c r="K378" s="1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O379"/>
  <c r="AH372"/>
  <c r="AH379" s="1"/>
  <c r="AC372"/>
  <c r="AC382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DN98"/>
  <c r="DP98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EQ128" s="1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DM88"/>
  <c r="DO88"/>
  <c r="DQ88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EQ148" s="1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DK98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DK168"/>
  <c r="DM168"/>
  <c r="EW168" s="1"/>
  <c r="DO168"/>
  <c r="EY168" s="1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DM147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4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H381"/>
  <c r="H377"/>
  <c r="H373"/>
  <c r="H376"/>
  <c r="H374"/>
  <c r="AJ30"/>
  <c r="AJ46" s="1"/>
  <c r="AJ432" s="1"/>
  <c r="AJ21"/>
  <c r="AJ37" s="1"/>
  <c r="AF21"/>
  <c r="AF37" s="1"/>
  <c r="AF30"/>
  <c r="AF46" s="1"/>
  <c r="AF432" s="1"/>
  <c r="AB30"/>
  <c r="AB46" s="1"/>
  <c r="AB432" s="1"/>
  <c r="AB21"/>
  <c r="AB37" s="1"/>
  <c r="P21"/>
  <c r="P30"/>
  <c r="P46" s="1"/>
  <c r="P432" s="1"/>
  <c r="AH28"/>
  <c r="AH44" s="1"/>
  <c r="AD28"/>
  <c r="AD44" s="1"/>
  <c r="Z28"/>
  <c r="Z44" s="1"/>
  <c r="V28"/>
  <c r="V44" s="1"/>
  <c r="R28"/>
  <c r="R44" s="1"/>
  <c r="N28"/>
  <c r="N44" s="1"/>
  <c r="J28"/>
  <c r="CM128"/>
  <c r="H480"/>
  <c r="H470"/>
  <c r="O382"/>
  <c r="O378"/>
  <c r="O374"/>
  <c r="AH23"/>
  <c r="AH39" s="1"/>
  <c r="AH30"/>
  <c r="AH46" s="1"/>
  <c r="AH432" s="1"/>
  <c r="AD23"/>
  <c r="AD39" s="1"/>
  <c r="AD30"/>
  <c r="AD46" s="1"/>
  <c r="AD432" s="1"/>
  <c r="Z23"/>
  <c r="Z39" s="1"/>
  <c r="Z30"/>
  <c r="Z46" s="1"/>
  <c r="Z432" s="1"/>
  <c r="V23"/>
  <c r="V39" s="1"/>
  <c r="V30"/>
  <c r="V46" s="1"/>
  <c r="V432" s="1"/>
  <c r="R23"/>
  <c r="R39" s="1"/>
  <c r="R30"/>
  <c r="R46" s="1"/>
  <c r="R432" s="1"/>
  <c r="N23"/>
  <c r="N39" s="1"/>
  <c r="N30"/>
  <c r="N46" s="1"/>
  <c r="N432" s="1"/>
  <c r="J23"/>
  <c r="J30"/>
  <c r="D70"/>
  <c r="E459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S426" l="1"/>
  <c r="S444" s="1"/>
  <c r="AI426"/>
  <c r="AI444" s="1"/>
  <c r="Z426"/>
  <c r="Z444" s="1"/>
  <c r="R430"/>
  <c r="R448" s="1"/>
  <c r="W424"/>
  <c r="W442" s="1"/>
  <c r="V427"/>
  <c r="V445" s="1"/>
  <c r="AH429"/>
  <c r="AH447" s="1"/>
  <c r="W423"/>
  <c r="W441" s="1"/>
  <c r="T423"/>
  <c r="T441" s="1"/>
  <c r="J427"/>
  <c r="J445" s="1"/>
  <c r="S61"/>
  <c r="S432"/>
  <c r="S450" s="1"/>
  <c r="AD423"/>
  <c r="AD441" s="1"/>
  <c r="AC432"/>
  <c r="AC450" s="1"/>
  <c r="AA432"/>
  <c r="AA450" s="1"/>
  <c r="AC424"/>
  <c r="AC442" s="1"/>
  <c r="AE425"/>
  <c r="AE443" s="1"/>
  <c r="AG426"/>
  <c r="AG444" s="1"/>
  <c r="Q427"/>
  <c r="Q445" s="1"/>
  <c r="S427"/>
  <c r="S445" s="1"/>
  <c r="X429"/>
  <c r="X447" s="1"/>
  <c r="AF428"/>
  <c r="AF446" s="1"/>
  <c r="P428"/>
  <c r="P446" s="1"/>
  <c r="AA428"/>
  <c r="AA446" s="1"/>
  <c r="S429"/>
  <c r="S447" s="1"/>
  <c r="Y429"/>
  <c r="Y447" s="1"/>
  <c r="H430"/>
  <c r="H448" s="1"/>
  <c r="AI430"/>
  <c r="AI448" s="1"/>
  <c r="M430"/>
  <c r="M448" s="1"/>
  <c r="Q431"/>
  <c r="Q449" s="1"/>
  <c r="X428"/>
  <c r="X446" s="1"/>
  <c r="AB424"/>
  <c r="AB442" s="1"/>
  <c r="U425"/>
  <c r="U443" s="1"/>
  <c r="AB426"/>
  <c r="AB444" s="1"/>
  <c r="AF430"/>
  <c r="AF448" s="1"/>
  <c r="AK423"/>
  <c r="AK441" s="1"/>
  <c r="P430"/>
  <c r="P448" s="1"/>
  <c r="O426"/>
  <c r="O444" s="1"/>
  <c r="Z428"/>
  <c r="Z446" s="1"/>
  <c r="Z425"/>
  <c r="Z443" s="1"/>
  <c r="N430"/>
  <c r="N448" s="1"/>
  <c r="AB423"/>
  <c r="AB441" s="1"/>
  <c r="AI424"/>
  <c r="AI442" s="1"/>
  <c r="Z429"/>
  <c r="Z447" s="1"/>
  <c r="S423"/>
  <c r="S441" s="1"/>
  <c r="AI423"/>
  <c r="AI441" s="1"/>
  <c r="AK424"/>
  <c r="AK442" s="1"/>
  <c r="N431"/>
  <c r="N449" s="1"/>
  <c r="AG432"/>
  <c r="AG450" s="1"/>
  <c r="I423"/>
  <c r="I441" s="1"/>
  <c r="H432"/>
  <c r="H450" s="1"/>
  <c r="P425"/>
  <c r="P443" s="1"/>
  <c r="M426"/>
  <c r="M444" s="1"/>
  <c r="AG427"/>
  <c r="AG445" s="1"/>
  <c r="H428"/>
  <c r="H446" s="1"/>
  <c r="AG428"/>
  <c r="AG446" s="1"/>
  <c r="M428"/>
  <c r="M446" s="1"/>
  <c r="AI429"/>
  <c r="AI447" s="1"/>
  <c r="AK429"/>
  <c r="AK447" s="1"/>
  <c r="K430"/>
  <c r="K448" s="1"/>
  <c r="AG430"/>
  <c r="AG448" s="1"/>
  <c r="M431"/>
  <c r="M449" s="1"/>
  <c r="AB431"/>
  <c r="AB449" s="1"/>
  <c r="AA431"/>
  <c r="AA449" s="1"/>
  <c r="P427"/>
  <c r="P445" s="1"/>
  <c r="T425"/>
  <c r="T443" s="1"/>
  <c r="AG425"/>
  <c r="AG443" s="1"/>
  <c r="T426"/>
  <c r="T444" s="1"/>
  <c r="U427"/>
  <c r="U445" s="1"/>
  <c r="Q423"/>
  <c r="Q441" s="1"/>
  <c r="L430"/>
  <c r="L448" s="1"/>
  <c r="R424"/>
  <c r="R442" s="1"/>
  <c r="K426"/>
  <c r="K444" s="1"/>
  <c r="N424"/>
  <c r="N442" s="1"/>
  <c r="AD424"/>
  <c r="AD442" s="1"/>
  <c r="W426"/>
  <c r="W444" s="1"/>
  <c r="N426"/>
  <c r="N444" s="1"/>
  <c r="AD426"/>
  <c r="AD444" s="1"/>
  <c r="R428"/>
  <c r="R446" s="1"/>
  <c r="AH428"/>
  <c r="AH446" s="1"/>
  <c r="N425"/>
  <c r="N443" s="1"/>
  <c r="V425"/>
  <c r="V443" s="1"/>
  <c r="AD425"/>
  <c r="AD443" s="1"/>
  <c r="V430"/>
  <c r="V448" s="1"/>
  <c r="K424"/>
  <c r="K442" s="1"/>
  <c r="AA424"/>
  <c r="AA442" s="1"/>
  <c r="AC423"/>
  <c r="AC441" s="1"/>
  <c r="K423"/>
  <c r="K441" s="1"/>
  <c r="AA423"/>
  <c r="AA441" s="1"/>
  <c r="U424"/>
  <c r="U442" s="1"/>
  <c r="L423"/>
  <c r="L441" s="1"/>
  <c r="R427"/>
  <c r="R445" s="1"/>
  <c r="V429"/>
  <c r="V447" s="1"/>
  <c r="AD431"/>
  <c r="AD449" s="1"/>
  <c r="W61"/>
  <c r="W432"/>
  <c r="W450" s="1"/>
  <c r="R423"/>
  <c r="R441" s="1"/>
  <c r="J423"/>
  <c r="J441" s="1"/>
  <c r="Q432"/>
  <c r="Q450" s="1"/>
  <c r="AG423"/>
  <c r="AG441" s="1"/>
  <c r="X432"/>
  <c r="X450" s="1"/>
  <c r="AI61"/>
  <c r="AI432"/>
  <c r="AI450" s="1"/>
  <c r="I424"/>
  <c r="I442" s="1"/>
  <c r="AG424"/>
  <c r="AG442" s="1"/>
  <c r="G425"/>
  <c r="G443" s="1"/>
  <c r="AI425"/>
  <c r="AI443" s="1"/>
  <c r="U426"/>
  <c r="U444" s="1"/>
  <c r="AK426"/>
  <c r="AK444" s="1"/>
  <c r="AF427"/>
  <c r="AF445" s="1"/>
  <c r="Y427"/>
  <c r="Y445" s="1"/>
  <c r="T427"/>
  <c r="T445" s="1"/>
  <c r="W427"/>
  <c r="W445" s="1"/>
  <c r="I428"/>
  <c r="I446" s="1"/>
  <c r="AK428"/>
  <c r="AK446" s="1"/>
  <c r="H429"/>
  <c r="H447" s="1"/>
  <c r="AB429"/>
  <c r="AB447" s="1"/>
  <c r="O428"/>
  <c r="O446" s="1"/>
  <c r="AE428"/>
  <c r="AE446" s="1"/>
  <c r="G429"/>
  <c r="G447" s="1"/>
  <c r="W429"/>
  <c r="W447" s="1"/>
  <c r="M429"/>
  <c r="M447" s="1"/>
  <c r="AC429"/>
  <c r="AC447" s="1"/>
  <c r="P429"/>
  <c r="P447" s="1"/>
  <c r="T430"/>
  <c r="T448" s="1"/>
  <c r="S430"/>
  <c r="S448" s="1"/>
  <c r="Y430"/>
  <c r="Y448" s="1"/>
  <c r="Q430"/>
  <c r="Q448" s="1"/>
  <c r="AJ431"/>
  <c r="AJ449" s="1"/>
  <c r="U431"/>
  <c r="U449" s="1"/>
  <c r="T431"/>
  <c r="T449" s="1"/>
  <c r="O431"/>
  <c r="O449" s="1"/>
  <c r="G431"/>
  <c r="G449" s="1"/>
  <c r="Q424"/>
  <c r="Q442" s="1"/>
  <c r="AB428"/>
  <c r="AB446" s="1"/>
  <c r="P424"/>
  <c r="P442" s="1"/>
  <c r="AF424"/>
  <c r="AF442" s="1"/>
  <c r="Y425"/>
  <c r="Y443" s="1"/>
  <c r="AJ426"/>
  <c r="AJ444" s="1"/>
  <c r="AD427"/>
  <c r="AD445" s="1"/>
  <c r="I430"/>
  <c r="I448" s="1"/>
  <c r="H424"/>
  <c r="H442" s="1"/>
  <c r="AJ425"/>
  <c r="AJ443" s="1"/>
  <c r="O425"/>
  <c r="O443" s="1"/>
  <c r="AF426"/>
  <c r="AF444" s="1"/>
  <c r="X430"/>
  <c r="X448" s="1"/>
  <c r="J424"/>
  <c r="J442" s="1"/>
  <c r="Z424"/>
  <c r="Z442" s="1"/>
  <c r="J426"/>
  <c r="J444" s="1"/>
  <c r="N428"/>
  <c r="N446" s="1"/>
  <c r="AD428"/>
  <c r="AD446" s="1"/>
  <c r="AH430"/>
  <c r="AH448" s="1"/>
  <c r="H423"/>
  <c r="H441" s="1"/>
  <c r="AH431"/>
  <c r="AH449" s="1"/>
  <c r="N429"/>
  <c r="N447" s="1"/>
  <c r="V431"/>
  <c r="V449" s="1"/>
  <c r="N423"/>
  <c r="N441" s="1"/>
  <c r="M423"/>
  <c r="M441" s="1"/>
  <c r="T432"/>
  <c r="T450" s="1"/>
  <c r="Q425"/>
  <c r="Q443" s="1"/>
  <c r="AB425"/>
  <c r="AB443" s="1"/>
  <c r="Q426"/>
  <c r="Q444" s="1"/>
  <c r="H427"/>
  <c r="H445" s="1"/>
  <c r="AK427"/>
  <c r="AK445" s="1"/>
  <c r="AI427"/>
  <c r="AI445" s="1"/>
  <c r="AC428"/>
  <c r="AC446" s="1"/>
  <c r="K428"/>
  <c r="K446" s="1"/>
  <c r="U428"/>
  <c r="U446" s="1"/>
  <c r="I429"/>
  <c r="I447" s="1"/>
  <c r="O430"/>
  <c r="O448" s="1"/>
  <c r="AK430"/>
  <c r="AK448" s="1"/>
  <c r="P431"/>
  <c r="P449" s="1"/>
  <c r="H431"/>
  <c r="H449" s="1"/>
  <c r="K431"/>
  <c r="K449" s="1"/>
  <c r="AI431"/>
  <c r="AI449" s="1"/>
  <c r="L424"/>
  <c r="L442" s="1"/>
  <c r="K425"/>
  <c r="K443" s="1"/>
  <c r="AK425"/>
  <c r="AK443" s="1"/>
  <c r="AJ427"/>
  <c r="AJ445" s="1"/>
  <c r="AF425"/>
  <c r="AF443" s="1"/>
  <c r="X426"/>
  <c r="X444" s="1"/>
  <c r="V424"/>
  <c r="V442" s="1"/>
  <c r="AE426"/>
  <c r="AE444" s="1"/>
  <c r="V426"/>
  <c r="V444" s="1"/>
  <c r="R425"/>
  <c r="R443" s="1"/>
  <c r="AH425"/>
  <c r="AH443" s="1"/>
  <c r="AD430"/>
  <c r="AD448" s="1"/>
  <c r="AJ423"/>
  <c r="AJ441" s="1"/>
  <c r="S424"/>
  <c r="S442" s="1"/>
  <c r="N427"/>
  <c r="N445" s="1"/>
  <c r="Z431"/>
  <c r="Z449" s="1"/>
  <c r="M61"/>
  <c r="M432"/>
  <c r="M450" s="1"/>
  <c r="AH427"/>
  <c r="AH445" s="1"/>
  <c r="K432"/>
  <c r="K450" s="1"/>
  <c r="Z423"/>
  <c r="Z441" s="1"/>
  <c r="Y432"/>
  <c r="Y450" s="1"/>
  <c r="O432"/>
  <c r="O450" s="1"/>
  <c r="U61"/>
  <c r="U432"/>
  <c r="U450" s="1"/>
  <c r="AA425"/>
  <c r="AA443" s="1"/>
  <c r="AC426"/>
  <c r="AC444" s="1"/>
  <c r="M427"/>
  <c r="M445" s="1"/>
  <c r="K427"/>
  <c r="K445" s="1"/>
  <c r="AE427"/>
  <c r="AE445" s="1"/>
  <c r="Y428"/>
  <c r="Y446" s="1"/>
  <c r="AJ429"/>
  <c r="AJ447" s="1"/>
  <c r="W428"/>
  <c r="W446" s="1"/>
  <c r="O429"/>
  <c r="O447" s="1"/>
  <c r="U429"/>
  <c r="U447" s="1"/>
  <c r="AE430"/>
  <c r="AE448" s="1"/>
  <c r="AA430"/>
  <c r="AA448" s="1"/>
  <c r="X431"/>
  <c r="X449" s="1"/>
  <c r="L431"/>
  <c r="L449" s="1"/>
  <c r="AG431"/>
  <c r="AG449" s="1"/>
  <c r="AE431"/>
  <c r="AE449" s="1"/>
  <c r="T428"/>
  <c r="T446" s="1"/>
  <c r="X424"/>
  <c r="X442" s="1"/>
  <c r="M425"/>
  <c r="M443" s="1"/>
  <c r="L427"/>
  <c r="L445" s="1"/>
  <c r="X425"/>
  <c r="X443" s="1"/>
  <c r="P426"/>
  <c r="P444" s="1"/>
  <c r="AK431"/>
  <c r="AK449" s="1"/>
  <c r="AH424"/>
  <c r="AH442" s="1"/>
  <c r="AA426"/>
  <c r="AA444" s="1"/>
  <c r="R426"/>
  <c r="R444" s="1"/>
  <c r="AH426"/>
  <c r="AH444" s="1"/>
  <c r="V428"/>
  <c r="V446" s="1"/>
  <c r="Z430"/>
  <c r="Z448" s="1"/>
  <c r="AF423"/>
  <c r="AF441" s="1"/>
  <c r="O424"/>
  <c r="O442" s="1"/>
  <c r="AE424"/>
  <c r="AE442" s="1"/>
  <c r="I61"/>
  <c r="I432"/>
  <c r="I450" s="1"/>
  <c r="R429"/>
  <c r="R447" s="1"/>
  <c r="R431"/>
  <c r="R449" s="1"/>
  <c r="O423"/>
  <c r="O441" s="1"/>
  <c r="AE423"/>
  <c r="AE441" s="1"/>
  <c r="W425"/>
  <c r="W443" s="1"/>
  <c r="Y423"/>
  <c r="Y441" s="1"/>
  <c r="Z427"/>
  <c r="Z445" s="1"/>
  <c r="AD429"/>
  <c r="AD447" s="1"/>
  <c r="G432"/>
  <c r="G450" s="1"/>
  <c r="X423"/>
  <c r="X441" s="1"/>
  <c r="V423"/>
  <c r="V441" s="1"/>
  <c r="L432"/>
  <c r="L450" s="1"/>
  <c r="U423"/>
  <c r="U441" s="1"/>
  <c r="AK61"/>
  <c r="AK432"/>
  <c r="AK450" s="1"/>
  <c r="Y424"/>
  <c r="Y442" s="1"/>
  <c r="M424"/>
  <c r="M442" s="1"/>
  <c r="H425"/>
  <c r="H443" s="1"/>
  <c r="S425"/>
  <c r="S443" s="1"/>
  <c r="I426"/>
  <c r="I444" s="1"/>
  <c r="Y426"/>
  <c r="Y444" s="1"/>
  <c r="X427"/>
  <c r="X445" s="1"/>
  <c r="I427"/>
  <c r="I445" s="1"/>
  <c r="AC427"/>
  <c r="AC445" s="1"/>
  <c r="O427"/>
  <c r="O445" s="1"/>
  <c r="AA427"/>
  <c r="AA445" s="1"/>
  <c r="Q428"/>
  <c r="Q446" s="1"/>
  <c r="L429"/>
  <c r="L447" s="1"/>
  <c r="T429"/>
  <c r="T447" s="1"/>
  <c r="S428"/>
  <c r="S446" s="1"/>
  <c r="AI428"/>
  <c r="AI446" s="1"/>
  <c r="K429"/>
  <c r="K447" s="1"/>
  <c r="AA429"/>
  <c r="AA447" s="1"/>
  <c r="Q429"/>
  <c r="Q447" s="1"/>
  <c r="AG429"/>
  <c r="AG447" s="1"/>
  <c r="AF429"/>
  <c r="AF447" s="1"/>
  <c r="W430"/>
  <c r="W448" s="1"/>
  <c r="AC430"/>
  <c r="AC448" s="1"/>
  <c r="AB430"/>
  <c r="AB448" s="1"/>
  <c r="U430"/>
  <c r="U448" s="1"/>
  <c r="I431"/>
  <c r="I449" s="1"/>
  <c r="AC431"/>
  <c r="AC449" s="1"/>
  <c r="AF431"/>
  <c r="AF449" s="1"/>
  <c r="W431"/>
  <c r="W449" s="1"/>
  <c r="S431"/>
  <c r="S449" s="1"/>
  <c r="L428"/>
  <c r="L446" s="1"/>
  <c r="AJ428"/>
  <c r="AJ446" s="1"/>
  <c r="T424"/>
  <c r="T442" s="1"/>
  <c r="AJ424"/>
  <c r="AJ442" s="1"/>
  <c r="I425"/>
  <c r="I443" s="1"/>
  <c r="AC425"/>
  <c r="AC443" s="1"/>
  <c r="L426"/>
  <c r="L444" s="1"/>
  <c r="AB427"/>
  <c r="AB445" s="1"/>
  <c r="Y431"/>
  <c r="Y449" s="1"/>
  <c r="AH423"/>
  <c r="AH441" s="1"/>
  <c r="L425"/>
  <c r="L443" s="1"/>
  <c r="H426"/>
  <c r="H444" s="1"/>
  <c r="AE429"/>
  <c r="AE447" s="1"/>
  <c r="AJ430"/>
  <c r="AJ448" s="1"/>
  <c r="DH216"/>
  <c r="EU168"/>
  <c r="DK220"/>
  <c r="EY98"/>
  <c r="DO213"/>
  <c r="EV98"/>
  <c r="DL213"/>
  <c r="EY88"/>
  <c r="DO212"/>
  <c r="EX98"/>
  <c r="DN213"/>
  <c r="FA88"/>
  <c r="DQ212"/>
  <c r="EZ98"/>
  <c r="DP213"/>
  <c r="DQ213"/>
  <c r="DM213"/>
  <c r="DP212"/>
  <c r="DG218"/>
  <c r="DH217"/>
  <c r="DG215"/>
  <c r="EW88"/>
  <c r="DM212"/>
  <c r="EU98"/>
  <c r="DK213"/>
  <c r="ER118"/>
  <c r="DH215"/>
  <c r="ES168"/>
  <c r="DI220"/>
  <c r="EU88"/>
  <c r="DK212"/>
  <c r="DL212"/>
  <c r="DG216"/>
  <c r="DN212"/>
  <c r="DI219"/>
  <c r="DG217"/>
  <c r="DH218"/>
  <c r="N375"/>
  <c r="N378"/>
  <c r="X381"/>
  <c r="N374"/>
  <c r="N381"/>
  <c r="N373"/>
  <c r="AF374"/>
  <c r="AF377"/>
  <c r="S378"/>
  <c r="P381"/>
  <c r="P380"/>
  <c r="S379"/>
  <c r="S377"/>
  <c r="Y382"/>
  <c r="N379"/>
  <c r="AF376"/>
  <c r="N380"/>
  <c r="J378"/>
  <c r="J373"/>
  <c r="J374"/>
  <c r="J375"/>
  <c r="N376"/>
  <c r="P376"/>
  <c r="L381"/>
  <c r="J382"/>
  <c r="N377"/>
  <c r="J381"/>
  <c r="J379"/>
  <c r="M381"/>
  <c r="J380"/>
  <c r="J377"/>
  <c r="AE374"/>
  <c r="AD374"/>
  <c r="H476"/>
  <c r="AB373"/>
  <c r="U373"/>
  <c r="U382"/>
  <c r="AB378"/>
  <c r="AI373"/>
  <c r="M377"/>
  <c r="U374"/>
  <c r="AB379"/>
  <c r="U380"/>
  <c r="W378"/>
  <c r="AI382"/>
  <c r="L379"/>
  <c r="U377"/>
  <c r="U376"/>
  <c r="AJ379"/>
  <c r="Z380"/>
  <c r="U378"/>
  <c r="Z379"/>
  <c r="L373"/>
  <c r="U381"/>
  <c r="AB375"/>
  <c r="AB381"/>
  <c r="AI374"/>
  <c r="L374"/>
  <c r="U375"/>
  <c r="AG380"/>
  <c r="W376"/>
  <c r="Z382"/>
  <c r="AF373"/>
  <c r="P382"/>
  <c r="T378"/>
  <c r="AF381"/>
  <c r="S382"/>
  <c r="AD376"/>
  <c r="P378"/>
  <c r="P375"/>
  <c r="S380"/>
  <c r="Y374"/>
  <c r="AF380"/>
  <c r="AF378"/>
  <c r="P377"/>
  <c r="AF382"/>
  <c r="AH375"/>
  <c r="AF375"/>
  <c r="Q374"/>
  <c r="Y380"/>
  <c r="AD375"/>
  <c r="P379"/>
  <c r="P373"/>
  <c r="S381"/>
  <c r="Y373"/>
  <c r="AK379"/>
  <c r="W382"/>
  <c r="AB377"/>
  <c r="AD373"/>
  <c r="AD378"/>
  <c r="AI376"/>
  <c r="L380"/>
  <c r="L382"/>
  <c r="AA376"/>
  <c r="H482"/>
  <c r="AB374"/>
  <c r="W379"/>
  <c r="W380"/>
  <c r="W381"/>
  <c r="W374"/>
  <c r="H472"/>
  <c r="T380"/>
  <c r="AB382"/>
  <c r="AK376"/>
  <c r="AD377"/>
  <c r="L375"/>
  <c r="L377"/>
  <c r="W373"/>
  <c r="L378"/>
  <c r="AB376"/>
  <c r="W375"/>
  <c r="AE378"/>
  <c r="Q379"/>
  <c r="T377"/>
  <c r="S376"/>
  <c r="Y378"/>
  <c r="AK380"/>
  <c r="V374"/>
  <c r="AK378"/>
  <c r="Z374"/>
  <c r="Z381"/>
  <c r="S373"/>
  <c r="Y379"/>
  <c r="AK375"/>
  <c r="X374"/>
  <c r="AK377"/>
  <c r="Z375"/>
  <c r="Q376"/>
  <c r="S374"/>
  <c r="Y376"/>
  <c r="AK373"/>
  <c r="AK382"/>
  <c r="V381"/>
  <c r="H496"/>
  <c r="Z373"/>
  <c r="AK374"/>
  <c r="Y375"/>
  <c r="Y377"/>
  <c r="G459"/>
  <c r="AC380"/>
  <c r="M373"/>
  <c r="AG377"/>
  <c r="AJ373"/>
  <c r="M379"/>
  <c r="M375"/>
  <c r="AI381"/>
  <c r="AI380"/>
  <c r="AI377"/>
  <c r="AI379"/>
  <c r="AI375"/>
  <c r="M374"/>
  <c r="M382"/>
  <c r="M376"/>
  <c r="AA382"/>
  <c r="AJ378"/>
  <c r="M378"/>
  <c r="Z377"/>
  <c r="Z376"/>
  <c r="AC376"/>
  <c r="AA377"/>
  <c r="AC381"/>
  <c r="AC378"/>
  <c r="AA375"/>
  <c r="AG375"/>
  <c r="AJ374"/>
  <c r="AJ382"/>
  <c r="H490"/>
  <c r="AD382"/>
  <c r="AD380"/>
  <c r="AD381"/>
  <c r="H500"/>
  <c r="H460"/>
  <c r="AC374"/>
  <c r="AA379"/>
  <c r="AG373"/>
  <c r="AG382"/>
  <c r="AJ380"/>
  <c r="H510"/>
  <c r="FU92"/>
  <c r="DW217"/>
  <c r="DX212"/>
  <c r="DK219"/>
  <c r="DF216"/>
  <c r="EH221"/>
  <c r="DO217"/>
  <c r="EH214"/>
  <c r="DP219"/>
  <c r="DT217"/>
  <c r="DR212"/>
  <c r="DS221"/>
  <c r="DV217"/>
  <c r="FU131"/>
  <c r="EG213"/>
  <c r="EA221"/>
  <c r="EH212"/>
  <c r="EA215"/>
  <c r="EI219"/>
  <c r="DF214"/>
  <c r="DF212"/>
  <c r="DF218"/>
  <c r="FU137"/>
  <c r="DF219"/>
  <c r="DF217"/>
  <c r="DF221"/>
  <c r="FR168"/>
  <c r="EH220"/>
  <c r="FT168"/>
  <c r="EJ220"/>
  <c r="FS168"/>
  <c r="EI220"/>
  <c r="FC168"/>
  <c r="DS220"/>
  <c r="FH118"/>
  <c r="DX215"/>
  <c r="FO98"/>
  <c r="EE213"/>
  <c r="FG148"/>
  <c r="DW218"/>
  <c r="EY148"/>
  <c r="DO218"/>
  <c r="FM88"/>
  <c r="EC212"/>
  <c r="FE88"/>
  <c r="DU212"/>
  <c r="FQ128"/>
  <c r="EG216"/>
  <c r="ES128"/>
  <c r="DI216"/>
  <c r="FT98"/>
  <c r="EJ213"/>
  <c r="FD98"/>
  <c r="DT213"/>
  <c r="FK108"/>
  <c r="EA214"/>
  <c r="ER168"/>
  <c r="DH220"/>
  <c r="FR118"/>
  <c r="EH215"/>
  <c r="FB118"/>
  <c r="DR215"/>
  <c r="FB128"/>
  <c r="DR216"/>
  <c r="FK98"/>
  <c r="EA213"/>
  <c r="EZ148"/>
  <c r="DP218"/>
  <c r="FI148"/>
  <c r="DY218"/>
  <c r="FK128"/>
  <c r="EA216"/>
  <c r="EU128"/>
  <c r="DK216"/>
  <c r="FF98"/>
  <c r="DV213"/>
  <c r="FA108"/>
  <c r="DQ214"/>
  <c r="FI108"/>
  <c r="DY214"/>
  <c r="FQ108"/>
  <c r="EG214"/>
  <c r="FH168"/>
  <c r="DX220"/>
  <c r="FD168"/>
  <c r="DT220"/>
  <c r="FO168"/>
  <c r="EE220"/>
  <c r="FG168"/>
  <c r="DW220"/>
  <c r="EQ168"/>
  <c r="DG220"/>
  <c r="FT118"/>
  <c r="EJ215"/>
  <c r="FL118"/>
  <c r="EB215"/>
  <c r="FD118"/>
  <c r="DT215"/>
  <c r="EX128"/>
  <c r="DN216"/>
  <c r="FN128"/>
  <c r="ED216"/>
  <c r="FA118"/>
  <c r="DQ215"/>
  <c r="FQ118"/>
  <c r="EG215"/>
  <c r="EQ98"/>
  <c r="DG213"/>
  <c r="FG98"/>
  <c r="DW213"/>
  <c r="FT148"/>
  <c r="EJ218"/>
  <c r="FD148"/>
  <c r="DT218"/>
  <c r="FS148"/>
  <c r="EI218"/>
  <c r="FK148"/>
  <c r="EA218"/>
  <c r="FC148"/>
  <c r="DS218"/>
  <c r="FQ88"/>
  <c r="EG212"/>
  <c r="FI88"/>
  <c r="DY212"/>
  <c r="ES88"/>
  <c r="DI212"/>
  <c r="FM128"/>
  <c r="EC216"/>
  <c r="FE128"/>
  <c r="DU216"/>
  <c r="EW128"/>
  <c r="DM216"/>
  <c r="FP98"/>
  <c r="EF213"/>
  <c r="FH98"/>
  <c r="DX213"/>
  <c r="ER98"/>
  <c r="DH213"/>
  <c r="DF215"/>
  <c r="DU221"/>
  <c r="EF221"/>
  <c r="DU219"/>
  <c r="EE219"/>
  <c r="DY213"/>
  <c r="DU213"/>
  <c r="EJ221"/>
  <c r="DO215"/>
  <c r="DT212"/>
  <c r="DX214"/>
  <c r="FU102"/>
  <c r="DG214"/>
  <c r="DL217"/>
  <c r="DN219"/>
  <c r="DP214"/>
  <c r="DN218"/>
  <c r="DW219"/>
  <c r="DS215"/>
  <c r="DJ219"/>
  <c r="EB214"/>
  <c r="DS217"/>
  <c r="EA217"/>
  <c r="DI215"/>
  <c r="DY221"/>
  <c r="DR218"/>
  <c r="EE215"/>
  <c r="DO221"/>
  <c r="EI221"/>
  <c r="DO219"/>
  <c r="EC217"/>
  <c r="DZ214"/>
  <c r="FU162"/>
  <c r="DM219"/>
  <c r="DN221"/>
  <c r="EF220"/>
  <c r="EF217"/>
  <c r="EG219"/>
  <c r="EG217"/>
  <c r="DJ221"/>
  <c r="EF219"/>
  <c r="DI221"/>
  <c r="EE221"/>
  <c r="DR219"/>
  <c r="DX219"/>
  <c r="DZ218"/>
  <c r="DU217"/>
  <c r="DI213"/>
  <c r="DJ212"/>
  <c r="DZ212"/>
  <c r="ED214"/>
  <c r="EF212"/>
  <c r="EC221"/>
  <c r="EH218"/>
  <c r="EF216"/>
  <c r="DV214"/>
  <c r="DY219"/>
  <c r="DY217"/>
  <c r="EC213"/>
  <c r="EJ212"/>
  <c r="ED221"/>
  <c r="DP221"/>
  <c r="ED219"/>
  <c r="EJ217"/>
  <c r="DL220"/>
  <c r="FE108"/>
  <c r="DU214"/>
  <c r="FM108"/>
  <c r="EC214"/>
  <c r="FN168"/>
  <c r="ED220"/>
  <c r="FK168"/>
  <c r="EA220"/>
  <c r="FP118"/>
  <c r="EF215"/>
  <c r="EZ118"/>
  <c r="DP215"/>
  <c r="FF128"/>
  <c r="DV216"/>
  <c r="FI118"/>
  <c r="DY215"/>
  <c r="FL148"/>
  <c r="EB218"/>
  <c r="FO148"/>
  <c r="EE218"/>
  <c r="FI128"/>
  <c r="DY216"/>
  <c r="FA128"/>
  <c r="DQ216"/>
  <c r="FL98"/>
  <c r="EB213"/>
  <c r="EW178"/>
  <c r="FU178" s="1"/>
  <c r="DM221"/>
  <c r="FC108"/>
  <c r="DS214"/>
  <c r="FS108"/>
  <c r="EI214"/>
  <c r="FM168"/>
  <c r="EC220"/>
  <c r="FE168"/>
  <c r="DU220"/>
  <c r="FJ118"/>
  <c r="DZ215"/>
  <c r="FR128"/>
  <c r="EH216"/>
  <c r="FE118"/>
  <c r="DU215"/>
  <c r="FP148"/>
  <c r="EF218"/>
  <c r="FQ148"/>
  <c r="EG218"/>
  <c r="FA148"/>
  <c r="DQ218"/>
  <c r="FO88"/>
  <c r="EE212"/>
  <c r="FG88"/>
  <c r="DW212"/>
  <c r="EQ88"/>
  <c r="DG212"/>
  <c r="FS128"/>
  <c r="EI216"/>
  <c r="FC128"/>
  <c r="DS216"/>
  <c r="FN98"/>
  <c r="ED213"/>
  <c r="EY108"/>
  <c r="DO214"/>
  <c r="FG108"/>
  <c r="DW214"/>
  <c r="FO108"/>
  <c r="EE214"/>
  <c r="FB168"/>
  <c r="DR220"/>
  <c r="FF168"/>
  <c r="DV220"/>
  <c r="FL168"/>
  <c r="EB220"/>
  <c r="FQ168"/>
  <c r="EG220"/>
  <c r="FI168"/>
  <c r="DY220"/>
  <c r="FA168"/>
  <c r="DQ220"/>
  <c r="FN118"/>
  <c r="ED215"/>
  <c r="FF118"/>
  <c r="DV215"/>
  <c r="EX118"/>
  <c r="DN215"/>
  <c r="ET128"/>
  <c r="DJ216"/>
  <c r="FJ128"/>
  <c r="DZ216"/>
  <c r="FM118"/>
  <c r="EC215"/>
  <c r="FC98"/>
  <c r="DS213"/>
  <c r="FS98"/>
  <c r="EI213"/>
  <c r="FH148"/>
  <c r="DX218"/>
  <c r="FM148"/>
  <c r="EC218"/>
  <c r="FE148"/>
  <c r="DU218"/>
  <c r="FS88"/>
  <c r="EI212"/>
  <c r="FK88"/>
  <c r="EA212"/>
  <c r="FC88"/>
  <c r="DS212"/>
  <c r="FO128"/>
  <c r="EE216"/>
  <c r="FG128"/>
  <c r="DW216"/>
  <c r="EY128"/>
  <c r="DO216"/>
  <c r="FR98"/>
  <c r="EH213"/>
  <c r="FJ98"/>
  <c r="DZ213"/>
  <c r="FB98"/>
  <c r="DR213"/>
  <c r="ET98"/>
  <c r="DJ213"/>
  <c r="FU170"/>
  <c r="FU173"/>
  <c r="DH219"/>
  <c r="DW215"/>
  <c r="DP217"/>
  <c r="DX216"/>
  <c r="DI217"/>
  <c r="DP220"/>
  <c r="DX217"/>
  <c r="EB212"/>
  <c r="FU125"/>
  <c r="FU106"/>
  <c r="DF220"/>
  <c r="DF213"/>
  <c r="FU129"/>
  <c r="FU158"/>
  <c r="DL219"/>
  <c r="DQ221"/>
  <c r="EF214"/>
  <c r="DQ217"/>
  <c r="DV221"/>
  <c r="EG221"/>
  <c r="DR217"/>
  <c r="EJ219"/>
  <c r="DV219"/>
  <c r="DL221"/>
  <c r="DZ221"/>
  <c r="DV218"/>
  <c r="DT216"/>
  <c r="DR214"/>
  <c r="DL216"/>
  <c r="EK171"/>
  <c r="EK156"/>
  <c r="DJ217"/>
  <c r="DH221"/>
  <c r="DX221"/>
  <c r="EB219"/>
  <c r="EB217"/>
  <c r="DT214"/>
  <c r="DZ219"/>
  <c r="DZ217"/>
  <c r="ED212"/>
  <c r="DS219"/>
  <c r="EB216"/>
  <c r="DW221"/>
  <c r="DQ219"/>
  <c r="EH219"/>
  <c r="EH217"/>
  <c r="EJ214"/>
  <c r="DT219"/>
  <c r="ED217"/>
  <c r="EB221"/>
  <c r="ED218"/>
  <c r="DG221"/>
  <c r="DT221"/>
  <c r="DG219"/>
  <c r="EA219"/>
  <c r="DN217"/>
  <c r="EE217"/>
  <c r="EJ216"/>
  <c r="EI215"/>
  <c r="DH212"/>
  <c r="DK221"/>
  <c r="DJ220"/>
  <c r="DP216"/>
  <c r="DV212"/>
  <c r="DR221"/>
  <c r="DZ220"/>
  <c r="EC219"/>
  <c r="EI217"/>
  <c r="DN214"/>
  <c r="EW147"/>
  <c r="DM217"/>
  <c r="EU147"/>
  <c r="DK217"/>
  <c r="DH214"/>
  <c r="DL214"/>
  <c r="DJ214"/>
  <c r="EW118"/>
  <c r="DM215"/>
  <c r="ET118"/>
  <c r="DJ215"/>
  <c r="FA91"/>
  <c r="EU91"/>
  <c r="EV123"/>
  <c r="DL215"/>
  <c r="EU123"/>
  <c r="DK215"/>
  <c r="ET155"/>
  <c r="DJ218"/>
  <c r="ES155"/>
  <c r="DI218"/>
  <c r="ER148"/>
  <c r="EW116"/>
  <c r="DM214"/>
  <c r="EU116"/>
  <c r="DK214"/>
  <c r="ES116"/>
  <c r="DI214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DN220"/>
  <c r="EW175"/>
  <c r="DM220"/>
  <c r="EU175"/>
  <c r="FU165"/>
  <c r="EV153"/>
  <c r="DL218"/>
  <c r="EW154"/>
  <c r="DM218"/>
  <c r="EU154"/>
  <c r="DK218"/>
  <c r="K381"/>
  <c r="K379"/>
  <c r="K373"/>
  <c r="K380"/>
  <c r="K376"/>
  <c r="AE450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J428" s="1"/>
  <c r="D26"/>
  <c r="C374"/>
  <c r="D533"/>
  <c r="G446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450"/>
  <c r="Z61"/>
  <c r="AB450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I472" s="1"/>
  <c r="J472" s="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G475"/>
  <c r="F459"/>
  <c r="I542"/>
  <c r="I550"/>
  <c r="J39"/>
  <c r="J425" s="1"/>
  <c r="D23"/>
  <c r="G448"/>
  <c r="AF450"/>
  <c r="AF61"/>
  <c r="EP107"/>
  <c r="FU107" s="1"/>
  <c r="EK107"/>
  <c r="EP155"/>
  <c r="EK155"/>
  <c r="EP123"/>
  <c r="EK123"/>
  <c r="EP130"/>
  <c r="FU130" s="1"/>
  <c r="EK130"/>
  <c r="G441"/>
  <c r="F517"/>
  <c r="I518" s="1"/>
  <c r="J518" s="1"/>
  <c r="G517"/>
  <c r="F501"/>
  <c r="I502" s="1"/>
  <c r="J502" s="1"/>
  <c r="G501"/>
  <c r="F485"/>
  <c r="G485"/>
  <c r="F469"/>
  <c r="I470" s="1"/>
  <c r="J470" s="1"/>
  <c r="G469"/>
  <c r="R450"/>
  <c r="R61"/>
  <c r="AH450"/>
  <c r="AH61"/>
  <c r="AJ450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I474" s="1"/>
  <c r="J474" s="1"/>
  <c r="G465"/>
  <c r="F465"/>
  <c r="I466" s="1"/>
  <c r="J466" s="1"/>
  <c r="G38"/>
  <c r="G424" s="1"/>
  <c r="D22"/>
  <c r="C373"/>
  <c r="D531"/>
  <c r="N450"/>
  <c r="N61"/>
  <c r="V450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J431" l="1"/>
  <c r="C431" s="1"/>
  <c r="J429"/>
  <c r="J447" s="1"/>
  <c r="C447" s="1"/>
  <c r="I476"/>
  <c r="J476" s="1"/>
  <c r="K478" s="1"/>
  <c r="I504"/>
  <c r="J504" s="1"/>
  <c r="K504" s="1"/>
  <c r="I482"/>
  <c r="J482" s="1"/>
  <c r="K484" s="1"/>
  <c r="I500"/>
  <c r="J500" s="1"/>
  <c r="K502" s="1"/>
  <c r="I490"/>
  <c r="J490" s="1"/>
  <c r="K492" s="1"/>
  <c r="I496"/>
  <c r="J496" s="1"/>
  <c r="K496" s="1"/>
  <c r="I460"/>
  <c r="J460" s="1"/>
  <c r="K462" s="1"/>
  <c r="FU108"/>
  <c r="FU168"/>
  <c r="FU153"/>
  <c r="FU154"/>
  <c r="FU88"/>
  <c r="Y11"/>
  <c r="DG233"/>
  <c r="FU116"/>
  <c r="DG234"/>
  <c r="FU128"/>
  <c r="AC8" s="1"/>
  <c r="FU148"/>
  <c r="DG232"/>
  <c r="DG226"/>
  <c r="FU98"/>
  <c r="AE5" s="1"/>
  <c r="AD13"/>
  <c r="X11"/>
  <c r="DG229"/>
  <c r="FU147"/>
  <c r="AD9" s="1"/>
  <c r="DG230"/>
  <c r="Z9"/>
  <c r="FU118"/>
  <c r="DG228"/>
  <c r="FU91"/>
  <c r="DG225"/>
  <c r="FU123"/>
  <c r="AE7" s="1"/>
  <c r="FU155"/>
  <c r="DG231"/>
  <c r="DG227"/>
  <c r="I546"/>
  <c r="D43"/>
  <c r="E43" s="1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K514"/>
  <c r="D375"/>
  <c r="E375" s="1"/>
  <c r="D32"/>
  <c r="AN15" s="1"/>
  <c r="K510"/>
  <c r="D45"/>
  <c r="E45" s="1"/>
  <c r="FU175"/>
  <c r="AD11"/>
  <c r="AC11"/>
  <c r="K472"/>
  <c r="C427"/>
  <c r="G445"/>
  <c r="C445" s="1"/>
  <c r="K494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11"/>
  <c r="K516"/>
  <c r="K512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74"/>
  <c r="K480"/>
  <c r="K468"/>
  <c r="J449" l="1"/>
  <c r="C449" s="1"/>
  <c r="C429"/>
  <c r="K482"/>
  <c r="DH231"/>
  <c r="K476"/>
  <c r="DH227"/>
  <c r="DH232"/>
  <c r="K490"/>
  <c r="DH234"/>
  <c r="DH228"/>
  <c r="DH230"/>
  <c r="DH233"/>
  <c r="DH229"/>
  <c r="K506"/>
  <c r="K498"/>
  <c r="K500"/>
  <c r="AC6"/>
  <c r="AE6"/>
  <c r="AC4"/>
  <c r="AD5"/>
  <c r="AF5" s="1"/>
  <c r="AD6"/>
  <c r="DH226"/>
  <c r="AC12"/>
  <c r="AC5"/>
  <c r="AA11"/>
  <c r="AD8"/>
  <c r="AE8"/>
  <c r="AA13"/>
  <c r="AF13"/>
  <c r="AE10"/>
  <c r="AE9"/>
  <c r="AF9" s="1"/>
  <c r="AC9"/>
  <c r="AA9"/>
  <c r="F395"/>
  <c r="F381" s="1"/>
  <c r="F390"/>
  <c r="F376" s="1"/>
  <c r="F394"/>
  <c r="F380" s="1"/>
  <c r="U58" s="1"/>
  <c r="AC7"/>
  <c r="AD4"/>
  <c r="AE4"/>
  <c r="AD7"/>
  <c r="AF7" s="1"/>
  <c r="AD10"/>
  <c r="AC10"/>
  <c r="AA6"/>
  <c r="F396"/>
  <c r="F382" s="1"/>
  <c r="K60" s="1"/>
  <c r="F392"/>
  <c r="F378" s="1"/>
  <c r="K56" s="1"/>
  <c r="F389"/>
  <c r="F375" s="1"/>
  <c r="J53" s="1"/>
  <c r="K58"/>
  <c r="Z58"/>
  <c r="H58"/>
  <c r="I58"/>
  <c r="S58"/>
  <c r="M58"/>
  <c r="W58"/>
  <c r="N58"/>
  <c r="X58"/>
  <c r="Y58"/>
  <c r="K460"/>
  <c r="AH58"/>
  <c r="L58"/>
  <c r="AE58"/>
  <c r="V58"/>
  <c r="AB58"/>
  <c r="AC58"/>
  <c r="M54"/>
  <c r="AG54"/>
  <c r="AF54"/>
  <c r="N54"/>
  <c r="Z54"/>
  <c r="Q54"/>
  <c r="W54"/>
  <c r="U54"/>
  <c r="T54"/>
  <c r="AE54"/>
  <c r="AA54"/>
  <c r="P54"/>
  <c r="S54"/>
  <c r="AK54"/>
  <c r="AJ54"/>
  <c r="V54"/>
  <c r="AD58"/>
  <c r="G58"/>
  <c r="J58"/>
  <c r="AA58"/>
  <c r="AF58"/>
  <c r="P58"/>
  <c r="AG58"/>
  <c r="Q58"/>
  <c r="F391"/>
  <c r="F377" s="1"/>
  <c r="O58"/>
  <c r="R58"/>
  <c r="AI58"/>
  <c r="AJ58"/>
  <c r="T58"/>
  <c r="AK58"/>
  <c r="K488"/>
  <c r="AD12"/>
  <c r="AA12"/>
  <c r="AE12"/>
  <c r="AF11"/>
  <c r="AI54"/>
  <c r="AD54"/>
  <c r="R54"/>
  <c r="G54"/>
  <c r="X54"/>
  <c r="H54"/>
  <c r="Y54"/>
  <c r="I54"/>
  <c r="J54"/>
  <c r="K54"/>
  <c r="AH54"/>
  <c r="O54"/>
  <c r="AB54"/>
  <c r="L54"/>
  <c r="AC54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H59"/>
  <c r="L59"/>
  <c r="P59"/>
  <c r="T59"/>
  <c r="X59"/>
  <c r="AB59"/>
  <c r="AF59"/>
  <c r="AJ59"/>
  <c r="G59"/>
  <c r="K59"/>
  <c r="O59"/>
  <c r="S59"/>
  <c r="W59"/>
  <c r="AA59"/>
  <c r="AE59"/>
  <c r="AI59"/>
  <c r="J59"/>
  <c r="R59"/>
  <c r="Z59"/>
  <c r="AH59"/>
  <c r="AC59"/>
  <c r="I59"/>
  <c r="Q59"/>
  <c r="Y59"/>
  <c r="AG59"/>
  <c r="N59"/>
  <c r="V59"/>
  <c r="AD59"/>
  <c r="M59"/>
  <c r="U59"/>
  <c r="AK59"/>
  <c r="F388"/>
  <c r="F374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F6" l="1"/>
  <c r="AF10"/>
  <c r="AF8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D58"/>
  <c r="I520"/>
  <c r="F522" s="1"/>
  <c r="D54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/>
  <c r="D56" l="1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<sst xmlns="http://schemas.openxmlformats.org/spreadsheetml/2006/main" count="1092" uniqueCount="150">
  <si>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</si>
  <si>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</si>
  <si>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</si>
  <si>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</si>
  <si>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</si>
  <si>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</si>
  <si>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</si>
  <si>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</si>
  <si>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</si>
  <si>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</si>
  <si>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</si>
  <si>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</si>
  <si>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</si>
  <si>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</si>
  <si>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</si>
  <si>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</si>
  <si>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</si>
  <si>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</si>
  <si>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</si>
  <si>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</si>
  <si>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</si>
  <si>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</si>
  <si>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</si>
  <si>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</si>
  <si>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</si>
  <si>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</si>
  <si>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</si>
  <si>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</si>
  <si>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</si>
  <si>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</si>
  <si>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</si>
  <si>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</si>
  <si>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</si>
  <si>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</si>
  <si>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</si>
  <si>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</si>
  <si>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</si>
  <si>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</si>
  <si>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</si>
  <si>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</si>
  <si>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</si>
  <si>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</si>
  <si>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</si>
  <si>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</si>
  <si>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</si>
  <si>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</si>
  <si>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</si>
  <si>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</si>
  <si>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</si>
  <si>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</si>
  <si>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</si>
  <si>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</si>
  <si>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</si>
  <si>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</si>
  <si>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</si>
  <si>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</si>
  <si>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</si>
  <si>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</si>
  <si>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</si>
  <si>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</si>
  <si>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</si>
  <si>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</si>
  <si>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</si>
  <si>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</si>
  <si>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</si>
  <si>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</si>
  <si>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</si>
  <si>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</si>
  <si>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</si>
  <si>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</si>
  <si>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</si>
  <si>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</si>
  <si>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</si>
  <si>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</si>
  <si>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</si>
  <si>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</si>
  <si>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</si>
  <si>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</si>
  <si>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</si>
  <si>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</si>
  <si>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</si>
  <si>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</si>
  <si>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</si>
  <si>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</si>
  <si>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</si>
  <si>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</si>
  <si>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</si>
  <si>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</si>
  <si>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</si>
  <si>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</si>
  <si>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</si>
  <si>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</si>
  <si>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</si>
  <si>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</si>
  <si>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</si>
  <si>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</si>
  <si>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</si>
  <si>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</si>
  <si>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</si>
  <si>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</si>
  <si>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</si>
  <si>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</si>
  <si>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</si>
  <si>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</si>
  <si>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</si>
  <si>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</si>
  <si>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</si>
  <si>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</si>
  <si>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</si>
  <si>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</si>
  <si>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</si>
  <si>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</si>
  <si>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</si>
  <si>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</si>
  <si>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</si>
  <si>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</si>
  <si>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</si>
  <si>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</si>
  <si>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</si>
  <si>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</si>
  <si>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</si>
  <si>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</si>
  <si>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</si>
  <si>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</si>
  <si>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</si>
  <si>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</si>
  <si>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</si>
  <si>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</si>
  <si>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</si>
  <si>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</si>
  <si>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</si>
  <si>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</si>
  <si>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</si>
  <si>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</si>
  <si>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</si>
  <si>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</si>
  <si>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</si>
  <si>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</si>
  <si>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</si>
  <si>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</si>
  <si>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</si>
  <si>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</si>
  <si>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</si>
  <si>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Boot</t>
  </si>
  <si>
    <t>Upper 95% CI</t>
  </si>
  <si>
    <t>Lower 95% CI</t>
  </si>
  <si>
    <t>Interval Growth Variation</t>
  </si>
  <si>
    <t>Glossisoma</t>
  </si>
  <si>
    <t>Avg. Boot Prod</t>
  </si>
  <si>
    <t>Inerval Growth Prod - Boot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</si>
</sst>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33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1" borderId="0" xfId="0" applyFill="1"/>
    <xf numFmtId="0" fontId="1" fillId="31" borderId="10" xfId="0" applyFont="1" applyFill="1" applyBorder="1"/>
    <xf numFmtId="2" fontId="3" fillId="29" borderId="0" xfId="0" applyNumberFormat="1" applyFont="1" applyFill="1" applyBorder="1"/>
    <xf numFmtId="0" fontId="1" fillId="30" borderId="13" xfId="0" applyFont="1" applyFill="1" applyBorder="1" applyAlignment="1"/>
    <xf numFmtId="0" fontId="1" fillId="30" borderId="14" xfId="0" applyFont="1" applyFill="1" applyBorder="1" applyAlignment="1"/>
    <xf numFmtId="0" fontId="1" fillId="32" borderId="0" xfId="0" applyFont="1" applyFill="1"/>
    <xf numFmtId="0" fontId="1" fillId="33" borderId="10" xfId="0" applyFont="1" applyFill="1" applyBorder="1"/>
    <xf numFmtId="0" fontId="1" fillId="30" borderId="14" xfId="0" applyFont="1" applyFill="1" applyBorder="1" applyAlignment="1">
      <alignment horizontal="center"/>
    </xf>
    <xf numFmtId="164" fontId="1" fillId="30" borderId="14" xfId="0" applyNumberFormat="1" applyFont="1" applyFill="1" applyBorder="1" applyAlignment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20" borderId="0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2" borderId="12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FC5" zoomScale="85" zoomScaleNormal="85" workbookViewId="0">
      <selection activeCell="FH6" sqref="FH6:FN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65" width="9.7109375" style="8" customWidth="1"/>
    <col min="166" max="176" width="8.85546875" style="8"/>
    <col min="177" max="177" width="15.140625" style="8" customWidth="1"/>
    <col min="178" max="182" width="8.85546875" style="8"/>
    <col min="183" max="183" width="9.85546875" style="8" bestFit="1" customWidth="1"/>
    <col min="184" max="184" width="9.7109375" style="8" bestFit="1" customWidth="1"/>
    <col min="185" max="185" width="9.42578125" style="8" bestFit="1" customWidth="1"/>
    <col min="186" max="187" width="9.7109375" style="8" bestFit="1" customWidth="1"/>
    <col min="188" max="189" width="8.85546875" style="8"/>
    <col min="190" max="190" width="9.85546875" style="8" bestFit="1" customWidth="1"/>
    <col min="191" max="191" width="9.42578125" style="8" bestFit="1" customWidth="1"/>
    <col min="192" max="16384" width="8.85546875" style="8"/>
  </cols>
  <sheetData>
    <row r="1" spans="1:196" s="7" customFormat="1">
      <c r="A1" s="181" t="s">
        <v>147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9"/>
      <c r="FY2" s="209"/>
      <c r="FZ2" s="209"/>
      <c r="GA2" s="209"/>
      <c r="GB2" s="209"/>
      <c r="GC2" s="229" t="s">
        <v>149</v>
      </c>
      <c r="GD2" s="229"/>
      <c r="GE2" s="229"/>
      <c r="GF2" s="229"/>
      <c r="GG2" s="229"/>
      <c r="GH2" s="229"/>
      <c r="GI2" s="229"/>
      <c r="GJ2" s="209"/>
      <c r="GK2" s="209"/>
      <c r="GL2" s="209"/>
      <c r="GM2" s="209"/>
      <c r="GN2" s="209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9"/>
      <c r="FY3" s="207"/>
      <c r="FZ3" s="207"/>
      <c r="GA3" s="207"/>
      <c r="GB3" s="207"/>
      <c r="GC3" s="207"/>
      <c r="GD3" s="207"/>
      <c r="GE3" s="207"/>
      <c r="GF3" s="207"/>
      <c r="GG3" s="207"/>
      <c r="GH3" s="207"/>
      <c r="GI3" s="207"/>
      <c r="GJ3" s="207"/>
      <c r="GK3" s="207"/>
      <c r="GL3" s="207"/>
      <c r="GM3" s="207"/>
      <c r="GN3" s="209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7.421913156288154</v>
      </c>
      <c r="N4" s="130">
        <v>7.8694604205854777</v>
      </c>
      <c r="O4" s="130">
        <v>29.109814748020312</v>
      </c>
      <c r="P4" s="130">
        <v>27.65866076060879</v>
      </c>
      <c r="Q4" s="130">
        <v>7.247190829194583</v>
      </c>
      <c r="R4" s="130">
        <v>37.149043603578704</v>
      </c>
      <c r="S4" s="131" t="e">
        <v>#DIV/0!</v>
      </c>
      <c r="T4" s="131" t="e">
        <v>#DIV/0!</v>
      </c>
      <c r="U4" s="5"/>
      <c r="V4" s="4"/>
      <c r="W4" s="127">
        <f t="shared" ref="W4:W13" si="0">C4</f>
        <v>39646</v>
      </c>
      <c r="X4" s="132">
        <f>AVERAGE(EK88:EK97)</f>
        <v>0</v>
      </c>
      <c r="Y4" s="131">
        <f>COUNT(EK88:EK97)</f>
        <v>10</v>
      </c>
      <c r="Z4" s="130">
        <f>STDEV(EK88:EK97)</f>
        <v>0</v>
      </c>
      <c r="AA4" s="130">
        <f>Z4/SQRT(Y4)</f>
        <v>0</v>
      </c>
      <c r="AB4" s="131"/>
      <c r="AC4" s="130">
        <f>AVERAGE($FU88:$FU97)</f>
        <v>0</v>
      </c>
      <c r="AD4" s="132">
        <f>COUNT($FU88:$FU97)</f>
        <v>10</v>
      </c>
      <c r="AE4" s="130">
        <f>STDEV($FU88:$FU97)</f>
        <v>0</v>
      </c>
      <c r="AF4" s="130">
        <f>AE4/SQRT(AD4)</f>
        <v>0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32" t="s">
        <v>146</v>
      </c>
      <c r="FK4" s="232"/>
      <c r="FL4" s="232"/>
      <c r="FM4" s="232"/>
      <c r="FN4" s="5"/>
      <c r="FO4" s="5"/>
      <c r="FX4" s="209"/>
      <c r="FY4" s="211" t="s">
        <v>143</v>
      </c>
      <c r="FZ4" s="212">
        <f>C4</f>
        <v>39646</v>
      </c>
      <c r="GA4" s="212">
        <f>C5</f>
        <v>39673</v>
      </c>
      <c r="GB4" s="212">
        <f>C6</f>
        <v>39714</v>
      </c>
      <c r="GC4" s="212">
        <f>C7</f>
        <v>39747</v>
      </c>
      <c r="GD4" s="212">
        <f>C8</f>
        <v>39775</v>
      </c>
      <c r="GE4" s="212">
        <f>C9</f>
        <v>39799</v>
      </c>
      <c r="GF4" s="212">
        <f>C10</f>
        <v>39847</v>
      </c>
      <c r="GG4" s="212">
        <f>C11</f>
        <v>39910</v>
      </c>
      <c r="GH4" s="212">
        <f>C12</f>
        <v>39949</v>
      </c>
      <c r="GI4" s="212">
        <f>C13</f>
        <v>39987</v>
      </c>
      <c r="GJ4" s="208"/>
      <c r="GK4" s="208"/>
      <c r="GL4" s="208"/>
      <c r="GM4" s="208"/>
      <c r="GN4" s="209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7.4809710775335736</v>
      </c>
      <c r="N5" s="130">
        <f t="shared" si="1"/>
        <v>7.9487700579763434</v>
      </c>
      <c r="O5" s="130">
        <f t="shared" si="1"/>
        <v>29.191158403905639</v>
      </c>
      <c r="P5" s="130">
        <f t="shared" si="1"/>
        <v>27.830149099953214</v>
      </c>
      <c r="Q5" s="130">
        <f t="shared" si="1"/>
        <v>7.3209733822722507</v>
      </c>
      <c r="R5" s="130">
        <f t="shared" si="1"/>
        <v>36.744888720344775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4.1666666666666661</v>
      </c>
      <c r="Y5" s="131">
        <f>COUNT(EK98:EK107)</f>
        <v>10</v>
      </c>
      <c r="Z5" s="130">
        <f>STDEV(EK98:EK107)</f>
        <v>10.063456073742666</v>
      </c>
      <c r="AA5" s="130">
        <f t="shared" ref="AA5:AA13" si="2">Z5/SQRT(Y5)</f>
        <v>3.1823442326082221</v>
      </c>
      <c r="AB5" s="131"/>
      <c r="AC5" s="130">
        <f>AVERAGE($FU98:$FU107)</f>
        <v>0.55990129977166225</v>
      </c>
      <c r="AD5" s="132">
        <f>COUNT($FU98:$FU107)</f>
        <v>10</v>
      </c>
      <c r="AE5" s="130">
        <f>STDEV($FU98:$FU107)</f>
        <v>1.5517907673471187</v>
      </c>
      <c r="AF5" s="130">
        <f t="shared" ref="AF5:AF13" si="3">AE5/SQRT(AD5)</f>
        <v>0.49071932768373405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9"/>
      <c r="FY5" s="209"/>
      <c r="FZ5" s="209"/>
      <c r="GA5" s="209"/>
      <c r="GB5" s="209"/>
      <c r="GC5" s="209"/>
      <c r="GD5" s="209"/>
      <c r="GE5" s="209"/>
      <c r="GF5" s="209"/>
      <c r="GG5" s="209"/>
      <c r="GH5" s="209"/>
      <c r="GI5" s="209"/>
      <c r="GJ5" s="209"/>
      <c r="GK5" s="209"/>
      <c r="GL5" s="209"/>
      <c r="GM5" s="209"/>
      <c r="GN5" s="209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12.4065671741453</v>
      </c>
      <c r="N6" s="130">
        <f t="shared" si="4"/>
        <v>14.697368205320807</v>
      </c>
      <c r="O6" s="130">
        <f t="shared" si="4"/>
        <v>48.254626723749361</v>
      </c>
      <c r="P6" s="130">
        <f t="shared" si="4"/>
        <v>46.862031555886517</v>
      </c>
      <c r="Q6" s="130">
        <f t="shared" si="4"/>
        <v>13.580561697388355</v>
      </c>
      <c r="R6" s="130">
        <f t="shared" si="4"/>
        <v>78.893256494808298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14.136904761904763</v>
      </c>
      <c r="Y6" s="131">
        <f>COUNT(EK108:EK117)</f>
        <v>10</v>
      </c>
      <c r="Z6" s="130">
        <f>STDEV(EK108:EK117)</f>
        <v>37.634723246822922</v>
      </c>
      <c r="AA6" s="130">
        <f t="shared" si="2"/>
        <v>11.90114445700477</v>
      </c>
      <c r="AB6" s="131"/>
      <c r="AC6" s="130">
        <f>AVERAGE($FU108:$FU117)</f>
        <v>5.4891761400042807</v>
      </c>
      <c r="AD6" s="132">
        <f>COUNT($FU108:$FU117)</f>
        <v>10</v>
      </c>
      <c r="AE6" s="130">
        <f>STDEV($FU108:$FU117)</f>
        <v>12.100391302547706</v>
      </c>
      <c r="AF6" s="130">
        <f t="shared" si="3"/>
        <v>3.8264797095342367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30" t="s">
        <v>148</v>
      </c>
      <c r="FJ6" s="230"/>
      <c r="FK6" s="231" t="s">
        <v>144</v>
      </c>
      <c r="FL6" s="231"/>
      <c r="FM6" s="231" t="s">
        <v>145</v>
      </c>
      <c r="FN6" s="231"/>
      <c r="FO6" s="5"/>
      <c r="FY6" s="210">
        <v>1</v>
      </c>
      <c r="FZ6">
        <v>6.6366169570396066E-2</v>
      </c>
      <c r="GA6">
        <v>4.0756600055982943</v>
      </c>
      <c r="GB6">
        <v>1.9015739323906893</v>
      </c>
      <c r="GC6">
        <v>0.42476052694407895</v>
      </c>
      <c r="GD6">
        <v>0.60459375785658298</v>
      </c>
      <c r="GE6">
        <v>1.1695562879175558</v>
      </c>
      <c r="GF6">
        <v>0.88105632613632445</v>
      </c>
      <c r="GG6">
        <v>0.96200422538339236</v>
      </c>
      <c r="GH6">
        <v>1.3247603501682221</v>
      </c>
      <c r="GI6">
        <v>1.400707151925993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3.5863848824786326</v>
      </c>
      <c r="N7" s="130">
        <f t="shared" si="5"/>
        <v>3.1866637556368205</v>
      </c>
      <c r="O7" s="130">
        <f t="shared" si="5"/>
        <v>14.018443358423223</v>
      </c>
      <c r="P7" s="130">
        <f t="shared" si="5"/>
        <v>13.193746854042654</v>
      </c>
      <c r="Q7" s="130">
        <f t="shared" si="5"/>
        <v>2.9453838288521554</v>
      </c>
      <c r="R7" s="130">
        <f t="shared" si="5"/>
        <v>13.301687514004705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1.0416666666666665</v>
      </c>
      <c r="Y7" s="131">
        <f>COUNT(EK118:EK127)</f>
        <v>10</v>
      </c>
      <c r="Z7" s="130">
        <f>STDEV(EK118:EK127)</f>
        <v>3.2940392293420615</v>
      </c>
      <c r="AA7" s="130">
        <f t="shared" si="2"/>
        <v>1.0416666666666665</v>
      </c>
      <c r="AB7" s="131"/>
      <c r="AC7" s="130">
        <f>AVERAGE($FU118:$FU127)</f>
        <v>2.4689176823161838</v>
      </c>
      <c r="AD7" s="132">
        <f>COUNT($FU118:$FU127)</f>
        <v>10</v>
      </c>
      <c r="AE7" s="130">
        <f>STDEV($FU118:$FU127)</f>
        <v>7.8074032315831596</v>
      </c>
      <c r="AF7" s="130">
        <f t="shared" si="3"/>
        <v>2.4689176823161838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3">
        <f t="shared" ref="FH7:FH16" si="6">C4</f>
        <v>39646</v>
      </c>
      <c r="FI7" s="226">
        <f>AVERAGE(FZ6:FZ1005)</f>
        <v>0.27968178491749301</v>
      </c>
      <c r="FJ7" s="226"/>
      <c r="FK7" s="226">
        <f>PERCENTILE($FZ$6:$FZ$1005,0.975)</f>
        <v>0.77022874879780745</v>
      </c>
      <c r="FL7" s="226"/>
      <c r="FM7" s="226">
        <f>PERCENTILE($FZ$6:$FZ$1005,0.025)</f>
        <v>0</v>
      </c>
      <c r="FN7" s="226"/>
      <c r="FO7" s="5"/>
      <c r="FY7" s="210">
        <v>2</v>
      </c>
      <c r="FZ7">
        <v>3.3183084785198033E-2</v>
      </c>
      <c r="GA7">
        <v>1.9751343120206046</v>
      </c>
      <c r="GB7">
        <v>0.91881880286744089</v>
      </c>
      <c r="GC7">
        <v>14.22842136490466</v>
      </c>
      <c r="GD7">
        <v>11.141349586889888</v>
      </c>
      <c r="GE7">
        <v>2.3747707024918845</v>
      </c>
      <c r="GF7">
        <v>1.7621126522726489</v>
      </c>
      <c r="GG7">
        <v>0.48100211269169618</v>
      </c>
      <c r="GH7">
        <v>0.66238017508411107</v>
      </c>
      <c r="GI7">
        <v>8.7010866723336946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35.827020202020194</v>
      </c>
      <c r="Y8" s="131">
        <f>COUNT(EK128:EK137)</f>
        <v>10</v>
      </c>
      <c r="Z8" s="130">
        <f>STDEV(EK128:EK137)</f>
        <v>59.577337184545996</v>
      </c>
      <c r="AA8" s="130">
        <f t="shared" si="2"/>
        <v>18.840008243100868</v>
      </c>
      <c r="AB8" s="131"/>
      <c r="AC8" s="130">
        <f>AVERAGE($FU128:$FU137)</f>
        <v>50.033437919111464</v>
      </c>
      <c r="AD8" s="132">
        <f>COUNT($FU128:$FU137)</f>
        <v>10</v>
      </c>
      <c r="AE8" s="130">
        <f>STDEV($FU128:$FU137)</f>
        <v>93.433542112488652</v>
      </c>
      <c r="AF8" s="130">
        <f t="shared" si="3"/>
        <v>29.546280293272432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3">
        <f t="shared" si="6"/>
        <v>39673</v>
      </c>
      <c r="FI8" s="226">
        <f>AVERAGE(GA6:GA1005)</f>
        <v>3.2184464627783083</v>
      </c>
      <c r="FJ8" s="226"/>
      <c r="FK8" s="226">
        <f>PERCENTILE($GA$6:$GA$1005,0.975)</f>
        <v>7.5840397707148375</v>
      </c>
      <c r="FL8" s="226"/>
      <c r="FM8" s="226">
        <f>PERCENTILE($GA$6:$GA$1005,0.025)</f>
        <v>0.29002507178084797</v>
      </c>
      <c r="FN8" s="226"/>
      <c r="FO8" s="5"/>
      <c r="FY8" s="210">
        <v>3</v>
      </c>
      <c r="FZ8">
        <v>0.73704566401260951</v>
      </c>
      <c r="GA8">
        <v>4.5014337040656773</v>
      </c>
      <c r="GB8">
        <v>1.7358534250607978</v>
      </c>
      <c r="GC8">
        <v>3.7277752373710284</v>
      </c>
      <c r="GD8">
        <v>3.500844277036423</v>
      </c>
      <c r="GE8">
        <v>1.5381466201962124</v>
      </c>
      <c r="GF8">
        <v>0</v>
      </c>
      <c r="GG8">
        <v>1.4430063380750886</v>
      </c>
      <c r="GH8">
        <v>1.9871405252523333</v>
      </c>
      <c r="GI8">
        <v>3.3996427948388872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5.5288461538461533</v>
      </c>
      <c r="Y9" s="131">
        <f>COUNT(EK138:EK147)</f>
        <v>10</v>
      </c>
      <c r="Z9" s="130">
        <f>STDEV(EK138:EK147)</f>
        <v>9.5143222881747125</v>
      </c>
      <c r="AA9" s="130">
        <f t="shared" si="2"/>
        <v>3.0086928823536989</v>
      </c>
      <c r="AB9" s="131"/>
      <c r="AC9" s="130">
        <f>AVERAGE($FU138:$FU147)</f>
        <v>6.2540872615889054</v>
      </c>
      <c r="AD9" s="132">
        <f>COUNT($FU138:$FU147)</f>
        <v>10</v>
      </c>
      <c r="AE9" s="130">
        <f>STDEV($FU138:$FU147)</f>
        <v>10.312138062683593</v>
      </c>
      <c r="AF9" s="130">
        <f t="shared" si="3"/>
        <v>3.2609843824196352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3">
        <f t="shared" si="6"/>
        <v>39714</v>
      </c>
      <c r="FI9" s="226">
        <f>AVERAGE(GB6:GB1005)</f>
        <v>1.9543936661319783</v>
      </c>
      <c r="FJ9" s="226"/>
      <c r="FK9" s="226">
        <f>PERCENTILE($GB$6:$GB$1005,0.975)</f>
        <v>4.2125570353609669</v>
      </c>
      <c r="FL9" s="226"/>
      <c r="FM9" s="226">
        <f>PERCENTILE($GB$6:$GB$1005,0.025)</f>
        <v>0.12787265331161465</v>
      </c>
      <c r="FN9" s="226"/>
      <c r="FO9" s="5"/>
      <c r="FY9" s="210">
        <v>4</v>
      </c>
      <c r="FZ9">
        <v>0.34523114235979718</v>
      </c>
      <c r="GA9">
        <v>2.5944267642489773</v>
      </c>
      <c r="GB9">
        <v>1.0466914561790557</v>
      </c>
      <c r="GC9">
        <v>8.6201352529719006</v>
      </c>
      <c r="GD9">
        <v>6.5071922393503332</v>
      </c>
      <c r="GE9">
        <v>0.31351368791317175</v>
      </c>
      <c r="GF9">
        <v>0.38032995424220212</v>
      </c>
      <c r="GG9">
        <v>1.2981488832102204</v>
      </c>
      <c r="GH9">
        <v>1.3247603501682221</v>
      </c>
      <c r="GI9">
        <v>5.3464338146359021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8</v>
      </c>
      <c r="E10" s="109">
        <v>8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2.6041666666666665</v>
      </c>
      <c r="Y10" s="131">
        <f>COUNT(EK148:EK157)</f>
        <v>8</v>
      </c>
      <c r="Z10" s="130">
        <f>STDEV(EK148:EK157)</f>
        <v>7.3656956373598694</v>
      </c>
      <c r="AA10" s="130">
        <f t="shared" si="2"/>
        <v>2.6041666666666661</v>
      </c>
      <c r="AB10" s="131"/>
      <c r="AC10" s="130">
        <f>AVERAGE($FU148:$FU157)</f>
        <v>2.5903957597143394</v>
      </c>
      <c r="AD10" s="132">
        <f>COUNT($FU148:$FU157)</f>
        <v>8</v>
      </c>
      <c r="AE10" s="130">
        <f>STDEV($FU148:$FU157)</f>
        <v>7.3267456306035523</v>
      </c>
      <c r="AF10" s="130">
        <f t="shared" si="3"/>
        <v>2.5903957597143394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3">
        <f t="shared" si="6"/>
        <v>39747</v>
      </c>
      <c r="FI10" s="226">
        <f>AVERAGE(GC6:GC1005)</f>
        <v>6.554387895285271</v>
      </c>
      <c r="FJ10" s="226"/>
      <c r="FK10" s="226">
        <f>PERCENTILE($GC$6:$GC$1005,0.975)</f>
        <v>13.784726895819604</v>
      </c>
      <c r="FL10" s="226"/>
      <c r="FM10" s="226">
        <f>PERCENTILE($GC$6:$GC$1005,0.025)</f>
        <v>1.3985212098044362</v>
      </c>
      <c r="FN10" s="226"/>
      <c r="FO10" s="5"/>
      <c r="FY10" s="210">
        <v>5</v>
      </c>
      <c r="FZ10">
        <v>0.27886497278940114</v>
      </c>
      <c r="GA10">
        <v>8.6801431185631177</v>
      </c>
      <c r="GB10">
        <v>5.1261370293418302</v>
      </c>
      <c r="GC10">
        <v>2.9762029449633474</v>
      </c>
      <c r="GD10">
        <v>2.2735502862614307</v>
      </c>
      <c r="GE10">
        <v>0.976199190396288</v>
      </c>
      <c r="GF10">
        <v>0.38032995424220212</v>
      </c>
      <c r="GG10">
        <v>0.81714677051852402</v>
      </c>
      <c r="GH10">
        <v>0.66238017508411107</v>
      </c>
      <c r="GI10">
        <v>3.2220653854819914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2.083333333333333</v>
      </c>
      <c r="Y11" s="131">
        <f>COUNT(EK158:EK167)</f>
        <v>10</v>
      </c>
      <c r="Z11" s="130">
        <f>STDEV(EK158:EK167)</f>
        <v>4.3920523057894156</v>
      </c>
      <c r="AA11" s="130">
        <f t="shared" si="2"/>
        <v>1.3888888888888888</v>
      </c>
      <c r="AB11" s="131"/>
      <c r="AC11" s="130">
        <f>AVERAGE($FU158:$FU167)</f>
        <v>0.98094062552677208</v>
      </c>
      <c r="AD11" s="132">
        <f>COUNT($FU158:$FU167)</f>
        <v>10</v>
      </c>
      <c r="AE11" s="130">
        <f>STDEV($FU158:$FU167)</f>
        <v>2.0680044173699383</v>
      </c>
      <c r="AF11" s="130">
        <f t="shared" si="3"/>
        <v>0.65396041701784813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3">
        <f t="shared" si="6"/>
        <v>39775</v>
      </c>
      <c r="FI11" s="226">
        <f>AVERAGE(GD5:GD1005)</f>
        <v>5.2780240128654645</v>
      </c>
      <c r="FJ11" s="226"/>
      <c r="FK11" s="226">
        <f>PERCENTILE($GD$6:$GD$1005,0.975)</f>
        <v>10.707629584275773</v>
      </c>
      <c r="FL11" s="226"/>
      <c r="FM11" s="226">
        <f>PERCENTILE($GD$6:$GD$1005,0.025)</f>
        <v>1.4438535868549749</v>
      </c>
      <c r="FN11" s="226"/>
      <c r="FO11" s="5"/>
      <c r="FY11" s="210">
        <v>6</v>
      </c>
      <c r="FZ11">
        <v>0.2456818880042031</v>
      </c>
      <c r="GA11">
        <v>2.1108829387071388</v>
      </c>
      <c r="GB11">
        <v>0.88097094884916438</v>
      </c>
      <c r="GC11">
        <v>6.1708579872089713</v>
      </c>
      <c r="GD11">
        <v>5.2930378586690363</v>
      </c>
      <c r="GE11">
        <v>2.0437516149865345</v>
      </c>
      <c r="GF11">
        <v>1.2613862803785265</v>
      </c>
      <c r="GG11">
        <v>0.3361446578268279</v>
      </c>
      <c r="GH11">
        <v>0</v>
      </c>
      <c r="GI11">
        <v>4.287331775939248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2.083333333333333</v>
      </c>
      <c r="Y12" s="131">
        <f>COUNT(EK168:EK177)</f>
        <v>10</v>
      </c>
      <c r="Z12" s="130">
        <f>STDEV(EK168:EK177)</f>
        <v>4.3920523057894156</v>
      </c>
      <c r="AA12" s="130">
        <f t="shared" si="2"/>
        <v>1.3888888888888888</v>
      </c>
      <c r="AB12" s="131"/>
      <c r="AC12" s="130">
        <f>AVERAGE($FU168:$FU177)</f>
        <v>3.1636925900161708</v>
      </c>
      <c r="AD12" s="132">
        <f>COUNT($FU168:$FU177)</f>
        <v>10</v>
      </c>
      <c r="AE12" s="130">
        <f>STDEV($FU168:$FU177)</f>
        <v>6.6696496006989179</v>
      </c>
      <c r="AF12" s="130">
        <f t="shared" si="3"/>
        <v>2.1091283933441138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3">
        <f t="shared" si="6"/>
        <v>39799</v>
      </c>
      <c r="FI12" s="226">
        <f>AVERAGE(GE6:GE1005)</f>
        <v>1.8535577563434529</v>
      </c>
      <c r="FJ12" s="226"/>
      <c r="FK12" s="226">
        <f>PERCENTILE($GE$6:$GE$1005,0.975)</f>
        <v>3.5625113622401376</v>
      </c>
      <c r="FL12" s="226"/>
      <c r="FM12" s="226">
        <f>PERCENTILE($GE$6:$GE$1005,0.025)</f>
        <v>0.31351368791317175</v>
      </c>
      <c r="FN12" s="226"/>
      <c r="FO12" s="5"/>
      <c r="FY12" s="210">
        <v>7</v>
      </c>
      <c r="FZ12">
        <v>0.27886497278940114</v>
      </c>
      <c r="GA12">
        <v>6.1473006356387572</v>
      </c>
      <c r="GB12">
        <v>2.7825448812398537</v>
      </c>
      <c r="GC12">
        <v>11.0635113057252</v>
      </c>
      <c r="GD12">
        <v>8.2943582095874859</v>
      </c>
      <c r="GE12">
        <v>0.85604260000438437</v>
      </c>
      <c r="GF12">
        <v>0.88105632613632445</v>
      </c>
      <c r="GG12">
        <v>0.96200422538339236</v>
      </c>
      <c r="GH12">
        <v>1.3247603501682221</v>
      </c>
      <c r="GI12">
        <v>7.2554604759018213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0</v>
      </c>
      <c r="Y13" s="131">
        <f>COUNT(EK178:EK187)</f>
        <v>10</v>
      </c>
      <c r="Z13" s="130">
        <f>STDEV(EK178:EK187)</f>
        <v>0</v>
      </c>
      <c r="AA13" s="130">
        <f t="shared" si="2"/>
        <v>0</v>
      </c>
      <c r="AB13" s="131"/>
      <c r="AC13" s="130">
        <f>AVERAGE($FU178:$FU187)</f>
        <v>0</v>
      </c>
      <c r="AD13" s="132">
        <f>COUNT($FU178:$FU187)</f>
        <v>10</v>
      </c>
      <c r="AE13" s="130">
        <f>STDEV($FU178:$FU187)</f>
        <v>0</v>
      </c>
      <c r="AF13" s="130">
        <f t="shared" si="3"/>
        <v>0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3">
        <f t="shared" si="6"/>
        <v>39847</v>
      </c>
      <c r="FI13" s="226">
        <f>AVERAGE(GF6:GF1005)</f>
        <v>1.2591932099138305</v>
      </c>
      <c r="FJ13" s="226"/>
      <c r="FK13" s="226">
        <f>PERCENTILE($GF$6:$GF$1005,0.975)</f>
        <v>3.213663909772277</v>
      </c>
      <c r="FL13" s="226"/>
      <c r="FM13" s="226">
        <f>PERCENTILE($GF$6:$GF$1005,0.025)</f>
        <v>0</v>
      </c>
      <c r="FN13" s="226"/>
      <c r="FO13" s="5"/>
      <c r="FY13" s="210">
        <v>8</v>
      </c>
      <c r="FZ13">
        <v>0.27886497278940114</v>
      </c>
      <c r="GA13">
        <v>4.3264427687124662</v>
      </c>
      <c r="GB13">
        <v>1.9015739323906893</v>
      </c>
      <c r="GC13">
        <v>2.0124210098842332</v>
      </c>
      <c r="GD13">
        <v>2.5494132084703698</v>
      </c>
      <c r="GE13">
        <v>4.2983657270865159</v>
      </c>
      <c r="GF13">
        <v>3.9045552587875001</v>
      </c>
      <c r="GG13">
        <v>1.7791509959019165</v>
      </c>
      <c r="GH13">
        <v>1.9871405252523333</v>
      </c>
      <c r="GI13">
        <v>3.3667613514363461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3">
        <f t="shared" si="6"/>
        <v>39910</v>
      </c>
      <c r="FI14" s="226">
        <f>AVERAGE(GG6:GG1005)</f>
        <v>1.2901863493714723</v>
      </c>
      <c r="FJ14" s="226"/>
      <c r="FK14" s="226">
        <f>PERCENTILE($GG$6:$GG$1005,0.975)</f>
        <v>2.7411552212853092</v>
      </c>
      <c r="FL14" s="226"/>
      <c r="FM14" s="226">
        <f>PERCENTILE($GG$6:$GG$1005,0.025)</f>
        <v>0.16807232891341395</v>
      </c>
      <c r="FN14" s="226"/>
      <c r="FO14" s="5"/>
      <c r="FY14" s="210">
        <v>9</v>
      </c>
      <c r="FZ14">
        <v>0</v>
      </c>
      <c r="GA14">
        <v>1.8208578669262911</v>
      </c>
      <c r="GB14">
        <v>1.4530352925739001</v>
      </c>
      <c r="GC14">
        <v>6.7288664988696816</v>
      </c>
      <c r="GD14">
        <v>5.8059767315985784</v>
      </c>
      <c r="GE14">
        <v>3.2502318202049807</v>
      </c>
      <c r="GF14">
        <v>2.1424426065148507</v>
      </c>
      <c r="GG14">
        <v>1.2981488832102204</v>
      </c>
      <c r="GH14">
        <v>1.3247603501682221</v>
      </c>
      <c r="GI14">
        <v>5.2737220718296047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7.6498397435897427</v>
      </c>
      <c r="AO15" s="163">
        <f>D48</f>
        <v>10.691108610851145</v>
      </c>
      <c r="AP15" s="163">
        <f>D63</f>
        <v>28.238565481032445</v>
      </c>
      <c r="AQ15" s="163">
        <f>C453</f>
        <v>31.056704252552141</v>
      </c>
      <c r="AR15" s="163">
        <f>G520</f>
        <v>9.917540455335013</v>
      </c>
      <c r="AS15" s="163">
        <f>I523</f>
        <v>55.728726659646924</v>
      </c>
      <c r="AT15" s="122" t="e">
        <f>G556</f>
        <v>#DIV/0!</v>
      </c>
      <c r="AU15" s="122" t="e">
        <f>I556</f>
        <v>#DIV/0!</v>
      </c>
      <c r="AV15" s="23"/>
      <c r="AW15" s="23"/>
      <c r="FG15" s="5"/>
      <c r="FH15" s="213">
        <f t="shared" si="6"/>
        <v>39949</v>
      </c>
      <c r="FI15" s="226">
        <f>AVERAGE(GH6:GH1005)</f>
        <v>1.3121751268416242</v>
      </c>
      <c r="FJ15" s="226"/>
      <c r="FK15" s="226">
        <f>PERCENTILE($GH$6:$GH$1005,0.975)</f>
        <v>3.3119008754205557</v>
      </c>
      <c r="FL15" s="226"/>
      <c r="FM15" s="226">
        <f>PERCENTILE($GH$6:$GH$1005,0.025)</f>
        <v>0</v>
      </c>
      <c r="FN15" s="226"/>
      <c r="FO15" s="5"/>
      <c r="FY15" s="210">
        <v>10</v>
      </c>
      <c r="FZ15">
        <v>0.2456818880042031</v>
      </c>
      <c r="GA15">
        <v>2.2259170751347761</v>
      </c>
      <c r="GB15">
        <v>0.91881880286744089</v>
      </c>
      <c r="GC15">
        <v>5.8870060665595174</v>
      </c>
      <c r="GD15">
        <v>5.2499395935389508</v>
      </c>
      <c r="GE15">
        <v>1.8147363908084939</v>
      </c>
      <c r="GF15">
        <v>0.19016497712110106</v>
      </c>
      <c r="GG15">
        <v>1.6110786669885027</v>
      </c>
      <c r="GH15">
        <v>1.9871405252523333</v>
      </c>
      <c r="GI15">
        <v>4.3282047203476601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3">
        <f t="shared" si="6"/>
        <v>39987</v>
      </c>
      <c r="FI16" s="226">
        <f>AVERAGE(GI6:GI1005)</f>
        <v>4.830102835504313</v>
      </c>
      <c r="FJ16" s="226"/>
      <c r="FK16" s="226">
        <f>PERCENTILE($GI$6:$GI$1005,0.975)</f>
        <v>8.9475723836867154</v>
      </c>
      <c r="FL16" s="226"/>
      <c r="FM16" s="226">
        <f>PERCENTILE($GI$6:$GI$1005,0.025)</f>
        <v>1.9315478076587007</v>
      </c>
      <c r="FN16" s="226"/>
      <c r="FO16" s="5"/>
      <c r="FY16" s="210">
        <v>11</v>
      </c>
      <c r="FZ16">
        <v>0.49136377600840619</v>
      </c>
      <c r="GA16">
        <v>6.5131175351805659</v>
      </c>
      <c r="GB16">
        <v>3.3924570789828659</v>
      </c>
      <c r="GC16">
        <v>9.6130218953621824</v>
      </c>
      <c r="GD16">
        <v>7.5745710500361474</v>
      </c>
      <c r="GE16">
        <v>1.9060896250024524</v>
      </c>
      <c r="GF16">
        <v>1.0712213032574254</v>
      </c>
      <c r="GG16">
        <v>1.1300765542968063</v>
      </c>
      <c r="GH16">
        <v>1.3247603501682221</v>
      </c>
      <c r="GI16">
        <v>6.827590608169527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3.9694940476190461</v>
      </c>
      <c r="AO17">
        <v>2.3337868466744931</v>
      </c>
      <c r="AP17">
        <v>17.974729187453061</v>
      </c>
      <c r="AQ17">
        <v>12.811038733891529</v>
      </c>
      <c r="AR17">
        <v>2.1120576437484031</v>
      </c>
      <c r="AS17">
        <v>10.337514000515236</v>
      </c>
      <c r="AT17" t="e">
        <v>#DIV/0!</v>
      </c>
      <c r="AU17" t="e">
        <v>#DIV/0!</v>
      </c>
      <c r="AV17"/>
      <c r="AW17"/>
      <c r="FG17" s="5"/>
      <c r="FH17" s="214"/>
      <c r="FI17" s="13"/>
      <c r="FJ17" s="13"/>
      <c r="FK17" s="13"/>
      <c r="FL17" s="13"/>
      <c r="FM17" s="13"/>
      <c r="FN17" s="13"/>
      <c r="FO17" s="5"/>
      <c r="FY17" s="210">
        <v>12</v>
      </c>
      <c r="FZ17">
        <v>0</v>
      </c>
      <c r="GA17">
        <v>3.9971753882649419</v>
      </c>
      <c r="GB17">
        <v>2.4736382761154245</v>
      </c>
      <c r="GC17">
        <v>4.2772612221311954</v>
      </c>
      <c r="GD17">
        <v>3.3768488718506982</v>
      </c>
      <c r="GE17">
        <v>0.83853720041220592</v>
      </c>
      <c r="GF17">
        <v>0.38032995424220212</v>
      </c>
      <c r="GG17">
        <v>1.7791509959019165</v>
      </c>
      <c r="GH17">
        <v>1.9871405252523333</v>
      </c>
      <c r="GI17">
        <v>3.4583751478594724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11.4623778998779</v>
      </c>
      <c r="AO18">
        <v>14.309893894027393</v>
      </c>
      <c r="AP18">
        <v>37.037052784003272</v>
      </c>
      <c r="AQ18">
        <v>42.278259466341829</v>
      </c>
      <c r="AR18">
        <v>13.16875369257882</v>
      </c>
      <c r="AS18">
        <v>69.861186768999431</v>
      </c>
      <c r="AT18" t="e">
        <v>#DIV/0!</v>
      </c>
      <c r="AU18" t="e">
        <v>#DIV/0!</v>
      </c>
      <c r="AV18"/>
      <c r="AW18"/>
      <c r="FG18" s="5"/>
      <c r="FH18" s="214"/>
      <c r="FI18" s="13"/>
      <c r="FJ18" s="13"/>
      <c r="FK18" s="13"/>
      <c r="FL18" s="13"/>
      <c r="FM18" s="13"/>
      <c r="FN18" s="13"/>
      <c r="FO18" s="5"/>
      <c r="FY18" s="210">
        <v>13</v>
      </c>
      <c r="FZ18">
        <v>0.2456818880042031</v>
      </c>
      <c r="GA18">
        <v>4.7691168031885836</v>
      </c>
      <c r="GB18">
        <v>3.2884994236069476</v>
      </c>
      <c r="GC18">
        <v>2.389089725991469</v>
      </c>
      <c r="GD18">
        <v>1.7408899307605243</v>
      </c>
      <c r="GE18">
        <v>0.80161328311131574</v>
      </c>
      <c r="GF18">
        <v>0.38032995424220212</v>
      </c>
      <c r="GG18">
        <v>1.2981488832102204</v>
      </c>
      <c r="GH18">
        <v>1.3247603501682221</v>
      </c>
      <c r="GI18">
        <v>2.5158129427008387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6.7083714896214888</v>
      </c>
      <c r="AO19">
        <v>5.5731482082698642</v>
      </c>
      <c r="AP19">
        <v>24.890464645213886</v>
      </c>
      <c r="AQ19">
        <v>22.570888585909056</v>
      </c>
      <c r="AR19">
        <v>5.1698962970963489</v>
      </c>
      <c r="AS19">
        <v>24.721726065614426</v>
      </c>
      <c r="AT19" t="e">
        <v>#DIV/0!</v>
      </c>
      <c r="AU19" t="e">
        <v>#DIV/0!</v>
      </c>
      <c r="AV19"/>
      <c r="AW19"/>
      <c r="FG19" s="5"/>
      <c r="FH19" s="214"/>
      <c r="FI19" s="13"/>
      <c r="FJ19" s="13"/>
      <c r="FK19" s="13"/>
      <c r="FL19" s="13"/>
      <c r="FM19" s="13"/>
      <c r="FN19" s="13"/>
      <c r="FO19" s="5"/>
      <c r="FY19" s="210">
        <v>14</v>
      </c>
      <c r="FZ19">
        <v>3.3183084785198033E-2</v>
      </c>
      <c r="GA19">
        <v>1.0123669329083649</v>
      </c>
      <c r="GB19">
        <v>1.0445179814772214</v>
      </c>
      <c r="GC19">
        <v>9.8886445920264485</v>
      </c>
      <c r="GD19">
        <v>8.1777722810195161</v>
      </c>
      <c r="GE19">
        <v>2.1651739960225558</v>
      </c>
      <c r="GF19">
        <v>0.19016497712110106</v>
      </c>
      <c r="GG19">
        <v>1.6110786669885027</v>
      </c>
      <c r="GH19">
        <v>1.9871405252523333</v>
      </c>
      <c r="GI19">
        <v>6.4518481742355318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7.6418650793650782</v>
      </c>
      <c r="AO20">
        <v>8.8235402929320621</v>
      </c>
      <c r="AP20">
        <v>26.398130013452395</v>
      </c>
      <c r="AQ20">
        <v>27.776863545279785</v>
      </c>
      <c r="AR20">
        <v>8.1851023125529316</v>
      </c>
      <c r="AS20">
        <v>50.256213687613858</v>
      </c>
      <c r="AT20" t="e">
        <v>#DIV/0!</v>
      </c>
      <c r="AU20" t="e">
        <v>#DIV/0!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0">
        <v>15</v>
      </c>
      <c r="FZ20">
        <v>0.49136377600840619</v>
      </c>
      <c r="GA20">
        <v>6.2726920171958431</v>
      </c>
      <c r="GB20">
        <v>2.7186085545840464</v>
      </c>
      <c r="GC20">
        <v>1.9992061481362484</v>
      </c>
      <c r="GD20">
        <v>1.9381732425038454</v>
      </c>
      <c r="GE20">
        <v>1.5556520197883907</v>
      </c>
      <c r="GF20">
        <v>1.4515512574996277</v>
      </c>
      <c r="GG20">
        <v>1.9472233248153306</v>
      </c>
      <c r="GH20">
        <v>1.9871405252523333</v>
      </c>
      <c r="GI20">
        <v>2.9000005223766134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2.6041666666666665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0</v>
      </c>
      <c r="I21" s="18">
        <f t="shared" si="9"/>
        <v>1.5625</v>
      </c>
      <c r="J21" s="18">
        <f t="shared" si="9"/>
        <v>1.0416666666666665</v>
      </c>
      <c r="K21" s="18">
        <f t="shared" si="9"/>
        <v>0</v>
      </c>
      <c r="L21" s="18">
        <f t="shared" si="9"/>
        <v>0</v>
      </c>
      <c r="M21" s="18">
        <f t="shared" si="9"/>
        <v>0</v>
      </c>
      <c r="N21" s="18">
        <f t="shared" si="9"/>
        <v>0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7.7912469474969486</v>
      </c>
      <c r="AO21">
        <v>5.31606483234542</v>
      </c>
      <c r="AP21">
        <v>34.250338103060948</v>
      </c>
      <c r="AQ21">
        <v>25.393019827642242</v>
      </c>
      <c r="AR21">
        <v>4.9314145012480699</v>
      </c>
      <c r="AS21">
        <v>23.775013689654077</v>
      </c>
      <c r="AT21" t="e">
        <v>#DIV/0!</v>
      </c>
      <c r="AU21" t="e">
        <v>#DIV/0!</v>
      </c>
      <c r="AV21"/>
      <c r="AW21"/>
      <c r="FY21" s="210">
        <v>16</v>
      </c>
      <c r="FZ21">
        <v>0.27886497278940114</v>
      </c>
      <c r="GA21">
        <v>5.1741760113970692</v>
      </c>
      <c r="GB21">
        <v>2.3100912434873679</v>
      </c>
      <c r="GC21">
        <v>4.4340596739890028</v>
      </c>
      <c r="GD21">
        <v>4.4125822520051123</v>
      </c>
      <c r="GE21">
        <v>2.8822888153987405</v>
      </c>
      <c r="GF21">
        <v>1.2613862803785265</v>
      </c>
      <c r="GG21">
        <v>1.7791509959019165</v>
      </c>
      <c r="GH21">
        <v>1.9871405252523333</v>
      </c>
      <c r="GI21">
        <v>4.3833526423741587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3.125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0</v>
      </c>
      <c r="I22" s="18">
        <f t="shared" si="10"/>
        <v>1.5625</v>
      </c>
      <c r="J22" s="18">
        <f t="shared" si="10"/>
        <v>1.0416666666666665</v>
      </c>
      <c r="K22" s="18">
        <f t="shared" si="10"/>
        <v>0</v>
      </c>
      <c r="L22" s="18">
        <f t="shared" si="10"/>
        <v>0</v>
      </c>
      <c r="M22" s="18">
        <f t="shared" si="10"/>
        <v>0.52083333333333326</v>
      </c>
      <c r="N22" s="18">
        <f t="shared" si="10"/>
        <v>0</v>
      </c>
      <c r="O22" s="18">
        <f t="shared" si="10"/>
        <v>0</v>
      </c>
      <c r="P22" s="18">
        <f t="shared" si="10"/>
        <v>0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6.1694711538461533</v>
      </c>
      <c r="AO22">
        <v>7.0146212473394458</v>
      </c>
      <c r="AP22">
        <v>20.861347316666134</v>
      </c>
      <c r="AQ22">
        <v>22.630045950569652</v>
      </c>
      <c r="AR22">
        <v>6.4542045831407506</v>
      </c>
      <c r="AS22">
        <v>32.098518503496329</v>
      </c>
      <c r="AT22" t="e">
        <v>#DIV/0!</v>
      </c>
      <c r="AU22" t="e">
        <v>#DIV/0!</v>
      </c>
      <c r="AV22"/>
      <c r="AW22"/>
      <c r="FY22" s="210">
        <v>17</v>
      </c>
      <c r="FZ22">
        <v>0.49136377600840619</v>
      </c>
      <c r="GA22">
        <v>3.2486412531725897</v>
      </c>
      <c r="GB22">
        <v>2.433616947395314</v>
      </c>
      <c r="GC22">
        <v>8.162825787914521</v>
      </c>
      <c r="GD22">
        <v>6.1608527772912023</v>
      </c>
      <c r="GE22">
        <v>2.1351048491804936</v>
      </c>
      <c r="GF22">
        <v>2.3326075836359519</v>
      </c>
      <c r="GG22">
        <v>0.50421698674024196</v>
      </c>
      <c r="GH22">
        <v>0</v>
      </c>
      <c r="GI22">
        <v>5.557136542163267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1.5624999999999998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0</v>
      </c>
      <c r="I23" s="18">
        <f t="shared" si="11"/>
        <v>0</v>
      </c>
      <c r="J23" s="18">
        <f t="shared" si="11"/>
        <v>0</v>
      </c>
      <c r="K23" s="18">
        <f t="shared" si="11"/>
        <v>0</v>
      </c>
      <c r="L23" s="18">
        <f t="shared" si="11"/>
        <v>0</v>
      </c>
      <c r="M23" s="18">
        <f t="shared" si="11"/>
        <v>0.52083333333333326</v>
      </c>
      <c r="N23" s="18">
        <f t="shared" si="11"/>
        <v>1.0416666666666665</v>
      </c>
      <c r="O23" s="18">
        <f t="shared" si="11"/>
        <v>0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10.667410714285714</v>
      </c>
      <c r="AO23">
        <v>12.013301331123833</v>
      </c>
      <c r="AP23">
        <v>41.072110968208456</v>
      </c>
      <c r="AQ23">
        <v>39.845903982574846</v>
      </c>
      <c r="AR23">
        <v>11.091199095000109</v>
      </c>
      <c r="AS23">
        <v>44.834266998983729</v>
      </c>
      <c r="AT23" t="e">
        <v>#DIV/0!</v>
      </c>
      <c r="AU23" t="e">
        <v>#DIV/0!</v>
      </c>
      <c r="AV23"/>
      <c r="AW23"/>
      <c r="FY23" s="210">
        <v>18</v>
      </c>
      <c r="FZ23">
        <v>3.3183084785198033E-2</v>
      </c>
      <c r="GA23">
        <v>1.0123669329083649</v>
      </c>
      <c r="GB23">
        <v>1.0445179814772214</v>
      </c>
      <c r="GC23">
        <v>7.6048172762538115</v>
      </c>
      <c r="GD23">
        <v>5.8520480976450662</v>
      </c>
      <c r="GE23">
        <v>0.80161328311131574</v>
      </c>
      <c r="GF23">
        <v>0</v>
      </c>
      <c r="GG23">
        <v>2.4050105634584811</v>
      </c>
      <c r="GH23">
        <v>3.3119008754205557</v>
      </c>
      <c r="GI23">
        <v>4.8651636314813622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26.278409090909093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0</v>
      </c>
      <c r="I24" s="18">
        <f t="shared" si="12"/>
        <v>0</v>
      </c>
      <c r="J24" s="18">
        <f t="shared" si="12"/>
        <v>0</v>
      </c>
      <c r="K24" s="18">
        <f t="shared" si="12"/>
        <v>2.083333333333333</v>
      </c>
      <c r="L24" s="18">
        <f t="shared" si="12"/>
        <v>5.9659090909090908</v>
      </c>
      <c r="M24" s="18">
        <f t="shared" si="12"/>
        <v>11.363636363636363</v>
      </c>
      <c r="N24" s="18">
        <f t="shared" si="12"/>
        <v>5.3030303030303028</v>
      </c>
      <c r="O24" s="18">
        <f t="shared" si="12"/>
        <v>1.5625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7.8785485347985329</v>
      </c>
      <c r="AO24">
        <v>5.4196817360230485</v>
      </c>
      <c r="AP24">
        <v>31.822758572533353</v>
      </c>
      <c r="AQ24">
        <v>26.404689750711768</v>
      </c>
      <c r="AR24">
        <v>4.8160731995994306</v>
      </c>
      <c r="AS24">
        <v>24.980842564389139</v>
      </c>
      <c r="AT24" t="e">
        <v>#DIV/0!</v>
      </c>
      <c r="AU24" t="e">
        <v>#DIV/0!</v>
      </c>
      <c r="AV24"/>
      <c r="AW24"/>
      <c r="FY24" s="210">
        <v>19</v>
      </c>
      <c r="FZ24">
        <v>0.2456818880042031</v>
      </c>
      <c r="GA24">
        <v>1.3885410775796223</v>
      </c>
      <c r="GB24">
        <v>1.1084543081330289</v>
      </c>
      <c r="GC24">
        <v>7.7570523644961167</v>
      </c>
      <c r="GD24">
        <v>6.329233846430002</v>
      </c>
      <c r="GE24">
        <v>2.1457554783138439</v>
      </c>
      <c r="GF24">
        <v>1.0712213032574254</v>
      </c>
      <c r="GG24">
        <v>1.6110786669885027</v>
      </c>
      <c r="GH24">
        <v>1.9871405252523333</v>
      </c>
      <c r="GI24">
        <v>5.3431447117828714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29.563665501165499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0</v>
      </c>
      <c r="I25" s="18">
        <f t="shared" si="13"/>
        <v>0</v>
      </c>
      <c r="J25" s="18">
        <f t="shared" si="13"/>
        <v>0</v>
      </c>
      <c r="K25" s="18">
        <f t="shared" si="13"/>
        <v>2.083333333333333</v>
      </c>
      <c r="L25" s="18">
        <f t="shared" si="13"/>
        <v>8.7303321678321666</v>
      </c>
      <c r="M25" s="18">
        <f t="shared" si="13"/>
        <v>12.926136363636363</v>
      </c>
      <c r="N25" s="18">
        <f t="shared" si="13"/>
        <v>4.2613636363636358</v>
      </c>
      <c r="O25" s="18">
        <f t="shared" si="13"/>
        <v>1.5625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6.4970619658119659</v>
      </c>
      <c r="AO25">
        <v>8.7106718210331078</v>
      </c>
      <c r="AP25">
        <v>29.509505518947709</v>
      </c>
      <c r="AQ25">
        <v>29.098042121896334</v>
      </c>
      <c r="AR25">
        <v>7.9746701369254893</v>
      </c>
      <c r="AS25">
        <v>43.975653778878979</v>
      </c>
      <c r="AT25" t="e">
        <v>#DIV/0!</v>
      </c>
      <c r="AU25" t="e">
        <v>#DIV/0!</v>
      </c>
      <c r="AV25"/>
      <c r="AW25"/>
      <c r="FY25" s="210">
        <v>20</v>
      </c>
      <c r="FZ25">
        <v>0.73704566401260951</v>
      </c>
      <c r="GA25">
        <v>1.8431998395842322</v>
      </c>
      <c r="GB25">
        <v>0.47245363775248589</v>
      </c>
      <c r="GC25">
        <v>2.7026866297070846</v>
      </c>
      <c r="GD25">
        <v>3.7438739152708909</v>
      </c>
      <c r="GE25">
        <v>4.2089256110090911</v>
      </c>
      <c r="GF25">
        <v>1.4515512574996277</v>
      </c>
      <c r="GG25">
        <v>1.9472233248153306</v>
      </c>
      <c r="GH25">
        <v>1.9871405252523333</v>
      </c>
      <c r="GI25">
        <v>3.6390360829264643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4.3269230769230766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0</v>
      </c>
      <c r="I26" s="18">
        <f t="shared" si="14"/>
        <v>0</v>
      </c>
      <c r="J26" s="18">
        <f t="shared" si="14"/>
        <v>0</v>
      </c>
      <c r="K26" s="18">
        <f t="shared" si="14"/>
        <v>0</v>
      </c>
      <c r="L26" s="18">
        <f t="shared" si="14"/>
        <v>2.7644230769230766</v>
      </c>
      <c r="M26" s="18">
        <f t="shared" si="14"/>
        <v>1.5625</v>
      </c>
      <c r="N26" s="18">
        <f t="shared" si="14"/>
        <v>0</v>
      </c>
      <c r="O26" s="18">
        <f t="shared" si="14"/>
        <v>0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6.8269612332112333</v>
      </c>
      <c r="AO26">
        <v>7.0659852297484891</v>
      </c>
      <c r="AP26">
        <v>23.582661826691016</v>
      </c>
      <c r="AQ26">
        <v>24.458688706622979</v>
      </c>
      <c r="AR26">
        <v>6.5547172817703956</v>
      </c>
      <c r="AS26">
        <v>32.695835477547675</v>
      </c>
      <c r="AT26" t="e">
        <v>#DIV/0!</v>
      </c>
      <c r="AU26" t="e">
        <v>#DIV/0!</v>
      </c>
      <c r="AV26"/>
      <c r="AW26"/>
      <c r="FY26" s="210">
        <v>21</v>
      </c>
      <c r="FZ26">
        <v>0.27886497278940114</v>
      </c>
      <c r="GA26">
        <v>0.32926738044752452</v>
      </c>
      <c r="GB26">
        <v>1.1441286874494712</v>
      </c>
      <c r="GC26">
        <v>11.155265551280692</v>
      </c>
      <c r="GD26">
        <v>9.4939023576609429</v>
      </c>
      <c r="GE26">
        <v>3.4536210836878984</v>
      </c>
      <c r="GF26">
        <v>0.38032995424220212</v>
      </c>
      <c r="GG26">
        <v>2.2601531085936126</v>
      </c>
      <c r="GH26">
        <v>2.6495207003364443</v>
      </c>
      <c r="GI26">
        <v>7.7441531686931322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0.52083333333333326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0</v>
      </c>
      <c r="I27" s="18">
        <f t="shared" si="15"/>
        <v>0</v>
      </c>
      <c r="J27" s="18">
        <f t="shared" si="15"/>
        <v>0</v>
      </c>
      <c r="K27" s="18">
        <f t="shared" si="15"/>
        <v>0.52083333333333326</v>
      </c>
      <c r="L27" s="18">
        <f t="shared" si="15"/>
        <v>0</v>
      </c>
      <c r="M27" s="18">
        <f t="shared" si="15"/>
        <v>0</v>
      </c>
      <c r="N27" s="18">
        <f t="shared" si="15"/>
        <v>0</v>
      </c>
      <c r="O27" s="18">
        <f t="shared" si="15"/>
        <v>0</v>
      </c>
      <c r="P27" s="18">
        <f t="shared" si="15"/>
        <v>0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11.72594246031746</v>
      </c>
      <c r="AO27">
        <v>11.225323729052402</v>
      </c>
      <c r="AP27">
        <v>42.361395400851109</v>
      </c>
      <c r="AQ27">
        <v>39.8442697764646</v>
      </c>
      <c r="AR27">
        <v>10.360236569887466</v>
      </c>
      <c r="AS27">
        <v>56.93832280821826</v>
      </c>
      <c r="AT27" t="e">
        <v>#DIV/0!</v>
      </c>
      <c r="AU27" t="e">
        <v>#DIV/0!</v>
      </c>
      <c r="AV27"/>
      <c r="AW27"/>
      <c r="FY27" s="210">
        <v>22</v>
      </c>
      <c r="FZ27">
        <v>0.27886497278940114</v>
      </c>
      <c r="GA27">
        <v>2.515942146915624</v>
      </c>
      <c r="GB27">
        <v>2.1908201436285264</v>
      </c>
      <c r="GC27">
        <v>4.2696006005532015</v>
      </c>
      <c r="GD27">
        <v>3.5310339184639346</v>
      </c>
      <c r="GE27">
        <v>2.1175994495883153</v>
      </c>
      <c r="GF27">
        <v>1.4515512574996277</v>
      </c>
      <c r="GG27">
        <v>0.50421698674024196</v>
      </c>
      <c r="GH27">
        <v>0</v>
      </c>
      <c r="GI27">
        <v>3.4277486502252339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1.0416666666666665</v>
      </c>
      <c r="E28" s="18">
        <f>C12-C11</f>
        <v>39</v>
      </c>
      <c r="F28" s="50"/>
      <c r="G28" s="18">
        <f t="shared" si="15"/>
        <v>0</v>
      </c>
      <c r="H28" s="18">
        <f t="shared" si="15"/>
        <v>0</v>
      </c>
      <c r="I28" s="18">
        <f t="shared" si="15"/>
        <v>0</v>
      </c>
      <c r="J28" s="18">
        <f t="shared" si="15"/>
        <v>0</v>
      </c>
      <c r="K28" s="18">
        <f t="shared" si="15"/>
        <v>0.52083333333333326</v>
      </c>
      <c r="L28" s="18">
        <f t="shared" si="15"/>
        <v>0</v>
      </c>
      <c r="M28" s="18">
        <f t="shared" si="15"/>
        <v>0.52083333333333326</v>
      </c>
      <c r="N28" s="18">
        <f t="shared" si="15"/>
        <v>0</v>
      </c>
      <c r="O28" s="18">
        <f t="shared" si="15"/>
        <v>0</v>
      </c>
      <c r="P28" s="18">
        <f t="shared" si="15"/>
        <v>0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6.0580357142857135</v>
      </c>
      <c r="AO28">
        <v>5.6834471382820038</v>
      </c>
      <c r="AP28">
        <v>26.380708143794593</v>
      </c>
      <c r="AQ28">
        <v>22.568457582030391</v>
      </c>
      <c r="AR28">
        <v>5.272214413990727</v>
      </c>
      <c r="AS28">
        <v>27.324401115421139</v>
      </c>
      <c r="AT28" t="e">
        <v>#DIV/0!</v>
      </c>
      <c r="AU28" t="e">
        <v>#DIV/0!</v>
      </c>
      <c r="AV28"/>
      <c r="AW28"/>
      <c r="FY28" s="210">
        <v>23</v>
      </c>
      <c r="FZ28">
        <v>3.3183084785198033E-2</v>
      </c>
      <c r="GA28">
        <v>4.4032999036467757</v>
      </c>
      <c r="GB28">
        <v>3.8227159133134068</v>
      </c>
      <c r="GC28">
        <v>15.457068117107553</v>
      </c>
      <c r="GD28">
        <v>11.301264766979065</v>
      </c>
      <c r="GE28">
        <v>2.098180931879603</v>
      </c>
      <c r="GF28">
        <v>2.1424426065148507</v>
      </c>
      <c r="GG28">
        <v>1.2981488832102204</v>
      </c>
      <c r="GH28">
        <v>1.3247603501682221</v>
      </c>
      <c r="GI28">
        <v>9.8508455691014856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0.52083333333333326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0</v>
      </c>
      <c r="K29" s="18">
        <f t="shared" si="15"/>
        <v>0</v>
      </c>
      <c r="L29" s="18">
        <f t="shared" si="15"/>
        <v>0</v>
      </c>
      <c r="M29" s="18">
        <f t="shared" si="15"/>
        <v>0.52083333333333326</v>
      </c>
      <c r="N29" s="18">
        <f t="shared" si="15"/>
        <v>0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4.3021214896214897</v>
      </c>
      <c r="AO29">
        <v>4.1856585238979322</v>
      </c>
      <c r="AP29">
        <v>24.858172627388871</v>
      </c>
      <c r="AQ29">
        <v>18.753943184984522</v>
      </c>
      <c r="AR29">
        <v>3.8828001149331475</v>
      </c>
      <c r="AS29">
        <v>16.259376858667007</v>
      </c>
      <c r="AT29" t="e">
        <v>#DIV/0!</v>
      </c>
      <c r="AU29" t="e">
        <v>#DIV/0!</v>
      </c>
      <c r="AV29"/>
      <c r="AW29"/>
      <c r="FY29" s="210">
        <v>24</v>
      </c>
      <c r="FZ29">
        <v>0.37841422714499523</v>
      </c>
      <c r="GA29">
        <v>3.2306195524860848</v>
      </c>
      <c r="GB29">
        <v>1.3273361139641193</v>
      </c>
      <c r="GC29">
        <v>8.7579466013040328</v>
      </c>
      <c r="GD29">
        <v>7.0061575703906351</v>
      </c>
      <c r="GE29">
        <v>1.1151269710244875</v>
      </c>
      <c r="GF29">
        <v>0.19016497712110106</v>
      </c>
      <c r="GG29">
        <v>0.64907444160511019</v>
      </c>
      <c r="GH29">
        <v>0.66238017508411107</v>
      </c>
      <c r="GI29">
        <v>5.6092304686620089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6.9543997668997672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0</v>
      </c>
      <c r="I30" s="18">
        <f t="shared" si="16"/>
        <v>0.3125</v>
      </c>
      <c r="J30" s="18">
        <f t="shared" si="16"/>
        <v>0.20833333333333331</v>
      </c>
      <c r="K30" s="18">
        <f t="shared" si="16"/>
        <v>0.52083333333333326</v>
      </c>
      <c r="L30" s="18">
        <f t="shared" si="16"/>
        <v>1.7460664335664333</v>
      </c>
      <c r="M30" s="18">
        <f t="shared" si="16"/>
        <v>2.7935606060606064</v>
      </c>
      <c r="N30" s="18">
        <f t="shared" si="16"/>
        <v>1.0606060606060606</v>
      </c>
      <c r="O30" s="18">
        <f t="shared" si="16"/>
        <v>0.3125</v>
      </c>
      <c r="P30" s="18">
        <f t="shared" si="16"/>
        <v>0</v>
      </c>
      <c r="Q30" s="18">
        <f t="shared" si="16"/>
        <v>0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7.726228632478632</v>
      </c>
      <c r="AO30">
        <v>10.584893056613982</v>
      </c>
      <c r="AP30">
        <v>29.193632600390792</v>
      </c>
      <c r="AQ30">
        <v>32.561891211836773</v>
      </c>
      <c r="AR30">
        <v>9.8190102565992436</v>
      </c>
      <c r="AS30">
        <v>56.786692035022085</v>
      </c>
      <c r="AT30" t="e">
        <v>#DIV/0!</v>
      </c>
      <c r="AU30" t="e">
        <v>#DIV/0!</v>
      </c>
      <c r="AV30"/>
      <c r="AW30"/>
      <c r="FY30" s="210">
        <v>25</v>
      </c>
      <c r="FZ30">
        <v>0.2456818880042031</v>
      </c>
      <c r="GA30">
        <v>2.6020912198060331</v>
      </c>
      <c r="GB30">
        <v>1.1106277828348627</v>
      </c>
      <c r="GC30">
        <v>9.044895779915981</v>
      </c>
      <c r="GD30">
        <v>7.8370996902056556</v>
      </c>
      <c r="GE30">
        <v>3.4986655620917331</v>
      </c>
      <c r="GF30">
        <v>1.95227762939375</v>
      </c>
      <c r="GG30">
        <v>1.6110786669885027</v>
      </c>
      <c r="GH30">
        <v>1.9871405252523333</v>
      </c>
      <c r="GI30">
        <v>6.7460054285535236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6.6401671245421259</v>
      </c>
      <c r="AO31">
        <v>4.8060397784120772</v>
      </c>
      <c r="AP31">
        <v>30.119220999477463</v>
      </c>
      <c r="AQ31">
        <v>23.261611388160681</v>
      </c>
      <c r="AR31">
        <v>4.4054277102953279</v>
      </c>
      <c r="AS31">
        <v>19.850004423474545</v>
      </c>
      <c r="AT31" t="e">
        <v>#DIV/0!</v>
      </c>
      <c r="AU31" t="e">
        <v>#DIV/0!</v>
      </c>
      <c r="AV31"/>
      <c r="AW31"/>
      <c r="FY31" s="210">
        <v>26</v>
      </c>
      <c r="FZ31">
        <v>3.3183084785198033E-2</v>
      </c>
      <c r="GA31">
        <v>0.16463369022376226</v>
      </c>
      <c r="GB31">
        <v>0.63600067038054287</v>
      </c>
      <c r="GC31">
        <v>10.172496512675901</v>
      </c>
      <c r="GD31">
        <v>8.2387471082219026</v>
      </c>
      <c r="GE31">
        <v>2.4311131375014865</v>
      </c>
      <c r="GF31">
        <v>1.0712213032574254</v>
      </c>
      <c r="GG31">
        <v>1.1300765542968063</v>
      </c>
      <c r="GH31">
        <v>1.3247603501682221</v>
      </c>
      <c r="GI31">
        <v>6.5184375337813965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7.6498397435897427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7.7900068681318686</v>
      </c>
      <c r="AO32">
        <v>7.1856661123730081</v>
      </c>
      <c r="AP32">
        <v>32.348217379638676</v>
      </c>
      <c r="AQ32">
        <v>28.903093412973629</v>
      </c>
      <c r="AR32">
        <v>6.6128732891088049</v>
      </c>
      <c r="AS32">
        <v>33.186579523584285</v>
      </c>
      <c r="AT32" t="e">
        <v>#DIV/0!</v>
      </c>
      <c r="AU32" t="e">
        <v>#DIV/0!</v>
      </c>
      <c r="AV32"/>
      <c r="AW32"/>
      <c r="FY32" s="210">
        <v>27</v>
      </c>
      <c r="FZ32">
        <v>3.3183084785198033E-2</v>
      </c>
      <c r="GA32">
        <v>4.6437254216314985</v>
      </c>
      <c r="GB32">
        <v>2.2083070628132839</v>
      </c>
      <c r="GC32">
        <v>5.4459334199049598</v>
      </c>
      <c r="GD32">
        <v>4.5198331186841294</v>
      </c>
      <c r="GE32">
        <v>1.5925759370892807</v>
      </c>
      <c r="GF32">
        <v>1.6417162346207288</v>
      </c>
      <c r="GG32">
        <v>1.1532914283453519</v>
      </c>
      <c r="GH32">
        <v>0.66238017508411107</v>
      </c>
      <c r="GI32">
        <v>4.3151219127209162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8.0277777777777768</v>
      </c>
      <c r="AO33">
        <v>9.0933415227103502</v>
      </c>
      <c r="AP33">
        <v>31.817512139777964</v>
      </c>
      <c r="AQ33">
        <v>31.026366503501986</v>
      </c>
      <c r="AR33">
        <v>8.3296513073125382</v>
      </c>
      <c r="AS33">
        <v>36.514911879535241</v>
      </c>
      <c r="AT33" t="e">
        <v>#DIV/0!</v>
      </c>
      <c r="AU33" t="e">
        <v>#DIV/0!</v>
      </c>
      <c r="AV33"/>
      <c r="AW33"/>
      <c r="FY33" s="210">
        <v>28</v>
      </c>
      <c r="FZ33">
        <v>0</v>
      </c>
      <c r="GA33">
        <v>0.84773324268460271</v>
      </c>
      <c r="GB33">
        <v>0.98058165482141413</v>
      </c>
      <c r="GC33">
        <v>8.1818128914401971</v>
      </c>
      <c r="GD33">
        <v>6.0944195954219449</v>
      </c>
      <c r="GE33">
        <v>1.6100813366814588</v>
      </c>
      <c r="GF33">
        <v>1.95227762939375</v>
      </c>
      <c r="GG33">
        <v>0.64907444160511019</v>
      </c>
      <c r="GH33">
        <v>0.66238017508411107</v>
      </c>
      <c r="GI33">
        <v>5.173438274426152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6.8408119658119642</v>
      </c>
      <c r="AO34">
        <v>7.9101263451543202</v>
      </c>
      <c r="AP34">
        <v>26.028938519931984</v>
      </c>
      <c r="AQ34">
        <v>26.930621726541379</v>
      </c>
      <c r="AR34">
        <v>7.337779540959481</v>
      </c>
      <c r="AS34">
        <v>31.673599405374471</v>
      </c>
      <c r="AT34" t="e">
        <v>#DIV/0!</v>
      </c>
      <c r="AU34" t="e">
        <v>#DIV/0!</v>
      </c>
      <c r="AV34"/>
      <c r="AW34"/>
      <c r="FY34" s="210">
        <v>29</v>
      </c>
      <c r="FZ34">
        <v>3.3183084785198033E-2</v>
      </c>
      <c r="GA34">
        <v>1.2631496960225364</v>
      </c>
      <c r="GB34">
        <v>1.1723906347888362</v>
      </c>
      <c r="GC34">
        <v>3.2984513468114476</v>
      </c>
      <c r="GD34">
        <v>2.6281964189645324</v>
      </c>
      <c r="GE34">
        <v>0.80161328311131574</v>
      </c>
      <c r="GF34">
        <v>0.5704949313633032</v>
      </c>
      <c r="GG34">
        <v>1.9472233248153306</v>
      </c>
      <c r="GH34">
        <v>1.9871405252523333</v>
      </c>
      <c r="GI34">
        <v>2.6299335518541271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7.4680822649572631</v>
      </c>
      <c r="AO35">
        <v>8.7381409727851214</v>
      </c>
      <c r="AP35">
        <v>27.756878450875547</v>
      </c>
      <c r="AQ35">
        <v>28.987304170237948</v>
      </c>
      <c r="AR35">
        <v>8.053016944407613</v>
      </c>
      <c r="AS35">
        <v>36.87699989278385</v>
      </c>
      <c r="AT35" t="e">
        <v>#DIV/0!</v>
      </c>
      <c r="AU35" t="e">
        <v>#DIV/0!</v>
      </c>
      <c r="AV35"/>
      <c r="AW35"/>
      <c r="FY35" s="210">
        <v>30</v>
      </c>
      <c r="FZ35">
        <v>0.31204805757459919</v>
      </c>
      <c r="GA35">
        <v>1.4670256949129752</v>
      </c>
      <c r="GB35">
        <v>0.53638996440829323</v>
      </c>
      <c r="GC35">
        <v>5.9084501522926933</v>
      </c>
      <c r="GD35">
        <v>4.5615668781278886</v>
      </c>
      <c r="GE35">
        <v>0.31351368791317175</v>
      </c>
      <c r="GF35">
        <v>0.19016497712110106</v>
      </c>
      <c r="GG35">
        <v>1.6110786669885027</v>
      </c>
      <c r="GH35">
        <v>1.9871405252523333</v>
      </c>
      <c r="GI35">
        <v>3.6589663129885821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1.1608071543304673E-3</v>
      </c>
      <c r="H36" s="59">
        <f t="shared" ref="H36:AK36" si="17">(1-($A$43/100))*($A$39*(H35^$A$41))</f>
        <v>8.5927999999999994E-3</v>
      </c>
      <c r="I36" s="59">
        <f t="shared" si="17"/>
        <v>6.3607647113949228E-2</v>
      </c>
      <c r="J36" s="59">
        <f t="shared" si="17"/>
        <v>0.20514497677644863</v>
      </c>
      <c r="K36" s="59">
        <f t="shared" si="17"/>
        <v>0.47085150025285061</v>
      </c>
      <c r="L36" s="59">
        <f t="shared" si="17"/>
        <v>0.89693315119134265</v>
      </c>
      <c r="M36" s="59">
        <f t="shared" si="17"/>
        <v>1.5185724432077621</v>
      </c>
      <c r="N36" s="59">
        <f t="shared" si="17"/>
        <v>2.3701609750235364</v>
      </c>
      <c r="O36" s="59">
        <f t="shared" si="17"/>
        <v>3.4854478250578267</v>
      </c>
      <c r="P36" s="59">
        <f t="shared" si="17"/>
        <v>4.8976423862547316</v>
      </c>
      <c r="Q36" s="59">
        <f t="shared" si="17"/>
        <v>6.6394897316103521</v>
      </c>
      <c r="R36" s="59">
        <f t="shared" si="17"/>
        <v>8.7433281481061513</v>
      </c>
      <c r="S36" s="59">
        <f t="shared" si="17"/>
        <v>11.241134447971211</v>
      </c>
      <c r="T36" s="59">
        <f t="shared" si="17"/>
        <v>14.164560543159729</v>
      </c>
      <c r="U36" s="59">
        <f t="shared" si="17"/>
        <v>17.544963562814321</v>
      </c>
      <c r="V36" s="59">
        <f t="shared" si="17"/>
        <v>21.413431066843735</v>
      </c>
      <c r="W36" s="59">
        <f t="shared" si="17"/>
        <v>25.800802449767275</v>
      </c>
      <c r="X36" s="59">
        <f t="shared" si="17"/>
        <v>30.737687327547523</v>
      </c>
      <c r="Y36" s="59">
        <f t="shared" si="17"/>
        <v>36.254481495578958</v>
      </c>
      <c r="Z36" s="59">
        <f t="shared" si="17"/>
        <v>42.381380903263434</v>
      </c>
      <c r="AA36" s="59">
        <f t="shared" si="17"/>
        <v>49.1483939885672</v>
      </c>
      <c r="AB36" s="59">
        <f t="shared" si="17"/>
        <v>56.585352641472866</v>
      </c>
      <c r="AC36" s="59">
        <f t="shared" si="17"/>
        <v>64.721922009844903</v>
      </c>
      <c r="AD36" s="59">
        <f t="shared" si="17"/>
        <v>73.58760931935818</v>
      </c>
      <c r="AE36" s="59">
        <f t="shared" si="17"/>
        <v>83.211771847012812</v>
      </c>
      <c r="AF36" s="59">
        <f t="shared" si="17"/>
        <v>93.623624162791188</v>
      </c>
      <c r="AG36" s="59">
        <f t="shared" si="17"/>
        <v>104.85224473436747</v>
      </c>
      <c r="AH36" s="59">
        <f t="shared" si="17"/>
        <v>116.92658197416165</v>
      </c>
      <c r="AI36" s="59">
        <f t="shared" si="17"/>
        <v>129.87545979547883</v>
      </c>
      <c r="AJ36" s="59">
        <f t="shared" si="17"/>
        <v>143.72758273431248</v>
      </c>
      <c r="AK36" s="59">
        <f t="shared" si="17"/>
        <v>158.51154068507043</v>
      </c>
      <c r="AL36" s="42"/>
      <c r="AM36" s="43">
        <v>20</v>
      </c>
      <c r="AN36">
        <v>5.6248664529914532</v>
      </c>
      <c r="AO36">
        <v>6.0161648785385413</v>
      </c>
      <c r="AP36">
        <v>23.320514787109708</v>
      </c>
      <c r="AQ36">
        <v>22.733136487830148</v>
      </c>
      <c r="AR36">
        <v>5.527992738241954</v>
      </c>
      <c r="AS36">
        <v>27.861559733721961</v>
      </c>
      <c r="AT36" t="e">
        <v>#DIV/0!</v>
      </c>
      <c r="AU36" t="e">
        <v>#DIV/0!</v>
      </c>
      <c r="AV36"/>
      <c r="AW36"/>
      <c r="FY36" s="210">
        <v>31</v>
      </c>
      <c r="FZ36">
        <v>0.2456818880042031</v>
      </c>
      <c r="GA36">
        <v>5.1349337027303932</v>
      </c>
      <c r="GB36">
        <v>2.882155587212103</v>
      </c>
      <c r="GC36">
        <v>5.1544208776775129</v>
      </c>
      <c r="GD36">
        <v>3.5972361139420697</v>
      </c>
      <c r="GE36">
        <v>0.54252891209121246</v>
      </c>
      <c r="GF36">
        <v>1.4515512574996277</v>
      </c>
      <c r="GG36">
        <v>2.909227550198723</v>
      </c>
      <c r="GH36">
        <v>3.3119008754205557</v>
      </c>
      <c r="GI36">
        <v>4.2614244245284025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0.31307963275767964</v>
      </c>
      <c r="E37" s="107">
        <f t="shared" ref="E37:E46" si="19">+D37/D21</f>
        <v>0.12022257897894899</v>
      </c>
      <c r="F37" s="18"/>
      <c r="G37" s="49">
        <f t="shared" ref="G37:G43" si="20">G21*G$36</f>
        <v>0</v>
      </c>
      <c r="H37" s="49">
        <f t="shared" ref="H37:AK40" si="21">H21*H$36</f>
        <v>0</v>
      </c>
      <c r="I37" s="49">
        <f t="shared" si="21"/>
        <v>9.9386948615545673E-2</v>
      </c>
      <c r="J37" s="49">
        <f t="shared" si="21"/>
        <v>0.21369268414213397</v>
      </c>
      <c r="K37" s="49">
        <f t="shared" si="21"/>
        <v>0</v>
      </c>
      <c r="L37" s="49">
        <f t="shared" si="21"/>
        <v>0</v>
      </c>
      <c r="M37" s="49">
        <f t="shared" si="21"/>
        <v>0</v>
      </c>
      <c r="N37" s="49">
        <f t="shared" si="21"/>
        <v>0</v>
      </c>
      <c r="O37" s="49">
        <f t="shared" si="21"/>
        <v>0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9.5066773504273492</v>
      </c>
      <c r="AO37">
        <v>12.803182838232768</v>
      </c>
      <c r="AP37">
        <v>35.37942445855208</v>
      </c>
      <c r="AQ37">
        <v>38.88920696518133</v>
      </c>
      <c r="AR37">
        <v>11.876792985373626</v>
      </c>
      <c r="AS37">
        <v>54.342471793820408</v>
      </c>
      <c r="AT37" t="e">
        <v>#DIV/0!</v>
      </c>
      <c r="AU37" t="e">
        <v>#DIV/0!</v>
      </c>
      <c r="AV37"/>
      <c r="AW37"/>
      <c r="FY37" s="210">
        <v>32</v>
      </c>
      <c r="FZ37">
        <v>3.3183084785198033E-2</v>
      </c>
      <c r="GA37">
        <v>1.2631496960225364</v>
      </c>
      <c r="GB37">
        <v>0.60032629106410051</v>
      </c>
      <c r="GC37">
        <v>6.4741192855313958</v>
      </c>
      <c r="GD37">
        <v>5.7825999490398567</v>
      </c>
      <c r="GE37">
        <v>2.5318512101846786</v>
      </c>
      <c r="GF37">
        <v>1.4515512574996277</v>
      </c>
      <c r="GG37">
        <v>2.4282254375070265</v>
      </c>
      <c r="GH37">
        <v>2.6495207003364443</v>
      </c>
      <c r="GI37">
        <v>4.8811188264175289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1.1040027802617223</v>
      </c>
      <c r="E38" s="107">
        <f t="shared" si="19"/>
        <v>0.35328088968375115</v>
      </c>
      <c r="F38" s="18"/>
      <c r="G38" s="49">
        <f t="shared" si="20"/>
        <v>0</v>
      </c>
      <c r="H38" s="49">
        <f t="shared" si="21"/>
        <v>0</v>
      </c>
      <c r="I38" s="49">
        <f t="shared" si="21"/>
        <v>9.9386948615545673E-2</v>
      </c>
      <c r="J38" s="49">
        <f t="shared" si="21"/>
        <v>0.21369268414213397</v>
      </c>
      <c r="K38" s="49">
        <f t="shared" si="21"/>
        <v>0</v>
      </c>
      <c r="L38" s="49">
        <f t="shared" si="21"/>
        <v>0</v>
      </c>
      <c r="M38" s="49">
        <f t="shared" si="21"/>
        <v>0.79092314750404269</v>
      </c>
      <c r="N38" s="49">
        <f t="shared" si="21"/>
        <v>0</v>
      </c>
      <c r="O38" s="49">
        <f t="shared" si="21"/>
        <v>0</v>
      </c>
      <c r="P38" s="49">
        <f t="shared" si="21"/>
        <v>0</v>
      </c>
      <c r="Q38" s="49">
        <f t="shared" si="21"/>
        <v>0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5.5915178571428577</v>
      </c>
      <c r="AO38">
        <v>5.624712416944126</v>
      </c>
      <c r="AP38">
        <v>22.177390667841678</v>
      </c>
      <c r="AQ38">
        <v>20.287378126404107</v>
      </c>
      <c r="AR38">
        <v>5.1648642952044623</v>
      </c>
      <c r="AS38">
        <v>29.190306637988865</v>
      </c>
      <c r="AT38" t="e">
        <v>#DIV/0!</v>
      </c>
      <c r="AU38" t="e">
        <v>#DIV/0!</v>
      </c>
      <c r="AV38"/>
      <c r="AW38"/>
      <c r="FY38" s="210">
        <v>33</v>
      </c>
      <c r="FZ38">
        <v>3.3183084785198033E-2</v>
      </c>
      <c r="GA38">
        <v>4.6437254216314985</v>
      </c>
      <c r="GB38">
        <v>3.9245000939874908</v>
      </c>
      <c r="GC38">
        <v>13.882622495915385</v>
      </c>
      <c r="GD38">
        <v>10.07192118227487</v>
      </c>
      <c r="GE38">
        <v>0.83853720041220592</v>
      </c>
      <c r="GF38">
        <v>0.19016497712110106</v>
      </c>
      <c r="GG38">
        <v>1.1300765542968063</v>
      </c>
      <c r="GH38">
        <v>1.3247603501682221</v>
      </c>
      <c r="GI38">
        <v>8.5468499648957899</v>
      </c>
      <c r="GJ38"/>
      <c r="GK38"/>
      <c r="GL38"/>
      <c r="GM38"/>
    </row>
    <row r="39" spans="1:195" s="7" customFormat="1">
      <c r="A39" s="114">
        <v>9.1999999999999998E-3</v>
      </c>
      <c r="B39" s="57"/>
      <c r="C39" s="48" t="s">
        <v>40</v>
      </c>
      <c r="D39" s="49">
        <f t="shared" si="18"/>
        <v>3.2598408298202259</v>
      </c>
      <c r="E39" s="107">
        <f t="shared" si="19"/>
        <v>2.0862981310849449</v>
      </c>
      <c r="F39" s="18"/>
      <c r="G39" s="49">
        <f t="shared" si="20"/>
        <v>0</v>
      </c>
      <c r="H39" s="49">
        <f t="shared" si="21"/>
        <v>0</v>
      </c>
      <c r="I39" s="49">
        <f t="shared" si="21"/>
        <v>0</v>
      </c>
      <c r="J39" s="49">
        <f t="shared" si="21"/>
        <v>0</v>
      </c>
      <c r="K39" s="49">
        <f t="shared" si="21"/>
        <v>0</v>
      </c>
      <c r="L39" s="49">
        <f t="shared" si="21"/>
        <v>0</v>
      </c>
      <c r="M39" s="49">
        <f t="shared" si="21"/>
        <v>0.79092314750404269</v>
      </c>
      <c r="N39" s="49">
        <f t="shared" si="21"/>
        <v>2.4689176823161834</v>
      </c>
      <c r="O39" s="49">
        <f t="shared" si="21"/>
        <v>0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11.590811965811964</v>
      </c>
      <c r="AO39">
        <v>16.261516447070274</v>
      </c>
      <c r="AP39">
        <v>52.068409347168412</v>
      </c>
      <c r="AQ39">
        <v>51.731910126706374</v>
      </c>
      <c r="AR39">
        <v>14.979164224158483</v>
      </c>
      <c r="AS39">
        <v>79.42432971566862</v>
      </c>
      <c r="AT39" t="e">
        <v>#DIV/0!</v>
      </c>
      <c r="AU39" t="e">
        <v>#DIV/0!</v>
      </c>
      <c r="AV39"/>
      <c r="AW39"/>
      <c r="FY39" s="210">
        <v>34</v>
      </c>
      <c r="FZ39">
        <v>0</v>
      </c>
      <c r="GA39">
        <v>1.0985160057987742</v>
      </c>
      <c r="GB39">
        <v>1.1084543081330289</v>
      </c>
      <c r="GC39">
        <v>7.0259332812671218</v>
      </c>
      <c r="GD39">
        <v>5.498794491815179</v>
      </c>
      <c r="GE39">
        <v>2.098180931879603</v>
      </c>
      <c r="GF39">
        <v>2.1424426065148507</v>
      </c>
      <c r="GG39">
        <v>1.2981488832102204</v>
      </c>
      <c r="GH39">
        <v>1.3247603501682221</v>
      </c>
      <c r="GI39">
        <v>4.8312411623361164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41.603515002871298</v>
      </c>
      <c r="E40" s="107">
        <f t="shared" si="19"/>
        <v>1.5831824087579129</v>
      </c>
      <c r="F40" s="18"/>
      <c r="G40" s="49">
        <f t="shared" si="20"/>
        <v>0</v>
      </c>
      <c r="H40" s="49">
        <f t="shared" si="21"/>
        <v>0</v>
      </c>
      <c r="I40" s="49">
        <f t="shared" si="21"/>
        <v>0</v>
      </c>
      <c r="J40" s="49">
        <f t="shared" si="21"/>
        <v>0</v>
      </c>
      <c r="K40" s="49">
        <f t="shared" si="21"/>
        <v>0.98094062552677197</v>
      </c>
      <c r="L40" s="49">
        <f t="shared" si="21"/>
        <v>5.3510216406301687</v>
      </c>
      <c r="M40" s="49">
        <f t="shared" si="21"/>
        <v>17.256505036451841</v>
      </c>
      <c r="N40" s="49">
        <f t="shared" si="21"/>
        <v>12.569035473609661</v>
      </c>
      <c r="O40" s="49">
        <f t="shared" si="21"/>
        <v>5.4460122266528543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7.9062881562881531</v>
      </c>
      <c r="AO40">
        <v>9.2438110505725142</v>
      </c>
      <c r="AP40">
        <v>26.968571414989754</v>
      </c>
      <c r="AQ40">
        <v>28.926451098786682</v>
      </c>
      <c r="AR40">
        <v>8.5749638688056731</v>
      </c>
      <c r="AS40">
        <v>53.737588451952355</v>
      </c>
      <c r="AT40" t="e">
        <v>#DIV/0!</v>
      </c>
      <c r="AU40" t="e">
        <v>#DIV/0!</v>
      </c>
      <c r="AV40"/>
      <c r="AW40"/>
      <c r="FY40" s="210">
        <v>35</v>
      </c>
      <c r="FZ40">
        <v>0.31204805757459919</v>
      </c>
      <c r="GA40">
        <v>3.2775263167098174</v>
      </c>
      <c r="GB40">
        <v>1.9633367843446625</v>
      </c>
      <c r="GC40">
        <v>3.7232118737555262</v>
      </c>
      <c r="GD40">
        <v>2.9244200835946437</v>
      </c>
      <c r="GE40">
        <v>2.429200019384953</v>
      </c>
      <c r="GF40">
        <v>3.213663909772277</v>
      </c>
      <c r="GG40">
        <v>1.4662212121236342</v>
      </c>
      <c r="GH40">
        <v>1.3247603501682221</v>
      </c>
      <c r="GI40">
        <v>3.5912855746793038</v>
      </c>
      <c r="GJ40"/>
      <c r="GK40"/>
      <c r="GL40"/>
      <c r="GM40"/>
    </row>
    <row r="41" spans="1:195" s="7" customFormat="1">
      <c r="A41" s="114">
        <v>2.8879999999999999</v>
      </c>
      <c r="B41" s="57"/>
      <c r="C41" s="48" t="s">
        <v>42</v>
      </c>
      <c r="D41" s="49">
        <f t="shared" si="18"/>
        <v>43.986869464677923</v>
      </c>
      <c r="E41" s="107">
        <f t="shared" si="19"/>
        <v>1.4878692719258311</v>
      </c>
      <c r="F41" s="18"/>
      <c r="G41" s="49">
        <f t="shared" si="20"/>
        <v>0</v>
      </c>
      <c r="H41" s="49">
        <f t="shared" ref="H41:AK43" si="22">H25*H$36</f>
        <v>0</v>
      </c>
      <c r="I41" s="49">
        <f t="shared" si="22"/>
        <v>0</v>
      </c>
      <c r="J41" s="49">
        <f t="shared" si="22"/>
        <v>0</v>
      </c>
      <c r="K41" s="49">
        <f t="shared" si="22"/>
        <v>0.98094062552677197</v>
      </c>
      <c r="L41" s="49">
        <f t="shared" si="22"/>
        <v>7.8305243422408513</v>
      </c>
      <c r="M41" s="49">
        <f t="shared" si="22"/>
        <v>19.629274478963971</v>
      </c>
      <c r="N41" s="49">
        <f t="shared" si="22"/>
        <v>10.100117791293478</v>
      </c>
      <c r="O41" s="49">
        <f t="shared" si="22"/>
        <v>5.4460122266528543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9.131448412698413</v>
      </c>
      <c r="AO41">
        <v>11.124374335637819</v>
      </c>
      <c r="AP41">
        <v>35.560724035835989</v>
      </c>
      <c r="AQ41">
        <v>36.635564173046575</v>
      </c>
      <c r="AR41">
        <v>10.213726272922441</v>
      </c>
      <c r="AS41">
        <v>65.220877704108062</v>
      </c>
      <c r="AT41" t="e">
        <v>#DIV/0!</v>
      </c>
      <c r="AU41" t="e">
        <v>#DIV/0!</v>
      </c>
      <c r="AV41"/>
      <c r="AW41"/>
      <c r="FY41" s="210">
        <v>36</v>
      </c>
      <c r="FZ41">
        <v>9.9549254355594113E-2</v>
      </c>
      <c r="GA41">
        <v>2.0536189293539575</v>
      </c>
      <c r="GB41">
        <v>2.0629474903169118</v>
      </c>
      <c r="GC41">
        <v>7.4348039626480169</v>
      </c>
      <c r="GD41">
        <v>5.8197456000576757</v>
      </c>
      <c r="GE41">
        <v>1.4655645762385494</v>
      </c>
      <c r="GF41">
        <v>0.19016497712110106</v>
      </c>
      <c r="GG41">
        <v>0.64907444160511019</v>
      </c>
      <c r="GH41">
        <v>0.66238017508411107</v>
      </c>
      <c r="GI41">
        <v>4.870615695399632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4.8522721441228107</v>
      </c>
      <c r="E42" s="107">
        <f t="shared" si="19"/>
        <v>1.1214140066417164</v>
      </c>
      <c r="F42" s="18"/>
      <c r="G42" s="49">
        <f t="shared" si="20"/>
        <v>0</v>
      </c>
      <c r="H42" s="49">
        <f t="shared" si="22"/>
        <v>0</v>
      </c>
      <c r="I42" s="49">
        <f t="shared" si="22"/>
        <v>0</v>
      </c>
      <c r="J42" s="49">
        <f t="shared" si="22"/>
        <v>0</v>
      </c>
      <c r="K42" s="49">
        <f t="shared" si="22"/>
        <v>0</v>
      </c>
      <c r="L42" s="49">
        <f t="shared" si="22"/>
        <v>2.4795027016106825</v>
      </c>
      <c r="M42" s="49">
        <f t="shared" si="22"/>
        <v>2.3727694425121282</v>
      </c>
      <c r="N42" s="49">
        <f t="shared" si="22"/>
        <v>0</v>
      </c>
      <c r="O42" s="49">
        <f t="shared" si="22"/>
        <v>0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8.015625</v>
      </c>
      <c r="AO42">
        <v>10.727974998847628</v>
      </c>
      <c r="AP42">
        <v>27.783135485805708</v>
      </c>
      <c r="AQ42">
        <v>31.720669945292642</v>
      </c>
      <c r="AR42">
        <v>9.8988741114414793</v>
      </c>
      <c r="AS42">
        <v>57.63039985340734</v>
      </c>
      <c r="AT42" t="e">
        <v>#DIV/0!</v>
      </c>
      <c r="AU42" t="e">
        <v>#DIV/0!</v>
      </c>
      <c r="AV42"/>
      <c r="AW42"/>
      <c r="FY42" s="210">
        <v>37</v>
      </c>
      <c r="FZ42">
        <v>0.73704566401260951</v>
      </c>
      <c r="GA42">
        <v>1.1208579784567154</v>
      </c>
      <c r="GB42">
        <v>0.12787265331161465</v>
      </c>
      <c r="GC42">
        <v>5.4707680665159817</v>
      </c>
      <c r="GD42">
        <v>4.8332639294275008</v>
      </c>
      <c r="GE42">
        <v>2.1826793956147341</v>
      </c>
      <c r="GF42">
        <v>1.2613862803785265</v>
      </c>
      <c r="GG42">
        <v>0.81714677051852402</v>
      </c>
      <c r="GH42">
        <v>0.66238017508411107</v>
      </c>
      <c r="GI42">
        <v>3.9905078780043741</v>
      </c>
      <c r="GJ42"/>
      <c r="GK42"/>
      <c r="GL42"/>
      <c r="GM42"/>
    </row>
    <row r="43" spans="1:195" s="7" customFormat="1">
      <c r="A43" s="95">
        <v>6.6</v>
      </c>
      <c r="B43" s="1"/>
      <c r="C43" s="48" t="s">
        <v>119</v>
      </c>
      <c r="D43" s="49">
        <f>IF(SUM(G43:AK43)&lt;0.0001, 0, SUM(G43:AK43))</f>
        <v>0.24523515638169299</v>
      </c>
      <c r="E43" s="107">
        <f t="shared" si="19"/>
        <v>0.47085150025285061</v>
      </c>
      <c r="F43" s="18"/>
      <c r="G43" s="49">
        <f t="shared" si="20"/>
        <v>0</v>
      </c>
      <c r="H43" s="49">
        <f t="shared" si="22"/>
        <v>0</v>
      </c>
      <c r="I43" s="49">
        <f t="shared" si="22"/>
        <v>0</v>
      </c>
      <c r="J43" s="49">
        <f t="shared" si="22"/>
        <v>0</v>
      </c>
      <c r="K43" s="49">
        <f t="shared" si="22"/>
        <v>0.24523515638169299</v>
      </c>
      <c r="L43" s="49">
        <f t="shared" si="22"/>
        <v>0</v>
      </c>
      <c r="M43" s="49">
        <f t="shared" si="22"/>
        <v>0</v>
      </c>
      <c r="N43" s="49">
        <f t="shared" si="22"/>
        <v>0</v>
      </c>
      <c r="O43" s="49">
        <f t="shared" si="22"/>
        <v>0</v>
      </c>
      <c r="P43" s="49">
        <f t="shared" si="22"/>
        <v>0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6.6227678571428559</v>
      </c>
      <c r="AO43">
        <v>7.1081279253208418</v>
      </c>
      <c r="AP43">
        <v>28.821963213673644</v>
      </c>
      <c r="AQ43">
        <v>26.216067795679457</v>
      </c>
      <c r="AR43">
        <v>6.540945471806241</v>
      </c>
      <c r="AS43">
        <v>38.126381582404399</v>
      </c>
      <c r="AT43" t="e">
        <v>#DIV/0!</v>
      </c>
      <c r="AU43" t="e">
        <v>#DIV/0!</v>
      </c>
      <c r="AV43"/>
      <c r="AW43"/>
      <c r="FY43" s="210">
        <v>38</v>
      </c>
      <c r="FZ43">
        <v>0.31204805757459919</v>
      </c>
      <c r="GA43">
        <v>4.3656850773791431</v>
      </c>
      <c r="GB43">
        <v>2.4736382761154245</v>
      </c>
      <c r="GC43">
        <v>4.1394498737990624</v>
      </c>
      <c r="GD43">
        <v>3.1184279252943958</v>
      </c>
      <c r="GE43">
        <v>1.6100813366814588</v>
      </c>
      <c r="GF43">
        <v>1.7621126522726489</v>
      </c>
      <c r="GG43">
        <v>1.4430063380750886</v>
      </c>
      <c r="GH43">
        <v>1.9871405252523333</v>
      </c>
      <c r="GI43">
        <v>3.6170599742249703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1.0361583038857356</v>
      </c>
      <c r="E44" s="107">
        <f t="shared" si="19"/>
        <v>0.99471197173030634</v>
      </c>
      <c r="F44" s="18"/>
      <c r="G44" s="49">
        <f>G28*G36</f>
        <v>0</v>
      </c>
      <c r="H44" s="49">
        <f t="shared" ref="H44:AK44" si="23">H28*H36</f>
        <v>0</v>
      </c>
      <c r="I44" s="49">
        <f t="shared" si="23"/>
        <v>0</v>
      </c>
      <c r="J44" s="49">
        <f t="shared" si="23"/>
        <v>0</v>
      </c>
      <c r="K44" s="49">
        <f t="shared" si="23"/>
        <v>0.24523515638169299</v>
      </c>
      <c r="L44" s="49">
        <f t="shared" si="23"/>
        <v>0</v>
      </c>
      <c r="M44" s="49">
        <f t="shared" si="23"/>
        <v>0.79092314750404269</v>
      </c>
      <c r="N44" s="49">
        <f t="shared" si="23"/>
        <v>0</v>
      </c>
      <c r="O44" s="49">
        <f t="shared" si="23"/>
        <v>0</v>
      </c>
      <c r="P44" s="49">
        <f t="shared" si="23"/>
        <v>0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6.6527777777777768</v>
      </c>
      <c r="AO44">
        <v>8.5303438349179252</v>
      </c>
      <c r="AP44">
        <v>24.869378320090334</v>
      </c>
      <c r="AQ44">
        <v>26.151799241558741</v>
      </c>
      <c r="AR44">
        <v>7.8073900013826476</v>
      </c>
      <c r="AS44">
        <v>30.378425293769705</v>
      </c>
      <c r="AT44" t="e">
        <v>#DIV/0!</v>
      </c>
      <c r="AU44" t="e">
        <v>#DIV/0!</v>
      </c>
      <c r="AV44"/>
      <c r="AW44"/>
      <c r="FY44" s="210">
        <v>39</v>
      </c>
      <c r="FZ44">
        <v>0.59091303036400022</v>
      </c>
      <c r="GA44">
        <v>5.793468463625441</v>
      </c>
      <c r="GB44">
        <v>2.4379638967989825</v>
      </c>
      <c r="GC44">
        <v>6.7711860679288369</v>
      </c>
      <c r="GD44">
        <v>5.6974284646121642</v>
      </c>
      <c r="GE44">
        <v>1.2897128783094598</v>
      </c>
      <c r="GF44">
        <v>0.5704949313633032</v>
      </c>
      <c r="GG44">
        <v>1.4662212121236342</v>
      </c>
      <c r="GH44">
        <v>1.3247603501682221</v>
      </c>
      <c r="GI44">
        <v>4.8790829215192391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0.79092314750404269</v>
      </c>
      <c r="E45" s="107">
        <f t="shared" si="19"/>
        <v>1.5185724432077621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0</v>
      </c>
      <c r="J45" s="49">
        <f t="shared" si="24"/>
        <v>0</v>
      </c>
      <c r="K45" s="49">
        <f t="shared" si="24"/>
        <v>0</v>
      </c>
      <c r="L45" s="49">
        <f t="shared" si="24"/>
        <v>0</v>
      </c>
      <c r="M45" s="49">
        <f t="shared" si="24"/>
        <v>0.79092314750404269</v>
      </c>
      <c r="N45" s="49">
        <f t="shared" si="24"/>
        <v>0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4.0838675213675213</v>
      </c>
      <c r="AO45">
        <v>4.3127739675484467</v>
      </c>
      <c r="AP45">
        <v>18.016534127251788</v>
      </c>
      <c r="AQ45">
        <v>16.33177679776896</v>
      </c>
      <c r="AR45">
        <v>4.0007179661859436</v>
      </c>
      <c r="AS45">
        <v>18.310385233282638</v>
      </c>
      <c r="AT45" t="e">
        <v>#DIV/0!</v>
      </c>
      <c r="AU45" t="e">
        <v>#DIV/0!</v>
      </c>
      <c r="AV45"/>
      <c r="AW45"/>
      <c r="FY45" s="210">
        <v>40</v>
      </c>
      <c r="FZ45">
        <v>0.27886497278940114</v>
      </c>
      <c r="GA45">
        <v>2.4009080104879872</v>
      </c>
      <c r="GB45">
        <v>2.1529722896102506</v>
      </c>
      <c r="GC45">
        <v>8.574371453110615</v>
      </c>
      <c r="GD45">
        <v>6.907912307231129</v>
      </c>
      <c r="GE45">
        <v>2.0913261614207754</v>
      </c>
      <c r="GF45">
        <v>0.38032995424220212</v>
      </c>
      <c r="GG45">
        <v>0.81714677051852402</v>
      </c>
      <c r="GH45">
        <v>0.66238017508411107</v>
      </c>
      <c r="GI45">
        <v>5.9213811376384902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9.7191896462283136</v>
      </c>
      <c r="E46" s="107">
        <f t="shared" si="19"/>
        <v>1.3975598142183123</v>
      </c>
      <c r="F46" s="18"/>
      <c r="G46" s="49">
        <f>G30*G36</f>
        <v>0</v>
      </c>
      <c r="H46" s="49">
        <f t="shared" ref="H46:AK46" si="25">H30*H36</f>
        <v>0</v>
      </c>
      <c r="I46" s="49">
        <f t="shared" si="25"/>
        <v>1.9877389723109134E-2</v>
      </c>
      <c r="J46" s="49">
        <f t="shared" si="25"/>
        <v>4.2738536828426793E-2</v>
      </c>
      <c r="K46" s="49">
        <f t="shared" si="25"/>
        <v>0.24523515638169299</v>
      </c>
      <c r="L46" s="49">
        <f t="shared" si="25"/>
        <v>1.5661048684481702</v>
      </c>
      <c r="M46" s="49">
        <f t="shared" si="25"/>
        <v>4.2422241547944113</v>
      </c>
      <c r="N46" s="49">
        <f t="shared" si="25"/>
        <v>2.5138070947219324</v>
      </c>
      <c r="O46" s="49">
        <f t="shared" si="25"/>
        <v>1.0892024453305709</v>
      </c>
      <c r="P46" s="49">
        <f t="shared" si="25"/>
        <v>0</v>
      </c>
      <c r="Q46" s="49">
        <f t="shared" si="25"/>
        <v>0</v>
      </c>
      <c r="R46" s="49">
        <f t="shared" si="25"/>
        <v>0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5.9270833333333339</v>
      </c>
      <c r="AO46">
        <v>5.9017603521894006</v>
      </c>
      <c r="AP46">
        <v>19.182975636766322</v>
      </c>
      <c r="AQ46">
        <v>20.546344917580139</v>
      </c>
      <c r="AR46">
        <v>5.4747313100087194</v>
      </c>
      <c r="AS46">
        <v>25.48555340764155</v>
      </c>
      <c r="AT46" t="e">
        <v>#DIV/0!</v>
      </c>
      <c r="AU46" t="e">
        <v>#DIV/0!</v>
      </c>
      <c r="AV46"/>
      <c r="AW46"/>
      <c r="FY46" s="210">
        <v>41</v>
      </c>
      <c r="FZ46">
        <v>6.6366169570396066E-2</v>
      </c>
      <c r="GA46">
        <v>3.9606258691706584</v>
      </c>
      <c r="GB46">
        <v>2.4357904220971482</v>
      </c>
      <c r="GC46">
        <v>3.8579259641251666</v>
      </c>
      <c r="GD46">
        <v>3.0339515305939866</v>
      </c>
      <c r="GE46">
        <v>0.80161328311131574</v>
      </c>
      <c r="GF46">
        <v>0.38032995424220212</v>
      </c>
      <c r="GG46">
        <v>1.7791509959019165</v>
      </c>
      <c r="GH46">
        <v>1.9871405252523333</v>
      </c>
      <c r="GI46">
        <v>3.2557594496514803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7.3375496031746037</v>
      </c>
      <c r="AO47">
        <v>7.0274344262556712</v>
      </c>
      <c r="AP47">
        <v>35.969001261664879</v>
      </c>
      <c r="AQ47">
        <v>29.491061189304805</v>
      </c>
      <c r="AR47">
        <v>6.4660906489257473</v>
      </c>
      <c r="AS47">
        <v>26.878999147557785</v>
      </c>
      <c r="AT47" t="e">
        <v>#DIV/0!</v>
      </c>
      <c r="AU47" t="e">
        <v>#DIV/0!</v>
      </c>
      <c r="AV47"/>
      <c r="AW47"/>
      <c r="FY47" s="210">
        <v>42</v>
      </c>
      <c r="FZ47">
        <v>0.55772994557880229</v>
      </c>
      <c r="GA47">
        <v>4.4152846311752683</v>
      </c>
      <c r="GB47">
        <v>1.7997897517166055</v>
      </c>
      <c r="GC47">
        <v>5.7491947182273844</v>
      </c>
      <c r="GD47">
        <v>5.0093952090549507</v>
      </c>
      <c r="GE47">
        <v>1.5381466201962124</v>
      </c>
      <c r="GF47">
        <v>0.38032995424220212</v>
      </c>
      <c r="GG47">
        <v>0.3361446578268279</v>
      </c>
      <c r="GH47">
        <v>0</v>
      </c>
      <c r="GI47">
        <v>4.1666754623923303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10.691108610851145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7.197783119658121</v>
      </c>
      <c r="AO48">
        <v>7.9085653738671526</v>
      </c>
      <c r="AP48">
        <v>26.954492788281854</v>
      </c>
      <c r="AQ48">
        <v>28.095645738388399</v>
      </c>
      <c r="AR48">
        <v>7.2834662960607019</v>
      </c>
      <c r="AS48">
        <v>34.650513558452388</v>
      </c>
      <c r="AT48" t="e">
        <v>#DIV/0!</v>
      </c>
      <c r="AU48" t="e">
        <v>#DIV/0!</v>
      </c>
      <c r="AV48"/>
      <c r="AW48"/>
      <c r="FY48" s="210">
        <v>43</v>
      </c>
      <c r="FZ48">
        <v>3.3183084785198033E-2</v>
      </c>
      <c r="GA48">
        <v>4.7587595580591353</v>
      </c>
      <c r="GB48">
        <v>2.2461549168315607</v>
      </c>
      <c r="GC48">
        <v>5.3081220715728277</v>
      </c>
      <c r="GD48">
        <v>4.9645116964515354</v>
      </c>
      <c r="GE48">
        <v>3.2502318202049807</v>
      </c>
      <c r="GF48">
        <v>1.7621126522726489</v>
      </c>
      <c r="GG48">
        <v>0.48100211269169618</v>
      </c>
      <c r="GH48">
        <v>0.66238017508411107</v>
      </c>
      <c r="GI48">
        <v>4.666454558500722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10.589781746031743</v>
      </c>
      <c r="AO49">
        <v>14.104381468411528</v>
      </c>
      <c r="AP49">
        <v>44.836468075480276</v>
      </c>
      <c r="AQ49">
        <v>44.586341325488569</v>
      </c>
      <c r="AR49">
        <v>13.083841807431847</v>
      </c>
      <c r="AS49">
        <v>75.233021436044595</v>
      </c>
      <c r="AT49" t="e">
        <v>#DIV/0!</v>
      </c>
      <c r="AU49" t="e">
        <v>#DIV/0!</v>
      </c>
      <c r="AV49"/>
      <c r="AW49"/>
      <c r="FY49" s="210">
        <v>44</v>
      </c>
      <c r="FZ49">
        <v>3.3183084785198033E-2</v>
      </c>
      <c r="GA49">
        <v>4.5183340400744125</v>
      </c>
      <c r="GB49">
        <v>2.1443707361574766</v>
      </c>
      <c r="GC49">
        <v>9.1827071282481132</v>
      </c>
      <c r="GD49">
        <v>7.3887405728915105</v>
      </c>
      <c r="GE49">
        <v>1.2897128783094598</v>
      </c>
      <c r="GF49">
        <v>0.95082488560550527</v>
      </c>
      <c r="GG49">
        <v>1.8023658699504623</v>
      </c>
      <c r="GH49">
        <v>1.3247603501682221</v>
      </c>
      <c r="GI49">
        <v>6.3453391061081978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6.8790064102564115</v>
      </c>
      <c r="AO50">
        <v>7.8985385413911633</v>
      </c>
      <c r="AP50">
        <v>26.072505213195559</v>
      </c>
      <c r="AQ50">
        <v>26.426472021123118</v>
      </c>
      <c r="AR50">
        <v>7.2212997476472465</v>
      </c>
      <c r="AS50">
        <v>32.811898399586745</v>
      </c>
      <c r="AT50" t="e">
        <v>#DIV/0!</v>
      </c>
      <c r="AU50" t="e">
        <v>#DIV/0!</v>
      </c>
      <c r="AV50"/>
      <c r="AW50"/>
      <c r="FY50" s="210">
        <v>45</v>
      </c>
      <c r="FZ50">
        <v>0</v>
      </c>
      <c r="GA50">
        <v>2.5431997280538079</v>
      </c>
      <c r="GB50">
        <v>1.2255519332900358</v>
      </c>
      <c r="GC50">
        <v>6.4495779418357291</v>
      </c>
      <c r="GD50">
        <v>5.9088201046684317</v>
      </c>
      <c r="GE50">
        <v>2.8822888153987405</v>
      </c>
      <c r="GF50">
        <v>1.6417162346207288</v>
      </c>
      <c r="GG50">
        <v>1.634293541037048</v>
      </c>
      <c r="GH50">
        <v>1.3247603501682221</v>
      </c>
      <c r="GI50">
        <v>5.0636937867544729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6.6128853785103789</v>
      </c>
      <c r="AO51">
        <v>5.9166261361560668</v>
      </c>
      <c r="AP51">
        <v>28.872447847749026</v>
      </c>
      <c r="AQ51">
        <v>24.225674182107639</v>
      </c>
      <c r="AR51">
        <v>5.3299258033533583</v>
      </c>
      <c r="AS51">
        <v>25.082298934200974</v>
      </c>
      <c r="AT51" t="e">
        <v>#DIV/0!</v>
      </c>
      <c r="AU51" t="e">
        <v>#DIV/0!</v>
      </c>
      <c r="AV51"/>
      <c r="AW51"/>
      <c r="FY51" s="210">
        <v>46</v>
      </c>
      <c r="FZ51">
        <v>0.27886497278940114</v>
      </c>
      <c r="GA51">
        <v>6.3877261536234808</v>
      </c>
      <c r="GB51">
        <v>2.8843290619139377</v>
      </c>
      <c r="GC51">
        <v>7.467352900761318</v>
      </c>
      <c r="GD51">
        <v>5.8199122508165253</v>
      </c>
      <c r="GE51">
        <v>1.1695562879175558</v>
      </c>
      <c r="GF51">
        <v>1.0712213032574254</v>
      </c>
      <c r="GG51">
        <v>2.0920807796801988</v>
      </c>
      <c r="GH51">
        <v>2.6495207003364443</v>
      </c>
      <c r="GI51">
        <v>5.6465511066474257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0.32778883799609193</v>
      </c>
      <c r="E52" s="19">
        <v>3.8777122696400615E-2</v>
      </c>
      <c r="F52" s="8"/>
      <c r="G52" s="49">
        <f>$E$52*$E$21*G37</f>
        <v>0</v>
      </c>
      <c r="H52" s="49">
        <f t="shared" ref="H52:AK52" si="26">$E$52*$E$21*H37</f>
        <v>0</v>
      </c>
      <c r="I52" s="49">
        <f t="shared" si="26"/>
        <v>0.1040563773239187</v>
      </c>
      <c r="J52" s="49">
        <f t="shared" si="26"/>
        <v>0.2237324606721732</v>
      </c>
      <c r="K52" s="49">
        <f t="shared" si="26"/>
        <v>0</v>
      </c>
      <c r="L52" s="49">
        <f t="shared" si="26"/>
        <v>0</v>
      </c>
      <c r="M52" s="49">
        <f t="shared" si="26"/>
        <v>0</v>
      </c>
      <c r="N52" s="49">
        <f t="shared" si="26"/>
        <v>0</v>
      </c>
      <c r="O52" s="49">
        <f t="shared" si="26"/>
        <v>0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7.4439484126984112</v>
      </c>
      <c r="AO52">
        <v>8.0258737728381959</v>
      </c>
      <c r="AP52">
        <v>24.897111643235917</v>
      </c>
      <c r="AQ52">
        <v>25.308465102180655</v>
      </c>
      <c r="AR52">
        <v>7.4451519228554703</v>
      </c>
      <c r="AS52">
        <v>33.552151401317758</v>
      </c>
      <c r="AT52" t="e">
        <v>#DIV/0!</v>
      </c>
      <c r="AU52" t="e">
        <v>#DIV/0!</v>
      </c>
      <c r="AV52"/>
      <c r="AW52"/>
      <c r="FY52" s="210">
        <v>47</v>
      </c>
      <c r="FZ52">
        <v>0</v>
      </c>
      <c r="GA52">
        <v>0.97312462424168844</v>
      </c>
      <c r="GB52">
        <v>1.0445179814772214</v>
      </c>
      <c r="GC52">
        <v>13.046534305382908</v>
      </c>
      <c r="GD52">
        <v>9.6634228827185371</v>
      </c>
      <c r="GE52">
        <v>0.52502351249903412</v>
      </c>
      <c r="GF52">
        <v>0.38032995424220212</v>
      </c>
      <c r="GG52">
        <v>0.81714677051852402</v>
      </c>
      <c r="GH52">
        <v>0.66238017508411107</v>
      </c>
      <c r="GI52">
        <v>7.5289363691063649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1.5193343282746092</v>
      </c>
      <c r="E53" s="19">
        <v>3.3565979632026934E-2</v>
      </c>
      <c r="F53" s="8"/>
      <c r="G53" s="49">
        <f>$E$53*$E$22*G38</f>
        <v>0</v>
      </c>
      <c r="H53" s="49">
        <f t="shared" ref="H53:AK53" si="28">$E$53*$E$22*H38</f>
        <v>0</v>
      </c>
      <c r="I53" s="49">
        <f t="shared" si="28"/>
        <v>0.13677683200966725</v>
      </c>
      <c r="J53" s="49">
        <f t="shared" si="28"/>
        <v>0.29408497562054936</v>
      </c>
      <c r="K53" s="49">
        <f t="shared" si="28"/>
        <v>0</v>
      </c>
      <c r="L53" s="49">
        <f t="shared" si="28"/>
        <v>0</v>
      </c>
      <c r="M53" s="49">
        <f t="shared" si="28"/>
        <v>1.0884725206443926</v>
      </c>
      <c r="N53" s="49">
        <f t="shared" si="28"/>
        <v>0</v>
      </c>
      <c r="O53" s="49">
        <f t="shared" si="28"/>
        <v>0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6.8529647435897427</v>
      </c>
      <c r="AO53">
        <v>6.547221098492825</v>
      </c>
      <c r="AP53">
        <v>19.079402578203712</v>
      </c>
      <c r="AQ53">
        <v>21.203908791324693</v>
      </c>
      <c r="AR53">
        <v>6.0206237400548321</v>
      </c>
      <c r="AS53">
        <v>28.622730667326199</v>
      </c>
      <c r="AT53" t="e">
        <v>#DIV/0!</v>
      </c>
      <c r="AU53" t="e">
        <v>#DIV/0!</v>
      </c>
      <c r="AV53"/>
      <c r="AW53"/>
      <c r="FY53" s="210">
        <v>48</v>
      </c>
      <c r="FZ53">
        <v>9.9549254355594113E-2</v>
      </c>
      <c r="GA53">
        <v>2.0536189293539575</v>
      </c>
      <c r="GB53">
        <v>1.4908831465921764</v>
      </c>
      <c r="GC53">
        <v>6.304105971925603</v>
      </c>
      <c r="GD53">
        <v>4.6845410806293906</v>
      </c>
      <c r="GE53">
        <v>0.488099595198144</v>
      </c>
      <c r="GF53">
        <v>0.38032995424220212</v>
      </c>
      <c r="GG53">
        <v>1.2981488832102204</v>
      </c>
      <c r="GH53">
        <v>1.3247603501682221</v>
      </c>
      <c r="GI53">
        <v>4.1081318475102488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3.8573771141446267</v>
      </c>
      <c r="E54" s="19">
        <v>3.5857645106735621E-2</v>
      </c>
      <c r="F54" s="8"/>
      <c r="G54" s="49">
        <f>$E$54*$E$23*G39</f>
        <v>0</v>
      </c>
      <c r="H54" s="49">
        <f t="shared" ref="H54:AK54" si="29">$E$54*$E$23*H39</f>
        <v>0</v>
      </c>
      <c r="I54" s="49">
        <f t="shared" si="29"/>
        <v>0</v>
      </c>
      <c r="J54" s="49">
        <f t="shared" si="29"/>
        <v>0</v>
      </c>
      <c r="K54" s="49">
        <f t="shared" si="29"/>
        <v>0</v>
      </c>
      <c r="L54" s="49">
        <f t="shared" si="29"/>
        <v>0</v>
      </c>
      <c r="M54" s="49">
        <f t="shared" si="29"/>
        <v>0.93590117048677501</v>
      </c>
      <c r="N54" s="49">
        <f t="shared" si="29"/>
        <v>2.9214759436578519</v>
      </c>
      <c r="O54" s="49">
        <f t="shared" si="29"/>
        <v>0</v>
      </c>
      <c r="P54" s="49">
        <f t="shared" si="29"/>
        <v>0</v>
      </c>
      <c r="Q54" s="49">
        <f t="shared" si="29"/>
        <v>0</v>
      </c>
      <c r="R54" s="49">
        <f t="shared" si="29"/>
        <v>0</v>
      </c>
      <c r="S54" s="49">
        <f t="shared" si="29"/>
        <v>0</v>
      </c>
      <c r="T54" s="49">
        <f t="shared" si="29"/>
        <v>0</v>
      </c>
      <c r="U54" s="49">
        <f t="shared" si="29"/>
        <v>0</v>
      </c>
      <c r="V54" s="49">
        <f t="shared" si="29"/>
        <v>0</v>
      </c>
      <c r="W54" s="49">
        <f t="shared" si="29"/>
        <v>0</v>
      </c>
      <c r="X54" s="49">
        <f t="shared" si="29"/>
        <v>0</v>
      </c>
      <c r="Y54" s="49">
        <f t="shared" si="29"/>
        <v>0</v>
      </c>
      <c r="Z54" s="49">
        <f t="shared" si="29"/>
        <v>0</v>
      </c>
      <c r="AA54" s="49">
        <f t="shared" si="29"/>
        <v>0</v>
      </c>
      <c r="AB54" s="49">
        <f t="shared" si="29"/>
        <v>0</v>
      </c>
      <c r="AC54" s="49">
        <f t="shared" si="29"/>
        <v>0</v>
      </c>
      <c r="AD54" s="49">
        <f t="shared" si="29"/>
        <v>0</v>
      </c>
      <c r="AE54" s="49">
        <f t="shared" si="29"/>
        <v>0</v>
      </c>
      <c r="AF54" s="49">
        <f t="shared" si="29"/>
        <v>0</v>
      </c>
      <c r="AG54" s="49">
        <f t="shared" si="29"/>
        <v>0</v>
      </c>
      <c r="AH54" s="49">
        <f t="shared" si="29"/>
        <v>0</v>
      </c>
      <c r="AI54" s="49">
        <f t="shared" si="29"/>
        <v>0</v>
      </c>
      <c r="AJ54" s="49">
        <f t="shared" si="29"/>
        <v>0</v>
      </c>
      <c r="AK54" s="49">
        <f t="shared" si="29"/>
        <v>0</v>
      </c>
      <c r="AL54" s="42"/>
      <c r="AM54" s="43">
        <v>38</v>
      </c>
      <c r="AN54">
        <v>6.7455357142857135</v>
      </c>
      <c r="AO54">
        <v>5.9375315731263392</v>
      </c>
      <c r="AP54">
        <v>29.792586787055878</v>
      </c>
      <c r="AQ54">
        <v>24.828650036669124</v>
      </c>
      <c r="AR54">
        <v>5.4021838216130869</v>
      </c>
      <c r="AS54">
        <v>32.472001081558602</v>
      </c>
      <c r="AT54" t="e">
        <v>#DIV/0!</v>
      </c>
      <c r="AU54" t="e">
        <v>#DIV/0!</v>
      </c>
      <c r="AV54"/>
      <c r="AW54"/>
      <c r="FY54" s="210">
        <v>49</v>
      </c>
      <c r="FZ54">
        <v>0.52454686079360424</v>
      </c>
      <c r="GA54">
        <v>4.3760423225085914</v>
      </c>
      <c r="GB54">
        <v>1.7997897517166055</v>
      </c>
      <c r="GC54">
        <v>6.2954544737931197</v>
      </c>
      <c r="GD54">
        <v>5.5748355877840599</v>
      </c>
      <c r="GE54">
        <v>1.9905880887375833</v>
      </c>
      <c r="GF54">
        <v>0.76065990848440423</v>
      </c>
      <c r="GG54">
        <v>2.1152956537287446</v>
      </c>
      <c r="GH54">
        <v>1.9871405252523333</v>
      </c>
      <c r="GI54">
        <v>5.1961287371993734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5.824492100401983</v>
      </c>
      <c r="E55" s="19">
        <v>5.0000000000000001E-3</v>
      </c>
      <c r="F55" s="8"/>
      <c r="G55" s="49">
        <f>$E$55*$E$24*G40</f>
        <v>0</v>
      </c>
      <c r="H55" s="49">
        <f t="shared" ref="H55:AK55" si="30">$E$55*$E$24*H40</f>
        <v>0</v>
      </c>
      <c r="I55" s="49">
        <f t="shared" si="30"/>
        <v>0</v>
      </c>
      <c r="J55" s="49">
        <f t="shared" si="30"/>
        <v>0</v>
      </c>
      <c r="K55" s="49">
        <f t="shared" si="30"/>
        <v>0.13733168757374808</v>
      </c>
      <c r="L55" s="49">
        <f t="shared" si="30"/>
        <v>0.74914302968822366</v>
      </c>
      <c r="M55" s="49">
        <f t="shared" si="30"/>
        <v>2.4159107051032582</v>
      </c>
      <c r="N55" s="49">
        <f t="shared" si="30"/>
        <v>1.7596649663053527</v>
      </c>
      <c r="O55" s="49">
        <f t="shared" si="30"/>
        <v>0.76244171173139963</v>
      </c>
      <c r="P55" s="49">
        <f t="shared" si="30"/>
        <v>0</v>
      </c>
      <c r="Q55" s="49">
        <f t="shared" si="30"/>
        <v>0</v>
      </c>
      <c r="R55" s="49">
        <f t="shared" si="30"/>
        <v>0</v>
      </c>
      <c r="S55" s="49">
        <f t="shared" si="30"/>
        <v>0</v>
      </c>
      <c r="T55" s="49">
        <f t="shared" si="30"/>
        <v>0</v>
      </c>
      <c r="U55" s="49">
        <f t="shared" si="30"/>
        <v>0</v>
      </c>
      <c r="V55" s="49">
        <f t="shared" si="30"/>
        <v>0</v>
      </c>
      <c r="W55" s="49">
        <f t="shared" si="30"/>
        <v>0</v>
      </c>
      <c r="X55" s="49">
        <f t="shared" si="30"/>
        <v>0</v>
      </c>
      <c r="Y55" s="49">
        <f t="shared" si="30"/>
        <v>0</v>
      </c>
      <c r="Z55" s="49">
        <f t="shared" si="30"/>
        <v>0</v>
      </c>
      <c r="AA55" s="49">
        <f t="shared" si="30"/>
        <v>0</v>
      </c>
      <c r="AB55" s="49">
        <f t="shared" si="30"/>
        <v>0</v>
      </c>
      <c r="AC55" s="49">
        <f t="shared" si="30"/>
        <v>0</v>
      </c>
      <c r="AD55" s="49">
        <f t="shared" si="30"/>
        <v>0</v>
      </c>
      <c r="AE55" s="49">
        <f t="shared" si="30"/>
        <v>0</v>
      </c>
      <c r="AF55" s="49">
        <f t="shared" si="30"/>
        <v>0</v>
      </c>
      <c r="AG55" s="49">
        <f t="shared" si="30"/>
        <v>0</v>
      </c>
      <c r="AH55" s="49">
        <f t="shared" si="30"/>
        <v>0</v>
      </c>
      <c r="AI55" s="49">
        <f t="shared" si="30"/>
        <v>0</v>
      </c>
      <c r="AJ55" s="49">
        <f t="shared" si="30"/>
        <v>0</v>
      </c>
      <c r="AK55" s="49">
        <f t="shared" si="30"/>
        <v>0</v>
      </c>
      <c r="AL55" s="42"/>
      <c r="AM55" s="43">
        <v>39</v>
      </c>
      <c r="AN55">
        <v>10.711881868131867</v>
      </c>
      <c r="AO55">
        <v>7.8345971880081082</v>
      </c>
      <c r="AP55">
        <v>31.967089187860342</v>
      </c>
      <c r="AQ55">
        <v>30.821232216813282</v>
      </c>
      <c r="AR55">
        <v>7.2677153877626228</v>
      </c>
      <c r="AS55">
        <v>37.10225507648132</v>
      </c>
      <c r="AT55" t="e">
        <v>#DIV/0!</v>
      </c>
      <c r="AU55" t="e">
        <v>#DIV/0!</v>
      </c>
      <c r="AV55"/>
      <c r="AW55"/>
      <c r="FY55" s="210">
        <v>50</v>
      </c>
      <c r="FZ55">
        <v>0</v>
      </c>
      <c r="GA55">
        <v>1.9358920033539282</v>
      </c>
      <c r="GB55">
        <v>2.6350118340416477</v>
      </c>
      <c r="GC55">
        <v>7.6926484339487953</v>
      </c>
      <c r="GD55">
        <v>5.9248432404868741</v>
      </c>
      <c r="GE55">
        <v>1.8147363908084939</v>
      </c>
      <c r="GF55">
        <v>0</v>
      </c>
      <c r="GG55">
        <v>0</v>
      </c>
      <c r="GH55">
        <v>0</v>
      </c>
      <c r="GI55">
        <v>5.1382007152005125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5.2784243357613514</v>
      </c>
      <c r="E56" s="19">
        <v>5.0000000000000001E-3</v>
      </c>
      <c r="F56" s="8"/>
      <c r="G56" s="49">
        <f>$E$56*$E$25*G41</f>
        <v>0</v>
      </c>
      <c r="H56" s="49">
        <f t="shared" ref="H56:AK56" si="31">$E$56*$E$25*H41</f>
        <v>0</v>
      </c>
      <c r="I56" s="49">
        <f t="shared" si="31"/>
        <v>0</v>
      </c>
      <c r="J56" s="49">
        <f t="shared" si="31"/>
        <v>0</v>
      </c>
      <c r="K56" s="49">
        <f t="shared" si="31"/>
        <v>0.11771287506321264</v>
      </c>
      <c r="L56" s="49">
        <f t="shared" si="31"/>
        <v>0.93966292106890215</v>
      </c>
      <c r="M56" s="49">
        <f t="shared" si="31"/>
        <v>2.3555129374756762</v>
      </c>
      <c r="N56" s="49">
        <f t="shared" si="31"/>
        <v>1.2120141349552174</v>
      </c>
      <c r="O56" s="49">
        <f t="shared" si="31"/>
        <v>0.65352146719834248</v>
      </c>
      <c r="P56" s="49">
        <f t="shared" si="31"/>
        <v>0</v>
      </c>
      <c r="Q56" s="49">
        <f t="shared" si="31"/>
        <v>0</v>
      </c>
      <c r="R56" s="49">
        <f t="shared" si="31"/>
        <v>0</v>
      </c>
      <c r="S56" s="49">
        <f t="shared" si="31"/>
        <v>0</v>
      </c>
      <c r="T56" s="49">
        <f t="shared" si="31"/>
        <v>0</v>
      </c>
      <c r="U56" s="49">
        <f t="shared" si="31"/>
        <v>0</v>
      </c>
      <c r="V56" s="49">
        <f t="shared" si="31"/>
        <v>0</v>
      </c>
      <c r="W56" s="49">
        <f t="shared" si="31"/>
        <v>0</v>
      </c>
      <c r="X56" s="49">
        <f t="shared" si="31"/>
        <v>0</v>
      </c>
      <c r="Y56" s="49">
        <f t="shared" si="31"/>
        <v>0</v>
      </c>
      <c r="Z56" s="49">
        <f t="shared" si="31"/>
        <v>0</v>
      </c>
      <c r="AA56" s="49">
        <f t="shared" si="31"/>
        <v>0</v>
      </c>
      <c r="AB56" s="49">
        <f t="shared" si="31"/>
        <v>0</v>
      </c>
      <c r="AC56" s="49">
        <f t="shared" si="31"/>
        <v>0</v>
      </c>
      <c r="AD56" s="49">
        <f t="shared" si="31"/>
        <v>0</v>
      </c>
      <c r="AE56" s="49">
        <f t="shared" si="31"/>
        <v>0</v>
      </c>
      <c r="AF56" s="49">
        <f t="shared" si="31"/>
        <v>0</v>
      </c>
      <c r="AG56" s="49">
        <f t="shared" si="31"/>
        <v>0</v>
      </c>
      <c r="AH56" s="49">
        <f t="shared" si="31"/>
        <v>0</v>
      </c>
      <c r="AI56" s="49">
        <f t="shared" si="31"/>
        <v>0</v>
      </c>
      <c r="AJ56" s="49">
        <f t="shared" si="31"/>
        <v>0</v>
      </c>
      <c r="AK56" s="49">
        <f t="shared" si="31"/>
        <v>0</v>
      </c>
      <c r="AL56" s="42"/>
      <c r="AM56" s="43">
        <v>40</v>
      </c>
      <c r="AN56">
        <v>7.6752136752136746</v>
      </c>
      <c r="AO56">
        <v>9.8550071735919147</v>
      </c>
      <c r="AP56">
        <v>29.524662141792611</v>
      </c>
      <c r="AQ56">
        <v>30.187593232133484</v>
      </c>
      <c r="AR56">
        <v>9.1419361536103096</v>
      </c>
      <c r="AS56">
        <v>40.825067533266875</v>
      </c>
      <c r="AT56" t="e">
        <v>#DIV/0!</v>
      </c>
      <c r="AU56" t="e">
        <v>#DIV/0!</v>
      </c>
      <c r="AV56"/>
      <c r="AW56"/>
      <c r="FY56" s="210">
        <v>51</v>
      </c>
      <c r="FZ56">
        <v>0.2456818880042031</v>
      </c>
      <c r="GA56">
        <v>3.9213835605039815</v>
      </c>
      <c r="GB56">
        <v>1.7358534250607978</v>
      </c>
      <c r="GC56">
        <v>0.56257187527621133</v>
      </c>
      <c r="GD56">
        <v>1.0536099422267164</v>
      </c>
      <c r="GE56">
        <v>1.32663679561035</v>
      </c>
      <c r="GF56">
        <v>0.38032995424220212</v>
      </c>
      <c r="GG56">
        <v>3.2221573339770044</v>
      </c>
      <c r="GH56">
        <v>3.9742810505046662</v>
      </c>
      <c r="GI56">
        <v>1.9854245034276865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1.1645453145894744</v>
      </c>
      <c r="E57" s="19">
        <v>5.0000000000000001E-3</v>
      </c>
      <c r="F57" s="8"/>
      <c r="G57" s="49">
        <f>$E$57*$E$26*G42</f>
        <v>0</v>
      </c>
      <c r="H57" s="49">
        <f t="shared" ref="H57:AK57" si="32">$E$57*$E$26*H42</f>
        <v>0</v>
      </c>
      <c r="I57" s="49">
        <f t="shared" si="32"/>
        <v>0</v>
      </c>
      <c r="J57" s="49">
        <f t="shared" si="32"/>
        <v>0</v>
      </c>
      <c r="K57" s="49">
        <f t="shared" si="32"/>
        <v>0</v>
      </c>
      <c r="L57" s="49">
        <f t="shared" si="32"/>
        <v>0.59508064838656383</v>
      </c>
      <c r="M57" s="49">
        <f t="shared" si="32"/>
        <v>0.5694646662029107</v>
      </c>
      <c r="N57" s="49">
        <f t="shared" si="32"/>
        <v>0</v>
      </c>
      <c r="O57" s="49">
        <f t="shared" si="32"/>
        <v>0</v>
      </c>
      <c r="P57" s="49">
        <f t="shared" si="32"/>
        <v>0</v>
      </c>
      <c r="Q57" s="49">
        <f t="shared" si="32"/>
        <v>0</v>
      </c>
      <c r="R57" s="49">
        <f t="shared" si="32"/>
        <v>0</v>
      </c>
      <c r="S57" s="49">
        <f t="shared" si="32"/>
        <v>0</v>
      </c>
      <c r="T57" s="49">
        <f t="shared" si="32"/>
        <v>0</v>
      </c>
      <c r="U57" s="49">
        <f t="shared" si="32"/>
        <v>0</v>
      </c>
      <c r="V57" s="49">
        <f t="shared" si="32"/>
        <v>0</v>
      </c>
      <c r="W57" s="49">
        <f t="shared" si="32"/>
        <v>0</v>
      </c>
      <c r="X57" s="49">
        <f t="shared" si="32"/>
        <v>0</v>
      </c>
      <c r="Y57" s="49">
        <f t="shared" si="32"/>
        <v>0</v>
      </c>
      <c r="Z57" s="49">
        <f t="shared" si="32"/>
        <v>0</v>
      </c>
      <c r="AA57" s="49">
        <f t="shared" si="32"/>
        <v>0</v>
      </c>
      <c r="AB57" s="49">
        <f t="shared" si="32"/>
        <v>0</v>
      </c>
      <c r="AC57" s="49">
        <f t="shared" si="32"/>
        <v>0</v>
      </c>
      <c r="AD57" s="49">
        <f t="shared" si="32"/>
        <v>0</v>
      </c>
      <c r="AE57" s="49">
        <f t="shared" si="32"/>
        <v>0</v>
      </c>
      <c r="AF57" s="49">
        <f t="shared" si="32"/>
        <v>0</v>
      </c>
      <c r="AG57" s="49">
        <f t="shared" si="32"/>
        <v>0</v>
      </c>
      <c r="AH57" s="49">
        <f t="shared" si="32"/>
        <v>0</v>
      </c>
      <c r="AI57" s="49">
        <f t="shared" si="32"/>
        <v>0</v>
      </c>
      <c r="AJ57" s="49">
        <f t="shared" si="32"/>
        <v>0</v>
      </c>
      <c r="AK57" s="49">
        <f t="shared" si="32"/>
        <v>0</v>
      </c>
      <c r="AL57" s="42"/>
      <c r="AM57" s="43">
        <v>41</v>
      </c>
      <c r="AN57">
        <v>6.0208714896214888</v>
      </c>
      <c r="AO57">
        <v>5.3689956017053309</v>
      </c>
      <c r="AP57">
        <v>25.530670471367891</v>
      </c>
      <c r="AQ57">
        <v>21.558654163716604</v>
      </c>
      <c r="AR57">
        <v>4.9805154004687662</v>
      </c>
      <c r="AS57">
        <v>22.697048731802475</v>
      </c>
      <c r="AT57" t="e">
        <v>#DIV/0!</v>
      </c>
      <c r="AU57" t="e">
        <v>#DIV/0!</v>
      </c>
      <c r="AV57"/>
      <c r="AW57"/>
      <c r="FY57" s="210">
        <v>52</v>
      </c>
      <c r="FZ57">
        <v>0.27886497278940114</v>
      </c>
      <c r="GA57">
        <v>3.9606258691706584</v>
      </c>
      <c r="GB57">
        <v>2.3079177687855337</v>
      </c>
      <c r="GC57">
        <v>6.7043251551740157</v>
      </c>
      <c r="GD57">
        <v>4.9527998542748399</v>
      </c>
      <c r="GE57">
        <v>1.6100813366814588</v>
      </c>
      <c r="GF57">
        <v>2.522772560757053</v>
      </c>
      <c r="GG57">
        <v>1.634293541037048</v>
      </c>
      <c r="GH57">
        <v>1.3247603501682221</v>
      </c>
      <c r="GI57">
        <v>5.1474479096999044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0.30631372406270346</v>
      </c>
      <c r="E58" s="19">
        <v>1.9826368600276503E-2</v>
      </c>
      <c r="F58" s="8"/>
      <c r="G58" s="49">
        <f>$E$58*$E$27*G43</f>
        <v>0</v>
      </c>
      <c r="H58" s="49">
        <f t="shared" ref="H58:AK58" si="33">$E$58*$E$27*H43</f>
        <v>0</v>
      </c>
      <c r="I58" s="49">
        <f t="shared" si="33"/>
        <v>0</v>
      </c>
      <c r="J58" s="49">
        <f t="shared" si="33"/>
        <v>0</v>
      </c>
      <c r="K58" s="49">
        <f t="shared" si="33"/>
        <v>0.30631372406270346</v>
      </c>
      <c r="L58" s="49">
        <f t="shared" si="33"/>
        <v>0</v>
      </c>
      <c r="M58" s="49">
        <f t="shared" si="33"/>
        <v>0</v>
      </c>
      <c r="N58" s="49">
        <f t="shared" si="33"/>
        <v>0</v>
      </c>
      <c r="O58" s="49">
        <f t="shared" si="33"/>
        <v>0</v>
      </c>
      <c r="P58" s="49">
        <f t="shared" si="33"/>
        <v>0</v>
      </c>
      <c r="Q58" s="49">
        <f t="shared" si="33"/>
        <v>0</v>
      </c>
      <c r="R58" s="49">
        <f t="shared" si="33"/>
        <v>0</v>
      </c>
      <c r="S58" s="49">
        <f t="shared" si="33"/>
        <v>0</v>
      </c>
      <c r="T58" s="49">
        <f t="shared" si="33"/>
        <v>0</v>
      </c>
      <c r="U58" s="49">
        <f t="shared" si="33"/>
        <v>0</v>
      </c>
      <c r="V58" s="49">
        <f t="shared" si="33"/>
        <v>0</v>
      </c>
      <c r="W58" s="49">
        <f t="shared" si="33"/>
        <v>0</v>
      </c>
      <c r="X58" s="49">
        <f t="shared" si="33"/>
        <v>0</v>
      </c>
      <c r="Y58" s="49">
        <f t="shared" si="33"/>
        <v>0</v>
      </c>
      <c r="Z58" s="49">
        <f t="shared" si="33"/>
        <v>0</v>
      </c>
      <c r="AA58" s="49">
        <f t="shared" si="33"/>
        <v>0</v>
      </c>
      <c r="AB58" s="49">
        <f t="shared" si="33"/>
        <v>0</v>
      </c>
      <c r="AC58" s="49">
        <f t="shared" si="33"/>
        <v>0</v>
      </c>
      <c r="AD58" s="49">
        <f t="shared" si="33"/>
        <v>0</v>
      </c>
      <c r="AE58" s="49">
        <f t="shared" si="33"/>
        <v>0</v>
      </c>
      <c r="AF58" s="49">
        <f t="shared" si="33"/>
        <v>0</v>
      </c>
      <c r="AG58" s="49">
        <f t="shared" si="33"/>
        <v>0</v>
      </c>
      <c r="AH58" s="49">
        <f t="shared" si="33"/>
        <v>0</v>
      </c>
      <c r="AI58" s="49">
        <f t="shared" si="33"/>
        <v>0</v>
      </c>
      <c r="AJ58" s="49">
        <f t="shared" si="33"/>
        <v>0</v>
      </c>
      <c r="AK58" s="49">
        <f t="shared" si="33"/>
        <v>0</v>
      </c>
      <c r="AL58" s="42"/>
      <c r="AM58" s="43">
        <v>42</v>
      </c>
      <c r="AN58">
        <v>7.2500381562881557</v>
      </c>
      <c r="AO58">
        <v>6.8011477625315679</v>
      </c>
      <c r="AP58">
        <v>23.79619301629846</v>
      </c>
      <c r="AQ58">
        <v>23.952690950410584</v>
      </c>
      <c r="AR58">
        <v>6.3090424513279864</v>
      </c>
      <c r="AS58">
        <v>31.243686235810781</v>
      </c>
      <c r="AT58" t="e">
        <v>#DIV/0!</v>
      </c>
      <c r="AU58" t="e">
        <v>#DIV/0!</v>
      </c>
      <c r="AV58"/>
      <c r="AW58"/>
      <c r="FY58" s="210">
        <v>53</v>
      </c>
      <c r="FZ58">
        <v>0.27886497278940114</v>
      </c>
      <c r="GA58">
        <v>4.3264427687124662</v>
      </c>
      <c r="GB58">
        <v>1.9015739323906893</v>
      </c>
      <c r="GC58">
        <v>5.6113833698952522</v>
      </c>
      <c r="GD58">
        <v>4.9372318937097504</v>
      </c>
      <c r="GE58">
        <v>3.2308133024962693</v>
      </c>
      <c r="GF58">
        <v>3.0234989326511759</v>
      </c>
      <c r="GG58">
        <v>2.7411552212853092</v>
      </c>
      <c r="GH58">
        <v>3.3119008754205557</v>
      </c>
      <c r="GI58">
        <v>5.1802901155463736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0.80117210678070516</v>
      </c>
      <c r="E59" s="19">
        <v>1.9826E-2</v>
      </c>
      <c r="F59" s="8"/>
      <c r="G59" s="49">
        <f>$E$59*$E$28*G44</f>
        <v>0</v>
      </c>
      <c r="H59" s="49">
        <f t="shared" ref="H59:AK59" si="34">$E$59*$E$28*H44</f>
        <v>0</v>
      </c>
      <c r="I59" s="49">
        <f t="shared" si="34"/>
        <v>0</v>
      </c>
      <c r="J59" s="49">
        <f t="shared" si="34"/>
        <v>0</v>
      </c>
      <c r="K59" s="49">
        <f t="shared" si="34"/>
        <v>0.18961925620651435</v>
      </c>
      <c r="L59" s="49">
        <f t="shared" si="34"/>
        <v>0</v>
      </c>
      <c r="M59" s="49">
        <f t="shared" si="34"/>
        <v>0.61155285057419084</v>
      </c>
      <c r="N59" s="49">
        <f t="shared" si="34"/>
        <v>0</v>
      </c>
      <c r="O59" s="49">
        <f t="shared" si="34"/>
        <v>0</v>
      </c>
      <c r="P59" s="49">
        <f t="shared" si="34"/>
        <v>0</v>
      </c>
      <c r="Q59" s="49">
        <f t="shared" si="34"/>
        <v>0</v>
      </c>
      <c r="R59" s="49">
        <f t="shared" si="34"/>
        <v>0</v>
      </c>
      <c r="S59" s="49">
        <f t="shared" si="34"/>
        <v>0</v>
      </c>
      <c r="T59" s="49">
        <f t="shared" si="34"/>
        <v>0</v>
      </c>
      <c r="U59" s="49">
        <f t="shared" si="34"/>
        <v>0</v>
      </c>
      <c r="V59" s="49">
        <f t="shared" si="34"/>
        <v>0</v>
      </c>
      <c r="W59" s="49">
        <f t="shared" si="34"/>
        <v>0</v>
      </c>
      <c r="X59" s="49">
        <f t="shared" si="34"/>
        <v>0</v>
      </c>
      <c r="Y59" s="49">
        <f t="shared" si="34"/>
        <v>0</v>
      </c>
      <c r="Z59" s="49">
        <f t="shared" si="34"/>
        <v>0</v>
      </c>
      <c r="AA59" s="49">
        <f t="shared" si="34"/>
        <v>0</v>
      </c>
      <c r="AB59" s="49">
        <f t="shared" si="34"/>
        <v>0</v>
      </c>
      <c r="AC59" s="49">
        <f t="shared" si="34"/>
        <v>0</v>
      </c>
      <c r="AD59" s="49">
        <f t="shared" si="34"/>
        <v>0</v>
      </c>
      <c r="AE59" s="49">
        <f t="shared" si="34"/>
        <v>0</v>
      </c>
      <c r="AF59" s="49">
        <f t="shared" si="34"/>
        <v>0</v>
      </c>
      <c r="AG59" s="49">
        <f t="shared" si="34"/>
        <v>0</v>
      </c>
      <c r="AH59" s="49">
        <f t="shared" si="34"/>
        <v>0</v>
      </c>
      <c r="AI59" s="49">
        <f t="shared" si="34"/>
        <v>0</v>
      </c>
      <c r="AJ59" s="49">
        <f t="shared" si="34"/>
        <v>0</v>
      </c>
      <c r="AK59" s="49">
        <f t="shared" si="34"/>
        <v>0</v>
      </c>
      <c r="AL59" s="42"/>
      <c r="AM59" s="43">
        <v>43</v>
      </c>
      <c r="AN59">
        <v>7.8120421245421223</v>
      </c>
      <c r="AO59">
        <v>7.6944546471034956</v>
      </c>
      <c r="AP59">
        <v>30.455426210058015</v>
      </c>
      <c r="AQ59">
        <v>28.132912646454415</v>
      </c>
      <c r="AR59">
        <v>7.0319825915362371</v>
      </c>
      <c r="AS59">
        <v>36.91405115354884</v>
      </c>
      <c r="AT59" t="e">
        <v>#DIV/0!</v>
      </c>
      <c r="AU59" t="e">
        <v>#DIV/0!</v>
      </c>
      <c r="AV59"/>
      <c r="AW59"/>
      <c r="FY59" s="210">
        <v>54</v>
      </c>
      <c r="FZ59">
        <v>3.3183084785198033E-2</v>
      </c>
      <c r="GA59">
        <v>1.9751343120206046</v>
      </c>
      <c r="GB59">
        <v>1.4908831465921764</v>
      </c>
      <c r="GC59">
        <v>5.9763033299075117</v>
      </c>
      <c r="GD59">
        <v>4.9065238147982111</v>
      </c>
      <c r="GE59">
        <v>3.1657333564698504</v>
      </c>
      <c r="GF59">
        <v>3.0234989326511759</v>
      </c>
      <c r="GG59">
        <v>1.2981488832102204</v>
      </c>
      <c r="GH59">
        <v>1.3247603501682221</v>
      </c>
      <c r="GI59">
        <v>4.9646702173698047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0.99499831618911816</v>
      </c>
      <c r="E60" s="19">
        <v>3.3105828673915851E-2</v>
      </c>
      <c r="F60" s="8"/>
      <c r="G60" s="49">
        <f>$E$60*$E$29*G45</f>
        <v>0</v>
      </c>
      <c r="H60" s="49">
        <f t="shared" ref="H60:AK60" si="35">$E$60*$E$29*H45</f>
        <v>0</v>
      </c>
      <c r="I60" s="49">
        <f t="shared" si="35"/>
        <v>0</v>
      </c>
      <c r="J60" s="49">
        <f t="shared" si="35"/>
        <v>0</v>
      </c>
      <c r="K60" s="49">
        <f t="shared" si="35"/>
        <v>0</v>
      </c>
      <c r="L60" s="49">
        <f t="shared" si="35"/>
        <v>0</v>
      </c>
      <c r="M60" s="49">
        <f t="shared" si="35"/>
        <v>0.99499831618911816</v>
      </c>
      <c r="N60" s="49">
        <f t="shared" si="35"/>
        <v>0</v>
      </c>
      <c r="O60" s="49">
        <f t="shared" si="35"/>
        <v>0</v>
      </c>
      <c r="P60" s="49">
        <f t="shared" si="35"/>
        <v>0</v>
      </c>
      <c r="Q60" s="49">
        <f t="shared" si="35"/>
        <v>0</v>
      </c>
      <c r="R60" s="49">
        <f t="shared" si="35"/>
        <v>0</v>
      </c>
      <c r="S60" s="49">
        <f t="shared" si="35"/>
        <v>0</v>
      </c>
      <c r="T60" s="49">
        <f t="shared" si="35"/>
        <v>0</v>
      </c>
      <c r="U60" s="49">
        <f t="shared" si="35"/>
        <v>0</v>
      </c>
      <c r="V60" s="49">
        <f t="shared" si="35"/>
        <v>0</v>
      </c>
      <c r="W60" s="49">
        <f t="shared" si="35"/>
        <v>0</v>
      </c>
      <c r="X60" s="49">
        <f t="shared" si="35"/>
        <v>0</v>
      </c>
      <c r="Y60" s="49">
        <f t="shared" si="35"/>
        <v>0</v>
      </c>
      <c r="Z60" s="49">
        <f t="shared" si="35"/>
        <v>0</v>
      </c>
      <c r="AA60" s="49">
        <f t="shared" si="35"/>
        <v>0</v>
      </c>
      <c r="AB60" s="49">
        <f t="shared" si="35"/>
        <v>0</v>
      </c>
      <c r="AC60" s="49">
        <f t="shared" si="35"/>
        <v>0</v>
      </c>
      <c r="AD60" s="49">
        <f t="shared" si="35"/>
        <v>0</v>
      </c>
      <c r="AE60" s="49">
        <f t="shared" si="35"/>
        <v>0</v>
      </c>
      <c r="AF60" s="49">
        <f t="shared" si="35"/>
        <v>0</v>
      </c>
      <c r="AG60" s="49">
        <f t="shared" si="35"/>
        <v>0</v>
      </c>
      <c r="AH60" s="49">
        <f t="shared" si="35"/>
        <v>0</v>
      </c>
      <c r="AI60" s="49">
        <f t="shared" si="35"/>
        <v>0</v>
      </c>
      <c r="AJ60" s="49">
        <f t="shared" si="35"/>
        <v>0</v>
      </c>
      <c r="AK60" s="49">
        <f t="shared" si="35"/>
        <v>0</v>
      </c>
      <c r="AL60" s="42"/>
      <c r="AM60" s="43">
        <v>44</v>
      </c>
      <c r="AN60">
        <v>8.3998778998779002</v>
      </c>
      <c r="AO60">
        <v>10.470775921479232</v>
      </c>
      <c r="AP60">
        <v>35.402439661150531</v>
      </c>
      <c r="AQ60">
        <v>34.980338652298556</v>
      </c>
      <c r="AR60">
        <v>9.7131502054538323</v>
      </c>
      <c r="AS60">
        <v>52.919501691044061</v>
      </c>
      <c r="AT60" t="e">
        <v>#DIV/0!</v>
      </c>
      <c r="AU60" t="e">
        <v>#DIV/0!</v>
      </c>
      <c r="AV60"/>
      <c r="AW60"/>
      <c r="FY60" s="210">
        <v>55</v>
      </c>
      <c r="FZ60">
        <v>0</v>
      </c>
      <c r="GA60">
        <v>2.1866747664680997</v>
      </c>
      <c r="GB60">
        <v>1.6187557999037911</v>
      </c>
      <c r="GC60">
        <v>12.031563301504459</v>
      </c>
      <c r="GD60">
        <v>8.6677728009582591</v>
      </c>
      <c r="GE60">
        <v>0</v>
      </c>
      <c r="GF60">
        <v>0.19016497712110106</v>
      </c>
      <c r="GG60">
        <v>0.64907444160511019</v>
      </c>
      <c r="GH60">
        <v>0.66238017508411107</v>
      </c>
      <c r="GI60">
        <v>6.8964283321305127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8.164119302831784</v>
      </c>
      <c r="E61" s="19">
        <v>3.5000000000000003E-2</v>
      </c>
      <c r="F61" s="8"/>
      <c r="G61" s="49">
        <f>$E$61*$E$30*G46</f>
        <v>0</v>
      </c>
      <c r="H61" s="49">
        <f t="shared" ref="H61:AK61" si="36">$E$61*$E$30*H46</f>
        <v>0</v>
      </c>
      <c r="I61" s="49">
        <f t="shared" si="36"/>
        <v>1.6697007367411674E-2</v>
      </c>
      <c r="J61" s="49">
        <f t="shared" si="36"/>
        <v>3.5900370935878508E-2</v>
      </c>
      <c r="K61" s="49">
        <f t="shared" si="36"/>
        <v>0.20599753136062213</v>
      </c>
      <c r="L61" s="49">
        <f t="shared" si="36"/>
        <v>1.3155280894964632</v>
      </c>
      <c r="M61" s="49">
        <f t="shared" si="36"/>
        <v>3.563468290027306</v>
      </c>
      <c r="N61" s="49">
        <f t="shared" si="36"/>
        <v>2.1115979595664234</v>
      </c>
      <c r="O61" s="49">
        <f t="shared" si="36"/>
        <v>0.91493005407767958</v>
      </c>
      <c r="P61" s="49">
        <f t="shared" si="36"/>
        <v>0</v>
      </c>
      <c r="Q61" s="49">
        <f t="shared" si="36"/>
        <v>0</v>
      </c>
      <c r="R61" s="49">
        <f t="shared" si="36"/>
        <v>0</v>
      </c>
      <c r="S61" s="49">
        <f t="shared" si="36"/>
        <v>0</v>
      </c>
      <c r="T61" s="49">
        <f t="shared" si="36"/>
        <v>0</v>
      </c>
      <c r="U61" s="49">
        <f t="shared" si="36"/>
        <v>0</v>
      </c>
      <c r="V61" s="49">
        <f t="shared" si="36"/>
        <v>0</v>
      </c>
      <c r="W61" s="49">
        <f t="shared" si="36"/>
        <v>0</v>
      </c>
      <c r="X61" s="49">
        <f t="shared" si="36"/>
        <v>0</v>
      </c>
      <c r="Y61" s="49">
        <f t="shared" si="36"/>
        <v>0</v>
      </c>
      <c r="Z61" s="49">
        <f t="shared" si="36"/>
        <v>0</v>
      </c>
      <c r="AA61" s="49">
        <f t="shared" si="36"/>
        <v>0</v>
      </c>
      <c r="AB61" s="49">
        <f t="shared" si="36"/>
        <v>0</v>
      </c>
      <c r="AC61" s="49">
        <f t="shared" si="36"/>
        <v>0</v>
      </c>
      <c r="AD61" s="49">
        <f t="shared" si="36"/>
        <v>0</v>
      </c>
      <c r="AE61" s="49">
        <f t="shared" si="36"/>
        <v>0</v>
      </c>
      <c r="AF61" s="49">
        <f t="shared" si="36"/>
        <v>0</v>
      </c>
      <c r="AG61" s="49">
        <f t="shared" si="36"/>
        <v>0</v>
      </c>
      <c r="AH61" s="49">
        <f t="shared" si="36"/>
        <v>0</v>
      </c>
      <c r="AI61" s="49">
        <f t="shared" si="36"/>
        <v>0</v>
      </c>
      <c r="AJ61" s="49">
        <f t="shared" si="36"/>
        <v>0</v>
      </c>
      <c r="AK61" s="49">
        <f t="shared" si="36"/>
        <v>0</v>
      </c>
      <c r="AL61" s="42"/>
      <c r="AM61" s="43">
        <v>45</v>
      </c>
      <c r="AN61">
        <v>6.5896100427350417</v>
      </c>
      <c r="AO61">
        <v>8.2818873901211951</v>
      </c>
      <c r="AP61">
        <v>28.236940041779814</v>
      </c>
      <c r="AQ61">
        <v>28.67390243582722</v>
      </c>
      <c r="AR61">
        <v>7.6297761441627809</v>
      </c>
      <c r="AS61">
        <v>37.755095609694145</v>
      </c>
      <c r="AT61" t="e">
        <v>#DIV/0!</v>
      </c>
      <c r="AU61" t="e">
        <v>#DIV/0!</v>
      </c>
      <c r="AV61"/>
      <c r="AW61"/>
      <c r="FY61" s="210">
        <v>56</v>
      </c>
      <c r="FZ61">
        <v>0.2456818880042031</v>
      </c>
      <c r="GA61">
        <v>4.1618090784887043</v>
      </c>
      <c r="GB61">
        <v>1.8376376057348818</v>
      </c>
      <c r="GC61">
        <v>5.4490306778674524</v>
      </c>
      <c r="GD61">
        <v>4.2561166250715505</v>
      </c>
      <c r="GE61">
        <v>1.6100813366814588</v>
      </c>
      <c r="GF61">
        <v>2.522772560757053</v>
      </c>
      <c r="GG61">
        <v>1.634293541037048</v>
      </c>
      <c r="GH61">
        <v>1.3247603501682221</v>
      </c>
      <c r="GI61">
        <v>4.3916186117484726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9.8162202380952372</v>
      </c>
      <c r="AO62">
        <v>9.2894558608444378</v>
      </c>
      <c r="AP62">
        <v>39.695385613397214</v>
      </c>
      <c r="AQ62">
        <v>35.467115517743714</v>
      </c>
      <c r="AR62">
        <v>8.5644407737761821</v>
      </c>
      <c r="AS62">
        <v>56.79763978651841</v>
      </c>
      <c r="AT62" t="e">
        <v>#DIV/0!</v>
      </c>
      <c r="AU62" t="e">
        <v>#DIV/0!</v>
      </c>
      <c r="AV62"/>
      <c r="AW62"/>
      <c r="FY62" s="210">
        <v>57</v>
      </c>
      <c r="FZ62">
        <v>3.3183084785198033E-2</v>
      </c>
      <c r="GA62">
        <v>2.1005256935776906</v>
      </c>
      <c r="GB62">
        <v>1.5548194732479839</v>
      </c>
      <c r="GC62">
        <v>9.6099246373996898</v>
      </c>
      <c r="GD62">
        <v>7.9567194661173568</v>
      </c>
      <c r="GE62">
        <v>3.7558368149953028</v>
      </c>
      <c r="GF62">
        <v>2.8333339555300743</v>
      </c>
      <c r="GG62">
        <v>1.1300765542968063</v>
      </c>
      <c r="GH62">
        <v>1.3247603501682221</v>
      </c>
      <c r="GI62">
        <v>6.8398490048658331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28.238565481032445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8.0034722222222214</v>
      </c>
      <c r="AO63">
        <v>12.483590590833932</v>
      </c>
      <c r="AP63">
        <v>30.054351012840101</v>
      </c>
      <c r="AQ63">
        <v>34.641416575270583</v>
      </c>
      <c r="AR63">
        <v>11.580325223408103</v>
      </c>
      <c r="AS63">
        <v>71.037556278617373</v>
      </c>
      <c r="AT63" t="e">
        <v>#DIV/0!</v>
      </c>
      <c r="AU63" t="e">
        <v>#DIV/0!</v>
      </c>
      <c r="AV63"/>
      <c r="AW63"/>
      <c r="FY63" s="210">
        <v>58</v>
      </c>
      <c r="FZ63">
        <v>0.59091303036400022</v>
      </c>
      <c r="GA63">
        <v>2.393243554930931</v>
      </c>
      <c r="GB63">
        <v>1.9611633096428283</v>
      </c>
      <c r="GC63">
        <v>7.3000898722783774</v>
      </c>
      <c r="GD63">
        <v>5.2476590132186249</v>
      </c>
      <c r="GE63">
        <v>1.0675524245902468</v>
      </c>
      <c r="GF63">
        <v>1.6417162346207288</v>
      </c>
      <c r="GG63">
        <v>1.1532914283453519</v>
      </c>
      <c r="GH63">
        <v>0.66238017508411107</v>
      </c>
      <c r="GI63">
        <v>4.8351182213433557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6.3333714896214888</v>
      </c>
      <c r="AO64">
        <v>6.7937302196477827</v>
      </c>
      <c r="AP64">
        <v>22.765232382155983</v>
      </c>
      <c r="AQ64">
        <v>22.232169013185761</v>
      </c>
      <c r="AR64">
        <v>6.3021616137734542</v>
      </c>
      <c r="AS64">
        <v>28.154704216507255</v>
      </c>
      <c r="AT64" t="e">
        <v>#DIV/0!</v>
      </c>
      <c r="AU64" t="e">
        <v>#DIV/0!</v>
      </c>
      <c r="AV64"/>
      <c r="AW64"/>
      <c r="FY64" s="210">
        <v>59</v>
      </c>
      <c r="FZ64">
        <v>0.2456818880042031</v>
      </c>
      <c r="GA64">
        <v>3.4498244624906356</v>
      </c>
      <c r="GB64">
        <v>2.0912094376562771</v>
      </c>
      <c r="GC64">
        <v>6.1417532798978032</v>
      </c>
      <c r="GD64">
        <v>5.3775522760407384</v>
      </c>
      <c r="GE64">
        <v>3.2871557375058709</v>
      </c>
      <c r="GF64">
        <v>1.95227762939375</v>
      </c>
      <c r="GG64">
        <v>1.6110786669885027</v>
      </c>
      <c r="GH64">
        <v>1.9871405252523333</v>
      </c>
      <c r="GI64">
        <v>5.2980236136452454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7.940476190476188</v>
      </c>
      <c r="AO65">
        <v>8.63209393543241</v>
      </c>
      <c r="AP65">
        <v>32.483100973373681</v>
      </c>
      <c r="AQ65">
        <v>30.620481909998418</v>
      </c>
      <c r="AR65">
        <v>8.0075082888983395</v>
      </c>
      <c r="AS65">
        <v>40.913731319939139</v>
      </c>
      <c r="AT65" t="e">
        <v>#DIV/0!</v>
      </c>
      <c r="AU65" t="e">
        <v>#DIV/0!</v>
      </c>
      <c r="AV65"/>
      <c r="AW65"/>
      <c r="FY65" s="210">
        <v>60</v>
      </c>
      <c r="FZ65">
        <v>6.6366169570396066E-2</v>
      </c>
      <c r="GA65">
        <v>0.32926738044752452</v>
      </c>
      <c r="GB65">
        <v>0.69993699703635026</v>
      </c>
      <c r="GC65">
        <v>6.304105971925603</v>
      </c>
      <c r="GD65">
        <v>4.9250854651133906</v>
      </c>
      <c r="GE65">
        <v>1.5187281024875006</v>
      </c>
      <c r="GF65">
        <v>1.2613862803785265</v>
      </c>
      <c r="GG65">
        <v>1.2981488832102204</v>
      </c>
      <c r="GH65">
        <v>1.3247603501682221</v>
      </c>
      <c r="GI65">
        <v>4.2200086461522037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6.5596001221001217</v>
      </c>
      <c r="AO66">
        <v>8.6101959695134589</v>
      </c>
      <c r="AP66">
        <v>25.355835538015999</v>
      </c>
      <c r="AQ66">
        <v>25.141332617840252</v>
      </c>
      <c r="AR66">
        <v>7.9871947769141549</v>
      </c>
      <c r="AS66">
        <v>36.69842256955755</v>
      </c>
      <c r="AT66" t="e">
        <v>#DIV/0!</v>
      </c>
      <c r="AU66" t="e">
        <v>#DIV/0!</v>
      </c>
      <c r="AV66"/>
      <c r="AW66"/>
      <c r="FY66" s="210">
        <v>61</v>
      </c>
      <c r="FZ66">
        <v>0.49136377600840619</v>
      </c>
      <c r="GA66">
        <v>2.8921162915868814</v>
      </c>
      <c r="GB66">
        <v>2.2547564702843337</v>
      </c>
      <c r="GC66">
        <v>8.1410883992659926</v>
      </c>
      <c r="GD66">
        <v>6.0105074886303562</v>
      </c>
      <c r="GE66">
        <v>1.3441421952025283</v>
      </c>
      <c r="GF66">
        <v>1.4515512574996277</v>
      </c>
      <c r="GG66">
        <v>1.9472233248153306</v>
      </c>
      <c r="GH66">
        <v>1.9871405252523333</v>
      </c>
      <c r="GI66">
        <v>5.5939300529915377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3.7673992673992673</v>
      </c>
      <c r="AO67">
        <v>3.2534000720627545</v>
      </c>
      <c r="AP67">
        <v>24.330018866858328</v>
      </c>
      <c r="AQ67">
        <v>18.407930328833817</v>
      </c>
      <c r="AR67">
        <v>3.0179963562734278</v>
      </c>
      <c r="AS67">
        <v>15.625612578444127</v>
      </c>
      <c r="AT67" t="e">
        <v>#DIV/0!</v>
      </c>
      <c r="AU67" t="e">
        <v>#DIV/0!</v>
      </c>
      <c r="AV67"/>
      <c r="AW67"/>
      <c r="FY67" s="210">
        <v>62</v>
      </c>
      <c r="FZ67">
        <v>0.27886497278940114</v>
      </c>
      <c r="GA67">
        <v>3.238284008043141</v>
      </c>
      <c r="GB67">
        <v>1.9633367843446625</v>
      </c>
      <c r="GC67">
        <v>4.702021749075274</v>
      </c>
      <c r="GD67">
        <v>3.9999762588355745</v>
      </c>
      <c r="GE67">
        <v>1.501222702895322</v>
      </c>
      <c r="GF67">
        <v>0.5704949313633032</v>
      </c>
      <c r="GG67">
        <v>1.4662212121236342</v>
      </c>
      <c r="GH67">
        <v>1.3247603501682221</v>
      </c>
      <c r="GI67">
        <v>3.7664160027546489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7.3293650793650782</v>
      </c>
      <c r="AO68">
        <v>8.5845729263672332</v>
      </c>
      <c r="AP68">
        <v>34.343397723614935</v>
      </c>
      <c r="AQ68">
        <v>30.44388931853814</v>
      </c>
      <c r="AR68">
        <v>7.8576952810202236</v>
      </c>
      <c r="AS68">
        <v>40.400361376721584</v>
      </c>
      <c r="AT68" t="e">
        <v>#DIV/0!</v>
      </c>
      <c r="AU68" t="e">
        <v>#DIV/0!</v>
      </c>
      <c r="AV68"/>
      <c r="AW68"/>
      <c r="FY68" s="210">
        <v>63</v>
      </c>
      <c r="FZ68">
        <v>0.27886497278940114</v>
      </c>
      <c r="GA68">
        <v>4.0860172507277435</v>
      </c>
      <c r="GB68">
        <v>2.943918439166076</v>
      </c>
      <c r="GC68">
        <v>6.9999258319184454</v>
      </c>
      <c r="GD68">
        <v>5.0432949069456958</v>
      </c>
      <c r="GE68">
        <v>0.62702737582634349</v>
      </c>
      <c r="GF68">
        <v>0.19016497712110106</v>
      </c>
      <c r="GG68">
        <v>1.6110786669885027</v>
      </c>
      <c r="GH68">
        <v>1.9871405252523333</v>
      </c>
      <c r="GI68">
        <v>4.9594733984581927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9.2413957570207561</v>
      </c>
      <c r="AO69">
        <v>8.4515476382193331</v>
      </c>
      <c r="AP69">
        <v>38.805253098240073</v>
      </c>
      <c r="AQ69">
        <v>34.543155384897247</v>
      </c>
      <c r="AR69">
        <v>7.6814299796643679</v>
      </c>
      <c r="AS69">
        <v>42.534314610973048</v>
      </c>
      <c r="AT69" t="e">
        <v>#DIV/0!</v>
      </c>
      <c r="AU69" t="e">
        <v>#DIV/0!</v>
      </c>
      <c r="AV69"/>
      <c r="AW69"/>
      <c r="FY69" s="210">
        <v>64</v>
      </c>
      <c r="FZ69">
        <v>0</v>
      </c>
      <c r="GA69">
        <v>0.84773324268460271</v>
      </c>
      <c r="GB69">
        <v>0.98058165482141413</v>
      </c>
      <c r="GC69">
        <v>5.1761582663260413</v>
      </c>
      <c r="GD69">
        <v>4.0380749337570876</v>
      </c>
      <c r="GE69">
        <v>0.83853720041220592</v>
      </c>
      <c r="GF69">
        <v>0.5704949313633032</v>
      </c>
      <c r="GG69">
        <v>2.4282254375070265</v>
      </c>
      <c r="GH69">
        <v>2.6495207003364443</v>
      </c>
      <c r="GI69">
        <v>3.6888823738025627</v>
      </c>
      <c r="GJ69"/>
      <c r="GK69"/>
      <c r="GL69"/>
      <c r="GM69"/>
    </row>
    <row r="70" spans="1:195" s="7" customFormat="1">
      <c r="A70" s="4"/>
      <c r="B70" s="66"/>
      <c r="C70" s="71">
        <f t="shared" ref="C70:C79" si="37">C4</f>
        <v>39646</v>
      </c>
      <c r="D70" s="72">
        <f t="shared" ref="D70:D75" si="38">SUM(G70:AK70)</f>
        <v>0</v>
      </c>
      <c r="E70" s="64"/>
      <c r="F70" s="64"/>
      <c r="G70" s="18">
        <f>AVERAGE(E228:E237)</f>
        <v>0</v>
      </c>
      <c r="H70" s="18">
        <f t="shared" ref="H70:AK70" si="39">AVERAGE(F228:F237)</f>
        <v>0</v>
      </c>
      <c r="I70" s="18">
        <f t="shared" si="39"/>
        <v>0</v>
      </c>
      <c r="J70" s="18">
        <f t="shared" si="39"/>
        <v>0</v>
      </c>
      <c r="K70" s="18">
        <f t="shared" si="39"/>
        <v>0</v>
      </c>
      <c r="L70" s="18">
        <f t="shared" si="39"/>
        <v>0</v>
      </c>
      <c r="M70" s="18">
        <f t="shared" si="39"/>
        <v>0</v>
      </c>
      <c r="N70" s="18">
        <f t="shared" si="39"/>
        <v>0</v>
      </c>
      <c r="O70" s="18">
        <f t="shared" si="39"/>
        <v>0</v>
      </c>
      <c r="P70" s="18">
        <f t="shared" si="39"/>
        <v>0</v>
      </c>
      <c r="Q70" s="18">
        <f t="shared" si="39"/>
        <v>0</v>
      </c>
      <c r="R70" s="18">
        <f t="shared" si="39"/>
        <v>0</v>
      </c>
      <c r="S70" s="18">
        <f t="shared" si="39"/>
        <v>0</v>
      </c>
      <c r="T70" s="18">
        <f t="shared" si="39"/>
        <v>0</v>
      </c>
      <c r="U70" s="18">
        <f t="shared" si="39"/>
        <v>0</v>
      </c>
      <c r="V70" s="18">
        <f t="shared" si="39"/>
        <v>0</v>
      </c>
      <c r="W70" s="18">
        <f t="shared" si="39"/>
        <v>0</v>
      </c>
      <c r="X70" s="18">
        <f t="shared" si="39"/>
        <v>0</v>
      </c>
      <c r="Y70" s="18">
        <f t="shared" si="39"/>
        <v>0</v>
      </c>
      <c r="Z70" s="18">
        <f t="shared" si="39"/>
        <v>0</v>
      </c>
      <c r="AA70" s="18">
        <f t="shared" si="39"/>
        <v>0</v>
      </c>
      <c r="AB70" s="18">
        <f t="shared" si="39"/>
        <v>0</v>
      </c>
      <c r="AC70" s="18">
        <f t="shared" si="39"/>
        <v>0</v>
      </c>
      <c r="AD70" s="18">
        <f t="shared" si="39"/>
        <v>0</v>
      </c>
      <c r="AE70" s="18">
        <f t="shared" si="39"/>
        <v>0</v>
      </c>
      <c r="AF70" s="18">
        <f t="shared" si="39"/>
        <v>0</v>
      </c>
      <c r="AG70" s="18">
        <f t="shared" si="39"/>
        <v>0</v>
      </c>
      <c r="AH70" s="18">
        <f t="shared" si="39"/>
        <v>0</v>
      </c>
      <c r="AI70" s="18">
        <f t="shared" si="39"/>
        <v>0</v>
      </c>
      <c r="AJ70" s="18">
        <f t="shared" si="39"/>
        <v>0</v>
      </c>
      <c r="AK70" s="18">
        <f t="shared" si="39"/>
        <v>0</v>
      </c>
      <c r="AL70" s="2"/>
      <c r="AM70" s="43">
        <v>54</v>
      </c>
      <c r="AN70">
        <v>6.7726076007325986</v>
      </c>
      <c r="AO70">
        <v>8.290291434472941</v>
      </c>
      <c r="AP70">
        <v>30.560643430513856</v>
      </c>
      <c r="AQ70">
        <v>28.158839427972978</v>
      </c>
      <c r="AR70">
        <v>7.5318416645007371</v>
      </c>
      <c r="AS70">
        <v>37.337663489377768</v>
      </c>
      <c r="AT70" t="e">
        <v>#DIV/0!</v>
      </c>
      <c r="AU70" t="e">
        <v>#DIV/0!</v>
      </c>
      <c r="AV70"/>
      <c r="AW70"/>
      <c r="FY70" s="210">
        <v>65</v>
      </c>
      <c r="FZ70">
        <v>6.6366169570396066E-2</v>
      </c>
      <c r="GA70">
        <v>2.2651593838014525</v>
      </c>
      <c r="GB70">
        <v>2.1908201436285264</v>
      </c>
      <c r="GC70">
        <v>2.813850252935548</v>
      </c>
      <c r="GD70">
        <v>2.141349495333702</v>
      </c>
      <c r="GE70">
        <v>1.5556520197883907</v>
      </c>
      <c r="GF70">
        <v>1.6417162346207288</v>
      </c>
      <c r="GG70">
        <v>1.1532914283453519</v>
      </c>
      <c r="GH70">
        <v>0.66238017508411107</v>
      </c>
      <c r="GI70">
        <v>2.6868144983304005</v>
      </c>
      <c r="GJ70"/>
      <c r="GK70"/>
      <c r="GL70"/>
      <c r="GM70"/>
    </row>
    <row r="71" spans="1:195" s="7" customFormat="1">
      <c r="A71" s="4"/>
      <c r="B71" s="66"/>
      <c r="C71" s="71">
        <f t="shared" si="37"/>
        <v>39673</v>
      </c>
      <c r="D71" s="72">
        <f t="shared" si="38"/>
        <v>5.208333333333333</v>
      </c>
      <c r="E71" s="64"/>
      <c r="F71" s="64"/>
      <c r="G71" s="18">
        <f>AVERAGE(E238:E247)</f>
        <v>0</v>
      </c>
      <c r="H71" s="18">
        <f t="shared" ref="H71:AK71" si="40">AVERAGE(F238:F247)</f>
        <v>0</v>
      </c>
      <c r="I71" s="18">
        <f t="shared" si="40"/>
        <v>3.125</v>
      </c>
      <c r="J71" s="18">
        <f t="shared" si="40"/>
        <v>2.083333333333333</v>
      </c>
      <c r="K71" s="18">
        <f t="shared" si="40"/>
        <v>0</v>
      </c>
      <c r="L71" s="18">
        <f t="shared" si="40"/>
        <v>0</v>
      </c>
      <c r="M71" s="18">
        <f t="shared" si="40"/>
        <v>0</v>
      </c>
      <c r="N71" s="18">
        <f t="shared" si="40"/>
        <v>0</v>
      </c>
      <c r="O71" s="18">
        <f t="shared" si="40"/>
        <v>0</v>
      </c>
      <c r="P71" s="18">
        <f t="shared" si="40"/>
        <v>0</v>
      </c>
      <c r="Q71" s="18">
        <f t="shared" si="40"/>
        <v>0</v>
      </c>
      <c r="R71" s="18">
        <f t="shared" si="40"/>
        <v>0</v>
      </c>
      <c r="S71" s="18">
        <f t="shared" si="40"/>
        <v>0</v>
      </c>
      <c r="T71" s="18">
        <f t="shared" si="40"/>
        <v>0</v>
      </c>
      <c r="U71" s="18">
        <f t="shared" si="40"/>
        <v>0</v>
      </c>
      <c r="V71" s="18">
        <f t="shared" si="40"/>
        <v>0</v>
      </c>
      <c r="W71" s="18">
        <f t="shared" si="40"/>
        <v>0</v>
      </c>
      <c r="X71" s="18">
        <f t="shared" si="40"/>
        <v>0</v>
      </c>
      <c r="Y71" s="18">
        <f t="shared" si="40"/>
        <v>0</v>
      </c>
      <c r="Z71" s="18">
        <f t="shared" si="40"/>
        <v>0</v>
      </c>
      <c r="AA71" s="18">
        <f t="shared" si="40"/>
        <v>0</v>
      </c>
      <c r="AB71" s="18">
        <f t="shared" si="40"/>
        <v>0</v>
      </c>
      <c r="AC71" s="18">
        <f t="shared" si="40"/>
        <v>0</v>
      </c>
      <c r="AD71" s="18">
        <f t="shared" si="40"/>
        <v>0</v>
      </c>
      <c r="AE71" s="18">
        <f t="shared" si="40"/>
        <v>0</v>
      </c>
      <c r="AF71" s="18">
        <f t="shared" si="40"/>
        <v>0</v>
      </c>
      <c r="AG71" s="18">
        <f t="shared" si="40"/>
        <v>0</v>
      </c>
      <c r="AH71" s="18">
        <f t="shared" si="40"/>
        <v>0</v>
      </c>
      <c r="AI71" s="18">
        <f t="shared" si="40"/>
        <v>0</v>
      </c>
      <c r="AJ71" s="18">
        <f t="shared" si="40"/>
        <v>0</v>
      </c>
      <c r="AK71" s="18">
        <f t="shared" si="40"/>
        <v>0</v>
      </c>
      <c r="AL71" s="2"/>
      <c r="AM71" s="43">
        <v>55</v>
      </c>
      <c r="AN71">
        <v>8.3363095238095219</v>
      </c>
      <c r="AO71">
        <v>11.426330022948589</v>
      </c>
      <c r="AP71">
        <v>30.113252590685619</v>
      </c>
      <c r="AQ71">
        <v>32.902814594775442</v>
      </c>
      <c r="AR71">
        <v>10.599564028709265</v>
      </c>
      <c r="AS71">
        <v>61.004921396164832</v>
      </c>
      <c r="AT71" t="e">
        <v>#DIV/0!</v>
      </c>
      <c r="AU71" t="e">
        <v>#DIV/0!</v>
      </c>
      <c r="AV71"/>
      <c r="AW71"/>
      <c r="FY71" s="210">
        <v>66</v>
      </c>
      <c r="FZ71">
        <v>9.9549254355594113E-2</v>
      </c>
      <c r="GA71">
        <v>0.96546016868463225</v>
      </c>
      <c r="GB71">
        <v>0.40851731109667855</v>
      </c>
      <c r="GC71">
        <v>7.8921134277053966</v>
      </c>
      <c r="GD71">
        <v>6.3745568620029394</v>
      </c>
      <c r="GE71">
        <v>2.2371087125078026</v>
      </c>
      <c r="GF71">
        <v>2.1424426065148507</v>
      </c>
      <c r="GG71">
        <v>1.2981488832102204</v>
      </c>
      <c r="GH71">
        <v>1.3247603501682221</v>
      </c>
      <c r="GI71">
        <v>5.4127644932904477</v>
      </c>
      <c r="GJ71"/>
      <c r="GK71"/>
      <c r="GL71"/>
      <c r="GM71"/>
    </row>
    <row r="72" spans="1:195" s="7" customFormat="1">
      <c r="A72" s="4"/>
      <c r="B72" s="66"/>
      <c r="C72" s="71">
        <f t="shared" si="37"/>
        <v>39714</v>
      </c>
      <c r="D72" s="72">
        <f t="shared" si="38"/>
        <v>1.0416666666666665</v>
      </c>
      <c r="E72" s="64"/>
      <c r="F72" s="64"/>
      <c r="G72" s="18">
        <f>AVERAGE(E248:E257)</f>
        <v>0</v>
      </c>
      <c r="H72" s="18">
        <f t="shared" ref="H72:AK72" si="41">AVERAGE(F248:F257)</f>
        <v>0</v>
      </c>
      <c r="I72" s="18">
        <f t="shared" si="41"/>
        <v>0</v>
      </c>
      <c r="J72" s="18">
        <f t="shared" si="41"/>
        <v>0</v>
      </c>
      <c r="K72" s="18">
        <f t="shared" si="41"/>
        <v>0</v>
      </c>
      <c r="L72" s="18">
        <f t="shared" si="41"/>
        <v>0</v>
      </c>
      <c r="M72" s="18">
        <f t="shared" si="41"/>
        <v>1.0416666666666665</v>
      </c>
      <c r="N72" s="18">
        <f t="shared" si="41"/>
        <v>0</v>
      </c>
      <c r="O72" s="18">
        <f t="shared" si="41"/>
        <v>0</v>
      </c>
      <c r="P72" s="18">
        <f t="shared" si="41"/>
        <v>0</v>
      </c>
      <c r="Q72" s="18">
        <f t="shared" si="41"/>
        <v>0</v>
      </c>
      <c r="R72" s="18">
        <f t="shared" si="41"/>
        <v>0</v>
      </c>
      <c r="S72" s="18">
        <f t="shared" si="41"/>
        <v>0</v>
      </c>
      <c r="T72" s="18">
        <f t="shared" si="41"/>
        <v>0</v>
      </c>
      <c r="U72" s="18">
        <f t="shared" si="41"/>
        <v>0</v>
      </c>
      <c r="V72" s="18">
        <f t="shared" si="41"/>
        <v>0</v>
      </c>
      <c r="W72" s="18">
        <f t="shared" si="41"/>
        <v>0</v>
      </c>
      <c r="X72" s="18">
        <f t="shared" si="41"/>
        <v>0</v>
      </c>
      <c r="Y72" s="18">
        <f t="shared" si="41"/>
        <v>0</v>
      </c>
      <c r="Z72" s="18">
        <f t="shared" si="41"/>
        <v>0</v>
      </c>
      <c r="AA72" s="18">
        <f t="shared" si="41"/>
        <v>0</v>
      </c>
      <c r="AB72" s="18">
        <f t="shared" si="41"/>
        <v>0</v>
      </c>
      <c r="AC72" s="18">
        <f t="shared" si="41"/>
        <v>0</v>
      </c>
      <c r="AD72" s="18">
        <f t="shared" si="41"/>
        <v>0</v>
      </c>
      <c r="AE72" s="18">
        <f t="shared" si="41"/>
        <v>0</v>
      </c>
      <c r="AF72" s="18">
        <f t="shared" si="41"/>
        <v>0</v>
      </c>
      <c r="AG72" s="18">
        <f t="shared" si="41"/>
        <v>0</v>
      </c>
      <c r="AH72" s="18">
        <f t="shared" si="41"/>
        <v>0</v>
      </c>
      <c r="AI72" s="18">
        <f t="shared" si="41"/>
        <v>0</v>
      </c>
      <c r="AJ72" s="18">
        <f t="shared" si="41"/>
        <v>0</v>
      </c>
      <c r="AK72" s="18">
        <f t="shared" si="41"/>
        <v>0</v>
      </c>
      <c r="AL72" s="2"/>
      <c r="AM72" s="43">
        <v>56</v>
      </c>
      <c r="AN72">
        <v>7.624007936507935</v>
      </c>
      <c r="AO72">
        <v>7.2569282772417036</v>
      </c>
      <c r="AP72">
        <v>30.985564039712138</v>
      </c>
      <c r="AQ72">
        <v>27.433802275559049</v>
      </c>
      <c r="AR72">
        <v>6.6261139738536858</v>
      </c>
      <c r="AS72">
        <v>28.461557392810136</v>
      </c>
      <c r="AT72" t="e">
        <v>#DIV/0!</v>
      </c>
      <c r="AU72" t="e">
        <v>#DIV/0!</v>
      </c>
      <c r="AV72"/>
      <c r="AW72"/>
      <c r="FY72" s="210">
        <v>67</v>
      </c>
      <c r="FZ72">
        <v>0.59091303036400022</v>
      </c>
      <c r="GA72">
        <v>2.8844518360298252</v>
      </c>
      <c r="GB72">
        <v>2.1908201436285264</v>
      </c>
      <c r="GC72">
        <v>4.4260520795713703</v>
      </c>
      <c r="GD72">
        <v>2.8935353524398479</v>
      </c>
      <c r="GE72">
        <v>0</v>
      </c>
      <c r="GF72">
        <v>0.5704949313633032</v>
      </c>
      <c r="GG72">
        <v>1.4662212121236342</v>
      </c>
      <c r="GH72">
        <v>1.3247603501682221</v>
      </c>
      <c r="GI72">
        <v>3.006869272025809</v>
      </c>
      <c r="GJ72"/>
      <c r="GK72"/>
      <c r="GL72"/>
      <c r="GM72"/>
    </row>
    <row r="73" spans="1:195" s="7" customFormat="1">
      <c r="A73" s="4"/>
      <c r="B73" s="66"/>
      <c r="C73" s="71">
        <f t="shared" si="37"/>
        <v>39747</v>
      </c>
      <c r="D73" s="72">
        <f t="shared" si="38"/>
        <v>2.083333333333333</v>
      </c>
      <c r="E73" s="64"/>
      <c r="F73" s="64"/>
      <c r="G73" s="18">
        <f>AVERAGE(E258:E267)</f>
        <v>0</v>
      </c>
      <c r="H73" s="18">
        <f t="shared" ref="H73:AK73" si="42">AVERAGE(F258:F267)</f>
        <v>0</v>
      </c>
      <c r="I73" s="18">
        <f t="shared" si="42"/>
        <v>0</v>
      </c>
      <c r="J73" s="18">
        <f t="shared" si="42"/>
        <v>0</v>
      </c>
      <c r="K73" s="18">
        <f t="shared" si="42"/>
        <v>0</v>
      </c>
      <c r="L73" s="18">
        <f t="shared" si="42"/>
        <v>0</v>
      </c>
      <c r="M73" s="18">
        <f t="shared" si="42"/>
        <v>0</v>
      </c>
      <c r="N73" s="18">
        <f t="shared" si="42"/>
        <v>2.083333333333333</v>
      </c>
      <c r="O73" s="18">
        <f t="shared" si="42"/>
        <v>0</v>
      </c>
      <c r="P73" s="18">
        <f t="shared" si="42"/>
        <v>0</v>
      </c>
      <c r="Q73" s="18">
        <f t="shared" si="42"/>
        <v>0</v>
      </c>
      <c r="R73" s="18">
        <f t="shared" si="42"/>
        <v>0</v>
      </c>
      <c r="S73" s="18">
        <f t="shared" si="42"/>
        <v>0</v>
      </c>
      <c r="T73" s="18">
        <f t="shared" si="42"/>
        <v>0</v>
      </c>
      <c r="U73" s="18">
        <f t="shared" si="42"/>
        <v>0</v>
      </c>
      <c r="V73" s="18">
        <f t="shared" si="42"/>
        <v>0</v>
      </c>
      <c r="W73" s="18">
        <f t="shared" si="42"/>
        <v>0</v>
      </c>
      <c r="X73" s="18">
        <f t="shared" si="42"/>
        <v>0</v>
      </c>
      <c r="Y73" s="18">
        <f t="shared" si="42"/>
        <v>0</v>
      </c>
      <c r="Z73" s="18">
        <f t="shared" si="42"/>
        <v>0</v>
      </c>
      <c r="AA73" s="18">
        <f t="shared" si="42"/>
        <v>0</v>
      </c>
      <c r="AB73" s="18">
        <f t="shared" si="42"/>
        <v>0</v>
      </c>
      <c r="AC73" s="18">
        <f t="shared" si="42"/>
        <v>0</v>
      </c>
      <c r="AD73" s="18">
        <f t="shared" si="42"/>
        <v>0</v>
      </c>
      <c r="AE73" s="18">
        <f t="shared" si="42"/>
        <v>0</v>
      </c>
      <c r="AF73" s="18">
        <f t="shared" si="42"/>
        <v>0</v>
      </c>
      <c r="AG73" s="18">
        <f t="shared" si="42"/>
        <v>0</v>
      </c>
      <c r="AH73" s="18">
        <f t="shared" si="42"/>
        <v>0</v>
      </c>
      <c r="AI73" s="18">
        <f t="shared" si="42"/>
        <v>0</v>
      </c>
      <c r="AJ73" s="18">
        <f t="shared" si="42"/>
        <v>0</v>
      </c>
      <c r="AK73" s="18">
        <f t="shared" si="42"/>
        <v>0</v>
      </c>
      <c r="AL73" s="2"/>
      <c r="AM73" s="43">
        <v>57</v>
      </c>
      <c r="AN73">
        <v>9.755780677655677</v>
      </c>
      <c r="AO73">
        <v>11.194030117575251</v>
      </c>
      <c r="AP73">
        <v>36.163438682468801</v>
      </c>
      <c r="AQ73">
        <v>37.139029034984162</v>
      </c>
      <c r="AR73">
        <v>10.225476806525144</v>
      </c>
      <c r="AS73">
        <v>62.084970595317181</v>
      </c>
      <c r="AT73" t="e">
        <v>#DIV/0!</v>
      </c>
      <c r="AU73" t="e">
        <v>#DIV/0!</v>
      </c>
      <c r="AV73"/>
      <c r="AW73"/>
      <c r="FY73" s="210">
        <v>68</v>
      </c>
      <c r="FZ73">
        <v>0.77022874879780745</v>
      </c>
      <c r="GA73">
        <v>2.0078335298079946</v>
      </c>
      <c r="GB73">
        <v>1.1084543081330289</v>
      </c>
      <c r="GC73">
        <v>7.7539551065336259</v>
      </c>
      <c r="GD73">
        <v>5.6992555779050429</v>
      </c>
      <c r="GE73">
        <v>1.3985715120955966</v>
      </c>
      <c r="GF73">
        <v>2.3326075836359519</v>
      </c>
      <c r="GG73">
        <v>0.98521909943193808</v>
      </c>
      <c r="GH73">
        <v>0.66238017508411107</v>
      </c>
      <c r="GI73">
        <v>5.0203116215046588</v>
      </c>
      <c r="GJ73"/>
      <c r="GK73"/>
      <c r="GL73"/>
      <c r="GM73"/>
    </row>
    <row r="74" spans="1:195" s="7" customFormat="1">
      <c r="A74" s="4"/>
      <c r="B74" s="66"/>
      <c r="C74" s="71">
        <f t="shared" si="37"/>
        <v>39775</v>
      </c>
      <c r="D74" s="72">
        <f t="shared" si="38"/>
        <v>50.473484848484851</v>
      </c>
      <c r="E74" s="64"/>
      <c r="F74" s="64"/>
      <c r="G74" s="18">
        <f>AVERAGE(E268:E277)</f>
        <v>0</v>
      </c>
      <c r="H74" s="18">
        <f t="shared" ref="H74:AK74" si="43">AVERAGE(F268:F277)</f>
        <v>0</v>
      </c>
      <c r="I74" s="18">
        <f t="shared" si="43"/>
        <v>0</v>
      </c>
      <c r="J74" s="18">
        <f t="shared" si="43"/>
        <v>0</v>
      </c>
      <c r="K74" s="18">
        <f t="shared" si="43"/>
        <v>4.1666666666666661</v>
      </c>
      <c r="L74" s="18">
        <f t="shared" si="43"/>
        <v>11.931818181818182</v>
      </c>
      <c r="M74" s="18">
        <f t="shared" si="43"/>
        <v>22.727272727272727</v>
      </c>
      <c r="N74" s="18">
        <f t="shared" si="43"/>
        <v>8.5227272727272716</v>
      </c>
      <c r="O74" s="18">
        <f t="shared" si="43"/>
        <v>3.125</v>
      </c>
      <c r="P74" s="18">
        <f t="shared" si="43"/>
        <v>0</v>
      </c>
      <c r="Q74" s="18">
        <f t="shared" si="43"/>
        <v>0</v>
      </c>
      <c r="R74" s="18">
        <f t="shared" si="43"/>
        <v>0</v>
      </c>
      <c r="S74" s="18">
        <f t="shared" si="43"/>
        <v>0</v>
      </c>
      <c r="T74" s="18">
        <f t="shared" si="43"/>
        <v>0</v>
      </c>
      <c r="U74" s="18">
        <f t="shared" si="43"/>
        <v>0</v>
      </c>
      <c r="V74" s="18">
        <f t="shared" si="43"/>
        <v>0</v>
      </c>
      <c r="W74" s="18">
        <f t="shared" si="43"/>
        <v>0</v>
      </c>
      <c r="X74" s="18">
        <f t="shared" si="43"/>
        <v>0</v>
      </c>
      <c r="Y74" s="18">
        <f t="shared" si="43"/>
        <v>0</v>
      </c>
      <c r="Z74" s="18">
        <f t="shared" si="43"/>
        <v>0</v>
      </c>
      <c r="AA74" s="18">
        <f t="shared" si="43"/>
        <v>0</v>
      </c>
      <c r="AB74" s="18">
        <f t="shared" si="43"/>
        <v>0</v>
      </c>
      <c r="AC74" s="18">
        <f t="shared" si="43"/>
        <v>0</v>
      </c>
      <c r="AD74" s="18">
        <f t="shared" si="43"/>
        <v>0</v>
      </c>
      <c r="AE74" s="18">
        <f t="shared" si="43"/>
        <v>0</v>
      </c>
      <c r="AF74" s="18">
        <f t="shared" si="43"/>
        <v>0</v>
      </c>
      <c r="AG74" s="18">
        <f t="shared" si="43"/>
        <v>0</v>
      </c>
      <c r="AH74" s="18">
        <f t="shared" si="43"/>
        <v>0</v>
      </c>
      <c r="AI74" s="18">
        <f t="shared" si="43"/>
        <v>0</v>
      </c>
      <c r="AJ74" s="18">
        <f t="shared" si="43"/>
        <v>0</v>
      </c>
      <c r="AK74" s="18">
        <f t="shared" si="43"/>
        <v>0</v>
      </c>
      <c r="AL74" s="2"/>
      <c r="AM74" s="43">
        <v>58</v>
      </c>
      <c r="AN74">
        <v>6.9392361111111116</v>
      </c>
      <c r="AO74">
        <v>7.9570306757153784</v>
      </c>
      <c r="AP74">
        <v>27.872833923659023</v>
      </c>
      <c r="AQ74">
        <v>26.853127264418553</v>
      </c>
      <c r="AR74">
        <v>7.3284248320980163</v>
      </c>
      <c r="AS74">
        <v>27.998728259457959</v>
      </c>
      <c r="AT74" t="e">
        <v>#DIV/0!</v>
      </c>
      <c r="AU74" t="e">
        <v>#DIV/0!</v>
      </c>
      <c r="AV74"/>
      <c r="AW74"/>
      <c r="FY74" s="210">
        <v>69</v>
      </c>
      <c r="FZ74">
        <v>0.31204805757459919</v>
      </c>
      <c r="GA74">
        <v>2.3147589375975777</v>
      </c>
      <c r="GB74">
        <v>1.5169716192297074</v>
      </c>
      <c r="GC74">
        <v>1.6963671239611187</v>
      </c>
      <c r="GD74">
        <v>2.26987825246949</v>
      </c>
      <c r="GE74">
        <v>2.4786876839357275</v>
      </c>
      <c r="GF74">
        <v>0.19016497712110106</v>
      </c>
      <c r="GG74">
        <v>1.1300765542968063</v>
      </c>
      <c r="GH74">
        <v>1.3247603501682221</v>
      </c>
      <c r="GI74">
        <v>2.2929169300909038</v>
      </c>
      <c r="GJ74"/>
      <c r="GK74"/>
      <c r="GL74"/>
      <c r="GM74"/>
    </row>
    <row r="75" spans="1:195" s="7" customFormat="1">
      <c r="A75" s="4"/>
      <c r="B75" s="66"/>
      <c r="C75" s="71">
        <f t="shared" si="37"/>
        <v>39799</v>
      </c>
      <c r="D75" s="72">
        <f t="shared" si="38"/>
        <v>8.6538461538461533</v>
      </c>
      <c r="E75" s="64"/>
      <c r="F75" s="64"/>
      <c r="G75" s="18">
        <f>AVERAGE(E278:E287)</f>
        <v>0</v>
      </c>
      <c r="H75" s="18">
        <f t="shared" ref="H75:AK75" si="44">AVERAGE(F278:F287)</f>
        <v>0</v>
      </c>
      <c r="I75" s="18">
        <f t="shared" si="44"/>
        <v>0</v>
      </c>
      <c r="J75" s="18">
        <f t="shared" si="44"/>
        <v>0</v>
      </c>
      <c r="K75" s="18">
        <f t="shared" si="44"/>
        <v>0</v>
      </c>
      <c r="L75" s="18">
        <f t="shared" si="44"/>
        <v>5.5288461538461533</v>
      </c>
      <c r="M75" s="18">
        <f t="shared" si="44"/>
        <v>3.125</v>
      </c>
      <c r="N75" s="18">
        <f t="shared" si="44"/>
        <v>0</v>
      </c>
      <c r="O75" s="18">
        <f t="shared" si="44"/>
        <v>0</v>
      </c>
      <c r="P75" s="18">
        <f t="shared" si="44"/>
        <v>0</v>
      </c>
      <c r="Q75" s="18">
        <f t="shared" si="44"/>
        <v>0</v>
      </c>
      <c r="R75" s="18">
        <f t="shared" si="44"/>
        <v>0</v>
      </c>
      <c r="S75" s="18">
        <f t="shared" si="44"/>
        <v>0</v>
      </c>
      <c r="T75" s="18">
        <f t="shared" si="44"/>
        <v>0</v>
      </c>
      <c r="U75" s="18">
        <f t="shared" si="44"/>
        <v>0</v>
      </c>
      <c r="V75" s="18">
        <f t="shared" si="44"/>
        <v>0</v>
      </c>
      <c r="W75" s="18">
        <f t="shared" si="44"/>
        <v>0</v>
      </c>
      <c r="X75" s="18">
        <f t="shared" si="44"/>
        <v>0</v>
      </c>
      <c r="Y75" s="18">
        <f t="shared" si="44"/>
        <v>0</v>
      </c>
      <c r="Z75" s="18">
        <f t="shared" si="44"/>
        <v>0</v>
      </c>
      <c r="AA75" s="18">
        <f t="shared" si="44"/>
        <v>0</v>
      </c>
      <c r="AB75" s="18">
        <f t="shared" si="44"/>
        <v>0</v>
      </c>
      <c r="AC75" s="18">
        <f t="shared" si="44"/>
        <v>0</v>
      </c>
      <c r="AD75" s="18">
        <f t="shared" si="44"/>
        <v>0</v>
      </c>
      <c r="AE75" s="18">
        <f t="shared" si="44"/>
        <v>0</v>
      </c>
      <c r="AF75" s="18">
        <f t="shared" si="44"/>
        <v>0</v>
      </c>
      <c r="AG75" s="18">
        <f t="shared" si="44"/>
        <v>0</v>
      </c>
      <c r="AH75" s="18">
        <f t="shared" si="44"/>
        <v>0</v>
      </c>
      <c r="AI75" s="18">
        <f t="shared" si="44"/>
        <v>0</v>
      </c>
      <c r="AJ75" s="18">
        <f t="shared" si="44"/>
        <v>0</v>
      </c>
      <c r="AK75" s="18">
        <f t="shared" si="44"/>
        <v>0</v>
      </c>
      <c r="AL75" s="2"/>
      <c r="AM75" s="43">
        <v>59</v>
      </c>
      <c r="AN75">
        <v>7.5585317460317443</v>
      </c>
      <c r="AO75">
        <v>8.7825860725394271</v>
      </c>
      <c r="AP75">
        <v>34.089502730277964</v>
      </c>
      <c r="AQ75">
        <v>31.441697516875358</v>
      </c>
      <c r="AR75">
        <v>8.041380945372909</v>
      </c>
      <c r="AS75">
        <v>43.500527181156571</v>
      </c>
      <c r="AT75" t="e">
        <v>#DIV/0!</v>
      </c>
      <c r="AU75" t="e">
        <v>#DIV/0!</v>
      </c>
      <c r="AV75"/>
      <c r="AW75"/>
      <c r="FY75" s="210">
        <v>70</v>
      </c>
      <c r="FZ75">
        <v>0.52454686079360424</v>
      </c>
      <c r="GA75">
        <v>5.4642010831779171</v>
      </c>
      <c r="GB75">
        <v>4.5983486183863089</v>
      </c>
      <c r="GC75">
        <v>3.3712184888412655</v>
      </c>
      <c r="GD75">
        <v>2.9498727730435483</v>
      </c>
      <c r="GE75">
        <v>3.0937986399846027</v>
      </c>
      <c r="GF75">
        <v>1.2613862803785265</v>
      </c>
      <c r="GG75">
        <v>1.7791509959019165</v>
      </c>
      <c r="GH75">
        <v>1.9871405252523333</v>
      </c>
      <c r="GI75">
        <v>3.9507068254782065</v>
      </c>
      <c r="GJ75"/>
      <c r="GK75"/>
      <c r="GL75"/>
      <c r="GM75"/>
    </row>
    <row r="76" spans="1:195" s="7" customFormat="1">
      <c r="A76" s="4"/>
      <c r="B76" s="66"/>
      <c r="C76" s="71">
        <f t="shared" si="37"/>
        <v>39847</v>
      </c>
      <c r="D76" s="72">
        <f>SUM(G76:AK76)</f>
        <v>0</v>
      </c>
      <c r="E76" s="64"/>
      <c r="F76" s="64"/>
      <c r="G76" s="18">
        <f>AVERAGE(E288:E297)</f>
        <v>0</v>
      </c>
      <c r="H76" s="18">
        <f t="shared" ref="H76:AK76" si="45">AVERAGE(F288:F297)</f>
        <v>0</v>
      </c>
      <c r="I76" s="18">
        <f t="shared" si="45"/>
        <v>0</v>
      </c>
      <c r="J76" s="18">
        <f t="shared" si="45"/>
        <v>0</v>
      </c>
      <c r="K76" s="18">
        <f t="shared" si="45"/>
        <v>0</v>
      </c>
      <c r="L76" s="18">
        <f t="shared" si="45"/>
        <v>0</v>
      </c>
      <c r="M76" s="18">
        <f t="shared" si="45"/>
        <v>0</v>
      </c>
      <c r="N76" s="18">
        <f t="shared" si="45"/>
        <v>0</v>
      </c>
      <c r="O76" s="18">
        <f t="shared" si="45"/>
        <v>0</v>
      </c>
      <c r="P76" s="18">
        <f t="shared" si="45"/>
        <v>0</v>
      </c>
      <c r="Q76" s="18">
        <f t="shared" si="45"/>
        <v>0</v>
      </c>
      <c r="R76" s="18">
        <f t="shared" si="45"/>
        <v>0</v>
      </c>
      <c r="S76" s="18">
        <f t="shared" si="45"/>
        <v>0</v>
      </c>
      <c r="T76" s="18">
        <f t="shared" si="45"/>
        <v>0</v>
      </c>
      <c r="U76" s="18">
        <f t="shared" si="45"/>
        <v>0</v>
      </c>
      <c r="V76" s="18">
        <f t="shared" si="45"/>
        <v>0</v>
      </c>
      <c r="W76" s="18">
        <f t="shared" si="45"/>
        <v>0</v>
      </c>
      <c r="X76" s="18">
        <f t="shared" si="45"/>
        <v>0</v>
      </c>
      <c r="Y76" s="18">
        <f t="shared" si="45"/>
        <v>0</v>
      </c>
      <c r="Z76" s="18">
        <f t="shared" si="45"/>
        <v>0</v>
      </c>
      <c r="AA76" s="18">
        <f t="shared" si="45"/>
        <v>0</v>
      </c>
      <c r="AB76" s="18">
        <f t="shared" si="45"/>
        <v>0</v>
      </c>
      <c r="AC76" s="18">
        <f t="shared" si="45"/>
        <v>0</v>
      </c>
      <c r="AD76" s="18">
        <f t="shared" si="45"/>
        <v>0</v>
      </c>
      <c r="AE76" s="18">
        <f t="shared" si="45"/>
        <v>0</v>
      </c>
      <c r="AF76" s="18">
        <f t="shared" si="45"/>
        <v>0</v>
      </c>
      <c r="AG76" s="18">
        <f t="shared" si="45"/>
        <v>0</v>
      </c>
      <c r="AH76" s="18">
        <f t="shared" si="45"/>
        <v>0</v>
      </c>
      <c r="AI76" s="18">
        <f t="shared" si="45"/>
        <v>0</v>
      </c>
      <c r="AJ76" s="18">
        <f t="shared" si="45"/>
        <v>0</v>
      </c>
      <c r="AK76" s="18">
        <f t="shared" si="45"/>
        <v>0</v>
      </c>
      <c r="AL76" s="2"/>
      <c r="AM76" s="43">
        <v>60</v>
      </c>
      <c r="AN76">
        <v>5.6729433760683765</v>
      </c>
      <c r="AO76">
        <v>6.9492675034342017</v>
      </c>
      <c r="AP76">
        <v>20.940455680082628</v>
      </c>
      <c r="AQ76">
        <v>21.947794246489941</v>
      </c>
      <c r="AR76">
        <v>6.3935795887945153</v>
      </c>
      <c r="AS76">
        <v>29.360564125605432</v>
      </c>
      <c r="AT76" t="e">
        <v>#DIV/0!</v>
      </c>
      <c r="AU76" t="e">
        <v>#DIV/0!</v>
      </c>
      <c r="AV76"/>
      <c r="AW76"/>
      <c r="FY76" s="210">
        <v>71</v>
      </c>
      <c r="FZ76">
        <v>0.27886497278940114</v>
      </c>
      <c r="GA76">
        <v>3.3636753896002265</v>
      </c>
      <c r="GB76">
        <v>2.5993374547252053</v>
      </c>
      <c r="GC76">
        <v>3.2631521235752943</v>
      </c>
      <c r="GD76">
        <v>3.0502056528035526</v>
      </c>
      <c r="GE76">
        <v>2.1651739960225558</v>
      </c>
      <c r="GF76">
        <v>0.19016497712110106</v>
      </c>
      <c r="GG76">
        <v>2.0920807796801988</v>
      </c>
      <c r="GH76">
        <v>2.6495207003364443</v>
      </c>
      <c r="GI76">
        <v>3.4565613095800347</v>
      </c>
      <c r="GJ76"/>
      <c r="GK76"/>
      <c r="GL76"/>
      <c r="GM76"/>
    </row>
    <row r="77" spans="1:195" s="7" customFormat="1">
      <c r="A77" s="4"/>
      <c r="B77" s="66"/>
      <c r="C77" s="71">
        <f t="shared" si="37"/>
        <v>39910</v>
      </c>
      <c r="D77" s="72">
        <f>SUM(G77:AK77)</f>
        <v>1.0416666666666665</v>
      </c>
      <c r="E77" s="64"/>
      <c r="F77" s="64"/>
      <c r="G77" s="18">
        <f>AVERAGE(E298:E307)</f>
        <v>0</v>
      </c>
      <c r="H77" s="18">
        <f t="shared" ref="H77:AK77" si="46">AVERAGE(F298:F307)</f>
        <v>0</v>
      </c>
      <c r="I77" s="18">
        <f t="shared" si="46"/>
        <v>0</v>
      </c>
      <c r="J77" s="18">
        <f t="shared" si="46"/>
        <v>0</v>
      </c>
      <c r="K77" s="18">
        <f t="shared" si="46"/>
        <v>1.0416666666666665</v>
      </c>
      <c r="L77" s="18">
        <f t="shared" si="46"/>
        <v>0</v>
      </c>
      <c r="M77" s="18">
        <f t="shared" si="46"/>
        <v>0</v>
      </c>
      <c r="N77" s="18">
        <f t="shared" si="46"/>
        <v>0</v>
      </c>
      <c r="O77" s="18">
        <f t="shared" si="46"/>
        <v>0</v>
      </c>
      <c r="P77" s="18">
        <f t="shared" si="46"/>
        <v>0</v>
      </c>
      <c r="Q77" s="18">
        <f t="shared" si="46"/>
        <v>0</v>
      </c>
      <c r="R77" s="18">
        <f t="shared" si="46"/>
        <v>0</v>
      </c>
      <c r="S77" s="18">
        <f t="shared" si="46"/>
        <v>0</v>
      </c>
      <c r="T77" s="18">
        <f t="shared" si="46"/>
        <v>0</v>
      </c>
      <c r="U77" s="18">
        <f t="shared" si="46"/>
        <v>0</v>
      </c>
      <c r="V77" s="18">
        <f t="shared" si="46"/>
        <v>0</v>
      </c>
      <c r="W77" s="18">
        <f t="shared" si="46"/>
        <v>0</v>
      </c>
      <c r="X77" s="18">
        <f t="shared" si="46"/>
        <v>0</v>
      </c>
      <c r="Y77" s="18">
        <f t="shared" si="46"/>
        <v>0</v>
      </c>
      <c r="Z77" s="18">
        <f t="shared" si="46"/>
        <v>0</v>
      </c>
      <c r="AA77" s="18">
        <f t="shared" si="46"/>
        <v>0</v>
      </c>
      <c r="AB77" s="18">
        <f t="shared" si="46"/>
        <v>0</v>
      </c>
      <c r="AC77" s="18">
        <f t="shared" si="46"/>
        <v>0</v>
      </c>
      <c r="AD77" s="18">
        <f t="shared" si="46"/>
        <v>0</v>
      </c>
      <c r="AE77" s="18">
        <f t="shared" si="46"/>
        <v>0</v>
      </c>
      <c r="AF77" s="18">
        <f t="shared" si="46"/>
        <v>0</v>
      </c>
      <c r="AG77" s="18">
        <f t="shared" si="46"/>
        <v>0</v>
      </c>
      <c r="AH77" s="18">
        <f t="shared" si="46"/>
        <v>0</v>
      </c>
      <c r="AI77" s="18">
        <f t="shared" si="46"/>
        <v>0</v>
      </c>
      <c r="AJ77" s="18">
        <f t="shared" si="46"/>
        <v>0</v>
      </c>
      <c r="AK77" s="18">
        <f t="shared" si="46"/>
        <v>0</v>
      </c>
      <c r="AL77" s="2"/>
      <c r="AM77" s="43">
        <v>61</v>
      </c>
      <c r="AN77">
        <v>8.1163576007325986</v>
      </c>
      <c r="AO77">
        <v>9.1903768591121739</v>
      </c>
      <c r="AP77">
        <v>33.834387538953393</v>
      </c>
      <c r="AQ77">
        <v>32.113819781537323</v>
      </c>
      <c r="AR77">
        <v>8.4725307536163825</v>
      </c>
      <c r="AS77">
        <v>49.196823697132132</v>
      </c>
      <c r="AT77" t="e">
        <v>#DIV/0!</v>
      </c>
      <c r="AU77" t="e">
        <v>#DIV/0!</v>
      </c>
      <c r="AV77"/>
      <c r="AW77"/>
      <c r="FY77" s="210">
        <v>72</v>
      </c>
      <c r="FZ77">
        <v>3.3183084785198033E-2</v>
      </c>
      <c r="GA77">
        <v>4.5183340400744125</v>
      </c>
      <c r="GB77">
        <v>2.7164350798822126</v>
      </c>
      <c r="GC77">
        <v>5.7138954949912311</v>
      </c>
      <c r="GD77">
        <v>4.5198331186841294</v>
      </c>
      <c r="GE77">
        <v>2.6776337612717063</v>
      </c>
      <c r="GF77">
        <v>3.4038288868933777</v>
      </c>
      <c r="GG77">
        <v>1.1532914283453519</v>
      </c>
      <c r="GH77">
        <v>0.66238017508411107</v>
      </c>
      <c r="GI77">
        <v>4.8132993895115925</v>
      </c>
      <c r="GJ77"/>
      <c r="GK77"/>
      <c r="GL77"/>
      <c r="GM77"/>
    </row>
    <row r="78" spans="1:195" s="7" customFormat="1">
      <c r="A78" s="4"/>
      <c r="B78" s="66"/>
      <c r="C78" s="71">
        <f t="shared" si="37"/>
        <v>39949</v>
      </c>
      <c r="D78" s="72">
        <f>SUM(G78:AK78)</f>
        <v>1.0416666666666665</v>
      </c>
      <c r="E78" s="64"/>
      <c r="F78" s="64"/>
      <c r="G78" s="18">
        <f>AVERAGE(E308:E317)</f>
        <v>0</v>
      </c>
      <c r="H78" s="18">
        <f t="shared" ref="H78:AK78" si="47">AVERAGE(F308:F317)</f>
        <v>0</v>
      </c>
      <c r="I78" s="18">
        <f t="shared" si="47"/>
        <v>0</v>
      </c>
      <c r="J78" s="18">
        <f t="shared" si="47"/>
        <v>0</v>
      </c>
      <c r="K78" s="18">
        <f t="shared" si="47"/>
        <v>0</v>
      </c>
      <c r="L78" s="18">
        <f t="shared" si="47"/>
        <v>0</v>
      </c>
      <c r="M78" s="18">
        <f t="shared" si="47"/>
        <v>1.0416666666666665</v>
      </c>
      <c r="N78" s="18">
        <f t="shared" si="47"/>
        <v>0</v>
      </c>
      <c r="O78" s="18">
        <f t="shared" si="47"/>
        <v>0</v>
      </c>
      <c r="P78" s="18">
        <f t="shared" si="47"/>
        <v>0</v>
      </c>
      <c r="Q78" s="18">
        <f t="shared" si="47"/>
        <v>0</v>
      </c>
      <c r="R78" s="18">
        <f t="shared" si="47"/>
        <v>0</v>
      </c>
      <c r="S78" s="18">
        <f t="shared" si="47"/>
        <v>0</v>
      </c>
      <c r="T78" s="18">
        <f t="shared" si="47"/>
        <v>0</v>
      </c>
      <c r="U78" s="18">
        <f t="shared" si="47"/>
        <v>0</v>
      </c>
      <c r="V78" s="18">
        <f t="shared" si="47"/>
        <v>0</v>
      </c>
      <c r="W78" s="18">
        <f t="shared" si="47"/>
        <v>0</v>
      </c>
      <c r="X78" s="18">
        <f t="shared" si="47"/>
        <v>0</v>
      </c>
      <c r="Y78" s="18">
        <f t="shared" si="47"/>
        <v>0</v>
      </c>
      <c r="Z78" s="18">
        <f t="shared" si="47"/>
        <v>0</v>
      </c>
      <c r="AA78" s="18">
        <f t="shared" si="47"/>
        <v>0</v>
      </c>
      <c r="AB78" s="18">
        <f t="shared" si="47"/>
        <v>0</v>
      </c>
      <c r="AC78" s="18">
        <f t="shared" si="47"/>
        <v>0</v>
      </c>
      <c r="AD78" s="18">
        <f t="shared" si="47"/>
        <v>0</v>
      </c>
      <c r="AE78" s="18">
        <f t="shared" si="47"/>
        <v>0</v>
      </c>
      <c r="AF78" s="18">
        <f t="shared" si="47"/>
        <v>0</v>
      </c>
      <c r="AG78" s="18">
        <f t="shared" si="47"/>
        <v>0</v>
      </c>
      <c r="AH78" s="18">
        <f t="shared" si="47"/>
        <v>0</v>
      </c>
      <c r="AI78" s="18">
        <f t="shared" si="47"/>
        <v>0</v>
      </c>
      <c r="AJ78" s="18">
        <f t="shared" si="47"/>
        <v>0</v>
      </c>
      <c r="AK78" s="18">
        <f t="shared" si="47"/>
        <v>0</v>
      </c>
      <c r="AL78" s="2"/>
      <c r="AM78" s="43">
        <v>62</v>
      </c>
      <c r="AN78">
        <v>5.9484890109890101</v>
      </c>
      <c r="AO78">
        <v>6.1951723029758927</v>
      </c>
      <c r="AP78">
        <v>24.721569820650632</v>
      </c>
      <c r="AQ78">
        <v>22.811598972393185</v>
      </c>
      <c r="AR78">
        <v>5.746913082537934</v>
      </c>
      <c r="AS78">
        <v>25.422269807545636</v>
      </c>
      <c r="AT78" t="e">
        <v>#DIV/0!</v>
      </c>
      <c r="AU78" t="e">
        <v>#DIV/0!</v>
      </c>
      <c r="AV78"/>
      <c r="AW78"/>
      <c r="FY78" s="210">
        <v>73</v>
      </c>
      <c r="FZ78">
        <v>0.49136377600840619</v>
      </c>
      <c r="GA78">
        <v>2.6413335284727095</v>
      </c>
      <c r="GB78">
        <v>2.1268838169727191</v>
      </c>
      <c r="GC78">
        <v>7.8727793513400837</v>
      </c>
      <c r="GD78">
        <v>5.6978630510318302</v>
      </c>
      <c r="GE78">
        <v>0.488099595198144</v>
      </c>
      <c r="GF78">
        <v>0.76065990848440423</v>
      </c>
      <c r="GG78">
        <v>0.67228931565365579</v>
      </c>
      <c r="GH78">
        <v>0</v>
      </c>
      <c r="GI78">
        <v>4.7281881861354496</v>
      </c>
      <c r="GJ78"/>
      <c r="GK78"/>
      <c r="GL78"/>
      <c r="GM78"/>
    </row>
    <row r="79" spans="1:195" s="7" customFormat="1">
      <c r="A79" s="4"/>
      <c r="B79" s="66"/>
      <c r="C79" s="71">
        <f t="shared" si="37"/>
        <v>39987</v>
      </c>
      <c r="D79" s="72">
        <f>SUM(G79:AK79)</f>
        <v>0</v>
      </c>
      <c r="E79" s="64"/>
      <c r="F79" s="64"/>
      <c r="G79" s="18">
        <f>AVERAGE(E318:E327)</f>
        <v>0</v>
      </c>
      <c r="H79" s="18">
        <f t="shared" ref="H79:AK79" si="48">AVERAGE(F318:F327)</f>
        <v>0</v>
      </c>
      <c r="I79" s="18">
        <f t="shared" si="48"/>
        <v>0</v>
      </c>
      <c r="J79" s="18">
        <f t="shared" si="48"/>
        <v>0</v>
      </c>
      <c r="K79" s="18">
        <f t="shared" si="48"/>
        <v>0</v>
      </c>
      <c r="L79" s="18">
        <f t="shared" si="48"/>
        <v>0</v>
      </c>
      <c r="M79" s="18">
        <f t="shared" si="48"/>
        <v>0</v>
      </c>
      <c r="N79" s="18">
        <f t="shared" si="48"/>
        <v>0</v>
      </c>
      <c r="O79" s="18">
        <f t="shared" si="48"/>
        <v>0</v>
      </c>
      <c r="P79" s="18">
        <f t="shared" si="48"/>
        <v>0</v>
      </c>
      <c r="Q79" s="18">
        <f t="shared" si="48"/>
        <v>0</v>
      </c>
      <c r="R79" s="18">
        <f t="shared" si="48"/>
        <v>0</v>
      </c>
      <c r="S79" s="18">
        <f t="shared" si="48"/>
        <v>0</v>
      </c>
      <c r="T79" s="18">
        <f t="shared" si="48"/>
        <v>0</v>
      </c>
      <c r="U79" s="18">
        <f t="shared" si="48"/>
        <v>0</v>
      </c>
      <c r="V79" s="18">
        <f t="shared" si="48"/>
        <v>0</v>
      </c>
      <c r="W79" s="18">
        <f t="shared" si="48"/>
        <v>0</v>
      </c>
      <c r="X79" s="18">
        <f t="shared" si="48"/>
        <v>0</v>
      </c>
      <c r="Y79" s="18">
        <f t="shared" si="48"/>
        <v>0</v>
      </c>
      <c r="Z79" s="18">
        <f t="shared" si="48"/>
        <v>0</v>
      </c>
      <c r="AA79" s="18">
        <f t="shared" si="48"/>
        <v>0</v>
      </c>
      <c r="AB79" s="18">
        <f t="shared" si="48"/>
        <v>0</v>
      </c>
      <c r="AC79" s="18">
        <f t="shared" si="48"/>
        <v>0</v>
      </c>
      <c r="AD79" s="18">
        <f t="shared" si="48"/>
        <v>0</v>
      </c>
      <c r="AE79" s="18">
        <f t="shared" si="48"/>
        <v>0</v>
      </c>
      <c r="AF79" s="18">
        <f t="shared" si="48"/>
        <v>0</v>
      </c>
      <c r="AG79" s="18">
        <f t="shared" si="48"/>
        <v>0</v>
      </c>
      <c r="AH79" s="18">
        <f t="shared" si="48"/>
        <v>0</v>
      </c>
      <c r="AI79" s="18">
        <f t="shared" si="48"/>
        <v>0</v>
      </c>
      <c r="AJ79" s="18">
        <f t="shared" si="48"/>
        <v>0</v>
      </c>
      <c r="AK79" s="18">
        <f t="shared" si="48"/>
        <v>0</v>
      </c>
      <c r="AL79" s="2"/>
      <c r="AM79" s="43">
        <v>63</v>
      </c>
      <c r="AN79">
        <v>6.8328373015873014</v>
      </c>
      <c r="AO79">
        <v>8.2684165016470708</v>
      </c>
      <c r="AP79">
        <v>32.23964433953946</v>
      </c>
      <c r="AQ79">
        <v>28.726906345193836</v>
      </c>
      <c r="AR79">
        <v>7.6701451777802143</v>
      </c>
      <c r="AS79">
        <v>30.594430257485264</v>
      </c>
      <c r="AT79" t="e">
        <v>#DIV/0!</v>
      </c>
      <c r="AU79" t="e">
        <v>#DIV/0!</v>
      </c>
      <c r="AV79"/>
      <c r="AW79"/>
      <c r="FY79" s="210">
        <v>74</v>
      </c>
      <c r="FZ79">
        <v>0</v>
      </c>
      <c r="GA79">
        <v>0</v>
      </c>
      <c r="GB79">
        <v>1.1441286874494712</v>
      </c>
      <c r="GC79">
        <v>16.623412303905763</v>
      </c>
      <c r="GD79">
        <v>12.363514681367453</v>
      </c>
      <c r="GE79">
        <v>1.5556520197883907</v>
      </c>
      <c r="GF79">
        <v>1.2613862803785265</v>
      </c>
      <c r="GG79">
        <v>0.81714677051852402</v>
      </c>
      <c r="GH79">
        <v>0.66238017508411107</v>
      </c>
      <c r="GI79">
        <v>9.6063990870895957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5.2708333333333339</v>
      </c>
      <c r="AO80">
        <v>6.0578135969269526</v>
      </c>
      <c r="AP80">
        <v>22.021597591598951</v>
      </c>
      <c r="AQ80">
        <v>21.218208741010692</v>
      </c>
      <c r="AR80">
        <v>5.6194931325852995</v>
      </c>
      <c r="AS80">
        <v>22.348752346282797</v>
      </c>
      <c r="AT80" t="e">
        <v>#DIV/0!</v>
      </c>
      <c r="AU80" t="e">
        <v>#DIV/0!</v>
      </c>
      <c r="AV80"/>
      <c r="AW80"/>
      <c r="FY80" s="210">
        <v>75</v>
      </c>
      <c r="FZ80">
        <v>0</v>
      </c>
      <c r="GA80">
        <v>2.0612833849110137</v>
      </c>
      <c r="GB80">
        <v>1.5548194732479839</v>
      </c>
      <c r="GC80">
        <v>8.460532846066954</v>
      </c>
      <c r="GD80">
        <v>6.4517808948650384</v>
      </c>
      <c r="GE80">
        <v>1.3810661125034183</v>
      </c>
      <c r="GF80">
        <v>1.2613862803785265</v>
      </c>
      <c r="GG80">
        <v>0.3361446578268279</v>
      </c>
      <c r="GH80">
        <v>0</v>
      </c>
      <c r="GI80">
        <v>5.3407005094108442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4.8177464896214897</v>
      </c>
      <c r="AO81">
        <v>4.4947029431385959</v>
      </c>
      <c r="AP81">
        <v>21.206023549430661</v>
      </c>
      <c r="AQ81">
        <v>17.177399801438607</v>
      </c>
      <c r="AR81">
        <v>4.1166180300787394</v>
      </c>
      <c r="AS81">
        <v>16.69815174550757</v>
      </c>
      <c r="AT81" t="e">
        <v>#DIV/0!</v>
      </c>
      <c r="AU81" t="e">
        <v>#DIV/0!</v>
      </c>
      <c r="AV81"/>
      <c r="AW81"/>
      <c r="FY81" s="210">
        <v>76</v>
      </c>
      <c r="FZ81">
        <v>0.77022874879780745</v>
      </c>
      <c r="GA81">
        <v>3.6929427700477513</v>
      </c>
      <c r="GB81">
        <v>1.899400457688855</v>
      </c>
      <c r="GC81">
        <v>2.1211276509051977</v>
      </c>
      <c r="GD81">
        <v>1.5867048841472884</v>
      </c>
      <c r="GE81">
        <v>1.0306285072893564</v>
      </c>
      <c r="GF81">
        <v>1.0712213032574254</v>
      </c>
      <c r="GG81">
        <v>0.64907444160511019</v>
      </c>
      <c r="GH81">
        <v>0.66238017508411107</v>
      </c>
      <c r="GI81">
        <v>2.1505083348442788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6.2395833333333339</v>
      </c>
      <c r="AO82">
        <v>8.927635871380307</v>
      </c>
      <c r="AP82">
        <v>26.535949227625601</v>
      </c>
      <c r="AQ82">
        <v>28.155422069536783</v>
      </c>
      <c r="AR82">
        <v>8.1759354897522059</v>
      </c>
      <c r="AS82">
        <v>56.062263711777483</v>
      </c>
      <c r="AT82" t="e">
        <v>#DIV/0!</v>
      </c>
      <c r="AU82" t="e">
        <v>#DIV/0!</v>
      </c>
      <c r="AV82"/>
      <c r="AW82"/>
      <c r="FY82" s="210">
        <v>77</v>
      </c>
      <c r="FZ82">
        <v>6.6366169570396066E-2</v>
      </c>
      <c r="GA82">
        <v>3.3636753896002265</v>
      </c>
      <c r="GB82">
        <v>2.1551457643120848</v>
      </c>
      <c r="GC82">
        <v>4.8643744411030738</v>
      </c>
      <c r="GD82">
        <v>3.9594583740217737</v>
      </c>
      <c r="GE82">
        <v>1.6576558831156998</v>
      </c>
      <c r="GF82">
        <v>1.0712213032574254</v>
      </c>
      <c r="GG82">
        <v>0.16807232891341395</v>
      </c>
      <c r="GH82">
        <v>0</v>
      </c>
      <c r="GI82">
        <v>3.5590808043178912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6.9022817460317443</v>
      </c>
      <c r="AO83">
        <v>4.8992158855888537</v>
      </c>
      <c r="AP83">
        <v>22.275742143301439</v>
      </c>
      <c r="AQ83">
        <v>19.354118207714539</v>
      </c>
      <c r="AR83">
        <v>4.5447271665944848</v>
      </c>
      <c r="AS83">
        <v>22.926193867550204</v>
      </c>
      <c r="AT83" t="e">
        <v>#DIV/0!</v>
      </c>
      <c r="AU83" t="e">
        <v>#DIV/0!</v>
      </c>
      <c r="AV83"/>
      <c r="AW83"/>
      <c r="FY83" s="210">
        <v>78</v>
      </c>
      <c r="FZ83">
        <v>9.9549254355594113E-2</v>
      </c>
      <c r="GA83">
        <v>4.9626355569495741</v>
      </c>
      <c r="GB83">
        <v>3.4542199309368389</v>
      </c>
      <c r="GC83">
        <v>2.2512783776593364</v>
      </c>
      <c r="GD83">
        <v>1.9814343152445244</v>
      </c>
      <c r="GE83">
        <v>2.0437516149865345</v>
      </c>
      <c r="GF83">
        <v>0.88105632613632445</v>
      </c>
      <c r="GG83">
        <v>0.96200422538339236</v>
      </c>
      <c r="GH83">
        <v>1.3247603501682221</v>
      </c>
      <c r="GI83">
        <v>2.7998040348554518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8.1805555555555536</v>
      </c>
      <c r="AO84">
        <v>8.1916955572662395</v>
      </c>
      <c r="AP84">
        <v>27.192998638719388</v>
      </c>
      <c r="AQ84">
        <v>27.73881726292975</v>
      </c>
      <c r="AR84">
        <v>7.4932450313903596</v>
      </c>
      <c r="AS84">
        <v>36.415160885864331</v>
      </c>
      <c r="AT84" t="e">
        <v>#DIV/0!</v>
      </c>
      <c r="AU84" t="e">
        <v>#DIV/0!</v>
      </c>
      <c r="AV84"/>
      <c r="AW84"/>
      <c r="AX84" s="157" t="s">
        <v>111</v>
      </c>
      <c r="CJ84" s="157" t="s">
        <v>112</v>
      </c>
      <c r="FY84" s="210">
        <v>79</v>
      </c>
      <c r="FZ84">
        <v>0.2456818880042031</v>
      </c>
      <c r="GA84">
        <v>3.0736503178193786</v>
      </c>
      <c r="GB84">
        <v>1.899400457688855</v>
      </c>
      <c r="GC84">
        <v>14.775103394617689</v>
      </c>
      <c r="GD84">
        <v>11.380278963864351</v>
      </c>
      <c r="GE84">
        <v>1.3635607129112401</v>
      </c>
      <c r="GF84">
        <v>0.19016497712110106</v>
      </c>
      <c r="GG84">
        <v>0.64907444160511019</v>
      </c>
      <c r="GH84">
        <v>0.66238017508411107</v>
      </c>
      <c r="GI84">
        <v>8.874498019773414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3.549145299145299</v>
      </c>
      <c r="AO85">
        <v>3.7408235373589163</v>
      </c>
      <c r="AP85">
        <v>17.227000984043578</v>
      </c>
      <c r="AQ85">
        <v>15.526630486445255</v>
      </c>
      <c r="AR85">
        <v>3.4701517044145795</v>
      </c>
      <c r="AS85">
        <v>18.438969850841527</v>
      </c>
      <c r="AT85" t="e">
        <v>#DIV/0!</v>
      </c>
      <c r="AU85" t="e">
        <v>#DIV/0!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0">
        <v>80</v>
      </c>
      <c r="FZ85">
        <v>3.3183084785198033E-2</v>
      </c>
      <c r="GA85">
        <v>1.0123669329083649</v>
      </c>
      <c r="GB85">
        <v>1.0445179814772214</v>
      </c>
      <c r="GC85">
        <v>10.175593770638395</v>
      </c>
      <c r="GD85">
        <v>7.612373768109955</v>
      </c>
      <c r="GE85">
        <v>1.1695562879175558</v>
      </c>
      <c r="GF85">
        <v>1.6417162346207288</v>
      </c>
      <c r="GG85">
        <v>1.1532914283453519</v>
      </c>
      <c r="GH85">
        <v>0.66238017508411107</v>
      </c>
      <c r="GI85">
        <v>6.2380643875703701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8.2795902014652007</v>
      </c>
      <c r="AO86">
        <v>6.4844001851662938</v>
      </c>
      <c r="AP86">
        <v>36.814984845146633</v>
      </c>
      <c r="AQ86">
        <v>28.980371091238229</v>
      </c>
      <c r="AR86">
        <v>5.9623483102528567</v>
      </c>
      <c r="AS86">
        <v>29.269428136719384</v>
      </c>
      <c r="AT86" t="e">
        <v>#DIV/0!</v>
      </c>
      <c r="AU86" t="e">
        <v>#DIV/0!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7" t="s">
        <v>123</v>
      </c>
      <c r="CX86" s="227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0">
        <v>81</v>
      </c>
      <c r="FZ86">
        <v>0.2456818880042031</v>
      </c>
      <c r="GA86">
        <v>2.8332247998346558</v>
      </c>
      <c r="GB86">
        <v>1.2255519332900358</v>
      </c>
      <c r="GC86">
        <v>6.0330466388768391</v>
      </c>
      <c r="GD86">
        <v>5.4472229052822714</v>
      </c>
      <c r="GE86">
        <v>2.0262462153943566</v>
      </c>
      <c r="GF86">
        <v>0.19016497712110106</v>
      </c>
      <c r="GG86">
        <v>0.64907444160511019</v>
      </c>
      <c r="GH86">
        <v>0.66238017508411107</v>
      </c>
      <c r="GI86">
        <v>4.3789970792680846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5.9062881562881566</v>
      </c>
      <c r="AO87">
        <v>5.7342923621228357</v>
      </c>
      <c r="AP87">
        <v>27.496912080523479</v>
      </c>
      <c r="AQ87">
        <v>23.10873735623402</v>
      </c>
      <c r="AR87">
        <v>5.3193806698727606</v>
      </c>
      <c r="AS87">
        <v>24.298353151669389</v>
      </c>
      <c r="AT87" t="e">
        <v>#DIV/0!</v>
      </c>
      <c r="AU87" t="e">
        <v>#DIV/0!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0">
        <v>82</v>
      </c>
      <c r="FZ87">
        <v>0.2456818880042031</v>
      </c>
      <c r="GA87">
        <v>2.1108829387071388</v>
      </c>
      <c r="GB87">
        <v>0.88097094884916438</v>
      </c>
      <c r="GC87">
        <v>2.1287882724831912</v>
      </c>
      <c r="GD87">
        <v>2.189906115130658</v>
      </c>
      <c r="GE87">
        <v>1.8322417904006723</v>
      </c>
      <c r="GF87">
        <v>1.8318812117418297</v>
      </c>
      <c r="GG87">
        <v>2.2833679826421585</v>
      </c>
      <c r="GH87">
        <v>1.9871405252523333</v>
      </c>
      <c r="GI87">
        <v>2.5400860583498561</v>
      </c>
      <c r="GJ87"/>
      <c r="GK87"/>
      <c r="GL87"/>
      <c r="GM87"/>
    </row>
    <row r="88" spans="1:195" s="7" customFormat="1">
      <c r="A88" s="128"/>
      <c r="B88" s="76">
        <f ca="1">IF(C88="", "", RAND())</f>
        <v>0.80655614279956644</v>
      </c>
      <c r="C88">
        <v>4</v>
      </c>
      <c r="D88">
        <v>39646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7.1956845238095237</v>
      </c>
      <c r="AO88">
        <v>7.926089742257143</v>
      </c>
      <c r="AP88">
        <v>34.66393467679103</v>
      </c>
      <c r="AQ88">
        <v>30.212114459523324</v>
      </c>
      <c r="AR88">
        <v>7.1939922283079758</v>
      </c>
      <c r="AS88">
        <v>37.371140710319644</v>
      </c>
      <c r="AT88" t="e">
        <v>#DIV/0!</v>
      </c>
      <c r="AU88" t="e">
        <v>#DIV/0!</v>
      </c>
      <c r="AV88"/>
      <c r="AW88"/>
      <c r="AX88" s="128"/>
      <c r="AY88" s="76">
        <f ca="1">IF(AZ88="", "", RAND())</f>
        <v>0.30239149482586392</v>
      </c>
      <c r="AZ88">
        <v>1</v>
      </c>
      <c r="BA88" s="129">
        <f>IF(AZ88="", "",$C$4)</f>
        <v>39646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 s="147"/>
      <c r="CH88" s="176"/>
      <c r="CJ88" s="128"/>
      <c r="CK88" s="76">
        <f ca="1">IF(AZ88="", "", RAND())</f>
        <v>0.46037292105852234</v>
      </c>
      <c r="CL88" s="179">
        <f>IF(AZ88="", "", AZ88)</f>
        <v>1</v>
      </c>
      <c r="CM88" s="180">
        <f>IF(AZ88="", "", BA88)</f>
        <v>39646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49">IF(DD88="", "", RAND())</f>
        <v>0.9336169643802894</v>
      </c>
      <c r="DD88">
        <f>IF(AZ88="", "", AZ88)</f>
        <v>1</v>
      </c>
      <c r="DE88" s="129">
        <f t="shared" ref="DE88:DE97" si="50">IF(DD88="", "", $C$4)</f>
        <v>39646</v>
      </c>
      <c r="DF88" s="161">
        <f t="shared" ref="DF88:DM88" si="51">IF($AZ88="", "", ((BB88*$CW88)+(CN88*$CX88))/$CZ88)</f>
        <v>0</v>
      </c>
      <c r="DG88" s="161">
        <f t="shared" si="51"/>
        <v>0</v>
      </c>
      <c r="DH88" s="161">
        <f t="shared" si="51"/>
        <v>0</v>
      </c>
      <c r="DI88" s="161">
        <f t="shared" si="51"/>
        <v>0</v>
      </c>
      <c r="DJ88" s="161">
        <f t="shared" si="51"/>
        <v>0</v>
      </c>
      <c r="DK88" s="161">
        <f t="shared" si="51"/>
        <v>0</v>
      </c>
      <c r="DL88" s="161">
        <f t="shared" si="51"/>
        <v>0</v>
      </c>
      <c r="DM88" s="161">
        <f t="shared" si="51"/>
        <v>0</v>
      </c>
      <c r="DN88" s="161">
        <f t="shared" ref="DN88:EJ88" si="52">IF($AZ88="", "", (BJ88*$CW88)/$CZ88)</f>
        <v>0</v>
      </c>
      <c r="DO88" s="161">
        <f t="shared" si="52"/>
        <v>0</v>
      </c>
      <c r="DP88" s="161">
        <f t="shared" si="52"/>
        <v>0</v>
      </c>
      <c r="DQ88" s="161">
        <f t="shared" si="52"/>
        <v>0</v>
      </c>
      <c r="DR88" s="161">
        <f t="shared" si="52"/>
        <v>0</v>
      </c>
      <c r="DS88" s="161">
        <f t="shared" si="52"/>
        <v>0</v>
      </c>
      <c r="DT88" s="161">
        <f t="shared" si="52"/>
        <v>0</v>
      </c>
      <c r="DU88" s="161">
        <f t="shared" si="52"/>
        <v>0</v>
      </c>
      <c r="DV88" s="161">
        <f t="shared" si="52"/>
        <v>0</v>
      </c>
      <c r="DW88" s="161">
        <f t="shared" si="52"/>
        <v>0</v>
      </c>
      <c r="DX88" s="161">
        <f t="shared" si="52"/>
        <v>0</v>
      </c>
      <c r="DY88" s="161">
        <f t="shared" si="52"/>
        <v>0</v>
      </c>
      <c r="DZ88" s="161">
        <f t="shared" si="52"/>
        <v>0</v>
      </c>
      <c r="EA88" s="161">
        <f t="shared" si="52"/>
        <v>0</v>
      </c>
      <c r="EB88" s="161">
        <f t="shared" si="52"/>
        <v>0</v>
      </c>
      <c r="EC88" s="161">
        <f t="shared" si="52"/>
        <v>0</v>
      </c>
      <c r="ED88" s="161">
        <f t="shared" si="52"/>
        <v>0</v>
      </c>
      <c r="EE88" s="161">
        <f t="shared" si="52"/>
        <v>0</v>
      </c>
      <c r="EF88" s="161">
        <f t="shared" si="52"/>
        <v>0</v>
      </c>
      <c r="EG88" s="161">
        <f t="shared" si="52"/>
        <v>0</v>
      </c>
      <c r="EH88" s="161">
        <f t="shared" si="52"/>
        <v>0</v>
      </c>
      <c r="EI88" s="161">
        <f t="shared" si="52"/>
        <v>0</v>
      </c>
      <c r="EJ88" s="161">
        <f t="shared" si="52"/>
        <v>0</v>
      </c>
      <c r="EK88" s="147">
        <f t="shared" ref="EK88:EK119" si="53">IF(DF88="", "", SUM(DF88:EJ88))</f>
        <v>0</v>
      </c>
      <c r="EL88" s="149"/>
      <c r="EN88" s="146"/>
      <c r="EO88" s="146"/>
      <c r="EP88" s="139">
        <f t="shared" ref="EP88:EP119" si="54">IF(DF88="", "", DF88*G$36)</f>
        <v>0</v>
      </c>
      <c r="EQ88" s="139">
        <f t="shared" ref="EQ88:EQ119" si="55">IF(DG88="", "", DG88*H$36)</f>
        <v>0</v>
      </c>
      <c r="ER88" s="139">
        <f t="shared" ref="ER88:ER119" si="56">IF(DH88="", "", DH88*I$36)</f>
        <v>0</v>
      </c>
      <c r="ES88" s="139">
        <f t="shared" ref="ES88:ES119" si="57">IF(DI88="", "", DI88*J$36)</f>
        <v>0</v>
      </c>
      <c r="ET88" s="139">
        <f t="shared" ref="ET88:ET119" si="58">IF(DJ88="", "", DJ88*K$36)</f>
        <v>0</v>
      </c>
      <c r="EU88" s="139">
        <f t="shared" ref="EU88:EU119" si="59">IF(DK88="", "", DK88*L$36)</f>
        <v>0</v>
      </c>
      <c r="EV88" s="139">
        <f t="shared" ref="EV88:EV119" si="60">IF(DL88="", "", DL88*M$36)</f>
        <v>0</v>
      </c>
      <c r="EW88" s="139">
        <f t="shared" ref="EW88:EW119" si="61">IF(DM88="", "", DM88*N$36)</f>
        <v>0</v>
      </c>
      <c r="EX88" s="139">
        <f t="shared" ref="EX88:EX119" si="62">IF(DN88="", "", DN88*O$36)</f>
        <v>0</v>
      </c>
      <c r="EY88" s="139">
        <f t="shared" ref="EY88:EY119" si="63">IF(DO88="", "", DO88*P$36)</f>
        <v>0</v>
      </c>
      <c r="EZ88" s="139">
        <f t="shared" ref="EZ88:EZ119" si="64">IF(DP88="", "", DP88*Q$36)</f>
        <v>0</v>
      </c>
      <c r="FA88" s="139">
        <f t="shared" ref="FA88:FA119" si="65">IF(DQ88="", "", DQ88*R$36)</f>
        <v>0</v>
      </c>
      <c r="FB88" s="139">
        <f t="shared" ref="FB88:FB119" si="66">IF(DR88="", "", DR88*S$36)</f>
        <v>0</v>
      </c>
      <c r="FC88" s="139">
        <f t="shared" ref="FC88:FC119" si="67">IF(DS88="", "", DS88*T$36)</f>
        <v>0</v>
      </c>
      <c r="FD88" s="139">
        <f t="shared" ref="FD88:FD119" si="68">IF(DT88="", "", DT88*U$36)</f>
        <v>0</v>
      </c>
      <c r="FE88" s="139">
        <f t="shared" ref="FE88:FE119" si="69">IF(DU88="", "", DU88*V$36)</f>
        <v>0</v>
      </c>
      <c r="FF88" s="139">
        <f t="shared" ref="FF88:FF119" si="70">IF(DV88="", "", DV88*W$36)</f>
        <v>0</v>
      </c>
      <c r="FG88" s="139">
        <f t="shared" ref="FG88:FG119" si="71">IF(DW88="", "", DW88*X$36)</f>
        <v>0</v>
      </c>
      <c r="FH88" s="139">
        <f t="shared" ref="FH88:FH119" si="72">IF(DX88="", "", DX88*Y$36)</f>
        <v>0</v>
      </c>
      <c r="FI88" s="139">
        <f t="shared" ref="FI88:FI119" si="73">IF(DY88="", "", DY88*Z$36)</f>
        <v>0</v>
      </c>
      <c r="FJ88" s="139">
        <f t="shared" ref="FJ88:FJ119" si="74">IF(DZ88="", "", DZ88*AA$36)</f>
        <v>0</v>
      </c>
      <c r="FK88" s="139">
        <f t="shared" ref="FK88:FK119" si="75">IF(EA88="", "", EA88*AB$36)</f>
        <v>0</v>
      </c>
      <c r="FL88" s="139">
        <f t="shared" ref="FL88:FL119" si="76">IF(EB88="", "", EB88*AC$36)</f>
        <v>0</v>
      </c>
      <c r="FM88" s="139">
        <f t="shared" ref="FM88:FM119" si="77">IF(EC88="", "", EC88*AD$36)</f>
        <v>0</v>
      </c>
      <c r="FN88" s="139">
        <f t="shared" ref="FN88:FN119" si="78">IF(ED88="", "", ED88*AE$36)</f>
        <v>0</v>
      </c>
      <c r="FO88" s="139">
        <f t="shared" ref="FO88:FO119" si="79">IF(EE88="", "", EE88*AF$36)</f>
        <v>0</v>
      </c>
      <c r="FP88" s="139">
        <f t="shared" ref="FP88:FP119" si="80">IF(EF88="", "", EF88*AG$36)</f>
        <v>0</v>
      </c>
      <c r="FQ88" s="139">
        <f t="shared" ref="FQ88:FQ119" si="81">IF(EG88="", "", EG88*AH$36)</f>
        <v>0</v>
      </c>
      <c r="FR88" s="139">
        <f t="shared" ref="FR88:FR119" si="82">IF(EH88="", "", EH88*AI$36)</f>
        <v>0</v>
      </c>
      <c r="FS88" s="139">
        <f t="shared" ref="FS88:FS119" si="83">IF(EI88="", "", EI88*AJ$36)</f>
        <v>0</v>
      </c>
      <c r="FT88" s="139">
        <f t="shared" ref="FT88:FT119" si="84">IF(EJ88="", "", EJ88*AK$36)</f>
        <v>0</v>
      </c>
      <c r="FU88" s="148">
        <f t="shared" ref="FU88:FU119" si="85">IF(EP88="","",SUM(EP88:FT88))</f>
        <v>0</v>
      </c>
      <c r="FV88" s="149"/>
      <c r="FY88" s="210">
        <v>83</v>
      </c>
      <c r="FZ88">
        <v>0</v>
      </c>
      <c r="GA88">
        <v>2.9090166275956166</v>
      </c>
      <c r="GB88">
        <v>1.9633367843446625</v>
      </c>
      <c r="GC88">
        <v>7.5916024145058252</v>
      </c>
      <c r="GD88">
        <v>5.8575483181314842</v>
      </c>
      <c r="GE88">
        <v>2.02559888792194</v>
      </c>
      <c r="GF88">
        <v>1.7621126522726489</v>
      </c>
      <c r="GG88">
        <v>0</v>
      </c>
      <c r="GH88">
        <v>0</v>
      </c>
      <c r="GI88">
        <v>5.1411804426953553</v>
      </c>
      <c r="GJ88"/>
      <c r="GK88"/>
      <c r="GL88"/>
      <c r="GM88"/>
    </row>
    <row r="89" spans="1:195" s="7" customFormat="1">
      <c r="A89" s="115"/>
      <c r="B89" s="76">
        <f ca="1">IF(C89="", "", RAND())</f>
        <v>0.35757307266823801</v>
      </c>
      <c r="C89">
        <v>3</v>
      </c>
      <c r="D89">
        <v>39646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8.5104548229548236</v>
      </c>
      <c r="AO89">
        <v>7.6871058256170572</v>
      </c>
      <c r="AP89">
        <v>24.976922744770917</v>
      </c>
      <c r="AQ89">
        <v>25.479460529297398</v>
      </c>
      <c r="AR89">
        <v>7.1308959421308504</v>
      </c>
      <c r="AS89">
        <v>32.355788378332868</v>
      </c>
      <c r="AT89" t="e">
        <v>#DIV/0!</v>
      </c>
      <c r="AU89" t="e">
        <v>#DIV/0!</v>
      </c>
      <c r="AV89"/>
      <c r="AW89"/>
      <c r="AX89" s="150"/>
      <c r="AY89" s="76">
        <f t="shared" ref="AY89:AY149" ca="1" si="86">IF(AZ89="", "", RAND())</f>
        <v>0.41531271400452341</v>
      </c>
      <c r="AZ89">
        <v>2</v>
      </c>
      <c r="BA89" s="129">
        <f t="shared" ref="BA89:BA97" si="87">IF(AZ89="", "",$C$4)</f>
        <v>39646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 s="147"/>
      <c r="CH89" s="176"/>
      <c r="CJ89" s="150"/>
      <c r="CK89" s="76">
        <f t="shared" ref="CK89:CK152" ca="1" si="88">IF(AZ89="", "", RAND())</f>
        <v>0.54206968713876269</v>
      </c>
      <c r="CL89" s="179">
        <f t="shared" ref="CL89:CL152" si="89">IF(AZ89="", "", AZ89)</f>
        <v>2</v>
      </c>
      <c r="CM89" s="180">
        <f t="shared" ref="CM89:CM152" si="90">IF(AZ89="", "", BA89)</f>
        <v>39646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W89">
        <v>1</v>
      </c>
      <c r="CX89">
        <f>2/1</f>
        <v>2</v>
      </c>
      <c r="CY89" s="158"/>
      <c r="CZ89" s="177">
        <f t="shared" ref="CZ89:CZ152" si="91">IF(AZ89="", "", $G$15)</f>
        <v>9.6000000000000002E-2</v>
      </c>
      <c r="DB89" s="150"/>
      <c r="DC89" s="76">
        <f t="shared" ca="1" si="49"/>
        <v>0.14611879071408662</v>
      </c>
      <c r="DD89">
        <f t="shared" ref="DD89:DD152" si="92">IF(AZ89="", "", AZ89)</f>
        <v>2</v>
      </c>
      <c r="DE89" s="129">
        <f t="shared" si="50"/>
        <v>39646</v>
      </c>
      <c r="DF89" s="161">
        <f t="shared" ref="DF89:DF152" si="93">IF($AZ89="", "", ((BB89*$CW89)+(CN89*$CX89))/$CZ89)</f>
        <v>0</v>
      </c>
      <c r="DG89" s="161">
        <f t="shared" ref="DG89:DG152" si="94">IF($AZ89="", "", ((BC89*$CW89)+(CO89*$CX89))/$CZ89)</f>
        <v>0</v>
      </c>
      <c r="DH89" s="161">
        <f t="shared" ref="DH89:DH152" si="95">IF($AZ89="", "", ((BD89*$CW89)+(CP89*$CX89))/$CZ89)</f>
        <v>0</v>
      </c>
      <c r="DI89" s="161">
        <f t="shared" ref="DI89:DI152" si="96">IF($AZ89="", "", ((BE89*$CW89)+(CQ89*$CX89))/$CZ89)</f>
        <v>0</v>
      </c>
      <c r="DJ89" s="161">
        <f t="shared" ref="DJ89:DJ152" si="97">IF($AZ89="", "", ((BF89*$CW89)+(CR89*$CX89))/$CZ89)</f>
        <v>0</v>
      </c>
      <c r="DK89" s="161">
        <f t="shared" ref="DK89:DK152" si="98">IF($AZ89="", "", ((BG89*$CW89)+(CS89*$CX89))/$CZ89)</f>
        <v>0</v>
      </c>
      <c r="DL89" s="161">
        <f t="shared" ref="DL89:DL152" si="99">IF($AZ89="", "", ((BH89*$CW89)+(CT89*$CX89))/$CZ89)</f>
        <v>0</v>
      </c>
      <c r="DM89" s="161">
        <f t="shared" ref="DM89:DM152" si="100">IF($AZ89="", "", ((BI89*$CW89)+(CU89*$CX89))/$CZ89)</f>
        <v>0</v>
      </c>
      <c r="DN89" s="161">
        <f t="shared" ref="DN89:DN152" si="101">IF($AZ89="", "", (BJ89*$CW89)/$CZ89)</f>
        <v>0</v>
      </c>
      <c r="DO89" s="161">
        <f t="shared" ref="DO89:DO152" si="102">IF($AZ89="", "", (BK89*$CW89)/$CZ89)</f>
        <v>0</v>
      </c>
      <c r="DP89" s="161">
        <f t="shared" ref="DP89:DP152" si="103">IF($AZ89="", "", (BL89*$CW89)/$CZ89)</f>
        <v>0</v>
      </c>
      <c r="DQ89" s="161">
        <f t="shared" ref="DQ89:DQ152" si="104">IF($AZ89="", "", (BM89*$CW89)/$CZ89)</f>
        <v>0</v>
      </c>
      <c r="DR89" s="161">
        <f t="shared" ref="DR89:DR152" si="105">IF($AZ89="", "", (BN89*$CW89)/$CZ89)</f>
        <v>0</v>
      </c>
      <c r="DS89" s="161">
        <f t="shared" ref="DS89:DS152" si="106">IF($AZ89="", "", (BO89*$CW89)/$CZ89)</f>
        <v>0</v>
      </c>
      <c r="DT89" s="161">
        <f t="shared" ref="DT89:DT152" si="107">IF($AZ89="", "", (BP89*$CW89)/$CZ89)</f>
        <v>0</v>
      </c>
      <c r="DU89" s="161">
        <f t="shared" ref="DU89:DU152" si="108">IF($AZ89="", "", (BQ89*$CW89)/$CZ89)</f>
        <v>0</v>
      </c>
      <c r="DV89" s="161">
        <f t="shared" ref="DV89:DV152" si="109">IF($AZ89="", "", (BR89*$CW89)/$CZ89)</f>
        <v>0</v>
      </c>
      <c r="DW89" s="161">
        <f t="shared" ref="DW89:DW152" si="110">IF($AZ89="", "", (BS89*$CW89)/$CZ89)</f>
        <v>0</v>
      </c>
      <c r="DX89" s="161">
        <f t="shared" ref="DX89:DX152" si="111">IF($AZ89="", "", (BT89*$CW89)/$CZ89)</f>
        <v>0</v>
      </c>
      <c r="DY89" s="161">
        <f t="shared" ref="DY89:DY152" si="112">IF($AZ89="", "", (BU89*$CW89)/$CZ89)</f>
        <v>0</v>
      </c>
      <c r="DZ89" s="161">
        <f t="shared" ref="DZ89:DZ152" si="113">IF($AZ89="", "", (BV89*$CW89)/$CZ89)</f>
        <v>0</v>
      </c>
      <c r="EA89" s="161">
        <f t="shared" ref="EA89:EA152" si="114">IF($AZ89="", "", (BW89*$CW89)/$CZ89)</f>
        <v>0</v>
      </c>
      <c r="EB89" s="161">
        <f t="shared" ref="EB89:EB152" si="115">IF($AZ89="", "", (BX89*$CW89)/$CZ89)</f>
        <v>0</v>
      </c>
      <c r="EC89" s="161">
        <f t="shared" ref="EC89:EC152" si="116">IF($AZ89="", "", (BY89*$CW89)/$CZ89)</f>
        <v>0</v>
      </c>
      <c r="ED89" s="161">
        <f t="shared" ref="ED89:ED152" si="117">IF($AZ89="", "", (BZ89*$CW89)/$CZ89)</f>
        <v>0</v>
      </c>
      <c r="EE89" s="161">
        <f t="shared" ref="EE89:EE152" si="118">IF($AZ89="", "", (CA89*$CW89)/$CZ89)</f>
        <v>0</v>
      </c>
      <c r="EF89" s="161">
        <f t="shared" ref="EF89:EF152" si="119">IF($AZ89="", "", (CB89*$CW89)/$CZ89)</f>
        <v>0</v>
      </c>
      <c r="EG89" s="161">
        <f t="shared" ref="EG89:EG152" si="120">IF($AZ89="", "", (CC89*$CW89)/$CZ89)</f>
        <v>0</v>
      </c>
      <c r="EH89" s="161">
        <f t="shared" ref="EH89:EH152" si="121">IF($AZ89="", "", (CD89*$CW89)/$CZ89)</f>
        <v>0</v>
      </c>
      <c r="EI89" s="161">
        <f t="shared" ref="EI89:EI152" si="122">IF($AZ89="", "", (CE89*$CW89)/$CZ89)</f>
        <v>0</v>
      </c>
      <c r="EJ89" s="161">
        <f t="shared" ref="EJ89:EJ152" si="123">IF($AZ89="", "", (CF89*$CW89)/$CZ89)</f>
        <v>0</v>
      </c>
      <c r="EK89" s="147">
        <f t="shared" si="53"/>
        <v>0</v>
      </c>
      <c r="EL89" s="149"/>
      <c r="EN89" s="150"/>
      <c r="EO89" s="150"/>
      <c r="EP89" s="139">
        <f t="shared" si="54"/>
        <v>0</v>
      </c>
      <c r="EQ89" s="139">
        <f t="shared" si="55"/>
        <v>0</v>
      </c>
      <c r="ER89" s="139">
        <f t="shared" si="56"/>
        <v>0</v>
      </c>
      <c r="ES89" s="139">
        <f t="shared" si="57"/>
        <v>0</v>
      </c>
      <c r="ET89" s="139">
        <f t="shared" si="58"/>
        <v>0</v>
      </c>
      <c r="EU89" s="139">
        <f t="shared" si="59"/>
        <v>0</v>
      </c>
      <c r="EV89" s="139">
        <f t="shared" si="60"/>
        <v>0</v>
      </c>
      <c r="EW89" s="139">
        <f t="shared" si="61"/>
        <v>0</v>
      </c>
      <c r="EX89" s="139">
        <f t="shared" si="62"/>
        <v>0</v>
      </c>
      <c r="EY89" s="139">
        <f t="shared" si="63"/>
        <v>0</v>
      </c>
      <c r="EZ89" s="139">
        <f t="shared" si="64"/>
        <v>0</v>
      </c>
      <c r="FA89" s="139">
        <f t="shared" si="65"/>
        <v>0</v>
      </c>
      <c r="FB89" s="139">
        <f t="shared" si="66"/>
        <v>0</v>
      </c>
      <c r="FC89" s="139">
        <f t="shared" si="67"/>
        <v>0</v>
      </c>
      <c r="FD89" s="139">
        <f t="shared" si="68"/>
        <v>0</v>
      </c>
      <c r="FE89" s="139">
        <f t="shared" si="69"/>
        <v>0</v>
      </c>
      <c r="FF89" s="139">
        <f t="shared" si="70"/>
        <v>0</v>
      </c>
      <c r="FG89" s="139">
        <f t="shared" si="71"/>
        <v>0</v>
      </c>
      <c r="FH89" s="139">
        <f t="shared" si="72"/>
        <v>0</v>
      </c>
      <c r="FI89" s="139">
        <f t="shared" si="73"/>
        <v>0</v>
      </c>
      <c r="FJ89" s="139">
        <f t="shared" si="74"/>
        <v>0</v>
      </c>
      <c r="FK89" s="139">
        <f t="shared" si="75"/>
        <v>0</v>
      </c>
      <c r="FL89" s="139">
        <f t="shared" si="76"/>
        <v>0</v>
      </c>
      <c r="FM89" s="139">
        <f t="shared" si="77"/>
        <v>0</v>
      </c>
      <c r="FN89" s="139">
        <f t="shared" si="78"/>
        <v>0</v>
      </c>
      <c r="FO89" s="139">
        <f t="shared" si="79"/>
        <v>0</v>
      </c>
      <c r="FP89" s="139">
        <f t="shared" si="80"/>
        <v>0</v>
      </c>
      <c r="FQ89" s="139">
        <f t="shared" si="81"/>
        <v>0</v>
      </c>
      <c r="FR89" s="139">
        <f t="shared" si="82"/>
        <v>0</v>
      </c>
      <c r="FS89" s="139">
        <f t="shared" si="83"/>
        <v>0</v>
      </c>
      <c r="FT89" s="139">
        <f t="shared" si="84"/>
        <v>0</v>
      </c>
      <c r="FU89" s="148">
        <f t="shared" si="85"/>
        <v>0</v>
      </c>
      <c r="FV89" s="149"/>
      <c r="FY89" s="210">
        <v>84</v>
      </c>
      <c r="FZ89">
        <v>0.52454686079360424</v>
      </c>
      <c r="GA89">
        <v>2.5655417007117491</v>
      </c>
      <c r="GB89">
        <v>3.8052289941286497</v>
      </c>
      <c r="GC89">
        <v>4.5081109954886651</v>
      </c>
      <c r="GD89">
        <v>2.9908532654639015</v>
      </c>
      <c r="GE89">
        <v>1.8691657077015624</v>
      </c>
      <c r="GF89">
        <v>1.2613862803785265</v>
      </c>
      <c r="GG89">
        <v>1.7791509959019165</v>
      </c>
      <c r="GH89">
        <v>1.9871405252523333</v>
      </c>
      <c r="GI89">
        <v>3.8055271063397393</v>
      </c>
      <c r="GJ89"/>
      <c r="GK89"/>
      <c r="GL89"/>
      <c r="GM89"/>
    </row>
    <row r="90" spans="1:195" s="7" customFormat="1">
      <c r="A90" s="115"/>
      <c r="B90" s="76">
        <f ca="1">IF(C90="", "", RAND())</f>
        <v>0.12671042621851036</v>
      </c>
      <c r="C90">
        <v>10</v>
      </c>
      <c r="D90">
        <v>39646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10.24185363247863</v>
      </c>
      <c r="AO90">
        <v>15.867147905987157</v>
      </c>
      <c r="AP90">
        <v>37.584765203556039</v>
      </c>
      <c r="AQ90">
        <v>44.034020005581837</v>
      </c>
      <c r="AR90">
        <v>14.66619591769336</v>
      </c>
      <c r="AS90">
        <v>93.735040053994737</v>
      </c>
      <c r="AT90" t="e">
        <v>#DIV/0!</v>
      </c>
      <c r="AU90" t="e">
        <v>#DIV/0!</v>
      </c>
      <c r="AV90"/>
      <c r="AW90"/>
      <c r="AX90" s="150"/>
      <c r="AY90" s="76">
        <f t="shared" ca="1" si="86"/>
        <v>0.4609820140881844</v>
      </c>
      <c r="AZ90">
        <v>3</v>
      </c>
      <c r="BA90" s="129">
        <f t="shared" si="87"/>
        <v>39646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 s="147"/>
      <c r="CH90" s="176"/>
      <c r="CJ90" s="150"/>
      <c r="CK90" s="76">
        <f t="shared" ca="1" si="88"/>
        <v>0.92362354543735403</v>
      </c>
      <c r="CL90" s="179">
        <f t="shared" si="89"/>
        <v>3</v>
      </c>
      <c r="CM90" s="180">
        <f t="shared" si="90"/>
        <v>39646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W90">
        <v>1</v>
      </c>
      <c r="CX90">
        <v>1</v>
      </c>
      <c r="CY90" s="158"/>
      <c r="CZ90" s="177">
        <f t="shared" si="91"/>
        <v>9.6000000000000002E-2</v>
      </c>
      <c r="DB90" s="150"/>
      <c r="DC90" s="76">
        <f t="shared" ca="1" si="49"/>
        <v>0.40808500669514292</v>
      </c>
      <c r="DD90">
        <f t="shared" si="92"/>
        <v>3</v>
      </c>
      <c r="DE90" s="129">
        <f t="shared" si="50"/>
        <v>39646</v>
      </c>
      <c r="DF90" s="161">
        <f t="shared" si="93"/>
        <v>0</v>
      </c>
      <c r="DG90" s="161">
        <f t="shared" si="94"/>
        <v>0</v>
      </c>
      <c r="DH90" s="161">
        <f t="shared" si="95"/>
        <v>0</v>
      </c>
      <c r="DI90" s="161">
        <f t="shared" si="96"/>
        <v>0</v>
      </c>
      <c r="DJ90" s="161">
        <f t="shared" si="97"/>
        <v>0</v>
      </c>
      <c r="DK90" s="161">
        <f t="shared" si="98"/>
        <v>0</v>
      </c>
      <c r="DL90" s="161">
        <f t="shared" si="99"/>
        <v>0</v>
      </c>
      <c r="DM90" s="161">
        <f t="shared" si="100"/>
        <v>0</v>
      </c>
      <c r="DN90" s="161">
        <f t="shared" si="101"/>
        <v>0</v>
      </c>
      <c r="DO90" s="161">
        <f t="shared" si="102"/>
        <v>0</v>
      </c>
      <c r="DP90" s="161">
        <f t="shared" si="103"/>
        <v>0</v>
      </c>
      <c r="DQ90" s="161">
        <f t="shared" si="104"/>
        <v>0</v>
      </c>
      <c r="DR90" s="161">
        <f t="shared" si="105"/>
        <v>0</v>
      </c>
      <c r="DS90" s="161">
        <f t="shared" si="106"/>
        <v>0</v>
      </c>
      <c r="DT90" s="161">
        <f t="shared" si="107"/>
        <v>0</v>
      </c>
      <c r="DU90" s="161">
        <f t="shared" si="108"/>
        <v>0</v>
      </c>
      <c r="DV90" s="161">
        <f t="shared" si="109"/>
        <v>0</v>
      </c>
      <c r="DW90" s="161">
        <f t="shared" si="110"/>
        <v>0</v>
      </c>
      <c r="DX90" s="161">
        <f t="shared" si="111"/>
        <v>0</v>
      </c>
      <c r="DY90" s="161">
        <f t="shared" si="112"/>
        <v>0</v>
      </c>
      <c r="DZ90" s="161">
        <f t="shared" si="113"/>
        <v>0</v>
      </c>
      <c r="EA90" s="161">
        <f t="shared" si="114"/>
        <v>0</v>
      </c>
      <c r="EB90" s="161">
        <f t="shared" si="115"/>
        <v>0</v>
      </c>
      <c r="EC90" s="161">
        <f t="shared" si="116"/>
        <v>0</v>
      </c>
      <c r="ED90" s="161">
        <f t="shared" si="117"/>
        <v>0</v>
      </c>
      <c r="EE90" s="161">
        <f t="shared" si="118"/>
        <v>0</v>
      </c>
      <c r="EF90" s="161">
        <f t="shared" si="119"/>
        <v>0</v>
      </c>
      <c r="EG90" s="161">
        <f t="shared" si="120"/>
        <v>0</v>
      </c>
      <c r="EH90" s="161">
        <f t="shared" si="121"/>
        <v>0</v>
      </c>
      <c r="EI90" s="161">
        <f t="shared" si="122"/>
        <v>0</v>
      </c>
      <c r="EJ90" s="161">
        <f t="shared" si="123"/>
        <v>0</v>
      </c>
      <c r="EK90" s="147">
        <f t="shared" si="53"/>
        <v>0</v>
      </c>
      <c r="EL90" s="149"/>
      <c r="EN90" s="150"/>
      <c r="EO90" s="150"/>
      <c r="EP90" s="139">
        <f t="shared" si="54"/>
        <v>0</v>
      </c>
      <c r="EQ90" s="139">
        <f t="shared" si="55"/>
        <v>0</v>
      </c>
      <c r="ER90" s="139">
        <f t="shared" si="56"/>
        <v>0</v>
      </c>
      <c r="ES90" s="139">
        <f t="shared" si="57"/>
        <v>0</v>
      </c>
      <c r="ET90" s="139">
        <f t="shared" si="58"/>
        <v>0</v>
      </c>
      <c r="EU90" s="139">
        <f t="shared" si="59"/>
        <v>0</v>
      </c>
      <c r="EV90" s="139">
        <f t="shared" si="60"/>
        <v>0</v>
      </c>
      <c r="EW90" s="139">
        <f t="shared" si="61"/>
        <v>0</v>
      </c>
      <c r="EX90" s="139">
        <f t="shared" si="62"/>
        <v>0</v>
      </c>
      <c r="EY90" s="139">
        <f t="shared" si="63"/>
        <v>0</v>
      </c>
      <c r="EZ90" s="139">
        <f t="shared" si="64"/>
        <v>0</v>
      </c>
      <c r="FA90" s="139">
        <f t="shared" si="65"/>
        <v>0</v>
      </c>
      <c r="FB90" s="139">
        <f t="shared" si="66"/>
        <v>0</v>
      </c>
      <c r="FC90" s="139">
        <f t="shared" si="67"/>
        <v>0</v>
      </c>
      <c r="FD90" s="139">
        <f t="shared" si="68"/>
        <v>0</v>
      </c>
      <c r="FE90" s="139">
        <f t="shared" si="69"/>
        <v>0</v>
      </c>
      <c r="FF90" s="139">
        <f t="shared" si="70"/>
        <v>0</v>
      </c>
      <c r="FG90" s="139">
        <f t="shared" si="71"/>
        <v>0</v>
      </c>
      <c r="FH90" s="139">
        <f t="shared" si="72"/>
        <v>0</v>
      </c>
      <c r="FI90" s="139">
        <f t="shared" si="73"/>
        <v>0</v>
      </c>
      <c r="FJ90" s="139">
        <f t="shared" si="74"/>
        <v>0</v>
      </c>
      <c r="FK90" s="139">
        <f t="shared" si="75"/>
        <v>0</v>
      </c>
      <c r="FL90" s="139">
        <f t="shared" si="76"/>
        <v>0</v>
      </c>
      <c r="FM90" s="139">
        <f t="shared" si="77"/>
        <v>0</v>
      </c>
      <c r="FN90" s="139">
        <f t="shared" si="78"/>
        <v>0</v>
      </c>
      <c r="FO90" s="139">
        <f t="shared" si="79"/>
        <v>0</v>
      </c>
      <c r="FP90" s="139">
        <f t="shared" si="80"/>
        <v>0</v>
      </c>
      <c r="FQ90" s="139">
        <f t="shared" si="81"/>
        <v>0</v>
      </c>
      <c r="FR90" s="139">
        <f t="shared" si="82"/>
        <v>0</v>
      </c>
      <c r="FS90" s="139">
        <f t="shared" si="83"/>
        <v>0</v>
      </c>
      <c r="FT90" s="139">
        <f t="shared" si="84"/>
        <v>0</v>
      </c>
      <c r="FU90" s="148">
        <f t="shared" si="85"/>
        <v>0</v>
      </c>
      <c r="FV90" s="149"/>
      <c r="FY90" s="210">
        <v>85</v>
      </c>
      <c r="FZ90">
        <v>0.27886497278940114</v>
      </c>
      <c r="GA90">
        <v>0.58005014356169593</v>
      </c>
      <c r="GB90">
        <v>0.12787265331161465</v>
      </c>
      <c r="GC90">
        <v>10.207795735912056</v>
      </c>
      <c r="GD90">
        <v>8.0208720676662892</v>
      </c>
      <c r="GE90">
        <v>1.4830699758307275</v>
      </c>
      <c r="GF90">
        <v>1.6417162346207288</v>
      </c>
      <c r="GG90">
        <v>1.1532914283453519</v>
      </c>
      <c r="GH90">
        <v>0.66238017508411107</v>
      </c>
      <c r="GI90">
        <v>6.1931433638605666</v>
      </c>
      <c r="GJ90"/>
      <c r="GK90"/>
      <c r="GL90"/>
      <c r="GM90"/>
    </row>
    <row r="91" spans="1:195" s="7" customFormat="1">
      <c r="A91" s="77"/>
      <c r="B91" s="76">
        <f ca="1">IF(C91="", "", RAND())</f>
        <v>0.19803038266260486</v>
      </c>
      <c r="C91">
        <v>7</v>
      </c>
      <c r="D91">
        <v>39646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7.7686011904761898</v>
      </c>
      <c r="AO91">
        <v>8.8195358097294072</v>
      </c>
      <c r="AP91">
        <v>25.624197057251362</v>
      </c>
      <c r="AQ91">
        <v>26.847714159210607</v>
      </c>
      <c r="AR91">
        <v>8.1285223590127025</v>
      </c>
      <c r="AS91">
        <v>39.329112783450128</v>
      </c>
      <c r="AT91" t="e">
        <v>#DIV/0!</v>
      </c>
      <c r="AU91" t="e">
        <v>#DIV/0!</v>
      </c>
      <c r="AV91"/>
      <c r="AW91"/>
      <c r="AX91" s="151"/>
      <c r="AY91" s="76">
        <f t="shared" ca="1" si="86"/>
        <v>0.42096553039745377</v>
      </c>
      <c r="AZ91">
        <v>4</v>
      </c>
      <c r="BA91" s="129">
        <f t="shared" si="87"/>
        <v>39646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 s="147"/>
      <c r="CH91" s="176"/>
      <c r="CJ91" s="151"/>
      <c r="CK91" s="76">
        <f t="shared" ca="1" si="88"/>
        <v>0.37793300098718419</v>
      </c>
      <c r="CL91" s="179">
        <f t="shared" si="89"/>
        <v>4</v>
      </c>
      <c r="CM91" s="180">
        <f t="shared" si="90"/>
        <v>39646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W91">
        <v>1</v>
      </c>
      <c r="CX91">
        <v>1</v>
      </c>
      <c r="CY91" s="158"/>
      <c r="CZ91" s="177">
        <f t="shared" si="91"/>
        <v>9.6000000000000002E-2</v>
      </c>
      <c r="DB91" s="151"/>
      <c r="DC91" s="76">
        <f t="shared" ca="1" si="49"/>
        <v>0.97996527073179895</v>
      </c>
      <c r="DD91">
        <f t="shared" si="92"/>
        <v>4</v>
      </c>
      <c r="DE91" s="129">
        <f t="shared" si="50"/>
        <v>39646</v>
      </c>
      <c r="DF91" s="161">
        <f t="shared" si="93"/>
        <v>0</v>
      </c>
      <c r="DG91" s="161">
        <f t="shared" si="94"/>
        <v>0</v>
      </c>
      <c r="DH91" s="161">
        <f t="shared" si="95"/>
        <v>0</v>
      </c>
      <c r="DI91" s="161">
        <f t="shared" si="96"/>
        <v>0</v>
      </c>
      <c r="DJ91" s="161">
        <f t="shared" si="97"/>
        <v>0</v>
      </c>
      <c r="DK91" s="161">
        <f t="shared" si="98"/>
        <v>0</v>
      </c>
      <c r="DL91" s="161">
        <f t="shared" si="99"/>
        <v>0</v>
      </c>
      <c r="DM91" s="161">
        <f t="shared" si="100"/>
        <v>0</v>
      </c>
      <c r="DN91" s="161">
        <f t="shared" si="101"/>
        <v>0</v>
      </c>
      <c r="DO91" s="161">
        <f t="shared" si="102"/>
        <v>0</v>
      </c>
      <c r="DP91" s="161">
        <f t="shared" si="103"/>
        <v>0</v>
      </c>
      <c r="DQ91" s="161">
        <f t="shared" si="104"/>
        <v>0</v>
      </c>
      <c r="DR91" s="161">
        <f t="shared" si="105"/>
        <v>0</v>
      </c>
      <c r="DS91" s="161">
        <f t="shared" si="106"/>
        <v>0</v>
      </c>
      <c r="DT91" s="161">
        <f t="shared" si="107"/>
        <v>0</v>
      </c>
      <c r="DU91" s="161">
        <f t="shared" si="108"/>
        <v>0</v>
      </c>
      <c r="DV91" s="161">
        <f t="shared" si="109"/>
        <v>0</v>
      </c>
      <c r="DW91" s="161">
        <f t="shared" si="110"/>
        <v>0</v>
      </c>
      <c r="DX91" s="161">
        <f t="shared" si="111"/>
        <v>0</v>
      </c>
      <c r="DY91" s="161">
        <f t="shared" si="112"/>
        <v>0</v>
      </c>
      <c r="DZ91" s="161">
        <f t="shared" si="113"/>
        <v>0</v>
      </c>
      <c r="EA91" s="161">
        <f t="shared" si="114"/>
        <v>0</v>
      </c>
      <c r="EB91" s="161">
        <f t="shared" si="115"/>
        <v>0</v>
      </c>
      <c r="EC91" s="161">
        <f t="shared" si="116"/>
        <v>0</v>
      </c>
      <c r="ED91" s="161">
        <f t="shared" si="117"/>
        <v>0</v>
      </c>
      <c r="EE91" s="161">
        <f t="shared" si="118"/>
        <v>0</v>
      </c>
      <c r="EF91" s="161">
        <f t="shared" si="119"/>
        <v>0</v>
      </c>
      <c r="EG91" s="161">
        <f t="shared" si="120"/>
        <v>0</v>
      </c>
      <c r="EH91" s="161">
        <f t="shared" si="121"/>
        <v>0</v>
      </c>
      <c r="EI91" s="161">
        <f t="shared" si="122"/>
        <v>0</v>
      </c>
      <c r="EJ91" s="161">
        <f t="shared" si="123"/>
        <v>0</v>
      </c>
      <c r="EK91" s="147">
        <f t="shared" si="53"/>
        <v>0</v>
      </c>
      <c r="EL91" s="149"/>
      <c r="EN91" s="151"/>
      <c r="EO91" s="151"/>
      <c r="EP91" s="139">
        <f t="shared" si="54"/>
        <v>0</v>
      </c>
      <c r="EQ91" s="139">
        <f t="shared" si="55"/>
        <v>0</v>
      </c>
      <c r="ER91" s="139">
        <f t="shared" si="56"/>
        <v>0</v>
      </c>
      <c r="ES91" s="139">
        <f t="shared" si="57"/>
        <v>0</v>
      </c>
      <c r="ET91" s="139">
        <f t="shared" si="58"/>
        <v>0</v>
      </c>
      <c r="EU91" s="139">
        <f t="shared" si="59"/>
        <v>0</v>
      </c>
      <c r="EV91" s="139">
        <f t="shared" si="60"/>
        <v>0</v>
      </c>
      <c r="EW91" s="139">
        <f t="shared" si="61"/>
        <v>0</v>
      </c>
      <c r="EX91" s="139">
        <f t="shared" si="62"/>
        <v>0</v>
      </c>
      <c r="EY91" s="139">
        <f t="shared" si="63"/>
        <v>0</v>
      </c>
      <c r="EZ91" s="139">
        <f t="shared" si="64"/>
        <v>0</v>
      </c>
      <c r="FA91" s="139">
        <f t="shared" si="65"/>
        <v>0</v>
      </c>
      <c r="FB91" s="139">
        <f t="shared" si="66"/>
        <v>0</v>
      </c>
      <c r="FC91" s="139">
        <f t="shared" si="67"/>
        <v>0</v>
      </c>
      <c r="FD91" s="139">
        <f t="shared" si="68"/>
        <v>0</v>
      </c>
      <c r="FE91" s="139">
        <f t="shared" si="69"/>
        <v>0</v>
      </c>
      <c r="FF91" s="139">
        <f t="shared" si="70"/>
        <v>0</v>
      </c>
      <c r="FG91" s="139">
        <f t="shared" si="71"/>
        <v>0</v>
      </c>
      <c r="FH91" s="139">
        <f t="shared" si="72"/>
        <v>0</v>
      </c>
      <c r="FI91" s="139">
        <f t="shared" si="73"/>
        <v>0</v>
      </c>
      <c r="FJ91" s="139">
        <f t="shared" si="74"/>
        <v>0</v>
      </c>
      <c r="FK91" s="139">
        <f t="shared" si="75"/>
        <v>0</v>
      </c>
      <c r="FL91" s="139">
        <f t="shared" si="76"/>
        <v>0</v>
      </c>
      <c r="FM91" s="139">
        <f t="shared" si="77"/>
        <v>0</v>
      </c>
      <c r="FN91" s="139">
        <f t="shared" si="78"/>
        <v>0</v>
      </c>
      <c r="FO91" s="139">
        <f t="shared" si="79"/>
        <v>0</v>
      </c>
      <c r="FP91" s="139">
        <f t="shared" si="80"/>
        <v>0</v>
      </c>
      <c r="FQ91" s="139">
        <f t="shared" si="81"/>
        <v>0</v>
      </c>
      <c r="FR91" s="139">
        <f t="shared" si="82"/>
        <v>0</v>
      </c>
      <c r="FS91" s="139">
        <f t="shared" si="83"/>
        <v>0</v>
      </c>
      <c r="FT91" s="139">
        <f t="shared" si="84"/>
        <v>0</v>
      </c>
      <c r="FU91" s="148">
        <f t="shared" si="85"/>
        <v>0</v>
      </c>
      <c r="FV91" s="149"/>
      <c r="FY91" s="210">
        <v>86</v>
      </c>
      <c r="FZ91">
        <v>0</v>
      </c>
      <c r="GA91">
        <v>3.7567498702802196</v>
      </c>
      <c r="GB91">
        <v>1.7997897517166055</v>
      </c>
      <c r="GC91">
        <v>10.494744914524002</v>
      </c>
      <c r="GD91">
        <v>8.1629106856831637</v>
      </c>
      <c r="GE91">
        <v>0.83853720041220592</v>
      </c>
      <c r="GF91">
        <v>0.38032995424220212</v>
      </c>
      <c r="GG91">
        <v>1.7791509959019165</v>
      </c>
      <c r="GH91">
        <v>1.9871405252523333</v>
      </c>
      <c r="GI91">
        <v>6.7319569080417283</v>
      </c>
      <c r="GJ91"/>
      <c r="GK91"/>
      <c r="GL91"/>
      <c r="GM91"/>
    </row>
    <row r="92" spans="1:195" s="7" customFormat="1">
      <c r="A92" s="77"/>
      <c r="B92" s="76">
        <f ca="1">IF(C92="", "", RAND())</f>
        <v>0.58569397874175433</v>
      </c>
      <c r="C92">
        <v>9</v>
      </c>
      <c r="D92">
        <v>39646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4.7031631562881557</v>
      </c>
      <c r="AO92">
        <v>3.5649469179221591</v>
      </c>
      <c r="AP92">
        <v>19.519745621141748</v>
      </c>
      <c r="AQ92">
        <v>15.634217273667181</v>
      </c>
      <c r="AR92">
        <v>3.2541356319187793</v>
      </c>
      <c r="AS92">
        <v>13.624648820114361</v>
      </c>
      <c r="AT92" t="e">
        <v>#DIV/0!</v>
      </c>
      <c r="AU92" t="e">
        <v>#DIV/0!</v>
      </c>
      <c r="AV92"/>
      <c r="AW92"/>
      <c r="AX92" s="151"/>
      <c r="AY92" s="76">
        <f t="shared" ca="1" si="86"/>
        <v>0.94673130074102119</v>
      </c>
      <c r="AZ92">
        <v>5</v>
      </c>
      <c r="BA92" s="129">
        <f t="shared" si="87"/>
        <v>39646</v>
      </c>
      <c r="BB92" s="216">
        <v>0</v>
      </c>
      <c r="BC92" s="216">
        <v>0</v>
      </c>
      <c r="BD92" s="216">
        <v>0</v>
      </c>
      <c r="BE92" s="216">
        <v>0</v>
      </c>
      <c r="BF92" s="216">
        <v>0</v>
      </c>
      <c r="BG92" s="216">
        <v>0</v>
      </c>
      <c r="BH92" s="216">
        <v>0</v>
      </c>
      <c r="BI92" s="216">
        <v>0</v>
      </c>
      <c r="BJ92" s="216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 s="147"/>
      <c r="CH92" s="176"/>
      <c r="CJ92" s="151"/>
      <c r="CK92" s="76">
        <f t="shared" ca="1" si="88"/>
        <v>0.22464577361545612</v>
      </c>
      <c r="CL92" s="179">
        <f t="shared" si="89"/>
        <v>5</v>
      </c>
      <c r="CM92" s="180">
        <f t="shared" si="90"/>
        <v>39646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W92">
        <v>1</v>
      </c>
      <c r="CX92">
        <v>1</v>
      </c>
      <c r="CY92" s="158"/>
      <c r="CZ92" s="177">
        <f t="shared" si="91"/>
        <v>9.6000000000000002E-2</v>
      </c>
      <c r="DB92" s="151"/>
      <c r="DC92" s="76">
        <f t="shared" ca="1" si="49"/>
        <v>0.11125981177700695</v>
      </c>
      <c r="DD92">
        <f t="shared" si="92"/>
        <v>5</v>
      </c>
      <c r="DE92" s="129">
        <f t="shared" si="50"/>
        <v>39646</v>
      </c>
      <c r="DF92" s="161">
        <f t="shared" si="93"/>
        <v>0</v>
      </c>
      <c r="DG92" s="161">
        <f t="shared" si="94"/>
        <v>0</v>
      </c>
      <c r="DH92" s="161">
        <f t="shared" si="95"/>
        <v>0</v>
      </c>
      <c r="DI92" s="161">
        <f t="shared" si="96"/>
        <v>0</v>
      </c>
      <c r="DJ92" s="161">
        <f t="shared" si="97"/>
        <v>0</v>
      </c>
      <c r="DK92" s="161">
        <f t="shared" si="98"/>
        <v>0</v>
      </c>
      <c r="DL92" s="161">
        <f t="shared" si="99"/>
        <v>0</v>
      </c>
      <c r="DM92" s="161">
        <f t="shared" si="100"/>
        <v>0</v>
      </c>
      <c r="DN92" s="161">
        <f t="shared" si="101"/>
        <v>0</v>
      </c>
      <c r="DO92" s="161">
        <f t="shared" si="102"/>
        <v>0</v>
      </c>
      <c r="DP92" s="161">
        <f t="shared" si="103"/>
        <v>0</v>
      </c>
      <c r="DQ92" s="161">
        <f t="shared" si="104"/>
        <v>0</v>
      </c>
      <c r="DR92" s="161">
        <f t="shared" si="105"/>
        <v>0</v>
      </c>
      <c r="DS92" s="161">
        <f t="shared" si="106"/>
        <v>0</v>
      </c>
      <c r="DT92" s="161">
        <f t="shared" si="107"/>
        <v>0</v>
      </c>
      <c r="DU92" s="161">
        <f t="shared" si="108"/>
        <v>0</v>
      </c>
      <c r="DV92" s="161">
        <f t="shared" si="109"/>
        <v>0</v>
      </c>
      <c r="DW92" s="161">
        <f t="shared" si="110"/>
        <v>0</v>
      </c>
      <c r="DX92" s="161">
        <f t="shared" si="111"/>
        <v>0</v>
      </c>
      <c r="DY92" s="161">
        <f t="shared" si="112"/>
        <v>0</v>
      </c>
      <c r="DZ92" s="161">
        <f t="shared" si="113"/>
        <v>0</v>
      </c>
      <c r="EA92" s="161">
        <f t="shared" si="114"/>
        <v>0</v>
      </c>
      <c r="EB92" s="161">
        <f t="shared" si="115"/>
        <v>0</v>
      </c>
      <c r="EC92" s="161">
        <f t="shared" si="116"/>
        <v>0</v>
      </c>
      <c r="ED92" s="161">
        <f t="shared" si="117"/>
        <v>0</v>
      </c>
      <c r="EE92" s="161">
        <f t="shared" si="118"/>
        <v>0</v>
      </c>
      <c r="EF92" s="161">
        <f t="shared" si="119"/>
        <v>0</v>
      </c>
      <c r="EG92" s="161">
        <f t="shared" si="120"/>
        <v>0</v>
      </c>
      <c r="EH92" s="161">
        <f t="shared" si="121"/>
        <v>0</v>
      </c>
      <c r="EI92" s="161">
        <f t="shared" si="122"/>
        <v>0</v>
      </c>
      <c r="EJ92" s="161">
        <f t="shared" si="123"/>
        <v>0</v>
      </c>
      <c r="EK92" s="147">
        <f t="shared" si="53"/>
        <v>0</v>
      </c>
      <c r="EL92" s="149"/>
      <c r="EN92" s="151"/>
      <c r="EO92" s="151"/>
      <c r="EP92" s="139">
        <f t="shared" si="54"/>
        <v>0</v>
      </c>
      <c r="EQ92" s="139">
        <f t="shared" si="55"/>
        <v>0</v>
      </c>
      <c r="ER92" s="139">
        <f t="shared" si="56"/>
        <v>0</v>
      </c>
      <c r="ES92" s="139">
        <f t="shared" si="57"/>
        <v>0</v>
      </c>
      <c r="ET92" s="139">
        <f t="shared" si="58"/>
        <v>0</v>
      </c>
      <c r="EU92" s="139">
        <f t="shared" si="59"/>
        <v>0</v>
      </c>
      <c r="EV92" s="139">
        <f t="shared" si="60"/>
        <v>0</v>
      </c>
      <c r="EW92" s="139">
        <f t="shared" si="61"/>
        <v>0</v>
      </c>
      <c r="EX92" s="139">
        <f t="shared" si="62"/>
        <v>0</v>
      </c>
      <c r="EY92" s="139">
        <f t="shared" si="63"/>
        <v>0</v>
      </c>
      <c r="EZ92" s="139">
        <f t="shared" si="64"/>
        <v>0</v>
      </c>
      <c r="FA92" s="139">
        <f t="shared" si="65"/>
        <v>0</v>
      </c>
      <c r="FB92" s="139">
        <f t="shared" si="66"/>
        <v>0</v>
      </c>
      <c r="FC92" s="139">
        <f t="shared" si="67"/>
        <v>0</v>
      </c>
      <c r="FD92" s="139">
        <f t="shared" si="68"/>
        <v>0</v>
      </c>
      <c r="FE92" s="139">
        <f t="shared" si="69"/>
        <v>0</v>
      </c>
      <c r="FF92" s="139">
        <f t="shared" si="70"/>
        <v>0</v>
      </c>
      <c r="FG92" s="139">
        <f t="shared" si="71"/>
        <v>0</v>
      </c>
      <c r="FH92" s="139">
        <f t="shared" si="72"/>
        <v>0</v>
      </c>
      <c r="FI92" s="139">
        <f t="shared" si="73"/>
        <v>0</v>
      </c>
      <c r="FJ92" s="139">
        <f t="shared" si="74"/>
        <v>0</v>
      </c>
      <c r="FK92" s="139">
        <f t="shared" si="75"/>
        <v>0</v>
      </c>
      <c r="FL92" s="139">
        <f t="shared" si="76"/>
        <v>0</v>
      </c>
      <c r="FM92" s="139">
        <f t="shared" si="77"/>
        <v>0</v>
      </c>
      <c r="FN92" s="139">
        <f t="shared" si="78"/>
        <v>0</v>
      </c>
      <c r="FO92" s="139">
        <f t="shared" si="79"/>
        <v>0</v>
      </c>
      <c r="FP92" s="139">
        <f t="shared" si="80"/>
        <v>0</v>
      </c>
      <c r="FQ92" s="139">
        <f t="shared" si="81"/>
        <v>0</v>
      </c>
      <c r="FR92" s="139">
        <f t="shared" si="82"/>
        <v>0</v>
      </c>
      <c r="FS92" s="139">
        <f t="shared" si="83"/>
        <v>0</v>
      </c>
      <c r="FT92" s="139">
        <f t="shared" si="84"/>
        <v>0</v>
      </c>
      <c r="FU92" s="148">
        <f t="shared" si="85"/>
        <v>0</v>
      </c>
      <c r="FV92" s="149"/>
      <c r="FY92" s="210">
        <v>87</v>
      </c>
      <c r="FZ92">
        <v>0</v>
      </c>
      <c r="GA92">
        <v>2.0612833849110137</v>
      </c>
      <c r="GB92">
        <v>2.1268838169727191</v>
      </c>
      <c r="GC92">
        <v>3.2386107798796271</v>
      </c>
      <c r="GD92">
        <v>3.639638015327824</v>
      </c>
      <c r="GE92">
        <v>3.997415786423228</v>
      </c>
      <c r="GF92">
        <v>1.4515512574996277</v>
      </c>
      <c r="GG92">
        <v>0.98521909943193808</v>
      </c>
      <c r="GH92">
        <v>0.66238017508411107</v>
      </c>
      <c r="GI92">
        <v>3.7028013782728162</v>
      </c>
      <c r="GJ92"/>
      <c r="GK92"/>
      <c r="GL92"/>
      <c r="GM92"/>
    </row>
    <row r="93" spans="1:195" s="7" customFormat="1">
      <c r="A93" s="77"/>
      <c r="B93" s="76">
        <f ca="1">IF(C93="", "", RAND())</f>
        <v>0.62764016472871043</v>
      </c>
      <c r="C93">
        <v>2</v>
      </c>
      <c r="D93">
        <v>39646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6.0851076007326004</v>
      </c>
      <c r="AO93">
        <v>5.800978354570292</v>
      </c>
      <c r="AP93">
        <v>22.079792047252567</v>
      </c>
      <c r="AQ93">
        <v>20.865050458211982</v>
      </c>
      <c r="AR93">
        <v>5.3283762967129649</v>
      </c>
      <c r="AS93">
        <v>28.353307389215946</v>
      </c>
      <c r="AT93" t="e">
        <v>#DIV/0!</v>
      </c>
      <c r="AU93" t="e">
        <v>#DIV/0!</v>
      </c>
      <c r="AV93"/>
      <c r="AW93"/>
      <c r="AX93" s="151"/>
      <c r="AY93" s="76">
        <f t="shared" ca="1" si="86"/>
        <v>0.34314619518189904</v>
      </c>
      <c r="AZ93">
        <v>6</v>
      </c>
      <c r="BA93" s="129">
        <f t="shared" si="87"/>
        <v>39646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 s="147"/>
      <c r="CH93" s="176"/>
      <c r="CJ93" s="151"/>
      <c r="CK93" s="76">
        <f t="shared" ca="1" si="88"/>
        <v>0.67049365313865028</v>
      </c>
      <c r="CL93" s="179">
        <f t="shared" si="89"/>
        <v>6</v>
      </c>
      <c r="CM93" s="180">
        <f t="shared" si="90"/>
        <v>39646</v>
      </c>
      <c r="CN93" s="219">
        <v>0</v>
      </c>
      <c r="CO93" s="219">
        <v>0</v>
      </c>
      <c r="CP93" s="219">
        <v>0</v>
      </c>
      <c r="CQ93" s="219">
        <v>0</v>
      </c>
      <c r="CR93" s="219">
        <v>0</v>
      </c>
      <c r="CS93" s="219">
        <v>0</v>
      </c>
      <c r="CT93">
        <v>0</v>
      </c>
      <c r="CU93">
        <v>0</v>
      </c>
      <c r="CW93">
        <v>1</v>
      </c>
      <c r="CX93">
        <v>2</v>
      </c>
      <c r="CY93" s="159"/>
      <c r="CZ93" s="177">
        <f t="shared" si="91"/>
        <v>9.6000000000000002E-2</v>
      </c>
      <c r="DB93" s="151"/>
      <c r="DC93" s="76">
        <f t="shared" ca="1" si="49"/>
        <v>0.1452315729628324</v>
      </c>
      <c r="DD93">
        <f t="shared" si="92"/>
        <v>6</v>
      </c>
      <c r="DE93" s="129">
        <f t="shared" si="50"/>
        <v>39646</v>
      </c>
      <c r="DF93" s="161">
        <f t="shared" si="93"/>
        <v>0</v>
      </c>
      <c r="DG93" s="161">
        <f t="shared" si="94"/>
        <v>0</v>
      </c>
      <c r="DH93" s="161">
        <f t="shared" si="95"/>
        <v>0</v>
      </c>
      <c r="DI93" s="161">
        <f t="shared" si="96"/>
        <v>0</v>
      </c>
      <c r="DJ93" s="161">
        <f t="shared" si="97"/>
        <v>0</v>
      </c>
      <c r="DK93" s="161">
        <f t="shared" si="98"/>
        <v>0</v>
      </c>
      <c r="DL93" s="161">
        <f t="shared" si="99"/>
        <v>0</v>
      </c>
      <c r="DM93" s="161">
        <f t="shared" si="100"/>
        <v>0</v>
      </c>
      <c r="DN93" s="161">
        <f t="shared" si="101"/>
        <v>0</v>
      </c>
      <c r="DO93" s="161">
        <f t="shared" si="102"/>
        <v>0</v>
      </c>
      <c r="DP93" s="161">
        <f t="shared" si="103"/>
        <v>0</v>
      </c>
      <c r="DQ93" s="161">
        <f t="shared" si="104"/>
        <v>0</v>
      </c>
      <c r="DR93" s="161">
        <f t="shared" si="105"/>
        <v>0</v>
      </c>
      <c r="DS93" s="161">
        <f t="shared" si="106"/>
        <v>0</v>
      </c>
      <c r="DT93" s="161">
        <f t="shared" si="107"/>
        <v>0</v>
      </c>
      <c r="DU93" s="161">
        <f t="shared" si="108"/>
        <v>0</v>
      </c>
      <c r="DV93" s="161">
        <f t="shared" si="109"/>
        <v>0</v>
      </c>
      <c r="DW93" s="161">
        <f t="shared" si="110"/>
        <v>0</v>
      </c>
      <c r="DX93" s="161">
        <f t="shared" si="111"/>
        <v>0</v>
      </c>
      <c r="DY93" s="161">
        <f t="shared" si="112"/>
        <v>0</v>
      </c>
      <c r="DZ93" s="161">
        <f t="shared" si="113"/>
        <v>0</v>
      </c>
      <c r="EA93" s="161">
        <f t="shared" si="114"/>
        <v>0</v>
      </c>
      <c r="EB93" s="161">
        <f t="shared" si="115"/>
        <v>0</v>
      </c>
      <c r="EC93" s="161">
        <f t="shared" si="116"/>
        <v>0</v>
      </c>
      <c r="ED93" s="161">
        <f t="shared" si="117"/>
        <v>0</v>
      </c>
      <c r="EE93" s="161">
        <f t="shared" si="118"/>
        <v>0</v>
      </c>
      <c r="EF93" s="161">
        <f t="shared" si="119"/>
        <v>0</v>
      </c>
      <c r="EG93" s="161">
        <f t="shared" si="120"/>
        <v>0</v>
      </c>
      <c r="EH93" s="161">
        <f t="shared" si="121"/>
        <v>0</v>
      </c>
      <c r="EI93" s="161">
        <f t="shared" si="122"/>
        <v>0</v>
      </c>
      <c r="EJ93" s="161">
        <f t="shared" si="123"/>
        <v>0</v>
      </c>
      <c r="EK93" s="147">
        <f t="shared" si="53"/>
        <v>0</v>
      </c>
      <c r="EL93" s="149"/>
      <c r="EN93" s="151"/>
      <c r="EO93" s="151"/>
      <c r="EP93" s="139">
        <f t="shared" si="54"/>
        <v>0</v>
      </c>
      <c r="EQ93" s="139">
        <f t="shared" si="55"/>
        <v>0</v>
      </c>
      <c r="ER93" s="139">
        <f t="shared" si="56"/>
        <v>0</v>
      </c>
      <c r="ES93" s="139">
        <f t="shared" si="57"/>
        <v>0</v>
      </c>
      <c r="ET93" s="139">
        <f t="shared" si="58"/>
        <v>0</v>
      </c>
      <c r="EU93" s="139">
        <f t="shared" si="59"/>
        <v>0</v>
      </c>
      <c r="EV93" s="139">
        <f t="shared" si="60"/>
        <v>0</v>
      </c>
      <c r="EW93" s="139">
        <f t="shared" si="61"/>
        <v>0</v>
      </c>
      <c r="EX93" s="139">
        <f t="shared" si="62"/>
        <v>0</v>
      </c>
      <c r="EY93" s="139">
        <f t="shared" si="63"/>
        <v>0</v>
      </c>
      <c r="EZ93" s="139">
        <f t="shared" si="64"/>
        <v>0</v>
      </c>
      <c r="FA93" s="139">
        <f t="shared" si="65"/>
        <v>0</v>
      </c>
      <c r="FB93" s="139">
        <f t="shared" si="66"/>
        <v>0</v>
      </c>
      <c r="FC93" s="139">
        <f t="shared" si="67"/>
        <v>0</v>
      </c>
      <c r="FD93" s="139">
        <f t="shared" si="68"/>
        <v>0</v>
      </c>
      <c r="FE93" s="139">
        <f t="shared" si="69"/>
        <v>0</v>
      </c>
      <c r="FF93" s="139">
        <f t="shared" si="70"/>
        <v>0</v>
      </c>
      <c r="FG93" s="139">
        <f t="shared" si="71"/>
        <v>0</v>
      </c>
      <c r="FH93" s="139">
        <f t="shared" si="72"/>
        <v>0</v>
      </c>
      <c r="FI93" s="139">
        <f t="shared" si="73"/>
        <v>0</v>
      </c>
      <c r="FJ93" s="139">
        <f t="shared" si="74"/>
        <v>0</v>
      </c>
      <c r="FK93" s="139">
        <f t="shared" si="75"/>
        <v>0</v>
      </c>
      <c r="FL93" s="139">
        <f t="shared" si="76"/>
        <v>0</v>
      </c>
      <c r="FM93" s="139">
        <f t="shared" si="77"/>
        <v>0</v>
      </c>
      <c r="FN93" s="139">
        <f t="shared" si="78"/>
        <v>0</v>
      </c>
      <c r="FO93" s="139">
        <f t="shared" si="79"/>
        <v>0</v>
      </c>
      <c r="FP93" s="139">
        <f t="shared" si="80"/>
        <v>0</v>
      </c>
      <c r="FQ93" s="139">
        <f t="shared" si="81"/>
        <v>0</v>
      </c>
      <c r="FR93" s="139">
        <f t="shared" si="82"/>
        <v>0</v>
      </c>
      <c r="FS93" s="139">
        <f t="shared" si="83"/>
        <v>0</v>
      </c>
      <c r="FT93" s="139">
        <f t="shared" si="84"/>
        <v>0</v>
      </c>
      <c r="FU93" s="148">
        <f t="shared" si="85"/>
        <v>0</v>
      </c>
      <c r="FV93" s="149"/>
      <c r="FY93" s="210">
        <v>88</v>
      </c>
      <c r="FZ93">
        <v>0.52454686079360424</v>
      </c>
      <c r="GA93">
        <v>0.7446838337854581</v>
      </c>
      <c r="GB93">
        <v>0.63600067038054287</v>
      </c>
      <c r="GC93">
        <v>10.890400734156913</v>
      </c>
      <c r="GD93">
        <v>8.4400699347979007</v>
      </c>
      <c r="GE93">
        <v>1.32663679561035</v>
      </c>
      <c r="GF93">
        <v>0.5704949313633032</v>
      </c>
      <c r="GG93">
        <v>1.4662212121236342</v>
      </c>
      <c r="GH93">
        <v>1.3247603501682221</v>
      </c>
      <c r="GI93">
        <v>6.8320848982596427</v>
      </c>
      <c r="GJ93"/>
      <c r="GK93"/>
      <c r="GL93"/>
      <c r="GM93"/>
    </row>
    <row r="94" spans="1:195" s="7" customFormat="1">
      <c r="A94" s="77"/>
      <c r="B94" s="76">
        <f ca="1">IF(C94="", "", RAND())</f>
        <v>0.654176756360064</v>
      </c>
      <c r="C94">
        <v>1</v>
      </c>
      <c r="D94">
        <v>39646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5.8351457570207561</v>
      </c>
      <c r="AO94">
        <v>4.6492328722910372</v>
      </c>
      <c r="AP94">
        <v>27.178159762316959</v>
      </c>
      <c r="AQ94">
        <v>20.760493986675794</v>
      </c>
      <c r="AR94">
        <v>4.2599667584205214</v>
      </c>
      <c r="AS94">
        <v>19.176062014806195</v>
      </c>
      <c r="AT94" t="e">
        <v>#DIV/0!</v>
      </c>
      <c r="AU94" t="e">
        <v>#DIV/0!</v>
      </c>
      <c r="AV94"/>
      <c r="AW94"/>
      <c r="AX94" s="151"/>
      <c r="AY94" s="76">
        <f t="shared" ca="1" si="86"/>
        <v>0.58296687901319855</v>
      </c>
      <c r="AZ94">
        <v>7</v>
      </c>
      <c r="BA94" s="129">
        <f t="shared" si="87"/>
        <v>39646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 s="147"/>
      <c r="CH94" s="176"/>
      <c r="CJ94" s="151"/>
      <c r="CK94" s="76">
        <f t="shared" ca="1" si="88"/>
        <v>0.74005394943625014</v>
      </c>
      <c r="CL94" s="179">
        <f t="shared" si="89"/>
        <v>7</v>
      </c>
      <c r="CM94" s="180">
        <f t="shared" si="90"/>
        <v>39646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 s="160"/>
      <c r="CW94">
        <v>1</v>
      </c>
      <c r="CX94">
        <v>2</v>
      </c>
      <c r="CY94" s="164"/>
      <c r="CZ94" s="177">
        <f t="shared" si="91"/>
        <v>9.6000000000000002E-2</v>
      </c>
      <c r="DB94" s="151"/>
      <c r="DC94" s="76">
        <f t="shared" ca="1" si="49"/>
        <v>0.25347794877771346</v>
      </c>
      <c r="DD94">
        <f t="shared" si="92"/>
        <v>7</v>
      </c>
      <c r="DE94" s="129">
        <f t="shared" si="50"/>
        <v>39646</v>
      </c>
      <c r="DF94" s="161">
        <f t="shared" si="93"/>
        <v>0</v>
      </c>
      <c r="DG94" s="161">
        <f t="shared" si="94"/>
        <v>0</v>
      </c>
      <c r="DH94" s="161">
        <f t="shared" si="95"/>
        <v>0</v>
      </c>
      <c r="DI94" s="161">
        <f t="shared" si="96"/>
        <v>0</v>
      </c>
      <c r="DJ94" s="161">
        <f t="shared" si="97"/>
        <v>0</v>
      </c>
      <c r="DK94" s="161">
        <f t="shared" si="98"/>
        <v>0</v>
      </c>
      <c r="DL94" s="161">
        <f t="shared" si="99"/>
        <v>0</v>
      </c>
      <c r="DM94" s="161">
        <f t="shared" si="100"/>
        <v>0</v>
      </c>
      <c r="DN94" s="161">
        <f t="shared" si="101"/>
        <v>0</v>
      </c>
      <c r="DO94" s="161">
        <f t="shared" si="102"/>
        <v>0</v>
      </c>
      <c r="DP94" s="161">
        <f t="shared" si="103"/>
        <v>0</v>
      </c>
      <c r="DQ94" s="161">
        <f t="shared" si="104"/>
        <v>0</v>
      </c>
      <c r="DR94" s="161">
        <f t="shared" si="105"/>
        <v>0</v>
      </c>
      <c r="DS94" s="161">
        <f t="shared" si="106"/>
        <v>0</v>
      </c>
      <c r="DT94" s="161">
        <f t="shared" si="107"/>
        <v>0</v>
      </c>
      <c r="DU94" s="161">
        <f t="shared" si="108"/>
        <v>0</v>
      </c>
      <c r="DV94" s="161">
        <f t="shared" si="109"/>
        <v>0</v>
      </c>
      <c r="DW94" s="161">
        <f t="shared" si="110"/>
        <v>0</v>
      </c>
      <c r="DX94" s="161">
        <f t="shared" si="111"/>
        <v>0</v>
      </c>
      <c r="DY94" s="161">
        <f t="shared" si="112"/>
        <v>0</v>
      </c>
      <c r="DZ94" s="161">
        <f t="shared" si="113"/>
        <v>0</v>
      </c>
      <c r="EA94" s="161">
        <f t="shared" si="114"/>
        <v>0</v>
      </c>
      <c r="EB94" s="161">
        <f t="shared" si="115"/>
        <v>0</v>
      </c>
      <c r="EC94" s="161">
        <f t="shared" si="116"/>
        <v>0</v>
      </c>
      <c r="ED94" s="161">
        <f t="shared" si="117"/>
        <v>0</v>
      </c>
      <c r="EE94" s="161">
        <f t="shared" si="118"/>
        <v>0</v>
      </c>
      <c r="EF94" s="161">
        <f t="shared" si="119"/>
        <v>0</v>
      </c>
      <c r="EG94" s="161">
        <f t="shared" si="120"/>
        <v>0</v>
      </c>
      <c r="EH94" s="161">
        <f t="shared" si="121"/>
        <v>0</v>
      </c>
      <c r="EI94" s="161">
        <f t="shared" si="122"/>
        <v>0</v>
      </c>
      <c r="EJ94" s="161">
        <f t="shared" si="123"/>
        <v>0</v>
      </c>
      <c r="EK94" s="147">
        <f t="shared" si="53"/>
        <v>0</v>
      </c>
      <c r="EL94" s="149"/>
      <c r="EN94" s="151"/>
      <c r="EO94" s="151"/>
      <c r="EP94" s="139">
        <f t="shared" si="54"/>
        <v>0</v>
      </c>
      <c r="EQ94" s="139">
        <f t="shared" si="55"/>
        <v>0</v>
      </c>
      <c r="ER94" s="139">
        <f t="shared" si="56"/>
        <v>0</v>
      </c>
      <c r="ES94" s="139">
        <f t="shared" si="57"/>
        <v>0</v>
      </c>
      <c r="ET94" s="139">
        <f t="shared" si="58"/>
        <v>0</v>
      </c>
      <c r="EU94" s="139">
        <f t="shared" si="59"/>
        <v>0</v>
      </c>
      <c r="EV94" s="139">
        <f t="shared" si="60"/>
        <v>0</v>
      </c>
      <c r="EW94" s="139">
        <f t="shared" si="61"/>
        <v>0</v>
      </c>
      <c r="EX94" s="139">
        <f t="shared" si="62"/>
        <v>0</v>
      </c>
      <c r="EY94" s="139">
        <f t="shared" si="63"/>
        <v>0</v>
      </c>
      <c r="EZ94" s="139">
        <f t="shared" si="64"/>
        <v>0</v>
      </c>
      <c r="FA94" s="139">
        <f t="shared" si="65"/>
        <v>0</v>
      </c>
      <c r="FB94" s="139">
        <f t="shared" si="66"/>
        <v>0</v>
      </c>
      <c r="FC94" s="139">
        <f t="shared" si="67"/>
        <v>0</v>
      </c>
      <c r="FD94" s="139">
        <f t="shared" si="68"/>
        <v>0</v>
      </c>
      <c r="FE94" s="139">
        <f t="shared" si="69"/>
        <v>0</v>
      </c>
      <c r="FF94" s="139">
        <f t="shared" si="70"/>
        <v>0</v>
      </c>
      <c r="FG94" s="139">
        <f t="shared" si="71"/>
        <v>0</v>
      </c>
      <c r="FH94" s="139">
        <f t="shared" si="72"/>
        <v>0</v>
      </c>
      <c r="FI94" s="139">
        <f t="shared" si="73"/>
        <v>0</v>
      </c>
      <c r="FJ94" s="139">
        <f t="shared" si="74"/>
        <v>0</v>
      </c>
      <c r="FK94" s="139">
        <f t="shared" si="75"/>
        <v>0</v>
      </c>
      <c r="FL94" s="139">
        <f t="shared" si="76"/>
        <v>0</v>
      </c>
      <c r="FM94" s="139">
        <f t="shared" si="77"/>
        <v>0</v>
      </c>
      <c r="FN94" s="139">
        <f t="shared" si="78"/>
        <v>0</v>
      </c>
      <c r="FO94" s="139">
        <f t="shared" si="79"/>
        <v>0</v>
      </c>
      <c r="FP94" s="139">
        <f t="shared" si="80"/>
        <v>0</v>
      </c>
      <c r="FQ94" s="139">
        <f t="shared" si="81"/>
        <v>0</v>
      </c>
      <c r="FR94" s="139">
        <f t="shared" si="82"/>
        <v>0</v>
      </c>
      <c r="FS94" s="139">
        <f t="shared" si="83"/>
        <v>0</v>
      </c>
      <c r="FT94" s="139">
        <f t="shared" si="84"/>
        <v>0</v>
      </c>
      <c r="FU94" s="148">
        <f t="shared" si="85"/>
        <v>0</v>
      </c>
      <c r="FV94" s="149"/>
      <c r="FY94" s="210">
        <v>89</v>
      </c>
      <c r="FZ94">
        <v>0.2456818880042031</v>
      </c>
      <c r="GA94">
        <v>5.1349337027303932</v>
      </c>
      <c r="GB94">
        <v>3.4542199309368389</v>
      </c>
      <c r="GC94">
        <v>2.9629880832153628</v>
      </c>
      <c r="GD94">
        <v>2.1248654601346137</v>
      </c>
      <c r="GE94">
        <v>2.429200019384953</v>
      </c>
      <c r="GF94">
        <v>3.4038288868933777</v>
      </c>
      <c r="GG94">
        <v>1.634293541037048</v>
      </c>
      <c r="GH94">
        <v>1.3247603501682221</v>
      </c>
      <c r="GI94">
        <v>3.5944924892465382</v>
      </c>
      <c r="GJ94"/>
      <c r="GK94"/>
      <c r="GL94"/>
      <c r="GM94"/>
    </row>
    <row r="95" spans="1:195" s="7" customFormat="1">
      <c r="A95" s="77"/>
      <c r="B95" s="76">
        <f ca="1">IF(C95="", "", RAND())</f>
        <v>0.75066914279000141</v>
      </c>
      <c r="C95">
        <v>5</v>
      </c>
      <c r="D95">
        <v>39646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11.353670634920634</v>
      </c>
      <c r="AO95">
        <v>14.630149290907022</v>
      </c>
      <c r="AP95">
        <v>38.538112121348135</v>
      </c>
      <c r="AQ95">
        <v>43.113793348489445</v>
      </c>
      <c r="AR95">
        <v>13.571567060210597</v>
      </c>
      <c r="AS95">
        <v>78.889050814127117</v>
      </c>
      <c r="AT95" t="e">
        <v>#DIV/0!</v>
      </c>
      <c r="AU95" t="e">
        <v>#DIV/0!</v>
      </c>
      <c r="AV95"/>
      <c r="AW95"/>
      <c r="AX95" s="151"/>
      <c r="AY95" s="76">
        <f t="shared" ca="1" si="86"/>
        <v>0.5605855416539578</v>
      </c>
      <c r="AZ95">
        <v>8</v>
      </c>
      <c r="BA95" s="129">
        <f t="shared" si="87"/>
        <v>39646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 s="147"/>
      <c r="CH95" s="176"/>
      <c r="CJ95" s="151"/>
      <c r="CK95" s="76">
        <f t="shared" ca="1" si="88"/>
        <v>0.80315153953660579</v>
      </c>
      <c r="CL95" s="179">
        <f t="shared" si="89"/>
        <v>8</v>
      </c>
      <c r="CM95" s="180">
        <f t="shared" si="90"/>
        <v>39646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 s="160"/>
      <c r="CW95">
        <v>1</v>
      </c>
      <c r="CX95">
        <v>2</v>
      </c>
      <c r="CY95" s="164"/>
      <c r="CZ95" s="177">
        <f t="shared" si="91"/>
        <v>9.6000000000000002E-2</v>
      </c>
      <c r="DB95" s="151"/>
      <c r="DC95" s="76">
        <f t="shared" ca="1" si="49"/>
        <v>0.2498098480101405</v>
      </c>
      <c r="DD95">
        <f t="shared" si="92"/>
        <v>8</v>
      </c>
      <c r="DE95" s="129">
        <f t="shared" si="50"/>
        <v>39646</v>
      </c>
      <c r="DF95" s="161">
        <f t="shared" si="93"/>
        <v>0</v>
      </c>
      <c r="DG95" s="161">
        <f t="shared" si="94"/>
        <v>0</v>
      </c>
      <c r="DH95" s="161">
        <f t="shared" si="95"/>
        <v>0</v>
      </c>
      <c r="DI95" s="161">
        <f t="shared" si="96"/>
        <v>0</v>
      </c>
      <c r="DJ95" s="161">
        <f t="shared" si="97"/>
        <v>0</v>
      </c>
      <c r="DK95" s="161">
        <f t="shared" si="98"/>
        <v>0</v>
      </c>
      <c r="DL95" s="161">
        <f t="shared" si="99"/>
        <v>0</v>
      </c>
      <c r="DM95" s="161">
        <f t="shared" si="100"/>
        <v>0</v>
      </c>
      <c r="DN95" s="161">
        <f t="shared" si="101"/>
        <v>0</v>
      </c>
      <c r="DO95" s="161">
        <f t="shared" si="102"/>
        <v>0</v>
      </c>
      <c r="DP95" s="161">
        <f t="shared" si="103"/>
        <v>0</v>
      </c>
      <c r="DQ95" s="161">
        <f t="shared" si="104"/>
        <v>0</v>
      </c>
      <c r="DR95" s="161">
        <f t="shared" si="105"/>
        <v>0</v>
      </c>
      <c r="DS95" s="161">
        <f t="shared" si="106"/>
        <v>0</v>
      </c>
      <c r="DT95" s="161">
        <f t="shared" si="107"/>
        <v>0</v>
      </c>
      <c r="DU95" s="161">
        <f t="shared" si="108"/>
        <v>0</v>
      </c>
      <c r="DV95" s="161">
        <f t="shared" si="109"/>
        <v>0</v>
      </c>
      <c r="DW95" s="161">
        <f t="shared" si="110"/>
        <v>0</v>
      </c>
      <c r="DX95" s="161">
        <f t="shared" si="111"/>
        <v>0</v>
      </c>
      <c r="DY95" s="161">
        <f t="shared" si="112"/>
        <v>0</v>
      </c>
      <c r="DZ95" s="161">
        <f t="shared" si="113"/>
        <v>0</v>
      </c>
      <c r="EA95" s="161">
        <f t="shared" si="114"/>
        <v>0</v>
      </c>
      <c r="EB95" s="161">
        <f t="shared" si="115"/>
        <v>0</v>
      </c>
      <c r="EC95" s="161">
        <f t="shared" si="116"/>
        <v>0</v>
      </c>
      <c r="ED95" s="161">
        <f t="shared" si="117"/>
        <v>0</v>
      </c>
      <c r="EE95" s="161">
        <f t="shared" si="118"/>
        <v>0</v>
      </c>
      <c r="EF95" s="161">
        <f t="shared" si="119"/>
        <v>0</v>
      </c>
      <c r="EG95" s="161">
        <f t="shared" si="120"/>
        <v>0</v>
      </c>
      <c r="EH95" s="161">
        <f t="shared" si="121"/>
        <v>0</v>
      </c>
      <c r="EI95" s="161">
        <f t="shared" si="122"/>
        <v>0</v>
      </c>
      <c r="EJ95" s="161">
        <f t="shared" si="123"/>
        <v>0</v>
      </c>
      <c r="EK95" s="147">
        <f t="shared" si="53"/>
        <v>0</v>
      </c>
      <c r="EL95" s="149"/>
      <c r="EN95" s="151"/>
      <c r="EO95" s="151"/>
      <c r="EP95" s="139">
        <f t="shared" si="54"/>
        <v>0</v>
      </c>
      <c r="EQ95" s="139">
        <f t="shared" si="55"/>
        <v>0</v>
      </c>
      <c r="ER95" s="139">
        <f t="shared" si="56"/>
        <v>0</v>
      </c>
      <c r="ES95" s="139">
        <f t="shared" si="57"/>
        <v>0</v>
      </c>
      <c r="ET95" s="139">
        <f t="shared" si="58"/>
        <v>0</v>
      </c>
      <c r="EU95" s="139">
        <f t="shared" si="59"/>
        <v>0</v>
      </c>
      <c r="EV95" s="139">
        <f t="shared" si="60"/>
        <v>0</v>
      </c>
      <c r="EW95" s="139">
        <f t="shared" si="61"/>
        <v>0</v>
      </c>
      <c r="EX95" s="139">
        <f t="shared" si="62"/>
        <v>0</v>
      </c>
      <c r="EY95" s="139">
        <f t="shared" si="63"/>
        <v>0</v>
      </c>
      <c r="EZ95" s="139">
        <f t="shared" si="64"/>
        <v>0</v>
      </c>
      <c r="FA95" s="139">
        <f t="shared" si="65"/>
        <v>0</v>
      </c>
      <c r="FB95" s="139">
        <f t="shared" si="66"/>
        <v>0</v>
      </c>
      <c r="FC95" s="139">
        <f t="shared" si="67"/>
        <v>0</v>
      </c>
      <c r="FD95" s="139">
        <f t="shared" si="68"/>
        <v>0</v>
      </c>
      <c r="FE95" s="139">
        <f t="shared" si="69"/>
        <v>0</v>
      </c>
      <c r="FF95" s="139">
        <f t="shared" si="70"/>
        <v>0</v>
      </c>
      <c r="FG95" s="139">
        <f t="shared" si="71"/>
        <v>0</v>
      </c>
      <c r="FH95" s="139">
        <f t="shared" si="72"/>
        <v>0</v>
      </c>
      <c r="FI95" s="139">
        <f t="shared" si="73"/>
        <v>0</v>
      </c>
      <c r="FJ95" s="139">
        <f t="shared" si="74"/>
        <v>0</v>
      </c>
      <c r="FK95" s="139">
        <f t="shared" si="75"/>
        <v>0</v>
      </c>
      <c r="FL95" s="139">
        <f t="shared" si="76"/>
        <v>0</v>
      </c>
      <c r="FM95" s="139">
        <f t="shared" si="77"/>
        <v>0</v>
      </c>
      <c r="FN95" s="139">
        <f t="shared" si="78"/>
        <v>0</v>
      </c>
      <c r="FO95" s="139">
        <f t="shared" si="79"/>
        <v>0</v>
      </c>
      <c r="FP95" s="139">
        <f t="shared" si="80"/>
        <v>0</v>
      </c>
      <c r="FQ95" s="139">
        <f t="shared" si="81"/>
        <v>0</v>
      </c>
      <c r="FR95" s="139">
        <f t="shared" si="82"/>
        <v>0</v>
      </c>
      <c r="FS95" s="139">
        <f t="shared" si="83"/>
        <v>0</v>
      </c>
      <c r="FT95" s="139">
        <f t="shared" si="84"/>
        <v>0</v>
      </c>
      <c r="FU95" s="148">
        <f t="shared" si="85"/>
        <v>0</v>
      </c>
      <c r="FV95" s="149"/>
      <c r="FY95" s="210">
        <v>90</v>
      </c>
      <c r="FZ95">
        <v>0.80341183358300561</v>
      </c>
      <c r="GA95">
        <v>2.8844518360298252</v>
      </c>
      <c r="GB95">
        <v>1.4908831465921764</v>
      </c>
      <c r="GC95">
        <v>6.7389841026551753</v>
      </c>
      <c r="GD95">
        <v>5.9599571047816733</v>
      </c>
      <c r="GE95">
        <v>2.3397599033075283</v>
      </c>
      <c r="GF95">
        <v>0.38032995424220212</v>
      </c>
      <c r="GG95">
        <v>0.81714677051852402</v>
      </c>
      <c r="GH95">
        <v>0.66238017508411107</v>
      </c>
      <c r="GI95">
        <v>4.8117495177848735</v>
      </c>
      <c r="GJ95"/>
      <c r="GK95"/>
      <c r="GL95"/>
      <c r="GM95"/>
    </row>
    <row r="96" spans="1:195" s="7" customFormat="1">
      <c r="A96" s="77"/>
      <c r="B96" s="76">
        <f ca="1">IF(C96="", "", RAND())</f>
        <v>0.34706113745363609</v>
      </c>
      <c r="C96">
        <v>8</v>
      </c>
      <c r="D96">
        <v>39646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7.5190972222222214</v>
      </c>
      <c r="AO96">
        <v>10.292336649431785</v>
      </c>
      <c r="AP96">
        <v>28.351628487583682</v>
      </c>
      <c r="AQ96">
        <v>30.743044051457254</v>
      </c>
      <c r="AR96">
        <v>9.4947569041911617</v>
      </c>
      <c r="AS96">
        <v>36.811075919965354</v>
      </c>
      <c r="AT96" t="e">
        <v>#DIV/0!</v>
      </c>
      <c r="AU96" t="e">
        <v>#DIV/0!</v>
      </c>
      <c r="AV96"/>
      <c r="AW96"/>
      <c r="AX96" s="151"/>
      <c r="AY96" s="76">
        <f t="shared" ca="1" si="86"/>
        <v>0.94651811588851587</v>
      </c>
      <c r="AZ96">
        <v>9</v>
      </c>
      <c r="BA96" s="129">
        <f t="shared" si="87"/>
        <v>39646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 s="147"/>
      <c r="CH96" s="176"/>
      <c r="CJ96" s="151"/>
      <c r="CK96" s="76">
        <f t="shared" ca="1" si="88"/>
        <v>0.59240229421068014</v>
      </c>
      <c r="CL96" s="179">
        <f t="shared" si="89"/>
        <v>9</v>
      </c>
      <c r="CM96" s="180">
        <f t="shared" si="90"/>
        <v>39646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 s="160"/>
      <c r="CW96">
        <v>1</v>
      </c>
      <c r="CX96">
        <v>1</v>
      </c>
      <c r="CY96" s="164"/>
      <c r="CZ96" s="177">
        <f t="shared" si="91"/>
        <v>9.6000000000000002E-2</v>
      </c>
      <c r="DB96" s="151"/>
      <c r="DC96" s="76">
        <f t="shared" ca="1" si="49"/>
        <v>0.36970033648132317</v>
      </c>
      <c r="DD96">
        <f t="shared" si="92"/>
        <v>9</v>
      </c>
      <c r="DE96" s="129">
        <f t="shared" si="50"/>
        <v>39646</v>
      </c>
      <c r="DF96" s="161">
        <f t="shared" si="93"/>
        <v>0</v>
      </c>
      <c r="DG96" s="161">
        <f t="shared" si="94"/>
        <v>0</v>
      </c>
      <c r="DH96" s="161">
        <f t="shared" si="95"/>
        <v>0</v>
      </c>
      <c r="DI96" s="161">
        <f t="shared" si="96"/>
        <v>0</v>
      </c>
      <c r="DJ96" s="161">
        <f t="shared" si="97"/>
        <v>0</v>
      </c>
      <c r="DK96" s="161">
        <f t="shared" si="98"/>
        <v>0</v>
      </c>
      <c r="DL96" s="161">
        <f t="shared" si="99"/>
        <v>0</v>
      </c>
      <c r="DM96" s="161">
        <f t="shared" si="100"/>
        <v>0</v>
      </c>
      <c r="DN96" s="161">
        <f t="shared" si="101"/>
        <v>0</v>
      </c>
      <c r="DO96" s="161">
        <f t="shared" si="102"/>
        <v>0</v>
      </c>
      <c r="DP96" s="161">
        <f t="shared" si="103"/>
        <v>0</v>
      </c>
      <c r="DQ96" s="161">
        <f t="shared" si="104"/>
        <v>0</v>
      </c>
      <c r="DR96" s="161">
        <f t="shared" si="105"/>
        <v>0</v>
      </c>
      <c r="DS96" s="161">
        <f t="shared" si="106"/>
        <v>0</v>
      </c>
      <c r="DT96" s="161">
        <f t="shared" si="107"/>
        <v>0</v>
      </c>
      <c r="DU96" s="161">
        <f t="shared" si="108"/>
        <v>0</v>
      </c>
      <c r="DV96" s="161">
        <f t="shared" si="109"/>
        <v>0</v>
      </c>
      <c r="DW96" s="161">
        <f t="shared" si="110"/>
        <v>0</v>
      </c>
      <c r="DX96" s="161">
        <f t="shared" si="111"/>
        <v>0</v>
      </c>
      <c r="DY96" s="161">
        <f t="shared" si="112"/>
        <v>0</v>
      </c>
      <c r="DZ96" s="161">
        <f t="shared" si="113"/>
        <v>0</v>
      </c>
      <c r="EA96" s="161">
        <f t="shared" si="114"/>
        <v>0</v>
      </c>
      <c r="EB96" s="161">
        <f t="shared" si="115"/>
        <v>0</v>
      </c>
      <c r="EC96" s="161">
        <f t="shared" si="116"/>
        <v>0</v>
      </c>
      <c r="ED96" s="161">
        <f t="shared" si="117"/>
        <v>0</v>
      </c>
      <c r="EE96" s="161">
        <f t="shared" si="118"/>
        <v>0</v>
      </c>
      <c r="EF96" s="161">
        <f t="shared" si="119"/>
        <v>0</v>
      </c>
      <c r="EG96" s="161">
        <f t="shared" si="120"/>
        <v>0</v>
      </c>
      <c r="EH96" s="161">
        <f t="shared" si="121"/>
        <v>0</v>
      </c>
      <c r="EI96" s="161">
        <f t="shared" si="122"/>
        <v>0</v>
      </c>
      <c r="EJ96" s="161">
        <f t="shared" si="123"/>
        <v>0</v>
      </c>
      <c r="EK96" s="147">
        <f t="shared" si="53"/>
        <v>0</v>
      </c>
      <c r="EL96" s="149"/>
      <c r="EN96" s="151"/>
      <c r="EO96" s="151"/>
      <c r="EP96" s="139">
        <f t="shared" si="54"/>
        <v>0</v>
      </c>
      <c r="EQ96" s="139">
        <f t="shared" si="55"/>
        <v>0</v>
      </c>
      <c r="ER96" s="139">
        <f t="shared" si="56"/>
        <v>0</v>
      </c>
      <c r="ES96" s="139">
        <f t="shared" si="57"/>
        <v>0</v>
      </c>
      <c r="ET96" s="139">
        <f t="shared" si="58"/>
        <v>0</v>
      </c>
      <c r="EU96" s="139">
        <f t="shared" si="59"/>
        <v>0</v>
      </c>
      <c r="EV96" s="139">
        <f t="shared" si="60"/>
        <v>0</v>
      </c>
      <c r="EW96" s="139">
        <f t="shared" si="61"/>
        <v>0</v>
      </c>
      <c r="EX96" s="139">
        <f t="shared" si="62"/>
        <v>0</v>
      </c>
      <c r="EY96" s="139">
        <f t="shared" si="63"/>
        <v>0</v>
      </c>
      <c r="EZ96" s="139">
        <f t="shared" si="64"/>
        <v>0</v>
      </c>
      <c r="FA96" s="139">
        <f t="shared" si="65"/>
        <v>0</v>
      </c>
      <c r="FB96" s="139">
        <f t="shared" si="66"/>
        <v>0</v>
      </c>
      <c r="FC96" s="139">
        <f t="shared" si="67"/>
        <v>0</v>
      </c>
      <c r="FD96" s="139">
        <f t="shared" si="68"/>
        <v>0</v>
      </c>
      <c r="FE96" s="139">
        <f t="shared" si="69"/>
        <v>0</v>
      </c>
      <c r="FF96" s="139">
        <f t="shared" si="70"/>
        <v>0</v>
      </c>
      <c r="FG96" s="139">
        <f t="shared" si="71"/>
        <v>0</v>
      </c>
      <c r="FH96" s="139">
        <f t="shared" si="72"/>
        <v>0</v>
      </c>
      <c r="FI96" s="139">
        <f t="shared" si="73"/>
        <v>0</v>
      </c>
      <c r="FJ96" s="139">
        <f t="shared" si="74"/>
        <v>0</v>
      </c>
      <c r="FK96" s="139">
        <f t="shared" si="75"/>
        <v>0</v>
      </c>
      <c r="FL96" s="139">
        <f t="shared" si="76"/>
        <v>0</v>
      </c>
      <c r="FM96" s="139">
        <f t="shared" si="77"/>
        <v>0</v>
      </c>
      <c r="FN96" s="139">
        <f t="shared" si="78"/>
        <v>0</v>
      </c>
      <c r="FO96" s="139">
        <f t="shared" si="79"/>
        <v>0</v>
      </c>
      <c r="FP96" s="139">
        <f t="shared" si="80"/>
        <v>0</v>
      </c>
      <c r="FQ96" s="139">
        <f t="shared" si="81"/>
        <v>0</v>
      </c>
      <c r="FR96" s="139">
        <f t="shared" si="82"/>
        <v>0</v>
      </c>
      <c r="FS96" s="139">
        <f t="shared" si="83"/>
        <v>0</v>
      </c>
      <c r="FT96" s="139">
        <f t="shared" si="84"/>
        <v>0</v>
      </c>
      <c r="FU96" s="148">
        <f t="shared" si="85"/>
        <v>0</v>
      </c>
      <c r="FV96" s="149"/>
      <c r="FY96" s="210">
        <v>91</v>
      </c>
      <c r="FZ96">
        <v>0.52454686079360424</v>
      </c>
      <c r="GA96">
        <v>6.1865429443054341</v>
      </c>
      <c r="GB96">
        <v>2.6546722279282386</v>
      </c>
      <c r="GC96">
        <v>9.0448957799159793</v>
      </c>
      <c r="GD96">
        <v>7.0439602884644446</v>
      </c>
      <c r="GE96">
        <v>1.3441421952025283</v>
      </c>
      <c r="GF96">
        <v>1.2613862803785265</v>
      </c>
      <c r="GG96">
        <v>2.2601531085936126</v>
      </c>
      <c r="GH96">
        <v>2.6495207003364443</v>
      </c>
      <c r="GI96">
        <v>6.6237884866802164</v>
      </c>
      <c r="GJ96"/>
      <c r="GK96"/>
      <c r="GL96"/>
      <c r="GM96"/>
    </row>
    <row r="97" spans="1:195" s="7" customFormat="1">
      <c r="A97" s="77"/>
      <c r="B97" s="76">
        <f ca="1">IF(C97="", "", RAND())</f>
        <v>0.90877526963969868</v>
      </c>
      <c r="C97">
        <v>6</v>
      </c>
      <c r="D97">
        <v>39646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5.9975961538461542</v>
      </c>
      <c r="AO97">
        <v>7.1742290614639286</v>
      </c>
      <c r="AP97">
        <v>22.247566180091383</v>
      </c>
      <c r="AQ97">
        <v>23.691591053760764</v>
      </c>
      <c r="AR97">
        <v>6.6551289995027165</v>
      </c>
      <c r="AS97">
        <v>31.878950054422472</v>
      </c>
      <c r="AT97" t="e">
        <v>#DIV/0!</v>
      </c>
      <c r="AU97" t="e">
        <v>#DIV/0!</v>
      </c>
      <c r="AV97"/>
      <c r="AW97"/>
      <c r="AX97" s="151"/>
      <c r="AY97" s="76">
        <f t="shared" ca="1" si="86"/>
        <v>0.15435190499081131</v>
      </c>
      <c r="AZ97">
        <v>10</v>
      </c>
      <c r="BA97" s="129">
        <f t="shared" si="87"/>
        <v>39646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 s="147"/>
      <c r="CH97" s="176"/>
      <c r="CJ97" s="151"/>
      <c r="CK97" s="76">
        <f t="shared" ca="1" si="88"/>
        <v>0.78694605867176737</v>
      </c>
      <c r="CL97" s="179">
        <f t="shared" si="89"/>
        <v>10</v>
      </c>
      <c r="CM97" s="180">
        <f t="shared" si="90"/>
        <v>39646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 s="160"/>
      <c r="CW97">
        <v>1</v>
      </c>
      <c r="CX97">
        <v>2</v>
      </c>
      <c r="CY97" s="164"/>
      <c r="CZ97" s="177">
        <f t="shared" si="91"/>
        <v>9.6000000000000002E-2</v>
      </c>
      <c r="DB97" s="151"/>
      <c r="DC97" s="76">
        <f t="shared" ca="1" si="49"/>
        <v>0.75121744633913168</v>
      </c>
      <c r="DD97">
        <f t="shared" si="92"/>
        <v>10</v>
      </c>
      <c r="DE97" s="129">
        <f t="shared" si="50"/>
        <v>39646</v>
      </c>
      <c r="DF97" s="161">
        <f t="shared" si="93"/>
        <v>0</v>
      </c>
      <c r="DG97" s="161">
        <f t="shared" si="94"/>
        <v>0</v>
      </c>
      <c r="DH97" s="161">
        <f t="shared" si="95"/>
        <v>0</v>
      </c>
      <c r="DI97" s="161">
        <f t="shared" si="96"/>
        <v>0</v>
      </c>
      <c r="DJ97" s="161">
        <f t="shared" si="97"/>
        <v>0</v>
      </c>
      <c r="DK97" s="161">
        <f t="shared" si="98"/>
        <v>0</v>
      </c>
      <c r="DL97" s="161">
        <f t="shared" si="99"/>
        <v>0</v>
      </c>
      <c r="DM97" s="161">
        <f t="shared" si="100"/>
        <v>0</v>
      </c>
      <c r="DN97" s="161">
        <f t="shared" si="101"/>
        <v>0</v>
      </c>
      <c r="DO97" s="161">
        <f t="shared" si="102"/>
        <v>0</v>
      </c>
      <c r="DP97" s="161">
        <f t="shared" si="103"/>
        <v>0</v>
      </c>
      <c r="DQ97" s="161">
        <f t="shared" si="104"/>
        <v>0</v>
      </c>
      <c r="DR97" s="161">
        <f t="shared" si="105"/>
        <v>0</v>
      </c>
      <c r="DS97" s="161">
        <f t="shared" si="106"/>
        <v>0</v>
      </c>
      <c r="DT97" s="161">
        <f t="shared" si="107"/>
        <v>0</v>
      </c>
      <c r="DU97" s="161">
        <f t="shared" si="108"/>
        <v>0</v>
      </c>
      <c r="DV97" s="161">
        <f t="shared" si="109"/>
        <v>0</v>
      </c>
      <c r="DW97" s="161">
        <f t="shared" si="110"/>
        <v>0</v>
      </c>
      <c r="DX97" s="161">
        <f t="shared" si="111"/>
        <v>0</v>
      </c>
      <c r="DY97" s="161">
        <f t="shared" si="112"/>
        <v>0</v>
      </c>
      <c r="DZ97" s="161">
        <f t="shared" si="113"/>
        <v>0</v>
      </c>
      <c r="EA97" s="161">
        <f t="shared" si="114"/>
        <v>0</v>
      </c>
      <c r="EB97" s="161">
        <f t="shared" si="115"/>
        <v>0</v>
      </c>
      <c r="EC97" s="161">
        <f t="shared" si="116"/>
        <v>0</v>
      </c>
      <c r="ED97" s="161">
        <f t="shared" si="117"/>
        <v>0</v>
      </c>
      <c r="EE97" s="161">
        <f t="shared" si="118"/>
        <v>0</v>
      </c>
      <c r="EF97" s="161">
        <f t="shared" si="119"/>
        <v>0</v>
      </c>
      <c r="EG97" s="161">
        <f t="shared" si="120"/>
        <v>0</v>
      </c>
      <c r="EH97" s="161">
        <f t="shared" si="121"/>
        <v>0</v>
      </c>
      <c r="EI97" s="161">
        <f t="shared" si="122"/>
        <v>0</v>
      </c>
      <c r="EJ97" s="161">
        <f t="shared" si="123"/>
        <v>0</v>
      </c>
      <c r="EK97" s="147">
        <f t="shared" si="53"/>
        <v>0</v>
      </c>
      <c r="EL97" s="149"/>
      <c r="EN97" s="151"/>
      <c r="EO97" s="151"/>
      <c r="EP97" s="139">
        <f t="shared" si="54"/>
        <v>0</v>
      </c>
      <c r="EQ97" s="139">
        <f t="shared" si="55"/>
        <v>0</v>
      </c>
      <c r="ER97" s="139">
        <f t="shared" si="56"/>
        <v>0</v>
      </c>
      <c r="ES97" s="139">
        <f t="shared" si="57"/>
        <v>0</v>
      </c>
      <c r="ET97" s="139">
        <f t="shared" si="58"/>
        <v>0</v>
      </c>
      <c r="EU97" s="139">
        <f t="shared" si="59"/>
        <v>0</v>
      </c>
      <c r="EV97" s="139">
        <f t="shared" si="60"/>
        <v>0</v>
      </c>
      <c r="EW97" s="139">
        <f t="shared" si="61"/>
        <v>0</v>
      </c>
      <c r="EX97" s="139">
        <f t="shared" si="62"/>
        <v>0</v>
      </c>
      <c r="EY97" s="139">
        <f t="shared" si="63"/>
        <v>0</v>
      </c>
      <c r="EZ97" s="139">
        <f t="shared" si="64"/>
        <v>0</v>
      </c>
      <c r="FA97" s="139">
        <f t="shared" si="65"/>
        <v>0</v>
      </c>
      <c r="FB97" s="139">
        <f t="shared" si="66"/>
        <v>0</v>
      </c>
      <c r="FC97" s="139">
        <f t="shared" si="67"/>
        <v>0</v>
      </c>
      <c r="FD97" s="139">
        <f t="shared" si="68"/>
        <v>0</v>
      </c>
      <c r="FE97" s="139">
        <f t="shared" si="69"/>
        <v>0</v>
      </c>
      <c r="FF97" s="139">
        <f t="shared" si="70"/>
        <v>0</v>
      </c>
      <c r="FG97" s="139">
        <f t="shared" si="71"/>
        <v>0</v>
      </c>
      <c r="FH97" s="139">
        <f t="shared" si="72"/>
        <v>0</v>
      </c>
      <c r="FI97" s="139">
        <f t="shared" si="73"/>
        <v>0</v>
      </c>
      <c r="FJ97" s="139">
        <f t="shared" si="74"/>
        <v>0</v>
      </c>
      <c r="FK97" s="139">
        <f t="shared" si="75"/>
        <v>0</v>
      </c>
      <c r="FL97" s="139">
        <f t="shared" si="76"/>
        <v>0</v>
      </c>
      <c r="FM97" s="139">
        <f t="shared" si="77"/>
        <v>0</v>
      </c>
      <c r="FN97" s="139">
        <f t="shared" si="78"/>
        <v>0</v>
      </c>
      <c r="FO97" s="139">
        <f t="shared" si="79"/>
        <v>0</v>
      </c>
      <c r="FP97" s="139">
        <f t="shared" si="80"/>
        <v>0</v>
      </c>
      <c r="FQ97" s="139">
        <f t="shared" si="81"/>
        <v>0</v>
      </c>
      <c r="FR97" s="139">
        <f t="shared" si="82"/>
        <v>0</v>
      </c>
      <c r="FS97" s="139">
        <f t="shared" si="83"/>
        <v>0</v>
      </c>
      <c r="FT97" s="139">
        <f t="shared" si="84"/>
        <v>0</v>
      </c>
      <c r="FU97" s="148">
        <f t="shared" si="85"/>
        <v>0</v>
      </c>
      <c r="FV97" s="149"/>
      <c r="FY97" s="210">
        <v>92</v>
      </c>
      <c r="FZ97">
        <v>0.2456818880042031</v>
      </c>
      <c r="GA97">
        <v>3.0736503178193786</v>
      </c>
      <c r="GB97">
        <v>1.3273361139641193</v>
      </c>
      <c r="GC97">
        <v>5.3112193295353203</v>
      </c>
      <c r="GD97">
        <v>5.0276989251937199</v>
      </c>
      <c r="GE97">
        <v>2.3028359860066381</v>
      </c>
      <c r="GF97">
        <v>0.19016497712110106</v>
      </c>
      <c r="GG97">
        <v>1.1300765542968063</v>
      </c>
      <c r="GH97">
        <v>1.3247603501682221</v>
      </c>
      <c r="GI97">
        <v>4.2879793002250093</v>
      </c>
      <c r="GJ97"/>
      <c r="GK97"/>
      <c r="GL97"/>
      <c r="GM97"/>
    </row>
    <row r="98" spans="1:195" s="7" customFormat="1">
      <c r="A98" s="128"/>
      <c r="B98" s="76">
        <f ca="1">IF(C98="", "", RAND())</f>
        <v>0.593701964576407</v>
      </c>
      <c r="C98">
        <v>5</v>
      </c>
      <c r="D98">
        <v>39673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3.9854433760683761</v>
      </c>
      <c r="AO98">
        <v>4.1492184822442315</v>
      </c>
      <c r="AP98">
        <v>20.739370178529118</v>
      </c>
      <c r="AQ98">
        <v>18.030947731561206</v>
      </c>
      <c r="AR98">
        <v>3.7961315171897176</v>
      </c>
      <c r="AS98">
        <v>17.931736452844472</v>
      </c>
      <c r="AT98" t="e">
        <v>#DIV/0!</v>
      </c>
      <c r="AU98" t="e">
        <v>#DIV/0!</v>
      </c>
      <c r="AV98"/>
      <c r="AW98"/>
      <c r="AX98" s="128"/>
      <c r="AY98" s="76">
        <f t="shared" ca="1" si="86"/>
        <v>0.23690493378394617</v>
      </c>
      <c r="AZ98">
        <v>1</v>
      </c>
      <c r="BA98" s="129">
        <f>IF(AZ98="", "",$C$5)</f>
        <v>39673</v>
      </c>
      <c r="BB98">
        <v>0</v>
      </c>
      <c r="BC98">
        <v>0</v>
      </c>
      <c r="BD98">
        <v>1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 s="147"/>
      <c r="CH98" s="176"/>
      <c r="CJ98" s="128"/>
      <c r="CK98" s="76">
        <f t="shared" ca="1" si="88"/>
        <v>0.50060760546075844</v>
      </c>
      <c r="CL98" s="179">
        <f t="shared" si="89"/>
        <v>1</v>
      </c>
      <c r="CM98" s="180">
        <f t="shared" si="90"/>
        <v>39673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W98">
        <v>1</v>
      </c>
      <c r="CX98">
        <v>1</v>
      </c>
      <c r="CY98" s="158"/>
      <c r="CZ98" s="177">
        <f t="shared" si="91"/>
        <v>9.6000000000000002E-2</v>
      </c>
      <c r="DB98" s="128"/>
      <c r="DC98" s="76">
        <f t="shared" ca="1" si="49"/>
        <v>0.83216382758803698</v>
      </c>
      <c r="DD98">
        <f t="shared" si="92"/>
        <v>1</v>
      </c>
      <c r="DE98" s="129">
        <f t="shared" ref="DE98:DE107" si="124">IF((DD98)="", "", $C$5)</f>
        <v>39673</v>
      </c>
      <c r="DF98" s="161">
        <f t="shared" si="93"/>
        <v>0</v>
      </c>
      <c r="DG98" s="161">
        <f t="shared" si="94"/>
        <v>0</v>
      </c>
      <c r="DH98" s="161">
        <f t="shared" si="95"/>
        <v>10.416666666666666</v>
      </c>
      <c r="DI98" s="161">
        <f t="shared" si="96"/>
        <v>0</v>
      </c>
      <c r="DJ98" s="161">
        <f t="shared" si="97"/>
        <v>0</v>
      </c>
      <c r="DK98" s="161">
        <f t="shared" si="98"/>
        <v>0</v>
      </c>
      <c r="DL98" s="161">
        <f t="shared" si="99"/>
        <v>0</v>
      </c>
      <c r="DM98" s="161">
        <f t="shared" si="100"/>
        <v>0</v>
      </c>
      <c r="DN98" s="161">
        <f t="shared" si="101"/>
        <v>0</v>
      </c>
      <c r="DO98" s="161">
        <f t="shared" si="102"/>
        <v>0</v>
      </c>
      <c r="DP98" s="161">
        <f t="shared" si="103"/>
        <v>0</v>
      </c>
      <c r="DQ98" s="161">
        <f t="shared" si="104"/>
        <v>0</v>
      </c>
      <c r="DR98" s="161">
        <f t="shared" si="105"/>
        <v>0</v>
      </c>
      <c r="DS98" s="161">
        <f t="shared" si="106"/>
        <v>0</v>
      </c>
      <c r="DT98" s="161">
        <f t="shared" si="107"/>
        <v>0</v>
      </c>
      <c r="DU98" s="161">
        <f t="shared" si="108"/>
        <v>0</v>
      </c>
      <c r="DV98" s="161">
        <f t="shared" si="109"/>
        <v>0</v>
      </c>
      <c r="DW98" s="161">
        <f t="shared" si="110"/>
        <v>0</v>
      </c>
      <c r="DX98" s="161">
        <f t="shared" si="111"/>
        <v>0</v>
      </c>
      <c r="DY98" s="161">
        <f t="shared" si="112"/>
        <v>0</v>
      </c>
      <c r="DZ98" s="161">
        <f t="shared" si="113"/>
        <v>0</v>
      </c>
      <c r="EA98" s="161">
        <f t="shared" si="114"/>
        <v>0</v>
      </c>
      <c r="EB98" s="161">
        <f t="shared" si="115"/>
        <v>0</v>
      </c>
      <c r="EC98" s="161">
        <f t="shared" si="116"/>
        <v>0</v>
      </c>
      <c r="ED98" s="161">
        <f t="shared" si="117"/>
        <v>0</v>
      </c>
      <c r="EE98" s="161">
        <f t="shared" si="118"/>
        <v>0</v>
      </c>
      <c r="EF98" s="161">
        <f t="shared" si="119"/>
        <v>0</v>
      </c>
      <c r="EG98" s="161">
        <f t="shared" si="120"/>
        <v>0</v>
      </c>
      <c r="EH98" s="161">
        <f t="shared" si="121"/>
        <v>0</v>
      </c>
      <c r="EI98" s="161">
        <f t="shared" si="122"/>
        <v>0</v>
      </c>
      <c r="EJ98" s="161">
        <f t="shared" si="123"/>
        <v>0</v>
      </c>
      <c r="EK98" s="147">
        <f t="shared" si="53"/>
        <v>10.416666666666666</v>
      </c>
      <c r="EL98" s="149"/>
      <c r="EN98" s="146"/>
      <c r="EO98" s="146"/>
      <c r="EP98" s="139">
        <f t="shared" si="54"/>
        <v>0</v>
      </c>
      <c r="EQ98" s="139">
        <f t="shared" si="55"/>
        <v>0</v>
      </c>
      <c r="ER98" s="139">
        <f t="shared" si="56"/>
        <v>0.66257965743697111</v>
      </c>
      <c r="ES98" s="139">
        <f t="shared" si="57"/>
        <v>0</v>
      </c>
      <c r="ET98" s="139">
        <f t="shared" si="58"/>
        <v>0</v>
      </c>
      <c r="EU98" s="139">
        <f t="shared" si="59"/>
        <v>0</v>
      </c>
      <c r="EV98" s="139">
        <f t="shared" si="60"/>
        <v>0</v>
      </c>
      <c r="EW98" s="139">
        <f t="shared" si="61"/>
        <v>0</v>
      </c>
      <c r="EX98" s="139">
        <f t="shared" si="62"/>
        <v>0</v>
      </c>
      <c r="EY98" s="139">
        <f t="shared" si="63"/>
        <v>0</v>
      </c>
      <c r="EZ98" s="139">
        <f t="shared" si="64"/>
        <v>0</v>
      </c>
      <c r="FA98" s="139">
        <f t="shared" si="65"/>
        <v>0</v>
      </c>
      <c r="FB98" s="139">
        <f t="shared" si="66"/>
        <v>0</v>
      </c>
      <c r="FC98" s="139">
        <f t="shared" si="67"/>
        <v>0</v>
      </c>
      <c r="FD98" s="139">
        <f t="shared" si="68"/>
        <v>0</v>
      </c>
      <c r="FE98" s="139">
        <f t="shared" si="69"/>
        <v>0</v>
      </c>
      <c r="FF98" s="139">
        <f t="shared" si="70"/>
        <v>0</v>
      </c>
      <c r="FG98" s="139">
        <f t="shared" si="71"/>
        <v>0</v>
      </c>
      <c r="FH98" s="139">
        <f t="shared" si="72"/>
        <v>0</v>
      </c>
      <c r="FI98" s="139">
        <f t="shared" si="73"/>
        <v>0</v>
      </c>
      <c r="FJ98" s="139">
        <f t="shared" si="74"/>
        <v>0</v>
      </c>
      <c r="FK98" s="139">
        <f t="shared" si="75"/>
        <v>0</v>
      </c>
      <c r="FL98" s="139">
        <f t="shared" si="76"/>
        <v>0</v>
      </c>
      <c r="FM98" s="139">
        <f t="shared" si="77"/>
        <v>0</v>
      </c>
      <c r="FN98" s="139">
        <f t="shared" si="78"/>
        <v>0</v>
      </c>
      <c r="FO98" s="139">
        <f t="shared" si="79"/>
        <v>0</v>
      </c>
      <c r="FP98" s="139">
        <f t="shared" si="80"/>
        <v>0</v>
      </c>
      <c r="FQ98" s="139">
        <f t="shared" si="81"/>
        <v>0</v>
      </c>
      <c r="FR98" s="139">
        <f t="shared" si="82"/>
        <v>0</v>
      </c>
      <c r="FS98" s="139">
        <f t="shared" si="83"/>
        <v>0</v>
      </c>
      <c r="FT98" s="139">
        <f t="shared" si="84"/>
        <v>0</v>
      </c>
      <c r="FU98" s="148">
        <f t="shared" si="85"/>
        <v>0.66257965743697111</v>
      </c>
      <c r="FV98" s="149"/>
      <c r="FY98" s="210">
        <v>93</v>
      </c>
      <c r="FZ98">
        <v>3.3183084785198033E-2</v>
      </c>
      <c r="GA98">
        <v>2.4766998382489476</v>
      </c>
      <c r="GB98">
        <v>1.7466284532154059</v>
      </c>
      <c r="GC98">
        <v>6.8666778472018137</v>
      </c>
      <c r="GD98">
        <v>5.4976066383721065</v>
      </c>
      <c r="GE98">
        <v>1.8691657077015624</v>
      </c>
      <c r="GF98">
        <v>1.2613862803785265</v>
      </c>
      <c r="GG98">
        <v>1.2981488832102204</v>
      </c>
      <c r="GH98">
        <v>1.3247603501682221</v>
      </c>
      <c r="GI98">
        <v>4.9643326234767784</v>
      </c>
      <c r="GJ98"/>
      <c r="GK98"/>
      <c r="GL98"/>
      <c r="GM98"/>
    </row>
    <row r="99" spans="1:195" s="7" customFormat="1">
      <c r="A99" s="1"/>
      <c r="B99" s="76">
        <f ca="1">IF(C99="", "", RAND())</f>
        <v>0.81433463172206588</v>
      </c>
      <c r="C99">
        <v>3</v>
      </c>
      <c r="D99">
        <v>39673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7.5585317460317452</v>
      </c>
      <c r="AO99">
        <v>8.4972403645804668</v>
      </c>
      <c r="AP99">
        <v>27.575830447238989</v>
      </c>
      <c r="AQ99">
        <v>27.250396127467532</v>
      </c>
      <c r="AR99">
        <v>7.7766817728692343</v>
      </c>
      <c r="AS99">
        <v>33.91141506145874</v>
      </c>
      <c r="AT99" t="e">
        <v>#DIV/0!</v>
      </c>
      <c r="AU99" t="e">
        <v>#DIV/0!</v>
      </c>
      <c r="AV99"/>
      <c r="AW99"/>
      <c r="AX99" s="146"/>
      <c r="AY99" s="76">
        <f t="shared" ca="1" si="86"/>
        <v>0.82034764298398088</v>
      </c>
      <c r="AZ99">
        <v>2</v>
      </c>
      <c r="BA99" s="129">
        <f t="shared" ref="BA99:BA107" si="125">IF(AZ99="", "",$C$5)</f>
        <v>39673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 s="147"/>
      <c r="CH99" s="176"/>
      <c r="CJ99" s="146"/>
      <c r="CK99" s="76">
        <f t="shared" ca="1" si="88"/>
        <v>0.84382648455792708</v>
      </c>
      <c r="CL99" s="179">
        <f t="shared" si="89"/>
        <v>2</v>
      </c>
      <c r="CM99" s="180">
        <f t="shared" si="90"/>
        <v>39673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W99">
        <v>1</v>
      </c>
      <c r="CX99">
        <v>6</v>
      </c>
      <c r="CY99" s="158"/>
      <c r="CZ99" s="177">
        <f t="shared" si="91"/>
        <v>9.6000000000000002E-2</v>
      </c>
      <c r="DB99" s="146"/>
      <c r="DC99" s="76">
        <f t="shared" ca="1" si="49"/>
        <v>0.97701193272546938</v>
      </c>
      <c r="DD99">
        <f t="shared" si="92"/>
        <v>2</v>
      </c>
      <c r="DE99" s="129">
        <f t="shared" si="124"/>
        <v>39673</v>
      </c>
      <c r="DF99" s="161">
        <f t="shared" si="93"/>
        <v>0</v>
      </c>
      <c r="DG99" s="161">
        <f t="shared" si="94"/>
        <v>0</v>
      </c>
      <c r="DH99" s="161">
        <f t="shared" si="95"/>
        <v>0</v>
      </c>
      <c r="DI99" s="161">
        <f t="shared" si="96"/>
        <v>0</v>
      </c>
      <c r="DJ99" s="161">
        <f t="shared" si="97"/>
        <v>0</v>
      </c>
      <c r="DK99" s="161">
        <f t="shared" si="98"/>
        <v>0</v>
      </c>
      <c r="DL99" s="161">
        <f t="shared" si="99"/>
        <v>0</v>
      </c>
      <c r="DM99" s="161">
        <f t="shared" si="100"/>
        <v>0</v>
      </c>
      <c r="DN99" s="161">
        <f t="shared" si="101"/>
        <v>0</v>
      </c>
      <c r="DO99" s="161">
        <f t="shared" si="102"/>
        <v>0</v>
      </c>
      <c r="DP99" s="161">
        <f t="shared" si="103"/>
        <v>0</v>
      </c>
      <c r="DQ99" s="161">
        <f t="shared" si="104"/>
        <v>0</v>
      </c>
      <c r="DR99" s="161">
        <f t="shared" si="105"/>
        <v>0</v>
      </c>
      <c r="DS99" s="161">
        <f t="shared" si="106"/>
        <v>0</v>
      </c>
      <c r="DT99" s="161">
        <f t="shared" si="107"/>
        <v>0</v>
      </c>
      <c r="DU99" s="161">
        <f t="shared" si="108"/>
        <v>0</v>
      </c>
      <c r="DV99" s="161">
        <f t="shared" si="109"/>
        <v>0</v>
      </c>
      <c r="DW99" s="161">
        <f t="shared" si="110"/>
        <v>0</v>
      </c>
      <c r="DX99" s="161">
        <f t="shared" si="111"/>
        <v>0</v>
      </c>
      <c r="DY99" s="161">
        <f t="shared" si="112"/>
        <v>0</v>
      </c>
      <c r="DZ99" s="161">
        <f t="shared" si="113"/>
        <v>0</v>
      </c>
      <c r="EA99" s="161">
        <f t="shared" si="114"/>
        <v>0</v>
      </c>
      <c r="EB99" s="161">
        <f t="shared" si="115"/>
        <v>0</v>
      </c>
      <c r="EC99" s="161">
        <f t="shared" si="116"/>
        <v>0</v>
      </c>
      <c r="ED99" s="161">
        <f t="shared" si="117"/>
        <v>0</v>
      </c>
      <c r="EE99" s="161">
        <f t="shared" si="118"/>
        <v>0</v>
      </c>
      <c r="EF99" s="161">
        <f t="shared" si="119"/>
        <v>0</v>
      </c>
      <c r="EG99" s="161">
        <f t="shared" si="120"/>
        <v>0</v>
      </c>
      <c r="EH99" s="161">
        <f t="shared" si="121"/>
        <v>0</v>
      </c>
      <c r="EI99" s="161">
        <f t="shared" si="122"/>
        <v>0</v>
      </c>
      <c r="EJ99" s="161">
        <f t="shared" si="123"/>
        <v>0</v>
      </c>
      <c r="EK99" s="147">
        <f t="shared" si="53"/>
        <v>0</v>
      </c>
      <c r="EL99" s="149"/>
      <c r="EN99" s="146"/>
      <c r="EO99" s="146"/>
      <c r="EP99" s="139">
        <f t="shared" si="54"/>
        <v>0</v>
      </c>
      <c r="EQ99" s="139">
        <f t="shared" si="55"/>
        <v>0</v>
      </c>
      <c r="ER99" s="139">
        <f t="shared" si="56"/>
        <v>0</v>
      </c>
      <c r="ES99" s="139">
        <f t="shared" si="57"/>
        <v>0</v>
      </c>
      <c r="ET99" s="139">
        <f t="shared" si="58"/>
        <v>0</v>
      </c>
      <c r="EU99" s="139">
        <f t="shared" si="59"/>
        <v>0</v>
      </c>
      <c r="EV99" s="139">
        <f t="shared" si="60"/>
        <v>0</v>
      </c>
      <c r="EW99" s="139">
        <f t="shared" si="61"/>
        <v>0</v>
      </c>
      <c r="EX99" s="139">
        <f t="shared" si="62"/>
        <v>0</v>
      </c>
      <c r="EY99" s="139">
        <f t="shared" si="63"/>
        <v>0</v>
      </c>
      <c r="EZ99" s="139">
        <f t="shared" si="64"/>
        <v>0</v>
      </c>
      <c r="FA99" s="139">
        <f t="shared" si="65"/>
        <v>0</v>
      </c>
      <c r="FB99" s="139">
        <f t="shared" si="66"/>
        <v>0</v>
      </c>
      <c r="FC99" s="139">
        <f t="shared" si="67"/>
        <v>0</v>
      </c>
      <c r="FD99" s="139">
        <f t="shared" si="68"/>
        <v>0</v>
      </c>
      <c r="FE99" s="139">
        <f t="shared" si="69"/>
        <v>0</v>
      </c>
      <c r="FF99" s="139">
        <f t="shared" si="70"/>
        <v>0</v>
      </c>
      <c r="FG99" s="139">
        <f t="shared" si="71"/>
        <v>0</v>
      </c>
      <c r="FH99" s="139">
        <f t="shared" si="72"/>
        <v>0</v>
      </c>
      <c r="FI99" s="139">
        <f t="shared" si="73"/>
        <v>0</v>
      </c>
      <c r="FJ99" s="139">
        <f t="shared" si="74"/>
        <v>0</v>
      </c>
      <c r="FK99" s="139">
        <f t="shared" si="75"/>
        <v>0</v>
      </c>
      <c r="FL99" s="139">
        <f t="shared" si="76"/>
        <v>0</v>
      </c>
      <c r="FM99" s="139">
        <f t="shared" si="77"/>
        <v>0</v>
      </c>
      <c r="FN99" s="139">
        <f t="shared" si="78"/>
        <v>0</v>
      </c>
      <c r="FO99" s="139">
        <f t="shared" si="79"/>
        <v>0</v>
      </c>
      <c r="FP99" s="139">
        <f t="shared" si="80"/>
        <v>0</v>
      </c>
      <c r="FQ99" s="139">
        <f t="shared" si="81"/>
        <v>0</v>
      </c>
      <c r="FR99" s="139">
        <f t="shared" si="82"/>
        <v>0</v>
      </c>
      <c r="FS99" s="139">
        <f t="shared" si="83"/>
        <v>0</v>
      </c>
      <c r="FT99" s="139">
        <f t="shared" si="84"/>
        <v>0</v>
      </c>
      <c r="FU99" s="148">
        <f t="shared" si="85"/>
        <v>0</v>
      </c>
      <c r="FV99" s="149"/>
      <c r="FY99" s="210">
        <v>94</v>
      </c>
      <c r="FZ99">
        <v>3.3183084785198033E-2</v>
      </c>
      <c r="GA99">
        <v>7.9082017036394747</v>
      </c>
      <c r="GB99">
        <v>4.3112758818503059</v>
      </c>
      <c r="GC99">
        <v>6.7288664988696816</v>
      </c>
      <c r="GD99">
        <v>5.375494176356737</v>
      </c>
      <c r="GE99">
        <v>2.3747707024918845</v>
      </c>
      <c r="GF99">
        <v>1.95227762939375</v>
      </c>
      <c r="GG99">
        <v>2.0920807796801988</v>
      </c>
      <c r="GH99">
        <v>2.6495207003364443</v>
      </c>
      <c r="GI99">
        <v>5.9215929043769888</v>
      </c>
      <c r="GJ99"/>
      <c r="GK99"/>
      <c r="GL99"/>
      <c r="GM99"/>
    </row>
    <row r="100" spans="1:195" s="7" customFormat="1">
      <c r="A100" s="1"/>
      <c r="B100" s="76">
        <f ca="1">IF(C100="", "", RAND())</f>
        <v>0.80736187226456968</v>
      </c>
      <c r="C100">
        <v>7</v>
      </c>
      <c r="D100">
        <v>39673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5.7453258547008543</v>
      </c>
      <c r="AO100">
        <v>6.2687382505458178</v>
      </c>
      <c r="AP100">
        <v>30.998581399502434</v>
      </c>
      <c r="AQ100">
        <v>25.096652432160646</v>
      </c>
      <c r="AR100">
        <v>5.7622908569871081</v>
      </c>
      <c r="AS100">
        <v>31.632840012161768</v>
      </c>
      <c r="AT100" t="e">
        <v>#DIV/0!</v>
      </c>
      <c r="AU100" t="e">
        <v>#DIV/0!</v>
      </c>
      <c r="AV100"/>
      <c r="AW100"/>
      <c r="AX100" s="146"/>
      <c r="AY100" s="76">
        <f t="shared" ca="1" si="86"/>
        <v>0.80626653603824749</v>
      </c>
      <c r="AZ100">
        <v>3</v>
      </c>
      <c r="BA100" s="129">
        <f t="shared" si="125"/>
        <v>39673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 s="147"/>
      <c r="CH100" s="176"/>
      <c r="CJ100" s="146"/>
      <c r="CK100" s="76">
        <f t="shared" ca="1" si="88"/>
        <v>0.32719806797794826</v>
      </c>
      <c r="CL100" s="179">
        <f t="shared" si="89"/>
        <v>3</v>
      </c>
      <c r="CM100" s="180">
        <f t="shared" si="90"/>
        <v>39673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W100">
        <v>1</v>
      </c>
      <c r="CX100">
        <f>350/51</f>
        <v>6.8627450980392153</v>
      </c>
      <c r="CY100" s="158"/>
      <c r="CZ100" s="177">
        <f t="shared" si="91"/>
        <v>9.6000000000000002E-2</v>
      </c>
      <c r="DB100" s="146"/>
      <c r="DC100" s="76">
        <f t="shared" ca="1" si="49"/>
        <v>0.47196480820336451</v>
      </c>
      <c r="DD100">
        <f t="shared" si="92"/>
        <v>3</v>
      </c>
      <c r="DE100" s="129">
        <f t="shared" si="124"/>
        <v>39673</v>
      </c>
      <c r="DF100" s="161">
        <f t="shared" si="93"/>
        <v>0</v>
      </c>
      <c r="DG100" s="161">
        <f t="shared" si="94"/>
        <v>0</v>
      </c>
      <c r="DH100" s="161">
        <f t="shared" si="95"/>
        <v>0</v>
      </c>
      <c r="DI100" s="161">
        <f t="shared" si="96"/>
        <v>0</v>
      </c>
      <c r="DJ100" s="161">
        <f t="shared" si="97"/>
        <v>0</v>
      </c>
      <c r="DK100" s="161">
        <f t="shared" si="98"/>
        <v>0</v>
      </c>
      <c r="DL100" s="161">
        <f t="shared" si="99"/>
        <v>0</v>
      </c>
      <c r="DM100" s="161">
        <f t="shared" si="100"/>
        <v>0</v>
      </c>
      <c r="DN100" s="161">
        <f t="shared" si="101"/>
        <v>0</v>
      </c>
      <c r="DO100" s="161">
        <f t="shared" si="102"/>
        <v>0</v>
      </c>
      <c r="DP100" s="161">
        <f t="shared" si="103"/>
        <v>0</v>
      </c>
      <c r="DQ100" s="161">
        <f t="shared" si="104"/>
        <v>0</v>
      </c>
      <c r="DR100" s="161">
        <f t="shared" si="105"/>
        <v>0</v>
      </c>
      <c r="DS100" s="161">
        <f t="shared" si="106"/>
        <v>0</v>
      </c>
      <c r="DT100" s="161">
        <f t="shared" si="107"/>
        <v>0</v>
      </c>
      <c r="DU100" s="161">
        <f t="shared" si="108"/>
        <v>0</v>
      </c>
      <c r="DV100" s="161">
        <f t="shared" si="109"/>
        <v>0</v>
      </c>
      <c r="DW100" s="161">
        <f t="shared" si="110"/>
        <v>0</v>
      </c>
      <c r="DX100" s="161">
        <f t="shared" si="111"/>
        <v>0</v>
      </c>
      <c r="DY100" s="161">
        <f t="shared" si="112"/>
        <v>0</v>
      </c>
      <c r="DZ100" s="161">
        <f t="shared" si="113"/>
        <v>0</v>
      </c>
      <c r="EA100" s="161">
        <f t="shared" si="114"/>
        <v>0</v>
      </c>
      <c r="EB100" s="161">
        <f t="shared" si="115"/>
        <v>0</v>
      </c>
      <c r="EC100" s="161">
        <f t="shared" si="116"/>
        <v>0</v>
      </c>
      <c r="ED100" s="161">
        <f t="shared" si="117"/>
        <v>0</v>
      </c>
      <c r="EE100" s="161">
        <f t="shared" si="118"/>
        <v>0</v>
      </c>
      <c r="EF100" s="161">
        <f t="shared" si="119"/>
        <v>0</v>
      </c>
      <c r="EG100" s="161">
        <f t="shared" si="120"/>
        <v>0</v>
      </c>
      <c r="EH100" s="161">
        <f t="shared" si="121"/>
        <v>0</v>
      </c>
      <c r="EI100" s="161">
        <f t="shared" si="122"/>
        <v>0</v>
      </c>
      <c r="EJ100" s="161">
        <f t="shared" si="123"/>
        <v>0</v>
      </c>
      <c r="EK100" s="147">
        <f t="shared" si="53"/>
        <v>0</v>
      </c>
      <c r="EL100" s="149"/>
      <c r="EN100" s="146"/>
      <c r="EO100" s="146"/>
      <c r="EP100" s="139">
        <f t="shared" si="54"/>
        <v>0</v>
      </c>
      <c r="EQ100" s="139">
        <f t="shared" si="55"/>
        <v>0</v>
      </c>
      <c r="ER100" s="139">
        <f t="shared" si="56"/>
        <v>0</v>
      </c>
      <c r="ES100" s="139">
        <f t="shared" si="57"/>
        <v>0</v>
      </c>
      <c r="ET100" s="139">
        <f t="shared" si="58"/>
        <v>0</v>
      </c>
      <c r="EU100" s="139">
        <f t="shared" si="59"/>
        <v>0</v>
      </c>
      <c r="EV100" s="139">
        <f t="shared" si="60"/>
        <v>0</v>
      </c>
      <c r="EW100" s="139">
        <f t="shared" si="61"/>
        <v>0</v>
      </c>
      <c r="EX100" s="139">
        <f t="shared" si="62"/>
        <v>0</v>
      </c>
      <c r="EY100" s="139">
        <f t="shared" si="63"/>
        <v>0</v>
      </c>
      <c r="EZ100" s="139">
        <f t="shared" si="64"/>
        <v>0</v>
      </c>
      <c r="FA100" s="139">
        <f t="shared" si="65"/>
        <v>0</v>
      </c>
      <c r="FB100" s="139">
        <f t="shared" si="66"/>
        <v>0</v>
      </c>
      <c r="FC100" s="139">
        <f t="shared" si="67"/>
        <v>0</v>
      </c>
      <c r="FD100" s="139">
        <f t="shared" si="68"/>
        <v>0</v>
      </c>
      <c r="FE100" s="139">
        <f t="shared" si="69"/>
        <v>0</v>
      </c>
      <c r="FF100" s="139">
        <f t="shared" si="70"/>
        <v>0</v>
      </c>
      <c r="FG100" s="139">
        <f t="shared" si="71"/>
        <v>0</v>
      </c>
      <c r="FH100" s="139">
        <f t="shared" si="72"/>
        <v>0</v>
      </c>
      <c r="FI100" s="139">
        <f t="shared" si="73"/>
        <v>0</v>
      </c>
      <c r="FJ100" s="139">
        <f t="shared" si="74"/>
        <v>0</v>
      </c>
      <c r="FK100" s="139">
        <f t="shared" si="75"/>
        <v>0</v>
      </c>
      <c r="FL100" s="139">
        <f t="shared" si="76"/>
        <v>0</v>
      </c>
      <c r="FM100" s="139">
        <f t="shared" si="77"/>
        <v>0</v>
      </c>
      <c r="FN100" s="139">
        <f t="shared" si="78"/>
        <v>0</v>
      </c>
      <c r="FO100" s="139">
        <f t="shared" si="79"/>
        <v>0</v>
      </c>
      <c r="FP100" s="139">
        <f t="shared" si="80"/>
        <v>0</v>
      </c>
      <c r="FQ100" s="139">
        <f t="shared" si="81"/>
        <v>0</v>
      </c>
      <c r="FR100" s="139">
        <f t="shared" si="82"/>
        <v>0</v>
      </c>
      <c r="FS100" s="139">
        <f t="shared" si="83"/>
        <v>0</v>
      </c>
      <c r="FT100" s="139">
        <f t="shared" si="84"/>
        <v>0</v>
      </c>
      <c r="FU100" s="148">
        <f t="shared" si="85"/>
        <v>0</v>
      </c>
      <c r="FV100" s="149"/>
      <c r="FY100" s="210">
        <v>95</v>
      </c>
      <c r="FZ100">
        <v>0.2456818880042031</v>
      </c>
      <c r="GA100">
        <v>5.1349337027303932</v>
      </c>
      <c r="GB100">
        <v>2.3100912434873679</v>
      </c>
      <c r="GC100">
        <v>6.6018130300780351</v>
      </c>
      <c r="GD100">
        <v>5.6643727000013682</v>
      </c>
      <c r="GE100">
        <v>3.3046611370980497</v>
      </c>
      <c r="GF100">
        <v>2.6431689784089736</v>
      </c>
      <c r="GG100">
        <v>0.48100211269169618</v>
      </c>
      <c r="GH100">
        <v>0.66238017508411107</v>
      </c>
      <c r="GI100">
        <v>5.4739111579713002</v>
      </c>
      <c r="GJ100"/>
      <c r="GK100"/>
      <c r="GL100"/>
      <c r="GM100"/>
    </row>
    <row r="101" spans="1:195" s="7" customFormat="1">
      <c r="A101" s="1"/>
      <c r="B101" s="76">
        <f ca="1">IF(C101="", "", RAND())</f>
        <v>0.39871072504496752</v>
      </c>
      <c r="C101">
        <v>2</v>
      </c>
      <c r="D101">
        <v>39673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8.4357638888888893</v>
      </c>
      <c r="AO101">
        <v>10.120542554518416</v>
      </c>
      <c r="AP101">
        <v>25.744782115110887</v>
      </c>
      <c r="AQ101">
        <v>30.349056750982541</v>
      </c>
      <c r="AR101">
        <v>9.3353931797817253</v>
      </c>
      <c r="AS101">
        <v>40.250382966773095</v>
      </c>
      <c r="AT101" t="e">
        <v>#DIV/0!</v>
      </c>
      <c r="AU101" t="e">
        <v>#DIV/0!</v>
      </c>
      <c r="AV101"/>
      <c r="AW101"/>
      <c r="AX101" s="146"/>
      <c r="AY101" s="76">
        <f t="shared" ca="1" si="86"/>
        <v>0.15588291318724057</v>
      </c>
      <c r="AZ101">
        <v>4</v>
      </c>
      <c r="BA101" s="129">
        <f t="shared" si="125"/>
        <v>39673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 s="147"/>
      <c r="CH101" s="176"/>
      <c r="CJ101" s="146"/>
      <c r="CK101" s="76">
        <f t="shared" ca="1" si="88"/>
        <v>3.774771460183235E-2</v>
      </c>
      <c r="CL101" s="179">
        <f t="shared" si="89"/>
        <v>4</v>
      </c>
      <c r="CM101" s="180">
        <f t="shared" si="90"/>
        <v>39673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W101">
        <v>1</v>
      </c>
      <c r="CX101">
        <f>355/50</f>
        <v>7.1</v>
      </c>
      <c r="CY101" s="158"/>
      <c r="CZ101" s="177">
        <f t="shared" si="91"/>
        <v>9.6000000000000002E-2</v>
      </c>
      <c r="DB101" s="146"/>
      <c r="DC101" s="76">
        <f t="shared" ca="1" si="49"/>
        <v>0.32690899001561213</v>
      </c>
      <c r="DD101">
        <f t="shared" si="92"/>
        <v>4</v>
      </c>
      <c r="DE101" s="129">
        <f t="shared" si="124"/>
        <v>39673</v>
      </c>
      <c r="DF101" s="161">
        <f t="shared" si="93"/>
        <v>0</v>
      </c>
      <c r="DG101" s="161">
        <f t="shared" si="94"/>
        <v>0</v>
      </c>
      <c r="DH101" s="161">
        <f t="shared" si="95"/>
        <v>0</v>
      </c>
      <c r="DI101" s="161">
        <f t="shared" si="96"/>
        <v>0</v>
      </c>
      <c r="DJ101" s="161">
        <f t="shared" si="97"/>
        <v>0</v>
      </c>
      <c r="DK101" s="161">
        <f t="shared" si="98"/>
        <v>0</v>
      </c>
      <c r="DL101" s="161">
        <f t="shared" si="99"/>
        <v>0</v>
      </c>
      <c r="DM101" s="161">
        <f t="shared" si="100"/>
        <v>0</v>
      </c>
      <c r="DN101" s="161">
        <f t="shared" si="101"/>
        <v>0</v>
      </c>
      <c r="DO101" s="161">
        <f t="shared" si="102"/>
        <v>0</v>
      </c>
      <c r="DP101" s="161">
        <f t="shared" si="103"/>
        <v>0</v>
      </c>
      <c r="DQ101" s="161">
        <f t="shared" si="104"/>
        <v>0</v>
      </c>
      <c r="DR101" s="161">
        <f t="shared" si="105"/>
        <v>0</v>
      </c>
      <c r="DS101" s="161">
        <f t="shared" si="106"/>
        <v>0</v>
      </c>
      <c r="DT101" s="161">
        <f t="shared" si="107"/>
        <v>0</v>
      </c>
      <c r="DU101" s="161">
        <f t="shared" si="108"/>
        <v>0</v>
      </c>
      <c r="DV101" s="161">
        <f t="shared" si="109"/>
        <v>0</v>
      </c>
      <c r="DW101" s="161">
        <f t="shared" si="110"/>
        <v>0</v>
      </c>
      <c r="DX101" s="161">
        <f t="shared" si="111"/>
        <v>0</v>
      </c>
      <c r="DY101" s="161">
        <f t="shared" si="112"/>
        <v>0</v>
      </c>
      <c r="DZ101" s="161">
        <f t="shared" si="113"/>
        <v>0</v>
      </c>
      <c r="EA101" s="161">
        <f t="shared" si="114"/>
        <v>0</v>
      </c>
      <c r="EB101" s="161">
        <f t="shared" si="115"/>
        <v>0</v>
      </c>
      <c r="EC101" s="161">
        <f t="shared" si="116"/>
        <v>0</v>
      </c>
      <c r="ED101" s="161">
        <f t="shared" si="117"/>
        <v>0</v>
      </c>
      <c r="EE101" s="161">
        <f t="shared" si="118"/>
        <v>0</v>
      </c>
      <c r="EF101" s="161">
        <f t="shared" si="119"/>
        <v>0</v>
      </c>
      <c r="EG101" s="161">
        <f t="shared" si="120"/>
        <v>0</v>
      </c>
      <c r="EH101" s="161">
        <f t="shared" si="121"/>
        <v>0</v>
      </c>
      <c r="EI101" s="161">
        <f t="shared" si="122"/>
        <v>0</v>
      </c>
      <c r="EJ101" s="161">
        <f t="shared" si="123"/>
        <v>0</v>
      </c>
      <c r="EK101" s="147">
        <f t="shared" si="53"/>
        <v>0</v>
      </c>
      <c r="EL101" s="149"/>
      <c r="EN101" s="146"/>
      <c r="EO101" s="146"/>
      <c r="EP101" s="139">
        <f t="shared" si="54"/>
        <v>0</v>
      </c>
      <c r="EQ101" s="139">
        <f t="shared" si="55"/>
        <v>0</v>
      </c>
      <c r="ER101" s="139">
        <f t="shared" si="56"/>
        <v>0</v>
      </c>
      <c r="ES101" s="139">
        <f t="shared" si="57"/>
        <v>0</v>
      </c>
      <c r="ET101" s="139">
        <f t="shared" si="58"/>
        <v>0</v>
      </c>
      <c r="EU101" s="139">
        <f t="shared" si="59"/>
        <v>0</v>
      </c>
      <c r="EV101" s="139">
        <f t="shared" si="60"/>
        <v>0</v>
      </c>
      <c r="EW101" s="139">
        <f t="shared" si="61"/>
        <v>0</v>
      </c>
      <c r="EX101" s="139">
        <f t="shared" si="62"/>
        <v>0</v>
      </c>
      <c r="EY101" s="139">
        <f t="shared" si="63"/>
        <v>0</v>
      </c>
      <c r="EZ101" s="139">
        <f t="shared" si="64"/>
        <v>0</v>
      </c>
      <c r="FA101" s="139">
        <f t="shared" si="65"/>
        <v>0</v>
      </c>
      <c r="FB101" s="139">
        <f t="shared" si="66"/>
        <v>0</v>
      </c>
      <c r="FC101" s="139">
        <f t="shared" si="67"/>
        <v>0</v>
      </c>
      <c r="FD101" s="139">
        <f t="shared" si="68"/>
        <v>0</v>
      </c>
      <c r="FE101" s="139">
        <f t="shared" si="69"/>
        <v>0</v>
      </c>
      <c r="FF101" s="139">
        <f t="shared" si="70"/>
        <v>0</v>
      </c>
      <c r="FG101" s="139">
        <f t="shared" si="71"/>
        <v>0</v>
      </c>
      <c r="FH101" s="139">
        <f t="shared" si="72"/>
        <v>0</v>
      </c>
      <c r="FI101" s="139">
        <f t="shared" si="73"/>
        <v>0</v>
      </c>
      <c r="FJ101" s="139">
        <f t="shared" si="74"/>
        <v>0</v>
      </c>
      <c r="FK101" s="139">
        <f t="shared" si="75"/>
        <v>0</v>
      </c>
      <c r="FL101" s="139">
        <f t="shared" si="76"/>
        <v>0</v>
      </c>
      <c r="FM101" s="139">
        <f t="shared" si="77"/>
        <v>0</v>
      </c>
      <c r="FN101" s="139">
        <f t="shared" si="78"/>
        <v>0</v>
      </c>
      <c r="FO101" s="139">
        <f t="shared" si="79"/>
        <v>0</v>
      </c>
      <c r="FP101" s="139">
        <f t="shared" si="80"/>
        <v>0</v>
      </c>
      <c r="FQ101" s="139">
        <f t="shared" si="81"/>
        <v>0</v>
      </c>
      <c r="FR101" s="139">
        <f t="shared" si="82"/>
        <v>0</v>
      </c>
      <c r="FS101" s="139">
        <f t="shared" si="83"/>
        <v>0</v>
      </c>
      <c r="FT101" s="139">
        <f t="shared" si="84"/>
        <v>0</v>
      </c>
      <c r="FU101" s="148">
        <f t="shared" si="85"/>
        <v>0</v>
      </c>
      <c r="FV101" s="149"/>
      <c r="FY101" s="210">
        <v>96</v>
      </c>
      <c r="FZ101">
        <v>0.31204805757459919</v>
      </c>
      <c r="GA101">
        <v>4.2402936958220572</v>
      </c>
      <c r="GB101">
        <v>1.8376376057348818</v>
      </c>
      <c r="GC101">
        <v>2.0155182678467263</v>
      </c>
      <c r="GD101">
        <v>2.1672647923891599</v>
      </c>
      <c r="GE101">
        <v>1.9060896250024524</v>
      </c>
      <c r="GF101">
        <v>1.2613862803785265</v>
      </c>
      <c r="GG101">
        <v>0.3361446578268279</v>
      </c>
      <c r="GH101">
        <v>0</v>
      </c>
      <c r="GI101">
        <v>2.2868868842571102</v>
      </c>
      <c r="GJ101"/>
      <c r="GK101"/>
      <c r="GL101"/>
      <c r="GM101"/>
    </row>
    <row r="102" spans="1:195" s="7" customFormat="1">
      <c r="A102" s="1"/>
      <c r="B102" s="76">
        <f ca="1">IF(C102="", "", RAND())</f>
        <v>0.64045875736419866</v>
      </c>
      <c r="C102">
        <v>10</v>
      </c>
      <c r="D102">
        <v>39673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9.2460317460317469</v>
      </c>
      <c r="AO102">
        <v>11.073057399153207</v>
      </c>
      <c r="AP102">
        <v>34.944041267870311</v>
      </c>
      <c r="AQ102">
        <v>35.931310806054377</v>
      </c>
      <c r="AR102">
        <v>10.271852874910211</v>
      </c>
      <c r="AS102">
        <v>58.409677254509234</v>
      </c>
      <c r="AT102" t="e">
        <v>#DIV/0!</v>
      </c>
      <c r="AU102" t="e">
        <v>#DIV/0!</v>
      </c>
      <c r="AV102"/>
      <c r="AW102"/>
      <c r="AX102" s="146"/>
      <c r="AY102" s="76">
        <f t="shared" ca="1" si="86"/>
        <v>0.54453154691366845</v>
      </c>
      <c r="AZ102">
        <v>5</v>
      </c>
      <c r="BA102" s="129">
        <f t="shared" si="125"/>
        <v>39673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 s="147"/>
      <c r="CH102" s="176"/>
      <c r="CJ102" s="146"/>
      <c r="CK102" s="76">
        <f t="shared" ca="1" si="88"/>
        <v>0.24462181835990093</v>
      </c>
      <c r="CL102" s="179">
        <f t="shared" si="89"/>
        <v>5</v>
      </c>
      <c r="CM102" s="180">
        <f t="shared" si="90"/>
        <v>39673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W102">
        <v>1</v>
      </c>
      <c r="CX102">
        <v>1</v>
      </c>
      <c r="CY102" s="164"/>
      <c r="CZ102" s="177">
        <f t="shared" si="91"/>
        <v>9.6000000000000002E-2</v>
      </c>
      <c r="DB102" s="146"/>
      <c r="DC102" s="76">
        <f t="shared" ca="1" si="49"/>
        <v>0.18351007979512879</v>
      </c>
      <c r="DD102">
        <f t="shared" si="92"/>
        <v>5</v>
      </c>
      <c r="DE102" s="129">
        <f t="shared" si="124"/>
        <v>39673</v>
      </c>
      <c r="DF102" s="161">
        <f t="shared" si="93"/>
        <v>0</v>
      </c>
      <c r="DG102" s="161">
        <f t="shared" si="94"/>
        <v>0</v>
      </c>
      <c r="DH102" s="161">
        <f t="shared" si="95"/>
        <v>0</v>
      </c>
      <c r="DI102" s="161">
        <f t="shared" si="96"/>
        <v>0</v>
      </c>
      <c r="DJ102" s="161">
        <f t="shared" si="97"/>
        <v>0</v>
      </c>
      <c r="DK102" s="161">
        <f t="shared" si="98"/>
        <v>0</v>
      </c>
      <c r="DL102" s="161">
        <f t="shared" si="99"/>
        <v>0</v>
      </c>
      <c r="DM102" s="161">
        <f t="shared" si="100"/>
        <v>0</v>
      </c>
      <c r="DN102" s="161">
        <f t="shared" si="101"/>
        <v>0</v>
      </c>
      <c r="DO102" s="161">
        <f t="shared" si="102"/>
        <v>0</v>
      </c>
      <c r="DP102" s="161">
        <f t="shared" si="103"/>
        <v>0</v>
      </c>
      <c r="DQ102" s="161">
        <f t="shared" si="104"/>
        <v>0</v>
      </c>
      <c r="DR102" s="161">
        <f t="shared" si="105"/>
        <v>0</v>
      </c>
      <c r="DS102" s="161">
        <f t="shared" si="106"/>
        <v>0</v>
      </c>
      <c r="DT102" s="161">
        <f t="shared" si="107"/>
        <v>0</v>
      </c>
      <c r="DU102" s="161">
        <f t="shared" si="108"/>
        <v>0</v>
      </c>
      <c r="DV102" s="161">
        <f t="shared" si="109"/>
        <v>0</v>
      </c>
      <c r="DW102" s="161">
        <f t="shared" si="110"/>
        <v>0</v>
      </c>
      <c r="DX102" s="161">
        <f t="shared" si="111"/>
        <v>0</v>
      </c>
      <c r="DY102" s="161">
        <f t="shared" si="112"/>
        <v>0</v>
      </c>
      <c r="DZ102" s="161">
        <f t="shared" si="113"/>
        <v>0</v>
      </c>
      <c r="EA102" s="161">
        <f t="shared" si="114"/>
        <v>0</v>
      </c>
      <c r="EB102" s="161">
        <f t="shared" si="115"/>
        <v>0</v>
      </c>
      <c r="EC102" s="161">
        <f t="shared" si="116"/>
        <v>0</v>
      </c>
      <c r="ED102" s="161">
        <f t="shared" si="117"/>
        <v>0</v>
      </c>
      <c r="EE102" s="161">
        <f t="shared" si="118"/>
        <v>0</v>
      </c>
      <c r="EF102" s="161">
        <f t="shared" si="119"/>
        <v>0</v>
      </c>
      <c r="EG102" s="161">
        <f t="shared" si="120"/>
        <v>0</v>
      </c>
      <c r="EH102" s="161">
        <f t="shared" si="121"/>
        <v>0</v>
      </c>
      <c r="EI102" s="161">
        <f t="shared" si="122"/>
        <v>0</v>
      </c>
      <c r="EJ102" s="161">
        <f t="shared" si="123"/>
        <v>0</v>
      </c>
      <c r="EK102" s="147">
        <f t="shared" si="53"/>
        <v>0</v>
      </c>
      <c r="EL102" s="149"/>
      <c r="EN102" s="146"/>
      <c r="EO102" s="146"/>
      <c r="EP102" s="139">
        <f t="shared" si="54"/>
        <v>0</v>
      </c>
      <c r="EQ102" s="139">
        <f t="shared" si="55"/>
        <v>0</v>
      </c>
      <c r="ER102" s="139">
        <f t="shared" si="56"/>
        <v>0</v>
      </c>
      <c r="ES102" s="139">
        <f t="shared" si="57"/>
        <v>0</v>
      </c>
      <c r="ET102" s="139">
        <f t="shared" si="58"/>
        <v>0</v>
      </c>
      <c r="EU102" s="139">
        <f t="shared" si="59"/>
        <v>0</v>
      </c>
      <c r="EV102" s="139">
        <f t="shared" si="60"/>
        <v>0</v>
      </c>
      <c r="EW102" s="139">
        <f t="shared" si="61"/>
        <v>0</v>
      </c>
      <c r="EX102" s="139">
        <f t="shared" si="62"/>
        <v>0</v>
      </c>
      <c r="EY102" s="139">
        <f t="shared" si="63"/>
        <v>0</v>
      </c>
      <c r="EZ102" s="139">
        <f t="shared" si="64"/>
        <v>0</v>
      </c>
      <c r="FA102" s="139">
        <f t="shared" si="65"/>
        <v>0</v>
      </c>
      <c r="FB102" s="139">
        <f t="shared" si="66"/>
        <v>0</v>
      </c>
      <c r="FC102" s="139">
        <f t="shared" si="67"/>
        <v>0</v>
      </c>
      <c r="FD102" s="139">
        <f t="shared" si="68"/>
        <v>0</v>
      </c>
      <c r="FE102" s="139">
        <f t="shared" si="69"/>
        <v>0</v>
      </c>
      <c r="FF102" s="139">
        <f t="shared" si="70"/>
        <v>0</v>
      </c>
      <c r="FG102" s="139">
        <f t="shared" si="71"/>
        <v>0</v>
      </c>
      <c r="FH102" s="139">
        <f t="shared" si="72"/>
        <v>0</v>
      </c>
      <c r="FI102" s="139">
        <f t="shared" si="73"/>
        <v>0</v>
      </c>
      <c r="FJ102" s="139">
        <f t="shared" si="74"/>
        <v>0</v>
      </c>
      <c r="FK102" s="139">
        <f t="shared" si="75"/>
        <v>0</v>
      </c>
      <c r="FL102" s="139">
        <f t="shared" si="76"/>
        <v>0</v>
      </c>
      <c r="FM102" s="139">
        <f t="shared" si="77"/>
        <v>0</v>
      </c>
      <c r="FN102" s="139">
        <f t="shared" si="78"/>
        <v>0</v>
      </c>
      <c r="FO102" s="139">
        <f t="shared" si="79"/>
        <v>0</v>
      </c>
      <c r="FP102" s="139">
        <f t="shared" si="80"/>
        <v>0</v>
      </c>
      <c r="FQ102" s="139">
        <f t="shared" si="81"/>
        <v>0</v>
      </c>
      <c r="FR102" s="139">
        <f t="shared" si="82"/>
        <v>0</v>
      </c>
      <c r="FS102" s="139">
        <f t="shared" si="83"/>
        <v>0</v>
      </c>
      <c r="FT102" s="139">
        <f t="shared" si="84"/>
        <v>0</v>
      </c>
      <c r="FU102" s="148">
        <f t="shared" si="85"/>
        <v>0</v>
      </c>
      <c r="FV102" s="149"/>
      <c r="FY102" s="210">
        <v>97</v>
      </c>
      <c r="FZ102">
        <v>0.27886497278940114</v>
      </c>
      <c r="GA102">
        <v>2.2651593838014525</v>
      </c>
      <c r="GB102">
        <v>2.0629474903169118</v>
      </c>
      <c r="GC102">
        <v>6.2605775247042601</v>
      </c>
      <c r="GD102">
        <v>4.9456771939256843</v>
      </c>
      <c r="GE102">
        <v>1.501222702895322</v>
      </c>
      <c r="GF102">
        <v>0.19016497712110106</v>
      </c>
      <c r="GG102">
        <v>1.1300765542968063</v>
      </c>
      <c r="GH102">
        <v>1.3247603501682221</v>
      </c>
      <c r="GI102">
        <v>4.4394711537796585</v>
      </c>
      <c r="GJ102"/>
      <c r="GK102"/>
      <c r="GL102"/>
      <c r="GM102"/>
    </row>
    <row r="103" spans="1:195" s="7" customFormat="1">
      <c r="A103" s="1"/>
      <c r="B103" s="76">
        <f ca="1">IF(C103="", "", RAND())</f>
        <v>0.40901082506531505</v>
      </c>
      <c r="C103">
        <v>8</v>
      </c>
      <c r="D103">
        <v>39673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5.6903426434676438</v>
      </c>
      <c r="AO103">
        <v>6.1779416885194784</v>
      </c>
      <c r="AP103">
        <v>24.238187274214376</v>
      </c>
      <c r="AQ103">
        <v>21.865783693802904</v>
      </c>
      <c r="AR103">
        <v>5.6780639905433787</v>
      </c>
      <c r="AS103">
        <v>26.790620789134142</v>
      </c>
      <c r="AT103" t="e">
        <v>#DIV/0!</v>
      </c>
      <c r="AU103" t="e">
        <v>#DIV/0!</v>
      </c>
      <c r="AV103"/>
      <c r="AW103"/>
      <c r="AX103" s="146"/>
      <c r="AY103" s="76">
        <f ca="1">IF(AZ103="", "", RAND())</f>
        <v>0.70723284334357261</v>
      </c>
      <c r="AZ103">
        <v>6</v>
      </c>
      <c r="BA103" s="129">
        <f t="shared" si="125"/>
        <v>39673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 s="147"/>
      <c r="CH103" s="176"/>
      <c r="CJ103" s="146"/>
      <c r="CK103" s="76">
        <f t="shared" ca="1" si="88"/>
        <v>0.17527705975092367</v>
      </c>
      <c r="CL103" s="179">
        <f t="shared" si="89"/>
        <v>6</v>
      </c>
      <c r="CM103" s="180">
        <f t="shared" si="90"/>
        <v>39673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 s="160"/>
      <c r="CW103">
        <v>1</v>
      </c>
      <c r="CX103">
        <v>1</v>
      </c>
      <c r="CY103" s="164"/>
      <c r="CZ103" s="177">
        <f t="shared" si="91"/>
        <v>9.6000000000000002E-2</v>
      </c>
      <c r="DB103" s="146"/>
      <c r="DC103" s="76">
        <f t="shared" ca="1" si="49"/>
        <v>0.12785226111164816</v>
      </c>
      <c r="DD103">
        <f>IF(AZ103="", "", AZ103)</f>
        <v>6</v>
      </c>
      <c r="DE103" s="129">
        <f t="shared" si="124"/>
        <v>39673</v>
      </c>
      <c r="DF103" s="161">
        <f t="shared" si="93"/>
        <v>0</v>
      </c>
      <c r="DG103" s="161">
        <f t="shared" si="94"/>
        <v>0</v>
      </c>
      <c r="DH103" s="161">
        <f t="shared" si="95"/>
        <v>0</v>
      </c>
      <c r="DI103" s="161">
        <f t="shared" si="96"/>
        <v>0</v>
      </c>
      <c r="DJ103" s="161">
        <f t="shared" si="97"/>
        <v>0</v>
      </c>
      <c r="DK103" s="161">
        <f t="shared" si="98"/>
        <v>0</v>
      </c>
      <c r="DL103" s="161">
        <f t="shared" si="99"/>
        <v>0</v>
      </c>
      <c r="DM103" s="161">
        <f t="shared" si="100"/>
        <v>0</v>
      </c>
      <c r="DN103" s="161">
        <f t="shared" si="101"/>
        <v>0</v>
      </c>
      <c r="DO103" s="161">
        <f t="shared" si="102"/>
        <v>0</v>
      </c>
      <c r="DP103" s="161">
        <f t="shared" si="103"/>
        <v>0</v>
      </c>
      <c r="DQ103" s="161">
        <f t="shared" si="104"/>
        <v>0</v>
      </c>
      <c r="DR103" s="161">
        <f t="shared" si="105"/>
        <v>0</v>
      </c>
      <c r="DS103" s="161">
        <f t="shared" si="106"/>
        <v>0</v>
      </c>
      <c r="DT103" s="161">
        <f t="shared" si="107"/>
        <v>0</v>
      </c>
      <c r="DU103" s="161">
        <f t="shared" si="108"/>
        <v>0</v>
      </c>
      <c r="DV103" s="161">
        <f t="shared" si="109"/>
        <v>0</v>
      </c>
      <c r="DW103" s="161">
        <f t="shared" si="110"/>
        <v>0</v>
      </c>
      <c r="DX103" s="161">
        <f t="shared" si="111"/>
        <v>0</v>
      </c>
      <c r="DY103" s="161">
        <f t="shared" si="112"/>
        <v>0</v>
      </c>
      <c r="DZ103" s="161">
        <f t="shared" si="113"/>
        <v>0</v>
      </c>
      <c r="EA103" s="161">
        <f t="shared" si="114"/>
        <v>0</v>
      </c>
      <c r="EB103" s="161">
        <f t="shared" si="115"/>
        <v>0</v>
      </c>
      <c r="EC103" s="161">
        <f t="shared" si="116"/>
        <v>0</v>
      </c>
      <c r="ED103" s="161">
        <f t="shared" si="117"/>
        <v>0</v>
      </c>
      <c r="EE103" s="161">
        <f t="shared" si="118"/>
        <v>0</v>
      </c>
      <c r="EF103" s="161">
        <f t="shared" si="119"/>
        <v>0</v>
      </c>
      <c r="EG103" s="161">
        <f t="shared" si="120"/>
        <v>0</v>
      </c>
      <c r="EH103" s="161">
        <f t="shared" si="121"/>
        <v>0</v>
      </c>
      <c r="EI103" s="161">
        <f t="shared" si="122"/>
        <v>0</v>
      </c>
      <c r="EJ103" s="161">
        <f t="shared" si="123"/>
        <v>0</v>
      </c>
      <c r="EK103" s="147">
        <f t="shared" si="53"/>
        <v>0</v>
      </c>
      <c r="EL103" s="149"/>
      <c r="EN103" s="146"/>
      <c r="EO103" s="146"/>
      <c r="EP103" s="139">
        <f t="shared" si="54"/>
        <v>0</v>
      </c>
      <c r="EQ103" s="139">
        <f t="shared" si="55"/>
        <v>0</v>
      </c>
      <c r="ER103" s="139">
        <f t="shared" si="56"/>
        <v>0</v>
      </c>
      <c r="ES103" s="139">
        <f t="shared" si="57"/>
        <v>0</v>
      </c>
      <c r="ET103" s="139">
        <f t="shared" si="58"/>
        <v>0</v>
      </c>
      <c r="EU103" s="139">
        <f t="shared" si="59"/>
        <v>0</v>
      </c>
      <c r="EV103" s="139">
        <f t="shared" si="60"/>
        <v>0</v>
      </c>
      <c r="EW103" s="139">
        <f t="shared" si="61"/>
        <v>0</v>
      </c>
      <c r="EX103" s="139">
        <f t="shared" si="62"/>
        <v>0</v>
      </c>
      <c r="EY103" s="139">
        <f t="shared" si="63"/>
        <v>0</v>
      </c>
      <c r="EZ103" s="139">
        <f t="shared" si="64"/>
        <v>0</v>
      </c>
      <c r="FA103" s="139">
        <f t="shared" si="65"/>
        <v>0</v>
      </c>
      <c r="FB103" s="139">
        <f t="shared" si="66"/>
        <v>0</v>
      </c>
      <c r="FC103" s="139">
        <f t="shared" si="67"/>
        <v>0</v>
      </c>
      <c r="FD103" s="139">
        <f t="shared" si="68"/>
        <v>0</v>
      </c>
      <c r="FE103" s="139">
        <f t="shared" si="69"/>
        <v>0</v>
      </c>
      <c r="FF103" s="139">
        <f t="shared" si="70"/>
        <v>0</v>
      </c>
      <c r="FG103" s="139">
        <f t="shared" si="71"/>
        <v>0</v>
      </c>
      <c r="FH103" s="139">
        <f t="shared" si="72"/>
        <v>0</v>
      </c>
      <c r="FI103" s="139">
        <f t="shared" si="73"/>
        <v>0</v>
      </c>
      <c r="FJ103" s="139">
        <f t="shared" si="74"/>
        <v>0</v>
      </c>
      <c r="FK103" s="139">
        <f t="shared" si="75"/>
        <v>0</v>
      </c>
      <c r="FL103" s="139">
        <f t="shared" si="76"/>
        <v>0</v>
      </c>
      <c r="FM103" s="139">
        <f t="shared" si="77"/>
        <v>0</v>
      </c>
      <c r="FN103" s="139">
        <f t="shared" si="78"/>
        <v>0</v>
      </c>
      <c r="FO103" s="139">
        <f t="shared" si="79"/>
        <v>0</v>
      </c>
      <c r="FP103" s="139">
        <f t="shared" si="80"/>
        <v>0</v>
      </c>
      <c r="FQ103" s="139">
        <f t="shared" si="81"/>
        <v>0</v>
      </c>
      <c r="FR103" s="139">
        <f t="shared" si="82"/>
        <v>0</v>
      </c>
      <c r="FS103" s="139">
        <f t="shared" si="83"/>
        <v>0</v>
      </c>
      <c r="FT103" s="139">
        <f t="shared" si="84"/>
        <v>0</v>
      </c>
      <c r="FU103" s="148">
        <f t="shared" si="85"/>
        <v>0</v>
      </c>
      <c r="FV103" s="149"/>
      <c r="FY103" s="210">
        <v>98</v>
      </c>
      <c r="FZ103">
        <v>6.6366169570396066E-2</v>
      </c>
      <c r="GA103">
        <v>3.4694175880717637</v>
      </c>
      <c r="GB103">
        <v>2.7781979318361856</v>
      </c>
      <c r="GC103">
        <v>2.2481811196968442</v>
      </c>
      <c r="GD103">
        <v>1.9503196711002058</v>
      </c>
      <c r="GE103">
        <v>1.9711695710288715</v>
      </c>
      <c r="GF103">
        <v>1.2613862803785265</v>
      </c>
      <c r="GG103">
        <v>0.81714677051852402</v>
      </c>
      <c r="GH103">
        <v>0.66238017508411107</v>
      </c>
      <c r="GI103">
        <v>2.5461458144790092</v>
      </c>
      <c r="GJ103"/>
      <c r="GK103"/>
      <c r="GL103"/>
      <c r="GM103"/>
    </row>
    <row r="104" spans="1:195" s="7" customFormat="1">
      <c r="A104" s="1"/>
      <c r="B104" s="76">
        <f ca="1">IF(C104="", "", RAND())</f>
        <v>0.11791346693752747</v>
      </c>
      <c r="C104">
        <v>4</v>
      </c>
      <c r="D104">
        <v>39673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8.2609508547008552</v>
      </c>
      <c r="AO104">
        <v>11.362341781964194</v>
      </c>
      <c r="AP104">
        <v>29.213765795843994</v>
      </c>
      <c r="AQ104">
        <v>32.755900221439575</v>
      </c>
      <c r="AR104">
        <v>10.540205734660663</v>
      </c>
      <c r="AS104">
        <v>57.911462465028251</v>
      </c>
      <c r="AT104" t="e">
        <v>#DIV/0!</v>
      </c>
      <c r="AU104" t="e">
        <v>#DIV/0!</v>
      </c>
      <c r="AV104"/>
      <c r="AW104"/>
      <c r="AX104" s="146"/>
      <c r="AY104" s="76">
        <f ca="1">IF(AZ104="", "", RAND())</f>
        <v>0.94686900215516911</v>
      </c>
      <c r="AZ104">
        <v>7</v>
      </c>
      <c r="BA104" s="129">
        <f t="shared" si="125"/>
        <v>39673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 s="147"/>
      <c r="CH104" s="176"/>
      <c r="CJ104" s="146"/>
      <c r="CK104" s="76">
        <f t="shared" ca="1" si="88"/>
        <v>9.4223053245638955E-2</v>
      </c>
      <c r="CL104" s="179">
        <f t="shared" si="89"/>
        <v>7</v>
      </c>
      <c r="CM104" s="180">
        <f t="shared" si="90"/>
        <v>39673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 s="160"/>
      <c r="CW104">
        <v>1</v>
      </c>
      <c r="CX104">
        <v>1</v>
      </c>
      <c r="CY104" s="164"/>
      <c r="CZ104" s="177">
        <f t="shared" si="91"/>
        <v>9.6000000000000002E-2</v>
      </c>
      <c r="DB104" s="146"/>
      <c r="DC104" s="76">
        <f t="shared" ca="1" si="49"/>
        <v>0.21941387273449875</v>
      </c>
      <c r="DD104">
        <f>IF(AZ104="", "", AZ104)</f>
        <v>7</v>
      </c>
      <c r="DE104" s="129">
        <f t="shared" si="124"/>
        <v>39673</v>
      </c>
      <c r="DF104" s="161">
        <f t="shared" si="93"/>
        <v>0</v>
      </c>
      <c r="DG104" s="161">
        <f t="shared" si="94"/>
        <v>0</v>
      </c>
      <c r="DH104" s="161">
        <f t="shared" si="95"/>
        <v>0</v>
      </c>
      <c r="DI104" s="161">
        <f t="shared" si="96"/>
        <v>0</v>
      </c>
      <c r="DJ104" s="161">
        <f t="shared" si="97"/>
        <v>0</v>
      </c>
      <c r="DK104" s="161">
        <f t="shared" si="98"/>
        <v>0</v>
      </c>
      <c r="DL104" s="161">
        <f t="shared" si="99"/>
        <v>0</v>
      </c>
      <c r="DM104" s="161">
        <f t="shared" si="100"/>
        <v>0</v>
      </c>
      <c r="DN104" s="161">
        <f t="shared" si="101"/>
        <v>0</v>
      </c>
      <c r="DO104" s="161">
        <f t="shared" si="102"/>
        <v>0</v>
      </c>
      <c r="DP104" s="161">
        <f t="shared" si="103"/>
        <v>0</v>
      </c>
      <c r="DQ104" s="161">
        <f t="shared" si="104"/>
        <v>0</v>
      </c>
      <c r="DR104" s="161">
        <f t="shared" si="105"/>
        <v>0</v>
      </c>
      <c r="DS104" s="161">
        <f t="shared" si="106"/>
        <v>0</v>
      </c>
      <c r="DT104" s="161">
        <f t="shared" si="107"/>
        <v>0</v>
      </c>
      <c r="DU104" s="161">
        <f t="shared" si="108"/>
        <v>0</v>
      </c>
      <c r="DV104" s="161">
        <f t="shared" si="109"/>
        <v>0</v>
      </c>
      <c r="DW104" s="161">
        <f t="shared" si="110"/>
        <v>0</v>
      </c>
      <c r="DX104" s="161">
        <f t="shared" si="111"/>
        <v>0</v>
      </c>
      <c r="DY104" s="161">
        <f t="shared" si="112"/>
        <v>0</v>
      </c>
      <c r="DZ104" s="161">
        <f t="shared" si="113"/>
        <v>0</v>
      </c>
      <c r="EA104" s="161">
        <f t="shared" si="114"/>
        <v>0</v>
      </c>
      <c r="EB104" s="161">
        <f t="shared" si="115"/>
        <v>0</v>
      </c>
      <c r="EC104" s="161">
        <f t="shared" si="116"/>
        <v>0</v>
      </c>
      <c r="ED104" s="161">
        <f t="shared" si="117"/>
        <v>0</v>
      </c>
      <c r="EE104" s="161">
        <f t="shared" si="118"/>
        <v>0</v>
      </c>
      <c r="EF104" s="161">
        <f t="shared" si="119"/>
        <v>0</v>
      </c>
      <c r="EG104" s="161">
        <f t="shared" si="120"/>
        <v>0</v>
      </c>
      <c r="EH104" s="161">
        <f t="shared" si="121"/>
        <v>0</v>
      </c>
      <c r="EI104" s="161">
        <f t="shared" si="122"/>
        <v>0</v>
      </c>
      <c r="EJ104" s="161">
        <f t="shared" si="123"/>
        <v>0</v>
      </c>
      <c r="EK104" s="147">
        <f t="shared" si="53"/>
        <v>0</v>
      </c>
      <c r="EL104" s="149"/>
      <c r="EN104" s="146"/>
      <c r="EO104" s="146"/>
      <c r="EP104" s="139">
        <f t="shared" si="54"/>
        <v>0</v>
      </c>
      <c r="EQ104" s="139">
        <f t="shared" si="55"/>
        <v>0</v>
      </c>
      <c r="ER104" s="139">
        <f t="shared" si="56"/>
        <v>0</v>
      </c>
      <c r="ES104" s="139">
        <f t="shared" si="57"/>
        <v>0</v>
      </c>
      <c r="ET104" s="139">
        <f t="shared" si="58"/>
        <v>0</v>
      </c>
      <c r="EU104" s="139">
        <f t="shared" si="59"/>
        <v>0</v>
      </c>
      <c r="EV104" s="139">
        <f t="shared" si="60"/>
        <v>0</v>
      </c>
      <c r="EW104" s="139">
        <f t="shared" si="61"/>
        <v>0</v>
      </c>
      <c r="EX104" s="139">
        <f t="shared" si="62"/>
        <v>0</v>
      </c>
      <c r="EY104" s="139">
        <f t="shared" si="63"/>
        <v>0</v>
      </c>
      <c r="EZ104" s="139">
        <f t="shared" si="64"/>
        <v>0</v>
      </c>
      <c r="FA104" s="139">
        <f t="shared" si="65"/>
        <v>0</v>
      </c>
      <c r="FB104" s="139">
        <f t="shared" si="66"/>
        <v>0</v>
      </c>
      <c r="FC104" s="139">
        <f t="shared" si="67"/>
        <v>0</v>
      </c>
      <c r="FD104" s="139">
        <f t="shared" si="68"/>
        <v>0</v>
      </c>
      <c r="FE104" s="139">
        <f t="shared" si="69"/>
        <v>0</v>
      </c>
      <c r="FF104" s="139">
        <f t="shared" si="70"/>
        <v>0</v>
      </c>
      <c r="FG104" s="139">
        <f t="shared" si="71"/>
        <v>0</v>
      </c>
      <c r="FH104" s="139">
        <f t="shared" si="72"/>
        <v>0</v>
      </c>
      <c r="FI104" s="139">
        <f t="shared" si="73"/>
        <v>0</v>
      </c>
      <c r="FJ104" s="139">
        <f t="shared" si="74"/>
        <v>0</v>
      </c>
      <c r="FK104" s="139">
        <f t="shared" si="75"/>
        <v>0</v>
      </c>
      <c r="FL104" s="139">
        <f t="shared" si="76"/>
        <v>0</v>
      </c>
      <c r="FM104" s="139">
        <f t="shared" si="77"/>
        <v>0</v>
      </c>
      <c r="FN104" s="139">
        <f t="shared" si="78"/>
        <v>0</v>
      </c>
      <c r="FO104" s="139">
        <f t="shared" si="79"/>
        <v>0</v>
      </c>
      <c r="FP104" s="139">
        <f t="shared" si="80"/>
        <v>0</v>
      </c>
      <c r="FQ104" s="139">
        <f t="shared" si="81"/>
        <v>0</v>
      </c>
      <c r="FR104" s="139">
        <f t="shared" si="82"/>
        <v>0</v>
      </c>
      <c r="FS104" s="139">
        <f t="shared" si="83"/>
        <v>0</v>
      </c>
      <c r="FT104" s="139">
        <f t="shared" si="84"/>
        <v>0</v>
      </c>
      <c r="FU104" s="148">
        <f t="shared" si="85"/>
        <v>0</v>
      </c>
      <c r="FV104" s="149"/>
      <c r="FY104" s="210">
        <v>99</v>
      </c>
      <c r="FZ104">
        <v>0.2456818880042031</v>
      </c>
      <c r="GA104">
        <v>2.2259170751347761</v>
      </c>
      <c r="GB104">
        <v>0.91881880286744089</v>
      </c>
      <c r="GC104">
        <v>10.49164765656151</v>
      </c>
      <c r="GD104">
        <v>8.4951099550942057</v>
      </c>
      <c r="GE104">
        <v>1.501222702895322</v>
      </c>
      <c r="GF104">
        <v>0.38032995424220212</v>
      </c>
      <c r="GG104">
        <v>1.7791509959019165</v>
      </c>
      <c r="GH104">
        <v>1.9871405252523333</v>
      </c>
      <c r="GI104">
        <v>6.7107360363862822</v>
      </c>
      <c r="GJ104"/>
      <c r="GK104"/>
      <c r="GL104"/>
      <c r="GM104"/>
    </row>
    <row r="105" spans="1:195" s="7" customFormat="1">
      <c r="A105" s="1"/>
      <c r="B105" s="76">
        <f ca="1">IF(C105="", "", RAND())</f>
        <v>1.7786863071076908E-2</v>
      </c>
      <c r="C105">
        <v>9</v>
      </c>
      <c r="D105">
        <v>39673</v>
      </c>
      <c r="E105">
        <v>0</v>
      </c>
      <c r="F105">
        <v>0</v>
      </c>
      <c r="G105">
        <v>10.416666666666666</v>
      </c>
      <c r="H105">
        <v>20.833333333333332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6.8311393467643455</v>
      </c>
      <c r="AO105">
        <v>6.028941151368497</v>
      </c>
      <c r="AP105">
        <v>34.939171044155991</v>
      </c>
      <c r="AQ105">
        <v>26.309264351751555</v>
      </c>
      <c r="AR105">
        <v>5.4341141291533877</v>
      </c>
      <c r="AS105">
        <v>22.823285674709098</v>
      </c>
      <c r="AT105" t="e">
        <v>#DIV/0!</v>
      </c>
      <c r="AU105" t="e">
        <v>#DIV/0!</v>
      </c>
      <c r="AV105"/>
      <c r="AW105"/>
      <c r="AX105" s="146"/>
      <c r="AY105" s="76">
        <f ca="1">IF(AZ105="", "", RAND())</f>
        <v>0.67008751341315609</v>
      </c>
      <c r="AZ105">
        <v>8</v>
      </c>
      <c r="BA105" s="129">
        <f t="shared" si="125"/>
        <v>39673</v>
      </c>
      <c r="BB105">
        <v>0</v>
      </c>
      <c r="BC105" s="215">
        <v>0</v>
      </c>
      <c r="BD105" s="215">
        <v>0</v>
      </c>
      <c r="BE105" s="215">
        <v>0</v>
      </c>
      <c r="BF105" s="215">
        <v>0</v>
      </c>
      <c r="BG105" s="215">
        <v>0</v>
      </c>
      <c r="BH105" s="21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 s="147"/>
      <c r="CH105" s="176"/>
      <c r="CJ105" s="146"/>
      <c r="CK105" s="76">
        <f t="shared" ca="1" si="88"/>
        <v>0.26228081053574082</v>
      </c>
      <c r="CL105" s="179">
        <f t="shared" si="89"/>
        <v>8</v>
      </c>
      <c r="CM105" s="180">
        <f t="shared" si="90"/>
        <v>39673</v>
      </c>
      <c r="CN105" s="223">
        <v>0</v>
      </c>
      <c r="CO105" s="223">
        <v>0</v>
      </c>
      <c r="CP105" s="223">
        <v>0</v>
      </c>
      <c r="CQ105" s="223">
        <v>0</v>
      </c>
      <c r="CR105" s="223">
        <v>0</v>
      </c>
      <c r="CS105" s="223">
        <v>0</v>
      </c>
      <c r="CT105">
        <v>0</v>
      </c>
      <c r="CU105">
        <v>0</v>
      </c>
      <c r="CV105" s="160"/>
      <c r="CW105">
        <v>1</v>
      </c>
      <c r="CX105">
        <v>2</v>
      </c>
      <c r="CY105" s="164"/>
      <c r="CZ105" s="177">
        <f t="shared" si="91"/>
        <v>9.6000000000000002E-2</v>
      </c>
      <c r="DB105" s="146"/>
      <c r="DC105" s="76">
        <f t="shared" ca="1" si="49"/>
        <v>0.502752203270318</v>
      </c>
      <c r="DD105">
        <f>IF(AZ105="", "", AZ105)</f>
        <v>8</v>
      </c>
      <c r="DE105" s="129">
        <f t="shared" si="124"/>
        <v>39673</v>
      </c>
      <c r="DF105" s="161">
        <f t="shared" si="93"/>
        <v>0</v>
      </c>
      <c r="DG105" s="161">
        <f t="shared" si="94"/>
        <v>0</v>
      </c>
      <c r="DH105" s="161">
        <f t="shared" si="95"/>
        <v>0</v>
      </c>
      <c r="DI105" s="161">
        <f t="shared" si="96"/>
        <v>0</v>
      </c>
      <c r="DJ105" s="161">
        <f t="shared" si="97"/>
        <v>0</v>
      </c>
      <c r="DK105" s="161">
        <f t="shared" si="98"/>
        <v>0</v>
      </c>
      <c r="DL105" s="161">
        <f t="shared" si="99"/>
        <v>0</v>
      </c>
      <c r="DM105" s="161">
        <f t="shared" si="100"/>
        <v>0</v>
      </c>
      <c r="DN105" s="161">
        <f t="shared" si="101"/>
        <v>0</v>
      </c>
      <c r="DO105" s="161">
        <f t="shared" si="102"/>
        <v>0</v>
      </c>
      <c r="DP105" s="161">
        <f t="shared" si="103"/>
        <v>0</v>
      </c>
      <c r="DQ105" s="161">
        <f t="shared" si="104"/>
        <v>0</v>
      </c>
      <c r="DR105" s="161">
        <f t="shared" si="105"/>
        <v>0</v>
      </c>
      <c r="DS105" s="161">
        <f t="shared" si="106"/>
        <v>0</v>
      </c>
      <c r="DT105" s="161">
        <f t="shared" si="107"/>
        <v>0</v>
      </c>
      <c r="DU105" s="161">
        <f t="shared" si="108"/>
        <v>0</v>
      </c>
      <c r="DV105" s="161">
        <f t="shared" si="109"/>
        <v>0</v>
      </c>
      <c r="DW105" s="161">
        <f t="shared" si="110"/>
        <v>0</v>
      </c>
      <c r="DX105" s="161">
        <f t="shared" si="111"/>
        <v>0</v>
      </c>
      <c r="DY105" s="161">
        <f t="shared" si="112"/>
        <v>0</v>
      </c>
      <c r="DZ105" s="161">
        <f t="shared" si="113"/>
        <v>0</v>
      </c>
      <c r="EA105" s="161">
        <f t="shared" si="114"/>
        <v>0</v>
      </c>
      <c r="EB105" s="161">
        <f t="shared" si="115"/>
        <v>0</v>
      </c>
      <c r="EC105" s="161">
        <f t="shared" si="116"/>
        <v>0</v>
      </c>
      <c r="ED105" s="161">
        <f t="shared" si="117"/>
        <v>0</v>
      </c>
      <c r="EE105" s="161">
        <f t="shared" si="118"/>
        <v>0</v>
      </c>
      <c r="EF105" s="161">
        <f t="shared" si="119"/>
        <v>0</v>
      </c>
      <c r="EG105" s="161">
        <f t="shared" si="120"/>
        <v>0</v>
      </c>
      <c r="EH105" s="161">
        <f t="shared" si="121"/>
        <v>0</v>
      </c>
      <c r="EI105" s="161">
        <f t="shared" si="122"/>
        <v>0</v>
      </c>
      <c r="EJ105" s="161">
        <f t="shared" si="123"/>
        <v>0</v>
      </c>
      <c r="EK105" s="147">
        <f t="shared" si="53"/>
        <v>0</v>
      </c>
      <c r="EL105" s="149"/>
      <c r="EN105" s="146"/>
      <c r="EO105" s="146"/>
      <c r="EP105" s="139">
        <f t="shared" si="54"/>
        <v>0</v>
      </c>
      <c r="EQ105" s="139">
        <f t="shared" si="55"/>
        <v>0</v>
      </c>
      <c r="ER105" s="139">
        <f t="shared" si="56"/>
        <v>0</v>
      </c>
      <c r="ES105" s="139">
        <f t="shared" si="57"/>
        <v>0</v>
      </c>
      <c r="ET105" s="139">
        <f t="shared" si="58"/>
        <v>0</v>
      </c>
      <c r="EU105" s="139">
        <f t="shared" si="59"/>
        <v>0</v>
      </c>
      <c r="EV105" s="139">
        <f t="shared" si="60"/>
        <v>0</v>
      </c>
      <c r="EW105" s="139">
        <f t="shared" si="61"/>
        <v>0</v>
      </c>
      <c r="EX105" s="139">
        <f t="shared" si="62"/>
        <v>0</v>
      </c>
      <c r="EY105" s="139">
        <f t="shared" si="63"/>
        <v>0</v>
      </c>
      <c r="EZ105" s="139">
        <f t="shared" si="64"/>
        <v>0</v>
      </c>
      <c r="FA105" s="139">
        <f t="shared" si="65"/>
        <v>0</v>
      </c>
      <c r="FB105" s="139">
        <f t="shared" si="66"/>
        <v>0</v>
      </c>
      <c r="FC105" s="139">
        <f t="shared" si="67"/>
        <v>0</v>
      </c>
      <c r="FD105" s="139">
        <f t="shared" si="68"/>
        <v>0</v>
      </c>
      <c r="FE105" s="139">
        <f t="shared" si="69"/>
        <v>0</v>
      </c>
      <c r="FF105" s="139">
        <f t="shared" si="70"/>
        <v>0</v>
      </c>
      <c r="FG105" s="139">
        <f t="shared" si="71"/>
        <v>0</v>
      </c>
      <c r="FH105" s="139">
        <f t="shared" si="72"/>
        <v>0</v>
      </c>
      <c r="FI105" s="139">
        <f t="shared" si="73"/>
        <v>0</v>
      </c>
      <c r="FJ105" s="139">
        <f t="shared" si="74"/>
        <v>0</v>
      </c>
      <c r="FK105" s="139">
        <f t="shared" si="75"/>
        <v>0</v>
      </c>
      <c r="FL105" s="139">
        <f t="shared" si="76"/>
        <v>0</v>
      </c>
      <c r="FM105" s="139">
        <f t="shared" si="77"/>
        <v>0</v>
      </c>
      <c r="FN105" s="139">
        <f t="shared" si="78"/>
        <v>0</v>
      </c>
      <c r="FO105" s="139">
        <f t="shared" si="79"/>
        <v>0</v>
      </c>
      <c r="FP105" s="139">
        <f t="shared" si="80"/>
        <v>0</v>
      </c>
      <c r="FQ105" s="139">
        <f t="shared" si="81"/>
        <v>0</v>
      </c>
      <c r="FR105" s="139">
        <f t="shared" si="82"/>
        <v>0</v>
      </c>
      <c r="FS105" s="139">
        <f t="shared" si="83"/>
        <v>0</v>
      </c>
      <c r="FT105" s="139">
        <f t="shared" si="84"/>
        <v>0</v>
      </c>
      <c r="FU105" s="148">
        <f t="shared" si="85"/>
        <v>0</v>
      </c>
      <c r="FV105" s="149"/>
      <c r="FY105" s="210">
        <v>100</v>
      </c>
      <c r="FZ105">
        <v>3.3183084785198033E-2</v>
      </c>
      <c r="GA105">
        <v>2.7078334182775703</v>
      </c>
      <c r="GB105">
        <v>1.8615526036705785</v>
      </c>
      <c r="GC105">
        <v>8.0295778031978902</v>
      </c>
      <c r="GD105">
        <v>6.3888161467591766</v>
      </c>
      <c r="GE105">
        <v>1.2897128783094598</v>
      </c>
      <c r="GF105">
        <v>0.19016497712110106</v>
      </c>
      <c r="GG105">
        <v>0.64907444160511019</v>
      </c>
      <c r="GH105">
        <v>0.66238017508411107</v>
      </c>
      <c r="GI105">
        <v>5.1177224143937767</v>
      </c>
      <c r="GJ105"/>
      <c r="GK105"/>
      <c r="GL105"/>
      <c r="GM105"/>
    </row>
    <row r="106" spans="1:195" s="7" customFormat="1">
      <c r="A106" s="1"/>
      <c r="B106" s="76">
        <f ca="1">IF(C106="", "", RAND())</f>
        <v>0.16571048208296002</v>
      </c>
      <c r="C106">
        <v>1</v>
      </c>
      <c r="D106">
        <v>39673</v>
      </c>
      <c r="E106">
        <v>0</v>
      </c>
      <c r="F106">
        <v>0</v>
      </c>
      <c r="G106">
        <v>10.416666666666666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8.9276556776556752</v>
      </c>
      <c r="AO106">
        <v>7.8059874080479874</v>
      </c>
      <c r="AP106">
        <v>25.302233945250009</v>
      </c>
      <c r="AQ106">
        <v>26.889054344579094</v>
      </c>
      <c r="AR106">
        <v>7.241175703198504</v>
      </c>
      <c r="AS106">
        <v>36.957215077649096</v>
      </c>
      <c r="AT106" t="e">
        <v>#DIV/0!</v>
      </c>
      <c r="AU106" t="e">
        <v>#DIV/0!</v>
      </c>
      <c r="AV106"/>
      <c r="AW106"/>
      <c r="AX106" s="146"/>
      <c r="AY106" s="76">
        <f t="shared" ca="1" si="86"/>
        <v>0.47838109050772837</v>
      </c>
      <c r="AZ106">
        <v>9</v>
      </c>
      <c r="BA106" s="129">
        <f t="shared" si="125"/>
        <v>39673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 s="147"/>
      <c r="CH106" s="176"/>
      <c r="CJ106" s="146"/>
      <c r="CK106" s="76">
        <f t="shared" ca="1" si="88"/>
        <v>6.4706345078795469E-3</v>
      </c>
      <c r="CL106" s="179">
        <f t="shared" si="89"/>
        <v>9</v>
      </c>
      <c r="CM106" s="180">
        <f t="shared" si="90"/>
        <v>39673</v>
      </c>
      <c r="CN106">
        <v>0</v>
      </c>
      <c r="CO106">
        <v>0</v>
      </c>
      <c r="CP106">
        <v>1</v>
      </c>
      <c r="CQ106">
        <v>2</v>
      </c>
      <c r="CR106">
        <v>0</v>
      </c>
      <c r="CS106">
        <v>0</v>
      </c>
      <c r="CT106">
        <v>0</v>
      </c>
      <c r="CU106">
        <v>0</v>
      </c>
      <c r="CV106" s="160"/>
      <c r="CW106">
        <v>1</v>
      </c>
      <c r="CX106">
        <v>1</v>
      </c>
      <c r="CY106" s="164"/>
      <c r="CZ106" s="177">
        <f t="shared" si="91"/>
        <v>9.6000000000000002E-2</v>
      </c>
      <c r="DB106" s="146"/>
      <c r="DC106" s="76">
        <f t="shared" ca="1" si="49"/>
        <v>0.32560142744976139</v>
      </c>
      <c r="DD106">
        <f t="shared" si="92"/>
        <v>9</v>
      </c>
      <c r="DE106" s="129">
        <f t="shared" si="124"/>
        <v>39673</v>
      </c>
      <c r="DF106" s="161">
        <f t="shared" si="93"/>
        <v>0</v>
      </c>
      <c r="DG106" s="161">
        <f t="shared" si="94"/>
        <v>0</v>
      </c>
      <c r="DH106" s="161">
        <f t="shared" si="95"/>
        <v>10.416666666666666</v>
      </c>
      <c r="DI106" s="161">
        <f t="shared" si="96"/>
        <v>20.833333333333332</v>
      </c>
      <c r="DJ106" s="161">
        <f t="shared" si="97"/>
        <v>0</v>
      </c>
      <c r="DK106" s="161">
        <f t="shared" si="98"/>
        <v>0</v>
      </c>
      <c r="DL106" s="161">
        <f t="shared" si="99"/>
        <v>0</v>
      </c>
      <c r="DM106" s="161">
        <f t="shared" si="100"/>
        <v>0</v>
      </c>
      <c r="DN106" s="161">
        <f t="shared" si="101"/>
        <v>0</v>
      </c>
      <c r="DO106" s="161">
        <f t="shared" si="102"/>
        <v>0</v>
      </c>
      <c r="DP106" s="161">
        <f t="shared" si="103"/>
        <v>0</v>
      </c>
      <c r="DQ106" s="161">
        <f t="shared" si="104"/>
        <v>0</v>
      </c>
      <c r="DR106" s="161">
        <f t="shared" si="105"/>
        <v>0</v>
      </c>
      <c r="DS106" s="161">
        <f t="shared" si="106"/>
        <v>0</v>
      </c>
      <c r="DT106" s="161">
        <f t="shared" si="107"/>
        <v>0</v>
      </c>
      <c r="DU106" s="161">
        <f t="shared" si="108"/>
        <v>0</v>
      </c>
      <c r="DV106" s="161">
        <f t="shared" si="109"/>
        <v>0</v>
      </c>
      <c r="DW106" s="161">
        <f t="shared" si="110"/>
        <v>0</v>
      </c>
      <c r="DX106" s="161">
        <f t="shared" si="111"/>
        <v>0</v>
      </c>
      <c r="DY106" s="161">
        <f t="shared" si="112"/>
        <v>0</v>
      </c>
      <c r="DZ106" s="161">
        <f t="shared" si="113"/>
        <v>0</v>
      </c>
      <c r="EA106" s="161">
        <f t="shared" si="114"/>
        <v>0</v>
      </c>
      <c r="EB106" s="161">
        <f t="shared" si="115"/>
        <v>0</v>
      </c>
      <c r="EC106" s="161">
        <f t="shared" si="116"/>
        <v>0</v>
      </c>
      <c r="ED106" s="161">
        <f t="shared" si="117"/>
        <v>0</v>
      </c>
      <c r="EE106" s="161">
        <f t="shared" si="118"/>
        <v>0</v>
      </c>
      <c r="EF106" s="161">
        <f t="shared" si="119"/>
        <v>0</v>
      </c>
      <c r="EG106" s="161">
        <f t="shared" si="120"/>
        <v>0</v>
      </c>
      <c r="EH106" s="161">
        <f t="shared" si="121"/>
        <v>0</v>
      </c>
      <c r="EI106" s="161">
        <f t="shared" si="122"/>
        <v>0</v>
      </c>
      <c r="EJ106" s="161">
        <f t="shared" si="123"/>
        <v>0</v>
      </c>
      <c r="EK106" s="147">
        <f t="shared" si="53"/>
        <v>31.25</v>
      </c>
      <c r="EL106" s="149"/>
      <c r="EN106" s="146"/>
      <c r="EO106" s="146"/>
      <c r="EP106" s="139">
        <f t="shared" si="54"/>
        <v>0</v>
      </c>
      <c r="EQ106" s="139">
        <f t="shared" si="55"/>
        <v>0</v>
      </c>
      <c r="ER106" s="139">
        <f t="shared" si="56"/>
        <v>0.66257965743697111</v>
      </c>
      <c r="ES106" s="139">
        <f t="shared" si="57"/>
        <v>4.2738536828426801</v>
      </c>
      <c r="ET106" s="139">
        <f t="shared" si="58"/>
        <v>0</v>
      </c>
      <c r="EU106" s="139">
        <f t="shared" si="59"/>
        <v>0</v>
      </c>
      <c r="EV106" s="139">
        <f t="shared" si="60"/>
        <v>0</v>
      </c>
      <c r="EW106" s="139">
        <f t="shared" si="61"/>
        <v>0</v>
      </c>
      <c r="EX106" s="139">
        <f t="shared" si="62"/>
        <v>0</v>
      </c>
      <c r="EY106" s="139">
        <f t="shared" si="63"/>
        <v>0</v>
      </c>
      <c r="EZ106" s="139">
        <f t="shared" si="64"/>
        <v>0</v>
      </c>
      <c r="FA106" s="139">
        <f t="shared" si="65"/>
        <v>0</v>
      </c>
      <c r="FB106" s="139">
        <f t="shared" si="66"/>
        <v>0</v>
      </c>
      <c r="FC106" s="139">
        <f t="shared" si="67"/>
        <v>0</v>
      </c>
      <c r="FD106" s="139">
        <f t="shared" si="68"/>
        <v>0</v>
      </c>
      <c r="FE106" s="139">
        <f t="shared" si="69"/>
        <v>0</v>
      </c>
      <c r="FF106" s="139">
        <f t="shared" si="70"/>
        <v>0</v>
      </c>
      <c r="FG106" s="139">
        <f t="shared" si="71"/>
        <v>0</v>
      </c>
      <c r="FH106" s="139">
        <f t="shared" si="72"/>
        <v>0</v>
      </c>
      <c r="FI106" s="139">
        <f t="shared" si="73"/>
        <v>0</v>
      </c>
      <c r="FJ106" s="139">
        <f t="shared" si="74"/>
        <v>0</v>
      </c>
      <c r="FK106" s="139">
        <f t="shared" si="75"/>
        <v>0</v>
      </c>
      <c r="FL106" s="139">
        <f t="shared" si="76"/>
        <v>0</v>
      </c>
      <c r="FM106" s="139">
        <f t="shared" si="77"/>
        <v>0</v>
      </c>
      <c r="FN106" s="139">
        <f t="shared" si="78"/>
        <v>0</v>
      </c>
      <c r="FO106" s="139">
        <f t="shared" si="79"/>
        <v>0</v>
      </c>
      <c r="FP106" s="139">
        <f t="shared" si="80"/>
        <v>0</v>
      </c>
      <c r="FQ106" s="139">
        <f t="shared" si="81"/>
        <v>0</v>
      </c>
      <c r="FR106" s="139">
        <f t="shared" si="82"/>
        <v>0</v>
      </c>
      <c r="FS106" s="139">
        <f t="shared" si="83"/>
        <v>0</v>
      </c>
      <c r="FT106" s="139">
        <f t="shared" si="84"/>
        <v>0</v>
      </c>
      <c r="FU106" s="148">
        <f t="shared" si="85"/>
        <v>4.9364333402796507</v>
      </c>
      <c r="FV106" s="149"/>
      <c r="FY106" s="210">
        <v>101</v>
      </c>
      <c r="FZ106">
        <v>6.6366169570396066E-2</v>
      </c>
      <c r="GA106">
        <v>1.302392004689213</v>
      </c>
      <c r="GB106">
        <v>1.1723906347888362</v>
      </c>
      <c r="GC106">
        <v>3.5924208712463948</v>
      </c>
      <c r="GD106">
        <v>3.1515217125764856</v>
      </c>
      <c r="GE106">
        <v>1.8691657077015624</v>
      </c>
      <c r="GF106">
        <v>1.2613862803785265</v>
      </c>
      <c r="GG106">
        <v>0.3361446578268279</v>
      </c>
      <c r="GH106">
        <v>0</v>
      </c>
      <c r="GI106">
        <v>2.6403881108375096</v>
      </c>
      <c r="GJ106"/>
      <c r="GK106"/>
      <c r="GL106"/>
      <c r="GM106"/>
    </row>
    <row r="107" spans="1:195" s="7" customFormat="1">
      <c r="A107" s="1"/>
      <c r="B107" s="76">
        <f ca="1">IF(C107="", "", RAND())</f>
        <v>0.79658775040613072</v>
      </c>
      <c r="C107">
        <v>6</v>
      </c>
      <c r="D107">
        <v>39673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10.091556013431012</v>
      </c>
      <c r="AO107">
        <v>10.942825551593879</v>
      </c>
      <c r="AP107">
        <v>42.806053057838973</v>
      </c>
      <c r="AQ107">
        <v>39.593608872599034</v>
      </c>
      <c r="AR107">
        <v>10.098178891354513</v>
      </c>
      <c r="AS107">
        <v>63.611178179212601</v>
      </c>
      <c r="AT107" t="e">
        <v>#DIV/0!</v>
      </c>
      <c r="AU107" t="e">
        <v>#DIV/0!</v>
      </c>
      <c r="AV107"/>
      <c r="AW107"/>
      <c r="AX107" s="146"/>
      <c r="AY107" s="76">
        <f t="shared" ca="1" si="86"/>
        <v>0.15050831830393019</v>
      </c>
      <c r="AZ107">
        <v>10</v>
      </c>
      <c r="BA107" s="129">
        <f t="shared" si="125"/>
        <v>39673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 s="147"/>
      <c r="CH107" s="176"/>
      <c r="CJ107" s="146"/>
      <c r="CK107" s="76">
        <f t="shared" ca="1" si="88"/>
        <v>9.9923613444161008E-2</v>
      </c>
      <c r="CL107" s="179">
        <f t="shared" si="89"/>
        <v>10</v>
      </c>
      <c r="CM107" s="180">
        <f t="shared" si="90"/>
        <v>39673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 s="160"/>
      <c r="CW107">
        <f>18/10</f>
        <v>1.8</v>
      </c>
      <c r="CX107">
        <f>100/7</f>
        <v>14.285714285714286</v>
      </c>
      <c r="CY107" s="164"/>
      <c r="CZ107" s="177">
        <f t="shared" si="91"/>
        <v>9.6000000000000002E-2</v>
      </c>
      <c r="DB107" s="146"/>
      <c r="DC107" s="76">
        <f t="shared" ca="1" si="49"/>
        <v>0.50663435511063648</v>
      </c>
      <c r="DD107">
        <f t="shared" si="92"/>
        <v>10</v>
      </c>
      <c r="DE107" s="129">
        <f t="shared" si="124"/>
        <v>39673</v>
      </c>
      <c r="DF107" s="161">
        <f t="shared" si="93"/>
        <v>0</v>
      </c>
      <c r="DG107" s="161">
        <f t="shared" si="94"/>
        <v>0</v>
      </c>
      <c r="DH107" s="161">
        <f t="shared" si="95"/>
        <v>0</v>
      </c>
      <c r="DI107" s="161">
        <f t="shared" si="96"/>
        <v>0</v>
      </c>
      <c r="DJ107" s="161">
        <f t="shared" si="97"/>
        <v>0</v>
      </c>
      <c r="DK107" s="161">
        <f t="shared" si="98"/>
        <v>0</v>
      </c>
      <c r="DL107" s="161">
        <f t="shared" si="99"/>
        <v>0</v>
      </c>
      <c r="DM107" s="161">
        <f t="shared" si="100"/>
        <v>0</v>
      </c>
      <c r="DN107" s="161">
        <f t="shared" si="101"/>
        <v>0</v>
      </c>
      <c r="DO107" s="161">
        <f t="shared" si="102"/>
        <v>0</v>
      </c>
      <c r="DP107" s="161">
        <f t="shared" si="103"/>
        <v>0</v>
      </c>
      <c r="DQ107" s="161">
        <f t="shared" si="104"/>
        <v>0</v>
      </c>
      <c r="DR107" s="161">
        <f t="shared" si="105"/>
        <v>0</v>
      </c>
      <c r="DS107" s="161">
        <f t="shared" si="106"/>
        <v>0</v>
      </c>
      <c r="DT107" s="161">
        <f t="shared" si="107"/>
        <v>0</v>
      </c>
      <c r="DU107" s="161">
        <f t="shared" si="108"/>
        <v>0</v>
      </c>
      <c r="DV107" s="161">
        <f t="shared" si="109"/>
        <v>0</v>
      </c>
      <c r="DW107" s="161">
        <f t="shared" si="110"/>
        <v>0</v>
      </c>
      <c r="DX107" s="161">
        <f t="shared" si="111"/>
        <v>0</v>
      </c>
      <c r="DY107" s="161">
        <f t="shared" si="112"/>
        <v>0</v>
      </c>
      <c r="DZ107" s="161">
        <f t="shared" si="113"/>
        <v>0</v>
      </c>
      <c r="EA107" s="161">
        <f t="shared" si="114"/>
        <v>0</v>
      </c>
      <c r="EB107" s="161">
        <f t="shared" si="115"/>
        <v>0</v>
      </c>
      <c r="EC107" s="161">
        <f t="shared" si="116"/>
        <v>0</v>
      </c>
      <c r="ED107" s="161">
        <f t="shared" si="117"/>
        <v>0</v>
      </c>
      <c r="EE107" s="161">
        <f t="shared" si="118"/>
        <v>0</v>
      </c>
      <c r="EF107" s="161">
        <f t="shared" si="119"/>
        <v>0</v>
      </c>
      <c r="EG107" s="161">
        <f t="shared" si="120"/>
        <v>0</v>
      </c>
      <c r="EH107" s="161">
        <f t="shared" si="121"/>
        <v>0</v>
      </c>
      <c r="EI107" s="161">
        <f t="shared" si="122"/>
        <v>0</v>
      </c>
      <c r="EJ107" s="161">
        <f t="shared" si="123"/>
        <v>0</v>
      </c>
      <c r="EK107" s="147">
        <f t="shared" si="53"/>
        <v>0</v>
      </c>
      <c r="EL107" s="149"/>
      <c r="EN107" s="146"/>
      <c r="EO107" s="146"/>
      <c r="EP107" s="139">
        <f t="shared" si="54"/>
        <v>0</v>
      </c>
      <c r="EQ107" s="139">
        <f t="shared" si="55"/>
        <v>0</v>
      </c>
      <c r="ER107" s="139">
        <f t="shared" si="56"/>
        <v>0</v>
      </c>
      <c r="ES107" s="139">
        <f t="shared" si="57"/>
        <v>0</v>
      </c>
      <c r="ET107" s="139">
        <f t="shared" si="58"/>
        <v>0</v>
      </c>
      <c r="EU107" s="139">
        <f t="shared" si="59"/>
        <v>0</v>
      </c>
      <c r="EV107" s="139">
        <f t="shared" si="60"/>
        <v>0</v>
      </c>
      <c r="EW107" s="139">
        <f t="shared" si="61"/>
        <v>0</v>
      </c>
      <c r="EX107" s="139">
        <f t="shared" si="62"/>
        <v>0</v>
      </c>
      <c r="EY107" s="139">
        <f t="shared" si="63"/>
        <v>0</v>
      </c>
      <c r="EZ107" s="139">
        <f t="shared" si="64"/>
        <v>0</v>
      </c>
      <c r="FA107" s="139">
        <f t="shared" si="65"/>
        <v>0</v>
      </c>
      <c r="FB107" s="139">
        <f t="shared" si="66"/>
        <v>0</v>
      </c>
      <c r="FC107" s="139">
        <f t="shared" si="67"/>
        <v>0</v>
      </c>
      <c r="FD107" s="139">
        <f t="shared" si="68"/>
        <v>0</v>
      </c>
      <c r="FE107" s="139">
        <f t="shared" si="69"/>
        <v>0</v>
      </c>
      <c r="FF107" s="139">
        <f t="shared" si="70"/>
        <v>0</v>
      </c>
      <c r="FG107" s="139">
        <f t="shared" si="71"/>
        <v>0</v>
      </c>
      <c r="FH107" s="139">
        <f t="shared" si="72"/>
        <v>0</v>
      </c>
      <c r="FI107" s="139">
        <f t="shared" si="73"/>
        <v>0</v>
      </c>
      <c r="FJ107" s="139">
        <f t="shared" si="74"/>
        <v>0</v>
      </c>
      <c r="FK107" s="139">
        <f t="shared" si="75"/>
        <v>0</v>
      </c>
      <c r="FL107" s="139">
        <f t="shared" si="76"/>
        <v>0</v>
      </c>
      <c r="FM107" s="139">
        <f t="shared" si="77"/>
        <v>0</v>
      </c>
      <c r="FN107" s="139">
        <f t="shared" si="78"/>
        <v>0</v>
      </c>
      <c r="FO107" s="139">
        <f t="shared" si="79"/>
        <v>0</v>
      </c>
      <c r="FP107" s="139">
        <f t="shared" si="80"/>
        <v>0</v>
      </c>
      <c r="FQ107" s="139">
        <f t="shared" si="81"/>
        <v>0</v>
      </c>
      <c r="FR107" s="139">
        <f t="shared" si="82"/>
        <v>0</v>
      </c>
      <c r="FS107" s="139">
        <f t="shared" si="83"/>
        <v>0</v>
      </c>
      <c r="FT107" s="139">
        <f t="shared" si="84"/>
        <v>0</v>
      </c>
      <c r="FU107" s="148">
        <f t="shared" si="85"/>
        <v>0</v>
      </c>
      <c r="FV107" s="149"/>
      <c r="FY107" s="210">
        <v>102</v>
      </c>
      <c r="FZ107">
        <v>0.27886497278940114</v>
      </c>
      <c r="GA107">
        <v>2.1501252473738157</v>
      </c>
      <c r="GB107">
        <v>1.4530352925739001</v>
      </c>
      <c r="GC107">
        <v>1.268509339054547</v>
      </c>
      <c r="GD107">
        <v>1.4121590951128808</v>
      </c>
      <c r="GE107">
        <v>1.8691657077015624</v>
      </c>
      <c r="GF107">
        <v>0.88105632613632445</v>
      </c>
      <c r="GG107">
        <v>0.96200422538339236</v>
      </c>
      <c r="GH107">
        <v>1.3247603501682221</v>
      </c>
      <c r="GI107">
        <v>1.7241298346204208</v>
      </c>
      <c r="GJ107"/>
      <c r="GK107"/>
      <c r="GL107"/>
      <c r="GM107"/>
    </row>
    <row r="108" spans="1:195" s="7" customFormat="1">
      <c r="A108" s="128"/>
      <c r="B108" s="76">
        <f ca="1">IF(C108="", "", RAND())</f>
        <v>0.69350191445265374</v>
      </c>
      <c r="C108">
        <v>10</v>
      </c>
      <c r="D108">
        <v>39714</v>
      </c>
      <c r="E108">
        <v>0</v>
      </c>
      <c r="F108">
        <v>89.285714285714278</v>
      </c>
      <c r="G108">
        <v>0</v>
      </c>
      <c r="H108">
        <v>10.416666666666666</v>
      </c>
      <c r="I108">
        <v>0</v>
      </c>
      <c r="J108">
        <v>10.416666666666666</v>
      </c>
      <c r="K108">
        <v>0</v>
      </c>
      <c r="L108">
        <v>10.416666666666666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6.289300976800976</v>
      </c>
      <c r="AO108">
        <v>7.0756279847567685</v>
      </c>
      <c r="AP108">
        <v>24.127048357907853</v>
      </c>
      <c r="AQ108">
        <v>24.221403742334516</v>
      </c>
      <c r="AR108">
        <v>6.5636623235220481</v>
      </c>
      <c r="AS108">
        <v>34.170607063271397</v>
      </c>
      <c r="AT108" t="e">
        <v>#DIV/0!</v>
      </c>
      <c r="AU108" t="e">
        <v>#DIV/0!</v>
      </c>
      <c r="AV108"/>
      <c r="AW108"/>
      <c r="AX108" s="128"/>
      <c r="AY108" s="76">
        <f t="shared" ca="1" si="86"/>
        <v>0.2476758998956774</v>
      </c>
      <c r="AZ108">
        <v>1</v>
      </c>
      <c r="BA108" s="129">
        <f>IF(AZ108="", "",$C$6)</f>
        <v>39714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 s="147"/>
      <c r="CH108" s="176"/>
      <c r="CJ108" s="128"/>
      <c r="CK108" s="76">
        <f t="shared" ca="1" si="88"/>
        <v>0.84069706584986115</v>
      </c>
      <c r="CL108" s="179">
        <f t="shared" si="89"/>
        <v>1</v>
      </c>
      <c r="CM108" s="180">
        <f t="shared" si="90"/>
        <v>39714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W108">
        <v>1</v>
      </c>
      <c r="CX108">
        <f>300/48</f>
        <v>6.25</v>
      </c>
      <c r="CY108" s="158"/>
      <c r="CZ108" s="177">
        <f t="shared" si="91"/>
        <v>9.6000000000000002E-2</v>
      </c>
      <c r="DB108" s="128"/>
      <c r="DC108" s="76">
        <f t="shared" ca="1" si="49"/>
        <v>0.29367493848857595</v>
      </c>
      <c r="DD108">
        <f t="shared" si="92"/>
        <v>1</v>
      </c>
      <c r="DE108" s="129">
        <f t="shared" ref="DE108:DE117" si="126">IF((DD108)="", "", $C$6)</f>
        <v>39714</v>
      </c>
      <c r="DF108" s="161">
        <f t="shared" si="93"/>
        <v>0</v>
      </c>
      <c r="DG108" s="161">
        <f t="shared" si="94"/>
        <v>0</v>
      </c>
      <c r="DH108" s="161">
        <f t="shared" si="95"/>
        <v>0</v>
      </c>
      <c r="DI108" s="161">
        <f t="shared" si="96"/>
        <v>0</v>
      </c>
      <c r="DJ108" s="161">
        <f t="shared" si="97"/>
        <v>0</v>
      </c>
      <c r="DK108" s="161">
        <f t="shared" si="98"/>
        <v>0</v>
      </c>
      <c r="DL108" s="161">
        <f t="shared" si="99"/>
        <v>0</v>
      </c>
      <c r="DM108" s="161">
        <f t="shared" si="100"/>
        <v>0</v>
      </c>
      <c r="DN108" s="161">
        <f t="shared" si="101"/>
        <v>0</v>
      </c>
      <c r="DO108" s="161">
        <f t="shared" si="102"/>
        <v>0</v>
      </c>
      <c r="DP108" s="161">
        <f t="shared" si="103"/>
        <v>0</v>
      </c>
      <c r="DQ108" s="161">
        <f t="shared" si="104"/>
        <v>0</v>
      </c>
      <c r="DR108" s="161">
        <f t="shared" si="105"/>
        <v>0</v>
      </c>
      <c r="DS108" s="161">
        <f t="shared" si="106"/>
        <v>0</v>
      </c>
      <c r="DT108" s="161">
        <f t="shared" si="107"/>
        <v>0</v>
      </c>
      <c r="DU108" s="161">
        <f t="shared" si="108"/>
        <v>0</v>
      </c>
      <c r="DV108" s="161">
        <f t="shared" si="109"/>
        <v>0</v>
      </c>
      <c r="DW108" s="161">
        <f t="shared" si="110"/>
        <v>0</v>
      </c>
      <c r="DX108" s="161">
        <f t="shared" si="111"/>
        <v>0</v>
      </c>
      <c r="DY108" s="161">
        <f t="shared" si="112"/>
        <v>0</v>
      </c>
      <c r="DZ108" s="161">
        <f t="shared" si="113"/>
        <v>0</v>
      </c>
      <c r="EA108" s="161">
        <f t="shared" si="114"/>
        <v>0</v>
      </c>
      <c r="EB108" s="161">
        <f t="shared" si="115"/>
        <v>0</v>
      </c>
      <c r="EC108" s="161">
        <f t="shared" si="116"/>
        <v>0</v>
      </c>
      <c r="ED108" s="161">
        <f t="shared" si="117"/>
        <v>0</v>
      </c>
      <c r="EE108" s="161">
        <f t="shared" si="118"/>
        <v>0</v>
      </c>
      <c r="EF108" s="161">
        <f t="shared" si="119"/>
        <v>0</v>
      </c>
      <c r="EG108" s="161">
        <f t="shared" si="120"/>
        <v>0</v>
      </c>
      <c r="EH108" s="161">
        <f t="shared" si="121"/>
        <v>0</v>
      </c>
      <c r="EI108" s="161">
        <f t="shared" si="122"/>
        <v>0</v>
      </c>
      <c r="EJ108" s="161">
        <f t="shared" si="123"/>
        <v>0</v>
      </c>
      <c r="EK108" s="147">
        <f t="shared" si="53"/>
        <v>0</v>
      </c>
      <c r="EL108" s="149"/>
      <c r="EN108" s="146"/>
      <c r="EO108" s="146"/>
      <c r="EP108" s="139">
        <f t="shared" si="54"/>
        <v>0</v>
      </c>
      <c r="EQ108" s="139">
        <f t="shared" si="55"/>
        <v>0</v>
      </c>
      <c r="ER108" s="139">
        <f t="shared" si="56"/>
        <v>0</v>
      </c>
      <c r="ES108" s="139">
        <f t="shared" si="57"/>
        <v>0</v>
      </c>
      <c r="ET108" s="139">
        <f t="shared" si="58"/>
        <v>0</v>
      </c>
      <c r="EU108" s="139">
        <f t="shared" si="59"/>
        <v>0</v>
      </c>
      <c r="EV108" s="139">
        <f t="shared" si="60"/>
        <v>0</v>
      </c>
      <c r="EW108" s="139">
        <f t="shared" si="61"/>
        <v>0</v>
      </c>
      <c r="EX108" s="139">
        <f t="shared" si="62"/>
        <v>0</v>
      </c>
      <c r="EY108" s="139">
        <f t="shared" si="63"/>
        <v>0</v>
      </c>
      <c r="EZ108" s="139">
        <f t="shared" si="64"/>
        <v>0</v>
      </c>
      <c r="FA108" s="139">
        <f t="shared" si="65"/>
        <v>0</v>
      </c>
      <c r="FB108" s="139">
        <f t="shared" si="66"/>
        <v>0</v>
      </c>
      <c r="FC108" s="139">
        <f t="shared" si="67"/>
        <v>0</v>
      </c>
      <c r="FD108" s="139">
        <f t="shared" si="68"/>
        <v>0</v>
      </c>
      <c r="FE108" s="139">
        <f t="shared" si="69"/>
        <v>0</v>
      </c>
      <c r="FF108" s="139">
        <f t="shared" si="70"/>
        <v>0</v>
      </c>
      <c r="FG108" s="139">
        <f t="shared" si="71"/>
        <v>0</v>
      </c>
      <c r="FH108" s="139">
        <f t="shared" si="72"/>
        <v>0</v>
      </c>
      <c r="FI108" s="139">
        <f t="shared" si="73"/>
        <v>0</v>
      </c>
      <c r="FJ108" s="139">
        <f t="shared" si="74"/>
        <v>0</v>
      </c>
      <c r="FK108" s="139">
        <f t="shared" si="75"/>
        <v>0</v>
      </c>
      <c r="FL108" s="139">
        <f t="shared" si="76"/>
        <v>0</v>
      </c>
      <c r="FM108" s="139">
        <f t="shared" si="77"/>
        <v>0</v>
      </c>
      <c r="FN108" s="139">
        <f t="shared" si="78"/>
        <v>0</v>
      </c>
      <c r="FO108" s="139">
        <f t="shared" si="79"/>
        <v>0</v>
      </c>
      <c r="FP108" s="139">
        <f t="shared" si="80"/>
        <v>0</v>
      </c>
      <c r="FQ108" s="139">
        <f t="shared" si="81"/>
        <v>0</v>
      </c>
      <c r="FR108" s="139">
        <f t="shared" si="82"/>
        <v>0</v>
      </c>
      <c r="FS108" s="139">
        <f t="shared" si="83"/>
        <v>0</v>
      </c>
      <c r="FT108" s="139">
        <f t="shared" si="84"/>
        <v>0</v>
      </c>
      <c r="FU108" s="148">
        <f t="shared" si="85"/>
        <v>0</v>
      </c>
      <c r="FV108" s="149"/>
      <c r="FY108" s="210">
        <v>103</v>
      </c>
      <c r="FZ108">
        <v>0.2456818880042031</v>
      </c>
      <c r="GA108">
        <v>5.0095423211733063</v>
      </c>
      <c r="GB108">
        <v>2.8182192605562957</v>
      </c>
      <c r="GC108">
        <v>1.6963671239611187</v>
      </c>
      <c r="GD108">
        <v>1.444666266130413</v>
      </c>
      <c r="GE108">
        <v>0.80161328311131574</v>
      </c>
      <c r="GF108">
        <v>0</v>
      </c>
      <c r="GG108">
        <v>0.48100211269169618</v>
      </c>
      <c r="GH108">
        <v>0.66238017508411107</v>
      </c>
      <c r="GI108">
        <v>1.9318293614403248</v>
      </c>
      <c r="GJ108"/>
      <c r="GK108"/>
      <c r="GL108"/>
      <c r="GM108"/>
    </row>
    <row r="109" spans="1:195" s="7" customFormat="1">
      <c r="A109" s="1"/>
      <c r="B109" s="76">
        <f ca="1">IF(C109="", "", RAND())</f>
        <v>0.16818427278160097</v>
      </c>
      <c r="C109">
        <v>2</v>
      </c>
      <c r="D109">
        <v>39714</v>
      </c>
      <c r="E109">
        <v>0</v>
      </c>
      <c r="F109">
        <v>0</v>
      </c>
      <c r="G109">
        <v>0</v>
      </c>
      <c r="H109">
        <v>10.416666666666666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7.5364964896214888</v>
      </c>
      <c r="AO109">
        <v>8.2138229673536323</v>
      </c>
      <c r="AP109">
        <v>28.164183097715171</v>
      </c>
      <c r="AQ109">
        <v>27.338589706758786</v>
      </c>
      <c r="AR109">
        <v>7.5666366054173624</v>
      </c>
      <c r="AS109">
        <v>37.599283135866195</v>
      </c>
      <c r="AT109" t="e">
        <v>#DIV/0!</v>
      </c>
      <c r="AU109" t="e">
        <v>#DIV/0!</v>
      </c>
      <c r="AV109"/>
      <c r="AW109"/>
      <c r="AX109" s="146"/>
      <c r="AY109" s="76">
        <f t="shared" ca="1" si="86"/>
        <v>0.5697095136321102</v>
      </c>
      <c r="AZ109">
        <v>2</v>
      </c>
      <c r="BA109" s="129">
        <f t="shared" ref="BA109:BA117" si="127">IF(AZ109="", "",$C$6)</f>
        <v>39714</v>
      </c>
      <c r="BB109">
        <v>0</v>
      </c>
      <c r="BC109">
        <v>0</v>
      </c>
      <c r="BD109">
        <v>0</v>
      </c>
      <c r="BE109">
        <v>1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 s="147"/>
      <c r="CH109" s="176"/>
      <c r="CJ109" s="146"/>
      <c r="CK109" s="76">
        <f t="shared" ca="1" si="88"/>
        <v>0.60586408239563094</v>
      </c>
      <c r="CL109" s="179">
        <f t="shared" si="89"/>
        <v>2</v>
      </c>
      <c r="CM109" s="180">
        <f t="shared" si="90"/>
        <v>39714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W109">
        <v>1</v>
      </c>
      <c r="CX109">
        <v>1</v>
      </c>
      <c r="CY109" s="158"/>
      <c r="CZ109" s="177">
        <f t="shared" si="91"/>
        <v>9.6000000000000002E-2</v>
      </c>
      <c r="DB109" s="146"/>
      <c r="DC109" s="76">
        <f t="shared" ca="1" si="49"/>
        <v>0.9254619230685599</v>
      </c>
      <c r="DD109">
        <f t="shared" si="92"/>
        <v>2</v>
      </c>
      <c r="DE109" s="129">
        <f t="shared" si="126"/>
        <v>39714</v>
      </c>
      <c r="DF109" s="161">
        <f t="shared" si="93"/>
        <v>0</v>
      </c>
      <c r="DG109" s="161">
        <f t="shared" si="94"/>
        <v>0</v>
      </c>
      <c r="DH109" s="161">
        <f t="shared" si="95"/>
        <v>0</v>
      </c>
      <c r="DI109" s="161">
        <f t="shared" si="96"/>
        <v>10.416666666666666</v>
      </c>
      <c r="DJ109" s="161">
        <f t="shared" si="97"/>
        <v>0</v>
      </c>
      <c r="DK109" s="161">
        <f t="shared" si="98"/>
        <v>0</v>
      </c>
      <c r="DL109" s="161">
        <f t="shared" si="99"/>
        <v>0</v>
      </c>
      <c r="DM109" s="161">
        <f t="shared" si="100"/>
        <v>0</v>
      </c>
      <c r="DN109" s="161">
        <f t="shared" si="101"/>
        <v>0</v>
      </c>
      <c r="DO109" s="161">
        <f t="shared" si="102"/>
        <v>0</v>
      </c>
      <c r="DP109" s="161">
        <f t="shared" si="103"/>
        <v>0</v>
      </c>
      <c r="DQ109" s="161">
        <f t="shared" si="104"/>
        <v>0</v>
      </c>
      <c r="DR109" s="161">
        <f t="shared" si="105"/>
        <v>0</v>
      </c>
      <c r="DS109" s="161">
        <f t="shared" si="106"/>
        <v>0</v>
      </c>
      <c r="DT109" s="161">
        <f t="shared" si="107"/>
        <v>0</v>
      </c>
      <c r="DU109" s="161">
        <f t="shared" si="108"/>
        <v>0</v>
      </c>
      <c r="DV109" s="161">
        <f t="shared" si="109"/>
        <v>0</v>
      </c>
      <c r="DW109" s="161">
        <f t="shared" si="110"/>
        <v>0</v>
      </c>
      <c r="DX109" s="161">
        <f t="shared" si="111"/>
        <v>0</v>
      </c>
      <c r="DY109" s="161">
        <f t="shared" si="112"/>
        <v>0</v>
      </c>
      <c r="DZ109" s="161">
        <f t="shared" si="113"/>
        <v>0</v>
      </c>
      <c r="EA109" s="161">
        <f t="shared" si="114"/>
        <v>0</v>
      </c>
      <c r="EB109" s="161">
        <f t="shared" si="115"/>
        <v>0</v>
      </c>
      <c r="EC109" s="161">
        <f t="shared" si="116"/>
        <v>0</v>
      </c>
      <c r="ED109" s="161">
        <f t="shared" si="117"/>
        <v>0</v>
      </c>
      <c r="EE109" s="161">
        <f t="shared" si="118"/>
        <v>0</v>
      </c>
      <c r="EF109" s="161">
        <f t="shared" si="119"/>
        <v>0</v>
      </c>
      <c r="EG109" s="161">
        <f t="shared" si="120"/>
        <v>0</v>
      </c>
      <c r="EH109" s="161">
        <f t="shared" si="121"/>
        <v>0</v>
      </c>
      <c r="EI109" s="161">
        <f t="shared" si="122"/>
        <v>0</v>
      </c>
      <c r="EJ109" s="161">
        <f t="shared" si="123"/>
        <v>0</v>
      </c>
      <c r="EK109" s="147">
        <f t="shared" si="53"/>
        <v>10.416666666666666</v>
      </c>
      <c r="EL109" s="149"/>
      <c r="EN109" s="146"/>
      <c r="EO109" s="146"/>
      <c r="EP109" s="139">
        <f t="shared" si="54"/>
        <v>0</v>
      </c>
      <c r="EQ109" s="139">
        <f t="shared" si="55"/>
        <v>0</v>
      </c>
      <c r="ER109" s="139">
        <f t="shared" si="56"/>
        <v>0</v>
      </c>
      <c r="ES109" s="139">
        <f t="shared" si="57"/>
        <v>2.13692684142134</v>
      </c>
      <c r="ET109" s="139">
        <f t="shared" si="58"/>
        <v>0</v>
      </c>
      <c r="EU109" s="139">
        <f t="shared" si="59"/>
        <v>0</v>
      </c>
      <c r="EV109" s="139">
        <f t="shared" si="60"/>
        <v>0</v>
      </c>
      <c r="EW109" s="139">
        <f t="shared" si="61"/>
        <v>0</v>
      </c>
      <c r="EX109" s="139">
        <f t="shared" si="62"/>
        <v>0</v>
      </c>
      <c r="EY109" s="139">
        <f t="shared" si="63"/>
        <v>0</v>
      </c>
      <c r="EZ109" s="139">
        <f t="shared" si="64"/>
        <v>0</v>
      </c>
      <c r="FA109" s="139">
        <f t="shared" si="65"/>
        <v>0</v>
      </c>
      <c r="FB109" s="139">
        <f t="shared" si="66"/>
        <v>0</v>
      </c>
      <c r="FC109" s="139">
        <f t="shared" si="67"/>
        <v>0</v>
      </c>
      <c r="FD109" s="139">
        <f t="shared" si="68"/>
        <v>0</v>
      </c>
      <c r="FE109" s="139">
        <f t="shared" si="69"/>
        <v>0</v>
      </c>
      <c r="FF109" s="139">
        <f t="shared" si="70"/>
        <v>0</v>
      </c>
      <c r="FG109" s="139">
        <f t="shared" si="71"/>
        <v>0</v>
      </c>
      <c r="FH109" s="139">
        <f t="shared" si="72"/>
        <v>0</v>
      </c>
      <c r="FI109" s="139">
        <f t="shared" si="73"/>
        <v>0</v>
      </c>
      <c r="FJ109" s="139">
        <f t="shared" si="74"/>
        <v>0</v>
      </c>
      <c r="FK109" s="139">
        <f t="shared" si="75"/>
        <v>0</v>
      </c>
      <c r="FL109" s="139">
        <f t="shared" si="76"/>
        <v>0</v>
      </c>
      <c r="FM109" s="139">
        <f t="shared" si="77"/>
        <v>0</v>
      </c>
      <c r="FN109" s="139">
        <f t="shared" si="78"/>
        <v>0</v>
      </c>
      <c r="FO109" s="139">
        <f t="shared" si="79"/>
        <v>0</v>
      </c>
      <c r="FP109" s="139">
        <f t="shared" si="80"/>
        <v>0</v>
      </c>
      <c r="FQ109" s="139">
        <f t="shared" si="81"/>
        <v>0</v>
      </c>
      <c r="FR109" s="139">
        <f t="shared" si="82"/>
        <v>0</v>
      </c>
      <c r="FS109" s="139">
        <f t="shared" si="83"/>
        <v>0</v>
      </c>
      <c r="FT109" s="139">
        <f t="shared" si="84"/>
        <v>0</v>
      </c>
      <c r="FU109" s="148">
        <f t="shared" si="85"/>
        <v>2.13692684142134</v>
      </c>
      <c r="FV109" s="149"/>
      <c r="FY109" s="210">
        <v>104</v>
      </c>
      <c r="FZ109">
        <v>0</v>
      </c>
      <c r="GA109">
        <v>3.7567498702802196</v>
      </c>
      <c r="GB109">
        <v>2.943918439166076</v>
      </c>
      <c r="GC109">
        <v>10.743719886084598</v>
      </c>
      <c r="GD109">
        <v>7.9530463589238174</v>
      </c>
      <c r="GE109">
        <v>1.8866711072937405</v>
      </c>
      <c r="GF109">
        <v>1.95227762939375</v>
      </c>
      <c r="GG109">
        <v>1.1300765542968063</v>
      </c>
      <c r="GH109">
        <v>1.3247603501682221</v>
      </c>
      <c r="GI109">
        <v>7.0266295230753641</v>
      </c>
      <c r="GJ109"/>
      <c r="GK109"/>
      <c r="GL109"/>
      <c r="GM109"/>
    </row>
    <row r="110" spans="1:195" s="7" customFormat="1">
      <c r="A110" s="1"/>
      <c r="B110" s="76">
        <f ca="1">IF(C110="", "", RAND())</f>
        <v>0.70270102754074415</v>
      </c>
      <c r="C110">
        <v>7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11.492139804639804</v>
      </c>
      <c r="AO110">
        <v>9.798822179435037</v>
      </c>
      <c r="AP110">
        <v>47.194489240184282</v>
      </c>
      <c r="AQ110">
        <v>39.347264061780656</v>
      </c>
      <c r="AR110">
        <v>8.9840860538103975</v>
      </c>
      <c r="AS110">
        <v>42.501457788677399</v>
      </c>
      <c r="AT110" t="e">
        <v>#DIV/0!</v>
      </c>
      <c r="AU110" t="e">
        <v>#DIV/0!</v>
      </c>
      <c r="AV110"/>
      <c r="AW110"/>
      <c r="AX110" s="146"/>
      <c r="AY110" s="76">
        <f t="shared" ca="1" si="86"/>
        <v>0.87583355049430645</v>
      </c>
      <c r="AZ110">
        <v>3</v>
      </c>
      <c r="BA110" s="129">
        <f t="shared" si="127"/>
        <v>39714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 s="147"/>
      <c r="CH110" s="176"/>
      <c r="CJ110" s="146"/>
      <c r="CK110" s="76">
        <f t="shared" ca="1" si="88"/>
        <v>0.627394956229824</v>
      </c>
      <c r="CL110" s="179">
        <f t="shared" si="89"/>
        <v>3</v>
      </c>
      <c r="CM110" s="180">
        <f t="shared" si="90"/>
        <v>39714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W110">
        <v>1</v>
      </c>
      <c r="CX110">
        <f>300/32</f>
        <v>9.375</v>
      </c>
      <c r="CY110" s="158"/>
      <c r="CZ110" s="177">
        <f t="shared" si="91"/>
        <v>9.6000000000000002E-2</v>
      </c>
      <c r="DB110" s="146"/>
      <c r="DC110" s="76">
        <f t="shared" ca="1" si="49"/>
        <v>0.15299009173850298</v>
      </c>
      <c r="DD110">
        <f t="shared" si="92"/>
        <v>3</v>
      </c>
      <c r="DE110" s="129">
        <f t="shared" si="126"/>
        <v>39714</v>
      </c>
      <c r="DF110" s="161">
        <f t="shared" si="93"/>
        <v>0</v>
      </c>
      <c r="DG110" s="161">
        <f t="shared" si="94"/>
        <v>0</v>
      </c>
      <c r="DH110" s="161">
        <f t="shared" si="95"/>
        <v>0</v>
      </c>
      <c r="DI110" s="161">
        <f t="shared" si="96"/>
        <v>0</v>
      </c>
      <c r="DJ110" s="161">
        <f t="shared" si="97"/>
        <v>0</v>
      </c>
      <c r="DK110" s="161">
        <f t="shared" si="98"/>
        <v>0</v>
      </c>
      <c r="DL110" s="161">
        <f t="shared" si="99"/>
        <v>0</v>
      </c>
      <c r="DM110" s="161">
        <f t="shared" si="100"/>
        <v>0</v>
      </c>
      <c r="DN110" s="161">
        <f t="shared" si="101"/>
        <v>0</v>
      </c>
      <c r="DO110" s="161">
        <f t="shared" si="102"/>
        <v>0</v>
      </c>
      <c r="DP110" s="161">
        <f t="shared" si="103"/>
        <v>0</v>
      </c>
      <c r="DQ110" s="161">
        <f t="shared" si="104"/>
        <v>0</v>
      </c>
      <c r="DR110" s="161">
        <f t="shared" si="105"/>
        <v>0</v>
      </c>
      <c r="DS110" s="161">
        <f t="shared" si="106"/>
        <v>0</v>
      </c>
      <c r="DT110" s="161">
        <f t="shared" si="107"/>
        <v>0</v>
      </c>
      <c r="DU110" s="161">
        <f t="shared" si="108"/>
        <v>0</v>
      </c>
      <c r="DV110" s="161">
        <f t="shared" si="109"/>
        <v>0</v>
      </c>
      <c r="DW110" s="161">
        <f t="shared" si="110"/>
        <v>0</v>
      </c>
      <c r="DX110" s="161">
        <f t="shared" si="111"/>
        <v>0</v>
      </c>
      <c r="DY110" s="161">
        <f t="shared" si="112"/>
        <v>0</v>
      </c>
      <c r="DZ110" s="161">
        <f t="shared" si="113"/>
        <v>0</v>
      </c>
      <c r="EA110" s="161">
        <f t="shared" si="114"/>
        <v>0</v>
      </c>
      <c r="EB110" s="161">
        <f t="shared" si="115"/>
        <v>0</v>
      </c>
      <c r="EC110" s="161">
        <f t="shared" si="116"/>
        <v>0</v>
      </c>
      <c r="ED110" s="161">
        <f t="shared" si="117"/>
        <v>0</v>
      </c>
      <c r="EE110" s="161">
        <f t="shared" si="118"/>
        <v>0</v>
      </c>
      <c r="EF110" s="161">
        <f t="shared" si="119"/>
        <v>0</v>
      </c>
      <c r="EG110" s="161">
        <f t="shared" si="120"/>
        <v>0</v>
      </c>
      <c r="EH110" s="161">
        <f t="shared" si="121"/>
        <v>0</v>
      </c>
      <c r="EI110" s="161">
        <f t="shared" si="122"/>
        <v>0</v>
      </c>
      <c r="EJ110" s="161">
        <f t="shared" si="123"/>
        <v>0</v>
      </c>
      <c r="EK110" s="147">
        <f t="shared" si="53"/>
        <v>0</v>
      </c>
      <c r="EL110" s="149"/>
      <c r="EN110" s="146"/>
      <c r="EO110" s="146"/>
      <c r="EP110" s="139">
        <f t="shared" si="54"/>
        <v>0</v>
      </c>
      <c r="EQ110" s="139">
        <f t="shared" si="55"/>
        <v>0</v>
      </c>
      <c r="ER110" s="139">
        <f t="shared" si="56"/>
        <v>0</v>
      </c>
      <c r="ES110" s="139">
        <f t="shared" si="57"/>
        <v>0</v>
      </c>
      <c r="ET110" s="139">
        <f t="shared" si="58"/>
        <v>0</v>
      </c>
      <c r="EU110" s="139">
        <f t="shared" si="59"/>
        <v>0</v>
      </c>
      <c r="EV110" s="139">
        <f t="shared" si="60"/>
        <v>0</v>
      </c>
      <c r="EW110" s="139">
        <f t="shared" si="61"/>
        <v>0</v>
      </c>
      <c r="EX110" s="139">
        <f t="shared" si="62"/>
        <v>0</v>
      </c>
      <c r="EY110" s="139">
        <f t="shared" si="63"/>
        <v>0</v>
      </c>
      <c r="EZ110" s="139">
        <f t="shared" si="64"/>
        <v>0</v>
      </c>
      <c r="FA110" s="139">
        <f t="shared" si="65"/>
        <v>0</v>
      </c>
      <c r="FB110" s="139">
        <f t="shared" si="66"/>
        <v>0</v>
      </c>
      <c r="FC110" s="139">
        <f t="shared" si="67"/>
        <v>0</v>
      </c>
      <c r="FD110" s="139">
        <f t="shared" si="68"/>
        <v>0</v>
      </c>
      <c r="FE110" s="139">
        <f t="shared" si="69"/>
        <v>0</v>
      </c>
      <c r="FF110" s="139">
        <f t="shared" si="70"/>
        <v>0</v>
      </c>
      <c r="FG110" s="139">
        <f t="shared" si="71"/>
        <v>0</v>
      </c>
      <c r="FH110" s="139">
        <f t="shared" si="72"/>
        <v>0</v>
      </c>
      <c r="FI110" s="139">
        <f t="shared" si="73"/>
        <v>0</v>
      </c>
      <c r="FJ110" s="139">
        <f t="shared" si="74"/>
        <v>0</v>
      </c>
      <c r="FK110" s="139">
        <f t="shared" si="75"/>
        <v>0</v>
      </c>
      <c r="FL110" s="139">
        <f t="shared" si="76"/>
        <v>0</v>
      </c>
      <c r="FM110" s="139">
        <f t="shared" si="77"/>
        <v>0</v>
      </c>
      <c r="FN110" s="139">
        <f t="shared" si="78"/>
        <v>0</v>
      </c>
      <c r="FO110" s="139">
        <f t="shared" si="79"/>
        <v>0</v>
      </c>
      <c r="FP110" s="139">
        <f t="shared" si="80"/>
        <v>0</v>
      </c>
      <c r="FQ110" s="139">
        <f t="shared" si="81"/>
        <v>0</v>
      </c>
      <c r="FR110" s="139">
        <f t="shared" si="82"/>
        <v>0</v>
      </c>
      <c r="FS110" s="139">
        <f t="shared" si="83"/>
        <v>0</v>
      </c>
      <c r="FT110" s="139">
        <f t="shared" si="84"/>
        <v>0</v>
      </c>
      <c r="FU110" s="148">
        <f t="shared" si="85"/>
        <v>0</v>
      </c>
      <c r="FV110" s="149"/>
      <c r="FY110" s="210">
        <v>105</v>
      </c>
      <c r="FZ110">
        <v>0.2456818880042031</v>
      </c>
      <c r="GA110">
        <v>2.2362743202642248</v>
      </c>
      <c r="GB110">
        <v>2.0890359629544428</v>
      </c>
      <c r="GC110">
        <v>2.5514424180192687</v>
      </c>
      <c r="GD110">
        <v>2.3899326148008577</v>
      </c>
      <c r="GE110">
        <v>2.3572653028997061</v>
      </c>
      <c r="GF110">
        <v>1.0712213032574254</v>
      </c>
      <c r="GG110">
        <v>2.0920807796801988</v>
      </c>
      <c r="GH110">
        <v>2.6495207003364443</v>
      </c>
      <c r="GI110">
        <v>2.8716518095952415</v>
      </c>
      <c r="GJ110"/>
      <c r="GK110"/>
      <c r="GL110"/>
      <c r="GM110"/>
    </row>
    <row r="111" spans="1:195" s="7" customFormat="1">
      <c r="A111" s="1"/>
      <c r="B111" s="76">
        <f ca="1">IF(C111="", "", RAND())</f>
        <v>0.58445224083931935</v>
      </c>
      <c r="C111">
        <v>5</v>
      </c>
      <c r="D111">
        <v>39714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8.7889384920634903</v>
      </c>
      <c r="AO111">
        <v>9.0594628675725453</v>
      </c>
      <c r="AP111">
        <v>35.303011978958004</v>
      </c>
      <c r="AQ111">
        <v>32.522016125555496</v>
      </c>
      <c r="AR111">
        <v>8.2453587638510175</v>
      </c>
      <c r="AS111">
        <v>33.223973556134098</v>
      </c>
      <c r="AT111" t="e">
        <v>#DIV/0!</v>
      </c>
      <c r="AU111" t="e">
        <v>#DIV/0!</v>
      </c>
      <c r="AV111"/>
      <c r="AW111"/>
      <c r="AX111" s="146"/>
      <c r="AY111" s="76">
        <f t="shared" ca="1" si="86"/>
        <v>0.9435452890150462</v>
      </c>
      <c r="AZ111">
        <v>4</v>
      </c>
      <c r="BA111" s="129">
        <f t="shared" si="127"/>
        <v>39714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 s="147"/>
      <c r="CH111" s="176"/>
      <c r="CJ111" s="146"/>
      <c r="CK111" s="76">
        <f t="shared" ca="1" si="88"/>
        <v>0.43520035179705308</v>
      </c>
      <c r="CL111" s="179">
        <f t="shared" si="89"/>
        <v>4</v>
      </c>
      <c r="CM111" s="180">
        <f t="shared" si="90"/>
        <v>39714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W111">
        <v>1</v>
      </c>
      <c r="CX111">
        <v>1</v>
      </c>
      <c r="CY111" s="158"/>
      <c r="CZ111" s="177">
        <f t="shared" si="91"/>
        <v>9.6000000000000002E-2</v>
      </c>
      <c r="DB111" s="146"/>
      <c r="DC111" s="76">
        <f t="shared" ca="1" si="49"/>
        <v>9.3416657700617023E-2</v>
      </c>
      <c r="DD111">
        <f t="shared" si="92"/>
        <v>4</v>
      </c>
      <c r="DE111" s="129">
        <f t="shared" si="126"/>
        <v>39714</v>
      </c>
      <c r="DF111" s="161">
        <f t="shared" si="93"/>
        <v>0</v>
      </c>
      <c r="DG111" s="161">
        <f t="shared" si="94"/>
        <v>0</v>
      </c>
      <c r="DH111" s="161">
        <f t="shared" si="95"/>
        <v>0</v>
      </c>
      <c r="DI111" s="161">
        <f t="shared" si="96"/>
        <v>0</v>
      </c>
      <c r="DJ111" s="161">
        <f t="shared" si="97"/>
        <v>0</v>
      </c>
      <c r="DK111" s="161">
        <f t="shared" si="98"/>
        <v>0</v>
      </c>
      <c r="DL111" s="161">
        <f t="shared" si="99"/>
        <v>0</v>
      </c>
      <c r="DM111" s="161">
        <f t="shared" si="100"/>
        <v>0</v>
      </c>
      <c r="DN111" s="161">
        <f t="shared" si="101"/>
        <v>0</v>
      </c>
      <c r="DO111" s="161">
        <f t="shared" si="102"/>
        <v>0</v>
      </c>
      <c r="DP111" s="161">
        <f t="shared" si="103"/>
        <v>0</v>
      </c>
      <c r="DQ111" s="161">
        <f t="shared" si="104"/>
        <v>0</v>
      </c>
      <c r="DR111" s="161">
        <f t="shared" si="105"/>
        <v>0</v>
      </c>
      <c r="DS111" s="161">
        <f t="shared" si="106"/>
        <v>0</v>
      </c>
      <c r="DT111" s="161">
        <f t="shared" si="107"/>
        <v>0</v>
      </c>
      <c r="DU111" s="161">
        <f t="shared" si="108"/>
        <v>0</v>
      </c>
      <c r="DV111" s="161">
        <f t="shared" si="109"/>
        <v>0</v>
      </c>
      <c r="DW111" s="161">
        <f t="shared" si="110"/>
        <v>0</v>
      </c>
      <c r="DX111" s="161">
        <f t="shared" si="111"/>
        <v>0</v>
      </c>
      <c r="DY111" s="161">
        <f t="shared" si="112"/>
        <v>0</v>
      </c>
      <c r="DZ111" s="161">
        <f t="shared" si="113"/>
        <v>0</v>
      </c>
      <c r="EA111" s="161">
        <f t="shared" si="114"/>
        <v>0</v>
      </c>
      <c r="EB111" s="161">
        <f t="shared" si="115"/>
        <v>0</v>
      </c>
      <c r="EC111" s="161">
        <f t="shared" si="116"/>
        <v>0</v>
      </c>
      <c r="ED111" s="161">
        <f t="shared" si="117"/>
        <v>0</v>
      </c>
      <c r="EE111" s="161">
        <f t="shared" si="118"/>
        <v>0</v>
      </c>
      <c r="EF111" s="161">
        <f t="shared" si="119"/>
        <v>0</v>
      </c>
      <c r="EG111" s="161">
        <f t="shared" si="120"/>
        <v>0</v>
      </c>
      <c r="EH111" s="161">
        <f t="shared" si="121"/>
        <v>0</v>
      </c>
      <c r="EI111" s="161">
        <f t="shared" si="122"/>
        <v>0</v>
      </c>
      <c r="EJ111" s="161">
        <f t="shared" si="123"/>
        <v>0</v>
      </c>
      <c r="EK111" s="147">
        <f t="shared" si="53"/>
        <v>0</v>
      </c>
      <c r="EL111" s="149"/>
      <c r="EN111" s="146"/>
      <c r="EO111" s="146"/>
      <c r="EP111" s="139">
        <f t="shared" si="54"/>
        <v>0</v>
      </c>
      <c r="EQ111" s="139">
        <f t="shared" si="55"/>
        <v>0</v>
      </c>
      <c r="ER111" s="139">
        <f t="shared" si="56"/>
        <v>0</v>
      </c>
      <c r="ES111" s="139">
        <f t="shared" si="57"/>
        <v>0</v>
      </c>
      <c r="ET111" s="139">
        <f t="shared" si="58"/>
        <v>0</v>
      </c>
      <c r="EU111" s="139">
        <f t="shared" si="59"/>
        <v>0</v>
      </c>
      <c r="EV111" s="139">
        <f t="shared" si="60"/>
        <v>0</v>
      </c>
      <c r="EW111" s="139">
        <f t="shared" si="61"/>
        <v>0</v>
      </c>
      <c r="EX111" s="139">
        <f t="shared" si="62"/>
        <v>0</v>
      </c>
      <c r="EY111" s="139">
        <f t="shared" si="63"/>
        <v>0</v>
      </c>
      <c r="EZ111" s="139">
        <f t="shared" si="64"/>
        <v>0</v>
      </c>
      <c r="FA111" s="139">
        <f t="shared" si="65"/>
        <v>0</v>
      </c>
      <c r="FB111" s="139">
        <f t="shared" si="66"/>
        <v>0</v>
      </c>
      <c r="FC111" s="139">
        <f t="shared" si="67"/>
        <v>0</v>
      </c>
      <c r="FD111" s="139">
        <f t="shared" si="68"/>
        <v>0</v>
      </c>
      <c r="FE111" s="139">
        <f t="shared" si="69"/>
        <v>0</v>
      </c>
      <c r="FF111" s="139">
        <f t="shared" si="70"/>
        <v>0</v>
      </c>
      <c r="FG111" s="139">
        <f t="shared" si="71"/>
        <v>0</v>
      </c>
      <c r="FH111" s="139">
        <f t="shared" si="72"/>
        <v>0</v>
      </c>
      <c r="FI111" s="139">
        <f t="shared" si="73"/>
        <v>0</v>
      </c>
      <c r="FJ111" s="139">
        <f t="shared" si="74"/>
        <v>0</v>
      </c>
      <c r="FK111" s="139">
        <f t="shared" si="75"/>
        <v>0</v>
      </c>
      <c r="FL111" s="139">
        <f t="shared" si="76"/>
        <v>0</v>
      </c>
      <c r="FM111" s="139">
        <f t="shared" si="77"/>
        <v>0</v>
      </c>
      <c r="FN111" s="139">
        <f t="shared" si="78"/>
        <v>0</v>
      </c>
      <c r="FO111" s="139">
        <f t="shared" si="79"/>
        <v>0</v>
      </c>
      <c r="FP111" s="139">
        <f t="shared" si="80"/>
        <v>0</v>
      </c>
      <c r="FQ111" s="139">
        <f t="shared" si="81"/>
        <v>0</v>
      </c>
      <c r="FR111" s="139">
        <f t="shared" si="82"/>
        <v>0</v>
      </c>
      <c r="FS111" s="139">
        <f t="shared" si="83"/>
        <v>0</v>
      </c>
      <c r="FT111" s="139">
        <f t="shared" si="84"/>
        <v>0</v>
      </c>
      <c r="FU111" s="148">
        <f t="shared" si="85"/>
        <v>0</v>
      </c>
      <c r="FV111" s="149"/>
      <c r="FY111" s="210">
        <v>106</v>
      </c>
      <c r="FZ111">
        <v>0.2456818880042031</v>
      </c>
      <c r="GA111">
        <v>4.2872004600457903</v>
      </c>
      <c r="GB111">
        <v>3.6177669635648959</v>
      </c>
      <c r="GC111">
        <v>1.0795089219230785</v>
      </c>
      <c r="GD111">
        <v>1.1200431240959747</v>
      </c>
      <c r="GE111">
        <v>2.3941892202005963</v>
      </c>
      <c r="GF111">
        <v>1.6417162346207288</v>
      </c>
      <c r="GG111">
        <v>2.5962977664204407</v>
      </c>
      <c r="GH111">
        <v>2.6495207003364443</v>
      </c>
      <c r="GI111">
        <v>2.4992466692242958</v>
      </c>
      <c r="GJ111"/>
      <c r="GK111"/>
      <c r="GL111"/>
      <c r="GM111"/>
    </row>
    <row r="112" spans="1:195" s="7" customFormat="1">
      <c r="A112" s="1"/>
      <c r="B112" s="76">
        <f ca="1">IF(C112="", "", RAND())</f>
        <v>0.70952858289601384</v>
      </c>
      <c r="C112">
        <v>8</v>
      </c>
      <c r="D112">
        <v>39714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5.993799603174601</v>
      </c>
      <c r="AO112">
        <v>3.7138913849128867</v>
      </c>
      <c r="AP112">
        <v>19.182931647648559</v>
      </c>
      <c r="AQ112">
        <v>16.363269866832344</v>
      </c>
      <c r="AR112">
        <v>3.392303041001087</v>
      </c>
      <c r="AS112">
        <v>16.629930790107245</v>
      </c>
      <c r="AT112" t="e">
        <v>#DIV/0!</v>
      </c>
      <c r="AU112" t="e">
        <v>#DIV/0!</v>
      </c>
      <c r="AV112"/>
      <c r="AW112"/>
      <c r="AX112" s="146"/>
      <c r="AY112" s="76">
        <f t="shared" ca="1" si="86"/>
        <v>0.56028906474049744</v>
      </c>
      <c r="AZ112">
        <v>5</v>
      </c>
      <c r="BA112" s="129">
        <f t="shared" si="127"/>
        <v>39714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 s="147"/>
      <c r="CH112" s="176"/>
      <c r="CJ112" s="146"/>
      <c r="CK112" s="76">
        <f t="shared" ca="1" si="88"/>
        <v>0.47336155964283932</v>
      </c>
      <c r="CL112" s="179">
        <f t="shared" si="89"/>
        <v>5</v>
      </c>
      <c r="CM112" s="180">
        <f t="shared" si="90"/>
        <v>39714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W112">
        <v>1</v>
      </c>
      <c r="CX112">
        <v>1</v>
      </c>
      <c r="CY112" s="158"/>
      <c r="CZ112" s="177">
        <f t="shared" si="91"/>
        <v>9.6000000000000002E-2</v>
      </c>
      <c r="DB112" s="146"/>
      <c r="DC112" s="76">
        <f t="shared" ca="1" si="49"/>
        <v>0.66928391526766817</v>
      </c>
      <c r="DD112">
        <f t="shared" si="92"/>
        <v>5</v>
      </c>
      <c r="DE112" s="129">
        <f t="shared" si="126"/>
        <v>39714</v>
      </c>
      <c r="DF112" s="161">
        <f t="shared" si="93"/>
        <v>0</v>
      </c>
      <c r="DG112" s="161">
        <f t="shared" si="94"/>
        <v>0</v>
      </c>
      <c r="DH112" s="161">
        <f t="shared" si="95"/>
        <v>0</v>
      </c>
      <c r="DI112" s="161">
        <f t="shared" si="96"/>
        <v>0</v>
      </c>
      <c r="DJ112" s="161">
        <f t="shared" si="97"/>
        <v>0</v>
      </c>
      <c r="DK112" s="161">
        <f t="shared" si="98"/>
        <v>0</v>
      </c>
      <c r="DL112" s="161">
        <f t="shared" si="99"/>
        <v>0</v>
      </c>
      <c r="DM112" s="161">
        <f t="shared" si="100"/>
        <v>0</v>
      </c>
      <c r="DN112" s="161">
        <f t="shared" si="101"/>
        <v>0</v>
      </c>
      <c r="DO112" s="161">
        <f t="shared" si="102"/>
        <v>0</v>
      </c>
      <c r="DP112" s="161">
        <f t="shared" si="103"/>
        <v>0</v>
      </c>
      <c r="DQ112" s="161">
        <f t="shared" si="104"/>
        <v>0</v>
      </c>
      <c r="DR112" s="161">
        <f t="shared" si="105"/>
        <v>0</v>
      </c>
      <c r="DS112" s="161">
        <f t="shared" si="106"/>
        <v>0</v>
      </c>
      <c r="DT112" s="161">
        <f t="shared" si="107"/>
        <v>0</v>
      </c>
      <c r="DU112" s="161">
        <f t="shared" si="108"/>
        <v>0</v>
      </c>
      <c r="DV112" s="161">
        <f t="shared" si="109"/>
        <v>0</v>
      </c>
      <c r="DW112" s="161">
        <f t="shared" si="110"/>
        <v>0</v>
      </c>
      <c r="DX112" s="161">
        <f t="shared" si="111"/>
        <v>0</v>
      </c>
      <c r="DY112" s="161">
        <f t="shared" si="112"/>
        <v>0</v>
      </c>
      <c r="DZ112" s="161">
        <f t="shared" si="113"/>
        <v>0</v>
      </c>
      <c r="EA112" s="161">
        <f t="shared" si="114"/>
        <v>0</v>
      </c>
      <c r="EB112" s="161">
        <f t="shared" si="115"/>
        <v>0</v>
      </c>
      <c r="EC112" s="161">
        <f t="shared" si="116"/>
        <v>0</v>
      </c>
      <c r="ED112" s="161">
        <f t="shared" si="117"/>
        <v>0</v>
      </c>
      <c r="EE112" s="161">
        <f t="shared" si="118"/>
        <v>0</v>
      </c>
      <c r="EF112" s="161">
        <f t="shared" si="119"/>
        <v>0</v>
      </c>
      <c r="EG112" s="161">
        <f t="shared" si="120"/>
        <v>0</v>
      </c>
      <c r="EH112" s="161">
        <f t="shared" si="121"/>
        <v>0</v>
      </c>
      <c r="EI112" s="161">
        <f t="shared" si="122"/>
        <v>0</v>
      </c>
      <c r="EJ112" s="161">
        <f t="shared" si="123"/>
        <v>0</v>
      </c>
      <c r="EK112" s="147">
        <f t="shared" si="53"/>
        <v>0</v>
      </c>
      <c r="EL112" s="149"/>
      <c r="EN112" s="146"/>
      <c r="EO112" s="146"/>
      <c r="EP112" s="139">
        <f t="shared" si="54"/>
        <v>0</v>
      </c>
      <c r="EQ112" s="139">
        <f t="shared" si="55"/>
        <v>0</v>
      </c>
      <c r="ER112" s="139">
        <f t="shared" si="56"/>
        <v>0</v>
      </c>
      <c r="ES112" s="139">
        <f t="shared" si="57"/>
        <v>0</v>
      </c>
      <c r="ET112" s="139">
        <f t="shared" si="58"/>
        <v>0</v>
      </c>
      <c r="EU112" s="139">
        <f t="shared" si="59"/>
        <v>0</v>
      </c>
      <c r="EV112" s="139">
        <f t="shared" si="60"/>
        <v>0</v>
      </c>
      <c r="EW112" s="139">
        <f t="shared" si="61"/>
        <v>0</v>
      </c>
      <c r="EX112" s="139">
        <f t="shared" si="62"/>
        <v>0</v>
      </c>
      <c r="EY112" s="139">
        <f t="shared" si="63"/>
        <v>0</v>
      </c>
      <c r="EZ112" s="139">
        <f t="shared" si="64"/>
        <v>0</v>
      </c>
      <c r="FA112" s="139">
        <f t="shared" si="65"/>
        <v>0</v>
      </c>
      <c r="FB112" s="139">
        <f t="shared" si="66"/>
        <v>0</v>
      </c>
      <c r="FC112" s="139">
        <f t="shared" si="67"/>
        <v>0</v>
      </c>
      <c r="FD112" s="139">
        <f t="shared" si="68"/>
        <v>0</v>
      </c>
      <c r="FE112" s="139">
        <f t="shared" si="69"/>
        <v>0</v>
      </c>
      <c r="FF112" s="139">
        <f t="shared" si="70"/>
        <v>0</v>
      </c>
      <c r="FG112" s="139">
        <f t="shared" si="71"/>
        <v>0</v>
      </c>
      <c r="FH112" s="139">
        <f t="shared" si="72"/>
        <v>0</v>
      </c>
      <c r="FI112" s="139">
        <f t="shared" si="73"/>
        <v>0</v>
      </c>
      <c r="FJ112" s="139">
        <f t="shared" si="74"/>
        <v>0</v>
      </c>
      <c r="FK112" s="139">
        <f t="shared" si="75"/>
        <v>0</v>
      </c>
      <c r="FL112" s="139">
        <f t="shared" si="76"/>
        <v>0</v>
      </c>
      <c r="FM112" s="139">
        <f t="shared" si="77"/>
        <v>0</v>
      </c>
      <c r="FN112" s="139">
        <f t="shared" si="78"/>
        <v>0</v>
      </c>
      <c r="FO112" s="139">
        <f t="shared" si="79"/>
        <v>0</v>
      </c>
      <c r="FP112" s="139">
        <f t="shared" si="80"/>
        <v>0</v>
      </c>
      <c r="FQ112" s="139">
        <f t="shared" si="81"/>
        <v>0</v>
      </c>
      <c r="FR112" s="139">
        <f t="shared" si="82"/>
        <v>0</v>
      </c>
      <c r="FS112" s="139">
        <f t="shared" si="83"/>
        <v>0</v>
      </c>
      <c r="FT112" s="139">
        <f t="shared" si="84"/>
        <v>0</v>
      </c>
      <c r="FU112" s="148">
        <f t="shared" si="85"/>
        <v>0</v>
      </c>
      <c r="FV112" s="149"/>
      <c r="FY112" s="210">
        <v>107</v>
      </c>
      <c r="FZ112">
        <v>0.2456818880042031</v>
      </c>
      <c r="GA112">
        <v>8.1589844667536457</v>
      </c>
      <c r="GB112">
        <v>4.3112758818503059</v>
      </c>
      <c r="GC112">
        <v>7.1699391455242392</v>
      </c>
      <c r="GD112">
        <v>5.5924392976456918</v>
      </c>
      <c r="GE112">
        <v>1.0131231076971783</v>
      </c>
      <c r="GF112">
        <v>0.95082488560550527</v>
      </c>
      <c r="GG112">
        <v>1.8023658699504623</v>
      </c>
      <c r="GH112">
        <v>1.3247603501682221</v>
      </c>
      <c r="GI112">
        <v>5.5896036742120954</v>
      </c>
      <c r="GJ112"/>
      <c r="GK112"/>
      <c r="GL112"/>
      <c r="GM112"/>
    </row>
    <row r="113" spans="1:195" s="7" customFormat="1">
      <c r="A113" s="1"/>
      <c r="B113" s="76">
        <f ca="1">IF(C113="", "", RAND())</f>
        <v>0.77847765025641102</v>
      </c>
      <c r="C113">
        <v>1</v>
      </c>
      <c r="D113">
        <v>39714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6.4832112332112333</v>
      </c>
      <c r="AO113">
        <v>7.3492230132860552</v>
      </c>
      <c r="AP113">
        <v>25.350554619633741</v>
      </c>
      <c r="AQ113">
        <v>24.39892230379882</v>
      </c>
      <c r="AR113">
        <v>6.8174610512857647</v>
      </c>
      <c r="AS113">
        <v>30.728930089965065</v>
      </c>
      <c r="AT113" t="e">
        <v>#DIV/0!</v>
      </c>
      <c r="AU113" t="e">
        <v>#DIV/0!</v>
      </c>
      <c r="AV113"/>
      <c r="AW113"/>
      <c r="AX113" s="146"/>
      <c r="AY113" s="76">
        <f t="shared" ca="1" si="86"/>
        <v>0.48872425728415436</v>
      </c>
      <c r="AZ113">
        <v>6</v>
      </c>
      <c r="BA113" s="129">
        <f t="shared" si="127"/>
        <v>39714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 s="147"/>
      <c r="CH113" s="176"/>
      <c r="CJ113" s="146"/>
      <c r="CK113" s="76">
        <f t="shared" ca="1" si="88"/>
        <v>0.20542339448090896</v>
      </c>
      <c r="CL113" s="179">
        <f t="shared" si="89"/>
        <v>6</v>
      </c>
      <c r="CM113" s="180">
        <f t="shared" si="90"/>
        <v>39714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 s="160"/>
      <c r="CW113">
        <v>1</v>
      </c>
      <c r="CX113">
        <v>1</v>
      </c>
      <c r="CY113" s="164"/>
      <c r="CZ113" s="177">
        <f t="shared" si="91"/>
        <v>9.6000000000000002E-2</v>
      </c>
      <c r="DB113" s="146"/>
      <c r="DC113" s="76">
        <f t="shared" ca="1" si="49"/>
        <v>0.73322776536353107</v>
      </c>
      <c r="DD113">
        <f t="shared" si="92"/>
        <v>6</v>
      </c>
      <c r="DE113" s="129">
        <f t="shared" si="126"/>
        <v>39714</v>
      </c>
      <c r="DF113" s="161">
        <f t="shared" si="93"/>
        <v>0</v>
      </c>
      <c r="DG113" s="161">
        <f t="shared" si="94"/>
        <v>0</v>
      </c>
      <c r="DH113" s="161">
        <f t="shared" si="95"/>
        <v>0</v>
      </c>
      <c r="DI113" s="161">
        <f t="shared" si="96"/>
        <v>0</v>
      </c>
      <c r="DJ113" s="161">
        <f t="shared" si="97"/>
        <v>0</v>
      </c>
      <c r="DK113" s="161">
        <f t="shared" si="98"/>
        <v>0</v>
      </c>
      <c r="DL113" s="161">
        <f t="shared" si="99"/>
        <v>0</v>
      </c>
      <c r="DM113" s="161">
        <f t="shared" si="100"/>
        <v>0</v>
      </c>
      <c r="DN113" s="161">
        <f t="shared" si="101"/>
        <v>0</v>
      </c>
      <c r="DO113" s="161">
        <f t="shared" si="102"/>
        <v>0</v>
      </c>
      <c r="DP113" s="161">
        <f t="shared" si="103"/>
        <v>0</v>
      </c>
      <c r="DQ113" s="161">
        <f t="shared" si="104"/>
        <v>0</v>
      </c>
      <c r="DR113" s="161">
        <f t="shared" si="105"/>
        <v>0</v>
      </c>
      <c r="DS113" s="161">
        <f t="shared" si="106"/>
        <v>0</v>
      </c>
      <c r="DT113" s="161">
        <f t="shared" si="107"/>
        <v>0</v>
      </c>
      <c r="DU113" s="161">
        <f t="shared" si="108"/>
        <v>0</v>
      </c>
      <c r="DV113" s="161">
        <f t="shared" si="109"/>
        <v>0</v>
      </c>
      <c r="DW113" s="161">
        <f t="shared" si="110"/>
        <v>0</v>
      </c>
      <c r="DX113" s="161">
        <f t="shared" si="111"/>
        <v>0</v>
      </c>
      <c r="DY113" s="161">
        <f t="shared" si="112"/>
        <v>0</v>
      </c>
      <c r="DZ113" s="161">
        <f t="shared" si="113"/>
        <v>0</v>
      </c>
      <c r="EA113" s="161">
        <f t="shared" si="114"/>
        <v>0</v>
      </c>
      <c r="EB113" s="161">
        <f t="shared" si="115"/>
        <v>0</v>
      </c>
      <c r="EC113" s="161">
        <f t="shared" si="116"/>
        <v>0</v>
      </c>
      <c r="ED113" s="161">
        <f t="shared" si="117"/>
        <v>0</v>
      </c>
      <c r="EE113" s="161">
        <f t="shared" si="118"/>
        <v>0</v>
      </c>
      <c r="EF113" s="161">
        <f t="shared" si="119"/>
        <v>0</v>
      </c>
      <c r="EG113" s="161">
        <f t="shared" si="120"/>
        <v>0</v>
      </c>
      <c r="EH113" s="161">
        <f t="shared" si="121"/>
        <v>0</v>
      </c>
      <c r="EI113" s="161">
        <f t="shared" si="122"/>
        <v>0</v>
      </c>
      <c r="EJ113" s="161">
        <f t="shared" si="123"/>
        <v>0</v>
      </c>
      <c r="EK113" s="147">
        <f t="shared" si="53"/>
        <v>0</v>
      </c>
      <c r="EL113" s="149"/>
      <c r="EN113" s="146"/>
      <c r="EO113" s="146"/>
      <c r="EP113" s="139">
        <f t="shared" si="54"/>
        <v>0</v>
      </c>
      <c r="EQ113" s="139">
        <f t="shared" si="55"/>
        <v>0</v>
      </c>
      <c r="ER113" s="139">
        <f t="shared" si="56"/>
        <v>0</v>
      </c>
      <c r="ES113" s="139">
        <f t="shared" si="57"/>
        <v>0</v>
      </c>
      <c r="ET113" s="139">
        <f t="shared" si="58"/>
        <v>0</v>
      </c>
      <c r="EU113" s="139">
        <f t="shared" si="59"/>
        <v>0</v>
      </c>
      <c r="EV113" s="139">
        <f t="shared" si="60"/>
        <v>0</v>
      </c>
      <c r="EW113" s="139">
        <f t="shared" si="61"/>
        <v>0</v>
      </c>
      <c r="EX113" s="139">
        <f t="shared" si="62"/>
        <v>0</v>
      </c>
      <c r="EY113" s="139">
        <f t="shared" si="63"/>
        <v>0</v>
      </c>
      <c r="EZ113" s="139">
        <f t="shared" si="64"/>
        <v>0</v>
      </c>
      <c r="FA113" s="139">
        <f t="shared" si="65"/>
        <v>0</v>
      </c>
      <c r="FB113" s="139">
        <f t="shared" si="66"/>
        <v>0</v>
      </c>
      <c r="FC113" s="139">
        <f t="shared" si="67"/>
        <v>0</v>
      </c>
      <c r="FD113" s="139">
        <f t="shared" si="68"/>
        <v>0</v>
      </c>
      <c r="FE113" s="139">
        <f t="shared" si="69"/>
        <v>0</v>
      </c>
      <c r="FF113" s="139">
        <f t="shared" si="70"/>
        <v>0</v>
      </c>
      <c r="FG113" s="139">
        <f t="shared" si="71"/>
        <v>0</v>
      </c>
      <c r="FH113" s="139">
        <f t="shared" si="72"/>
        <v>0</v>
      </c>
      <c r="FI113" s="139">
        <f t="shared" si="73"/>
        <v>0</v>
      </c>
      <c r="FJ113" s="139">
        <f t="shared" si="74"/>
        <v>0</v>
      </c>
      <c r="FK113" s="139">
        <f t="shared" si="75"/>
        <v>0</v>
      </c>
      <c r="FL113" s="139">
        <f t="shared" si="76"/>
        <v>0</v>
      </c>
      <c r="FM113" s="139">
        <f t="shared" si="77"/>
        <v>0</v>
      </c>
      <c r="FN113" s="139">
        <f t="shared" si="78"/>
        <v>0</v>
      </c>
      <c r="FO113" s="139">
        <f t="shared" si="79"/>
        <v>0</v>
      </c>
      <c r="FP113" s="139">
        <f t="shared" si="80"/>
        <v>0</v>
      </c>
      <c r="FQ113" s="139">
        <f t="shared" si="81"/>
        <v>0</v>
      </c>
      <c r="FR113" s="139">
        <f t="shared" si="82"/>
        <v>0</v>
      </c>
      <c r="FS113" s="139">
        <f t="shared" si="83"/>
        <v>0</v>
      </c>
      <c r="FT113" s="139">
        <f t="shared" si="84"/>
        <v>0</v>
      </c>
      <c r="FU113" s="148">
        <f t="shared" si="85"/>
        <v>0</v>
      </c>
      <c r="FV113" s="149"/>
      <c r="FY113" s="210">
        <v>108</v>
      </c>
      <c r="FZ113">
        <v>0.27886497278940114</v>
      </c>
      <c r="GA113">
        <v>1.3023920046892128</v>
      </c>
      <c r="GB113">
        <v>1.0445179814772214</v>
      </c>
      <c r="GC113">
        <v>13.781576476472413</v>
      </c>
      <c r="GD113">
        <v>11.106792821943154</v>
      </c>
      <c r="GE113">
        <v>2.202097913323446</v>
      </c>
      <c r="GF113">
        <v>0.5704949313633032</v>
      </c>
      <c r="GG113">
        <v>1.4662212121236342</v>
      </c>
      <c r="GH113">
        <v>1.3247603501682221</v>
      </c>
      <c r="GI113">
        <v>8.4347689281196558</v>
      </c>
      <c r="GJ113"/>
      <c r="GK113"/>
      <c r="GL113"/>
      <c r="GM113"/>
    </row>
    <row r="114" spans="1:195" s="7" customFormat="1">
      <c r="A114" s="1"/>
      <c r="B114" s="76">
        <f ca="1">IF(C114="", "", RAND())</f>
        <v>0.33100773873469613</v>
      </c>
      <c r="C114">
        <v>4</v>
      </c>
      <c r="D114">
        <v>39714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3.5300480769230766</v>
      </c>
      <c r="AO114">
        <v>4.2109771471581601</v>
      </c>
      <c r="AP114">
        <v>22.437947272323562</v>
      </c>
      <c r="AQ114">
        <v>17.770711091764436</v>
      </c>
      <c r="AR114">
        <v>3.853421558853845</v>
      </c>
      <c r="AS114">
        <v>16.256334772025252</v>
      </c>
      <c r="AT114" t="e">
        <v>#DIV/0!</v>
      </c>
      <c r="AU114" t="e">
        <v>#DIV/0!</v>
      </c>
      <c r="AV114"/>
      <c r="AW114"/>
      <c r="AX114" s="146"/>
      <c r="AY114" s="76">
        <f t="shared" ca="1" si="86"/>
        <v>0.49057710364159024</v>
      </c>
      <c r="AZ114">
        <v>7</v>
      </c>
      <c r="BA114" s="129">
        <f t="shared" si="127"/>
        <v>39714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 s="147"/>
      <c r="CH114" s="176"/>
      <c r="CJ114" s="146"/>
      <c r="CK114" s="76">
        <f t="shared" ca="1" si="88"/>
        <v>0.27466142743796684</v>
      </c>
      <c r="CL114" s="179">
        <f t="shared" si="89"/>
        <v>7</v>
      </c>
      <c r="CM114" s="180">
        <f t="shared" si="90"/>
        <v>39714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 s="160"/>
      <c r="CW114">
        <v>1</v>
      </c>
      <c r="CX114">
        <v>1</v>
      </c>
      <c r="CY114" s="164"/>
      <c r="CZ114" s="177">
        <f t="shared" si="91"/>
        <v>9.6000000000000002E-2</v>
      </c>
      <c r="DB114" s="146"/>
      <c r="DC114" s="76">
        <f t="shared" ca="1" si="49"/>
        <v>0.49049079735988821</v>
      </c>
      <c r="DD114">
        <f t="shared" si="92"/>
        <v>7</v>
      </c>
      <c r="DE114" s="129">
        <f t="shared" si="126"/>
        <v>39714</v>
      </c>
      <c r="DF114" s="161">
        <f t="shared" si="93"/>
        <v>0</v>
      </c>
      <c r="DG114" s="161">
        <f t="shared" si="94"/>
        <v>0</v>
      </c>
      <c r="DH114" s="161">
        <f t="shared" si="95"/>
        <v>0</v>
      </c>
      <c r="DI114" s="161">
        <f t="shared" si="96"/>
        <v>0</v>
      </c>
      <c r="DJ114" s="161">
        <f t="shared" si="97"/>
        <v>0</v>
      </c>
      <c r="DK114" s="161">
        <f t="shared" si="98"/>
        <v>0</v>
      </c>
      <c r="DL114" s="161">
        <f t="shared" si="99"/>
        <v>0</v>
      </c>
      <c r="DM114" s="161">
        <f t="shared" si="100"/>
        <v>0</v>
      </c>
      <c r="DN114" s="161">
        <f t="shared" si="101"/>
        <v>0</v>
      </c>
      <c r="DO114" s="161">
        <f t="shared" si="102"/>
        <v>0</v>
      </c>
      <c r="DP114" s="161">
        <f t="shared" si="103"/>
        <v>0</v>
      </c>
      <c r="DQ114" s="161">
        <f t="shared" si="104"/>
        <v>0</v>
      </c>
      <c r="DR114" s="161">
        <f t="shared" si="105"/>
        <v>0</v>
      </c>
      <c r="DS114" s="161">
        <f t="shared" si="106"/>
        <v>0</v>
      </c>
      <c r="DT114" s="161">
        <f t="shared" si="107"/>
        <v>0</v>
      </c>
      <c r="DU114" s="161">
        <f t="shared" si="108"/>
        <v>0</v>
      </c>
      <c r="DV114" s="161">
        <f t="shared" si="109"/>
        <v>0</v>
      </c>
      <c r="DW114" s="161">
        <f t="shared" si="110"/>
        <v>0</v>
      </c>
      <c r="DX114" s="161">
        <f t="shared" si="111"/>
        <v>0</v>
      </c>
      <c r="DY114" s="161">
        <f t="shared" si="112"/>
        <v>0</v>
      </c>
      <c r="DZ114" s="161">
        <f t="shared" si="113"/>
        <v>0</v>
      </c>
      <c r="EA114" s="161">
        <f t="shared" si="114"/>
        <v>0</v>
      </c>
      <c r="EB114" s="161">
        <f t="shared" si="115"/>
        <v>0</v>
      </c>
      <c r="EC114" s="161">
        <f t="shared" si="116"/>
        <v>0</v>
      </c>
      <c r="ED114" s="161">
        <f t="shared" si="117"/>
        <v>0</v>
      </c>
      <c r="EE114" s="161">
        <f t="shared" si="118"/>
        <v>0</v>
      </c>
      <c r="EF114" s="161">
        <f t="shared" si="119"/>
        <v>0</v>
      </c>
      <c r="EG114" s="161">
        <f t="shared" si="120"/>
        <v>0</v>
      </c>
      <c r="EH114" s="161">
        <f t="shared" si="121"/>
        <v>0</v>
      </c>
      <c r="EI114" s="161">
        <f t="shared" si="122"/>
        <v>0</v>
      </c>
      <c r="EJ114" s="161">
        <f t="shared" si="123"/>
        <v>0</v>
      </c>
      <c r="EK114" s="147">
        <f t="shared" si="53"/>
        <v>0</v>
      </c>
      <c r="EL114" s="149"/>
      <c r="EN114" s="146"/>
      <c r="EO114" s="146"/>
      <c r="EP114" s="139">
        <f t="shared" si="54"/>
        <v>0</v>
      </c>
      <c r="EQ114" s="139">
        <f t="shared" si="55"/>
        <v>0</v>
      </c>
      <c r="ER114" s="139">
        <f t="shared" si="56"/>
        <v>0</v>
      </c>
      <c r="ES114" s="139">
        <f t="shared" si="57"/>
        <v>0</v>
      </c>
      <c r="ET114" s="139">
        <f t="shared" si="58"/>
        <v>0</v>
      </c>
      <c r="EU114" s="139">
        <f t="shared" si="59"/>
        <v>0</v>
      </c>
      <c r="EV114" s="139">
        <f t="shared" si="60"/>
        <v>0</v>
      </c>
      <c r="EW114" s="139">
        <f t="shared" si="61"/>
        <v>0</v>
      </c>
      <c r="EX114" s="139">
        <f t="shared" si="62"/>
        <v>0</v>
      </c>
      <c r="EY114" s="139">
        <f t="shared" si="63"/>
        <v>0</v>
      </c>
      <c r="EZ114" s="139">
        <f t="shared" si="64"/>
        <v>0</v>
      </c>
      <c r="FA114" s="139">
        <f t="shared" si="65"/>
        <v>0</v>
      </c>
      <c r="FB114" s="139">
        <f t="shared" si="66"/>
        <v>0</v>
      </c>
      <c r="FC114" s="139">
        <f t="shared" si="67"/>
        <v>0</v>
      </c>
      <c r="FD114" s="139">
        <f t="shared" si="68"/>
        <v>0</v>
      </c>
      <c r="FE114" s="139">
        <f t="shared" si="69"/>
        <v>0</v>
      </c>
      <c r="FF114" s="139">
        <f t="shared" si="70"/>
        <v>0</v>
      </c>
      <c r="FG114" s="139">
        <f t="shared" si="71"/>
        <v>0</v>
      </c>
      <c r="FH114" s="139">
        <f t="shared" si="72"/>
        <v>0</v>
      </c>
      <c r="FI114" s="139">
        <f t="shared" si="73"/>
        <v>0</v>
      </c>
      <c r="FJ114" s="139">
        <f t="shared" si="74"/>
        <v>0</v>
      </c>
      <c r="FK114" s="139">
        <f t="shared" si="75"/>
        <v>0</v>
      </c>
      <c r="FL114" s="139">
        <f t="shared" si="76"/>
        <v>0</v>
      </c>
      <c r="FM114" s="139">
        <f t="shared" si="77"/>
        <v>0</v>
      </c>
      <c r="FN114" s="139">
        <f t="shared" si="78"/>
        <v>0</v>
      </c>
      <c r="FO114" s="139">
        <f t="shared" si="79"/>
        <v>0</v>
      </c>
      <c r="FP114" s="139">
        <f t="shared" si="80"/>
        <v>0</v>
      </c>
      <c r="FQ114" s="139">
        <f t="shared" si="81"/>
        <v>0</v>
      </c>
      <c r="FR114" s="139">
        <f t="shared" si="82"/>
        <v>0</v>
      </c>
      <c r="FS114" s="139">
        <f t="shared" si="83"/>
        <v>0</v>
      </c>
      <c r="FT114" s="139">
        <f t="shared" si="84"/>
        <v>0</v>
      </c>
      <c r="FU114" s="148">
        <f t="shared" si="85"/>
        <v>0</v>
      </c>
      <c r="FV114" s="149"/>
      <c r="FY114" s="210">
        <v>109</v>
      </c>
      <c r="FZ114">
        <v>3.3183084785198033E-2</v>
      </c>
      <c r="GA114">
        <v>2.8228675547052076</v>
      </c>
      <c r="GB114">
        <v>2.4714648014135903</v>
      </c>
      <c r="GC114">
        <v>7.7217531412599634</v>
      </c>
      <c r="GD114">
        <v>6.2708113783570134</v>
      </c>
      <c r="GE114">
        <v>1.9893222980934662</v>
      </c>
      <c r="GF114">
        <v>0</v>
      </c>
      <c r="GG114">
        <v>0.96200422538339236</v>
      </c>
      <c r="GH114">
        <v>1.3247603501682221</v>
      </c>
      <c r="GI114">
        <v>5.3874188608540523</v>
      </c>
      <c r="GJ114"/>
      <c r="GK114"/>
      <c r="GL114"/>
      <c r="GM114"/>
    </row>
    <row r="115" spans="1:195" s="7" customFormat="1">
      <c r="A115" s="1"/>
      <c r="B115" s="76">
        <f ca="1">IF(C115="", "", RAND())</f>
        <v>0.3970368616484623</v>
      </c>
      <c r="C115">
        <v>9</v>
      </c>
      <c r="D115">
        <v>39714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10.416666666666666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9.927655677655677</v>
      </c>
      <c r="AO115">
        <v>10.997348937556589</v>
      </c>
      <c r="AP115">
        <v>31.584030746740897</v>
      </c>
      <c r="AQ115">
        <v>34.73575559234019</v>
      </c>
      <c r="AR115">
        <v>10.201622391054348</v>
      </c>
      <c r="AS115">
        <v>49.730472334670907</v>
      </c>
      <c r="AT115" t="e">
        <v>#DIV/0!</v>
      </c>
      <c r="AU115" t="e">
        <v>#DIV/0!</v>
      </c>
      <c r="AV115"/>
      <c r="AW115"/>
      <c r="AX115" s="146"/>
      <c r="AY115" s="76">
        <f t="shared" ca="1" si="86"/>
        <v>0.81754114319357463</v>
      </c>
      <c r="AZ115">
        <v>8</v>
      </c>
      <c r="BA115" s="129">
        <f t="shared" si="127"/>
        <v>39714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 s="147"/>
      <c r="CH115" s="176"/>
      <c r="CJ115" s="146"/>
      <c r="CK115" s="76">
        <f t="shared" ca="1" si="88"/>
        <v>0.26864118566113282</v>
      </c>
      <c r="CL115" s="179">
        <f t="shared" si="89"/>
        <v>8</v>
      </c>
      <c r="CM115" s="180">
        <f t="shared" si="90"/>
        <v>39714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 s="160"/>
      <c r="CW115">
        <v>1</v>
      </c>
      <c r="CX115">
        <v>1</v>
      </c>
      <c r="CY115" s="164"/>
      <c r="CZ115" s="177">
        <f t="shared" si="91"/>
        <v>9.6000000000000002E-2</v>
      </c>
      <c r="DB115" s="146"/>
      <c r="DC115" s="76">
        <f t="shared" ca="1" si="49"/>
        <v>0.98874964211144611</v>
      </c>
      <c r="DD115">
        <f t="shared" si="92"/>
        <v>8</v>
      </c>
      <c r="DE115" s="129">
        <f t="shared" si="126"/>
        <v>39714</v>
      </c>
      <c r="DF115" s="161">
        <f t="shared" si="93"/>
        <v>0</v>
      </c>
      <c r="DG115" s="161">
        <f t="shared" si="94"/>
        <v>0</v>
      </c>
      <c r="DH115" s="161">
        <f t="shared" si="95"/>
        <v>0</v>
      </c>
      <c r="DI115" s="161">
        <f t="shared" si="96"/>
        <v>0</v>
      </c>
      <c r="DJ115" s="161">
        <f t="shared" si="97"/>
        <v>0</v>
      </c>
      <c r="DK115" s="161">
        <f t="shared" si="98"/>
        <v>0</v>
      </c>
      <c r="DL115" s="161">
        <f t="shared" si="99"/>
        <v>0</v>
      </c>
      <c r="DM115" s="161">
        <f t="shared" si="100"/>
        <v>0</v>
      </c>
      <c r="DN115" s="161">
        <f t="shared" si="101"/>
        <v>0</v>
      </c>
      <c r="DO115" s="161">
        <f t="shared" si="102"/>
        <v>0</v>
      </c>
      <c r="DP115" s="161">
        <f t="shared" si="103"/>
        <v>0</v>
      </c>
      <c r="DQ115" s="161">
        <f t="shared" si="104"/>
        <v>0</v>
      </c>
      <c r="DR115" s="161">
        <f t="shared" si="105"/>
        <v>0</v>
      </c>
      <c r="DS115" s="161">
        <f t="shared" si="106"/>
        <v>0</v>
      </c>
      <c r="DT115" s="161">
        <f t="shared" si="107"/>
        <v>0</v>
      </c>
      <c r="DU115" s="161">
        <f t="shared" si="108"/>
        <v>0</v>
      </c>
      <c r="DV115" s="161">
        <f t="shared" si="109"/>
        <v>0</v>
      </c>
      <c r="DW115" s="161">
        <f t="shared" si="110"/>
        <v>0</v>
      </c>
      <c r="DX115" s="161">
        <f t="shared" si="111"/>
        <v>0</v>
      </c>
      <c r="DY115" s="161">
        <f t="shared" si="112"/>
        <v>0</v>
      </c>
      <c r="DZ115" s="161">
        <f t="shared" si="113"/>
        <v>0</v>
      </c>
      <c r="EA115" s="161">
        <f t="shared" si="114"/>
        <v>0</v>
      </c>
      <c r="EB115" s="161">
        <f t="shared" si="115"/>
        <v>0</v>
      </c>
      <c r="EC115" s="161">
        <f t="shared" si="116"/>
        <v>0</v>
      </c>
      <c r="ED115" s="161">
        <f t="shared" si="117"/>
        <v>0</v>
      </c>
      <c r="EE115" s="161">
        <f t="shared" si="118"/>
        <v>0</v>
      </c>
      <c r="EF115" s="161">
        <f t="shared" si="119"/>
        <v>0</v>
      </c>
      <c r="EG115" s="161">
        <f t="shared" si="120"/>
        <v>0</v>
      </c>
      <c r="EH115" s="161">
        <f t="shared" si="121"/>
        <v>0</v>
      </c>
      <c r="EI115" s="161">
        <f t="shared" si="122"/>
        <v>0</v>
      </c>
      <c r="EJ115" s="161">
        <f t="shared" si="123"/>
        <v>0</v>
      </c>
      <c r="EK115" s="147">
        <f t="shared" si="53"/>
        <v>0</v>
      </c>
      <c r="EL115" s="149"/>
      <c r="EN115" s="146"/>
      <c r="EO115" s="146"/>
      <c r="EP115" s="139">
        <f t="shared" si="54"/>
        <v>0</v>
      </c>
      <c r="EQ115" s="139">
        <f t="shared" si="55"/>
        <v>0</v>
      </c>
      <c r="ER115" s="139">
        <f t="shared" si="56"/>
        <v>0</v>
      </c>
      <c r="ES115" s="139">
        <f t="shared" si="57"/>
        <v>0</v>
      </c>
      <c r="ET115" s="139">
        <f t="shared" si="58"/>
        <v>0</v>
      </c>
      <c r="EU115" s="139">
        <f t="shared" si="59"/>
        <v>0</v>
      </c>
      <c r="EV115" s="139">
        <f t="shared" si="60"/>
        <v>0</v>
      </c>
      <c r="EW115" s="139">
        <f t="shared" si="61"/>
        <v>0</v>
      </c>
      <c r="EX115" s="139">
        <f t="shared" si="62"/>
        <v>0</v>
      </c>
      <c r="EY115" s="139">
        <f t="shared" si="63"/>
        <v>0</v>
      </c>
      <c r="EZ115" s="139">
        <f t="shared" si="64"/>
        <v>0</v>
      </c>
      <c r="FA115" s="139">
        <f t="shared" si="65"/>
        <v>0</v>
      </c>
      <c r="FB115" s="139">
        <f t="shared" si="66"/>
        <v>0</v>
      </c>
      <c r="FC115" s="139">
        <f t="shared" si="67"/>
        <v>0</v>
      </c>
      <c r="FD115" s="139">
        <f t="shared" si="68"/>
        <v>0</v>
      </c>
      <c r="FE115" s="139">
        <f t="shared" si="69"/>
        <v>0</v>
      </c>
      <c r="FF115" s="139">
        <f t="shared" si="70"/>
        <v>0</v>
      </c>
      <c r="FG115" s="139">
        <f t="shared" si="71"/>
        <v>0</v>
      </c>
      <c r="FH115" s="139">
        <f t="shared" si="72"/>
        <v>0</v>
      </c>
      <c r="FI115" s="139">
        <f t="shared" si="73"/>
        <v>0</v>
      </c>
      <c r="FJ115" s="139">
        <f t="shared" si="74"/>
        <v>0</v>
      </c>
      <c r="FK115" s="139">
        <f t="shared" si="75"/>
        <v>0</v>
      </c>
      <c r="FL115" s="139">
        <f t="shared" si="76"/>
        <v>0</v>
      </c>
      <c r="FM115" s="139">
        <f t="shared" si="77"/>
        <v>0</v>
      </c>
      <c r="FN115" s="139">
        <f t="shared" si="78"/>
        <v>0</v>
      </c>
      <c r="FO115" s="139">
        <f t="shared" si="79"/>
        <v>0</v>
      </c>
      <c r="FP115" s="139">
        <f t="shared" si="80"/>
        <v>0</v>
      </c>
      <c r="FQ115" s="139">
        <f t="shared" si="81"/>
        <v>0</v>
      </c>
      <c r="FR115" s="139">
        <f t="shared" si="82"/>
        <v>0</v>
      </c>
      <c r="FS115" s="139">
        <f t="shared" si="83"/>
        <v>0</v>
      </c>
      <c r="FT115" s="139">
        <f t="shared" si="84"/>
        <v>0</v>
      </c>
      <c r="FU115" s="148">
        <f t="shared" si="85"/>
        <v>0</v>
      </c>
      <c r="FV115" s="149"/>
      <c r="FY115" s="210">
        <v>110</v>
      </c>
      <c r="FZ115">
        <v>0.77022874879780745</v>
      </c>
      <c r="GA115">
        <v>5.6288347734016799</v>
      </c>
      <c r="GB115">
        <v>2.2461549168315607</v>
      </c>
      <c r="GC115">
        <v>1.1527823522105829</v>
      </c>
      <c r="GD115">
        <v>1.5809747506713465</v>
      </c>
      <c r="GE115">
        <v>2.0437516149865345</v>
      </c>
      <c r="GF115">
        <v>1.4515512574996277</v>
      </c>
      <c r="GG115">
        <v>1.4662212121236342</v>
      </c>
      <c r="GH115">
        <v>1.3247603501682221</v>
      </c>
      <c r="GI115">
        <v>2.3298902043132661</v>
      </c>
      <c r="GJ115"/>
      <c r="GK115"/>
      <c r="GL115"/>
      <c r="GM115"/>
    </row>
    <row r="116" spans="1:195" s="7" customFormat="1">
      <c r="A116" s="1"/>
      <c r="B116" s="76">
        <f ca="1">IF(C116="", "", RAND())</f>
        <v>0.85371882561126133</v>
      </c>
      <c r="C116">
        <v>6</v>
      </c>
      <c r="D116">
        <v>39714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7.2198183760683765</v>
      </c>
      <c r="AO116">
        <v>8.355389538484058</v>
      </c>
      <c r="AP116">
        <v>25.468976880127524</v>
      </c>
      <c r="AQ116">
        <v>26.930017943203964</v>
      </c>
      <c r="AR116">
        <v>7.7508251748460646</v>
      </c>
      <c r="AS116">
        <v>31.99035946033009</v>
      </c>
      <c r="AT116" t="e">
        <v>#DIV/0!</v>
      </c>
      <c r="AU116" t="e">
        <v>#DIV/0!</v>
      </c>
      <c r="AV116"/>
      <c r="AW116"/>
      <c r="AX116" s="146"/>
      <c r="AY116" s="76">
        <f t="shared" ca="1" si="86"/>
        <v>0.6943768853847132</v>
      </c>
      <c r="AZ116">
        <v>9</v>
      </c>
      <c r="BA116" s="129">
        <f t="shared" si="127"/>
        <v>39714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1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 s="147"/>
      <c r="CH116" s="176"/>
      <c r="CJ116" s="146"/>
      <c r="CK116" s="76">
        <f t="shared" ca="1" si="88"/>
        <v>0.88016732061175529</v>
      </c>
      <c r="CL116" s="179">
        <f t="shared" si="89"/>
        <v>9</v>
      </c>
      <c r="CM116" s="180">
        <f t="shared" si="90"/>
        <v>39714</v>
      </c>
      <c r="CN116" s="220">
        <v>0</v>
      </c>
      <c r="CO116" s="220">
        <v>0</v>
      </c>
      <c r="CP116" s="220">
        <v>0</v>
      </c>
      <c r="CQ116" s="220">
        <v>0</v>
      </c>
      <c r="CR116" s="220">
        <v>0</v>
      </c>
      <c r="CS116" s="220">
        <v>0</v>
      </c>
      <c r="CT116">
        <v>0</v>
      </c>
      <c r="CU116">
        <v>0</v>
      </c>
      <c r="CV116" s="160"/>
      <c r="CW116">
        <v>1</v>
      </c>
      <c r="CX116">
        <f>300/31</f>
        <v>9.67741935483871</v>
      </c>
      <c r="CY116" s="164"/>
      <c r="CZ116" s="177">
        <f t="shared" si="91"/>
        <v>9.6000000000000002E-2</v>
      </c>
      <c r="DB116" s="146"/>
      <c r="DC116" s="76">
        <f t="shared" ca="1" si="49"/>
        <v>0.80029510268870574</v>
      </c>
      <c r="DD116">
        <f t="shared" si="92"/>
        <v>9</v>
      </c>
      <c r="DE116" s="129">
        <f t="shared" si="126"/>
        <v>39714</v>
      </c>
      <c r="DF116" s="161">
        <f t="shared" si="93"/>
        <v>0</v>
      </c>
      <c r="DG116" s="161">
        <f t="shared" si="94"/>
        <v>0</v>
      </c>
      <c r="DH116" s="161">
        <f t="shared" si="95"/>
        <v>0</v>
      </c>
      <c r="DI116" s="161">
        <f t="shared" si="96"/>
        <v>0</v>
      </c>
      <c r="DJ116" s="161">
        <f t="shared" si="97"/>
        <v>0</v>
      </c>
      <c r="DK116" s="161">
        <f t="shared" si="98"/>
        <v>0</v>
      </c>
      <c r="DL116" s="161">
        <f t="shared" si="99"/>
        <v>10.416666666666666</v>
      </c>
      <c r="DM116" s="161">
        <f t="shared" si="100"/>
        <v>0</v>
      </c>
      <c r="DN116" s="161">
        <f t="shared" si="101"/>
        <v>0</v>
      </c>
      <c r="DO116" s="161">
        <f t="shared" si="102"/>
        <v>0</v>
      </c>
      <c r="DP116" s="161">
        <f t="shared" si="103"/>
        <v>0</v>
      </c>
      <c r="DQ116" s="161">
        <f t="shared" si="104"/>
        <v>0</v>
      </c>
      <c r="DR116" s="161">
        <f t="shared" si="105"/>
        <v>0</v>
      </c>
      <c r="DS116" s="161">
        <f t="shared" si="106"/>
        <v>0</v>
      </c>
      <c r="DT116" s="161">
        <f t="shared" si="107"/>
        <v>0</v>
      </c>
      <c r="DU116" s="161">
        <f t="shared" si="108"/>
        <v>0</v>
      </c>
      <c r="DV116" s="161">
        <f t="shared" si="109"/>
        <v>0</v>
      </c>
      <c r="DW116" s="161">
        <f t="shared" si="110"/>
        <v>0</v>
      </c>
      <c r="DX116" s="161">
        <f t="shared" si="111"/>
        <v>0</v>
      </c>
      <c r="DY116" s="161">
        <f t="shared" si="112"/>
        <v>0</v>
      </c>
      <c r="DZ116" s="161">
        <f t="shared" si="113"/>
        <v>0</v>
      </c>
      <c r="EA116" s="161">
        <f t="shared" si="114"/>
        <v>0</v>
      </c>
      <c r="EB116" s="161">
        <f t="shared" si="115"/>
        <v>0</v>
      </c>
      <c r="EC116" s="161">
        <f t="shared" si="116"/>
        <v>0</v>
      </c>
      <c r="ED116" s="161">
        <f t="shared" si="117"/>
        <v>0</v>
      </c>
      <c r="EE116" s="161">
        <f t="shared" si="118"/>
        <v>0</v>
      </c>
      <c r="EF116" s="161">
        <f t="shared" si="119"/>
        <v>0</v>
      </c>
      <c r="EG116" s="161">
        <f t="shared" si="120"/>
        <v>0</v>
      </c>
      <c r="EH116" s="161">
        <f t="shared" si="121"/>
        <v>0</v>
      </c>
      <c r="EI116" s="161">
        <f t="shared" si="122"/>
        <v>0</v>
      </c>
      <c r="EJ116" s="161">
        <f t="shared" si="123"/>
        <v>0</v>
      </c>
      <c r="EK116" s="147">
        <f t="shared" si="53"/>
        <v>10.416666666666666</v>
      </c>
      <c r="EL116" s="149"/>
      <c r="EN116" s="146"/>
      <c r="EO116" s="146"/>
      <c r="EP116" s="139">
        <f t="shared" si="54"/>
        <v>0</v>
      </c>
      <c r="EQ116" s="139">
        <f t="shared" si="55"/>
        <v>0</v>
      </c>
      <c r="ER116" s="139">
        <f t="shared" si="56"/>
        <v>0</v>
      </c>
      <c r="ES116" s="139">
        <f t="shared" si="57"/>
        <v>0</v>
      </c>
      <c r="ET116" s="139">
        <f t="shared" si="58"/>
        <v>0</v>
      </c>
      <c r="EU116" s="139">
        <f t="shared" si="59"/>
        <v>0</v>
      </c>
      <c r="EV116" s="139">
        <f t="shared" si="60"/>
        <v>15.818462950080853</v>
      </c>
      <c r="EW116" s="139">
        <f t="shared" si="61"/>
        <v>0</v>
      </c>
      <c r="EX116" s="139">
        <f t="shared" si="62"/>
        <v>0</v>
      </c>
      <c r="EY116" s="139">
        <f t="shared" si="63"/>
        <v>0</v>
      </c>
      <c r="EZ116" s="139">
        <f t="shared" si="64"/>
        <v>0</v>
      </c>
      <c r="FA116" s="139">
        <f t="shared" si="65"/>
        <v>0</v>
      </c>
      <c r="FB116" s="139">
        <f t="shared" si="66"/>
        <v>0</v>
      </c>
      <c r="FC116" s="139">
        <f t="shared" si="67"/>
        <v>0</v>
      </c>
      <c r="FD116" s="139">
        <f t="shared" si="68"/>
        <v>0</v>
      </c>
      <c r="FE116" s="139">
        <f t="shared" si="69"/>
        <v>0</v>
      </c>
      <c r="FF116" s="139">
        <f t="shared" si="70"/>
        <v>0</v>
      </c>
      <c r="FG116" s="139">
        <f t="shared" si="71"/>
        <v>0</v>
      </c>
      <c r="FH116" s="139">
        <f t="shared" si="72"/>
        <v>0</v>
      </c>
      <c r="FI116" s="139">
        <f t="shared" si="73"/>
        <v>0</v>
      </c>
      <c r="FJ116" s="139">
        <f t="shared" si="74"/>
        <v>0</v>
      </c>
      <c r="FK116" s="139">
        <f t="shared" si="75"/>
        <v>0</v>
      </c>
      <c r="FL116" s="139">
        <f t="shared" si="76"/>
        <v>0</v>
      </c>
      <c r="FM116" s="139">
        <f t="shared" si="77"/>
        <v>0</v>
      </c>
      <c r="FN116" s="139">
        <f t="shared" si="78"/>
        <v>0</v>
      </c>
      <c r="FO116" s="139">
        <f t="shared" si="79"/>
        <v>0</v>
      </c>
      <c r="FP116" s="139">
        <f t="shared" si="80"/>
        <v>0</v>
      </c>
      <c r="FQ116" s="139">
        <f t="shared" si="81"/>
        <v>0</v>
      </c>
      <c r="FR116" s="139">
        <f t="shared" si="82"/>
        <v>0</v>
      </c>
      <c r="FS116" s="139">
        <f t="shared" si="83"/>
        <v>0</v>
      </c>
      <c r="FT116" s="139">
        <f t="shared" si="84"/>
        <v>0</v>
      </c>
      <c r="FU116" s="148">
        <f t="shared" si="85"/>
        <v>15.818462950080853</v>
      </c>
      <c r="FV116" s="149"/>
      <c r="FY116" s="210">
        <v>111</v>
      </c>
      <c r="FZ116">
        <v>0.31204805757459919</v>
      </c>
      <c r="GA116">
        <v>2.9117094171680087</v>
      </c>
      <c r="GB116">
        <v>1.7976162770147712</v>
      </c>
      <c r="GC116">
        <v>6.1304267979501219</v>
      </c>
      <c r="GD116">
        <v>5.4625190870382898</v>
      </c>
      <c r="GE116">
        <v>3.4248177274899532</v>
      </c>
      <c r="GF116">
        <v>2.9031025149992553</v>
      </c>
      <c r="GG116">
        <v>2.9324424242472684</v>
      </c>
      <c r="GH116">
        <v>2.6495207003364443</v>
      </c>
      <c r="GI116">
        <v>5.4569665055731438</v>
      </c>
      <c r="GJ116"/>
      <c r="GK116"/>
      <c r="GL116"/>
      <c r="GM116"/>
    </row>
    <row r="117" spans="1:195" s="7" customFormat="1">
      <c r="A117" s="1"/>
      <c r="B117" s="76">
        <f ca="1">IF(C117="", "", RAND())</f>
        <v>0.39639731480152918</v>
      </c>
      <c r="C117">
        <v>3</v>
      </c>
      <c r="D117">
        <v>39714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5.3633814102564097</v>
      </c>
      <c r="AO117">
        <v>4.2101346304343625</v>
      </c>
      <c r="AP117">
        <v>14.971297950126047</v>
      </c>
      <c r="AQ117">
        <v>15.392176149615754</v>
      </c>
      <c r="AR117">
        <v>3.8526400034514348</v>
      </c>
      <c r="AS117">
        <v>21.974367300145648</v>
      </c>
      <c r="AT117" t="e">
        <v>#DIV/0!</v>
      </c>
      <c r="AU117" t="e">
        <v>#DIV/0!</v>
      </c>
      <c r="AV117"/>
      <c r="AW117"/>
      <c r="AX117" s="146"/>
      <c r="AY117" s="76">
        <f t="shared" ca="1" si="86"/>
        <v>0.66819000047663124</v>
      </c>
      <c r="AZ117">
        <v>10</v>
      </c>
      <c r="BA117" s="129">
        <f t="shared" si="127"/>
        <v>39714</v>
      </c>
      <c r="BB117">
        <v>0</v>
      </c>
      <c r="BC117">
        <v>0</v>
      </c>
      <c r="BD117">
        <v>0</v>
      </c>
      <c r="BE117">
        <v>1</v>
      </c>
      <c r="BF117">
        <v>0</v>
      </c>
      <c r="BG117">
        <v>1</v>
      </c>
      <c r="BH117">
        <v>0</v>
      </c>
      <c r="BI117">
        <v>1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 s="147"/>
      <c r="CH117" s="176"/>
      <c r="CJ117" s="146"/>
      <c r="CK117" s="76">
        <f t="shared" ca="1" si="88"/>
        <v>0.8037372869866497</v>
      </c>
      <c r="CL117" s="179">
        <f t="shared" si="89"/>
        <v>10</v>
      </c>
      <c r="CM117" s="180">
        <f t="shared" si="90"/>
        <v>39714</v>
      </c>
      <c r="CN117">
        <v>0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 s="160"/>
      <c r="CW117">
        <v>1</v>
      </c>
      <c r="CX117">
        <f>300/35</f>
        <v>8.5714285714285712</v>
      </c>
      <c r="CY117" s="164"/>
      <c r="CZ117" s="177">
        <f t="shared" si="91"/>
        <v>9.6000000000000002E-2</v>
      </c>
      <c r="DB117" s="146"/>
      <c r="DC117" s="76">
        <f t="shared" ca="1" si="49"/>
        <v>0.6042126243780459</v>
      </c>
      <c r="DD117">
        <f t="shared" si="92"/>
        <v>10</v>
      </c>
      <c r="DE117" s="129">
        <f t="shared" si="126"/>
        <v>39714</v>
      </c>
      <c r="DF117" s="161">
        <f t="shared" si="93"/>
        <v>0</v>
      </c>
      <c r="DG117" s="161">
        <f t="shared" si="94"/>
        <v>89.285714285714278</v>
      </c>
      <c r="DH117" s="161">
        <f t="shared" si="95"/>
        <v>0</v>
      </c>
      <c r="DI117" s="161">
        <f t="shared" si="96"/>
        <v>10.416666666666666</v>
      </c>
      <c r="DJ117" s="161">
        <f t="shared" si="97"/>
        <v>0</v>
      </c>
      <c r="DK117" s="161">
        <f t="shared" si="98"/>
        <v>10.416666666666666</v>
      </c>
      <c r="DL117" s="161">
        <f t="shared" si="99"/>
        <v>0</v>
      </c>
      <c r="DM117" s="161">
        <f t="shared" si="100"/>
        <v>10.416666666666666</v>
      </c>
      <c r="DN117" s="161">
        <f t="shared" si="101"/>
        <v>0</v>
      </c>
      <c r="DO117" s="161">
        <f t="shared" si="102"/>
        <v>0</v>
      </c>
      <c r="DP117" s="161">
        <f t="shared" si="103"/>
        <v>0</v>
      </c>
      <c r="DQ117" s="161">
        <f t="shared" si="104"/>
        <v>0</v>
      </c>
      <c r="DR117" s="161">
        <f t="shared" si="105"/>
        <v>0</v>
      </c>
      <c r="DS117" s="161">
        <f t="shared" si="106"/>
        <v>0</v>
      </c>
      <c r="DT117" s="161">
        <f t="shared" si="107"/>
        <v>0</v>
      </c>
      <c r="DU117" s="161">
        <f t="shared" si="108"/>
        <v>0</v>
      </c>
      <c r="DV117" s="161">
        <f t="shared" si="109"/>
        <v>0</v>
      </c>
      <c r="DW117" s="161">
        <f t="shared" si="110"/>
        <v>0</v>
      </c>
      <c r="DX117" s="161">
        <f t="shared" si="111"/>
        <v>0</v>
      </c>
      <c r="DY117" s="161">
        <f t="shared" si="112"/>
        <v>0</v>
      </c>
      <c r="DZ117" s="161">
        <f t="shared" si="113"/>
        <v>0</v>
      </c>
      <c r="EA117" s="161">
        <f t="shared" si="114"/>
        <v>0</v>
      </c>
      <c r="EB117" s="161">
        <f t="shared" si="115"/>
        <v>0</v>
      </c>
      <c r="EC117" s="161">
        <f t="shared" si="116"/>
        <v>0</v>
      </c>
      <c r="ED117" s="161">
        <f t="shared" si="117"/>
        <v>0</v>
      </c>
      <c r="EE117" s="161">
        <f t="shared" si="118"/>
        <v>0</v>
      </c>
      <c r="EF117" s="161">
        <f t="shared" si="119"/>
        <v>0</v>
      </c>
      <c r="EG117" s="161">
        <f t="shared" si="120"/>
        <v>0</v>
      </c>
      <c r="EH117" s="161">
        <f t="shared" si="121"/>
        <v>0</v>
      </c>
      <c r="EI117" s="161">
        <f t="shared" si="122"/>
        <v>0</v>
      </c>
      <c r="EJ117" s="161">
        <f t="shared" si="123"/>
        <v>0</v>
      </c>
      <c r="EK117" s="147">
        <f t="shared" si="53"/>
        <v>120.53571428571429</v>
      </c>
      <c r="EL117" s="149"/>
      <c r="EN117" s="146"/>
      <c r="EO117" s="146"/>
      <c r="EP117" s="139">
        <f t="shared" si="54"/>
        <v>0</v>
      </c>
      <c r="EQ117" s="139">
        <f t="shared" si="55"/>
        <v>0.76721428571428563</v>
      </c>
      <c r="ER117" s="139">
        <f t="shared" si="56"/>
        <v>0</v>
      </c>
      <c r="ES117" s="139">
        <f t="shared" si="57"/>
        <v>2.13692684142134</v>
      </c>
      <c r="ET117" s="139">
        <f t="shared" si="58"/>
        <v>0</v>
      </c>
      <c r="EU117" s="139">
        <f t="shared" si="59"/>
        <v>9.3430536582431518</v>
      </c>
      <c r="EV117" s="139">
        <f t="shared" si="60"/>
        <v>0</v>
      </c>
      <c r="EW117" s="139">
        <f t="shared" si="61"/>
        <v>24.689176823161837</v>
      </c>
      <c r="EX117" s="139">
        <f t="shared" si="62"/>
        <v>0</v>
      </c>
      <c r="EY117" s="139">
        <f t="shared" si="63"/>
        <v>0</v>
      </c>
      <c r="EZ117" s="139">
        <f t="shared" si="64"/>
        <v>0</v>
      </c>
      <c r="FA117" s="139">
        <f t="shared" si="65"/>
        <v>0</v>
      </c>
      <c r="FB117" s="139">
        <f t="shared" si="66"/>
        <v>0</v>
      </c>
      <c r="FC117" s="139">
        <f t="shared" si="67"/>
        <v>0</v>
      </c>
      <c r="FD117" s="139">
        <f t="shared" si="68"/>
        <v>0</v>
      </c>
      <c r="FE117" s="139">
        <f t="shared" si="69"/>
        <v>0</v>
      </c>
      <c r="FF117" s="139">
        <f t="shared" si="70"/>
        <v>0</v>
      </c>
      <c r="FG117" s="139">
        <f t="shared" si="71"/>
        <v>0</v>
      </c>
      <c r="FH117" s="139">
        <f t="shared" si="72"/>
        <v>0</v>
      </c>
      <c r="FI117" s="139">
        <f t="shared" si="73"/>
        <v>0</v>
      </c>
      <c r="FJ117" s="139">
        <f t="shared" si="74"/>
        <v>0</v>
      </c>
      <c r="FK117" s="139">
        <f t="shared" si="75"/>
        <v>0</v>
      </c>
      <c r="FL117" s="139">
        <f t="shared" si="76"/>
        <v>0</v>
      </c>
      <c r="FM117" s="139">
        <f t="shared" si="77"/>
        <v>0</v>
      </c>
      <c r="FN117" s="139">
        <f t="shared" si="78"/>
        <v>0</v>
      </c>
      <c r="FO117" s="139">
        <f t="shared" si="79"/>
        <v>0</v>
      </c>
      <c r="FP117" s="139">
        <f t="shared" si="80"/>
        <v>0</v>
      </c>
      <c r="FQ117" s="139">
        <f t="shared" si="81"/>
        <v>0</v>
      </c>
      <c r="FR117" s="139">
        <f t="shared" si="82"/>
        <v>0</v>
      </c>
      <c r="FS117" s="139">
        <f t="shared" si="83"/>
        <v>0</v>
      </c>
      <c r="FT117" s="139">
        <f t="shared" si="84"/>
        <v>0</v>
      </c>
      <c r="FU117" s="148">
        <f t="shared" si="85"/>
        <v>36.936371608540611</v>
      </c>
      <c r="FV117" s="149"/>
      <c r="FY117" s="210">
        <v>112</v>
      </c>
      <c r="FZ117">
        <v>3.3183084785198033E-2</v>
      </c>
      <c r="GA117">
        <v>0.88697555135127926</v>
      </c>
      <c r="GB117">
        <v>0.40851731109667855</v>
      </c>
      <c r="GC117">
        <v>1.425307790912355</v>
      </c>
      <c r="GD117">
        <v>1.7083827597429919</v>
      </c>
      <c r="GE117">
        <v>1.8691657077015624</v>
      </c>
      <c r="GF117">
        <v>1.2613862803785265</v>
      </c>
      <c r="GG117">
        <v>1.2981488832102204</v>
      </c>
      <c r="GH117">
        <v>1.3247603501682221</v>
      </c>
      <c r="GI117">
        <v>1.7576298441834124</v>
      </c>
      <c r="GJ117"/>
      <c r="GK117"/>
      <c r="GL117"/>
      <c r="GM117"/>
    </row>
    <row r="118" spans="1:195" s="7" customFormat="1">
      <c r="A118" s="128"/>
      <c r="B118" s="76">
        <f ca="1">IF(C118="", "", RAND())</f>
        <v>0.52371713209930171</v>
      </c>
      <c r="C118">
        <v>5</v>
      </c>
      <c r="D118">
        <v>39747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10.416666666666666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3.0717147435897436</v>
      </c>
      <c r="AO118">
        <v>2.7552566742514748</v>
      </c>
      <c r="AP118">
        <v>15.867980726059429</v>
      </c>
      <c r="AQ118">
        <v>13.323810390914467</v>
      </c>
      <c r="AR118">
        <v>2.5030315097752878</v>
      </c>
      <c r="AS118">
        <v>13.003825490008699</v>
      </c>
      <c r="AT118" t="e">
        <v>#DIV/0!</v>
      </c>
      <c r="AU118" t="e">
        <v>#DIV/0!</v>
      </c>
      <c r="AV118"/>
      <c r="AW118"/>
      <c r="AX118" s="128"/>
      <c r="AY118" s="76">
        <f t="shared" ca="1" si="86"/>
        <v>0.41963465277892897</v>
      </c>
      <c r="AZ118">
        <v>1</v>
      </c>
      <c r="BA118" s="129">
        <f>IF(AZ118="", "",$C$7)</f>
        <v>39747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 s="147"/>
      <c r="CH118" s="176"/>
      <c r="CJ118" s="128"/>
      <c r="CK118" s="76">
        <f t="shared" ca="1" si="88"/>
        <v>0.94324884105542761</v>
      </c>
      <c r="CL118" s="179">
        <f t="shared" si="89"/>
        <v>1</v>
      </c>
      <c r="CM118" s="180">
        <f t="shared" si="90"/>
        <v>39747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 s="160"/>
      <c r="CW118">
        <v>1</v>
      </c>
      <c r="CX118">
        <f>350/42</f>
        <v>8.3333333333333339</v>
      </c>
      <c r="CY118" s="160"/>
      <c r="CZ118" s="177">
        <f t="shared" si="91"/>
        <v>9.6000000000000002E-2</v>
      </c>
      <c r="DB118" s="128"/>
      <c r="DC118" s="76">
        <f t="shared" ca="1" si="49"/>
        <v>0.37739515049528283</v>
      </c>
      <c r="DD118">
        <f t="shared" si="92"/>
        <v>1</v>
      </c>
      <c r="DE118" s="129">
        <f t="shared" ref="DE118:DE127" si="128">IF((DD118)="", "", $C$7)</f>
        <v>39747</v>
      </c>
      <c r="DF118" s="161">
        <f t="shared" si="93"/>
        <v>0</v>
      </c>
      <c r="DG118" s="161">
        <f t="shared" si="94"/>
        <v>0</v>
      </c>
      <c r="DH118" s="161">
        <f t="shared" si="95"/>
        <v>0</v>
      </c>
      <c r="DI118" s="161">
        <f t="shared" si="96"/>
        <v>0</v>
      </c>
      <c r="DJ118" s="161">
        <f t="shared" si="97"/>
        <v>0</v>
      </c>
      <c r="DK118" s="161">
        <f t="shared" si="98"/>
        <v>0</v>
      </c>
      <c r="DL118" s="161">
        <f t="shared" si="99"/>
        <v>0</v>
      </c>
      <c r="DM118" s="161">
        <f t="shared" si="100"/>
        <v>0</v>
      </c>
      <c r="DN118" s="161">
        <f t="shared" si="101"/>
        <v>0</v>
      </c>
      <c r="DO118" s="161">
        <f t="shared" si="102"/>
        <v>0</v>
      </c>
      <c r="DP118" s="161">
        <f t="shared" si="103"/>
        <v>0</v>
      </c>
      <c r="DQ118" s="161">
        <f t="shared" si="104"/>
        <v>0</v>
      </c>
      <c r="DR118" s="161">
        <f t="shared" si="105"/>
        <v>0</v>
      </c>
      <c r="DS118" s="161">
        <f t="shared" si="106"/>
        <v>0</v>
      </c>
      <c r="DT118" s="161">
        <f t="shared" si="107"/>
        <v>0</v>
      </c>
      <c r="DU118" s="161">
        <f t="shared" si="108"/>
        <v>0</v>
      </c>
      <c r="DV118" s="161">
        <f t="shared" si="109"/>
        <v>0</v>
      </c>
      <c r="DW118" s="161">
        <f t="shared" si="110"/>
        <v>0</v>
      </c>
      <c r="DX118" s="161">
        <f t="shared" si="111"/>
        <v>0</v>
      </c>
      <c r="DY118" s="161">
        <f t="shared" si="112"/>
        <v>0</v>
      </c>
      <c r="DZ118" s="161">
        <f t="shared" si="113"/>
        <v>0</v>
      </c>
      <c r="EA118" s="161">
        <f t="shared" si="114"/>
        <v>0</v>
      </c>
      <c r="EB118" s="161">
        <f t="shared" si="115"/>
        <v>0</v>
      </c>
      <c r="EC118" s="161">
        <f t="shared" si="116"/>
        <v>0</v>
      </c>
      <c r="ED118" s="161">
        <f t="shared" si="117"/>
        <v>0</v>
      </c>
      <c r="EE118" s="161">
        <f t="shared" si="118"/>
        <v>0</v>
      </c>
      <c r="EF118" s="161">
        <f t="shared" si="119"/>
        <v>0</v>
      </c>
      <c r="EG118" s="161">
        <f t="shared" si="120"/>
        <v>0</v>
      </c>
      <c r="EH118" s="161">
        <f t="shared" si="121"/>
        <v>0</v>
      </c>
      <c r="EI118" s="161">
        <f t="shared" si="122"/>
        <v>0</v>
      </c>
      <c r="EJ118" s="161">
        <f t="shared" si="123"/>
        <v>0</v>
      </c>
      <c r="EK118" s="147">
        <f t="shared" si="53"/>
        <v>0</v>
      </c>
      <c r="EL118" s="149"/>
      <c r="EN118" s="146"/>
      <c r="EO118" s="146"/>
      <c r="EP118" s="139">
        <f t="shared" si="54"/>
        <v>0</v>
      </c>
      <c r="EQ118" s="139">
        <f t="shared" si="55"/>
        <v>0</v>
      </c>
      <c r="ER118" s="139">
        <f t="shared" si="56"/>
        <v>0</v>
      </c>
      <c r="ES118" s="139">
        <f t="shared" si="57"/>
        <v>0</v>
      </c>
      <c r="ET118" s="139">
        <f t="shared" si="58"/>
        <v>0</v>
      </c>
      <c r="EU118" s="139">
        <f t="shared" si="59"/>
        <v>0</v>
      </c>
      <c r="EV118" s="139">
        <f t="shared" si="60"/>
        <v>0</v>
      </c>
      <c r="EW118" s="139">
        <f t="shared" si="61"/>
        <v>0</v>
      </c>
      <c r="EX118" s="139">
        <f t="shared" si="62"/>
        <v>0</v>
      </c>
      <c r="EY118" s="139">
        <f t="shared" si="63"/>
        <v>0</v>
      </c>
      <c r="EZ118" s="139">
        <f t="shared" si="64"/>
        <v>0</v>
      </c>
      <c r="FA118" s="139">
        <f t="shared" si="65"/>
        <v>0</v>
      </c>
      <c r="FB118" s="139">
        <f t="shared" si="66"/>
        <v>0</v>
      </c>
      <c r="FC118" s="139">
        <f t="shared" si="67"/>
        <v>0</v>
      </c>
      <c r="FD118" s="139">
        <f t="shared" si="68"/>
        <v>0</v>
      </c>
      <c r="FE118" s="139">
        <f t="shared" si="69"/>
        <v>0</v>
      </c>
      <c r="FF118" s="139">
        <f t="shared" si="70"/>
        <v>0</v>
      </c>
      <c r="FG118" s="139">
        <f t="shared" si="71"/>
        <v>0</v>
      </c>
      <c r="FH118" s="139">
        <f t="shared" si="72"/>
        <v>0</v>
      </c>
      <c r="FI118" s="139">
        <f t="shared" si="73"/>
        <v>0</v>
      </c>
      <c r="FJ118" s="139">
        <f t="shared" si="74"/>
        <v>0</v>
      </c>
      <c r="FK118" s="139">
        <f t="shared" si="75"/>
        <v>0</v>
      </c>
      <c r="FL118" s="139">
        <f t="shared" si="76"/>
        <v>0</v>
      </c>
      <c r="FM118" s="139">
        <f t="shared" si="77"/>
        <v>0</v>
      </c>
      <c r="FN118" s="139">
        <f t="shared" si="78"/>
        <v>0</v>
      </c>
      <c r="FO118" s="139">
        <f t="shared" si="79"/>
        <v>0</v>
      </c>
      <c r="FP118" s="139">
        <f t="shared" si="80"/>
        <v>0</v>
      </c>
      <c r="FQ118" s="139">
        <f t="shared" si="81"/>
        <v>0</v>
      </c>
      <c r="FR118" s="139">
        <f t="shared" si="82"/>
        <v>0</v>
      </c>
      <c r="FS118" s="139">
        <f t="shared" si="83"/>
        <v>0</v>
      </c>
      <c r="FT118" s="139">
        <f t="shared" si="84"/>
        <v>0</v>
      </c>
      <c r="FU118" s="148">
        <f t="shared" si="85"/>
        <v>0</v>
      </c>
      <c r="FV118" s="149"/>
      <c r="FY118" s="210">
        <v>113</v>
      </c>
      <c r="FZ118">
        <v>0.52454686079360424</v>
      </c>
      <c r="GA118">
        <v>10.058326951013289</v>
      </c>
      <c r="GB118">
        <v>4.4923098336631213</v>
      </c>
      <c r="GC118">
        <v>5.0211728929608812</v>
      </c>
      <c r="GD118">
        <v>4.3599179385949514</v>
      </c>
      <c r="GE118">
        <v>1.32663679561035</v>
      </c>
      <c r="GF118">
        <v>0.38032995424220212</v>
      </c>
      <c r="GG118">
        <v>1.2981488832102204</v>
      </c>
      <c r="GH118">
        <v>1.3247603501682221</v>
      </c>
      <c r="GI118">
        <v>4.6643892539798397</v>
      </c>
      <c r="GJ118"/>
      <c r="GK118"/>
      <c r="GL118"/>
      <c r="GM118"/>
    </row>
    <row r="119" spans="1:195" s="7" customFormat="1">
      <c r="A119" s="1"/>
      <c r="B119" s="76">
        <f ca="1">IF(C119="", "", RAND())</f>
        <v>0.10862332235384287</v>
      </c>
      <c r="C119">
        <v>10</v>
      </c>
      <c r="D119">
        <v>39747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4.7113476800976803</v>
      </c>
      <c r="AO119">
        <v>3.1883171001812691</v>
      </c>
      <c r="AP119">
        <v>19.949338228001686</v>
      </c>
      <c r="AQ119">
        <v>15.091301792152786</v>
      </c>
      <c r="AR119">
        <v>2.9576225419121238</v>
      </c>
      <c r="AS119">
        <v>12.231090253350725</v>
      </c>
      <c r="AT119" t="e">
        <v>#DIV/0!</v>
      </c>
      <c r="AU119" t="e">
        <v>#DIV/0!</v>
      </c>
      <c r="AV119"/>
      <c r="AW119"/>
      <c r="AX119" s="146"/>
      <c r="AY119" s="76">
        <f t="shared" ca="1" si="86"/>
        <v>0.58398906057276534</v>
      </c>
      <c r="AZ119">
        <v>2</v>
      </c>
      <c r="BA119" s="129">
        <f t="shared" ref="BA119:BA127" si="129">IF(AZ119="", "",$C$7)</f>
        <v>39747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 s="147"/>
      <c r="CH119" s="176"/>
      <c r="CJ119" s="146"/>
      <c r="CK119" s="76">
        <f t="shared" ca="1" si="88"/>
        <v>0.47952202971739633</v>
      </c>
      <c r="CL119" s="179">
        <f t="shared" si="89"/>
        <v>2</v>
      </c>
      <c r="CM119" s="180">
        <f t="shared" si="90"/>
        <v>39747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 s="160"/>
      <c r="CW119">
        <f>20/8</f>
        <v>2.5</v>
      </c>
      <c r="CX119">
        <f>350/40</f>
        <v>8.75</v>
      </c>
      <c r="CY119" s="160"/>
      <c r="CZ119" s="177">
        <f t="shared" si="91"/>
        <v>9.6000000000000002E-2</v>
      </c>
      <c r="DB119" s="146"/>
      <c r="DC119" s="76">
        <f t="shared" ca="1" si="49"/>
        <v>0.9132139668928807</v>
      </c>
      <c r="DD119">
        <f t="shared" si="92"/>
        <v>2</v>
      </c>
      <c r="DE119" s="129">
        <f t="shared" si="128"/>
        <v>39747</v>
      </c>
      <c r="DF119" s="161">
        <f t="shared" si="93"/>
        <v>0</v>
      </c>
      <c r="DG119" s="161">
        <f t="shared" si="94"/>
        <v>0</v>
      </c>
      <c r="DH119" s="161">
        <f t="shared" si="95"/>
        <v>0</v>
      </c>
      <c r="DI119" s="161">
        <f t="shared" si="96"/>
        <v>0</v>
      </c>
      <c r="DJ119" s="161">
        <f t="shared" si="97"/>
        <v>0</v>
      </c>
      <c r="DK119" s="161">
        <f t="shared" si="98"/>
        <v>0</v>
      </c>
      <c r="DL119" s="161">
        <f t="shared" si="99"/>
        <v>0</v>
      </c>
      <c r="DM119" s="161">
        <f t="shared" si="100"/>
        <v>0</v>
      </c>
      <c r="DN119" s="161">
        <f t="shared" si="101"/>
        <v>0</v>
      </c>
      <c r="DO119" s="161">
        <f t="shared" si="102"/>
        <v>0</v>
      </c>
      <c r="DP119" s="161">
        <f t="shared" si="103"/>
        <v>0</v>
      </c>
      <c r="DQ119" s="161">
        <f t="shared" si="104"/>
        <v>0</v>
      </c>
      <c r="DR119" s="161">
        <f t="shared" si="105"/>
        <v>0</v>
      </c>
      <c r="DS119" s="161">
        <f t="shared" si="106"/>
        <v>0</v>
      </c>
      <c r="DT119" s="161">
        <f t="shared" si="107"/>
        <v>0</v>
      </c>
      <c r="DU119" s="161">
        <f t="shared" si="108"/>
        <v>0</v>
      </c>
      <c r="DV119" s="161">
        <f t="shared" si="109"/>
        <v>0</v>
      </c>
      <c r="DW119" s="161">
        <f t="shared" si="110"/>
        <v>0</v>
      </c>
      <c r="DX119" s="161">
        <f t="shared" si="111"/>
        <v>0</v>
      </c>
      <c r="DY119" s="161">
        <f t="shared" si="112"/>
        <v>0</v>
      </c>
      <c r="DZ119" s="161">
        <f t="shared" si="113"/>
        <v>0</v>
      </c>
      <c r="EA119" s="161">
        <f t="shared" si="114"/>
        <v>0</v>
      </c>
      <c r="EB119" s="161">
        <f t="shared" si="115"/>
        <v>0</v>
      </c>
      <c r="EC119" s="161">
        <f t="shared" si="116"/>
        <v>0</v>
      </c>
      <c r="ED119" s="161">
        <f t="shared" si="117"/>
        <v>0</v>
      </c>
      <c r="EE119" s="161">
        <f t="shared" si="118"/>
        <v>0</v>
      </c>
      <c r="EF119" s="161">
        <f t="shared" si="119"/>
        <v>0</v>
      </c>
      <c r="EG119" s="161">
        <f t="shared" si="120"/>
        <v>0</v>
      </c>
      <c r="EH119" s="161">
        <f t="shared" si="121"/>
        <v>0</v>
      </c>
      <c r="EI119" s="161">
        <f t="shared" si="122"/>
        <v>0</v>
      </c>
      <c r="EJ119" s="161">
        <f t="shared" si="123"/>
        <v>0</v>
      </c>
      <c r="EK119" s="147">
        <f t="shared" si="53"/>
        <v>0</v>
      </c>
      <c r="EL119" s="149"/>
      <c r="EN119" s="146"/>
      <c r="EO119" s="146"/>
      <c r="EP119" s="139">
        <f t="shared" si="54"/>
        <v>0</v>
      </c>
      <c r="EQ119" s="139">
        <f t="shared" si="55"/>
        <v>0</v>
      </c>
      <c r="ER119" s="139">
        <f t="shared" si="56"/>
        <v>0</v>
      </c>
      <c r="ES119" s="139">
        <f t="shared" si="57"/>
        <v>0</v>
      </c>
      <c r="ET119" s="139">
        <f t="shared" si="58"/>
        <v>0</v>
      </c>
      <c r="EU119" s="139">
        <f t="shared" si="59"/>
        <v>0</v>
      </c>
      <c r="EV119" s="139">
        <f t="shared" si="60"/>
        <v>0</v>
      </c>
      <c r="EW119" s="139">
        <f t="shared" si="61"/>
        <v>0</v>
      </c>
      <c r="EX119" s="139">
        <f t="shared" si="62"/>
        <v>0</v>
      </c>
      <c r="EY119" s="139">
        <f t="shared" si="63"/>
        <v>0</v>
      </c>
      <c r="EZ119" s="139">
        <f t="shared" si="64"/>
        <v>0</v>
      </c>
      <c r="FA119" s="139">
        <f t="shared" si="65"/>
        <v>0</v>
      </c>
      <c r="FB119" s="139">
        <f t="shared" si="66"/>
        <v>0</v>
      </c>
      <c r="FC119" s="139">
        <f t="shared" si="67"/>
        <v>0</v>
      </c>
      <c r="FD119" s="139">
        <f t="shared" si="68"/>
        <v>0</v>
      </c>
      <c r="FE119" s="139">
        <f t="shared" si="69"/>
        <v>0</v>
      </c>
      <c r="FF119" s="139">
        <f t="shared" si="70"/>
        <v>0</v>
      </c>
      <c r="FG119" s="139">
        <f t="shared" si="71"/>
        <v>0</v>
      </c>
      <c r="FH119" s="139">
        <f t="shared" si="72"/>
        <v>0</v>
      </c>
      <c r="FI119" s="139">
        <f t="shared" si="73"/>
        <v>0</v>
      </c>
      <c r="FJ119" s="139">
        <f t="shared" si="74"/>
        <v>0</v>
      </c>
      <c r="FK119" s="139">
        <f t="shared" si="75"/>
        <v>0</v>
      </c>
      <c r="FL119" s="139">
        <f t="shared" si="76"/>
        <v>0</v>
      </c>
      <c r="FM119" s="139">
        <f t="shared" si="77"/>
        <v>0</v>
      </c>
      <c r="FN119" s="139">
        <f t="shared" si="78"/>
        <v>0</v>
      </c>
      <c r="FO119" s="139">
        <f t="shared" si="79"/>
        <v>0</v>
      </c>
      <c r="FP119" s="139">
        <f t="shared" si="80"/>
        <v>0</v>
      </c>
      <c r="FQ119" s="139">
        <f t="shared" si="81"/>
        <v>0</v>
      </c>
      <c r="FR119" s="139">
        <f t="shared" si="82"/>
        <v>0</v>
      </c>
      <c r="FS119" s="139">
        <f t="shared" si="83"/>
        <v>0</v>
      </c>
      <c r="FT119" s="139">
        <f t="shared" si="84"/>
        <v>0</v>
      </c>
      <c r="FU119" s="148">
        <f t="shared" si="85"/>
        <v>0</v>
      </c>
      <c r="FV119" s="149"/>
      <c r="FY119" s="210">
        <v>114</v>
      </c>
      <c r="FZ119">
        <v>0</v>
      </c>
      <c r="GA119">
        <v>8.5913012561003157</v>
      </c>
      <c r="GB119">
        <v>5.2279212100159125</v>
      </c>
      <c r="GC119">
        <v>6.8231493999804709</v>
      </c>
      <c r="GD119">
        <v>4.6066270429745595</v>
      </c>
      <c r="GE119">
        <v>1.0850578241824249</v>
      </c>
      <c r="GF119">
        <v>1.95227762939375</v>
      </c>
      <c r="GG119">
        <v>1.1300765542968063</v>
      </c>
      <c r="GH119">
        <v>1.3247603501682221</v>
      </c>
      <c r="GI119">
        <v>5.4642386187008984</v>
      </c>
      <c r="GJ119"/>
      <c r="GK119"/>
      <c r="GL119"/>
      <c r="GM119"/>
    </row>
    <row r="120" spans="1:195" s="7" customFormat="1">
      <c r="A120" s="1"/>
      <c r="B120" s="76">
        <f ca="1">IF(C120="", "", RAND())</f>
        <v>0.6540431671813387</v>
      </c>
      <c r="C120">
        <v>3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9.7396214896214879</v>
      </c>
      <c r="AO120">
        <v>11.51917044053128</v>
      </c>
      <c r="AP120">
        <v>39.769808605434477</v>
      </c>
      <c r="AQ120">
        <v>38.717849718682601</v>
      </c>
      <c r="AR120">
        <v>10.579956425884832</v>
      </c>
      <c r="AS120">
        <v>57.712547793206681</v>
      </c>
      <c r="AT120" t="e">
        <v>#DIV/0!</v>
      </c>
      <c r="AU120" t="e">
        <v>#DIV/0!</v>
      </c>
      <c r="AV120"/>
      <c r="AW120"/>
      <c r="AX120" s="146"/>
      <c r="AY120" s="76">
        <f t="shared" ca="1" si="86"/>
        <v>0.36766922398803037</v>
      </c>
      <c r="AZ120">
        <v>3</v>
      </c>
      <c r="BA120" s="129">
        <f t="shared" si="129"/>
        <v>39747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 s="147"/>
      <c r="CH120" s="176"/>
      <c r="CJ120" s="146"/>
      <c r="CK120" s="76">
        <f t="shared" ca="1" si="88"/>
        <v>0.46965304230422622</v>
      </c>
      <c r="CL120" s="179">
        <f t="shared" si="89"/>
        <v>3</v>
      </c>
      <c r="CM120" s="180">
        <f t="shared" si="90"/>
        <v>39747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 s="160"/>
      <c r="CW120">
        <v>1</v>
      </c>
      <c r="CX120">
        <v>1</v>
      </c>
      <c r="CY120" s="160"/>
      <c r="CZ120" s="177">
        <f t="shared" si="91"/>
        <v>9.6000000000000002E-2</v>
      </c>
      <c r="DB120" s="146"/>
      <c r="DC120" s="76">
        <f t="shared" ca="1" si="49"/>
        <v>0.21926610954745485</v>
      </c>
      <c r="DD120">
        <f t="shared" si="92"/>
        <v>3</v>
      </c>
      <c r="DE120" s="129">
        <f t="shared" si="128"/>
        <v>39747</v>
      </c>
      <c r="DF120" s="161">
        <f t="shared" si="93"/>
        <v>0</v>
      </c>
      <c r="DG120" s="161">
        <f t="shared" si="94"/>
        <v>0</v>
      </c>
      <c r="DH120" s="161">
        <f t="shared" si="95"/>
        <v>0</v>
      </c>
      <c r="DI120" s="161">
        <f t="shared" si="96"/>
        <v>0</v>
      </c>
      <c r="DJ120" s="161">
        <f t="shared" si="97"/>
        <v>0</v>
      </c>
      <c r="DK120" s="161">
        <f t="shared" si="98"/>
        <v>0</v>
      </c>
      <c r="DL120" s="161">
        <f t="shared" si="99"/>
        <v>0</v>
      </c>
      <c r="DM120" s="161">
        <f t="shared" si="100"/>
        <v>0</v>
      </c>
      <c r="DN120" s="161">
        <f t="shared" si="101"/>
        <v>0</v>
      </c>
      <c r="DO120" s="161">
        <f t="shared" si="102"/>
        <v>0</v>
      </c>
      <c r="DP120" s="161">
        <f t="shared" si="103"/>
        <v>0</v>
      </c>
      <c r="DQ120" s="161">
        <f t="shared" si="104"/>
        <v>0</v>
      </c>
      <c r="DR120" s="161">
        <f t="shared" si="105"/>
        <v>0</v>
      </c>
      <c r="DS120" s="161">
        <f t="shared" si="106"/>
        <v>0</v>
      </c>
      <c r="DT120" s="161">
        <f t="shared" si="107"/>
        <v>0</v>
      </c>
      <c r="DU120" s="161">
        <f t="shared" si="108"/>
        <v>0</v>
      </c>
      <c r="DV120" s="161">
        <f t="shared" si="109"/>
        <v>0</v>
      </c>
      <c r="DW120" s="161">
        <f t="shared" si="110"/>
        <v>0</v>
      </c>
      <c r="DX120" s="161">
        <f t="shared" si="111"/>
        <v>0</v>
      </c>
      <c r="DY120" s="161">
        <f t="shared" si="112"/>
        <v>0</v>
      </c>
      <c r="DZ120" s="161">
        <f t="shared" si="113"/>
        <v>0</v>
      </c>
      <c r="EA120" s="161">
        <f t="shared" si="114"/>
        <v>0</v>
      </c>
      <c r="EB120" s="161">
        <f t="shared" si="115"/>
        <v>0</v>
      </c>
      <c r="EC120" s="161">
        <f t="shared" si="116"/>
        <v>0</v>
      </c>
      <c r="ED120" s="161">
        <f t="shared" si="117"/>
        <v>0</v>
      </c>
      <c r="EE120" s="161">
        <f t="shared" si="118"/>
        <v>0</v>
      </c>
      <c r="EF120" s="161">
        <f t="shared" si="119"/>
        <v>0</v>
      </c>
      <c r="EG120" s="161">
        <f t="shared" si="120"/>
        <v>0</v>
      </c>
      <c r="EH120" s="161">
        <f t="shared" si="121"/>
        <v>0</v>
      </c>
      <c r="EI120" s="161">
        <f t="shared" si="122"/>
        <v>0</v>
      </c>
      <c r="EJ120" s="161">
        <f t="shared" si="123"/>
        <v>0</v>
      </c>
      <c r="EK120" s="147">
        <f t="shared" ref="EK120:EK151" si="130">IF(DF120="", "", SUM(DF120:EJ120))</f>
        <v>0</v>
      </c>
      <c r="EL120" s="149"/>
      <c r="EN120" s="146"/>
      <c r="EO120" s="146"/>
      <c r="EP120" s="139">
        <f t="shared" ref="EP120:EP151" si="131">IF(DF120="", "", DF120*G$36)</f>
        <v>0</v>
      </c>
      <c r="EQ120" s="139">
        <f t="shared" ref="EQ120:EQ151" si="132">IF(DG120="", "", DG120*H$36)</f>
        <v>0</v>
      </c>
      <c r="ER120" s="139">
        <f t="shared" ref="ER120:ER151" si="133">IF(DH120="", "", DH120*I$36)</f>
        <v>0</v>
      </c>
      <c r="ES120" s="139">
        <f t="shared" ref="ES120:ES151" si="134">IF(DI120="", "", DI120*J$36)</f>
        <v>0</v>
      </c>
      <c r="ET120" s="139">
        <f t="shared" ref="ET120:ET151" si="135">IF(DJ120="", "", DJ120*K$36)</f>
        <v>0</v>
      </c>
      <c r="EU120" s="139">
        <f t="shared" ref="EU120:EU151" si="136">IF(DK120="", "", DK120*L$36)</f>
        <v>0</v>
      </c>
      <c r="EV120" s="139">
        <f t="shared" ref="EV120:EV151" si="137">IF(DL120="", "", DL120*M$36)</f>
        <v>0</v>
      </c>
      <c r="EW120" s="139">
        <f t="shared" ref="EW120:EW151" si="138">IF(DM120="", "", DM120*N$36)</f>
        <v>0</v>
      </c>
      <c r="EX120" s="139">
        <f t="shared" ref="EX120:EX151" si="139">IF(DN120="", "", DN120*O$36)</f>
        <v>0</v>
      </c>
      <c r="EY120" s="139">
        <f t="shared" ref="EY120:EY151" si="140">IF(DO120="", "", DO120*P$36)</f>
        <v>0</v>
      </c>
      <c r="EZ120" s="139">
        <f t="shared" ref="EZ120:EZ151" si="141">IF(DP120="", "", DP120*Q$36)</f>
        <v>0</v>
      </c>
      <c r="FA120" s="139">
        <f t="shared" ref="FA120:FA151" si="142">IF(DQ120="", "", DQ120*R$36)</f>
        <v>0</v>
      </c>
      <c r="FB120" s="139">
        <f t="shared" ref="FB120:FB151" si="143">IF(DR120="", "", DR120*S$36)</f>
        <v>0</v>
      </c>
      <c r="FC120" s="139">
        <f t="shared" ref="FC120:FC151" si="144">IF(DS120="", "", DS120*T$36)</f>
        <v>0</v>
      </c>
      <c r="FD120" s="139">
        <f t="shared" ref="FD120:FD151" si="145">IF(DT120="", "", DT120*U$36)</f>
        <v>0</v>
      </c>
      <c r="FE120" s="139">
        <f t="shared" ref="FE120:FE151" si="146">IF(DU120="", "", DU120*V$36)</f>
        <v>0</v>
      </c>
      <c r="FF120" s="139">
        <f t="shared" ref="FF120:FF151" si="147">IF(DV120="", "", DV120*W$36)</f>
        <v>0</v>
      </c>
      <c r="FG120" s="139">
        <f t="shared" ref="FG120:FG151" si="148">IF(DW120="", "", DW120*X$36)</f>
        <v>0</v>
      </c>
      <c r="FH120" s="139">
        <f t="shared" ref="FH120:FH151" si="149">IF(DX120="", "", DX120*Y$36)</f>
        <v>0</v>
      </c>
      <c r="FI120" s="139">
        <f t="shared" ref="FI120:FI151" si="150">IF(DY120="", "", DY120*Z$36)</f>
        <v>0</v>
      </c>
      <c r="FJ120" s="139">
        <f t="shared" ref="FJ120:FJ151" si="151">IF(DZ120="", "", DZ120*AA$36)</f>
        <v>0</v>
      </c>
      <c r="FK120" s="139">
        <f t="shared" ref="FK120:FK151" si="152">IF(EA120="", "", EA120*AB$36)</f>
        <v>0</v>
      </c>
      <c r="FL120" s="139">
        <f t="shared" ref="FL120:FL151" si="153">IF(EB120="", "", EB120*AC$36)</f>
        <v>0</v>
      </c>
      <c r="FM120" s="139">
        <f t="shared" ref="FM120:FM151" si="154">IF(EC120="", "", EC120*AD$36)</f>
        <v>0</v>
      </c>
      <c r="FN120" s="139">
        <f t="shared" ref="FN120:FN151" si="155">IF(ED120="", "", ED120*AE$36)</f>
        <v>0</v>
      </c>
      <c r="FO120" s="139">
        <f t="shared" ref="FO120:FO151" si="156">IF(EE120="", "", EE120*AF$36)</f>
        <v>0</v>
      </c>
      <c r="FP120" s="139">
        <f t="shared" ref="FP120:FP151" si="157">IF(EF120="", "", EF120*AG$36)</f>
        <v>0</v>
      </c>
      <c r="FQ120" s="139">
        <f t="shared" ref="FQ120:FQ151" si="158">IF(EG120="", "", EG120*AH$36)</f>
        <v>0</v>
      </c>
      <c r="FR120" s="139">
        <f t="shared" ref="FR120:FR151" si="159">IF(EH120="", "", EH120*AI$36)</f>
        <v>0</v>
      </c>
      <c r="FS120" s="139">
        <f t="shared" ref="FS120:FS151" si="160">IF(EI120="", "", EI120*AJ$36)</f>
        <v>0</v>
      </c>
      <c r="FT120" s="139">
        <f t="shared" ref="FT120:FT151" si="161">IF(EJ120="", "", EJ120*AK$36)</f>
        <v>0</v>
      </c>
      <c r="FU120" s="148">
        <f t="shared" ref="FU120:FU151" si="162">IF(EP120="","",SUM(EP120:FT120))</f>
        <v>0</v>
      </c>
      <c r="FV120" s="149"/>
      <c r="FY120" s="210">
        <v>115</v>
      </c>
      <c r="FZ120">
        <v>0.55772994557880229</v>
      </c>
      <c r="GA120">
        <v>4.5406760127323542</v>
      </c>
      <c r="GB120">
        <v>1.8637260783724128</v>
      </c>
      <c r="GC120">
        <v>13.644405403895275</v>
      </c>
      <c r="GD120">
        <v>10.707629584275773</v>
      </c>
      <c r="GE120">
        <v>1.8691657077015624</v>
      </c>
      <c r="GF120">
        <v>1.0712213032574254</v>
      </c>
      <c r="GG120">
        <v>1.1300765542968063</v>
      </c>
      <c r="GH120">
        <v>1.3247603501682221</v>
      </c>
      <c r="GI120">
        <v>8.7605210823819029</v>
      </c>
      <c r="GJ120"/>
      <c r="GK120"/>
      <c r="GL120"/>
      <c r="GM120"/>
    </row>
    <row r="121" spans="1:195" s="7" customFormat="1">
      <c r="A121" s="1"/>
      <c r="B121" s="76">
        <f ca="1">IF(C121="", "", RAND())</f>
        <v>5.2875761144015598E-2</v>
      </c>
      <c r="C121">
        <v>2</v>
      </c>
      <c r="D121">
        <v>39747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4.4437767094017087</v>
      </c>
      <c r="AO121">
        <v>4.6645185225566612</v>
      </c>
      <c r="AP121">
        <v>24.410794138986446</v>
      </c>
      <c r="AQ121">
        <v>20.554107099812015</v>
      </c>
      <c r="AR121">
        <v>4.2741463968858504</v>
      </c>
      <c r="AS121">
        <v>19.143691966385436</v>
      </c>
      <c r="AT121" t="e">
        <v>#DIV/0!</v>
      </c>
      <c r="AU121" t="e">
        <v>#DIV/0!</v>
      </c>
      <c r="AV121"/>
      <c r="AW121"/>
      <c r="AX121" s="146"/>
      <c r="AY121" s="76">
        <f t="shared" ca="1" si="86"/>
        <v>0.23156914792320382</v>
      </c>
      <c r="AZ121">
        <v>4</v>
      </c>
      <c r="BA121" s="129">
        <f t="shared" si="129"/>
        <v>39747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 s="147"/>
      <c r="CH121" s="176"/>
      <c r="CJ121" s="146"/>
      <c r="CK121" s="76">
        <f t="shared" ca="1" si="88"/>
        <v>0.40778423977258527</v>
      </c>
      <c r="CL121" s="179">
        <f t="shared" si="89"/>
        <v>4</v>
      </c>
      <c r="CM121" s="180">
        <f t="shared" si="90"/>
        <v>39747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1"/>
        <v>9.6000000000000002E-2</v>
      </c>
      <c r="DB121" s="146"/>
      <c r="DC121" s="76">
        <f t="shared" ca="1" si="49"/>
        <v>0.759340185657992</v>
      </c>
      <c r="DD121">
        <f t="shared" si="92"/>
        <v>4</v>
      </c>
      <c r="DE121" s="129">
        <f t="shared" si="128"/>
        <v>39747</v>
      </c>
      <c r="DF121" s="161">
        <f t="shared" si="93"/>
        <v>0</v>
      </c>
      <c r="DG121" s="161">
        <f t="shared" si="94"/>
        <v>0</v>
      </c>
      <c r="DH121" s="161">
        <f t="shared" si="95"/>
        <v>0</v>
      </c>
      <c r="DI121" s="161">
        <f t="shared" si="96"/>
        <v>0</v>
      </c>
      <c r="DJ121" s="161">
        <f t="shared" si="97"/>
        <v>0</v>
      </c>
      <c r="DK121" s="161">
        <f t="shared" si="98"/>
        <v>0</v>
      </c>
      <c r="DL121" s="161">
        <f t="shared" si="99"/>
        <v>0</v>
      </c>
      <c r="DM121" s="161">
        <f t="shared" si="100"/>
        <v>0</v>
      </c>
      <c r="DN121" s="161">
        <f t="shared" si="101"/>
        <v>0</v>
      </c>
      <c r="DO121" s="161">
        <f t="shared" si="102"/>
        <v>0</v>
      </c>
      <c r="DP121" s="161">
        <f t="shared" si="103"/>
        <v>0</v>
      </c>
      <c r="DQ121" s="161">
        <f t="shared" si="104"/>
        <v>0</v>
      </c>
      <c r="DR121" s="161">
        <f t="shared" si="105"/>
        <v>0</v>
      </c>
      <c r="DS121" s="161">
        <f t="shared" si="106"/>
        <v>0</v>
      </c>
      <c r="DT121" s="161">
        <f t="shared" si="107"/>
        <v>0</v>
      </c>
      <c r="DU121" s="161">
        <f t="shared" si="108"/>
        <v>0</v>
      </c>
      <c r="DV121" s="161">
        <f t="shared" si="109"/>
        <v>0</v>
      </c>
      <c r="DW121" s="161">
        <f t="shared" si="110"/>
        <v>0</v>
      </c>
      <c r="DX121" s="161">
        <f t="shared" si="111"/>
        <v>0</v>
      </c>
      <c r="DY121" s="161">
        <f t="shared" si="112"/>
        <v>0</v>
      </c>
      <c r="DZ121" s="161">
        <f t="shared" si="113"/>
        <v>0</v>
      </c>
      <c r="EA121" s="161">
        <f t="shared" si="114"/>
        <v>0</v>
      </c>
      <c r="EB121" s="161">
        <f t="shared" si="115"/>
        <v>0</v>
      </c>
      <c r="EC121" s="161">
        <f t="shared" si="116"/>
        <v>0</v>
      </c>
      <c r="ED121" s="161">
        <f t="shared" si="117"/>
        <v>0</v>
      </c>
      <c r="EE121" s="161">
        <f t="shared" si="118"/>
        <v>0</v>
      </c>
      <c r="EF121" s="161">
        <f t="shared" si="119"/>
        <v>0</v>
      </c>
      <c r="EG121" s="161">
        <f t="shared" si="120"/>
        <v>0</v>
      </c>
      <c r="EH121" s="161">
        <f t="shared" si="121"/>
        <v>0</v>
      </c>
      <c r="EI121" s="161">
        <f t="shared" si="122"/>
        <v>0</v>
      </c>
      <c r="EJ121" s="161">
        <f t="shared" si="123"/>
        <v>0</v>
      </c>
      <c r="EK121" s="147">
        <f t="shared" si="130"/>
        <v>0</v>
      </c>
      <c r="EL121" s="149"/>
      <c r="EN121" s="146"/>
      <c r="EO121" s="146"/>
      <c r="EP121" s="139">
        <f t="shared" si="131"/>
        <v>0</v>
      </c>
      <c r="EQ121" s="139">
        <f t="shared" si="132"/>
        <v>0</v>
      </c>
      <c r="ER121" s="139">
        <f t="shared" si="133"/>
        <v>0</v>
      </c>
      <c r="ES121" s="139">
        <f t="shared" si="134"/>
        <v>0</v>
      </c>
      <c r="ET121" s="139">
        <f t="shared" si="135"/>
        <v>0</v>
      </c>
      <c r="EU121" s="139">
        <f t="shared" si="136"/>
        <v>0</v>
      </c>
      <c r="EV121" s="139">
        <f t="shared" si="137"/>
        <v>0</v>
      </c>
      <c r="EW121" s="139">
        <f t="shared" si="138"/>
        <v>0</v>
      </c>
      <c r="EX121" s="139">
        <f t="shared" si="139"/>
        <v>0</v>
      </c>
      <c r="EY121" s="139">
        <f t="shared" si="140"/>
        <v>0</v>
      </c>
      <c r="EZ121" s="139">
        <f t="shared" si="141"/>
        <v>0</v>
      </c>
      <c r="FA121" s="139">
        <f t="shared" si="142"/>
        <v>0</v>
      </c>
      <c r="FB121" s="139">
        <f t="shared" si="143"/>
        <v>0</v>
      </c>
      <c r="FC121" s="139">
        <f t="shared" si="144"/>
        <v>0</v>
      </c>
      <c r="FD121" s="139">
        <f t="shared" si="145"/>
        <v>0</v>
      </c>
      <c r="FE121" s="139">
        <f t="shared" si="146"/>
        <v>0</v>
      </c>
      <c r="FF121" s="139">
        <f t="shared" si="147"/>
        <v>0</v>
      </c>
      <c r="FG121" s="139">
        <f t="shared" si="148"/>
        <v>0</v>
      </c>
      <c r="FH121" s="139">
        <f t="shared" si="149"/>
        <v>0</v>
      </c>
      <c r="FI121" s="139">
        <f t="shared" si="150"/>
        <v>0</v>
      </c>
      <c r="FJ121" s="139">
        <f t="shared" si="151"/>
        <v>0</v>
      </c>
      <c r="FK121" s="139">
        <f t="shared" si="152"/>
        <v>0</v>
      </c>
      <c r="FL121" s="139">
        <f t="shared" si="153"/>
        <v>0</v>
      </c>
      <c r="FM121" s="139">
        <f t="shared" si="154"/>
        <v>0</v>
      </c>
      <c r="FN121" s="139">
        <f t="shared" si="155"/>
        <v>0</v>
      </c>
      <c r="FO121" s="139">
        <f t="shared" si="156"/>
        <v>0</v>
      </c>
      <c r="FP121" s="139">
        <f t="shared" si="157"/>
        <v>0</v>
      </c>
      <c r="FQ121" s="139">
        <f t="shared" si="158"/>
        <v>0</v>
      </c>
      <c r="FR121" s="139">
        <f t="shared" si="159"/>
        <v>0</v>
      </c>
      <c r="FS121" s="139">
        <f t="shared" si="160"/>
        <v>0</v>
      </c>
      <c r="FT121" s="139">
        <f t="shared" si="161"/>
        <v>0</v>
      </c>
      <c r="FU121" s="148">
        <f t="shared" si="162"/>
        <v>0</v>
      </c>
      <c r="FV121" s="149"/>
      <c r="FY121" s="210">
        <v>116</v>
      </c>
      <c r="FZ121">
        <v>6.6366169570396066E-2</v>
      </c>
      <c r="GA121">
        <v>7.8484617333353032E-2</v>
      </c>
      <c r="GB121">
        <v>0</v>
      </c>
      <c r="GC121">
        <v>2.6026314868186051</v>
      </c>
      <c r="GD121">
        <v>2.4914533480039331</v>
      </c>
      <c r="GE121">
        <v>1.6576558831156998</v>
      </c>
      <c r="GF121">
        <v>1.6417162346207288</v>
      </c>
      <c r="GG121">
        <v>1.634293541037048</v>
      </c>
      <c r="GH121">
        <v>1.3247603501682221</v>
      </c>
      <c r="GI121">
        <v>2.2329573305367196</v>
      </c>
      <c r="GJ121"/>
      <c r="GK121"/>
      <c r="GL121"/>
      <c r="GM121"/>
    </row>
    <row r="122" spans="1:195" s="7" customFormat="1">
      <c r="A122" s="1"/>
      <c r="B122" s="76">
        <f ca="1">IF(C122="", "", RAND())</f>
        <v>0.5309714026310397</v>
      </c>
      <c r="C122">
        <v>9</v>
      </c>
      <c r="D122">
        <v>39747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5.7235004578754562</v>
      </c>
      <c r="AO122">
        <v>4.0721862754866622</v>
      </c>
      <c r="AP122">
        <v>30.495945100123752</v>
      </c>
      <c r="AQ122">
        <v>22.13117194843645</v>
      </c>
      <c r="AR122">
        <v>3.7246730693626597</v>
      </c>
      <c r="AS122">
        <v>15.966664363909453</v>
      </c>
      <c r="AT122" t="e">
        <v>#DIV/0!</v>
      </c>
      <c r="AU122" t="e">
        <v>#DIV/0!</v>
      </c>
      <c r="AV122"/>
      <c r="AW122"/>
      <c r="AX122" s="146"/>
      <c r="AY122" s="76">
        <f t="shared" ca="1" si="86"/>
        <v>0.75357469126733045</v>
      </c>
      <c r="AZ122">
        <v>5</v>
      </c>
      <c r="BA122" s="129">
        <f t="shared" si="129"/>
        <v>39747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1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 s="147"/>
      <c r="CH122" s="176"/>
      <c r="CJ122" s="146"/>
      <c r="CK122" s="76">
        <f t="shared" ca="1" si="88"/>
        <v>0.68545259489638699</v>
      </c>
      <c r="CL122" s="179">
        <f t="shared" si="89"/>
        <v>5</v>
      </c>
      <c r="CM122" s="180">
        <f t="shared" si="90"/>
        <v>39747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 s="160"/>
      <c r="CW122" s="178">
        <v>1</v>
      </c>
      <c r="CX122">
        <f>350/33</f>
        <v>10.606060606060606</v>
      </c>
      <c r="CY122" s="160"/>
      <c r="CZ122" s="177">
        <f t="shared" si="91"/>
        <v>9.6000000000000002E-2</v>
      </c>
      <c r="DB122" s="146"/>
      <c r="DC122" s="76">
        <f t="shared" ca="1" si="49"/>
        <v>0.73529135879094931</v>
      </c>
      <c r="DD122">
        <f t="shared" si="92"/>
        <v>5</v>
      </c>
      <c r="DE122" s="129">
        <f t="shared" si="128"/>
        <v>39747</v>
      </c>
      <c r="DF122" s="161">
        <f t="shared" si="93"/>
        <v>0</v>
      </c>
      <c r="DG122" s="161">
        <f t="shared" si="94"/>
        <v>0</v>
      </c>
      <c r="DH122" s="161">
        <f t="shared" si="95"/>
        <v>0</v>
      </c>
      <c r="DI122" s="161">
        <f t="shared" si="96"/>
        <v>0</v>
      </c>
      <c r="DJ122" s="161">
        <f t="shared" si="97"/>
        <v>0</v>
      </c>
      <c r="DK122" s="161">
        <f t="shared" si="98"/>
        <v>0</v>
      </c>
      <c r="DL122" s="161">
        <f t="shared" si="99"/>
        <v>0</v>
      </c>
      <c r="DM122" s="161">
        <f t="shared" si="100"/>
        <v>10.416666666666666</v>
      </c>
      <c r="DN122" s="161">
        <f t="shared" si="101"/>
        <v>0</v>
      </c>
      <c r="DO122" s="161">
        <f t="shared" si="102"/>
        <v>0</v>
      </c>
      <c r="DP122" s="161">
        <f t="shared" si="103"/>
        <v>0</v>
      </c>
      <c r="DQ122" s="161">
        <f t="shared" si="104"/>
        <v>0</v>
      </c>
      <c r="DR122" s="161">
        <f t="shared" si="105"/>
        <v>0</v>
      </c>
      <c r="DS122" s="161">
        <f t="shared" si="106"/>
        <v>0</v>
      </c>
      <c r="DT122" s="161">
        <f t="shared" si="107"/>
        <v>0</v>
      </c>
      <c r="DU122" s="161">
        <f t="shared" si="108"/>
        <v>0</v>
      </c>
      <c r="DV122" s="161">
        <f t="shared" si="109"/>
        <v>0</v>
      </c>
      <c r="DW122" s="161">
        <f t="shared" si="110"/>
        <v>0</v>
      </c>
      <c r="DX122" s="161">
        <f t="shared" si="111"/>
        <v>0</v>
      </c>
      <c r="DY122" s="161">
        <f t="shared" si="112"/>
        <v>0</v>
      </c>
      <c r="DZ122" s="161">
        <f t="shared" si="113"/>
        <v>0</v>
      </c>
      <c r="EA122" s="161">
        <f t="shared" si="114"/>
        <v>0</v>
      </c>
      <c r="EB122" s="161">
        <f t="shared" si="115"/>
        <v>0</v>
      </c>
      <c r="EC122" s="161">
        <f t="shared" si="116"/>
        <v>0</v>
      </c>
      <c r="ED122" s="161">
        <f t="shared" si="117"/>
        <v>0</v>
      </c>
      <c r="EE122" s="161">
        <f t="shared" si="118"/>
        <v>0</v>
      </c>
      <c r="EF122" s="161">
        <f t="shared" si="119"/>
        <v>0</v>
      </c>
      <c r="EG122" s="161">
        <f t="shared" si="120"/>
        <v>0</v>
      </c>
      <c r="EH122" s="161">
        <f t="shared" si="121"/>
        <v>0</v>
      </c>
      <c r="EI122" s="161">
        <f t="shared" si="122"/>
        <v>0</v>
      </c>
      <c r="EJ122" s="161">
        <f t="shared" si="123"/>
        <v>0</v>
      </c>
      <c r="EK122" s="147">
        <f t="shared" si="130"/>
        <v>10.416666666666666</v>
      </c>
      <c r="EL122" s="149"/>
      <c r="EN122" s="146"/>
      <c r="EO122" s="146"/>
      <c r="EP122" s="139">
        <f t="shared" si="131"/>
        <v>0</v>
      </c>
      <c r="EQ122" s="139">
        <f t="shared" si="132"/>
        <v>0</v>
      </c>
      <c r="ER122" s="139">
        <f t="shared" si="133"/>
        <v>0</v>
      </c>
      <c r="ES122" s="139">
        <f t="shared" si="134"/>
        <v>0</v>
      </c>
      <c r="ET122" s="139">
        <f t="shared" si="135"/>
        <v>0</v>
      </c>
      <c r="EU122" s="139">
        <f t="shared" si="136"/>
        <v>0</v>
      </c>
      <c r="EV122" s="139">
        <f t="shared" si="137"/>
        <v>0</v>
      </c>
      <c r="EW122" s="139">
        <f t="shared" si="138"/>
        <v>24.689176823161837</v>
      </c>
      <c r="EX122" s="139">
        <f t="shared" si="139"/>
        <v>0</v>
      </c>
      <c r="EY122" s="139">
        <f t="shared" si="140"/>
        <v>0</v>
      </c>
      <c r="EZ122" s="139">
        <f t="shared" si="141"/>
        <v>0</v>
      </c>
      <c r="FA122" s="139">
        <f t="shared" si="142"/>
        <v>0</v>
      </c>
      <c r="FB122" s="139">
        <f t="shared" si="143"/>
        <v>0</v>
      </c>
      <c r="FC122" s="139">
        <f t="shared" si="144"/>
        <v>0</v>
      </c>
      <c r="FD122" s="139">
        <f t="shared" si="145"/>
        <v>0</v>
      </c>
      <c r="FE122" s="139">
        <f t="shared" si="146"/>
        <v>0</v>
      </c>
      <c r="FF122" s="139">
        <f t="shared" si="147"/>
        <v>0</v>
      </c>
      <c r="FG122" s="139">
        <f t="shared" si="148"/>
        <v>0</v>
      </c>
      <c r="FH122" s="139">
        <f t="shared" si="149"/>
        <v>0</v>
      </c>
      <c r="FI122" s="139">
        <f t="shared" si="150"/>
        <v>0</v>
      </c>
      <c r="FJ122" s="139">
        <f t="shared" si="151"/>
        <v>0</v>
      </c>
      <c r="FK122" s="139">
        <f t="shared" si="152"/>
        <v>0</v>
      </c>
      <c r="FL122" s="139">
        <f t="shared" si="153"/>
        <v>0</v>
      </c>
      <c r="FM122" s="139">
        <f t="shared" si="154"/>
        <v>0</v>
      </c>
      <c r="FN122" s="139">
        <f t="shared" si="155"/>
        <v>0</v>
      </c>
      <c r="FO122" s="139">
        <f t="shared" si="156"/>
        <v>0</v>
      </c>
      <c r="FP122" s="139">
        <f t="shared" si="157"/>
        <v>0</v>
      </c>
      <c r="FQ122" s="139">
        <f t="shared" si="158"/>
        <v>0</v>
      </c>
      <c r="FR122" s="139">
        <f t="shared" si="159"/>
        <v>0</v>
      </c>
      <c r="FS122" s="139">
        <f t="shared" si="160"/>
        <v>0</v>
      </c>
      <c r="FT122" s="139">
        <f t="shared" si="161"/>
        <v>0</v>
      </c>
      <c r="FU122" s="148">
        <f t="shared" si="162"/>
        <v>24.689176823161837</v>
      </c>
      <c r="FV122" s="149"/>
      <c r="FY122" s="210">
        <v>117</v>
      </c>
      <c r="FZ122">
        <v>3.3183084785198033E-2</v>
      </c>
      <c r="GA122">
        <v>2.7078334182775703</v>
      </c>
      <c r="GB122">
        <v>3.0056812911200499</v>
      </c>
      <c r="GC122">
        <v>7.5649546894021569</v>
      </c>
      <c r="GD122">
        <v>5.5613246535013729</v>
      </c>
      <c r="GE122">
        <v>1.69457980041659</v>
      </c>
      <c r="GF122">
        <v>1.4515512574996277</v>
      </c>
      <c r="GG122">
        <v>0.98521909943193808</v>
      </c>
      <c r="GH122">
        <v>0.66238017508411107</v>
      </c>
      <c r="GI122">
        <v>5.1866501644946759</v>
      </c>
      <c r="GJ122"/>
      <c r="GK122"/>
      <c r="GL122"/>
      <c r="GM122"/>
    </row>
    <row r="123" spans="1:195" s="7" customFormat="1">
      <c r="A123" s="1"/>
      <c r="B123" s="76">
        <f ca="1">IF(C123="", "", RAND())</f>
        <v>0.38709567026966418</v>
      </c>
      <c r="C123">
        <v>1</v>
      </c>
      <c r="D123">
        <v>39747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11.647855616605614</v>
      </c>
      <c r="AO123">
        <v>9.1929389035110312</v>
      </c>
      <c r="AP123">
        <v>42.160049092632818</v>
      </c>
      <c r="AQ123">
        <v>36.158998567411551</v>
      </c>
      <c r="AR123">
        <v>8.5277726377653327</v>
      </c>
      <c r="AS123">
        <v>35.790302496523907</v>
      </c>
      <c r="AT123" t="e">
        <v>#DIV/0!</v>
      </c>
      <c r="AU123" t="e">
        <v>#DIV/0!</v>
      </c>
      <c r="AV123"/>
      <c r="AW123"/>
      <c r="AX123" s="146"/>
      <c r="AY123" s="76">
        <f t="shared" ca="1" si="86"/>
        <v>0.53952555010975933</v>
      </c>
      <c r="AZ123">
        <v>6</v>
      </c>
      <c r="BA123" s="129">
        <f t="shared" si="129"/>
        <v>39747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 s="147"/>
      <c r="CH123" s="176"/>
      <c r="CJ123" s="146"/>
      <c r="CK123" s="76">
        <f t="shared" ca="1" si="88"/>
        <v>0.32735695996795666</v>
      </c>
      <c r="CL123" s="179">
        <f t="shared" si="89"/>
        <v>6</v>
      </c>
      <c r="CM123" s="180">
        <f t="shared" si="90"/>
        <v>39747</v>
      </c>
      <c r="CN123" s="218">
        <v>0</v>
      </c>
      <c r="CO123" s="218">
        <v>0</v>
      </c>
      <c r="CP123" s="218">
        <v>0</v>
      </c>
      <c r="CQ123" s="218">
        <v>0</v>
      </c>
      <c r="CR123" s="218">
        <v>0</v>
      </c>
      <c r="CS123">
        <v>0</v>
      </c>
      <c r="CT123">
        <v>0</v>
      </c>
      <c r="CU123">
        <v>0</v>
      </c>
      <c r="CV123" s="160"/>
      <c r="CW123" s="178">
        <v>1</v>
      </c>
      <c r="CX123">
        <f>375/60</f>
        <v>6.25</v>
      </c>
      <c r="CY123" s="160"/>
      <c r="CZ123" s="177">
        <f t="shared" si="91"/>
        <v>9.6000000000000002E-2</v>
      </c>
      <c r="DB123" s="146"/>
      <c r="DC123" s="76">
        <f t="shared" ca="1" si="49"/>
        <v>3.2134907528347911E-2</v>
      </c>
      <c r="DD123">
        <f t="shared" si="92"/>
        <v>6</v>
      </c>
      <c r="DE123" s="129">
        <f t="shared" si="128"/>
        <v>39747</v>
      </c>
      <c r="DF123" s="161">
        <f t="shared" si="93"/>
        <v>0</v>
      </c>
      <c r="DG123" s="161">
        <f t="shared" si="94"/>
        <v>0</v>
      </c>
      <c r="DH123" s="161">
        <f t="shared" si="95"/>
        <v>0</v>
      </c>
      <c r="DI123" s="161">
        <f t="shared" si="96"/>
        <v>0</v>
      </c>
      <c r="DJ123" s="161">
        <f t="shared" si="97"/>
        <v>0</v>
      </c>
      <c r="DK123" s="161">
        <f t="shared" si="98"/>
        <v>0</v>
      </c>
      <c r="DL123" s="161">
        <f t="shared" si="99"/>
        <v>0</v>
      </c>
      <c r="DM123" s="161">
        <f t="shared" si="100"/>
        <v>0</v>
      </c>
      <c r="DN123" s="161">
        <f t="shared" si="101"/>
        <v>0</v>
      </c>
      <c r="DO123" s="161">
        <f t="shared" si="102"/>
        <v>0</v>
      </c>
      <c r="DP123" s="161">
        <f t="shared" si="103"/>
        <v>0</v>
      </c>
      <c r="DQ123" s="161">
        <f t="shared" si="104"/>
        <v>0</v>
      </c>
      <c r="DR123" s="161">
        <f t="shared" si="105"/>
        <v>0</v>
      </c>
      <c r="DS123" s="161">
        <f t="shared" si="106"/>
        <v>0</v>
      </c>
      <c r="DT123" s="161">
        <f t="shared" si="107"/>
        <v>0</v>
      </c>
      <c r="DU123" s="161">
        <f t="shared" si="108"/>
        <v>0</v>
      </c>
      <c r="DV123" s="161">
        <f t="shared" si="109"/>
        <v>0</v>
      </c>
      <c r="DW123" s="161">
        <f t="shared" si="110"/>
        <v>0</v>
      </c>
      <c r="DX123" s="161">
        <f t="shared" si="111"/>
        <v>0</v>
      </c>
      <c r="DY123" s="161">
        <f t="shared" si="112"/>
        <v>0</v>
      </c>
      <c r="DZ123" s="161">
        <f t="shared" si="113"/>
        <v>0</v>
      </c>
      <c r="EA123" s="161">
        <f t="shared" si="114"/>
        <v>0</v>
      </c>
      <c r="EB123" s="161">
        <f t="shared" si="115"/>
        <v>0</v>
      </c>
      <c r="EC123" s="161">
        <f t="shared" si="116"/>
        <v>0</v>
      </c>
      <c r="ED123" s="161">
        <f t="shared" si="117"/>
        <v>0</v>
      </c>
      <c r="EE123" s="161">
        <f t="shared" si="118"/>
        <v>0</v>
      </c>
      <c r="EF123" s="161">
        <f t="shared" si="119"/>
        <v>0</v>
      </c>
      <c r="EG123" s="161">
        <f t="shared" si="120"/>
        <v>0</v>
      </c>
      <c r="EH123" s="161">
        <f t="shared" si="121"/>
        <v>0</v>
      </c>
      <c r="EI123" s="161">
        <f t="shared" si="122"/>
        <v>0</v>
      </c>
      <c r="EJ123" s="161">
        <f t="shared" si="123"/>
        <v>0</v>
      </c>
      <c r="EK123" s="147">
        <f t="shared" si="130"/>
        <v>0</v>
      </c>
      <c r="EL123" s="149"/>
      <c r="EN123" s="146"/>
      <c r="EO123" s="146"/>
      <c r="EP123" s="139">
        <f t="shared" si="131"/>
        <v>0</v>
      </c>
      <c r="EQ123" s="139">
        <f t="shared" si="132"/>
        <v>0</v>
      </c>
      <c r="ER123" s="139">
        <f t="shared" si="133"/>
        <v>0</v>
      </c>
      <c r="ES123" s="139">
        <f t="shared" si="134"/>
        <v>0</v>
      </c>
      <c r="ET123" s="139">
        <f t="shared" si="135"/>
        <v>0</v>
      </c>
      <c r="EU123" s="139">
        <f t="shared" si="136"/>
        <v>0</v>
      </c>
      <c r="EV123" s="139">
        <f t="shared" si="137"/>
        <v>0</v>
      </c>
      <c r="EW123" s="139">
        <f t="shared" si="138"/>
        <v>0</v>
      </c>
      <c r="EX123" s="139">
        <f t="shared" si="139"/>
        <v>0</v>
      </c>
      <c r="EY123" s="139">
        <f t="shared" si="140"/>
        <v>0</v>
      </c>
      <c r="EZ123" s="139">
        <f t="shared" si="141"/>
        <v>0</v>
      </c>
      <c r="FA123" s="139">
        <f t="shared" si="142"/>
        <v>0</v>
      </c>
      <c r="FB123" s="139">
        <f t="shared" si="143"/>
        <v>0</v>
      </c>
      <c r="FC123" s="139">
        <f t="shared" si="144"/>
        <v>0</v>
      </c>
      <c r="FD123" s="139">
        <f t="shared" si="145"/>
        <v>0</v>
      </c>
      <c r="FE123" s="139">
        <f t="shared" si="146"/>
        <v>0</v>
      </c>
      <c r="FF123" s="139">
        <f t="shared" si="147"/>
        <v>0</v>
      </c>
      <c r="FG123" s="139">
        <f t="shared" si="148"/>
        <v>0</v>
      </c>
      <c r="FH123" s="139">
        <f t="shared" si="149"/>
        <v>0</v>
      </c>
      <c r="FI123" s="139">
        <f t="shared" si="150"/>
        <v>0</v>
      </c>
      <c r="FJ123" s="139">
        <f t="shared" si="151"/>
        <v>0</v>
      </c>
      <c r="FK123" s="139">
        <f t="shared" si="152"/>
        <v>0</v>
      </c>
      <c r="FL123" s="139">
        <f t="shared" si="153"/>
        <v>0</v>
      </c>
      <c r="FM123" s="139">
        <f t="shared" si="154"/>
        <v>0</v>
      </c>
      <c r="FN123" s="139">
        <f t="shared" si="155"/>
        <v>0</v>
      </c>
      <c r="FO123" s="139">
        <f t="shared" si="156"/>
        <v>0</v>
      </c>
      <c r="FP123" s="139">
        <f t="shared" si="157"/>
        <v>0</v>
      </c>
      <c r="FQ123" s="139">
        <f t="shared" si="158"/>
        <v>0</v>
      </c>
      <c r="FR123" s="139">
        <f t="shared" si="159"/>
        <v>0</v>
      </c>
      <c r="FS123" s="139">
        <f t="shared" si="160"/>
        <v>0</v>
      </c>
      <c r="FT123" s="139">
        <f t="shared" si="161"/>
        <v>0</v>
      </c>
      <c r="FU123" s="148">
        <f t="shared" si="162"/>
        <v>0</v>
      </c>
      <c r="FV123" s="149"/>
      <c r="FY123" s="210">
        <v>118</v>
      </c>
      <c r="FZ123">
        <v>0.55772994557880229</v>
      </c>
      <c r="GA123">
        <v>1.0347089055663061</v>
      </c>
      <c r="GB123">
        <v>0.76387332369215755</v>
      </c>
      <c r="GC123">
        <v>7.5946996724683178</v>
      </c>
      <c r="GD123">
        <v>5.9564886710182749</v>
      </c>
      <c r="GE123">
        <v>1.69457980041659</v>
      </c>
      <c r="GF123">
        <v>1.4515512574996277</v>
      </c>
      <c r="GG123">
        <v>1.4662212121236342</v>
      </c>
      <c r="GH123">
        <v>1.3247603501682221</v>
      </c>
      <c r="GI123">
        <v>5.1363826687215148</v>
      </c>
      <c r="GJ123"/>
      <c r="GK123"/>
      <c r="GL123"/>
      <c r="GM123"/>
    </row>
    <row r="124" spans="1:195" s="7" customFormat="1">
      <c r="A124" s="1"/>
      <c r="B124" s="76">
        <f ca="1">IF(C124="", "", RAND())</f>
        <v>0.17019333335466502</v>
      </c>
      <c r="C124">
        <v>6</v>
      </c>
      <c r="D124">
        <v>39747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10.906250000000004</v>
      </c>
      <c r="AO124">
        <v>13.76259407447861</v>
      </c>
      <c r="AP124">
        <v>35.39106267756658</v>
      </c>
      <c r="AQ124">
        <v>41.512487592469654</v>
      </c>
      <c r="AR124">
        <v>12.766784855731549</v>
      </c>
      <c r="AS124">
        <v>76.965772840504314</v>
      </c>
      <c r="AT124" t="e">
        <v>#DIV/0!</v>
      </c>
      <c r="AU124" t="e">
        <v>#DIV/0!</v>
      </c>
      <c r="AV124"/>
      <c r="AW124"/>
      <c r="AX124" s="146"/>
      <c r="AY124" s="76">
        <f t="shared" ca="1" si="86"/>
        <v>0.32552713519103871</v>
      </c>
      <c r="AZ124">
        <v>7</v>
      </c>
      <c r="BA124" s="129">
        <f t="shared" si="129"/>
        <v>39747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 s="147"/>
      <c r="CH124" s="176"/>
      <c r="CJ124" s="146"/>
      <c r="CK124" s="76">
        <f t="shared" ca="1" si="88"/>
        <v>0.14865829202251746</v>
      </c>
      <c r="CL124" s="179">
        <f t="shared" si="89"/>
        <v>7</v>
      </c>
      <c r="CM124" s="180">
        <f t="shared" si="90"/>
        <v>39747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 s="160"/>
      <c r="CW124" s="178">
        <v>1</v>
      </c>
      <c r="CX124">
        <f>350/49</f>
        <v>7.1428571428571432</v>
      </c>
      <c r="CY124" s="164"/>
      <c r="CZ124" s="177">
        <f t="shared" si="91"/>
        <v>9.6000000000000002E-2</v>
      </c>
      <c r="DB124" s="146"/>
      <c r="DC124" s="76">
        <f t="shared" ca="1" si="49"/>
        <v>0.87438362980705708</v>
      </c>
      <c r="DD124">
        <f t="shared" si="92"/>
        <v>7</v>
      </c>
      <c r="DE124" s="129">
        <f t="shared" si="128"/>
        <v>39747</v>
      </c>
      <c r="DF124" s="161">
        <f t="shared" si="93"/>
        <v>0</v>
      </c>
      <c r="DG124" s="161">
        <f t="shared" si="94"/>
        <v>0</v>
      </c>
      <c r="DH124" s="161">
        <f t="shared" si="95"/>
        <v>0</v>
      </c>
      <c r="DI124" s="161">
        <f t="shared" si="96"/>
        <v>0</v>
      </c>
      <c r="DJ124" s="161">
        <f t="shared" si="97"/>
        <v>0</v>
      </c>
      <c r="DK124" s="161">
        <f t="shared" si="98"/>
        <v>0</v>
      </c>
      <c r="DL124" s="161">
        <f t="shared" si="99"/>
        <v>0</v>
      </c>
      <c r="DM124" s="161">
        <f t="shared" si="100"/>
        <v>0</v>
      </c>
      <c r="DN124" s="161">
        <f t="shared" si="101"/>
        <v>0</v>
      </c>
      <c r="DO124" s="161">
        <f t="shared" si="102"/>
        <v>0</v>
      </c>
      <c r="DP124" s="161">
        <f t="shared" si="103"/>
        <v>0</v>
      </c>
      <c r="DQ124" s="161">
        <f t="shared" si="104"/>
        <v>0</v>
      </c>
      <c r="DR124" s="161">
        <f t="shared" si="105"/>
        <v>0</v>
      </c>
      <c r="DS124" s="161">
        <f t="shared" si="106"/>
        <v>0</v>
      </c>
      <c r="DT124" s="161">
        <f t="shared" si="107"/>
        <v>0</v>
      </c>
      <c r="DU124" s="161">
        <f t="shared" si="108"/>
        <v>0</v>
      </c>
      <c r="DV124" s="161">
        <f t="shared" si="109"/>
        <v>0</v>
      </c>
      <c r="DW124" s="161">
        <f t="shared" si="110"/>
        <v>0</v>
      </c>
      <c r="DX124" s="161">
        <f t="shared" si="111"/>
        <v>0</v>
      </c>
      <c r="DY124" s="161">
        <f t="shared" si="112"/>
        <v>0</v>
      </c>
      <c r="DZ124" s="161">
        <f t="shared" si="113"/>
        <v>0</v>
      </c>
      <c r="EA124" s="161">
        <f t="shared" si="114"/>
        <v>0</v>
      </c>
      <c r="EB124" s="161">
        <f t="shared" si="115"/>
        <v>0</v>
      </c>
      <c r="EC124" s="161">
        <f t="shared" si="116"/>
        <v>0</v>
      </c>
      <c r="ED124" s="161">
        <f t="shared" si="117"/>
        <v>0</v>
      </c>
      <c r="EE124" s="161">
        <f t="shared" si="118"/>
        <v>0</v>
      </c>
      <c r="EF124" s="161">
        <f t="shared" si="119"/>
        <v>0</v>
      </c>
      <c r="EG124" s="161">
        <f t="shared" si="120"/>
        <v>0</v>
      </c>
      <c r="EH124" s="161">
        <f t="shared" si="121"/>
        <v>0</v>
      </c>
      <c r="EI124" s="161">
        <f t="shared" si="122"/>
        <v>0</v>
      </c>
      <c r="EJ124" s="161">
        <f t="shared" si="123"/>
        <v>0</v>
      </c>
      <c r="EK124" s="147">
        <f t="shared" si="130"/>
        <v>0</v>
      </c>
      <c r="EL124" s="149"/>
      <c r="EN124" s="146"/>
      <c r="EO124" s="146"/>
      <c r="EP124" s="139">
        <f t="shared" si="131"/>
        <v>0</v>
      </c>
      <c r="EQ124" s="139">
        <f t="shared" si="132"/>
        <v>0</v>
      </c>
      <c r="ER124" s="139">
        <f t="shared" si="133"/>
        <v>0</v>
      </c>
      <c r="ES124" s="139">
        <f t="shared" si="134"/>
        <v>0</v>
      </c>
      <c r="ET124" s="139">
        <f t="shared" si="135"/>
        <v>0</v>
      </c>
      <c r="EU124" s="139">
        <f t="shared" si="136"/>
        <v>0</v>
      </c>
      <c r="EV124" s="139">
        <f t="shared" si="137"/>
        <v>0</v>
      </c>
      <c r="EW124" s="139">
        <f t="shared" si="138"/>
        <v>0</v>
      </c>
      <c r="EX124" s="139">
        <f t="shared" si="139"/>
        <v>0</v>
      </c>
      <c r="EY124" s="139">
        <f t="shared" si="140"/>
        <v>0</v>
      </c>
      <c r="EZ124" s="139">
        <f t="shared" si="141"/>
        <v>0</v>
      </c>
      <c r="FA124" s="139">
        <f t="shared" si="142"/>
        <v>0</v>
      </c>
      <c r="FB124" s="139">
        <f t="shared" si="143"/>
        <v>0</v>
      </c>
      <c r="FC124" s="139">
        <f t="shared" si="144"/>
        <v>0</v>
      </c>
      <c r="FD124" s="139">
        <f t="shared" si="145"/>
        <v>0</v>
      </c>
      <c r="FE124" s="139">
        <f t="shared" si="146"/>
        <v>0</v>
      </c>
      <c r="FF124" s="139">
        <f t="shared" si="147"/>
        <v>0</v>
      </c>
      <c r="FG124" s="139">
        <f t="shared" si="148"/>
        <v>0</v>
      </c>
      <c r="FH124" s="139">
        <f t="shared" si="149"/>
        <v>0</v>
      </c>
      <c r="FI124" s="139">
        <f t="shared" si="150"/>
        <v>0</v>
      </c>
      <c r="FJ124" s="139">
        <f t="shared" si="151"/>
        <v>0</v>
      </c>
      <c r="FK124" s="139">
        <f t="shared" si="152"/>
        <v>0</v>
      </c>
      <c r="FL124" s="139">
        <f t="shared" si="153"/>
        <v>0</v>
      </c>
      <c r="FM124" s="139">
        <f t="shared" si="154"/>
        <v>0</v>
      </c>
      <c r="FN124" s="139">
        <f t="shared" si="155"/>
        <v>0</v>
      </c>
      <c r="FO124" s="139">
        <f t="shared" si="156"/>
        <v>0</v>
      </c>
      <c r="FP124" s="139">
        <f t="shared" si="157"/>
        <v>0</v>
      </c>
      <c r="FQ124" s="139">
        <f t="shared" si="158"/>
        <v>0</v>
      </c>
      <c r="FR124" s="139">
        <f t="shared" si="159"/>
        <v>0</v>
      </c>
      <c r="FS124" s="139">
        <f t="shared" si="160"/>
        <v>0</v>
      </c>
      <c r="FT124" s="139">
        <f t="shared" si="161"/>
        <v>0</v>
      </c>
      <c r="FU124" s="148">
        <f t="shared" si="162"/>
        <v>0</v>
      </c>
      <c r="FV124" s="149"/>
      <c r="FY124" s="210">
        <v>119</v>
      </c>
      <c r="FZ124">
        <v>6.6366169570396066E-2</v>
      </c>
      <c r="GA124">
        <v>2.1397680022443666</v>
      </c>
      <c r="GB124">
        <v>0.98275512952324828</v>
      </c>
      <c r="GC124">
        <v>2.7373455771882447</v>
      </c>
      <c r="GD124">
        <v>2.9815182035749483</v>
      </c>
      <c r="GE124">
        <v>1.8885842254102743</v>
      </c>
      <c r="GF124">
        <v>0.19016497712110106</v>
      </c>
      <c r="GG124">
        <v>1.6110786669885027</v>
      </c>
      <c r="GH124">
        <v>1.9871405252523333</v>
      </c>
      <c r="GI124">
        <v>2.6166187564973207</v>
      </c>
      <c r="GJ124"/>
      <c r="GK124"/>
      <c r="GL124"/>
      <c r="GM124"/>
    </row>
    <row r="125" spans="1:195" s="7" customFormat="1">
      <c r="A125" s="1"/>
      <c r="B125" s="76">
        <f ca="1">IF(C125="", "", RAND())</f>
        <v>9.4117172440866925E-2</v>
      </c>
      <c r="C125">
        <v>7</v>
      </c>
      <c r="D125">
        <v>39747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7.893467643467643</v>
      </c>
      <c r="AO125">
        <v>8.8942258943712424</v>
      </c>
      <c r="AP125">
        <v>29.316732256525224</v>
      </c>
      <c r="AQ125">
        <v>28.983585695020103</v>
      </c>
      <c r="AR125">
        <v>8.2506733714018949</v>
      </c>
      <c r="AS125">
        <v>37.047386435460318</v>
      </c>
      <c r="AT125" t="e">
        <v>#DIV/0!</v>
      </c>
      <c r="AU125" t="e">
        <v>#DIV/0!</v>
      </c>
      <c r="AV125"/>
      <c r="AW125"/>
      <c r="AX125" s="146"/>
      <c r="AY125" s="76">
        <f t="shared" ca="1" si="86"/>
        <v>0.47402999753379049</v>
      </c>
      <c r="AZ125">
        <v>8</v>
      </c>
      <c r="BA125" s="129">
        <f t="shared" si="129"/>
        <v>39747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 s="147"/>
      <c r="CH125" s="176"/>
      <c r="CJ125" s="146"/>
      <c r="CK125" s="76">
        <f t="shared" ca="1" si="88"/>
        <v>0.73690318970706148</v>
      </c>
      <c r="CL125" s="179">
        <f t="shared" si="89"/>
        <v>8</v>
      </c>
      <c r="CM125" s="180">
        <f t="shared" si="90"/>
        <v>39747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 s="160"/>
      <c r="CW125" s="178">
        <v>1</v>
      </c>
      <c r="CX125">
        <f>350/52</f>
        <v>6.7307692307692308</v>
      </c>
      <c r="CY125" s="164"/>
      <c r="CZ125" s="177">
        <f t="shared" si="91"/>
        <v>9.6000000000000002E-2</v>
      </c>
      <c r="DB125" s="146"/>
      <c r="DC125" s="76">
        <f t="shared" ca="1" si="49"/>
        <v>0.47853939168152415</v>
      </c>
      <c r="DD125">
        <f t="shared" si="92"/>
        <v>8</v>
      </c>
      <c r="DE125" s="129">
        <f t="shared" si="128"/>
        <v>39747</v>
      </c>
      <c r="DF125" s="161">
        <f t="shared" si="93"/>
        <v>0</v>
      </c>
      <c r="DG125" s="161">
        <f t="shared" si="94"/>
        <v>0</v>
      </c>
      <c r="DH125" s="161">
        <f t="shared" si="95"/>
        <v>0</v>
      </c>
      <c r="DI125" s="161">
        <f t="shared" si="96"/>
        <v>0</v>
      </c>
      <c r="DJ125" s="161">
        <f t="shared" si="97"/>
        <v>0</v>
      </c>
      <c r="DK125" s="161">
        <f t="shared" si="98"/>
        <v>0</v>
      </c>
      <c r="DL125" s="161">
        <f t="shared" si="99"/>
        <v>0</v>
      </c>
      <c r="DM125" s="161">
        <f t="shared" si="100"/>
        <v>0</v>
      </c>
      <c r="DN125" s="161">
        <f t="shared" si="101"/>
        <v>0</v>
      </c>
      <c r="DO125" s="161">
        <f t="shared" si="102"/>
        <v>0</v>
      </c>
      <c r="DP125" s="161">
        <f t="shared" si="103"/>
        <v>0</v>
      </c>
      <c r="DQ125" s="161">
        <f t="shared" si="104"/>
        <v>0</v>
      </c>
      <c r="DR125" s="161">
        <f t="shared" si="105"/>
        <v>0</v>
      </c>
      <c r="DS125" s="161">
        <f t="shared" si="106"/>
        <v>0</v>
      </c>
      <c r="DT125" s="161">
        <f t="shared" si="107"/>
        <v>0</v>
      </c>
      <c r="DU125" s="161">
        <f t="shared" si="108"/>
        <v>0</v>
      </c>
      <c r="DV125" s="161">
        <f t="shared" si="109"/>
        <v>0</v>
      </c>
      <c r="DW125" s="161">
        <f t="shared" si="110"/>
        <v>0</v>
      </c>
      <c r="DX125" s="161">
        <f t="shared" si="111"/>
        <v>0</v>
      </c>
      <c r="DY125" s="161">
        <f t="shared" si="112"/>
        <v>0</v>
      </c>
      <c r="DZ125" s="161">
        <f t="shared" si="113"/>
        <v>0</v>
      </c>
      <c r="EA125" s="161">
        <f t="shared" si="114"/>
        <v>0</v>
      </c>
      <c r="EB125" s="161">
        <f t="shared" si="115"/>
        <v>0</v>
      </c>
      <c r="EC125" s="161">
        <f t="shared" si="116"/>
        <v>0</v>
      </c>
      <c r="ED125" s="161">
        <f t="shared" si="117"/>
        <v>0</v>
      </c>
      <c r="EE125" s="161">
        <f t="shared" si="118"/>
        <v>0</v>
      </c>
      <c r="EF125" s="161">
        <f t="shared" si="119"/>
        <v>0</v>
      </c>
      <c r="EG125" s="161">
        <f t="shared" si="120"/>
        <v>0</v>
      </c>
      <c r="EH125" s="161">
        <f t="shared" si="121"/>
        <v>0</v>
      </c>
      <c r="EI125" s="161">
        <f t="shared" si="122"/>
        <v>0</v>
      </c>
      <c r="EJ125" s="161">
        <f t="shared" si="123"/>
        <v>0</v>
      </c>
      <c r="EK125" s="147">
        <f t="shared" si="130"/>
        <v>0</v>
      </c>
      <c r="EL125" s="149"/>
      <c r="EN125" s="146"/>
      <c r="EO125" s="146"/>
      <c r="EP125" s="139">
        <f t="shared" si="131"/>
        <v>0</v>
      </c>
      <c r="EQ125" s="139">
        <f t="shared" si="132"/>
        <v>0</v>
      </c>
      <c r="ER125" s="139">
        <f t="shared" si="133"/>
        <v>0</v>
      </c>
      <c r="ES125" s="139">
        <f t="shared" si="134"/>
        <v>0</v>
      </c>
      <c r="ET125" s="139">
        <f t="shared" si="135"/>
        <v>0</v>
      </c>
      <c r="EU125" s="139">
        <f t="shared" si="136"/>
        <v>0</v>
      </c>
      <c r="EV125" s="139">
        <f t="shared" si="137"/>
        <v>0</v>
      </c>
      <c r="EW125" s="139">
        <f t="shared" si="138"/>
        <v>0</v>
      </c>
      <c r="EX125" s="139">
        <f t="shared" si="139"/>
        <v>0</v>
      </c>
      <c r="EY125" s="139">
        <f t="shared" si="140"/>
        <v>0</v>
      </c>
      <c r="EZ125" s="139">
        <f t="shared" si="141"/>
        <v>0</v>
      </c>
      <c r="FA125" s="139">
        <f t="shared" si="142"/>
        <v>0</v>
      </c>
      <c r="FB125" s="139">
        <f t="shared" si="143"/>
        <v>0</v>
      </c>
      <c r="FC125" s="139">
        <f t="shared" si="144"/>
        <v>0</v>
      </c>
      <c r="FD125" s="139">
        <f t="shared" si="145"/>
        <v>0</v>
      </c>
      <c r="FE125" s="139">
        <f t="shared" si="146"/>
        <v>0</v>
      </c>
      <c r="FF125" s="139">
        <f t="shared" si="147"/>
        <v>0</v>
      </c>
      <c r="FG125" s="139">
        <f t="shared" si="148"/>
        <v>0</v>
      </c>
      <c r="FH125" s="139">
        <f t="shared" si="149"/>
        <v>0</v>
      </c>
      <c r="FI125" s="139">
        <f t="shared" si="150"/>
        <v>0</v>
      </c>
      <c r="FJ125" s="139">
        <f t="shared" si="151"/>
        <v>0</v>
      </c>
      <c r="FK125" s="139">
        <f t="shared" si="152"/>
        <v>0</v>
      </c>
      <c r="FL125" s="139">
        <f t="shared" si="153"/>
        <v>0</v>
      </c>
      <c r="FM125" s="139">
        <f t="shared" si="154"/>
        <v>0</v>
      </c>
      <c r="FN125" s="139">
        <f t="shared" si="155"/>
        <v>0</v>
      </c>
      <c r="FO125" s="139">
        <f t="shared" si="156"/>
        <v>0</v>
      </c>
      <c r="FP125" s="139">
        <f t="shared" si="157"/>
        <v>0</v>
      </c>
      <c r="FQ125" s="139">
        <f t="shared" si="158"/>
        <v>0</v>
      </c>
      <c r="FR125" s="139">
        <f t="shared" si="159"/>
        <v>0</v>
      </c>
      <c r="FS125" s="139">
        <f t="shared" si="160"/>
        <v>0</v>
      </c>
      <c r="FT125" s="139">
        <f t="shared" si="161"/>
        <v>0</v>
      </c>
      <c r="FU125" s="148">
        <f t="shared" si="162"/>
        <v>0</v>
      </c>
      <c r="FV125" s="149"/>
      <c r="FY125" s="210">
        <v>120</v>
      </c>
      <c r="FZ125">
        <v>6.6366169570396066E-2</v>
      </c>
      <c r="GA125">
        <v>1.8993424842596442</v>
      </c>
      <c r="GB125">
        <v>1.4530352925739001</v>
      </c>
      <c r="GC125">
        <v>2.9982873064515152</v>
      </c>
      <c r="GD125">
        <v>3.6808409883845021</v>
      </c>
      <c r="GE125">
        <v>3.9961499957791116</v>
      </c>
      <c r="GF125">
        <v>1.4515512574996277</v>
      </c>
      <c r="GG125">
        <v>1.4662212121236342</v>
      </c>
      <c r="GH125">
        <v>1.3247603501682221</v>
      </c>
      <c r="GI125">
        <v>3.5467931641404644</v>
      </c>
      <c r="GJ125"/>
      <c r="GK125"/>
      <c r="GL125"/>
      <c r="GM125"/>
    </row>
    <row r="126" spans="1:195" s="7" customFormat="1">
      <c r="A126" s="1"/>
      <c r="B126" s="76">
        <f ca="1">IF(C126="", "", RAND())</f>
        <v>0.23961931471789288</v>
      </c>
      <c r="C126">
        <v>4</v>
      </c>
      <c r="D126">
        <v>39747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6.2934790903540891</v>
      </c>
      <c r="AO126">
        <v>3.7878241274674833</v>
      </c>
      <c r="AP126">
        <v>25.386380157436129</v>
      </c>
      <c r="AQ126">
        <v>19.995150181004263</v>
      </c>
      <c r="AR126">
        <v>3.4608862901240887</v>
      </c>
      <c r="AS126">
        <v>15.946211094087339</v>
      </c>
      <c r="AT126" t="e">
        <v>#DIV/0!</v>
      </c>
      <c r="AU126" t="e">
        <v>#DIV/0!</v>
      </c>
      <c r="AV126"/>
      <c r="AW126"/>
      <c r="AX126" s="146"/>
      <c r="AY126" s="76">
        <f t="shared" ca="1" si="86"/>
        <v>0.22633591614441695</v>
      </c>
      <c r="AZ126">
        <v>9</v>
      </c>
      <c r="BA126" s="129">
        <f t="shared" si="129"/>
        <v>39747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 s="147"/>
      <c r="CH126" s="176"/>
      <c r="CJ126" s="146"/>
      <c r="CK126" s="76">
        <f t="shared" ca="1" si="88"/>
        <v>0.69340498507129267</v>
      </c>
      <c r="CL126" s="179">
        <f t="shared" si="89"/>
        <v>9</v>
      </c>
      <c r="CM126" s="180">
        <f t="shared" si="90"/>
        <v>39747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 s="160"/>
      <c r="CW126" s="178">
        <v>1</v>
      </c>
      <c r="CX126">
        <f>350/41</f>
        <v>8.536585365853659</v>
      </c>
      <c r="CY126" s="164"/>
      <c r="CZ126" s="177">
        <f t="shared" si="91"/>
        <v>9.6000000000000002E-2</v>
      </c>
      <c r="DB126" s="146"/>
      <c r="DC126" s="76">
        <f t="shared" ca="1" si="49"/>
        <v>0.52455090531607862</v>
      </c>
      <c r="DD126">
        <f t="shared" si="92"/>
        <v>9</v>
      </c>
      <c r="DE126" s="129">
        <f t="shared" si="128"/>
        <v>39747</v>
      </c>
      <c r="DF126" s="161">
        <f t="shared" si="93"/>
        <v>0</v>
      </c>
      <c r="DG126" s="161">
        <f t="shared" si="94"/>
        <v>0</v>
      </c>
      <c r="DH126" s="161">
        <f t="shared" si="95"/>
        <v>0</v>
      </c>
      <c r="DI126" s="161">
        <f t="shared" si="96"/>
        <v>0</v>
      </c>
      <c r="DJ126" s="161">
        <f t="shared" si="97"/>
        <v>0</v>
      </c>
      <c r="DK126" s="161">
        <f t="shared" si="98"/>
        <v>0</v>
      </c>
      <c r="DL126" s="161">
        <f t="shared" si="99"/>
        <v>0</v>
      </c>
      <c r="DM126" s="161">
        <f t="shared" si="100"/>
        <v>0</v>
      </c>
      <c r="DN126" s="161">
        <f t="shared" si="101"/>
        <v>0</v>
      </c>
      <c r="DO126" s="161">
        <f t="shared" si="102"/>
        <v>0</v>
      </c>
      <c r="DP126" s="161">
        <f t="shared" si="103"/>
        <v>0</v>
      </c>
      <c r="DQ126" s="161">
        <f t="shared" si="104"/>
        <v>0</v>
      </c>
      <c r="DR126" s="161">
        <f t="shared" si="105"/>
        <v>0</v>
      </c>
      <c r="DS126" s="161">
        <f t="shared" si="106"/>
        <v>0</v>
      </c>
      <c r="DT126" s="161">
        <f t="shared" si="107"/>
        <v>0</v>
      </c>
      <c r="DU126" s="161">
        <f t="shared" si="108"/>
        <v>0</v>
      </c>
      <c r="DV126" s="161">
        <f t="shared" si="109"/>
        <v>0</v>
      </c>
      <c r="DW126" s="161">
        <f t="shared" si="110"/>
        <v>0</v>
      </c>
      <c r="DX126" s="161">
        <f t="shared" si="111"/>
        <v>0</v>
      </c>
      <c r="DY126" s="161">
        <f t="shared" si="112"/>
        <v>0</v>
      </c>
      <c r="DZ126" s="161">
        <f t="shared" si="113"/>
        <v>0</v>
      </c>
      <c r="EA126" s="161">
        <f t="shared" si="114"/>
        <v>0</v>
      </c>
      <c r="EB126" s="161">
        <f t="shared" si="115"/>
        <v>0</v>
      </c>
      <c r="EC126" s="161">
        <f t="shared" si="116"/>
        <v>0</v>
      </c>
      <c r="ED126" s="161">
        <f t="shared" si="117"/>
        <v>0</v>
      </c>
      <c r="EE126" s="161">
        <f t="shared" si="118"/>
        <v>0</v>
      </c>
      <c r="EF126" s="161">
        <f t="shared" si="119"/>
        <v>0</v>
      </c>
      <c r="EG126" s="161">
        <f t="shared" si="120"/>
        <v>0</v>
      </c>
      <c r="EH126" s="161">
        <f t="shared" si="121"/>
        <v>0</v>
      </c>
      <c r="EI126" s="161">
        <f t="shared" si="122"/>
        <v>0</v>
      </c>
      <c r="EJ126" s="161">
        <f t="shared" si="123"/>
        <v>0</v>
      </c>
      <c r="EK126" s="147">
        <f t="shared" si="130"/>
        <v>0</v>
      </c>
      <c r="EL126" s="149"/>
      <c r="EN126" s="146"/>
      <c r="EO126" s="146"/>
      <c r="EP126" s="139">
        <f t="shared" si="131"/>
        <v>0</v>
      </c>
      <c r="EQ126" s="139">
        <f t="shared" si="132"/>
        <v>0</v>
      </c>
      <c r="ER126" s="139">
        <f t="shared" si="133"/>
        <v>0</v>
      </c>
      <c r="ES126" s="139">
        <f t="shared" si="134"/>
        <v>0</v>
      </c>
      <c r="ET126" s="139">
        <f t="shared" si="135"/>
        <v>0</v>
      </c>
      <c r="EU126" s="139">
        <f t="shared" si="136"/>
        <v>0</v>
      </c>
      <c r="EV126" s="139">
        <f t="shared" si="137"/>
        <v>0</v>
      </c>
      <c r="EW126" s="139">
        <f t="shared" si="138"/>
        <v>0</v>
      </c>
      <c r="EX126" s="139">
        <f t="shared" si="139"/>
        <v>0</v>
      </c>
      <c r="EY126" s="139">
        <f t="shared" si="140"/>
        <v>0</v>
      </c>
      <c r="EZ126" s="139">
        <f t="shared" si="141"/>
        <v>0</v>
      </c>
      <c r="FA126" s="139">
        <f t="shared" si="142"/>
        <v>0</v>
      </c>
      <c r="FB126" s="139">
        <f t="shared" si="143"/>
        <v>0</v>
      </c>
      <c r="FC126" s="139">
        <f t="shared" si="144"/>
        <v>0</v>
      </c>
      <c r="FD126" s="139">
        <f t="shared" si="145"/>
        <v>0</v>
      </c>
      <c r="FE126" s="139">
        <f t="shared" si="146"/>
        <v>0</v>
      </c>
      <c r="FF126" s="139">
        <f t="shared" si="147"/>
        <v>0</v>
      </c>
      <c r="FG126" s="139">
        <f t="shared" si="148"/>
        <v>0</v>
      </c>
      <c r="FH126" s="139">
        <f t="shared" si="149"/>
        <v>0</v>
      </c>
      <c r="FI126" s="139">
        <f t="shared" si="150"/>
        <v>0</v>
      </c>
      <c r="FJ126" s="139">
        <f t="shared" si="151"/>
        <v>0</v>
      </c>
      <c r="FK126" s="139">
        <f t="shared" si="152"/>
        <v>0</v>
      </c>
      <c r="FL126" s="139">
        <f t="shared" si="153"/>
        <v>0</v>
      </c>
      <c r="FM126" s="139">
        <f t="shared" si="154"/>
        <v>0</v>
      </c>
      <c r="FN126" s="139">
        <f t="shared" si="155"/>
        <v>0</v>
      </c>
      <c r="FO126" s="139">
        <f t="shared" si="156"/>
        <v>0</v>
      </c>
      <c r="FP126" s="139">
        <f t="shared" si="157"/>
        <v>0</v>
      </c>
      <c r="FQ126" s="139">
        <f t="shared" si="158"/>
        <v>0</v>
      </c>
      <c r="FR126" s="139">
        <f t="shared" si="159"/>
        <v>0</v>
      </c>
      <c r="FS126" s="139">
        <f t="shared" si="160"/>
        <v>0</v>
      </c>
      <c r="FT126" s="139">
        <f t="shared" si="161"/>
        <v>0</v>
      </c>
      <c r="FU126" s="148">
        <f t="shared" si="162"/>
        <v>0</v>
      </c>
      <c r="FV126" s="149"/>
      <c r="FY126" s="210">
        <v>121</v>
      </c>
      <c r="FZ126">
        <v>3.3183084785198033E-2</v>
      </c>
      <c r="GA126">
        <v>0.16463369022376226</v>
      </c>
      <c r="GB126">
        <v>6.3936326655807327E-2</v>
      </c>
      <c r="GC126">
        <v>7.8921134277053966</v>
      </c>
      <c r="GD126">
        <v>6.4430396378014008</v>
      </c>
      <c r="GE126">
        <v>1.2897128783094598</v>
      </c>
      <c r="GF126">
        <v>0.38032995424220212</v>
      </c>
      <c r="GG126">
        <v>1.2981488832102204</v>
      </c>
      <c r="GH126">
        <v>1.3247603501682221</v>
      </c>
      <c r="GI126">
        <v>4.9792501719843933</v>
      </c>
      <c r="GJ126"/>
      <c r="GK126"/>
      <c r="GL126"/>
      <c r="GM126"/>
    </row>
    <row r="127" spans="1:195" s="7" customFormat="1">
      <c r="A127" s="1"/>
      <c r="B127" s="76">
        <f ca="1">IF(C127="", "", RAND())</f>
        <v>0.36856607908594796</v>
      </c>
      <c r="C127">
        <v>8</v>
      </c>
      <c r="D127">
        <v>39747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7.3344017094017078</v>
      </c>
      <c r="AO127">
        <v>8.9418449235637265</v>
      </c>
      <c r="AP127">
        <v>36.768753741778873</v>
      </c>
      <c r="AQ127">
        <v>33.981169509391854</v>
      </c>
      <c r="AR127">
        <v>8.1891164286978597</v>
      </c>
      <c r="AS127">
        <v>44.256259869596661</v>
      </c>
      <c r="AT127" t="e">
        <v>#DIV/0!</v>
      </c>
      <c r="AU127" t="e">
        <v>#DIV/0!</v>
      </c>
      <c r="AV127"/>
      <c r="AW127"/>
      <c r="AX127" s="146"/>
      <c r="AY127" s="76">
        <f t="shared" ca="1" si="86"/>
        <v>0.24388651513448911</v>
      </c>
      <c r="AZ127">
        <v>10</v>
      </c>
      <c r="BA127" s="129">
        <f t="shared" si="129"/>
        <v>39747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 s="147"/>
      <c r="CH127" s="176"/>
      <c r="CJ127" s="146"/>
      <c r="CK127" s="76">
        <f t="shared" ca="1" si="88"/>
        <v>0.90821517955378295</v>
      </c>
      <c r="CL127" s="179">
        <f t="shared" si="89"/>
        <v>10</v>
      </c>
      <c r="CM127" s="180">
        <f t="shared" si="90"/>
        <v>39747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 s="160"/>
      <c r="CW127" s="178">
        <v>1</v>
      </c>
      <c r="CX127">
        <f>350/56</f>
        <v>6.25</v>
      </c>
      <c r="CY127" s="164"/>
      <c r="CZ127" s="177">
        <f t="shared" si="91"/>
        <v>9.6000000000000002E-2</v>
      </c>
      <c r="DB127" s="146"/>
      <c r="DC127" s="76">
        <f t="shared" ca="1" si="49"/>
        <v>0.21369980083403251</v>
      </c>
      <c r="DD127">
        <f t="shared" si="92"/>
        <v>10</v>
      </c>
      <c r="DE127" s="129">
        <f t="shared" si="128"/>
        <v>39747</v>
      </c>
      <c r="DF127" s="161">
        <f t="shared" si="93"/>
        <v>0</v>
      </c>
      <c r="DG127" s="161">
        <f t="shared" si="94"/>
        <v>0</v>
      </c>
      <c r="DH127" s="161">
        <f t="shared" si="95"/>
        <v>0</v>
      </c>
      <c r="DI127" s="161">
        <f t="shared" si="96"/>
        <v>0</v>
      </c>
      <c r="DJ127" s="161">
        <f t="shared" si="97"/>
        <v>0</v>
      </c>
      <c r="DK127" s="161">
        <f t="shared" si="98"/>
        <v>0</v>
      </c>
      <c r="DL127" s="161">
        <f t="shared" si="99"/>
        <v>0</v>
      </c>
      <c r="DM127" s="161">
        <f t="shared" si="100"/>
        <v>0</v>
      </c>
      <c r="DN127" s="161">
        <f t="shared" si="101"/>
        <v>0</v>
      </c>
      <c r="DO127" s="161">
        <f t="shared" si="102"/>
        <v>0</v>
      </c>
      <c r="DP127" s="161">
        <f t="shared" si="103"/>
        <v>0</v>
      </c>
      <c r="DQ127" s="161">
        <f t="shared" si="104"/>
        <v>0</v>
      </c>
      <c r="DR127" s="161">
        <f t="shared" si="105"/>
        <v>0</v>
      </c>
      <c r="DS127" s="161">
        <f t="shared" si="106"/>
        <v>0</v>
      </c>
      <c r="DT127" s="161">
        <f t="shared" si="107"/>
        <v>0</v>
      </c>
      <c r="DU127" s="161">
        <f t="shared" si="108"/>
        <v>0</v>
      </c>
      <c r="DV127" s="161">
        <f t="shared" si="109"/>
        <v>0</v>
      </c>
      <c r="DW127" s="161">
        <f t="shared" si="110"/>
        <v>0</v>
      </c>
      <c r="DX127" s="161">
        <f t="shared" si="111"/>
        <v>0</v>
      </c>
      <c r="DY127" s="161">
        <f t="shared" si="112"/>
        <v>0</v>
      </c>
      <c r="DZ127" s="161">
        <f t="shared" si="113"/>
        <v>0</v>
      </c>
      <c r="EA127" s="161">
        <f t="shared" si="114"/>
        <v>0</v>
      </c>
      <c r="EB127" s="161">
        <f t="shared" si="115"/>
        <v>0</v>
      </c>
      <c r="EC127" s="161">
        <f t="shared" si="116"/>
        <v>0</v>
      </c>
      <c r="ED127" s="161">
        <f t="shared" si="117"/>
        <v>0</v>
      </c>
      <c r="EE127" s="161">
        <f t="shared" si="118"/>
        <v>0</v>
      </c>
      <c r="EF127" s="161">
        <f t="shared" si="119"/>
        <v>0</v>
      </c>
      <c r="EG127" s="161">
        <f t="shared" si="120"/>
        <v>0</v>
      </c>
      <c r="EH127" s="161">
        <f t="shared" si="121"/>
        <v>0</v>
      </c>
      <c r="EI127" s="161">
        <f t="shared" si="122"/>
        <v>0</v>
      </c>
      <c r="EJ127" s="161">
        <f t="shared" si="123"/>
        <v>0</v>
      </c>
      <c r="EK127" s="147">
        <f t="shared" si="130"/>
        <v>0</v>
      </c>
      <c r="EL127" s="149"/>
      <c r="EN127" s="146"/>
      <c r="EO127" s="146"/>
      <c r="EP127" s="139">
        <f t="shared" si="131"/>
        <v>0</v>
      </c>
      <c r="EQ127" s="139">
        <f t="shared" si="132"/>
        <v>0</v>
      </c>
      <c r="ER127" s="139">
        <f t="shared" si="133"/>
        <v>0</v>
      </c>
      <c r="ES127" s="139">
        <f t="shared" si="134"/>
        <v>0</v>
      </c>
      <c r="ET127" s="139">
        <f t="shared" si="135"/>
        <v>0</v>
      </c>
      <c r="EU127" s="139">
        <f t="shared" si="136"/>
        <v>0</v>
      </c>
      <c r="EV127" s="139">
        <f t="shared" si="137"/>
        <v>0</v>
      </c>
      <c r="EW127" s="139">
        <f t="shared" si="138"/>
        <v>0</v>
      </c>
      <c r="EX127" s="139">
        <f t="shared" si="139"/>
        <v>0</v>
      </c>
      <c r="EY127" s="139">
        <f t="shared" si="140"/>
        <v>0</v>
      </c>
      <c r="EZ127" s="139">
        <f t="shared" si="141"/>
        <v>0</v>
      </c>
      <c r="FA127" s="139">
        <f t="shared" si="142"/>
        <v>0</v>
      </c>
      <c r="FB127" s="139">
        <f t="shared" si="143"/>
        <v>0</v>
      </c>
      <c r="FC127" s="139">
        <f t="shared" si="144"/>
        <v>0</v>
      </c>
      <c r="FD127" s="139">
        <f t="shared" si="145"/>
        <v>0</v>
      </c>
      <c r="FE127" s="139">
        <f t="shared" si="146"/>
        <v>0</v>
      </c>
      <c r="FF127" s="139">
        <f t="shared" si="147"/>
        <v>0</v>
      </c>
      <c r="FG127" s="139">
        <f t="shared" si="148"/>
        <v>0</v>
      </c>
      <c r="FH127" s="139">
        <f t="shared" si="149"/>
        <v>0</v>
      </c>
      <c r="FI127" s="139">
        <f t="shared" si="150"/>
        <v>0</v>
      </c>
      <c r="FJ127" s="139">
        <f t="shared" si="151"/>
        <v>0</v>
      </c>
      <c r="FK127" s="139">
        <f t="shared" si="152"/>
        <v>0</v>
      </c>
      <c r="FL127" s="139">
        <f t="shared" si="153"/>
        <v>0</v>
      </c>
      <c r="FM127" s="139">
        <f t="shared" si="154"/>
        <v>0</v>
      </c>
      <c r="FN127" s="139">
        <f t="shared" si="155"/>
        <v>0</v>
      </c>
      <c r="FO127" s="139">
        <f t="shared" si="156"/>
        <v>0</v>
      </c>
      <c r="FP127" s="139">
        <f t="shared" si="157"/>
        <v>0</v>
      </c>
      <c r="FQ127" s="139">
        <f t="shared" si="158"/>
        <v>0</v>
      </c>
      <c r="FR127" s="139">
        <f t="shared" si="159"/>
        <v>0</v>
      </c>
      <c r="FS127" s="139">
        <f t="shared" si="160"/>
        <v>0</v>
      </c>
      <c r="FT127" s="139">
        <f t="shared" si="161"/>
        <v>0</v>
      </c>
      <c r="FU127" s="148">
        <f t="shared" si="162"/>
        <v>0</v>
      </c>
      <c r="FV127" s="149"/>
      <c r="FY127" s="210">
        <v>122</v>
      </c>
      <c r="FZ127">
        <v>0.73704566401260951</v>
      </c>
      <c r="GA127">
        <v>1.1208579784567154</v>
      </c>
      <c r="GB127">
        <v>0.69993699703635026</v>
      </c>
      <c r="GC127">
        <v>5.292232226009645</v>
      </c>
      <c r="GD127">
        <v>3.8556570604983724</v>
      </c>
      <c r="GE127">
        <v>0.31351368791317175</v>
      </c>
      <c r="GF127">
        <v>0.76065990848440423</v>
      </c>
      <c r="GG127">
        <v>1.634293541037048</v>
      </c>
      <c r="GH127">
        <v>1.3247603501682221</v>
      </c>
      <c r="GI127">
        <v>3.4623421166173403</v>
      </c>
      <c r="GJ127"/>
      <c r="GK127"/>
      <c r="GL127"/>
      <c r="GM127"/>
    </row>
    <row r="128" spans="1:195" s="7" customFormat="1">
      <c r="A128" s="128"/>
      <c r="B128" s="76">
        <f ca="1">IF(C128="", "", RAND())</f>
        <v>0.52434141286506453</v>
      </c>
      <c r="C128">
        <v>7</v>
      </c>
      <c r="D128">
        <v>39775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28.409090909090907</v>
      </c>
      <c r="K128">
        <v>113.63636363636363</v>
      </c>
      <c r="L128">
        <v>42.61363636363636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2.8425480769230766</v>
      </c>
      <c r="AO128">
        <v>2.8419169637502568</v>
      </c>
      <c r="AP128">
        <v>12.989965976446783</v>
      </c>
      <c r="AQ128">
        <v>11.973457563530447</v>
      </c>
      <c r="AR128">
        <v>2.5834213887166437</v>
      </c>
      <c r="AS128">
        <v>12.456435687270778</v>
      </c>
      <c r="AT128" t="e">
        <v>#DIV/0!</v>
      </c>
      <c r="AU128" t="e">
        <v>#DIV/0!</v>
      </c>
      <c r="AV128"/>
      <c r="AW128"/>
      <c r="AX128" s="128"/>
      <c r="AY128" s="76">
        <f t="shared" ca="1" si="86"/>
        <v>0.92747934655746489</v>
      </c>
      <c r="AZ128">
        <v>1</v>
      </c>
      <c r="BA128" s="129">
        <f>IF(AZ128="", "",$C$8)</f>
        <v>39775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 s="147"/>
      <c r="CH128" s="176"/>
      <c r="CJ128" s="128"/>
      <c r="CK128" s="76">
        <f t="shared" ca="1" si="88"/>
        <v>0.93693740663905722</v>
      </c>
      <c r="CL128" s="179">
        <f t="shared" si="89"/>
        <v>1</v>
      </c>
      <c r="CM128" s="180">
        <f t="shared" si="90"/>
        <v>39775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 s="160"/>
      <c r="CW128">
        <f>40/13</f>
        <v>3.0769230769230771</v>
      </c>
      <c r="CX128">
        <f>21/10</f>
        <v>2.1</v>
      </c>
      <c r="CY128" s="160"/>
      <c r="CZ128" s="177">
        <f t="shared" si="91"/>
        <v>9.6000000000000002E-2</v>
      </c>
      <c r="DB128" s="128"/>
      <c r="DC128" s="76">
        <f t="shared" ca="1" si="49"/>
        <v>0.24389063780297171</v>
      </c>
      <c r="DD128">
        <f t="shared" si="92"/>
        <v>1</v>
      </c>
      <c r="DE128" s="129">
        <f t="shared" ref="DE128:DE137" si="163">IF((DD128)="", "", $C$8)</f>
        <v>39775</v>
      </c>
      <c r="DF128" s="161">
        <f t="shared" si="93"/>
        <v>0</v>
      </c>
      <c r="DG128" s="161">
        <f t="shared" si="94"/>
        <v>0</v>
      </c>
      <c r="DH128" s="161">
        <f t="shared" si="95"/>
        <v>0</v>
      </c>
      <c r="DI128" s="161">
        <f t="shared" si="96"/>
        <v>0</v>
      </c>
      <c r="DJ128" s="161">
        <f t="shared" si="97"/>
        <v>0</v>
      </c>
      <c r="DK128" s="161">
        <f t="shared" si="98"/>
        <v>0</v>
      </c>
      <c r="DL128" s="161">
        <f t="shared" si="99"/>
        <v>0</v>
      </c>
      <c r="DM128" s="161">
        <f t="shared" si="100"/>
        <v>0</v>
      </c>
      <c r="DN128" s="161">
        <f t="shared" si="101"/>
        <v>0</v>
      </c>
      <c r="DO128" s="161">
        <f t="shared" si="102"/>
        <v>0</v>
      </c>
      <c r="DP128" s="161">
        <f t="shared" si="103"/>
        <v>0</v>
      </c>
      <c r="DQ128" s="161">
        <f t="shared" si="104"/>
        <v>0</v>
      </c>
      <c r="DR128" s="161">
        <f t="shared" si="105"/>
        <v>0</v>
      </c>
      <c r="DS128" s="161">
        <f t="shared" si="106"/>
        <v>0</v>
      </c>
      <c r="DT128" s="161">
        <f t="shared" si="107"/>
        <v>0</v>
      </c>
      <c r="DU128" s="161">
        <f t="shared" si="108"/>
        <v>0</v>
      </c>
      <c r="DV128" s="161">
        <f t="shared" si="109"/>
        <v>0</v>
      </c>
      <c r="DW128" s="161">
        <f t="shared" si="110"/>
        <v>0</v>
      </c>
      <c r="DX128" s="161">
        <f t="shared" si="111"/>
        <v>0</v>
      </c>
      <c r="DY128" s="161">
        <f t="shared" si="112"/>
        <v>0</v>
      </c>
      <c r="DZ128" s="161">
        <f t="shared" si="113"/>
        <v>0</v>
      </c>
      <c r="EA128" s="161">
        <f t="shared" si="114"/>
        <v>0</v>
      </c>
      <c r="EB128" s="161">
        <f t="shared" si="115"/>
        <v>0</v>
      </c>
      <c r="EC128" s="161">
        <f t="shared" si="116"/>
        <v>0</v>
      </c>
      <c r="ED128" s="161">
        <f t="shared" si="117"/>
        <v>0</v>
      </c>
      <c r="EE128" s="161">
        <f t="shared" si="118"/>
        <v>0</v>
      </c>
      <c r="EF128" s="161">
        <f t="shared" si="119"/>
        <v>0</v>
      </c>
      <c r="EG128" s="161">
        <f t="shared" si="120"/>
        <v>0</v>
      </c>
      <c r="EH128" s="161">
        <f t="shared" si="121"/>
        <v>0</v>
      </c>
      <c r="EI128" s="161">
        <f t="shared" si="122"/>
        <v>0</v>
      </c>
      <c r="EJ128" s="161">
        <f t="shared" si="123"/>
        <v>0</v>
      </c>
      <c r="EK128" s="147">
        <f t="shared" si="130"/>
        <v>0</v>
      </c>
      <c r="EL128" s="149"/>
      <c r="EN128" s="146"/>
      <c r="EO128" s="146"/>
      <c r="EP128" s="139">
        <f t="shared" si="131"/>
        <v>0</v>
      </c>
      <c r="EQ128" s="139">
        <f t="shared" si="132"/>
        <v>0</v>
      </c>
      <c r="ER128" s="139">
        <f t="shared" si="133"/>
        <v>0</v>
      </c>
      <c r="ES128" s="139">
        <f t="shared" si="134"/>
        <v>0</v>
      </c>
      <c r="ET128" s="139">
        <f t="shared" si="135"/>
        <v>0</v>
      </c>
      <c r="EU128" s="139">
        <f t="shared" si="136"/>
        <v>0</v>
      </c>
      <c r="EV128" s="139">
        <f t="shared" si="137"/>
        <v>0</v>
      </c>
      <c r="EW128" s="139">
        <f t="shared" si="138"/>
        <v>0</v>
      </c>
      <c r="EX128" s="139">
        <f t="shared" si="139"/>
        <v>0</v>
      </c>
      <c r="EY128" s="139">
        <f t="shared" si="140"/>
        <v>0</v>
      </c>
      <c r="EZ128" s="139">
        <f t="shared" si="141"/>
        <v>0</v>
      </c>
      <c r="FA128" s="139">
        <f t="shared" si="142"/>
        <v>0</v>
      </c>
      <c r="FB128" s="139">
        <f t="shared" si="143"/>
        <v>0</v>
      </c>
      <c r="FC128" s="139">
        <f t="shared" si="144"/>
        <v>0</v>
      </c>
      <c r="FD128" s="139">
        <f t="shared" si="145"/>
        <v>0</v>
      </c>
      <c r="FE128" s="139">
        <f t="shared" si="146"/>
        <v>0</v>
      </c>
      <c r="FF128" s="139">
        <f t="shared" si="147"/>
        <v>0</v>
      </c>
      <c r="FG128" s="139">
        <f t="shared" si="148"/>
        <v>0</v>
      </c>
      <c r="FH128" s="139">
        <f t="shared" si="149"/>
        <v>0</v>
      </c>
      <c r="FI128" s="139">
        <f t="shared" si="150"/>
        <v>0</v>
      </c>
      <c r="FJ128" s="139">
        <f t="shared" si="151"/>
        <v>0</v>
      </c>
      <c r="FK128" s="139">
        <f t="shared" si="152"/>
        <v>0</v>
      </c>
      <c r="FL128" s="139">
        <f t="shared" si="153"/>
        <v>0</v>
      </c>
      <c r="FM128" s="139">
        <f t="shared" si="154"/>
        <v>0</v>
      </c>
      <c r="FN128" s="139">
        <f t="shared" si="155"/>
        <v>0</v>
      </c>
      <c r="FO128" s="139">
        <f t="shared" si="156"/>
        <v>0</v>
      </c>
      <c r="FP128" s="139">
        <f t="shared" si="157"/>
        <v>0</v>
      </c>
      <c r="FQ128" s="139">
        <f t="shared" si="158"/>
        <v>0</v>
      </c>
      <c r="FR128" s="139">
        <f t="shared" si="159"/>
        <v>0</v>
      </c>
      <c r="FS128" s="139">
        <f t="shared" si="160"/>
        <v>0</v>
      </c>
      <c r="FT128" s="139">
        <f t="shared" si="161"/>
        <v>0</v>
      </c>
      <c r="FU128" s="148">
        <f t="shared" si="162"/>
        <v>0</v>
      </c>
      <c r="FV128" s="149"/>
      <c r="FY128" s="210">
        <v>123</v>
      </c>
      <c r="FZ128">
        <v>0.52454686079360424</v>
      </c>
      <c r="GA128">
        <v>6.4269684622901568</v>
      </c>
      <c r="GB128">
        <v>3.900585096051794</v>
      </c>
      <c r="GC128">
        <v>2.2481811196968442</v>
      </c>
      <c r="GD128">
        <v>2.1766680330586419</v>
      </c>
      <c r="GE128">
        <v>2.4311131375014865</v>
      </c>
      <c r="GF128">
        <v>1.0712213032574254</v>
      </c>
      <c r="GG128">
        <v>1.6110786669885027</v>
      </c>
      <c r="GH128">
        <v>1.9871405252523333</v>
      </c>
      <c r="GI128">
        <v>3.2515167612122924</v>
      </c>
      <c r="GJ128"/>
      <c r="GK128"/>
      <c r="GL128"/>
      <c r="GM128"/>
    </row>
    <row r="129" spans="1:195" s="7" customFormat="1">
      <c r="A129" s="1"/>
      <c r="B129" s="76">
        <f ca="1">IF(C129="", "", RAND())</f>
        <v>0.43630606299835417</v>
      </c>
      <c r="C129">
        <v>9</v>
      </c>
      <c r="D129">
        <v>39775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10.416666666666666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10.578411172161172</v>
      </c>
      <c r="AO129">
        <v>7.6515249374531136</v>
      </c>
      <c r="AP129">
        <v>40.628631296775808</v>
      </c>
      <c r="AQ129">
        <v>33.450539714236683</v>
      </c>
      <c r="AR129">
        <v>7.0978895523683789</v>
      </c>
      <c r="AS129">
        <v>30.687100786388452</v>
      </c>
      <c r="AT129" t="e">
        <v>#DIV/0!</v>
      </c>
      <c r="AU129" t="e">
        <v>#DIV/0!</v>
      </c>
      <c r="AV129"/>
      <c r="AW129"/>
      <c r="AX129" s="146"/>
      <c r="AY129" s="76">
        <f t="shared" ca="1" si="86"/>
        <v>0.45906532384355581</v>
      </c>
      <c r="AZ129">
        <v>2</v>
      </c>
      <c r="BA129" s="129">
        <f t="shared" ref="BA129:BA137" si="164">IF(AZ129="", "",$C$8)</f>
        <v>39775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 s="147"/>
      <c r="CH129" s="176"/>
      <c r="CJ129" s="146"/>
      <c r="CK129" s="76">
        <f t="shared" ca="1" si="88"/>
        <v>0.95790342188359734</v>
      </c>
      <c r="CL129" s="179">
        <f t="shared" si="89"/>
        <v>2</v>
      </c>
      <c r="CM129" s="180">
        <f t="shared" si="90"/>
        <v>39775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 s="160"/>
      <c r="CW129">
        <v>1</v>
      </c>
      <c r="CX129">
        <f>20/11</f>
        <v>1.8181818181818181</v>
      </c>
      <c r="CY129" s="160"/>
      <c r="CZ129" s="177">
        <f t="shared" si="91"/>
        <v>9.6000000000000002E-2</v>
      </c>
      <c r="DB129" s="146"/>
      <c r="DC129" s="76">
        <f t="shared" ca="1" si="49"/>
        <v>0.3447639339502146</v>
      </c>
      <c r="DD129">
        <f t="shared" si="92"/>
        <v>2</v>
      </c>
      <c r="DE129" s="129">
        <f t="shared" si="163"/>
        <v>39775</v>
      </c>
      <c r="DF129" s="161">
        <f t="shared" si="93"/>
        <v>0</v>
      </c>
      <c r="DG129" s="161">
        <f t="shared" si="94"/>
        <v>0</v>
      </c>
      <c r="DH129" s="161">
        <f t="shared" si="95"/>
        <v>0</v>
      </c>
      <c r="DI129" s="161">
        <f t="shared" si="96"/>
        <v>0</v>
      </c>
      <c r="DJ129" s="161">
        <f t="shared" si="97"/>
        <v>0</v>
      </c>
      <c r="DK129" s="161">
        <f t="shared" si="98"/>
        <v>0</v>
      </c>
      <c r="DL129" s="161">
        <f t="shared" si="99"/>
        <v>0</v>
      </c>
      <c r="DM129" s="161">
        <f t="shared" si="100"/>
        <v>0</v>
      </c>
      <c r="DN129" s="161">
        <f t="shared" si="101"/>
        <v>0</v>
      </c>
      <c r="DO129" s="161">
        <f t="shared" si="102"/>
        <v>0</v>
      </c>
      <c r="DP129" s="161">
        <f t="shared" si="103"/>
        <v>0</v>
      </c>
      <c r="DQ129" s="161">
        <f t="shared" si="104"/>
        <v>0</v>
      </c>
      <c r="DR129" s="161">
        <f t="shared" si="105"/>
        <v>0</v>
      </c>
      <c r="DS129" s="161">
        <f t="shared" si="106"/>
        <v>0</v>
      </c>
      <c r="DT129" s="161">
        <f t="shared" si="107"/>
        <v>0</v>
      </c>
      <c r="DU129" s="161">
        <f t="shared" si="108"/>
        <v>0</v>
      </c>
      <c r="DV129" s="161">
        <f t="shared" si="109"/>
        <v>0</v>
      </c>
      <c r="DW129" s="161">
        <f t="shared" si="110"/>
        <v>0</v>
      </c>
      <c r="DX129" s="161">
        <f t="shared" si="111"/>
        <v>0</v>
      </c>
      <c r="DY129" s="161">
        <f t="shared" si="112"/>
        <v>0</v>
      </c>
      <c r="DZ129" s="161">
        <f t="shared" si="113"/>
        <v>0</v>
      </c>
      <c r="EA129" s="161">
        <f t="shared" si="114"/>
        <v>0</v>
      </c>
      <c r="EB129" s="161">
        <f t="shared" si="115"/>
        <v>0</v>
      </c>
      <c r="EC129" s="161">
        <f t="shared" si="116"/>
        <v>0</v>
      </c>
      <c r="ED129" s="161">
        <f t="shared" si="117"/>
        <v>0</v>
      </c>
      <c r="EE129" s="161">
        <f t="shared" si="118"/>
        <v>0</v>
      </c>
      <c r="EF129" s="161">
        <f t="shared" si="119"/>
        <v>0</v>
      </c>
      <c r="EG129" s="161">
        <f t="shared" si="120"/>
        <v>0</v>
      </c>
      <c r="EH129" s="161">
        <f t="shared" si="121"/>
        <v>0</v>
      </c>
      <c r="EI129" s="161">
        <f t="shared" si="122"/>
        <v>0</v>
      </c>
      <c r="EJ129" s="161">
        <f t="shared" si="123"/>
        <v>0</v>
      </c>
      <c r="EK129" s="147">
        <f t="shared" si="130"/>
        <v>0</v>
      </c>
      <c r="EL129" s="149"/>
      <c r="EN129" s="146"/>
      <c r="EO129" s="146"/>
      <c r="EP129" s="139">
        <f t="shared" si="131"/>
        <v>0</v>
      </c>
      <c r="EQ129" s="139">
        <f t="shared" si="132"/>
        <v>0</v>
      </c>
      <c r="ER129" s="139">
        <f t="shared" si="133"/>
        <v>0</v>
      </c>
      <c r="ES129" s="139">
        <f t="shared" si="134"/>
        <v>0</v>
      </c>
      <c r="ET129" s="139">
        <f t="shared" si="135"/>
        <v>0</v>
      </c>
      <c r="EU129" s="139">
        <f t="shared" si="136"/>
        <v>0</v>
      </c>
      <c r="EV129" s="139">
        <f t="shared" si="137"/>
        <v>0</v>
      </c>
      <c r="EW129" s="139">
        <f t="shared" si="138"/>
        <v>0</v>
      </c>
      <c r="EX129" s="139">
        <f t="shared" si="139"/>
        <v>0</v>
      </c>
      <c r="EY129" s="139">
        <f t="shared" si="140"/>
        <v>0</v>
      </c>
      <c r="EZ129" s="139">
        <f t="shared" si="141"/>
        <v>0</v>
      </c>
      <c r="FA129" s="139">
        <f t="shared" si="142"/>
        <v>0</v>
      </c>
      <c r="FB129" s="139">
        <f t="shared" si="143"/>
        <v>0</v>
      </c>
      <c r="FC129" s="139">
        <f t="shared" si="144"/>
        <v>0</v>
      </c>
      <c r="FD129" s="139">
        <f t="shared" si="145"/>
        <v>0</v>
      </c>
      <c r="FE129" s="139">
        <f t="shared" si="146"/>
        <v>0</v>
      </c>
      <c r="FF129" s="139">
        <f t="shared" si="147"/>
        <v>0</v>
      </c>
      <c r="FG129" s="139">
        <f t="shared" si="148"/>
        <v>0</v>
      </c>
      <c r="FH129" s="139">
        <f t="shared" si="149"/>
        <v>0</v>
      </c>
      <c r="FI129" s="139">
        <f t="shared" si="150"/>
        <v>0</v>
      </c>
      <c r="FJ129" s="139">
        <f t="shared" si="151"/>
        <v>0</v>
      </c>
      <c r="FK129" s="139">
        <f t="shared" si="152"/>
        <v>0</v>
      </c>
      <c r="FL129" s="139">
        <f t="shared" si="153"/>
        <v>0</v>
      </c>
      <c r="FM129" s="139">
        <f t="shared" si="154"/>
        <v>0</v>
      </c>
      <c r="FN129" s="139">
        <f t="shared" si="155"/>
        <v>0</v>
      </c>
      <c r="FO129" s="139">
        <f t="shared" si="156"/>
        <v>0</v>
      </c>
      <c r="FP129" s="139">
        <f t="shared" si="157"/>
        <v>0</v>
      </c>
      <c r="FQ129" s="139">
        <f t="shared" si="158"/>
        <v>0</v>
      </c>
      <c r="FR129" s="139">
        <f t="shared" si="159"/>
        <v>0</v>
      </c>
      <c r="FS129" s="139">
        <f t="shared" si="160"/>
        <v>0</v>
      </c>
      <c r="FT129" s="139">
        <f t="shared" si="161"/>
        <v>0</v>
      </c>
      <c r="FU129" s="148">
        <f t="shared" si="162"/>
        <v>0</v>
      </c>
      <c r="FV129" s="149"/>
      <c r="FY129" s="210">
        <v>124</v>
      </c>
      <c r="FZ129">
        <v>0.2456818880042031</v>
      </c>
      <c r="GA129">
        <v>7.6781334307842002</v>
      </c>
      <c r="GB129">
        <v>4.1077075205021387</v>
      </c>
      <c r="GC129">
        <v>3.5709767855132197</v>
      </c>
      <c r="GD129">
        <v>3.2046206124063112</v>
      </c>
      <c r="GE129">
        <v>2.0806755322874251</v>
      </c>
      <c r="GF129">
        <v>1.4515512574996277</v>
      </c>
      <c r="GG129">
        <v>2.909227550198723</v>
      </c>
      <c r="GH129">
        <v>3.3119008754205557</v>
      </c>
      <c r="GI129">
        <v>4.1787042649506141</v>
      </c>
      <c r="GJ129"/>
      <c r="GK129"/>
      <c r="GL129"/>
      <c r="GM129"/>
    </row>
    <row r="130" spans="1:195" s="7" customFormat="1">
      <c r="A130" s="1"/>
      <c r="B130" s="76">
        <f ca="1">IF(C130="", "", RAND())</f>
        <v>0.90229439963209135</v>
      </c>
      <c r="C130">
        <v>6</v>
      </c>
      <c r="D130">
        <v>39775</v>
      </c>
      <c r="E130">
        <v>0</v>
      </c>
      <c r="F130">
        <v>0</v>
      </c>
      <c r="G130">
        <v>0</v>
      </c>
      <c r="H130">
        <v>0</v>
      </c>
      <c r="I130">
        <v>41.666666666666664</v>
      </c>
      <c r="J130">
        <v>31.25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10.27579365079365</v>
      </c>
      <c r="AO130">
        <v>9.1042293734607309</v>
      </c>
      <c r="AP130">
        <v>45.560645389219275</v>
      </c>
      <c r="AQ130">
        <v>36.20540988581336</v>
      </c>
      <c r="AR130">
        <v>8.3397513543908168</v>
      </c>
      <c r="AS130">
        <v>38.236858746694878</v>
      </c>
      <c r="AT130" t="e">
        <v>#DIV/0!</v>
      </c>
      <c r="AU130" t="e">
        <v>#DIV/0!</v>
      </c>
      <c r="AV130"/>
      <c r="AW130"/>
      <c r="AX130" s="146"/>
      <c r="AY130" s="76">
        <f t="shared" ca="1" si="86"/>
        <v>0.67108405738453336</v>
      </c>
      <c r="AZ130">
        <v>3</v>
      </c>
      <c r="BA130" s="129">
        <f t="shared" si="164"/>
        <v>39775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 s="147"/>
      <c r="CH130" s="176"/>
      <c r="CJ130" s="146"/>
      <c r="CK130" s="76">
        <f t="shared" ca="1" si="88"/>
        <v>0.92662735361447979</v>
      </c>
      <c r="CL130" s="179">
        <f t="shared" si="89"/>
        <v>3</v>
      </c>
      <c r="CM130" s="180">
        <f t="shared" si="90"/>
        <v>39775</v>
      </c>
      <c r="CN130" s="225">
        <v>0</v>
      </c>
      <c r="CO130" s="225">
        <v>0</v>
      </c>
      <c r="CP130" s="225">
        <v>0</v>
      </c>
      <c r="CQ130" s="225">
        <v>0</v>
      </c>
      <c r="CR130" s="225">
        <v>0</v>
      </c>
      <c r="CS130">
        <v>0</v>
      </c>
      <c r="CT130">
        <v>0</v>
      </c>
      <c r="CU130">
        <v>0</v>
      </c>
      <c r="CV130" s="160"/>
      <c r="CW130">
        <v>1</v>
      </c>
      <c r="CX130">
        <f>50/10</f>
        <v>5</v>
      </c>
      <c r="CY130" s="160"/>
      <c r="CZ130" s="177">
        <f t="shared" si="91"/>
        <v>9.6000000000000002E-2</v>
      </c>
      <c r="DB130" s="146"/>
      <c r="DC130" s="76">
        <f t="shared" ca="1" si="49"/>
        <v>0.46611743247140769</v>
      </c>
      <c r="DD130">
        <f t="shared" si="92"/>
        <v>3</v>
      </c>
      <c r="DE130" s="129">
        <f t="shared" si="163"/>
        <v>39775</v>
      </c>
      <c r="DF130" s="161">
        <f t="shared" si="93"/>
        <v>0</v>
      </c>
      <c r="DG130" s="161">
        <f t="shared" si="94"/>
        <v>0</v>
      </c>
      <c r="DH130" s="161">
        <f t="shared" si="95"/>
        <v>0</v>
      </c>
      <c r="DI130" s="161">
        <f t="shared" si="96"/>
        <v>0</v>
      </c>
      <c r="DJ130" s="161">
        <f t="shared" si="97"/>
        <v>0</v>
      </c>
      <c r="DK130" s="161">
        <f t="shared" si="98"/>
        <v>0</v>
      </c>
      <c r="DL130" s="161">
        <f t="shared" si="99"/>
        <v>0</v>
      </c>
      <c r="DM130" s="161">
        <f t="shared" si="100"/>
        <v>0</v>
      </c>
      <c r="DN130" s="161">
        <f t="shared" si="101"/>
        <v>0</v>
      </c>
      <c r="DO130" s="161">
        <f t="shared" si="102"/>
        <v>0</v>
      </c>
      <c r="DP130" s="161">
        <f t="shared" si="103"/>
        <v>0</v>
      </c>
      <c r="DQ130" s="161">
        <f t="shared" si="104"/>
        <v>0</v>
      </c>
      <c r="DR130" s="161">
        <f t="shared" si="105"/>
        <v>0</v>
      </c>
      <c r="DS130" s="161">
        <f t="shared" si="106"/>
        <v>0</v>
      </c>
      <c r="DT130" s="161">
        <f t="shared" si="107"/>
        <v>0</v>
      </c>
      <c r="DU130" s="161">
        <f t="shared" si="108"/>
        <v>0</v>
      </c>
      <c r="DV130" s="161">
        <f t="shared" si="109"/>
        <v>0</v>
      </c>
      <c r="DW130" s="161">
        <f t="shared" si="110"/>
        <v>0</v>
      </c>
      <c r="DX130" s="161">
        <f t="shared" si="111"/>
        <v>0</v>
      </c>
      <c r="DY130" s="161">
        <f t="shared" si="112"/>
        <v>0</v>
      </c>
      <c r="DZ130" s="161">
        <f t="shared" si="113"/>
        <v>0</v>
      </c>
      <c r="EA130" s="161">
        <f t="shared" si="114"/>
        <v>0</v>
      </c>
      <c r="EB130" s="161">
        <f t="shared" si="115"/>
        <v>0</v>
      </c>
      <c r="EC130" s="161">
        <f t="shared" si="116"/>
        <v>0</v>
      </c>
      <c r="ED130" s="161">
        <f t="shared" si="117"/>
        <v>0</v>
      </c>
      <c r="EE130" s="161">
        <f t="shared" si="118"/>
        <v>0</v>
      </c>
      <c r="EF130" s="161">
        <f t="shared" si="119"/>
        <v>0</v>
      </c>
      <c r="EG130" s="161">
        <f t="shared" si="120"/>
        <v>0</v>
      </c>
      <c r="EH130" s="161">
        <f t="shared" si="121"/>
        <v>0</v>
      </c>
      <c r="EI130" s="161">
        <f t="shared" si="122"/>
        <v>0</v>
      </c>
      <c r="EJ130" s="161">
        <f t="shared" si="123"/>
        <v>0</v>
      </c>
      <c r="EK130" s="147">
        <f t="shared" si="130"/>
        <v>0</v>
      </c>
      <c r="EL130" s="149"/>
      <c r="EN130" s="146"/>
      <c r="EO130" s="146"/>
      <c r="EP130" s="139">
        <f t="shared" si="131"/>
        <v>0</v>
      </c>
      <c r="EQ130" s="139">
        <f t="shared" si="132"/>
        <v>0</v>
      </c>
      <c r="ER130" s="139">
        <f t="shared" si="133"/>
        <v>0</v>
      </c>
      <c r="ES130" s="139">
        <f t="shared" si="134"/>
        <v>0</v>
      </c>
      <c r="ET130" s="139">
        <f t="shared" si="135"/>
        <v>0</v>
      </c>
      <c r="EU130" s="139">
        <f t="shared" si="136"/>
        <v>0</v>
      </c>
      <c r="EV130" s="139">
        <f t="shared" si="137"/>
        <v>0</v>
      </c>
      <c r="EW130" s="139">
        <f t="shared" si="138"/>
        <v>0</v>
      </c>
      <c r="EX130" s="139">
        <f t="shared" si="139"/>
        <v>0</v>
      </c>
      <c r="EY130" s="139">
        <f t="shared" si="140"/>
        <v>0</v>
      </c>
      <c r="EZ130" s="139">
        <f t="shared" si="141"/>
        <v>0</v>
      </c>
      <c r="FA130" s="139">
        <f t="shared" si="142"/>
        <v>0</v>
      </c>
      <c r="FB130" s="139">
        <f t="shared" si="143"/>
        <v>0</v>
      </c>
      <c r="FC130" s="139">
        <f t="shared" si="144"/>
        <v>0</v>
      </c>
      <c r="FD130" s="139">
        <f t="shared" si="145"/>
        <v>0</v>
      </c>
      <c r="FE130" s="139">
        <f t="shared" si="146"/>
        <v>0</v>
      </c>
      <c r="FF130" s="139">
        <f t="shared" si="147"/>
        <v>0</v>
      </c>
      <c r="FG130" s="139">
        <f t="shared" si="148"/>
        <v>0</v>
      </c>
      <c r="FH130" s="139">
        <f t="shared" si="149"/>
        <v>0</v>
      </c>
      <c r="FI130" s="139">
        <f t="shared" si="150"/>
        <v>0</v>
      </c>
      <c r="FJ130" s="139">
        <f t="shared" si="151"/>
        <v>0</v>
      </c>
      <c r="FK130" s="139">
        <f t="shared" si="152"/>
        <v>0</v>
      </c>
      <c r="FL130" s="139">
        <f t="shared" si="153"/>
        <v>0</v>
      </c>
      <c r="FM130" s="139">
        <f t="shared" si="154"/>
        <v>0</v>
      </c>
      <c r="FN130" s="139">
        <f t="shared" si="155"/>
        <v>0</v>
      </c>
      <c r="FO130" s="139">
        <f t="shared" si="156"/>
        <v>0</v>
      </c>
      <c r="FP130" s="139">
        <f t="shared" si="157"/>
        <v>0</v>
      </c>
      <c r="FQ130" s="139">
        <f t="shared" si="158"/>
        <v>0</v>
      </c>
      <c r="FR130" s="139">
        <f t="shared" si="159"/>
        <v>0</v>
      </c>
      <c r="FS130" s="139">
        <f t="shared" si="160"/>
        <v>0</v>
      </c>
      <c r="FT130" s="139">
        <f t="shared" si="161"/>
        <v>0</v>
      </c>
      <c r="FU130" s="148">
        <f t="shared" si="162"/>
        <v>0</v>
      </c>
      <c r="FV130" s="149"/>
      <c r="FY130" s="210">
        <v>125</v>
      </c>
      <c r="FZ130">
        <v>0.52454686079360424</v>
      </c>
      <c r="GA130">
        <v>4.4910764589362291</v>
      </c>
      <c r="GB130">
        <v>1.8376376057348818</v>
      </c>
      <c r="GC130">
        <v>4.3210829722678916</v>
      </c>
      <c r="GD130">
        <v>3.8323183006109449</v>
      </c>
      <c r="GE130">
        <v>1.8691657077015624</v>
      </c>
      <c r="GF130">
        <v>1.2613862803785265</v>
      </c>
      <c r="GG130">
        <v>2.2601531085936126</v>
      </c>
      <c r="GH130">
        <v>2.6495207003364443</v>
      </c>
      <c r="GI130">
        <v>4.0125326406636397</v>
      </c>
      <c r="GJ130"/>
      <c r="GK130"/>
      <c r="GL130"/>
      <c r="GM130"/>
    </row>
    <row r="131" spans="1:195" s="7" customFormat="1">
      <c r="A131" s="1"/>
      <c r="B131" s="76">
        <f ca="1">IF(C131="", "", RAND())</f>
        <v>0.78834768361477892</v>
      </c>
      <c r="C131">
        <v>3</v>
      </c>
      <c r="D131">
        <v>39775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11.675385378510381</v>
      </c>
      <c r="AO131">
        <v>14.440899816402734</v>
      </c>
      <c r="AP131">
        <v>42.819490013248455</v>
      </c>
      <c r="AQ131">
        <v>45.469912022660537</v>
      </c>
      <c r="AR131">
        <v>13.34314574182655</v>
      </c>
      <c r="AS131">
        <v>81.154097621864253</v>
      </c>
      <c r="AT131" t="e">
        <v>#DIV/0!</v>
      </c>
      <c r="AU131" t="e">
        <v>#DIV/0!</v>
      </c>
      <c r="AV131"/>
      <c r="AW131"/>
      <c r="AX131" s="146"/>
      <c r="AY131" s="76">
        <f t="shared" ca="1" si="86"/>
        <v>0.18586439274523769</v>
      </c>
      <c r="AZ131">
        <v>4</v>
      </c>
      <c r="BA131" s="129">
        <f t="shared" si="164"/>
        <v>39775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 s="147"/>
      <c r="CH131" s="176"/>
      <c r="CJ131" s="146"/>
      <c r="CK131" s="76">
        <f t="shared" ca="1" si="88"/>
        <v>0.18255226193439666</v>
      </c>
      <c r="CL131" s="179">
        <f t="shared" si="89"/>
        <v>4</v>
      </c>
      <c r="CM131" s="180">
        <f t="shared" si="90"/>
        <v>39775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 s="160"/>
      <c r="CW131">
        <v>1</v>
      </c>
      <c r="CX131">
        <v>1</v>
      </c>
      <c r="CY131" s="160"/>
      <c r="CZ131" s="177">
        <f t="shared" si="91"/>
        <v>9.6000000000000002E-2</v>
      </c>
      <c r="DB131" s="146"/>
      <c r="DC131" s="76">
        <f t="shared" ca="1" si="49"/>
        <v>1.4788225562809121E-2</v>
      </c>
      <c r="DD131">
        <f t="shared" si="92"/>
        <v>4</v>
      </c>
      <c r="DE131" s="129">
        <f t="shared" si="163"/>
        <v>39775</v>
      </c>
      <c r="DF131" s="161">
        <f t="shared" si="93"/>
        <v>0</v>
      </c>
      <c r="DG131" s="161">
        <f t="shared" si="94"/>
        <v>0</v>
      </c>
      <c r="DH131" s="161">
        <f t="shared" si="95"/>
        <v>0</v>
      </c>
      <c r="DI131" s="161">
        <f t="shared" si="96"/>
        <v>0</v>
      </c>
      <c r="DJ131" s="161">
        <f t="shared" si="97"/>
        <v>0</v>
      </c>
      <c r="DK131" s="161">
        <f t="shared" si="98"/>
        <v>0</v>
      </c>
      <c r="DL131" s="161">
        <f t="shared" si="99"/>
        <v>0</v>
      </c>
      <c r="DM131" s="161">
        <f t="shared" si="100"/>
        <v>0</v>
      </c>
      <c r="DN131" s="161">
        <f t="shared" si="101"/>
        <v>0</v>
      </c>
      <c r="DO131" s="161">
        <f t="shared" si="102"/>
        <v>0</v>
      </c>
      <c r="DP131" s="161">
        <f t="shared" si="103"/>
        <v>0</v>
      </c>
      <c r="DQ131" s="161">
        <f t="shared" si="104"/>
        <v>0</v>
      </c>
      <c r="DR131" s="161">
        <f t="shared" si="105"/>
        <v>0</v>
      </c>
      <c r="DS131" s="161">
        <f t="shared" si="106"/>
        <v>0</v>
      </c>
      <c r="DT131" s="161">
        <f t="shared" si="107"/>
        <v>0</v>
      </c>
      <c r="DU131" s="161">
        <f t="shared" si="108"/>
        <v>0</v>
      </c>
      <c r="DV131" s="161">
        <f t="shared" si="109"/>
        <v>0</v>
      </c>
      <c r="DW131" s="161">
        <f t="shared" si="110"/>
        <v>0</v>
      </c>
      <c r="DX131" s="161">
        <f t="shared" si="111"/>
        <v>0</v>
      </c>
      <c r="DY131" s="161">
        <f t="shared" si="112"/>
        <v>0</v>
      </c>
      <c r="DZ131" s="161">
        <f t="shared" si="113"/>
        <v>0</v>
      </c>
      <c r="EA131" s="161">
        <f t="shared" si="114"/>
        <v>0</v>
      </c>
      <c r="EB131" s="161">
        <f t="shared" si="115"/>
        <v>0</v>
      </c>
      <c r="EC131" s="161">
        <f t="shared" si="116"/>
        <v>0</v>
      </c>
      <c r="ED131" s="161">
        <f t="shared" si="117"/>
        <v>0</v>
      </c>
      <c r="EE131" s="161">
        <f t="shared" si="118"/>
        <v>0</v>
      </c>
      <c r="EF131" s="161">
        <f t="shared" si="119"/>
        <v>0</v>
      </c>
      <c r="EG131" s="161">
        <f t="shared" si="120"/>
        <v>0</v>
      </c>
      <c r="EH131" s="161">
        <f t="shared" si="121"/>
        <v>0</v>
      </c>
      <c r="EI131" s="161">
        <f t="shared" si="122"/>
        <v>0</v>
      </c>
      <c r="EJ131" s="161">
        <f t="shared" si="123"/>
        <v>0</v>
      </c>
      <c r="EK131" s="147">
        <f t="shared" si="130"/>
        <v>0</v>
      </c>
      <c r="EL131" s="149"/>
      <c r="EN131" s="146"/>
      <c r="EO131" s="146"/>
      <c r="EP131" s="139">
        <f t="shared" si="131"/>
        <v>0</v>
      </c>
      <c r="EQ131" s="139">
        <f t="shared" si="132"/>
        <v>0</v>
      </c>
      <c r="ER131" s="139">
        <f t="shared" si="133"/>
        <v>0</v>
      </c>
      <c r="ES131" s="139">
        <f t="shared" si="134"/>
        <v>0</v>
      </c>
      <c r="ET131" s="139">
        <f t="shared" si="135"/>
        <v>0</v>
      </c>
      <c r="EU131" s="139">
        <f t="shared" si="136"/>
        <v>0</v>
      </c>
      <c r="EV131" s="139">
        <f t="shared" si="137"/>
        <v>0</v>
      </c>
      <c r="EW131" s="139">
        <f t="shared" si="138"/>
        <v>0</v>
      </c>
      <c r="EX131" s="139">
        <f t="shared" si="139"/>
        <v>0</v>
      </c>
      <c r="EY131" s="139">
        <f t="shared" si="140"/>
        <v>0</v>
      </c>
      <c r="EZ131" s="139">
        <f t="shared" si="141"/>
        <v>0</v>
      </c>
      <c r="FA131" s="139">
        <f t="shared" si="142"/>
        <v>0</v>
      </c>
      <c r="FB131" s="139">
        <f t="shared" si="143"/>
        <v>0</v>
      </c>
      <c r="FC131" s="139">
        <f t="shared" si="144"/>
        <v>0</v>
      </c>
      <c r="FD131" s="139">
        <f t="shared" si="145"/>
        <v>0</v>
      </c>
      <c r="FE131" s="139">
        <f t="shared" si="146"/>
        <v>0</v>
      </c>
      <c r="FF131" s="139">
        <f t="shared" si="147"/>
        <v>0</v>
      </c>
      <c r="FG131" s="139">
        <f t="shared" si="148"/>
        <v>0</v>
      </c>
      <c r="FH131" s="139">
        <f t="shared" si="149"/>
        <v>0</v>
      </c>
      <c r="FI131" s="139">
        <f t="shared" si="150"/>
        <v>0</v>
      </c>
      <c r="FJ131" s="139">
        <f t="shared" si="151"/>
        <v>0</v>
      </c>
      <c r="FK131" s="139">
        <f t="shared" si="152"/>
        <v>0</v>
      </c>
      <c r="FL131" s="139">
        <f t="shared" si="153"/>
        <v>0</v>
      </c>
      <c r="FM131" s="139">
        <f t="shared" si="154"/>
        <v>0</v>
      </c>
      <c r="FN131" s="139">
        <f t="shared" si="155"/>
        <v>0</v>
      </c>
      <c r="FO131" s="139">
        <f t="shared" si="156"/>
        <v>0</v>
      </c>
      <c r="FP131" s="139">
        <f t="shared" si="157"/>
        <v>0</v>
      </c>
      <c r="FQ131" s="139">
        <f t="shared" si="158"/>
        <v>0</v>
      </c>
      <c r="FR131" s="139">
        <f t="shared" si="159"/>
        <v>0</v>
      </c>
      <c r="FS131" s="139">
        <f t="shared" si="160"/>
        <v>0</v>
      </c>
      <c r="FT131" s="139">
        <f t="shared" si="161"/>
        <v>0</v>
      </c>
      <c r="FU131" s="148">
        <f t="shared" si="162"/>
        <v>0</v>
      </c>
      <c r="FV131" s="149"/>
      <c r="FY131" s="210">
        <v>126</v>
      </c>
      <c r="FZ131">
        <v>3.3183084785198033E-2</v>
      </c>
      <c r="GA131">
        <v>1.9751343120206046</v>
      </c>
      <c r="GB131">
        <v>0.91881880286744089</v>
      </c>
      <c r="GC131">
        <v>7.1889262490499135</v>
      </c>
      <c r="GD131">
        <v>5.8522527710752081</v>
      </c>
      <c r="GE131">
        <v>1.69457980041659</v>
      </c>
      <c r="GF131">
        <v>1.0712213032574254</v>
      </c>
      <c r="GG131">
        <v>1.6110786669885027</v>
      </c>
      <c r="GH131">
        <v>1.9871405252523333</v>
      </c>
      <c r="GI131">
        <v>5.0689450335817847</v>
      </c>
      <c r="GJ131"/>
      <c r="GK131"/>
      <c r="GL131"/>
      <c r="GM131"/>
    </row>
    <row r="132" spans="1:195" s="7" customFormat="1">
      <c r="A132" s="1"/>
      <c r="B132" s="76">
        <f ca="1">IF(C132="", "", RAND())</f>
        <v>3.4157514041240233E-2</v>
      </c>
      <c r="C132">
        <v>1</v>
      </c>
      <c r="D132">
        <v>39775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4.064770299145299</v>
      </c>
      <c r="AO132">
        <v>3.5818737652889681</v>
      </c>
      <c r="AP132">
        <v>13.500077238486746</v>
      </c>
      <c r="AQ132">
        <v>13.730318961204706</v>
      </c>
      <c r="AR132">
        <v>3.2698377166746306</v>
      </c>
      <c r="AS132">
        <v>14.806812725409513</v>
      </c>
      <c r="AT132" t="e">
        <v>#DIV/0!</v>
      </c>
      <c r="AU132" t="e">
        <v>#DIV/0!</v>
      </c>
      <c r="AV132"/>
      <c r="AW132"/>
      <c r="AX132" s="146"/>
      <c r="AY132" s="76">
        <f t="shared" ca="1" si="86"/>
        <v>0.67027113295286633</v>
      </c>
      <c r="AZ132">
        <v>5</v>
      </c>
      <c r="BA132" s="129">
        <f t="shared" si="164"/>
        <v>39775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 s="147"/>
      <c r="CH132" s="176"/>
      <c r="CJ132" s="146"/>
      <c r="CK132" s="76">
        <f t="shared" ca="1" si="88"/>
        <v>0.93005766502542842</v>
      </c>
      <c r="CL132" s="179">
        <f t="shared" si="89"/>
        <v>5</v>
      </c>
      <c r="CM132" s="180">
        <f t="shared" si="90"/>
        <v>39775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 s="160"/>
      <c r="CW132">
        <v>1</v>
      </c>
      <c r="CX132">
        <f>20/7</f>
        <v>2.8571428571428572</v>
      </c>
      <c r="CY132" s="160"/>
      <c r="CZ132" s="177">
        <f t="shared" si="91"/>
        <v>9.6000000000000002E-2</v>
      </c>
      <c r="DB132" s="146"/>
      <c r="DC132" s="76">
        <f t="shared" ca="1" si="49"/>
        <v>0.5910700961928701</v>
      </c>
      <c r="DD132">
        <f t="shared" si="92"/>
        <v>5</v>
      </c>
      <c r="DE132" s="129">
        <f t="shared" si="163"/>
        <v>39775</v>
      </c>
      <c r="DF132" s="161">
        <f t="shared" si="93"/>
        <v>0</v>
      </c>
      <c r="DG132" s="161">
        <f t="shared" si="94"/>
        <v>0</v>
      </c>
      <c r="DH132" s="161">
        <f t="shared" si="95"/>
        <v>0</v>
      </c>
      <c r="DI132" s="161">
        <f t="shared" si="96"/>
        <v>0</v>
      </c>
      <c r="DJ132" s="161">
        <f t="shared" si="97"/>
        <v>0</v>
      </c>
      <c r="DK132" s="161">
        <f t="shared" si="98"/>
        <v>0</v>
      </c>
      <c r="DL132" s="161">
        <f t="shared" si="99"/>
        <v>0</v>
      </c>
      <c r="DM132" s="161">
        <f t="shared" si="100"/>
        <v>0</v>
      </c>
      <c r="DN132" s="161">
        <f t="shared" si="101"/>
        <v>0</v>
      </c>
      <c r="DO132" s="161">
        <f t="shared" si="102"/>
        <v>0</v>
      </c>
      <c r="DP132" s="161">
        <f t="shared" si="103"/>
        <v>0</v>
      </c>
      <c r="DQ132" s="161">
        <f t="shared" si="104"/>
        <v>0</v>
      </c>
      <c r="DR132" s="161">
        <f t="shared" si="105"/>
        <v>0</v>
      </c>
      <c r="DS132" s="161">
        <f t="shared" si="106"/>
        <v>0</v>
      </c>
      <c r="DT132" s="161">
        <f t="shared" si="107"/>
        <v>0</v>
      </c>
      <c r="DU132" s="161">
        <f t="shared" si="108"/>
        <v>0</v>
      </c>
      <c r="DV132" s="161">
        <f t="shared" si="109"/>
        <v>0</v>
      </c>
      <c r="DW132" s="161">
        <f t="shared" si="110"/>
        <v>0</v>
      </c>
      <c r="DX132" s="161">
        <f t="shared" si="111"/>
        <v>0</v>
      </c>
      <c r="DY132" s="161">
        <f t="shared" si="112"/>
        <v>0</v>
      </c>
      <c r="DZ132" s="161">
        <f t="shared" si="113"/>
        <v>0</v>
      </c>
      <c r="EA132" s="161">
        <f t="shared" si="114"/>
        <v>0</v>
      </c>
      <c r="EB132" s="161">
        <f t="shared" si="115"/>
        <v>0</v>
      </c>
      <c r="EC132" s="161">
        <f t="shared" si="116"/>
        <v>0</v>
      </c>
      <c r="ED132" s="161">
        <f t="shared" si="117"/>
        <v>0</v>
      </c>
      <c r="EE132" s="161">
        <f t="shared" si="118"/>
        <v>0</v>
      </c>
      <c r="EF132" s="161">
        <f t="shared" si="119"/>
        <v>0</v>
      </c>
      <c r="EG132" s="161">
        <f t="shared" si="120"/>
        <v>0</v>
      </c>
      <c r="EH132" s="161">
        <f t="shared" si="121"/>
        <v>0</v>
      </c>
      <c r="EI132" s="161">
        <f t="shared" si="122"/>
        <v>0</v>
      </c>
      <c r="EJ132" s="161">
        <f t="shared" si="123"/>
        <v>0</v>
      </c>
      <c r="EK132" s="147">
        <f t="shared" si="130"/>
        <v>0</v>
      </c>
      <c r="EL132" s="149"/>
      <c r="EN132" s="146"/>
      <c r="EO132" s="146"/>
      <c r="EP132" s="139">
        <f t="shared" si="131"/>
        <v>0</v>
      </c>
      <c r="EQ132" s="139">
        <f t="shared" si="132"/>
        <v>0</v>
      </c>
      <c r="ER132" s="139">
        <f t="shared" si="133"/>
        <v>0</v>
      </c>
      <c r="ES132" s="139">
        <f t="shared" si="134"/>
        <v>0</v>
      </c>
      <c r="ET132" s="139">
        <f t="shared" si="135"/>
        <v>0</v>
      </c>
      <c r="EU132" s="139">
        <f t="shared" si="136"/>
        <v>0</v>
      </c>
      <c r="EV132" s="139">
        <f t="shared" si="137"/>
        <v>0</v>
      </c>
      <c r="EW132" s="139">
        <f t="shared" si="138"/>
        <v>0</v>
      </c>
      <c r="EX132" s="139">
        <f t="shared" si="139"/>
        <v>0</v>
      </c>
      <c r="EY132" s="139">
        <f t="shared" si="140"/>
        <v>0</v>
      </c>
      <c r="EZ132" s="139">
        <f t="shared" si="141"/>
        <v>0</v>
      </c>
      <c r="FA132" s="139">
        <f t="shared" si="142"/>
        <v>0</v>
      </c>
      <c r="FB132" s="139">
        <f t="shared" si="143"/>
        <v>0</v>
      </c>
      <c r="FC132" s="139">
        <f t="shared" si="144"/>
        <v>0</v>
      </c>
      <c r="FD132" s="139">
        <f t="shared" si="145"/>
        <v>0</v>
      </c>
      <c r="FE132" s="139">
        <f t="shared" si="146"/>
        <v>0</v>
      </c>
      <c r="FF132" s="139">
        <f t="shared" si="147"/>
        <v>0</v>
      </c>
      <c r="FG132" s="139">
        <f t="shared" si="148"/>
        <v>0</v>
      </c>
      <c r="FH132" s="139">
        <f t="shared" si="149"/>
        <v>0</v>
      </c>
      <c r="FI132" s="139">
        <f t="shared" si="150"/>
        <v>0</v>
      </c>
      <c r="FJ132" s="139">
        <f t="shared" si="151"/>
        <v>0</v>
      </c>
      <c r="FK132" s="139">
        <f t="shared" si="152"/>
        <v>0</v>
      </c>
      <c r="FL132" s="139">
        <f t="shared" si="153"/>
        <v>0</v>
      </c>
      <c r="FM132" s="139">
        <f t="shared" si="154"/>
        <v>0</v>
      </c>
      <c r="FN132" s="139">
        <f t="shared" si="155"/>
        <v>0</v>
      </c>
      <c r="FO132" s="139">
        <f t="shared" si="156"/>
        <v>0</v>
      </c>
      <c r="FP132" s="139">
        <f t="shared" si="157"/>
        <v>0</v>
      </c>
      <c r="FQ132" s="139">
        <f t="shared" si="158"/>
        <v>0</v>
      </c>
      <c r="FR132" s="139">
        <f t="shared" si="159"/>
        <v>0</v>
      </c>
      <c r="FS132" s="139">
        <f t="shared" si="160"/>
        <v>0</v>
      </c>
      <c r="FT132" s="139">
        <f t="shared" si="161"/>
        <v>0</v>
      </c>
      <c r="FU132" s="148">
        <f t="shared" si="162"/>
        <v>0</v>
      </c>
      <c r="FV132" s="149"/>
      <c r="FY132" s="210">
        <v>127</v>
      </c>
      <c r="FZ132">
        <v>0.2456818880042031</v>
      </c>
      <c r="GA132">
        <v>1.3885410775796223</v>
      </c>
      <c r="GB132">
        <v>0.53638996440829323</v>
      </c>
      <c r="GC132">
        <v>9.4583298249123775</v>
      </c>
      <c r="GD132">
        <v>7.7193248347930128</v>
      </c>
      <c r="GE132">
        <v>1.5381466201962124</v>
      </c>
      <c r="GF132">
        <v>0.38032995424220212</v>
      </c>
      <c r="GG132">
        <v>0.3361446578268279</v>
      </c>
      <c r="GH132">
        <v>0</v>
      </c>
      <c r="GI132">
        <v>5.8472233682499226</v>
      </c>
      <c r="GJ132"/>
      <c r="GK132"/>
      <c r="GL132"/>
      <c r="GM132"/>
    </row>
    <row r="133" spans="1:195" s="7" customFormat="1">
      <c r="A133" s="1"/>
      <c r="B133" s="76">
        <f ca="1">IF(C133="", "", RAND())</f>
        <v>0.84742549832321701</v>
      </c>
      <c r="C133">
        <v>4</v>
      </c>
      <c r="D133">
        <v>39775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6.7482638888888875</v>
      </c>
      <c r="AO133">
        <v>8.5381636700286769</v>
      </c>
      <c r="AP133">
        <v>30.895273602062147</v>
      </c>
      <c r="AQ133">
        <v>28.853357634013289</v>
      </c>
      <c r="AR133">
        <v>7.8675092424071993</v>
      </c>
      <c r="AS133">
        <v>31.470651615101485</v>
      </c>
      <c r="AT133" t="e">
        <v>#DIV/0!</v>
      </c>
      <c r="AU133" t="e">
        <v>#DIV/0!</v>
      </c>
      <c r="AV133"/>
      <c r="AW133"/>
      <c r="AX133" s="146"/>
      <c r="AY133" s="76">
        <f t="shared" ca="1" si="86"/>
        <v>0.28510046075256401</v>
      </c>
      <c r="AZ133">
        <v>6</v>
      </c>
      <c r="BA133" s="129">
        <f t="shared" si="164"/>
        <v>39775</v>
      </c>
      <c r="BB133">
        <v>0</v>
      </c>
      <c r="BC133">
        <v>0</v>
      </c>
      <c r="BD133">
        <v>0</v>
      </c>
      <c r="BE133">
        <v>0</v>
      </c>
      <c r="BF133">
        <v>4</v>
      </c>
      <c r="BG133">
        <v>3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 s="147"/>
      <c r="CH133" s="176"/>
      <c r="CJ133" s="146"/>
      <c r="CK133" s="76">
        <f t="shared" ca="1" si="88"/>
        <v>0.27452780068916294</v>
      </c>
      <c r="CL133" s="179">
        <f t="shared" si="89"/>
        <v>6</v>
      </c>
      <c r="CM133" s="180">
        <f t="shared" si="90"/>
        <v>39775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 s="160"/>
      <c r="CW133">
        <v>1</v>
      </c>
      <c r="CX133">
        <v>1</v>
      </c>
      <c r="CY133" s="164"/>
      <c r="CZ133" s="177">
        <f t="shared" si="91"/>
        <v>9.6000000000000002E-2</v>
      </c>
      <c r="DB133" s="146"/>
      <c r="DC133" s="76">
        <f t="shared" ca="1" si="49"/>
        <v>0.12181797036925879</v>
      </c>
      <c r="DD133">
        <f t="shared" si="92"/>
        <v>6</v>
      </c>
      <c r="DE133" s="129">
        <f t="shared" si="163"/>
        <v>39775</v>
      </c>
      <c r="DF133" s="161">
        <f t="shared" si="93"/>
        <v>0</v>
      </c>
      <c r="DG133" s="161">
        <f t="shared" si="94"/>
        <v>0</v>
      </c>
      <c r="DH133" s="161">
        <f t="shared" si="95"/>
        <v>0</v>
      </c>
      <c r="DI133" s="161">
        <f t="shared" si="96"/>
        <v>0</v>
      </c>
      <c r="DJ133" s="161">
        <f t="shared" si="97"/>
        <v>41.666666666666664</v>
      </c>
      <c r="DK133" s="161">
        <f t="shared" si="98"/>
        <v>31.25</v>
      </c>
      <c r="DL133" s="161">
        <f t="shared" si="99"/>
        <v>0</v>
      </c>
      <c r="DM133" s="161">
        <f t="shared" si="100"/>
        <v>0</v>
      </c>
      <c r="DN133" s="161">
        <f t="shared" si="101"/>
        <v>0</v>
      </c>
      <c r="DO133" s="161">
        <f t="shared" si="102"/>
        <v>0</v>
      </c>
      <c r="DP133" s="161">
        <f t="shared" si="103"/>
        <v>0</v>
      </c>
      <c r="DQ133" s="161">
        <f t="shared" si="104"/>
        <v>0</v>
      </c>
      <c r="DR133" s="161">
        <f t="shared" si="105"/>
        <v>0</v>
      </c>
      <c r="DS133" s="161">
        <f t="shared" si="106"/>
        <v>0</v>
      </c>
      <c r="DT133" s="161">
        <f t="shared" si="107"/>
        <v>0</v>
      </c>
      <c r="DU133" s="161">
        <f t="shared" si="108"/>
        <v>0</v>
      </c>
      <c r="DV133" s="161">
        <f t="shared" si="109"/>
        <v>0</v>
      </c>
      <c r="DW133" s="161">
        <f t="shared" si="110"/>
        <v>0</v>
      </c>
      <c r="DX133" s="161">
        <f t="shared" si="111"/>
        <v>0</v>
      </c>
      <c r="DY133" s="161">
        <f t="shared" si="112"/>
        <v>0</v>
      </c>
      <c r="DZ133" s="161">
        <f t="shared" si="113"/>
        <v>0</v>
      </c>
      <c r="EA133" s="161">
        <f t="shared" si="114"/>
        <v>0</v>
      </c>
      <c r="EB133" s="161">
        <f t="shared" si="115"/>
        <v>0</v>
      </c>
      <c r="EC133" s="161">
        <f t="shared" si="116"/>
        <v>0</v>
      </c>
      <c r="ED133" s="161">
        <f t="shared" si="117"/>
        <v>0</v>
      </c>
      <c r="EE133" s="161">
        <f t="shared" si="118"/>
        <v>0</v>
      </c>
      <c r="EF133" s="161">
        <f t="shared" si="119"/>
        <v>0</v>
      </c>
      <c r="EG133" s="161">
        <f t="shared" si="120"/>
        <v>0</v>
      </c>
      <c r="EH133" s="161">
        <f t="shared" si="121"/>
        <v>0</v>
      </c>
      <c r="EI133" s="161">
        <f t="shared" si="122"/>
        <v>0</v>
      </c>
      <c r="EJ133" s="161">
        <f t="shared" si="123"/>
        <v>0</v>
      </c>
      <c r="EK133" s="147">
        <f t="shared" si="130"/>
        <v>72.916666666666657</v>
      </c>
      <c r="EL133" s="149"/>
      <c r="EN133" s="146"/>
      <c r="EO133" s="146"/>
      <c r="EP133" s="139">
        <f t="shared" si="131"/>
        <v>0</v>
      </c>
      <c r="EQ133" s="139">
        <f t="shared" si="132"/>
        <v>0</v>
      </c>
      <c r="ER133" s="139">
        <f t="shared" si="133"/>
        <v>0</v>
      </c>
      <c r="ES133" s="139">
        <f t="shared" si="134"/>
        <v>0</v>
      </c>
      <c r="ET133" s="139">
        <f t="shared" si="135"/>
        <v>19.618812510535442</v>
      </c>
      <c r="EU133" s="139">
        <f t="shared" si="136"/>
        <v>28.029160974729457</v>
      </c>
      <c r="EV133" s="139">
        <f t="shared" si="137"/>
        <v>0</v>
      </c>
      <c r="EW133" s="139">
        <f t="shared" si="138"/>
        <v>0</v>
      </c>
      <c r="EX133" s="139">
        <f t="shared" si="139"/>
        <v>0</v>
      </c>
      <c r="EY133" s="139">
        <f t="shared" si="140"/>
        <v>0</v>
      </c>
      <c r="EZ133" s="139">
        <f t="shared" si="141"/>
        <v>0</v>
      </c>
      <c r="FA133" s="139">
        <f t="shared" si="142"/>
        <v>0</v>
      </c>
      <c r="FB133" s="139">
        <f t="shared" si="143"/>
        <v>0</v>
      </c>
      <c r="FC133" s="139">
        <f t="shared" si="144"/>
        <v>0</v>
      </c>
      <c r="FD133" s="139">
        <f t="shared" si="145"/>
        <v>0</v>
      </c>
      <c r="FE133" s="139">
        <f t="shared" si="146"/>
        <v>0</v>
      </c>
      <c r="FF133" s="139">
        <f t="shared" si="147"/>
        <v>0</v>
      </c>
      <c r="FG133" s="139">
        <f t="shared" si="148"/>
        <v>0</v>
      </c>
      <c r="FH133" s="139">
        <f t="shared" si="149"/>
        <v>0</v>
      </c>
      <c r="FI133" s="139">
        <f t="shared" si="150"/>
        <v>0</v>
      </c>
      <c r="FJ133" s="139">
        <f t="shared" si="151"/>
        <v>0</v>
      </c>
      <c r="FK133" s="139">
        <f t="shared" si="152"/>
        <v>0</v>
      </c>
      <c r="FL133" s="139">
        <f t="shared" si="153"/>
        <v>0</v>
      </c>
      <c r="FM133" s="139">
        <f t="shared" si="154"/>
        <v>0</v>
      </c>
      <c r="FN133" s="139">
        <f t="shared" si="155"/>
        <v>0</v>
      </c>
      <c r="FO133" s="139">
        <f t="shared" si="156"/>
        <v>0</v>
      </c>
      <c r="FP133" s="139">
        <f t="shared" si="157"/>
        <v>0</v>
      </c>
      <c r="FQ133" s="139">
        <f t="shared" si="158"/>
        <v>0</v>
      </c>
      <c r="FR133" s="139">
        <f t="shared" si="159"/>
        <v>0</v>
      </c>
      <c r="FS133" s="139">
        <f t="shared" si="160"/>
        <v>0</v>
      </c>
      <c r="FT133" s="139">
        <f t="shared" si="161"/>
        <v>0</v>
      </c>
      <c r="FU133" s="148">
        <f t="shared" si="162"/>
        <v>47.647973485264899</v>
      </c>
      <c r="FV133" s="149"/>
      <c r="FY133" s="210">
        <v>128</v>
      </c>
      <c r="FZ133">
        <v>0.49136377600840619</v>
      </c>
      <c r="GA133">
        <v>3.3636753896002265</v>
      </c>
      <c r="GB133">
        <v>1.899400457688855</v>
      </c>
      <c r="GC133">
        <v>10.603451555544966</v>
      </c>
      <c r="GD133">
        <v>8.2980313167810262</v>
      </c>
      <c r="GE133">
        <v>1.4286406589376592</v>
      </c>
      <c r="GF133">
        <v>0.19016497712110106</v>
      </c>
      <c r="GG133">
        <v>1.1300765542968063</v>
      </c>
      <c r="GH133">
        <v>1.3247603501682221</v>
      </c>
      <c r="GI133">
        <v>6.920153123035707</v>
      </c>
      <c r="GJ133"/>
      <c r="GK133"/>
      <c r="GL133"/>
      <c r="GM133"/>
    </row>
    <row r="134" spans="1:195" s="7" customFormat="1">
      <c r="A134" s="1"/>
      <c r="B134" s="76">
        <f ca="1">IF(C134="", "", RAND())</f>
        <v>0.57075519511189543</v>
      </c>
      <c r="C134">
        <v>8</v>
      </c>
      <c r="D134">
        <v>39775</v>
      </c>
      <c r="E134">
        <v>0</v>
      </c>
      <c r="F134">
        <v>0</v>
      </c>
      <c r="G134">
        <v>0</v>
      </c>
      <c r="H134">
        <v>0</v>
      </c>
      <c r="I134">
        <v>34.722222222222221</v>
      </c>
      <c r="J134">
        <v>0</v>
      </c>
      <c r="K134">
        <v>0</v>
      </c>
      <c r="L134">
        <v>34.722222222222221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7.3975694444444455</v>
      </c>
      <c r="AO134">
        <v>8.4736527086785021</v>
      </c>
      <c r="AP134">
        <v>25.720169966818336</v>
      </c>
      <c r="AQ134">
        <v>26.98099580725345</v>
      </c>
      <c r="AR134">
        <v>7.8076660500601003</v>
      </c>
      <c r="AS134">
        <v>32.098791862264477</v>
      </c>
      <c r="AT134" t="e">
        <v>#DIV/0!</v>
      </c>
      <c r="AU134" t="e">
        <v>#DIV/0!</v>
      </c>
      <c r="AV134"/>
      <c r="AW134"/>
      <c r="AX134" s="146"/>
      <c r="AY134" s="76">
        <f t="shared" ca="1" si="86"/>
        <v>0.6871211940766706</v>
      </c>
      <c r="AZ134">
        <v>7</v>
      </c>
      <c r="BA134" s="129">
        <f t="shared" si="164"/>
        <v>39775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2</v>
      </c>
      <c r="BH134">
        <v>8</v>
      </c>
      <c r="BI134">
        <v>3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 s="147"/>
      <c r="CH134" s="176"/>
      <c r="CJ134" s="146"/>
      <c r="CK134" s="76">
        <f t="shared" ca="1" si="88"/>
        <v>0.61931364418147594</v>
      </c>
      <c r="CL134" s="179">
        <f t="shared" si="89"/>
        <v>7</v>
      </c>
      <c r="CM134" s="180">
        <f t="shared" si="90"/>
        <v>39775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1"/>
        <v>9.6000000000000002E-2</v>
      </c>
      <c r="DB134" s="146"/>
      <c r="DC134" s="76">
        <f t="shared" ca="1" si="49"/>
        <v>6.6543242196971608E-2</v>
      </c>
      <c r="DD134">
        <f t="shared" si="92"/>
        <v>7</v>
      </c>
      <c r="DE134" s="129">
        <f t="shared" si="163"/>
        <v>39775</v>
      </c>
      <c r="DF134" s="161">
        <f t="shared" si="93"/>
        <v>0</v>
      </c>
      <c r="DG134" s="161">
        <f t="shared" si="94"/>
        <v>0</v>
      </c>
      <c r="DH134" s="161">
        <f t="shared" si="95"/>
        <v>0</v>
      </c>
      <c r="DI134" s="161">
        <f t="shared" si="96"/>
        <v>0</v>
      </c>
      <c r="DJ134" s="161">
        <f t="shared" si="97"/>
        <v>0</v>
      </c>
      <c r="DK134" s="161">
        <f t="shared" si="98"/>
        <v>28.409090909090907</v>
      </c>
      <c r="DL134" s="161">
        <f t="shared" si="99"/>
        <v>113.63636363636363</v>
      </c>
      <c r="DM134" s="161">
        <f t="shared" si="100"/>
        <v>42.61363636363636</v>
      </c>
      <c r="DN134" s="161">
        <f t="shared" si="101"/>
        <v>0</v>
      </c>
      <c r="DO134" s="161">
        <f t="shared" si="102"/>
        <v>0</v>
      </c>
      <c r="DP134" s="161">
        <f t="shared" si="103"/>
        <v>0</v>
      </c>
      <c r="DQ134" s="161">
        <f t="shared" si="104"/>
        <v>0</v>
      </c>
      <c r="DR134" s="161">
        <f t="shared" si="105"/>
        <v>0</v>
      </c>
      <c r="DS134" s="161">
        <f t="shared" si="106"/>
        <v>0</v>
      </c>
      <c r="DT134" s="161">
        <f t="shared" si="107"/>
        <v>0</v>
      </c>
      <c r="DU134" s="161">
        <f t="shared" si="108"/>
        <v>0</v>
      </c>
      <c r="DV134" s="161">
        <f t="shared" si="109"/>
        <v>0</v>
      </c>
      <c r="DW134" s="161">
        <f t="shared" si="110"/>
        <v>0</v>
      </c>
      <c r="DX134" s="161">
        <f t="shared" si="111"/>
        <v>0</v>
      </c>
      <c r="DY134" s="161">
        <f t="shared" si="112"/>
        <v>0</v>
      </c>
      <c r="DZ134" s="161">
        <f t="shared" si="113"/>
        <v>0</v>
      </c>
      <c r="EA134" s="161">
        <f t="shared" si="114"/>
        <v>0</v>
      </c>
      <c r="EB134" s="161">
        <f t="shared" si="115"/>
        <v>0</v>
      </c>
      <c r="EC134" s="161">
        <f t="shared" si="116"/>
        <v>0</v>
      </c>
      <c r="ED134" s="161">
        <f t="shared" si="117"/>
        <v>0</v>
      </c>
      <c r="EE134" s="161">
        <f t="shared" si="118"/>
        <v>0</v>
      </c>
      <c r="EF134" s="161">
        <f t="shared" si="119"/>
        <v>0</v>
      </c>
      <c r="EG134" s="161">
        <f t="shared" si="120"/>
        <v>0</v>
      </c>
      <c r="EH134" s="161">
        <f t="shared" si="121"/>
        <v>0</v>
      </c>
      <c r="EI134" s="161">
        <f t="shared" si="122"/>
        <v>0</v>
      </c>
      <c r="EJ134" s="161">
        <f t="shared" si="123"/>
        <v>0</v>
      </c>
      <c r="EK134" s="147">
        <f t="shared" si="130"/>
        <v>184.65909090909088</v>
      </c>
      <c r="EL134" s="149"/>
      <c r="EN134" s="146"/>
      <c r="EO134" s="146"/>
      <c r="EP134" s="139">
        <f t="shared" si="131"/>
        <v>0</v>
      </c>
      <c r="EQ134" s="139">
        <f t="shared" si="132"/>
        <v>0</v>
      </c>
      <c r="ER134" s="139">
        <f t="shared" si="133"/>
        <v>0</v>
      </c>
      <c r="ES134" s="139">
        <f t="shared" si="134"/>
        <v>0</v>
      </c>
      <c r="ET134" s="139">
        <f t="shared" si="135"/>
        <v>0</v>
      </c>
      <c r="EU134" s="139">
        <f t="shared" si="136"/>
        <v>25.481055431572234</v>
      </c>
      <c r="EV134" s="139">
        <f t="shared" si="137"/>
        <v>172.56505036451841</v>
      </c>
      <c r="EW134" s="139">
        <f t="shared" si="138"/>
        <v>101.00117791293478</v>
      </c>
      <c r="EX134" s="139">
        <f t="shared" si="139"/>
        <v>0</v>
      </c>
      <c r="EY134" s="139">
        <f t="shared" si="140"/>
        <v>0</v>
      </c>
      <c r="EZ134" s="139">
        <f t="shared" si="141"/>
        <v>0</v>
      </c>
      <c r="FA134" s="139">
        <f t="shared" si="142"/>
        <v>0</v>
      </c>
      <c r="FB134" s="139">
        <f t="shared" si="143"/>
        <v>0</v>
      </c>
      <c r="FC134" s="139">
        <f t="shared" si="144"/>
        <v>0</v>
      </c>
      <c r="FD134" s="139">
        <f t="shared" si="145"/>
        <v>0</v>
      </c>
      <c r="FE134" s="139">
        <f t="shared" si="146"/>
        <v>0</v>
      </c>
      <c r="FF134" s="139">
        <f t="shared" si="147"/>
        <v>0</v>
      </c>
      <c r="FG134" s="139">
        <f t="shared" si="148"/>
        <v>0</v>
      </c>
      <c r="FH134" s="139">
        <f t="shared" si="149"/>
        <v>0</v>
      </c>
      <c r="FI134" s="139">
        <f t="shared" si="150"/>
        <v>0</v>
      </c>
      <c r="FJ134" s="139">
        <f t="shared" si="151"/>
        <v>0</v>
      </c>
      <c r="FK134" s="139">
        <f t="shared" si="152"/>
        <v>0</v>
      </c>
      <c r="FL134" s="139">
        <f t="shared" si="153"/>
        <v>0</v>
      </c>
      <c r="FM134" s="139">
        <f t="shared" si="154"/>
        <v>0</v>
      </c>
      <c r="FN134" s="139">
        <f t="shared" si="155"/>
        <v>0</v>
      </c>
      <c r="FO134" s="139">
        <f t="shared" si="156"/>
        <v>0</v>
      </c>
      <c r="FP134" s="139">
        <f t="shared" si="157"/>
        <v>0</v>
      </c>
      <c r="FQ134" s="139">
        <f t="shared" si="158"/>
        <v>0</v>
      </c>
      <c r="FR134" s="139">
        <f t="shared" si="159"/>
        <v>0</v>
      </c>
      <c r="FS134" s="139">
        <f t="shared" si="160"/>
        <v>0</v>
      </c>
      <c r="FT134" s="139">
        <f t="shared" si="161"/>
        <v>0</v>
      </c>
      <c r="FU134" s="148">
        <f t="shared" si="162"/>
        <v>299.04728370902541</v>
      </c>
      <c r="FV134" s="149"/>
      <c r="FY134" s="210">
        <v>129</v>
      </c>
      <c r="FZ134">
        <v>0.27886497278940114</v>
      </c>
      <c r="GA134">
        <v>3.1128926264860555</v>
      </c>
      <c r="GB134">
        <v>1.3273361139641193</v>
      </c>
      <c r="GC134">
        <v>3.4653674024547492</v>
      </c>
      <c r="GD134">
        <v>2.8557326343660394</v>
      </c>
      <c r="GE134">
        <v>1.0675524245902468</v>
      </c>
      <c r="GF134">
        <v>1.0712213032574254</v>
      </c>
      <c r="GG134">
        <v>0.16807232891341395</v>
      </c>
      <c r="GH134">
        <v>0</v>
      </c>
      <c r="GI134">
        <v>2.5079936905472802</v>
      </c>
      <c r="GJ134"/>
      <c r="GK134"/>
      <c r="GL134"/>
      <c r="GM134"/>
    </row>
    <row r="135" spans="1:195" s="7" customFormat="1">
      <c r="A135" s="1"/>
      <c r="B135" s="76">
        <f ca="1">IF(C135="", "", RAND())</f>
        <v>0.47010369594110823</v>
      </c>
      <c r="C135">
        <v>2</v>
      </c>
      <c r="D135">
        <v>39775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5.6800595238095237</v>
      </c>
      <c r="AO135">
        <v>4.2019817231450514</v>
      </c>
      <c r="AP135">
        <v>17.901980244526804</v>
      </c>
      <c r="AQ135">
        <v>17.201340233370736</v>
      </c>
      <c r="AR135">
        <v>3.8979422292625698</v>
      </c>
      <c r="AS135">
        <v>18.380802543524791</v>
      </c>
      <c r="AT135" t="e">
        <v>#DIV/0!</v>
      </c>
      <c r="AU135" t="e">
        <v>#DIV/0!</v>
      </c>
      <c r="AV135"/>
      <c r="AW135"/>
      <c r="AX135" s="146"/>
      <c r="AY135" s="76">
        <f t="shared" ca="1" si="86"/>
        <v>5.4149165538071697E-2</v>
      </c>
      <c r="AZ135">
        <v>8</v>
      </c>
      <c r="BA135" s="129">
        <f t="shared" si="164"/>
        <v>39775</v>
      </c>
      <c r="BB135">
        <v>0</v>
      </c>
      <c r="BC135">
        <v>0</v>
      </c>
      <c r="BD135">
        <v>0</v>
      </c>
      <c r="BE135">
        <v>0</v>
      </c>
      <c r="BF135">
        <v>1</v>
      </c>
      <c r="BG135">
        <v>0</v>
      </c>
      <c r="BH135">
        <v>0</v>
      </c>
      <c r="BI135">
        <v>1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 s="147"/>
      <c r="CH135" s="176"/>
      <c r="CJ135" s="146"/>
      <c r="CK135" s="76">
        <f t="shared" ca="1" si="88"/>
        <v>0.84150725005231908</v>
      </c>
      <c r="CL135" s="179">
        <f t="shared" si="89"/>
        <v>8</v>
      </c>
      <c r="CM135" s="180">
        <f t="shared" si="90"/>
        <v>39775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 s="160"/>
      <c r="CW135">
        <f>30/9</f>
        <v>3.3333333333333335</v>
      </c>
      <c r="CX135">
        <f>40/8</f>
        <v>5</v>
      </c>
      <c r="CY135" s="164"/>
      <c r="CZ135" s="177">
        <f t="shared" si="91"/>
        <v>9.6000000000000002E-2</v>
      </c>
      <c r="DB135" s="146"/>
      <c r="DC135" s="76">
        <f t="shared" ca="1" si="49"/>
        <v>0.86408730630168962</v>
      </c>
      <c r="DD135">
        <f t="shared" si="92"/>
        <v>8</v>
      </c>
      <c r="DE135" s="129">
        <f t="shared" si="163"/>
        <v>39775</v>
      </c>
      <c r="DF135" s="161">
        <f t="shared" si="93"/>
        <v>0</v>
      </c>
      <c r="DG135" s="161">
        <f t="shared" si="94"/>
        <v>0</v>
      </c>
      <c r="DH135" s="161">
        <f t="shared" si="95"/>
        <v>0</v>
      </c>
      <c r="DI135" s="161">
        <f t="shared" si="96"/>
        <v>0</v>
      </c>
      <c r="DJ135" s="161">
        <f t="shared" si="97"/>
        <v>34.722222222222221</v>
      </c>
      <c r="DK135" s="161">
        <f t="shared" si="98"/>
        <v>0</v>
      </c>
      <c r="DL135" s="161">
        <f t="shared" si="99"/>
        <v>0</v>
      </c>
      <c r="DM135" s="161">
        <f t="shared" si="100"/>
        <v>34.722222222222221</v>
      </c>
      <c r="DN135" s="161">
        <f t="shared" si="101"/>
        <v>0</v>
      </c>
      <c r="DO135" s="161">
        <f t="shared" si="102"/>
        <v>0</v>
      </c>
      <c r="DP135" s="161">
        <f t="shared" si="103"/>
        <v>0</v>
      </c>
      <c r="DQ135" s="161">
        <f t="shared" si="104"/>
        <v>0</v>
      </c>
      <c r="DR135" s="161">
        <f t="shared" si="105"/>
        <v>0</v>
      </c>
      <c r="DS135" s="161">
        <f t="shared" si="106"/>
        <v>0</v>
      </c>
      <c r="DT135" s="161">
        <f t="shared" si="107"/>
        <v>0</v>
      </c>
      <c r="DU135" s="161">
        <f t="shared" si="108"/>
        <v>0</v>
      </c>
      <c r="DV135" s="161">
        <f t="shared" si="109"/>
        <v>0</v>
      </c>
      <c r="DW135" s="161">
        <f t="shared" si="110"/>
        <v>0</v>
      </c>
      <c r="DX135" s="161">
        <f t="shared" si="111"/>
        <v>0</v>
      </c>
      <c r="DY135" s="161">
        <f t="shared" si="112"/>
        <v>0</v>
      </c>
      <c r="DZ135" s="161">
        <f t="shared" si="113"/>
        <v>0</v>
      </c>
      <c r="EA135" s="161">
        <f t="shared" si="114"/>
        <v>0</v>
      </c>
      <c r="EB135" s="161">
        <f t="shared" si="115"/>
        <v>0</v>
      </c>
      <c r="EC135" s="161">
        <f t="shared" si="116"/>
        <v>0</v>
      </c>
      <c r="ED135" s="161">
        <f t="shared" si="117"/>
        <v>0</v>
      </c>
      <c r="EE135" s="161">
        <f t="shared" si="118"/>
        <v>0</v>
      </c>
      <c r="EF135" s="161">
        <f t="shared" si="119"/>
        <v>0</v>
      </c>
      <c r="EG135" s="161">
        <f t="shared" si="120"/>
        <v>0</v>
      </c>
      <c r="EH135" s="161">
        <f t="shared" si="121"/>
        <v>0</v>
      </c>
      <c r="EI135" s="161">
        <f t="shared" si="122"/>
        <v>0</v>
      </c>
      <c r="EJ135" s="161">
        <f t="shared" si="123"/>
        <v>0</v>
      </c>
      <c r="EK135" s="147">
        <f t="shared" si="130"/>
        <v>69.444444444444443</v>
      </c>
      <c r="EL135" s="149"/>
      <c r="EN135" s="146"/>
      <c r="EO135" s="146"/>
      <c r="EP135" s="139">
        <f t="shared" si="131"/>
        <v>0</v>
      </c>
      <c r="EQ135" s="139">
        <f t="shared" si="132"/>
        <v>0</v>
      </c>
      <c r="ER135" s="139">
        <f t="shared" si="133"/>
        <v>0</v>
      </c>
      <c r="ES135" s="139">
        <f t="shared" si="134"/>
        <v>0</v>
      </c>
      <c r="ET135" s="139">
        <f t="shared" si="135"/>
        <v>16.349010425446203</v>
      </c>
      <c r="EU135" s="139">
        <f t="shared" si="136"/>
        <v>0</v>
      </c>
      <c r="EV135" s="139">
        <f t="shared" si="137"/>
        <v>0</v>
      </c>
      <c r="EW135" s="139">
        <f t="shared" si="138"/>
        <v>82.297256077206129</v>
      </c>
      <c r="EX135" s="139">
        <f t="shared" si="139"/>
        <v>0</v>
      </c>
      <c r="EY135" s="139">
        <f t="shared" si="140"/>
        <v>0</v>
      </c>
      <c r="EZ135" s="139">
        <f t="shared" si="141"/>
        <v>0</v>
      </c>
      <c r="FA135" s="139">
        <f t="shared" si="142"/>
        <v>0</v>
      </c>
      <c r="FB135" s="139">
        <f t="shared" si="143"/>
        <v>0</v>
      </c>
      <c r="FC135" s="139">
        <f t="shared" si="144"/>
        <v>0</v>
      </c>
      <c r="FD135" s="139">
        <f t="shared" si="145"/>
        <v>0</v>
      </c>
      <c r="FE135" s="139">
        <f t="shared" si="146"/>
        <v>0</v>
      </c>
      <c r="FF135" s="139">
        <f t="shared" si="147"/>
        <v>0</v>
      </c>
      <c r="FG135" s="139">
        <f t="shared" si="148"/>
        <v>0</v>
      </c>
      <c r="FH135" s="139">
        <f t="shared" si="149"/>
        <v>0</v>
      </c>
      <c r="FI135" s="139">
        <f t="shared" si="150"/>
        <v>0</v>
      </c>
      <c r="FJ135" s="139">
        <f t="shared" si="151"/>
        <v>0</v>
      </c>
      <c r="FK135" s="139">
        <f t="shared" si="152"/>
        <v>0</v>
      </c>
      <c r="FL135" s="139">
        <f t="shared" si="153"/>
        <v>0</v>
      </c>
      <c r="FM135" s="139">
        <f t="shared" si="154"/>
        <v>0</v>
      </c>
      <c r="FN135" s="139">
        <f t="shared" si="155"/>
        <v>0</v>
      </c>
      <c r="FO135" s="139">
        <f t="shared" si="156"/>
        <v>0</v>
      </c>
      <c r="FP135" s="139">
        <f t="shared" si="157"/>
        <v>0</v>
      </c>
      <c r="FQ135" s="139">
        <f t="shared" si="158"/>
        <v>0</v>
      </c>
      <c r="FR135" s="139">
        <f t="shared" si="159"/>
        <v>0</v>
      </c>
      <c r="FS135" s="139">
        <f t="shared" si="160"/>
        <v>0</v>
      </c>
      <c r="FT135" s="139">
        <f t="shared" si="161"/>
        <v>0</v>
      </c>
      <c r="FU135" s="148">
        <f t="shared" si="162"/>
        <v>98.646266502652338</v>
      </c>
      <c r="FV135" s="149"/>
      <c r="FY135" s="210">
        <v>130</v>
      </c>
      <c r="FZ135">
        <v>0.52454686079360424</v>
      </c>
      <c r="GA135">
        <v>4.3760423225085914</v>
      </c>
      <c r="GB135">
        <v>1.7997897517166055</v>
      </c>
      <c r="GC135">
        <v>3.0375096175481771</v>
      </c>
      <c r="GD135">
        <v>2.8053489012762043</v>
      </c>
      <c r="GE135">
        <v>1.0131231076971783</v>
      </c>
      <c r="GF135">
        <v>0.38032995424220212</v>
      </c>
      <c r="GG135">
        <v>1.2981488832102204</v>
      </c>
      <c r="GH135">
        <v>1.3247603501682221</v>
      </c>
      <c r="GI135">
        <v>2.5866648545579465</v>
      </c>
      <c r="GJ135"/>
      <c r="GK135"/>
      <c r="GL135"/>
      <c r="GM135"/>
    </row>
    <row r="136" spans="1:195" s="7" customFormat="1">
      <c r="A136" s="1"/>
      <c r="B136" s="76">
        <f ca="1">IF(C136="", "", RAND())</f>
        <v>4.0400035269985146E-2</v>
      </c>
      <c r="C136">
        <v>5</v>
      </c>
      <c r="D136">
        <v>39775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5.1195245726495724</v>
      </c>
      <c r="AO136">
        <v>5.8246363070971707</v>
      </c>
      <c r="AP136">
        <v>23.133507476605555</v>
      </c>
      <c r="AQ136">
        <v>21.883348220951017</v>
      </c>
      <c r="AR136">
        <v>5.3503224493353017</v>
      </c>
      <c r="AS136">
        <v>24.834414613135742</v>
      </c>
      <c r="AT136" t="e">
        <v>#DIV/0!</v>
      </c>
      <c r="AU136" t="e">
        <v>#DIV/0!</v>
      </c>
      <c r="AV136"/>
      <c r="AW136"/>
      <c r="AX136" s="146"/>
      <c r="AY136" s="76">
        <f t="shared" ca="1" si="86"/>
        <v>0.29953371516947858</v>
      </c>
      <c r="AZ136">
        <v>9</v>
      </c>
      <c r="BA136" s="129">
        <f t="shared" si="164"/>
        <v>39775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1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 s="147"/>
      <c r="CH136" s="176"/>
      <c r="CJ136" s="146"/>
      <c r="CK136" s="76">
        <f t="shared" ca="1" si="88"/>
        <v>0.84602226946387926</v>
      </c>
      <c r="CL136" s="179">
        <f t="shared" si="89"/>
        <v>9</v>
      </c>
      <c r="CM136" s="180">
        <f t="shared" si="90"/>
        <v>39775</v>
      </c>
      <c r="CN136" s="225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 s="160"/>
      <c r="CW136">
        <v>1</v>
      </c>
      <c r="CX136">
        <v>1</v>
      </c>
      <c r="CY136" s="164"/>
      <c r="CZ136" s="177">
        <f t="shared" si="91"/>
        <v>9.6000000000000002E-2</v>
      </c>
      <c r="DB136" s="146"/>
      <c r="DC136" s="76">
        <f t="shared" ca="1" si="49"/>
        <v>0.34866170876940172</v>
      </c>
      <c r="DD136">
        <f t="shared" si="92"/>
        <v>9</v>
      </c>
      <c r="DE136" s="129">
        <f t="shared" si="163"/>
        <v>39775</v>
      </c>
      <c r="DF136" s="161">
        <f t="shared" si="93"/>
        <v>0</v>
      </c>
      <c r="DG136" s="161">
        <f t="shared" si="94"/>
        <v>0</v>
      </c>
      <c r="DH136" s="161">
        <f t="shared" si="95"/>
        <v>0</v>
      </c>
      <c r="DI136" s="161">
        <f t="shared" si="96"/>
        <v>0</v>
      </c>
      <c r="DJ136" s="161">
        <f t="shared" si="97"/>
        <v>0</v>
      </c>
      <c r="DK136" s="161">
        <f t="shared" si="98"/>
        <v>10.416666666666666</v>
      </c>
      <c r="DL136" s="161">
        <f t="shared" si="99"/>
        <v>0</v>
      </c>
      <c r="DM136" s="161">
        <f t="shared" si="100"/>
        <v>0</v>
      </c>
      <c r="DN136" s="161">
        <f t="shared" si="101"/>
        <v>0</v>
      </c>
      <c r="DO136" s="161">
        <f t="shared" si="102"/>
        <v>0</v>
      </c>
      <c r="DP136" s="161">
        <f t="shared" si="103"/>
        <v>0</v>
      </c>
      <c r="DQ136" s="161">
        <f t="shared" si="104"/>
        <v>0</v>
      </c>
      <c r="DR136" s="161">
        <f t="shared" si="105"/>
        <v>0</v>
      </c>
      <c r="DS136" s="161">
        <f t="shared" si="106"/>
        <v>0</v>
      </c>
      <c r="DT136" s="161">
        <f t="shared" si="107"/>
        <v>0</v>
      </c>
      <c r="DU136" s="161">
        <f t="shared" si="108"/>
        <v>0</v>
      </c>
      <c r="DV136" s="161">
        <f t="shared" si="109"/>
        <v>0</v>
      </c>
      <c r="DW136" s="161">
        <f t="shared" si="110"/>
        <v>0</v>
      </c>
      <c r="DX136" s="161">
        <f t="shared" si="111"/>
        <v>0</v>
      </c>
      <c r="DY136" s="161">
        <f t="shared" si="112"/>
        <v>0</v>
      </c>
      <c r="DZ136" s="161">
        <f t="shared" si="113"/>
        <v>0</v>
      </c>
      <c r="EA136" s="161">
        <f t="shared" si="114"/>
        <v>0</v>
      </c>
      <c r="EB136" s="161">
        <f t="shared" si="115"/>
        <v>0</v>
      </c>
      <c r="EC136" s="161">
        <f t="shared" si="116"/>
        <v>0</v>
      </c>
      <c r="ED136" s="161">
        <f t="shared" si="117"/>
        <v>0</v>
      </c>
      <c r="EE136" s="161">
        <f t="shared" si="118"/>
        <v>0</v>
      </c>
      <c r="EF136" s="161">
        <f t="shared" si="119"/>
        <v>0</v>
      </c>
      <c r="EG136" s="161">
        <f t="shared" si="120"/>
        <v>0</v>
      </c>
      <c r="EH136" s="161">
        <f t="shared" si="121"/>
        <v>0</v>
      </c>
      <c r="EI136" s="161">
        <f t="shared" si="122"/>
        <v>0</v>
      </c>
      <c r="EJ136" s="161">
        <f t="shared" si="123"/>
        <v>0</v>
      </c>
      <c r="EK136" s="147">
        <f t="shared" si="130"/>
        <v>10.416666666666666</v>
      </c>
      <c r="EL136" s="149"/>
      <c r="EN136" s="146"/>
      <c r="EO136" s="146"/>
      <c r="EP136" s="139">
        <f t="shared" si="131"/>
        <v>0</v>
      </c>
      <c r="EQ136" s="139">
        <f t="shared" si="132"/>
        <v>0</v>
      </c>
      <c r="ER136" s="139">
        <f t="shared" si="133"/>
        <v>0</v>
      </c>
      <c r="ES136" s="139">
        <f t="shared" si="134"/>
        <v>0</v>
      </c>
      <c r="ET136" s="139">
        <f t="shared" si="135"/>
        <v>0</v>
      </c>
      <c r="EU136" s="139">
        <f t="shared" si="136"/>
        <v>9.3430536582431518</v>
      </c>
      <c r="EV136" s="139">
        <f t="shared" si="137"/>
        <v>0</v>
      </c>
      <c r="EW136" s="139">
        <f t="shared" si="138"/>
        <v>0</v>
      </c>
      <c r="EX136" s="139">
        <f t="shared" si="139"/>
        <v>0</v>
      </c>
      <c r="EY136" s="139">
        <f t="shared" si="140"/>
        <v>0</v>
      </c>
      <c r="EZ136" s="139">
        <f t="shared" si="141"/>
        <v>0</v>
      </c>
      <c r="FA136" s="139">
        <f t="shared" si="142"/>
        <v>0</v>
      </c>
      <c r="FB136" s="139">
        <f t="shared" si="143"/>
        <v>0</v>
      </c>
      <c r="FC136" s="139">
        <f t="shared" si="144"/>
        <v>0</v>
      </c>
      <c r="FD136" s="139">
        <f t="shared" si="145"/>
        <v>0</v>
      </c>
      <c r="FE136" s="139">
        <f t="shared" si="146"/>
        <v>0</v>
      </c>
      <c r="FF136" s="139">
        <f t="shared" si="147"/>
        <v>0</v>
      </c>
      <c r="FG136" s="139">
        <f t="shared" si="148"/>
        <v>0</v>
      </c>
      <c r="FH136" s="139">
        <f t="shared" si="149"/>
        <v>0</v>
      </c>
      <c r="FI136" s="139">
        <f t="shared" si="150"/>
        <v>0</v>
      </c>
      <c r="FJ136" s="139">
        <f t="shared" si="151"/>
        <v>0</v>
      </c>
      <c r="FK136" s="139">
        <f t="shared" si="152"/>
        <v>0</v>
      </c>
      <c r="FL136" s="139">
        <f t="shared" si="153"/>
        <v>0</v>
      </c>
      <c r="FM136" s="139">
        <f t="shared" si="154"/>
        <v>0</v>
      </c>
      <c r="FN136" s="139">
        <f t="shared" si="155"/>
        <v>0</v>
      </c>
      <c r="FO136" s="139">
        <f t="shared" si="156"/>
        <v>0</v>
      </c>
      <c r="FP136" s="139">
        <f t="shared" si="157"/>
        <v>0</v>
      </c>
      <c r="FQ136" s="139">
        <f t="shared" si="158"/>
        <v>0</v>
      </c>
      <c r="FR136" s="139">
        <f t="shared" si="159"/>
        <v>0</v>
      </c>
      <c r="FS136" s="139">
        <f t="shared" si="160"/>
        <v>0</v>
      </c>
      <c r="FT136" s="139">
        <f t="shared" si="161"/>
        <v>0</v>
      </c>
      <c r="FU136" s="148">
        <f t="shared" si="162"/>
        <v>9.3430536582431518</v>
      </c>
      <c r="FV136" s="149"/>
      <c r="FY136" s="210">
        <v>131</v>
      </c>
      <c r="FZ136">
        <v>0.2456818880042031</v>
      </c>
      <c r="GA136">
        <v>3.3244330809335505</v>
      </c>
      <c r="GB136">
        <v>2.5993374547252053</v>
      </c>
      <c r="GC136">
        <v>7.8657590055170825</v>
      </c>
      <c r="GD136">
        <v>6.5007646687284604</v>
      </c>
      <c r="GE136">
        <v>3.3509698928881724</v>
      </c>
      <c r="GF136">
        <v>2.1424426065148507</v>
      </c>
      <c r="GG136">
        <v>1.7791509959019165</v>
      </c>
      <c r="GH136">
        <v>1.9871405252523333</v>
      </c>
      <c r="GI136">
        <v>6.1861816090964048</v>
      </c>
      <c r="GJ136"/>
      <c r="GK136"/>
      <c r="GL136"/>
      <c r="GM136"/>
    </row>
    <row r="137" spans="1:195" s="7" customFormat="1">
      <c r="A137" s="1"/>
      <c r="B137" s="76">
        <f ca="1">IF(C137="", "", RAND())</f>
        <v>0.9902004677396079</v>
      </c>
      <c r="C137">
        <v>10</v>
      </c>
      <c r="D137">
        <v>39775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10.416666666666666</v>
      </c>
      <c r="K137">
        <v>0</v>
      </c>
      <c r="L137">
        <v>0</v>
      </c>
      <c r="M137">
        <v>10.416666666666666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5.6225961538461533</v>
      </c>
      <c r="AO137">
        <v>8.2162350267064834</v>
      </c>
      <c r="AP137">
        <v>20.262537161461267</v>
      </c>
      <c r="AQ137">
        <v>23.869108405086063</v>
      </c>
      <c r="AR137">
        <v>7.6217393568705774</v>
      </c>
      <c r="AS137">
        <v>47.498360420027346</v>
      </c>
      <c r="AT137" t="e">
        <v>#DIV/0!</v>
      </c>
      <c r="AU137" t="e">
        <v>#DIV/0!</v>
      </c>
      <c r="AV137"/>
      <c r="AW137"/>
      <c r="AX137" s="146"/>
      <c r="AY137" s="76">
        <f t="shared" ca="1" si="86"/>
        <v>0.73674373691241724</v>
      </c>
      <c r="AZ137">
        <v>10</v>
      </c>
      <c r="BA137" s="129">
        <f t="shared" si="164"/>
        <v>39775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1</v>
      </c>
      <c r="BH137">
        <v>0</v>
      </c>
      <c r="BI137">
        <v>0</v>
      </c>
      <c r="BJ137">
        <v>1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 s="147"/>
      <c r="CH137" s="176"/>
      <c r="CJ137" s="146"/>
      <c r="CK137" s="76">
        <f t="shared" ca="1" si="88"/>
        <v>0.70670793188474801</v>
      </c>
      <c r="CL137" s="179">
        <f t="shared" si="89"/>
        <v>10</v>
      </c>
      <c r="CM137" s="180">
        <f t="shared" si="90"/>
        <v>39775</v>
      </c>
      <c r="CN137" s="224">
        <v>0</v>
      </c>
      <c r="CO137" s="224">
        <v>0</v>
      </c>
      <c r="CP137" s="224">
        <v>0</v>
      </c>
      <c r="CQ137" s="224">
        <v>0</v>
      </c>
      <c r="CR137" s="224">
        <v>0</v>
      </c>
      <c r="CS137">
        <v>0</v>
      </c>
      <c r="CT137">
        <v>0</v>
      </c>
      <c r="CU137">
        <v>0</v>
      </c>
      <c r="CV137" s="160"/>
      <c r="CW137">
        <v>1</v>
      </c>
      <c r="CX137">
        <v>1</v>
      </c>
      <c r="CY137" s="164"/>
      <c r="CZ137" s="177">
        <f t="shared" si="91"/>
        <v>9.6000000000000002E-2</v>
      </c>
      <c r="DB137" s="146"/>
      <c r="DC137" s="76">
        <f t="shared" ca="1" si="49"/>
        <v>0.31793124927245309</v>
      </c>
      <c r="DD137">
        <f t="shared" si="92"/>
        <v>10</v>
      </c>
      <c r="DE137" s="129">
        <f t="shared" si="163"/>
        <v>39775</v>
      </c>
      <c r="DF137" s="161">
        <f t="shared" si="93"/>
        <v>0</v>
      </c>
      <c r="DG137" s="161">
        <f t="shared" si="94"/>
        <v>0</v>
      </c>
      <c r="DH137" s="161">
        <f t="shared" si="95"/>
        <v>0</v>
      </c>
      <c r="DI137" s="161">
        <f t="shared" si="96"/>
        <v>0</v>
      </c>
      <c r="DJ137" s="161">
        <f t="shared" si="97"/>
        <v>0</v>
      </c>
      <c r="DK137" s="161">
        <f t="shared" si="98"/>
        <v>10.416666666666666</v>
      </c>
      <c r="DL137" s="161">
        <f t="shared" si="99"/>
        <v>0</v>
      </c>
      <c r="DM137" s="161">
        <f t="shared" si="100"/>
        <v>0</v>
      </c>
      <c r="DN137" s="161">
        <f t="shared" si="101"/>
        <v>10.416666666666666</v>
      </c>
      <c r="DO137" s="161">
        <f t="shared" si="102"/>
        <v>0</v>
      </c>
      <c r="DP137" s="161">
        <f t="shared" si="103"/>
        <v>0</v>
      </c>
      <c r="DQ137" s="161">
        <f t="shared" si="104"/>
        <v>0</v>
      </c>
      <c r="DR137" s="161">
        <f t="shared" si="105"/>
        <v>0</v>
      </c>
      <c r="DS137" s="161">
        <f t="shared" si="106"/>
        <v>0</v>
      </c>
      <c r="DT137" s="161">
        <f t="shared" si="107"/>
        <v>0</v>
      </c>
      <c r="DU137" s="161">
        <f t="shared" si="108"/>
        <v>0</v>
      </c>
      <c r="DV137" s="161">
        <f t="shared" si="109"/>
        <v>0</v>
      </c>
      <c r="DW137" s="161">
        <f t="shared" si="110"/>
        <v>0</v>
      </c>
      <c r="DX137" s="161">
        <f t="shared" si="111"/>
        <v>0</v>
      </c>
      <c r="DY137" s="161">
        <f t="shared" si="112"/>
        <v>0</v>
      </c>
      <c r="DZ137" s="161">
        <f t="shared" si="113"/>
        <v>0</v>
      </c>
      <c r="EA137" s="161">
        <f t="shared" si="114"/>
        <v>0</v>
      </c>
      <c r="EB137" s="161">
        <f t="shared" si="115"/>
        <v>0</v>
      </c>
      <c r="EC137" s="161">
        <f t="shared" si="116"/>
        <v>0</v>
      </c>
      <c r="ED137" s="161">
        <f t="shared" si="117"/>
        <v>0</v>
      </c>
      <c r="EE137" s="161">
        <f t="shared" si="118"/>
        <v>0</v>
      </c>
      <c r="EF137" s="161">
        <f t="shared" si="119"/>
        <v>0</v>
      </c>
      <c r="EG137" s="161">
        <f t="shared" si="120"/>
        <v>0</v>
      </c>
      <c r="EH137" s="161">
        <f t="shared" si="121"/>
        <v>0</v>
      </c>
      <c r="EI137" s="161">
        <f t="shared" si="122"/>
        <v>0</v>
      </c>
      <c r="EJ137" s="161">
        <f t="shared" si="123"/>
        <v>0</v>
      </c>
      <c r="EK137" s="147">
        <f t="shared" si="130"/>
        <v>20.833333333333332</v>
      </c>
      <c r="EL137" s="149"/>
      <c r="EN137" s="146"/>
      <c r="EO137" s="146"/>
      <c r="EP137" s="139">
        <f t="shared" si="131"/>
        <v>0</v>
      </c>
      <c r="EQ137" s="139">
        <f t="shared" si="132"/>
        <v>0</v>
      </c>
      <c r="ER137" s="139">
        <f t="shared" si="133"/>
        <v>0</v>
      </c>
      <c r="ES137" s="139">
        <f t="shared" si="134"/>
        <v>0</v>
      </c>
      <c r="ET137" s="139">
        <f t="shared" si="135"/>
        <v>0</v>
      </c>
      <c r="EU137" s="139">
        <f t="shared" si="136"/>
        <v>9.3430536582431518</v>
      </c>
      <c r="EV137" s="139">
        <f t="shared" si="137"/>
        <v>0</v>
      </c>
      <c r="EW137" s="139">
        <f t="shared" si="138"/>
        <v>0</v>
      </c>
      <c r="EX137" s="139">
        <f t="shared" si="139"/>
        <v>36.306748177685691</v>
      </c>
      <c r="EY137" s="139">
        <f t="shared" si="140"/>
        <v>0</v>
      </c>
      <c r="EZ137" s="139">
        <f t="shared" si="141"/>
        <v>0</v>
      </c>
      <c r="FA137" s="139">
        <f t="shared" si="142"/>
        <v>0</v>
      </c>
      <c r="FB137" s="139">
        <f t="shared" si="143"/>
        <v>0</v>
      </c>
      <c r="FC137" s="139">
        <f t="shared" si="144"/>
        <v>0</v>
      </c>
      <c r="FD137" s="139">
        <f t="shared" si="145"/>
        <v>0</v>
      </c>
      <c r="FE137" s="139">
        <f t="shared" si="146"/>
        <v>0</v>
      </c>
      <c r="FF137" s="139">
        <f t="shared" si="147"/>
        <v>0</v>
      </c>
      <c r="FG137" s="139">
        <f t="shared" si="148"/>
        <v>0</v>
      </c>
      <c r="FH137" s="139">
        <f t="shared" si="149"/>
        <v>0</v>
      </c>
      <c r="FI137" s="139">
        <f t="shared" si="150"/>
        <v>0</v>
      </c>
      <c r="FJ137" s="139">
        <f t="shared" si="151"/>
        <v>0</v>
      </c>
      <c r="FK137" s="139">
        <f t="shared" si="152"/>
        <v>0</v>
      </c>
      <c r="FL137" s="139">
        <f t="shared" si="153"/>
        <v>0</v>
      </c>
      <c r="FM137" s="139">
        <f t="shared" si="154"/>
        <v>0</v>
      </c>
      <c r="FN137" s="139">
        <f t="shared" si="155"/>
        <v>0</v>
      </c>
      <c r="FO137" s="139">
        <f t="shared" si="156"/>
        <v>0</v>
      </c>
      <c r="FP137" s="139">
        <f t="shared" si="157"/>
        <v>0</v>
      </c>
      <c r="FQ137" s="139">
        <f t="shared" si="158"/>
        <v>0</v>
      </c>
      <c r="FR137" s="139">
        <f t="shared" si="159"/>
        <v>0</v>
      </c>
      <c r="FS137" s="139">
        <f t="shared" si="160"/>
        <v>0</v>
      </c>
      <c r="FT137" s="139">
        <f t="shared" si="161"/>
        <v>0</v>
      </c>
      <c r="FU137" s="148">
        <f t="shared" si="162"/>
        <v>45.649801835928841</v>
      </c>
      <c r="FV137" s="149"/>
      <c r="FY137" s="210">
        <v>132</v>
      </c>
      <c r="FZ137">
        <v>0.2456818880042031</v>
      </c>
      <c r="GA137">
        <v>5.9826669454149952</v>
      </c>
      <c r="GB137">
        <v>2.7186085545840464</v>
      </c>
      <c r="GC137">
        <v>12.350714445390066</v>
      </c>
      <c r="GD137">
        <v>9.6130391496287029</v>
      </c>
      <c r="GE137">
        <v>2.098180931879603</v>
      </c>
      <c r="GF137">
        <v>2.3326075836359519</v>
      </c>
      <c r="GG137">
        <v>1.4662212121236342</v>
      </c>
      <c r="GH137">
        <v>1.3247603501682221</v>
      </c>
      <c r="GI137">
        <v>8.3515454780352467</v>
      </c>
      <c r="GJ137"/>
      <c r="GK137"/>
      <c r="GL137"/>
      <c r="GM137"/>
    </row>
    <row r="138" spans="1:195" s="7" customFormat="1">
      <c r="A138" s="128"/>
      <c r="B138" s="76">
        <f ca="1">IF(C138="", "", RAND())</f>
        <v>0.12909388482829121</v>
      </c>
      <c r="C138">
        <v>9</v>
      </c>
      <c r="D138">
        <v>39799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10.416666666666666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5.0868055555555554</v>
      </c>
      <c r="AO138">
        <v>5.6967144933329656</v>
      </c>
      <c r="AP138">
        <v>19.098056523986489</v>
      </c>
      <c r="AQ138">
        <v>19.201299530233879</v>
      </c>
      <c r="AR138">
        <v>5.2845217934443109</v>
      </c>
      <c r="AS138">
        <v>22.132608976883532</v>
      </c>
      <c r="AT138" t="e">
        <v>#DIV/0!</v>
      </c>
      <c r="AU138" t="e">
        <v>#DIV/0!</v>
      </c>
      <c r="AV138"/>
      <c r="AW138"/>
      <c r="AX138" s="128"/>
      <c r="AY138" s="76">
        <f t="shared" ca="1" si="86"/>
        <v>0.39903110861727598</v>
      </c>
      <c r="AZ138">
        <v>1</v>
      </c>
      <c r="BA138" s="129">
        <f>IF(AZ138="", "",$C$9)</f>
        <v>39799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 s="147"/>
      <c r="CH138" s="176"/>
      <c r="CJ138" s="128"/>
      <c r="CK138" s="76">
        <f t="shared" ca="1" si="88"/>
        <v>0.32872546732623853</v>
      </c>
      <c r="CL138" s="179">
        <f t="shared" si="89"/>
        <v>1</v>
      </c>
      <c r="CM138" s="180">
        <f t="shared" si="90"/>
        <v>39799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 s="160"/>
      <c r="CW138">
        <v>1</v>
      </c>
      <c r="CX138">
        <v>8</v>
      </c>
      <c r="CY138" s="160"/>
      <c r="CZ138" s="177">
        <f t="shared" si="91"/>
        <v>9.6000000000000002E-2</v>
      </c>
      <c r="DB138" s="128"/>
      <c r="DC138" s="76">
        <f t="shared" ca="1" si="49"/>
        <v>0.16434799085824991</v>
      </c>
      <c r="DD138">
        <f t="shared" si="92"/>
        <v>1</v>
      </c>
      <c r="DE138" s="129">
        <f t="shared" ref="DE138:DE147" si="165">IF((DD138)="","",$C$9)</f>
        <v>39799</v>
      </c>
      <c r="DF138" s="161">
        <f t="shared" si="93"/>
        <v>0</v>
      </c>
      <c r="DG138" s="161">
        <f t="shared" si="94"/>
        <v>0</v>
      </c>
      <c r="DH138" s="161">
        <f t="shared" si="95"/>
        <v>0</v>
      </c>
      <c r="DI138" s="161">
        <f t="shared" si="96"/>
        <v>0</v>
      </c>
      <c r="DJ138" s="161">
        <f t="shared" si="97"/>
        <v>0</v>
      </c>
      <c r="DK138" s="161">
        <f t="shared" si="98"/>
        <v>0</v>
      </c>
      <c r="DL138" s="161">
        <f t="shared" si="99"/>
        <v>0</v>
      </c>
      <c r="DM138" s="161">
        <f t="shared" si="100"/>
        <v>0</v>
      </c>
      <c r="DN138" s="161">
        <f t="shared" si="101"/>
        <v>0</v>
      </c>
      <c r="DO138" s="161">
        <f t="shared" si="102"/>
        <v>0</v>
      </c>
      <c r="DP138" s="161">
        <f t="shared" si="103"/>
        <v>0</v>
      </c>
      <c r="DQ138" s="161">
        <f t="shared" si="104"/>
        <v>0</v>
      </c>
      <c r="DR138" s="161">
        <f t="shared" si="105"/>
        <v>0</v>
      </c>
      <c r="DS138" s="161">
        <f t="shared" si="106"/>
        <v>0</v>
      </c>
      <c r="DT138" s="161">
        <f t="shared" si="107"/>
        <v>0</v>
      </c>
      <c r="DU138" s="161">
        <f t="shared" si="108"/>
        <v>0</v>
      </c>
      <c r="DV138" s="161">
        <f t="shared" si="109"/>
        <v>0</v>
      </c>
      <c r="DW138" s="161">
        <f t="shared" si="110"/>
        <v>0</v>
      </c>
      <c r="DX138" s="161">
        <f t="shared" si="111"/>
        <v>0</v>
      </c>
      <c r="DY138" s="161">
        <f t="shared" si="112"/>
        <v>0</v>
      </c>
      <c r="DZ138" s="161">
        <f t="shared" si="113"/>
        <v>0</v>
      </c>
      <c r="EA138" s="161">
        <f t="shared" si="114"/>
        <v>0</v>
      </c>
      <c r="EB138" s="161">
        <f t="shared" si="115"/>
        <v>0</v>
      </c>
      <c r="EC138" s="161">
        <f t="shared" si="116"/>
        <v>0</v>
      </c>
      <c r="ED138" s="161">
        <f t="shared" si="117"/>
        <v>0</v>
      </c>
      <c r="EE138" s="161">
        <f t="shared" si="118"/>
        <v>0</v>
      </c>
      <c r="EF138" s="161">
        <f t="shared" si="119"/>
        <v>0</v>
      </c>
      <c r="EG138" s="161">
        <f t="shared" si="120"/>
        <v>0</v>
      </c>
      <c r="EH138" s="161">
        <f t="shared" si="121"/>
        <v>0</v>
      </c>
      <c r="EI138" s="161">
        <f t="shared" si="122"/>
        <v>0</v>
      </c>
      <c r="EJ138" s="161">
        <f t="shared" si="123"/>
        <v>0</v>
      </c>
      <c r="EK138" s="147">
        <f t="shared" si="130"/>
        <v>0</v>
      </c>
      <c r="EL138" s="149"/>
      <c r="EN138" s="146"/>
      <c r="EO138" s="146"/>
      <c r="EP138" s="139">
        <f t="shared" si="131"/>
        <v>0</v>
      </c>
      <c r="EQ138" s="139">
        <f t="shared" si="132"/>
        <v>0</v>
      </c>
      <c r="ER138" s="139">
        <f t="shared" si="133"/>
        <v>0</v>
      </c>
      <c r="ES138" s="139">
        <f t="shared" si="134"/>
        <v>0</v>
      </c>
      <c r="ET138" s="139">
        <f t="shared" si="135"/>
        <v>0</v>
      </c>
      <c r="EU138" s="139">
        <f t="shared" si="136"/>
        <v>0</v>
      </c>
      <c r="EV138" s="139">
        <f t="shared" si="137"/>
        <v>0</v>
      </c>
      <c r="EW138" s="139">
        <f t="shared" si="138"/>
        <v>0</v>
      </c>
      <c r="EX138" s="139">
        <f t="shared" si="139"/>
        <v>0</v>
      </c>
      <c r="EY138" s="139">
        <f t="shared" si="140"/>
        <v>0</v>
      </c>
      <c r="EZ138" s="139">
        <f t="shared" si="141"/>
        <v>0</v>
      </c>
      <c r="FA138" s="139">
        <f t="shared" si="142"/>
        <v>0</v>
      </c>
      <c r="FB138" s="139">
        <f t="shared" si="143"/>
        <v>0</v>
      </c>
      <c r="FC138" s="139">
        <f t="shared" si="144"/>
        <v>0</v>
      </c>
      <c r="FD138" s="139">
        <f t="shared" si="145"/>
        <v>0</v>
      </c>
      <c r="FE138" s="139">
        <f t="shared" si="146"/>
        <v>0</v>
      </c>
      <c r="FF138" s="139">
        <f t="shared" si="147"/>
        <v>0</v>
      </c>
      <c r="FG138" s="139">
        <f t="shared" si="148"/>
        <v>0</v>
      </c>
      <c r="FH138" s="139">
        <f t="shared" si="149"/>
        <v>0</v>
      </c>
      <c r="FI138" s="139">
        <f t="shared" si="150"/>
        <v>0</v>
      </c>
      <c r="FJ138" s="139">
        <f t="shared" si="151"/>
        <v>0</v>
      </c>
      <c r="FK138" s="139">
        <f t="shared" si="152"/>
        <v>0</v>
      </c>
      <c r="FL138" s="139">
        <f t="shared" si="153"/>
        <v>0</v>
      </c>
      <c r="FM138" s="139">
        <f t="shared" si="154"/>
        <v>0</v>
      </c>
      <c r="FN138" s="139">
        <f t="shared" si="155"/>
        <v>0</v>
      </c>
      <c r="FO138" s="139">
        <f t="shared" si="156"/>
        <v>0</v>
      </c>
      <c r="FP138" s="139">
        <f t="shared" si="157"/>
        <v>0</v>
      </c>
      <c r="FQ138" s="139">
        <f t="shared" si="158"/>
        <v>0</v>
      </c>
      <c r="FR138" s="139">
        <f t="shared" si="159"/>
        <v>0</v>
      </c>
      <c r="FS138" s="139">
        <f t="shared" si="160"/>
        <v>0</v>
      </c>
      <c r="FT138" s="139">
        <f t="shared" si="161"/>
        <v>0</v>
      </c>
      <c r="FU138" s="148">
        <f t="shared" si="162"/>
        <v>0</v>
      </c>
      <c r="FV138" s="149"/>
      <c r="FY138" s="210">
        <v>133</v>
      </c>
      <c r="FZ138">
        <v>0.27886497278940114</v>
      </c>
      <c r="GA138">
        <v>2.3905507653585385</v>
      </c>
      <c r="GB138">
        <v>0.98275512952324828</v>
      </c>
      <c r="GC138">
        <v>2.4433760527532979</v>
      </c>
      <c r="GD138">
        <v>2.1818954013343901</v>
      </c>
      <c r="GE138">
        <v>0.80161328311131574</v>
      </c>
      <c r="GF138">
        <v>0.38032995424220212</v>
      </c>
      <c r="GG138">
        <v>0.3361446578268279</v>
      </c>
      <c r="GH138">
        <v>0</v>
      </c>
      <c r="GI138">
        <v>1.9847178786386461</v>
      </c>
      <c r="GJ138"/>
      <c r="GK138"/>
      <c r="GL138"/>
      <c r="GM138"/>
    </row>
    <row r="139" spans="1:195" s="7" customFormat="1">
      <c r="A139" s="1"/>
      <c r="B139" s="76">
        <f ca="1">IF(C139="", "", RAND())</f>
        <v>0.13398419747344326</v>
      </c>
      <c r="C139">
        <v>7</v>
      </c>
      <c r="D139">
        <v>39799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7.9308035714285721</v>
      </c>
      <c r="AO139">
        <v>5.3743866877291824</v>
      </c>
      <c r="AP139">
        <v>33.643955221917444</v>
      </c>
      <c r="AQ139">
        <v>25.629019966103076</v>
      </c>
      <c r="AR139">
        <v>4.9326511883260364</v>
      </c>
      <c r="AS139">
        <v>20.27676208988197</v>
      </c>
      <c r="AT139" t="e">
        <v>#DIV/0!</v>
      </c>
      <c r="AU139" t="e">
        <v>#DIV/0!</v>
      </c>
      <c r="AV139"/>
      <c r="AW139"/>
      <c r="AX139" s="146"/>
      <c r="AY139" s="76">
        <f t="shared" ca="1" si="86"/>
        <v>0.30898437708075743</v>
      </c>
      <c r="AZ139">
        <v>2</v>
      </c>
      <c r="BA139" s="129">
        <f t="shared" ref="BA139:BA147" si="166">IF(AZ139="", "",$C$9)</f>
        <v>39799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 s="147"/>
      <c r="CH139" s="176"/>
      <c r="CJ139" s="146"/>
      <c r="CK139" s="76">
        <f t="shared" ca="1" si="88"/>
        <v>0.87038970202116772</v>
      </c>
      <c r="CL139" s="179">
        <f t="shared" si="89"/>
        <v>2</v>
      </c>
      <c r="CM139" s="180">
        <f t="shared" si="90"/>
        <v>39799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 s="160"/>
      <c r="CW139">
        <v>1</v>
      </c>
      <c r="CX139">
        <v>1</v>
      </c>
      <c r="CY139" s="160"/>
      <c r="CZ139" s="177">
        <f t="shared" si="91"/>
        <v>9.6000000000000002E-2</v>
      </c>
      <c r="DB139" s="146"/>
      <c r="DC139" s="76">
        <f t="shared" ca="1" si="49"/>
        <v>0.81167436812422711</v>
      </c>
      <c r="DD139">
        <f t="shared" si="92"/>
        <v>2</v>
      </c>
      <c r="DE139" s="129">
        <f t="shared" si="165"/>
        <v>39799</v>
      </c>
      <c r="DF139" s="161">
        <f t="shared" si="93"/>
        <v>0</v>
      </c>
      <c r="DG139" s="161">
        <f t="shared" si="94"/>
        <v>0</v>
      </c>
      <c r="DH139" s="161">
        <f t="shared" si="95"/>
        <v>0</v>
      </c>
      <c r="DI139" s="161">
        <f t="shared" si="96"/>
        <v>0</v>
      </c>
      <c r="DJ139" s="161">
        <f t="shared" si="97"/>
        <v>0</v>
      </c>
      <c r="DK139" s="161">
        <f t="shared" si="98"/>
        <v>0</v>
      </c>
      <c r="DL139" s="161">
        <f t="shared" si="99"/>
        <v>0</v>
      </c>
      <c r="DM139" s="161">
        <f t="shared" si="100"/>
        <v>0</v>
      </c>
      <c r="DN139" s="161">
        <f t="shared" si="101"/>
        <v>0</v>
      </c>
      <c r="DO139" s="161">
        <f t="shared" si="102"/>
        <v>0</v>
      </c>
      <c r="DP139" s="161">
        <f t="shared" si="103"/>
        <v>0</v>
      </c>
      <c r="DQ139" s="161">
        <f t="shared" si="104"/>
        <v>0</v>
      </c>
      <c r="DR139" s="161">
        <f t="shared" si="105"/>
        <v>0</v>
      </c>
      <c r="DS139" s="161">
        <f t="shared" si="106"/>
        <v>0</v>
      </c>
      <c r="DT139" s="161">
        <f t="shared" si="107"/>
        <v>0</v>
      </c>
      <c r="DU139" s="161">
        <f t="shared" si="108"/>
        <v>0</v>
      </c>
      <c r="DV139" s="161">
        <f t="shared" si="109"/>
        <v>0</v>
      </c>
      <c r="DW139" s="161">
        <f t="shared" si="110"/>
        <v>0</v>
      </c>
      <c r="DX139" s="161">
        <f t="shared" si="111"/>
        <v>0</v>
      </c>
      <c r="DY139" s="161">
        <f t="shared" si="112"/>
        <v>0</v>
      </c>
      <c r="DZ139" s="161">
        <f t="shared" si="113"/>
        <v>0</v>
      </c>
      <c r="EA139" s="161">
        <f t="shared" si="114"/>
        <v>0</v>
      </c>
      <c r="EB139" s="161">
        <f t="shared" si="115"/>
        <v>0</v>
      </c>
      <c r="EC139" s="161">
        <f t="shared" si="116"/>
        <v>0</v>
      </c>
      <c r="ED139" s="161">
        <f t="shared" si="117"/>
        <v>0</v>
      </c>
      <c r="EE139" s="161">
        <f t="shared" si="118"/>
        <v>0</v>
      </c>
      <c r="EF139" s="161">
        <f t="shared" si="119"/>
        <v>0</v>
      </c>
      <c r="EG139" s="161">
        <f t="shared" si="120"/>
        <v>0</v>
      </c>
      <c r="EH139" s="161">
        <f t="shared" si="121"/>
        <v>0</v>
      </c>
      <c r="EI139" s="161">
        <f t="shared" si="122"/>
        <v>0</v>
      </c>
      <c r="EJ139" s="161">
        <f t="shared" si="123"/>
        <v>0</v>
      </c>
      <c r="EK139" s="147">
        <f t="shared" si="130"/>
        <v>0</v>
      </c>
      <c r="EL139" s="149"/>
      <c r="EN139" s="146"/>
      <c r="EO139" s="146"/>
      <c r="EP139" s="139">
        <f t="shared" si="131"/>
        <v>0</v>
      </c>
      <c r="EQ139" s="139">
        <f t="shared" si="132"/>
        <v>0</v>
      </c>
      <c r="ER139" s="139">
        <f t="shared" si="133"/>
        <v>0</v>
      </c>
      <c r="ES139" s="139">
        <f t="shared" si="134"/>
        <v>0</v>
      </c>
      <c r="ET139" s="139">
        <f t="shared" si="135"/>
        <v>0</v>
      </c>
      <c r="EU139" s="139">
        <f t="shared" si="136"/>
        <v>0</v>
      </c>
      <c r="EV139" s="139">
        <f t="shared" si="137"/>
        <v>0</v>
      </c>
      <c r="EW139" s="139">
        <f t="shared" si="138"/>
        <v>0</v>
      </c>
      <c r="EX139" s="139">
        <f t="shared" si="139"/>
        <v>0</v>
      </c>
      <c r="EY139" s="139">
        <f t="shared" si="140"/>
        <v>0</v>
      </c>
      <c r="EZ139" s="139">
        <f t="shared" si="141"/>
        <v>0</v>
      </c>
      <c r="FA139" s="139">
        <f t="shared" si="142"/>
        <v>0</v>
      </c>
      <c r="FB139" s="139">
        <f t="shared" si="143"/>
        <v>0</v>
      </c>
      <c r="FC139" s="139">
        <f t="shared" si="144"/>
        <v>0</v>
      </c>
      <c r="FD139" s="139">
        <f t="shared" si="145"/>
        <v>0</v>
      </c>
      <c r="FE139" s="139">
        <f t="shared" si="146"/>
        <v>0</v>
      </c>
      <c r="FF139" s="139">
        <f t="shared" si="147"/>
        <v>0</v>
      </c>
      <c r="FG139" s="139">
        <f t="shared" si="148"/>
        <v>0</v>
      </c>
      <c r="FH139" s="139">
        <f t="shared" si="149"/>
        <v>0</v>
      </c>
      <c r="FI139" s="139">
        <f t="shared" si="150"/>
        <v>0</v>
      </c>
      <c r="FJ139" s="139">
        <f t="shared" si="151"/>
        <v>0</v>
      </c>
      <c r="FK139" s="139">
        <f t="shared" si="152"/>
        <v>0</v>
      </c>
      <c r="FL139" s="139">
        <f t="shared" si="153"/>
        <v>0</v>
      </c>
      <c r="FM139" s="139">
        <f t="shared" si="154"/>
        <v>0</v>
      </c>
      <c r="FN139" s="139">
        <f t="shared" si="155"/>
        <v>0</v>
      </c>
      <c r="FO139" s="139">
        <f t="shared" si="156"/>
        <v>0</v>
      </c>
      <c r="FP139" s="139">
        <f t="shared" si="157"/>
        <v>0</v>
      </c>
      <c r="FQ139" s="139">
        <f t="shared" si="158"/>
        <v>0</v>
      </c>
      <c r="FR139" s="139">
        <f t="shared" si="159"/>
        <v>0</v>
      </c>
      <c r="FS139" s="139">
        <f t="shared" si="160"/>
        <v>0</v>
      </c>
      <c r="FT139" s="139">
        <f t="shared" si="161"/>
        <v>0</v>
      </c>
      <c r="FU139" s="148">
        <f t="shared" si="162"/>
        <v>0</v>
      </c>
      <c r="FV139" s="149"/>
      <c r="FY139" s="210">
        <v>134</v>
      </c>
      <c r="FZ139">
        <v>0.52454686079360424</v>
      </c>
      <c r="GA139">
        <v>3.7790918429381604</v>
      </c>
      <c r="GB139">
        <v>2.0912094376562771</v>
      </c>
      <c r="GC139">
        <v>3.2739100031157804</v>
      </c>
      <c r="GD139">
        <v>2.7365400125208037</v>
      </c>
      <c r="GE139">
        <v>1.1151269710244875</v>
      </c>
      <c r="GF139">
        <v>0</v>
      </c>
      <c r="GG139">
        <v>1.9240084507667847</v>
      </c>
      <c r="GH139">
        <v>2.6495207003364443</v>
      </c>
      <c r="GI139">
        <v>3.1262681054463974</v>
      </c>
      <c r="GJ139"/>
      <c r="GK139"/>
      <c r="GL139"/>
      <c r="GM139"/>
    </row>
    <row r="140" spans="1:195" s="7" customFormat="1">
      <c r="A140" s="1"/>
      <c r="B140" s="76">
        <f ca="1">IF(C140="", "", RAND())</f>
        <v>0.89588215503195734</v>
      </c>
      <c r="C140">
        <v>3</v>
      </c>
      <c r="D140">
        <v>39799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24.038461538461537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8.4353060134310134</v>
      </c>
      <c r="AO140">
        <v>6.8065971891769097</v>
      </c>
      <c r="AP140">
        <v>41.354993104695389</v>
      </c>
      <c r="AQ140">
        <v>32.739179717567019</v>
      </c>
      <c r="AR140">
        <v>6.2612323585001795</v>
      </c>
      <c r="AS140">
        <v>29.147098214628027</v>
      </c>
      <c r="AT140" t="e">
        <v>#DIV/0!</v>
      </c>
      <c r="AU140" t="e">
        <v>#DIV/0!</v>
      </c>
      <c r="AV140"/>
      <c r="AW140"/>
      <c r="AX140" s="146"/>
      <c r="AY140" s="76">
        <f t="shared" ca="1" si="86"/>
        <v>0.29932031475675736</v>
      </c>
      <c r="AZ140">
        <v>3</v>
      </c>
      <c r="BA140" s="129">
        <f t="shared" si="166"/>
        <v>39799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1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 s="147"/>
      <c r="CH140" s="176"/>
      <c r="CJ140" s="146"/>
      <c r="CK140" s="76">
        <f t="shared" ca="1" si="88"/>
        <v>0.63922499185335302</v>
      </c>
      <c r="CL140" s="179">
        <f t="shared" si="89"/>
        <v>3</v>
      </c>
      <c r="CM140" s="180">
        <f t="shared" si="90"/>
        <v>39799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 s="160"/>
      <c r="CW140" s="178">
        <f>30/13</f>
        <v>2.3076923076923075</v>
      </c>
      <c r="CX140">
        <f>8</f>
        <v>8</v>
      </c>
      <c r="CY140" s="160"/>
      <c r="CZ140" s="177">
        <f t="shared" si="91"/>
        <v>9.6000000000000002E-2</v>
      </c>
      <c r="DB140" s="146"/>
      <c r="DC140" s="76">
        <f t="shared" ca="1" si="49"/>
        <v>0.17691405693187434</v>
      </c>
      <c r="DD140">
        <f t="shared" si="92"/>
        <v>3</v>
      </c>
      <c r="DE140" s="129">
        <f t="shared" si="165"/>
        <v>39799</v>
      </c>
      <c r="DF140" s="161">
        <f t="shared" si="93"/>
        <v>0</v>
      </c>
      <c r="DG140" s="161">
        <f t="shared" si="94"/>
        <v>0</v>
      </c>
      <c r="DH140" s="161">
        <f t="shared" si="95"/>
        <v>0</v>
      </c>
      <c r="DI140" s="161">
        <f t="shared" si="96"/>
        <v>0</v>
      </c>
      <c r="DJ140" s="161">
        <f t="shared" si="97"/>
        <v>0</v>
      </c>
      <c r="DK140" s="161">
        <f t="shared" si="98"/>
        <v>24.038461538461537</v>
      </c>
      <c r="DL140" s="161">
        <f t="shared" si="99"/>
        <v>0</v>
      </c>
      <c r="DM140" s="161">
        <f t="shared" si="100"/>
        <v>0</v>
      </c>
      <c r="DN140" s="161">
        <f t="shared" si="101"/>
        <v>0</v>
      </c>
      <c r="DO140" s="161">
        <f t="shared" si="102"/>
        <v>0</v>
      </c>
      <c r="DP140" s="161">
        <f t="shared" si="103"/>
        <v>0</v>
      </c>
      <c r="DQ140" s="161">
        <f t="shared" si="104"/>
        <v>0</v>
      </c>
      <c r="DR140" s="161">
        <f t="shared" si="105"/>
        <v>0</v>
      </c>
      <c r="DS140" s="161">
        <f t="shared" si="106"/>
        <v>0</v>
      </c>
      <c r="DT140" s="161">
        <f t="shared" si="107"/>
        <v>0</v>
      </c>
      <c r="DU140" s="161">
        <f t="shared" si="108"/>
        <v>0</v>
      </c>
      <c r="DV140" s="161">
        <f t="shared" si="109"/>
        <v>0</v>
      </c>
      <c r="DW140" s="161">
        <f t="shared" si="110"/>
        <v>0</v>
      </c>
      <c r="DX140" s="161">
        <f t="shared" si="111"/>
        <v>0</v>
      </c>
      <c r="DY140" s="161">
        <f t="shared" si="112"/>
        <v>0</v>
      </c>
      <c r="DZ140" s="161">
        <f t="shared" si="113"/>
        <v>0</v>
      </c>
      <c r="EA140" s="161">
        <f t="shared" si="114"/>
        <v>0</v>
      </c>
      <c r="EB140" s="161">
        <f t="shared" si="115"/>
        <v>0</v>
      </c>
      <c r="EC140" s="161">
        <f t="shared" si="116"/>
        <v>0</v>
      </c>
      <c r="ED140" s="161">
        <f t="shared" si="117"/>
        <v>0</v>
      </c>
      <c r="EE140" s="161">
        <f t="shared" si="118"/>
        <v>0</v>
      </c>
      <c r="EF140" s="161">
        <f t="shared" si="119"/>
        <v>0</v>
      </c>
      <c r="EG140" s="161">
        <f t="shared" si="120"/>
        <v>0</v>
      </c>
      <c r="EH140" s="161">
        <f t="shared" si="121"/>
        <v>0</v>
      </c>
      <c r="EI140" s="161">
        <f t="shared" si="122"/>
        <v>0</v>
      </c>
      <c r="EJ140" s="161">
        <f t="shared" si="123"/>
        <v>0</v>
      </c>
      <c r="EK140" s="147">
        <f t="shared" si="130"/>
        <v>24.038461538461537</v>
      </c>
      <c r="EL140" s="149"/>
      <c r="EN140" s="146"/>
      <c r="EO140" s="146"/>
      <c r="EP140" s="139">
        <f t="shared" si="131"/>
        <v>0</v>
      </c>
      <c r="EQ140" s="139">
        <f t="shared" si="132"/>
        <v>0</v>
      </c>
      <c r="ER140" s="139">
        <f t="shared" si="133"/>
        <v>0</v>
      </c>
      <c r="ES140" s="139">
        <f t="shared" si="134"/>
        <v>0</v>
      </c>
      <c r="ET140" s="139">
        <f t="shared" si="135"/>
        <v>0</v>
      </c>
      <c r="EU140" s="139">
        <f t="shared" si="136"/>
        <v>21.560893057484197</v>
      </c>
      <c r="EV140" s="139">
        <f t="shared" si="137"/>
        <v>0</v>
      </c>
      <c r="EW140" s="139">
        <f t="shared" si="138"/>
        <v>0</v>
      </c>
      <c r="EX140" s="139">
        <f t="shared" si="139"/>
        <v>0</v>
      </c>
      <c r="EY140" s="139">
        <f t="shared" si="140"/>
        <v>0</v>
      </c>
      <c r="EZ140" s="139">
        <f t="shared" si="141"/>
        <v>0</v>
      </c>
      <c r="FA140" s="139">
        <f t="shared" si="142"/>
        <v>0</v>
      </c>
      <c r="FB140" s="139">
        <f t="shared" si="143"/>
        <v>0</v>
      </c>
      <c r="FC140" s="139">
        <f t="shared" si="144"/>
        <v>0</v>
      </c>
      <c r="FD140" s="139">
        <f t="shared" si="145"/>
        <v>0</v>
      </c>
      <c r="FE140" s="139">
        <f t="shared" si="146"/>
        <v>0</v>
      </c>
      <c r="FF140" s="139">
        <f t="shared" si="147"/>
        <v>0</v>
      </c>
      <c r="FG140" s="139">
        <f t="shared" si="148"/>
        <v>0</v>
      </c>
      <c r="FH140" s="139">
        <f t="shared" si="149"/>
        <v>0</v>
      </c>
      <c r="FI140" s="139">
        <f t="shared" si="150"/>
        <v>0</v>
      </c>
      <c r="FJ140" s="139">
        <f t="shared" si="151"/>
        <v>0</v>
      </c>
      <c r="FK140" s="139">
        <f t="shared" si="152"/>
        <v>0</v>
      </c>
      <c r="FL140" s="139">
        <f t="shared" si="153"/>
        <v>0</v>
      </c>
      <c r="FM140" s="139">
        <f t="shared" si="154"/>
        <v>0</v>
      </c>
      <c r="FN140" s="139">
        <f t="shared" si="155"/>
        <v>0</v>
      </c>
      <c r="FO140" s="139">
        <f t="shared" si="156"/>
        <v>0</v>
      </c>
      <c r="FP140" s="139">
        <f t="shared" si="157"/>
        <v>0</v>
      </c>
      <c r="FQ140" s="139">
        <f t="shared" si="158"/>
        <v>0</v>
      </c>
      <c r="FR140" s="139">
        <f t="shared" si="159"/>
        <v>0</v>
      </c>
      <c r="FS140" s="139">
        <f t="shared" si="160"/>
        <v>0</v>
      </c>
      <c r="FT140" s="139">
        <f t="shared" si="161"/>
        <v>0</v>
      </c>
      <c r="FU140" s="148">
        <f t="shared" si="162"/>
        <v>21.560893057484197</v>
      </c>
      <c r="FV140" s="149"/>
      <c r="FY140" s="210">
        <v>135</v>
      </c>
      <c r="FZ140">
        <v>0</v>
      </c>
      <c r="GA140">
        <v>3.6313584887231336</v>
      </c>
      <c r="GB140">
        <v>2.3079177687855337</v>
      </c>
      <c r="GC140">
        <v>9.6099246373996898</v>
      </c>
      <c r="GD140">
        <v>7.4756306971493567</v>
      </c>
      <c r="GE140">
        <v>1.1520508883253777</v>
      </c>
      <c r="GF140">
        <v>0.19016497712110106</v>
      </c>
      <c r="GG140">
        <v>0.64907444160511019</v>
      </c>
      <c r="GH140">
        <v>0.66238017508411107</v>
      </c>
      <c r="GI140">
        <v>6.087718054598044</v>
      </c>
      <c r="GJ140"/>
      <c r="GK140"/>
      <c r="GL140"/>
      <c r="GM140"/>
    </row>
    <row r="141" spans="1:195" s="7" customFormat="1">
      <c r="A141" s="1"/>
      <c r="B141" s="76">
        <f ca="1">IF(C141="", "", RAND())</f>
        <v>0.1903929844204244</v>
      </c>
      <c r="C141">
        <v>4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8.2443337912087902</v>
      </c>
      <c r="AO141">
        <v>6.587527149226827</v>
      </c>
      <c r="AP141">
        <v>30.821358221624461</v>
      </c>
      <c r="AQ141">
        <v>27.059420636017339</v>
      </c>
      <c r="AR141">
        <v>6.0580133975075245</v>
      </c>
      <c r="AS141">
        <v>27.355528463631074</v>
      </c>
      <c r="AT141" t="e">
        <v>#DIV/0!</v>
      </c>
      <c r="AU141" t="e">
        <v>#DIV/0!</v>
      </c>
      <c r="AV141"/>
      <c r="AW141"/>
      <c r="AX141" s="146"/>
      <c r="AY141" s="76">
        <f t="shared" ca="1" si="86"/>
        <v>0.72363202094940338</v>
      </c>
      <c r="AZ141">
        <v>4</v>
      </c>
      <c r="BA141" s="129">
        <f t="shared" si="166"/>
        <v>39799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 s="147"/>
      <c r="CH141" s="176"/>
      <c r="CJ141" s="146"/>
      <c r="CK141" s="76">
        <f t="shared" ca="1" si="88"/>
        <v>0.29772597488834429</v>
      </c>
      <c r="CL141" s="179">
        <f t="shared" si="89"/>
        <v>4</v>
      </c>
      <c r="CM141" s="180">
        <f t="shared" si="90"/>
        <v>39799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1"/>
        <v>9.6000000000000002E-2</v>
      </c>
      <c r="DB141" s="146"/>
      <c r="DC141" s="76">
        <f t="shared" ca="1" si="49"/>
        <v>5.3068682070468221E-2</v>
      </c>
      <c r="DD141">
        <f t="shared" si="92"/>
        <v>4</v>
      </c>
      <c r="DE141" s="129">
        <f t="shared" si="165"/>
        <v>39799</v>
      </c>
      <c r="DF141" s="161">
        <f t="shared" si="93"/>
        <v>0</v>
      </c>
      <c r="DG141" s="161">
        <f t="shared" si="94"/>
        <v>0</v>
      </c>
      <c r="DH141" s="161">
        <f t="shared" si="95"/>
        <v>0</v>
      </c>
      <c r="DI141" s="161">
        <f t="shared" si="96"/>
        <v>0</v>
      </c>
      <c r="DJ141" s="161">
        <f t="shared" si="97"/>
        <v>0</v>
      </c>
      <c r="DK141" s="161">
        <f t="shared" si="98"/>
        <v>0</v>
      </c>
      <c r="DL141" s="161">
        <f t="shared" si="99"/>
        <v>0</v>
      </c>
      <c r="DM141" s="161">
        <f t="shared" si="100"/>
        <v>0</v>
      </c>
      <c r="DN141" s="161">
        <f t="shared" si="101"/>
        <v>0</v>
      </c>
      <c r="DO141" s="161">
        <f t="shared" si="102"/>
        <v>0</v>
      </c>
      <c r="DP141" s="161">
        <f t="shared" si="103"/>
        <v>0</v>
      </c>
      <c r="DQ141" s="161">
        <f t="shared" si="104"/>
        <v>0</v>
      </c>
      <c r="DR141" s="161">
        <f t="shared" si="105"/>
        <v>0</v>
      </c>
      <c r="DS141" s="161">
        <f t="shared" si="106"/>
        <v>0</v>
      </c>
      <c r="DT141" s="161">
        <f t="shared" si="107"/>
        <v>0</v>
      </c>
      <c r="DU141" s="161">
        <f t="shared" si="108"/>
        <v>0</v>
      </c>
      <c r="DV141" s="161">
        <f t="shared" si="109"/>
        <v>0</v>
      </c>
      <c r="DW141" s="161">
        <f t="shared" si="110"/>
        <v>0</v>
      </c>
      <c r="DX141" s="161">
        <f t="shared" si="111"/>
        <v>0</v>
      </c>
      <c r="DY141" s="161">
        <f t="shared" si="112"/>
        <v>0</v>
      </c>
      <c r="DZ141" s="161">
        <f t="shared" si="113"/>
        <v>0</v>
      </c>
      <c r="EA141" s="161">
        <f t="shared" si="114"/>
        <v>0</v>
      </c>
      <c r="EB141" s="161">
        <f t="shared" si="115"/>
        <v>0</v>
      </c>
      <c r="EC141" s="161">
        <f t="shared" si="116"/>
        <v>0</v>
      </c>
      <c r="ED141" s="161">
        <f t="shared" si="117"/>
        <v>0</v>
      </c>
      <c r="EE141" s="161">
        <f t="shared" si="118"/>
        <v>0</v>
      </c>
      <c r="EF141" s="161">
        <f t="shared" si="119"/>
        <v>0</v>
      </c>
      <c r="EG141" s="161">
        <f t="shared" si="120"/>
        <v>0</v>
      </c>
      <c r="EH141" s="161">
        <f t="shared" si="121"/>
        <v>0</v>
      </c>
      <c r="EI141" s="161">
        <f t="shared" si="122"/>
        <v>0</v>
      </c>
      <c r="EJ141" s="161">
        <f t="shared" si="123"/>
        <v>0</v>
      </c>
      <c r="EK141" s="147">
        <f t="shared" si="130"/>
        <v>0</v>
      </c>
      <c r="EL141" s="149"/>
      <c r="EN141" s="146"/>
      <c r="EO141" s="146"/>
      <c r="EP141" s="139">
        <f t="shared" si="131"/>
        <v>0</v>
      </c>
      <c r="EQ141" s="139">
        <f t="shared" si="132"/>
        <v>0</v>
      </c>
      <c r="ER141" s="139">
        <f t="shared" si="133"/>
        <v>0</v>
      </c>
      <c r="ES141" s="139">
        <f t="shared" si="134"/>
        <v>0</v>
      </c>
      <c r="ET141" s="139">
        <f t="shared" si="135"/>
        <v>0</v>
      </c>
      <c r="EU141" s="139">
        <f t="shared" si="136"/>
        <v>0</v>
      </c>
      <c r="EV141" s="139">
        <f t="shared" si="137"/>
        <v>0</v>
      </c>
      <c r="EW141" s="139">
        <f t="shared" si="138"/>
        <v>0</v>
      </c>
      <c r="EX141" s="139">
        <f t="shared" si="139"/>
        <v>0</v>
      </c>
      <c r="EY141" s="139">
        <f t="shared" si="140"/>
        <v>0</v>
      </c>
      <c r="EZ141" s="139">
        <f t="shared" si="141"/>
        <v>0</v>
      </c>
      <c r="FA141" s="139">
        <f t="shared" si="142"/>
        <v>0</v>
      </c>
      <c r="FB141" s="139">
        <f t="shared" si="143"/>
        <v>0</v>
      </c>
      <c r="FC141" s="139">
        <f t="shared" si="144"/>
        <v>0</v>
      </c>
      <c r="FD141" s="139">
        <f t="shared" si="145"/>
        <v>0</v>
      </c>
      <c r="FE141" s="139">
        <f t="shared" si="146"/>
        <v>0</v>
      </c>
      <c r="FF141" s="139">
        <f t="shared" si="147"/>
        <v>0</v>
      </c>
      <c r="FG141" s="139">
        <f t="shared" si="148"/>
        <v>0</v>
      </c>
      <c r="FH141" s="139">
        <f t="shared" si="149"/>
        <v>0</v>
      </c>
      <c r="FI141" s="139">
        <f t="shared" si="150"/>
        <v>0</v>
      </c>
      <c r="FJ141" s="139">
        <f t="shared" si="151"/>
        <v>0</v>
      </c>
      <c r="FK141" s="139">
        <f t="shared" si="152"/>
        <v>0</v>
      </c>
      <c r="FL141" s="139">
        <f t="shared" si="153"/>
        <v>0</v>
      </c>
      <c r="FM141" s="139">
        <f t="shared" si="154"/>
        <v>0</v>
      </c>
      <c r="FN141" s="139">
        <f t="shared" si="155"/>
        <v>0</v>
      </c>
      <c r="FO141" s="139">
        <f t="shared" si="156"/>
        <v>0</v>
      </c>
      <c r="FP141" s="139">
        <f t="shared" si="157"/>
        <v>0</v>
      </c>
      <c r="FQ141" s="139">
        <f t="shared" si="158"/>
        <v>0</v>
      </c>
      <c r="FR141" s="139">
        <f t="shared" si="159"/>
        <v>0</v>
      </c>
      <c r="FS141" s="139">
        <f t="shared" si="160"/>
        <v>0</v>
      </c>
      <c r="FT141" s="139">
        <f t="shared" si="161"/>
        <v>0</v>
      </c>
      <c r="FU141" s="148">
        <f t="shared" si="162"/>
        <v>0</v>
      </c>
      <c r="FV141" s="149"/>
      <c r="FY141" s="210">
        <v>136</v>
      </c>
      <c r="FZ141">
        <v>0.49136377600840619</v>
      </c>
      <c r="GA141">
        <v>0.70544152511878155</v>
      </c>
      <c r="GB141">
        <v>0.63600067038054287</v>
      </c>
      <c r="GC141">
        <v>6.1417532798978032</v>
      </c>
      <c r="GD141">
        <v>5.4781076364370671</v>
      </c>
      <c r="GE141">
        <v>2.9473687614251594</v>
      </c>
      <c r="GF141">
        <v>1.6417162346207288</v>
      </c>
      <c r="GG141">
        <v>2.1152956537287446</v>
      </c>
      <c r="GH141">
        <v>1.9871405252523333</v>
      </c>
      <c r="GI141">
        <v>4.9237180798478049</v>
      </c>
      <c r="GJ141"/>
      <c r="GK141"/>
      <c r="GL141"/>
      <c r="GM141"/>
    </row>
    <row r="142" spans="1:195" s="7" customFormat="1">
      <c r="A142" s="1"/>
      <c r="B142" s="76">
        <f ca="1">IF(C142="", "", RAND())</f>
        <v>0.68473627312556373</v>
      </c>
      <c r="C142">
        <v>8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7.2338789682539657</v>
      </c>
      <c r="AO142">
        <v>8.3852893892350746</v>
      </c>
      <c r="AP142">
        <v>27.142411635073664</v>
      </c>
      <c r="AQ142">
        <v>27.401280549294999</v>
      </c>
      <c r="AR142">
        <v>7.7256963659752884</v>
      </c>
      <c r="AS142">
        <v>30.908560362181586</v>
      </c>
      <c r="AT142" t="e">
        <v>#DIV/0!</v>
      </c>
      <c r="AU142" t="e">
        <v>#DIV/0!</v>
      </c>
      <c r="AV142"/>
      <c r="AW142"/>
      <c r="AX142" s="146"/>
      <c r="AY142" s="76">
        <f t="shared" ca="1" si="86"/>
        <v>0.22671404061720857</v>
      </c>
      <c r="AZ142">
        <v>5</v>
      </c>
      <c r="BA142" s="129">
        <f t="shared" si="166"/>
        <v>39799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 s="147"/>
      <c r="CH142" s="176"/>
      <c r="CJ142" s="146"/>
      <c r="CK142" s="76">
        <f t="shared" ca="1" si="88"/>
        <v>0.8151373119134151</v>
      </c>
      <c r="CL142" s="179">
        <f t="shared" si="89"/>
        <v>5</v>
      </c>
      <c r="CM142" s="180">
        <f t="shared" si="90"/>
        <v>39799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 s="160"/>
      <c r="CW142">
        <v>1</v>
      </c>
      <c r="CX142">
        <f>350/52</f>
        <v>6.7307692307692308</v>
      </c>
      <c r="CY142" s="160"/>
      <c r="CZ142" s="177">
        <f t="shared" si="91"/>
        <v>9.6000000000000002E-2</v>
      </c>
      <c r="DB142" s="146"/>
      <c r="DC142" s="76">
        <f t="shared" ca="1" si="49"/>
        <v>0.81070716909242369</v>
      </c>
      <c r="DD142">
        <f t="shared" si="92"/>
        <v>5</v>
      </c>
      <c r="DE142" s="129">
        <f t="shared" si="165"/>
        <v>39799</v>
      </c>
      <c r="DF142" s="161">
        <f t="shared" si="93"/>
        <v>0</v>
      </c>
      <c r="DG142" s="161">
        <f t="shared" si="94"/>
        <v>0</v>
      </c>
      <c r="DH142" s="161">
        <f t="shared" si="95"/>
        <v>0</v>
      </c>
      <c r="DI142" s="161">
        <f t="shared" si="96"/>
        <v>0</v>
      </c>
      <c r="DJ142" s="161">
        <f t="shared" si="97"/>
        <v>0</v>
      </c>
      <c r="DK142" s="161">
        <f t="shared" si="98"/>
        <v>0</v>
      </c>
      <c r="DL142" s="161">
        <f t="shared" si="99"/>
        <v>0</v>
      </c>
      <c r="DM142" s="161">
        <f t="shared" si="100"/>
        <v>0</v>
      </c>
      <c r="DN142" s="161">
        <f t="shared" si="101"/>
        <v>0</v>
      </c>
      <c r="DO142" s="161">
        <f t="shared" si="102"/>
        <v>0</v>
      </c>
      <c r="DP142" s="161">
        <f t="shared" si="103"/>
        <v>0</v>
      </c>
      <c r="DQ142" s="161">
        <f t="shared" si="104"/>
        <v>0</v>
      </c>
      <c r="DR142" s="161">
        <f t="shared" si="105"/>
        <v>0</v>
      </c>
      <c r="DS142" s="161">
        <f t="shared" si="106"/>
        <v>0</v>
      </c>
      <c r="DT142" s="161">
        <f t="shared" si="107"/>
        <v>0</v>
      </c>
      <c r="DU142" s="161">
        <f t="shared" si="108"/>
        <v>0</v>
      </c>
      <c r="DV142" s="161">
        <f t="shared" si="109"/>
        <v>0</v>
      </c>
      <c r="DW142" s="161">
        <f t="shared" si="110"/>
        <v>0</v>
      </c>
      <c r="DX142" s="161">
        <f t="shared" si="111"/>
        <v>0</v>
      </c>
      <c r="DY142" s="161">
        <f t="shared" si="112"/>
        <v>0</v>
      </c>
      <c r="DZ142" s="161">
        <f t="shared" si="113"/>
        <v>0</v>
      </c>
      <c r="EA142" s="161">
        <f t="shared" si="114"/>
        <v>0</v>
      </c>
      <c r="EB142" s="161">
        <f t="shared" si="115"/>
        <v>0</v>
      </c>
      <c r="EC142" s="161">
        <f t="shared" si="116"/>
        <v>0</v>
      </c>
      <c r="ED142" s="161">
        <f t="shared" si="117"/>
        <v>0</v>
      </c>
      <c r="EE142" s="161">
        <f t="shared" si="118"/>
        <v>0</v>
      </c>
      <c r="EF142" s="161">
        <f t="shared" si="119"/>
        <v>0</v>
      </c>
      <c r="EG142" s="161">
        <f t="shared" si="120"/>
        <v>0</v>
      </c>
      <c r="EH142" s="161">
        <f t="shared" si="121"/>
        <v>0</v>
      </c>
      <c r="EI142" s="161">
        <f t="shared" si="122"/>
        <v>0</v>
      </c>
      <c r="EJ142" s="161">
        <f t="shared" si="123"/>
        <v>0</v>
      </c>
      <c r="EK142" s="147">
        <f t="shared" si="130"/>
        <v>0</v>
      </c>
      <c r="EL142" s="149"/>
      <c r="EN142" s="146"/>
      <c r="EO142" s="146"/>
      <c r="EP142" s="139">
        <f t="shared" si="131"/>
        <v>0</v>
      </c>
      <c r="EQ142" s="139">
        <f t="shared" si="132"/>
        <v>0</v>
      </c>
      <c r="ER142" s="139">
        <f t="shared" si="133"/>
        <v>0</v>
      </c>
      <c r="ES142" s="139">
        <f t="shared" si="134"/>
        <v>0</v>
      </c>
      <c r="ET142" s="139">
        <f t="shared" si="135"/>
        <v>0</v>
      </c>
      <c r="EU142" s="139">
        <f t="shared" si="136"/>
        <v>0</v>
      </c>
      <c r="EV142" s="139">
        <f t="shared" si="137"/>
        <v>0</v>
      </c>
      <c r="EW142" s="139">
        <f t="shared" si="138"/>
        <v>0</v>
      </c>
      <c r="EX142" s="139">
        <f t="shared" si="139"/>
        <v>0</v>
      </c>
      <c r="EY142" s="139">
        <f t="shared" si="140"/>
        <v>0</v>
      </c>
      <c r="EZ142" s="139">
        <f t="shared" si="141"/>
        <v>0</v>
      </c>
      <c r="FA142" s="139">
        <f t="shared" si="142"/>
        <v>0</v>
      </c>
      <c r="FB142" s="139">
        <f t="shared" si="143"/>
        <v>0</v>
      </c>
      <c r="FC142" s="139">
        <f t="shared" si="144"/>
        <v>0</v>
      </c>
      <c r="FD142" s="139">
        <f t="shared" si="145"/>
        <v>0</v>
      </c>
      <c r="FE142" s="139">
        <f t="shared" si="146"/>
        <v>0</v>
      </c>
      <c r="FF142" s="139">
        <f t="shared" si="147"/>
        <v>0</v>
      </c>
      <c r="FG142" s="139">
        <f t="shared" si="148"/>
        <v>0</v>
      </c>
      <c r="FH142" s="139">
        <f t="shared" si="149"/>
        <v>0</v>
      </c>
      <c r="FI142" s="139">
        <f t="shared" si="150"/>
        <v>0</v>
      </c>
      <c r="FJ142" s="139">
        <f t="shared" si="151"/>
        <v>0</v>
      </c>
      <c r="FK142" s="139">
        <f t="shared" si="152"/>
        <v>0</v>
      </c>
      <c r="FL142" s="139">
        <f t="shared" si="153"/>
        <v>0</v>
      </c>
      <c r="FM142" s="139">
        <f t="shared" si="154"/>
        <v>0</v>
      </c>
      <c r="FN142" s="139">
        <f t="shared" si="155"/>
        <v>0</v>
      </c>
      <c r="FO142" s="139">
        <f t="shared" si="156"/>
        <v>0</v>
      </c>
      <c r="FP142" s="139">
        <f t="shared" si="157"/>
        <v>0</v>
      </c>
      <c r="FQ142" s="139">
        <f t="shared" si="158"/>
        <v>0</v>
      </c>
      <c r="FR142" s="139">
        <f t="shared" si="159"/>
        <v>0</v>
      </c>
      <c r="FS142" s="139">
        <f t="shared" si="160"/>
        <v>0</v>
      </c>
      <c r="FT142" s="139">
        <f t="shared" si="161"/>
        <v>0</v>
      </c>
      <c r="FU142" s="148">
        <f t="shared" si="162"/>
        <v>0</v>
      </c>
      <c r="FV142" s="149"/>
      <c r="FY142" s="210">
        <v>137</v>
      </c>
      <c r="FZ142">
        <v>0.2456818880042031</v>
      </c>
      <c r="GA142">
        <v>3.6809580425192587</v>
      </c>
      <c r="GB142">
        <v>1.6340692443867142</v>
      </c>
      <c r="GC142">
        <v>3.3030147104269485</v>
      </c>
      <c r="GD142">
        <v>3.3588056590195468</v>
      </c>
      <c r="GE142">
        <v>2.3941892202005963</v>
      </c>
      <c r="GF142">
        <v>0.88105632613632445</v>
      </c>
      <c r="GG142">
        <v>0.96200422538339236</v>
      </c>
      <c r="GH142">
        <v>1.3247603501682221</v>
      </c>
      <c r="GI142">
        <v>3.1951650880684235</v>
      </c>
      <c r="GJ142"/>
      <c r="GK142"/>
      <c r="GL142"/>
      <c r="GM142"/>
    </row>
    <row r="143" spans="1:195" s="7" customFormat="1">
      <c r="A143" s="1"/>
      <c r="B143" s="76">
        <f ca="1">IF(C143="", "", RAND())</f>
        <v>0.99099411499277146</v>
      </c>
      <c r="C143">
        <v>2</v>
      </c>
      <c r="D143">
        <v>39799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7.038728632478632</v>
      </c>
      <c r="AO143">
        <v>9.6485606715736107</v>
      </c>
      <c r="AP143">
        <v>22.838642658220639</v>
      </c>
      <c r="AQ143">
        <v>27.450112190212678</v>
      </c>
      <c r="AR143">
        <v>8.9504273391220863</v>
      </c>
      <c r="AS143">
        <v>48.645480227696957</v>
      </c>
      <c r="AT143" t="e">
        <v>#DIV/0!</v>
      </c>
      <c r="AU143" t="e">
        <v>#DIV/0!</v>
      </c>
      <c r="AV143"/>
      <c r="AW143"/>
      <c r="AX143" s="146"/>
      <c r="AY143" s="76">
        <f t="shared" ca="1" si="86"/>
        <v>9.1287180977691174E-2</v>
      </c>
      <c r="AZ143">
        <v>6</v>
      </c>
      <c r="BA143" s="129">
        <f t="shared" si="166"/>
        <v>39799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1</v>
      </c>
      <c r="BH143">
        <v>1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 s="147"/>
      <c r="CH143" s="176"/>
      <c r="CJ143" s="146"/>
      <c r="CK143" s="76">
        <f t="shared" ca="1" si="88"/>
        <v>7.9224976787983792E-4</v>
      </c>
      <c r="CL143" s="179">
        <f t="shared" si="89"/>
        <v>6</v>
      </c>
      <c r="CM143" s="180">
        <f t="shared" si="90"/>
        <v>39799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 s="160"/>
      <c r="CW143">
        <v>1</v>
      </c>
      <c r="CX143">
        <v>1</v>
      </c>
      <c r="CY143" s="160"/>
      <c r="CZ143" s="177">
        <f t="shared" si="91"/>
        <v>9.6000000000000002E-2</v>
      </c>
      <c r="DB143" s="146"/>
      <c r="DC143" s="76">
        <f t="shared" ca="1" si="49"/>
        <v>0.85509276739170326</v>
      </c>
      <c r="DD143">
        <f t="shared" si="92"/>
        <v>6</v>
      </c>
      <c r="DE143" s="129">
        <f t="shared" si="165"/>
        <v>39799</v>
      </c>
      <c r="DF143" s="161">
        <f t="shared" si="93"/>
        <v>0</v>
      </c>
      <c r="DG143" s="161">
        <f t="shared" si="94"/>
        <v>0</v>
      </c>
      <c r="DH143" s="161">
        <f t="shared" si="95"/>
        <v>0</v>
      </c>
      <c r="DI143" s="161">
        <f t="shared" si="96"/>
        <v>0</v>
      </c>
      <c r="DJ143" s="161">
        <f t="shared" si="97"/>
        <v>0</v>
      </c>
      <c r="DK143" s="161">
        <f t="shared" si="98"/>
        <v>10.416666666666666</v>
      </c>
      <c r="DL143" s="161">
        <f t="shared" si="99"/>
        <v>10.416666666666666</v>
      </c>
      <c r="DM143" s="161">
        <f t="shared" si="100"/>
        <v>0</v>
      </c>
      <c r="DN143" s="161">
        <f t="shared" si="101"/>
        <v>0</v>
      </c>
      <c r="DO143" s="161">
        <f t="shared" si="102"/>
        <v>0</v>
      </c>
      <c r="DP143" s="161">
        <f t="shared" si="103"/>
        <v>0</v>
      </c>
      <c r="DQ143" s="161">
        <f t="shared" si="104"/>
        <v>0</v>
      </c>
      <c r="DR143" s="161">
        <f t="shared" si="105"/>
        <v>0</v>
      </c>
      <c r="DS143" s="161">
        <f t="shared" si="106"/>
        <v>0</v>
      </c>
      <c r="DT143" s="161">
        <f t="shared" si="107"/>
        <v>0</v>
      </c>
      <c r="DU143" s="161">
        <f t="shared" si="108"/>
        <v>0</v>
      </c>
      <c r="DV143" s="161">
        <f t="shared" si="109"/>
        <v>0</v>
      </c>
      <c r="DW143" s="161">
        <f t="shared" si="110"/>
        <v>0</v>
      </c>
      <c r="DX143" s="161">
        <f t="shared" si="111"/>
        <v>0</v>
      </c>
      <c r="DY143" s="161">
        <f t="shared" si="112"/>
        <v>0</v>
      </c>
      <c r="DZ143" s="161">
        <f t="shared" si="113"/>
        <v>0</v>
      </c>
      <c r="EA143" s="161">
        <f t="shared" si="114"/>
        <v>0</v>
      </c>
      <c r="EB143" s="161">
        <f t="shared" si="115"/>
        <v>0</v>
      </c>
      <c r="EC143" s="161">
        <f t="shared" si="116"/>
        <v>0</v>
      </c>
      <c r="ED143" s="161">
        <f t="shared" si="117"/>
        <v>0</v>
      </c>
      <c r="EE143" s="161">
        <f t="shared" si="118"/>
        <v>0</v>
      </c>
      <c r="EF143" s="161">
        <f t="shared" si="119"/>
        <v>0</v>
      </c>
      <c r="EG143" s="161">
        <f t="shared" si="120"/>
        <v>0</v>
      </c>
      <c r="EH143" s="161">
        <f t="shared" si="121"/>
        <v>0</v>
      </c>
      <c r="EI143" s="161">
        <f t="shared" si="122"/>
        <v>0</v>
      </c>
      <c r="EJ143" s="161">
        <f t="shared" si="123"/>
        <v>0</v>
      </c>
      <c r="EK143" s="147">
        <f t="shared" si="130"/>
        <v>20.833333333333332</v>
      </c>
      <c r="EL143" s="149"/>
      <c r="EN143" s="146"/>
      <c r="EO143" s="146"/>
      <c r="EP143" s="139">
        <f t="shared" si="131"/>
        <v>0</v>
      </c>
      <c r="EQ143" s="139">
        <f t="shared" si="132"/>
        <v>0</v>
      </c>
      <c r="ER143" s="139">
        <f t="shared" si="133"/>
        <v>0</v>
      </c>
      <c r="ES143" s="139">
        <f t="shared" si="134"/>
        <v>0</v>
      </c>
      <c r="ET143" s="139">
        <f t="shared" si="135"/>
        <v>0</v>
      </c>
      <c r="EU143" s="139">
        <f t="shared" si="136"/>
        <v>9.3430536582431518</v>
      </c>
      <c r="EV143" s="139">
        <f t="shared" si="137"/>
        <v>15.818462950080853</v>
      </c>
      <c r="EW143" s="139">
        <f t="shared" si="138"/>
        <v>0</v>
      </c>
      <c r="EX143" s="139">
        <f t="shared" si="139"/>
        <v>0</v>
      </c>
      <c r="EY143" s="139">
        <f t="shared" si="140"/>
        <v>0</v>
      </c>
      <c r="EZ143" s="139">
        <f t="shared" si="141"/>
        <v>0</v>
      </c>
      <c r="FA143" s="139">
        <f t="shared" si="142"/>
        <v>0</v>
      </c>
      <c r="FB143" s="139">
        <f t="shared" si="143"/>
        <v>0</v>
      </c>
      <c r="FC143" s="139">
        <f t="shared" si="144"/>
        <v>0</v>
      </c>
      <c r="FD143" s="139">
        <f t="shared" si="145"/>
        <v>0</v>
      </c>
      <c r="FE143" s="139">
        <f t="shared" si="146"/>
        <v>0</v>
      </c>
      <c r="FF143" s="139">
        <f t="shared" si="147"/>
        <v>0</v>
      </c>
      <c r="FG143" s="139">
        <f t="shared" si="148"/>
        <v>0</v>
      </c>
      <c r="FH143" s="139">
        <f t="shared" si="149"/>
        <v>0</v>
      </c>
      <c r="FI143" s="139">
        <f t="shared" si="150"/>
        <v>0</v>
      </c>
      <c r="FJ143" s="139">
        <f t="shared" si="151"/>
        <v>0</v>
      </c>
      <c r="FK143" s="139">
        <f t="shared" si="152"/>
        <v>0</v>
      </c>
      <c r="FL143" s="139">
        <f t="shared" si="153"/>
        <v>0</v>
      </c>
      <c r="FM143" s="139">
        <f t="shared" si="154"/>
        <v>0</v>
      </c>
      <c r="FN143" s="139">
        <f t="shared" si="155"/>
        <v>0</v>
      </c>
      <c r="FO143" s="139">
        <f t="shared" si="156"/>
        <v>0</v>
      </c>
      <c r="FP143" s="139">
        <f t="shared" si="157"/>
        <v>0</v>
      </c>
      <c r="FQ143" s="139">
        <f t="shared" si="158"/>
        <v>0</v>
      </c>
      <c r="FR143" s="139">
        <f t="shared" si="159"/>
        <v>0</v>
      </c>
      <c r="FS143" s="139">
        <f t="shared" si="160"/>
        <v>0</v>
      </c>
      <c r="FT143" s="139">
        <f t="shared" si="161"/>
        <v>0</v>
      </c>
      <c r="FU143" s="148">
        <f t="shared" si="162"/>
        <v>25.161516608324007</v>
      </c>
      <c r="FV143" s="149"/>
      <c r="FY143" s="210">
        <v>138</v>
      </c>
      <c r="FZ143">
        <v>0.77022874879780745</v>
      </c>
      <c r="GA143">
        <v>2.7301753909355115</v>
      </c>
      <c r="GB143">
        <v>1.4530352925739001</v>
      </c>
      <c r="GC143">
        <v>9.6130218953621824</v>
      </c>
      <c r="GD143">
        <v>7.8151154345201475</v>
      </c>
      <c r="GE143">
        <v>2.936718132291809</v>
      </c>
      <c r="GF143">
        <v>1.7621126522726489</v>
      </c>
      <c r="GG143">
        <v>1.4430063380750886</v>
      </c>
      <c r="GH143">
        <v>1.9871405252523333</v>
      </c>
      <c r="GI143">
        <v>6.7501617986393052</v>
      </c>
      <c r="GJ143"/>
      <c r="GK143"/>
      <c r="GL143"/>
      <c r="GM143"/>
    </row>
    <row r="144" spans="1:195" s="7" customFormat="1">
      <c r="A144" s="1"/>
      <c r="B144" s="76">
        <f ca="1">IF(C144="", "", RAND())</f>
        <v>0.48253504604291919</v>
      </c>
      <c r="C144">
        <v>5</v>
      </c>
      <c r="D144">
        <v>39799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9.1285103785103772</v>
      </c>
      <c r="AO144">
        <v>11.475802194069315</v>
      </c>
      <c r="AP144">
        <v>34.350679840294731</v>
      </c>
      <c r="AQ144">
        <v>35.649718159182974</v>
      </c>
      <c r="AR144">
        <v>10.645456580769311</v>
      </c>
      <c r="AS144">
        <v>59.305999247388272</v>
      </c>
      <c r="AT144" t="e">
        <v>#DIV/0!</v>
      </c>
      <c r="AU144" t="e">
        <v>#DIV/0!</v>
      </c>
      <c r="AV144"/>
      <c r="AW144"/>
      <c r="AX144" s="146"/>
      <c r="AY144" s="76">
        <f t="shared" ca="1" si="86"/>
        <v>0.75921493044207455</v>
      </c>
      <c r="AZ144">
        <v>7</v>
      </c>
      <c r="BA144" s="129">
        <f t="shared" si="166"/>
        <v>39799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 s="147"/>
      <c r="CH144" s="176"/>
      <c r="CJ144" s="146"/>
      <c r="CK144" s="76">
        <f t="shared" ca="1" si="88"/>
        <v>0.15069997103087207</v>
      </c>
      <c r="CL144" s="179">
        <f t="shared" si="89"/>
        <v>7</v>
      </c>
      <c r="CM144" s="180">
        <f t="shared" si="90"/>
        <v>39799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 s="160"/>
      <c r="CW144">
        <v>1</v>
      </c>
      <c r="CX144">
        <f>350/60</f>
        <v>5.833333333333333</v>
      </c>
      <c r="CY144" s="165"/>
      <c r="CZ144" s="177">
        <f t="shared" si="91"/>
        <v>9.6000000000000002E-2</v>
      </c>
      <c r="DB144" s="146"/>
      <c r="DC144" s="76">
        <f t="shared" ca="1" si="49"/>
        <v>0.79985827122235453</v>
      </c>
      <c r="DD144">
        <f t="shared" si="92"/>
        <v>7</v>
      </c>
      <c r="DE144" s="129">
        <f t="shared" si="165"/>
        <v>39799</v>
      </c>
      <c r="DF144" s="161">
        <f t="shared" si="93"/>
        <v>0</v>
      </c>
      <c r="DG144" s="161">
        <f t="shared" si="94"/>
        <v>0</v>
      </c>
      <c r="DH144" s="161">
        <f t="shared" si="95"/>
        <v>0</v>
      </c>
      <c r="DI144" s="161">
        <f t="shared" si="96"/>
        <v>0</v>
      </c>
      <c r="DJ144" s="161">
        <f t="shared" si="97"/>
        <v>0</v>
      </c>
      <c r="DK144" s="161">
        <f t="shared" si="98"/>
        <v>0</v>
      </c>
      <c r="DL144" s="161">
        <f t="shared" si="99"/>
        <v>0</v>
      </c>
      <c r="DM144" s="161">
        <f t="shared" si="100"/>
        <v>0</v>
      </c>
      <c r="DN144" s="161">
        <f t="shared" si="101"/>
        <v>0</v>
      </c>
      <c r="DO144" s="161">
        <f t="shared" si="102"/>
        <v>0</v>
      </c>
      <c r="DP144" s="161">
        <f t="shared" si="103"/>
        <v>0</v>
      </c>
      <c r="DQ144" s="161">
        <f t="shared" si="104"/>
        <v>0</v>
      </c>
      <c r="DR144" s="161">
        <f t="shared" si="105"/>
        <v>0</v>
      </c>
      <c r="DS144" s="161">
        <f t="shared" si="106"/>
        <v>0</v>
      </c>
      <c r="DT144" s="161">
        <f t="shared" si="107"/>
        <v>0</v>
      </c>
      <c r="DU144" s="161">
        <f t="shared" si="108"/>
        <v>0</v>
      </c>
      <c r="DV144" s="161">
        <f t="shared" si="109"/>
        <v>0</v>
      </c>
      <c r="DW144" s="161">
        <f t="shared" si="110"/>
        <v>0</v>
      </c>
      <c r="DX144" s="161">
        <f t="shared" si="111"/>
        <v>0</v>
      </c>
      <c r="DY144" s="161">
        <f t="shared" si="112"/>
        <v>0</v>
      </c>
      <c r="DZ144" s="161">
        <f t="shared" si="113"/>
        <v>0</v>
      </c>
      <c r="EA144" s="161">
        <f t="shared" si="114"/>
        <v>0</v>
      </c>
      <c r="EB144" s="161">
        <f t="shared" si="115"/>
        <v>0</v>
      </c>
      <c r="EC144" s="161">
        <f t="shared" si="116"/>
        <v>0</v>
      </c>
      <c r="ED144" s="161">
        <f t="shared" si="117"/>
        <v>0</v>
      </c>
      <c r="EE144" s="161">
        <f t="shared" si="118"/>
        <v>0</v>
      </c>
      <c r="EF144" s="161">
        <f t="shared" si="119"/>
        <v>0</v>
      </c>
      <c r="EG144" s="161">
        <f t="shared" si="120"/>
        <v>0</v>
      </c>
      <c r="EH144" s="161">
        <f t="shared" si="121"/>
        <v>0</v>
      </c>
      <c r="EI144" s="161">
        <f t="shared" si="122"/>
        <v>0</v>
      </c>
      <c r="EJ144" s="161">
        <f t="shared" si="123"/>
        <v>0</v>
      </c>
      <c r="EK144" s="147">
        <f t="shared" si="130"/>
        <v>0</v>
      </c>
      <c r="EL144" s="149"/>
      <c r="EN144" s="146"/>
      <c r="EO144" s="146"/>
      <c r="EP144" s="139">
        <f t="shared" si="131"/>
        <v>0</v>
      </c>
      <c r="EQ144" s="139">
        <f t="shared" si="132"/>
        <v>0</v>
      </c>
      <c r="ER144" s="139">
        <f t="shared" si="133"/>
        <v>0</v>
      </c>
      <c r="ES144" s="139">
        <f t="shared" si="134"/>
        <v>0</v>
      </c>
      <c r="ET144" s="139">
        <f t="shared" si="135"/>
        <v>0</v>
      </c>
      <c r="EU144" s="139">
        <f t="shared" si="136"/>
        <v>0</v>
      </c>
      <c r="EV144" s="139">
        <f t="shared" si="137"/>
        <v>0</v>
      </c>
      <c r="EW144" s="139">
        <f t="shared" si="138"/>
        <v>0</v>
      </c>
      <c r="EX144" s="139">
        <f t="shared" si="139"/>
        <v>0</v>
      </c>
      <c r="EY144" s="139">
        <f t="shared" si="140"/>
        <v>0</v>
      </c>
      <c r="EZ144" s="139">
        <f t="shared" si="141"/>
        <v>0</v>
      </c>
      <c r="FA144" s="139">
        <f t="shared" si="142"/>
        <v>0</v>
      </c>
      <c r="FB144" s="139">
        <f t="shared" si="143"/>
        <v>0</v>
      </c>
      <c r="FC144" s="139">
        <f t="shared" si="144"/>
        <v>0</v>
      </c>
      <c r="FD144" s="139">
        <f t="shared" si="145"/>
        <v>0</v>
      </c>
      <c r="FE144" s="139">
        <f t="shared" si="146"/>
        <v>0</v>
      </c>
      <c r="FF144" s="139">
        <f t="shared" si="147"/>
        <v>0</v>
      </c>
      <c r="FG144" s="139">
        <f t="shared" si="148"/>
        <v>0</v>
      </c>
      <c r="FH144" s="139">
        <f t="shared" si="149"/>
        <v>0</v>
      </c>
      <c r="FI144" s="139">
        <f t="shared" si="150"/>
        <v>0</v>
      </c>
      <c r="FJ144" s="139">
        <f t="shared" si="151"/>
        <v>0</v>
      </c>
      <c r="FK144" s="139">
        <f t="shared" si="152"/>
        <v>0</v>
      </c>
      <c r="FL144" s="139">
        <f t="shared" si="153"/>
        <v>0</v>
      </c>
      <c r="FM144" s="139">
        <f t="shared" si="154"/>
        <v>0</v>
      </c>
      <c r="FN144" s="139">
        <f t="shared" si="155"/>
        <v>0</v>
      </c>
      <c r="FO144" s="139">
        <f t="shared" si="156"/>
        <v>0</v>
      </c>
      <c r="FP144" s="139">
        <f t="shared" si="157"/>
        <v>0</v>
      </c>
      <c r="FQ144" s="139">
        <f t="shared" si="158"/>
        <v>0</v>
      </c>
      <c r="FR144" s="139">
        <f t="shared" si="159"/>
        <v>0</v>
      </c>
      <c r="FS144" s="139">
        <f t="shared" si="160"/>
        <v>0</v>
      </c>
      <c r="FT144" s="139">
        <f t="shared" si="161"/>
        <v>0</v>
      </c>
      <c r="FU144" s="148">
        <f t="shared" si="162"/>
        <v>0</v>
      </c>
      <c r="FV144" s="149"/>
      <c r="FY144" s="210">
        <v>139</v>
      </c>
      <c r="FZ144">
        <v>0.52454686079360424</v>
      </c>
      <c r="GA144">
        <v>0.7446838337854581</v>
      </c>
      <c r="GB144">
        <v>0.63600067038054287</v>
      </c>
      <c r="GC144">
        <v>2.8491494761717009</v>
      </c>
      <c r="GD144">
        <v>2.1498228167365232</v>
      </c>
      <c r="GE144">
        <v>0.52502351249903412</v>
      </c>
      <c r="GF144">
        <v>0.5704949313633032</v>
      </c>
      <c r="GG144">
        <v>0.98521909943193808</v>
      </c>
      <c r="GH144">
        <v>0.66238017508411107</v>
      </c>
      <c r="GI144">
        <v>2.056091417423255</v>
      </c>
      <c r="GJ144"/>
      <c r="GK144"/>
      <c r="GL144"/>
      <c r="GM144"/>
    </row>
    <row r="145" spans="1:195" s="7" customFormat="1">
      <c r="A145" s="1"/>
      <c r="B145" s="76">
        <f ca="1">IF(C145="", "", RAND())</f>
        <v>0.86946394451911324</v>
      </c>
      <c r="C145">
        <v>1</v>
      </c>
      <c r="D145">
        <v>39799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5.8137400793650791</v>
      </c>
      <c r="AO145">
        <v>4.0178299205674257</v>
      </c>
      <c r="AP145">
        <v>16.63745489702184</v>
      </c>
      <c r="AQ145">
        <v>15.855033497368732</v>
      </c>
      <c r="AR145">
        <v>3.6742497345581717</v>
      </c>
      <c r="AS145">
        <v>20.195244563288369</v>
      </c>
      <c r="AT145" t="e">
        <v>#DIV/0!</v>
      </c>
      <c r="AU145" t="e">
        <v>#DIV/0!</v>
      </c>
      <c r="AV145"/>
      <c r="AW145"/>
      <c r="AX145" s="146"/>
      <c r="AY145" s="76">
        <f t="shared" ca="1" si="86"/>
        <v>0.51953141022478011</v>
      </c>
      <c r="AZ145">
        <v>8</v>
      </c>
      <c r="BA145" s="129">
        <f t="shared" si="166"/>
        <v>39799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 s="147"/>
      <c r="CH145" s="176"/>
      <c r="CJ145" s="146"/>
      <c r="CK145" s="76">
        <f t="shared" ca="1" si="88"/>
        <v>0.54379772564694129</v>
      </c>
      <c r="CL145" s="179">
        <f t="shared" si="89"/>
        <v>8</v>
      </c>
      <c r="CM145" s="180">
        <f t="shared" si="90"/>
        <v>39799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 s="160"/>
      <c r="CW145">
        <v>1</v>
      </c>
      <c r="CX145">
        <f>350/49</f>
        <v>7.1428571428571432</v>
      </c>
      <c r="CY145" s="165"/>
      <c r="CZ145" s="177">
        <f t="shared" si="91"/>
        <v>9.6000000000000002E-2</v>
      </c>
      <c r="DB145" s="146"/>
      <c r="DC145" s="76">
        <f t="shared" ca="1" si="49"/>
        <v>0.34438742098584973</v>
      </c>
      <c r="DD145">
        <f t="shared" si="92"/>
        <v>8</v>
      </c>
      <c r="DE145" s="129">
        <f t="shared" si="165"/>
        <v>39799</v>
      </c>
      <c r="DF145" s="161">
        <f t="shared" si="93"/>
        <v>0</v>
      </c>
      <c r="DG145" s="161">
        <f t="shared" si="94"/>
        <v>0</v>
      </c>
      <c r="DH145" s="161">
        <f t="shared" si="95"/>
        <v>0</v>
      </c>
      <c r="DI145" s="161">
        <f t="shared" si="96"/>
        <v>0</v>
      </c>
      <c r="DJ145" s="161">
        <f t="shared" si="97"/>
        <v>0</v>
      </c>
      <c r="DK145" s="161">
        <f t="shared" si="98"/>
        <v>0</v>
      </c>
      <c r="DL145" s="161">
        <f t="shared" si="99"/>
        <v>0</v>
      </c>
      <c r="DM145" s="161">
        <f t="shared" si="100"/>
        <v>0</v>
      </c>
      <c r="DN145" s="161">
        <f t="shared" si="101"/>
        <v>0</v>
      </c>
      <c r="DO145" s="161">
        <f t="shared" si="102"/>
        <v>0</v>
      </c>
      <c r="DP145" s="161">
        <f t="shared" si="103"/>
        <v>0</v>
      </c>
      <c r="DQ145" s="161">
        <f t="shared" si="104"/>
        <v>0</v>
      </c>
      <c r="DR145" s="161">
        <f t="shared" si="105"/>
        <v>0</v>
      </c>
      <c r="DS145" s="161">
        <f t="shared" si="106"/>
        <v>0</v>
      </c>
      <c r="DT145" s="161">
        <f t="shared" si="107"/>
        <v>0</v>
      </c>
      <c r="DU145" s="161">
        <f t="shared" si="108"/>
        <v>0</v>
      </c>
      <c r="DV145" s="161">
        <f t="shared" si="109"/>
        <v>0</v>
      </c>
      <c r="DW145" s="161">
        <f t="shared" si="110"/>
        <v>0</v>
      </c>
      <c r="DX145" s="161">
        <f t="shared" si="111"/>
        <v>0</v>
      </c>
      <c r="DY145" s="161">
        <f t="shared" si="112"/>
        <v>0</v>
      </c>
      <c r="DZ145" s="161">
        <f t="shared" si="113"/>
        <v>0</v>
      </c>
      <c r="EA145" s="161">
        <f t="shared" si="114"/>
        <v>0</v>
      </c>
      <c r="EB145" s="161">
        <f t="shared" si="115"/>
        <v>0</v>
      </c>
      <c r="EC145" s="161">
        <f t="shared" si="116"/>
        <v>0</v>
      </c>
      <c r="ED145" s="161">
        <f t="shared" si="117"/>
        <v>0</v>
      </c>
      <c r="EE145" s="161">
        <f t="shared" si="118"/>
        <v>0</v>
      </c>
      <c r="EF145" s="161">
        <f t="shared" si="119"/>
        <v>0</v>
      </c>
      <c r="EG145" s="161">
        <f t="shared" si="120"/>
        <v>0</v>
      </c>
      <c r="EH145" s="161">
        <f t="shared" si="121"/>
        <v>0</v>
      </c>
      <c r="EI145" s="161">
        <f t="shared" si="122"/>
        <v>0</v>
      </c>
      <c r="EJ145" s="161">
        <f t="shared" si="123"/>
        <v>0</v>
      </c>
      <c r="EK145" s="147">
        <f t="shared" si="130"/>
        <v>0</v>
      </c>
      <c r="EL145" s="149"/>
      <c r="EN145" s="146"/>
      <c r="EO145" s="146"/>
      <c r="EP145" s="139">
        <f t="shared" si="131"/>
        <v>0</v>
      </c>
      <c r="EQ145" s="139">
        <f t="shared" si="132"/>
        <v>0</v>
      </c>
      <c r="ER145" s="139">
        <f t="shared" si="133"/>
        <v>0</v>
      </c>
      <c r="ES145" s="139">
        <f t="shared" si="134"/>
        <v>0</v>
      </c>
      <c r="ET145" s="139">
        <f t="shared" si="135"/>
        <v>0</v>
      </c>
      <c r="EU145" s="139">
        <f t="shared" si="136"/>
        <v>0</v>
      </c>
      <c r="EV145" s="139">
        <f t="shared" si="137"/>
        <v>0</v>
      </c>
      <c r="EW145" s="139">
        <f t="shared" si="138"/>
        <v>0</v>
      </c>
      <c r="EX145" s="139">
        <f t="shared" si="139"/>
        <v>0</v>
      </c>
      <c r="EY145" s="139">
        <f t="shared" si="140"/>
        <v>0</v>
      </c>
      <c r="EZ145" s="139">
        <f t="shared" si="141"/>
        <v>0</v>
      </c>
      <c r="FA145" s="139">
        <f t="shared" si="142"/>
        <v>0</v>
      </c>
      <c r="FB145" s="139">
        <f t="shared" si="143"/>
        <v>0</v>
      </c>
      <c r="FC145" s="139">
        <f t="shared" si="144"/>
        <v>0</v>
      </c>
      <c r="FD145" s="139">
        <f t="shared" si="145"/>
        <v>0</v>
      </c>
      <c r="FE145" s="139">
        <f t="shared" si="146"/>
        <v>0</v>
      </c>
      <c r="FF145" s="139">
        <f t="shared" si="147"/>
        <v>0</v>
      </c>
      <c r="FG145" s="139">
        <f t="shared" si="148"/>
        <v>0</v>
      </c>
      <c r="FH145" s="139">
        <f t="shared" si="149"/>
        <v>0</v>
      </c>
      <c r="FI145" s="139">
        <f t="shared" si="150"/>
        <v>0</v>
      </c>
      <c r="FJ145" s="139">
        <f t="shared" si="151"/>
        <v>0</v>
      </c>
      <c r="FK145" s="139">
        <f t="shared" si="152"/>
        <v>0</v>
      </c>
      <c r="FL145" s="139">
        <f t="shared" si="153"/>
        <v>0</v>
      </c>
      <c r="FM145" s="139">
        <f t="shared" si="154"/>
        <v>0</v>
      </c>
      <c r="FN145" s="139">
        <f t="shared" si="155"/>
        <v>0</v>
      </c>
      <c r="FO145" s="139">
        <f t="shared" si="156"/>
        <v>0</v>
      </c>
      <c r="FP145" s="139">
        <f t="shared" si="157"/>
        <v>0</v>
      </c>
      <c r="FQ145" s="139">
        <f t="shared" si="158"/>
        <v>0</v>
      </c>
      <c r="FR145" s="139">
        <f t="shared" si="159"/>
        <v>0</v>
      </c>
      <c r="FS145" s="139">
        <f t="shared" si="160"/>
        <v>0</v>
      </c>
      <c r="FT145" s="139">
        <f t="shared" si="161"/>
        <v>0</v>
      </c>
      <c r="FU145" s="148">
        <f t="shared" si="162"/>
        <v>0</v>
      </c>
      <c r="FV145" s="149"/>
      <c r="FY145" s="210">
        <v>140</v>
      </c>
      <c r="FZ145">
        <v>0.77022874879780745</v>
      </c>
      <c r="GA145">
        <v>6.7169935340710047</v>
      </c>
      <c r="GB145">
        <v>3.3285207523270586</v>
      </c>
      <c r="GC145">
        <v>11.190564774516844</v>
      </c>
      <c r="GD145">
        <v>8.9528041342973026</v>
      </c>
      <c r="GE145">
        <v>2.3941892202005963</v>
      </c>
      <c r="GF145">
        <v>1.0712213032574254</v>
      </c>
      <c r="GG145">
        <v>1.1300765542968063</v>
      </c>
      <c r="GH145">
        <v>1.3247603501682221</v>
      </c>
      <c r="GI145">
        <v>7.9277553264938092</v>
      </c>
      <c r="GJ145"/>
      <c r="GK145"/>
      <c r="GL145"/>
      <c r="GM145"/>
    </row>
    <row r="146" spans="1:195" s="7" customFormat="1">
      <c r="A146" s="1"/>
      <c r="B146" s="76">
        <f ca="1">IF(C146="", "", RAND())</f>
        <v>0.12295936799931795</v>
      </c>
      <c r="C146">
        <v>10</v>
      </c>
      <c r="D146">
        <v>39799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6.7465659340659325</v>
      </c>
      <c r="AO146">
        <v>4.0628429611952628</v>
      </c>
      <c r="AP146">
        <v>21.073296006583782</v>
      </c>
      <c r="AQ146">
        <v>19.146264603718951</v>
      </c>
      <c r="AR146">
        <v>3.7688710215169414</v>
      </c>
      <c r="AS146">
        <v>20.561699470638629</v>
      </c>
      <c r="AT146" t="e">
        <v>#DIV/0!</v>
      </c>
      <c r="AU146" t="e">
        <v>#DIV/0!</v>
      </c>
      <c r="AV146"/>
      <c r="AW146"/>
      <c r="AX146" s="146"/>
      <c r="AY146" s="76">
        <f t="shared" ca="1" si="86"/>
        <v>0.57934887522513212</v>
      </c>
      <c r="AZ146">
        <v>9</v>
      </c>
      <c r="BA146" s="129">
        <f t="shared" si="166"/>
        <v>39799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1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 s="147"/>
      <c r="CH146" s="176"/>
      <c r="CJ146" s="146"/>
      <c r="CK146" s="76">
        <f t="shared" ca="1" si="88"/>
        <v>4.2471834754837179E-2</v>
      </c>
      <c r="CL146" s="179">
        <f t="shared" si="89"/>
        <v>9</v>
      </c>
      <c r="CM146" s="180">
        <f t="shared" si="90"/>
        <v>39799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 s="160"/>
      <c r="CW146">
        <v>1</v>
      </c>
      <c r="CX146">
        <f>475/86</f>
        <v>5.5232558139534884</v>
      </c>
      <c r="CY146" s="165"/>
      <c r="CZ146" s="177">
        <f t="shared" si="91"/>
        <v>9.6000000000000002E-2</v>
      </c>
      <c r="DB146" s="146"/>
      <c r="DC146" s="76">
        <f t="shared" ca="1" si="49"/>
        <v>0.52105995838750019</v>
      </c>
      <c r="DD146">
        <f t="shared" si="92"/>
        <v>9</v>
      </c>
      <c r="DE146" s="129">
        <f t="shared" si="165"/>
        <v>39799</v>
      </c>
      <c r="DF146" s="161">
        <f t="shared" si="93"/>
        <v>0</v>
      </c>
      <c r="DG146" s="161">
        <f t="shared" si="94"/>
        <v>0</v>
      </c>
      <c r="DH146" s="161">
        <f t="shared" si="95"/>
        <v>0</v>
      </c>
      <c r="DI146" s="161">
        <f t="shared" si="96"/>
        <v>0</v>
      </c>
      <c r="DJ146" s="161">
        <f t="shared" si="97"/>
        <v>0</v>
      </c>
      <c r="DK146" s="161">
        <f t="shared" si="98"/>
        <v>0</v>
      </c>
      <c r="DL146" s="161">
        <f t="shared" si="99"/>
        <v>10.416666666666666</v>
      </c>
      <c r="DM146" s="161">
        <f t="shared" si="100"/>
        <v>0</v>
      </c>
      <c r="DN146" s="161">
        <f t="shared" si="101"/>
        <v>0</v>
      </c>
      <c r="DO146" s="161">
        <f t="shared" si="102"/>
        <v>0</v>
      </c>
      <c r="DP146" s="161">
        <f t="shared" si="103"/>
        <v>0</v>
      </c>
      <c r="DQ146" s="161">
        <f t="shared" si="104"/>
        <v>0</v>
      </c>
      <c r="DR146" s="161">
        <f t="shared" si="105"/>
        <v>0</v>
      </c>
      <c r="DS146" s="161">
        <f t="shared" si="106"/>
        <v>0</v>
      </c>
      <c r="DT146" s="161">
        <f t="shared" si="107"/>
        <v>0</v>
      </c>
      <c r="DU146" s="161">
        <f t="shared" si="108"/>
        <v>0</v>
      </c>
      <c r="DV146" s="161">
        <f t="shared" si="109"/>
        <v>0</v>
      </c>
      <c r="DW146" s="161">
        <f t="shared" si="110"/>
        <v>0</v>
      </c>
      <c r="DX146" s="161">
        <f t="shared" si="111"/>
        <v>0</v>
      </c>
      <c r="DY146" s="161">
        <f t="shared" si="112"/>
        <v>0</v>
      </c>
      <c r="DZ146" s="161">
        <f t="shared" si="113"/>
        <v>0</v>
      </c>
      <c r="EA146" s="161">
        <f t="shared" si="114"/>
        <v>0</v>
      </c>
      <c r="EB146" s="161">
        <f t="shared" si="115"/>
        <v>0</v>
      </c>
      <c r="EC146" s="161">
        <f t="shared" si="116"/>
        <v>0</v>
      </c>
      <c r="ED146" s="161">
        <f t="shared" si="117"/>
        <v>0</v>
      </c>
      <c r="EE146" s="161">
        <f t="shared" si="118"/>
        <v>0</v>
      </c>
      <c r="EF146" s="161">
        <f t="shared" si="119"/>
        <v>0</v>
      </c>
      <c r="EG146" s="161">
        <f t="shared" si="120"/>
        <v>0</v>
      </c>
      <c r="EH146" s="161">
        <f t="shared" si="121"/>
        <v>0</v>
      </c>
      <c r="EI146" s="161">
        <f t="shared" si="122"/>
        <v>0</v>
      </c>
      <c r="EJ146" s="161">
        <f t="shared" si="123"/>
        <v>0</v>
      </c>
      <c r="EK146" s="147">
        <f t="shared" si="130"/>
        <v>10.416666666666666</v>
      </c>
      <c r="EL146" s="149"/>
      <c r="EN146" s="146"/>
      <c r="EO146" s="146"/>
      <c r="EP146" s="139">
        <f t="shared" si="131"/>
        <v>0</v>
      </c>
      <c r="EQ146" s="139">
        <f t="shared" si="132"/>
        <v>0</v>
      </c>
      <c r="ER146" s="139">
        <f t="shared" si="133"/>
        <v>0</v>
      </c>
      <c r="ES146" s="139">
        <f t="shared" si="134"/>
        <v>0</v>
      </c>
      <c r="ET146" s="139">
        <f t="shared" si="135"/>
        <v>0</v>
      </c>
      <c r="EU146" s="139">
        <f t="shared" si="136"/>
        <v>0</v>
      </c>
      <c r="EV146" s="139">
        <f t="shared" si="137"/>
        <v>15.818462950080853</v>
      </c>
      <c r="EW146" s="139">
        <f t="shared" si="138"/>
        <v>0</v>
      </c>
      <c r="EX146" s="139">
        <f t="shared" si="139"/>
        <v>0</v>
      </c>
      <c r="EY146" s="139">
        <f t="shared" si="140"/>
        <v>0</v>
      </c>
      <c r="EZ146" s="139">
        <f t="shared" si="141"/>
        <v>0</v>
      </c>
      <c r="FA146" s="139">
        <f t="shared" si="142"/>
        <v>0</v>
      </c>
      <c r="FB146" s="139">
        <f t="shared" si="143"/>
        <v>0</v>
      </c>
      <c r="FC146" s="139">
        <f t="shared" si="144"/>
        <v>0</v>
      </c>
      <c r="FD146" s="139">
        <f t="shared" si="145"/>
        <v>0</v>
      </c>
      <c r="FE146" s="139">
        <f t="shared" si="146"/>
        <v>0</v>
      </c>
      <c r="FF146" s="139">
        <f t="shared" si="147"/>
        <v>0</v>
      </c>
      <c r="FG146" s="139">
        <f t="shared" si="148"/>
        <v>0</v>
      </c>
      <c r="FH146" s="139">
        <f t="shared" si="149"/>
        <v>0</v>
      </c>
      <c r="FI146" s="139">
        <f t="shared" si="150"/>
        <v>0</v>
      </c>
      <c r="FJ146" s="139">
        <f t="shared" si="151"/>
        <v>0</v>
      </c>
      <c r="FK146" s="139">
        <f t="shared" si="152"/>
        <v>0</v>
      </c>
      <c r="FL146" s="139">
        <f t="shared" si="153"/>
        <v>0</v>
      </c>
      <c r="FM146" s="139">
        <f t="shared" si="154"/>
        <v>0</v>
      </c>
      <c r="FN146" s="139">
        <f t="shared" si="155"/>
        <v>0</v>
      </c>
      <c r="FO146" s="139">
        <f t="shared" si="156"/>
        <v>0</v>
      </c>
      <c r="FP146" s="139">
        <f t="shared" si="157"/>
        <v>0</v>
      </c>
      <c r="FQ146" s="139">
        <f t="shared" si="158"/>
        <v>0</v>
      </c>
      <c r="FR146" s="139">
        <f t="shared" si="159"/>
        <v>0</v>
      </c>
      <c r="FS146" s="139">
        <f t="shared" si="160"/>
        <v>0</v>
      </c>
      <c r="FT146" s="139">
        <f t="shared" si="161"/>
        <v>0</v>
      </c>
      <c r="FU146" s="148">
        <f t="shared" si="162"/>
        <v>15.818462950080853</v>
      </c>
      <c r="FV146" s="149"/>
      <c r="FY146" s="210">
        <v>141</v>
      </c>
      <c r="FZ146">
        <v>0.27886497278940114</v>
      </c>
      <c r="GA146">
        <v>2.9978584900584182</v>
      </c>
      <c r="GB146">
        <v>2.433616947395314</v>
      </c>
      <c r="GC146">
        <v>7.1377371802505776</v>
      </c>
      <c r="GD146">
        <v>5.3381260447025936</v>
      </c>
      <c r="GE146">
        <v>1.0131231076971783</v>
      </c>
      <c r="GF146">
        <v>0.5704949313633032</v>
      </c>
      <c r="GG146">
        <v>2.4282254375070265</v>
      </c>
      <c r="GH146">
        <v>2.6495207003364443</v>
      </c>
      <c r="GI146">
        <v>5.1763924231666287</v>
      </c>
      <c r="GJ146"/>
      <c r="GK146"/>
      <c r="GL146"/>
      <c r="GM146"/>
    </row>
    <row r="147" spans="1:195" s="7" customFormat="1">
      <c r="A147" s="1"/>
      <c r="B147" s="76">
        <f ca="1">IF(C147="", "", RAND())</f>
        <v>0.82338448617354398</v>
      </c>
      <c r="C147">
        <v>6</v>
      </c>
      <c r="D147">
        <v>39799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10.416666666666666</v>
      </c>
      <c r="K147">
        <v>10.416666666666666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8.9981684981684982</v>
      </c>
      <c r="AO147">
        <v>10.194880933414185</v>
      </c>
      <c r="AP147">
        <v>38.310841774698495</v>
      </c>
      <c r="AQ147">
        <v>35.981861727562176</v>
      </c>
      <c r="AR147">
        <v>9.3514874953494935</v>
      </c>
      <c r="AS147">
        <v>37.971063386411956</v>
      </c>
      <c r="AT147" t="e">
        <v>#DIV/0!</v>
      </c>
      <c r="AU147" t="e">
        <v>#DIV/0!</v>
      </c>
      <c r="AV147"/>
      <c r="AW147"/>
      <c r="AX147" s="146"/>
      <c r="AY147" s="76">
        <f t="shared" ca="1" si="86"/>
        <v>0.18050017984928224</v>
      </c>
      <c r="AZ147">
        <v>10</v>
      </c>
      <c r="BA147" s="129">
        <f t="shared" si="166"/>
        <v>39799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 s="147"/>
      <c r="CH147" s="176"/>
      <c r="CJ147" s="146"/>
      <c r="CK147" s="76">
        <f t="shared" ca="1" si="88"/>
        <v>2.0999156087168735E-2</v>
      </c>
      <c r="CL147" s="179">
        <f t="shared" si="89"/>
        <v>10</v>
      </c>
      <c r="CM147" s="180">
        <f t="shared" si="90"/>
        <v>39799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 s="160"/>
      <c r="CW147">
        <v>1</v>
      </c>
      <c r="CX147">
        <v>1</v>
      </c>
      <c r="CY147" s="165"/>
      <c r="CZ147" s="177">
        <f t="shared" si="91"/>
        <v>9.6000000000000002E-2</v>
      </c>
      <c r="DB147" s="146"/>
      <c r="DC147" s="76">
        <f t="shared" ca="1" si="49"/>
        <v>0.17873140708839697</v>
      </c>
      <c r="DD147">
        <f t="shared" si="92"/>
        <v>10</v>
      </c>
      <c r="DE147" s="129">
        <f t="shared" si="165"/>
        <v>39799</v>
      </c>
      <c r="DF147" s="161">
        <f t="shared" si="93"/>
        <v>0</v>
      </c>
      <c r="DG147" s="161">
        <f t="shared" si="94"/>
        <v>0</v>
      </c>
      <c r="DH147" s="161">
        <f t="shared" si="95"/>
        <v>0</v>
      </c>
      <c r="DI147" s="161">
        <f t="shared" si="96"/>
        <v>0</v>
      </c>
      <c r="DJ147" s="161">
        <f t="shared" si="97"/>
        <v>0</v>
      </c>
      <c r="DK147" s="161">
        <f t="shared" si="98"/>
        <v>0</v>
      </c>
      <c r="DL147" s="161">
        <f t="shared" si="99"/>
        <v>0</v>
      </c>
      <c r="DM147" s="161">
        <f t="shared" si="100"/>
        <v>0</v>
      </c>
      <c r="DN147" s="161">
        <f t="shared" si="101"/>
        <v>0</v>
      </c>
      <c r="DO147" s="161">
        <f t="shared" si="102"/>
        <v>0</v>
      </c>
      <c r="DP147" s="161">
        <f t="shared" si="103"/>
        <v>0</v>
      </c>
      <c r="DQ147" s="161">
        <f t="shared" si="104"/>
        <v>0</v>
      </c>
      <c r="DR147" s="161">
        <f t="shared" si="105"/>
        <v>0</v>
      </c>
      <c r="DS147" s="161">
        <f t="shared" si="106"/>
        <v>0</v>
      </c>
      <c r="DT147" s="161">
        <f t="shared" si="107"/>
        <v>0</v>
      </c>
      <c r="DU147" s="161">
        <f t="shared" si="108"/>
        <v>0</v>
      </c>
      <c r="DV147" s="161">
        <f t="shared" si="109"/>
        <v>0</v>
      </c>
      <c r="DW147" s="161">
        <f t="shared" si="110"/>
        <v>0</v>
      </c>
      <c r="DX147" s="161">
        <f t="shared" si="111"/>
        <v>0</v>
      </c>
      <c r="DY147" s="161">
        <f t="shared" si="112"/>
        <v>0</v>
      </c>
      <c r="DZ147" s="161">
        <f t="shared" si="113"/>
        <v>0</v>
      </c>
      <c r="EA147" s="161">
        <f t="shared" si="114"/>
        <v>0</v>
      </c>
      <c r="EB147" s="161">
        <f t="shared" si="115"/>
        <v>0</v>
      </c>
      <c r="EC147" s="161">
        <f t="shared" si="116"/>
        <v>0</v>
      </c>
      <c r="ED147" s="161">
        <f t="shared" si="117"/>
        <v>0</v>
      </c>
      <c r="EE147" s="161">
        <f t="shared" si="118"/>
        <v>0</v>
      </c>
      <c r="EF147" s="161">
        <f t="shared" si="119"/>
        <v>0</v>
      </c>
      <c r="EG147" s="161">
        <f t="shared" si="120"/>
        <v>0</v>
      </c>
      <c r="EH147" s="161">
        <f t="shared" si="121"/>
        <v>0</v>
      </c>
      <c r="EI147" s="161">
        <f t="shared" si="122"/>
        <v>0</v>
      </c>
      <c r="EJ147" s="161">
        <f t="shared" si="123"/>
        <v>0</v>
      </c>
      <c r="EK147" s="147">
        <f t="shared" si="130"/>
        <v>0</v>
      </c>
      <c r="EL147" s="149"/>
      <c r="EN147" s="146"/>
      <c r="EO147" s="146"/>
      <c r="EP147" s="139">
        <f t="shared" si="131"/>
        <v>0</v>
      </c>
      <c r="EQ147" s="139">
        <f t="shared" si="132"/>
        <v>0</v>
      </c>
      <c r="ER147" s="139">
        <f t="shared" si="133"/>
        <v>0</v>
      </c>
      <c r="ES147" s="139">
        <f t="shared" si="134"/>
        <v>0</v>
      </c>
      <c r="ET147" s="139">
        <f t="shared" si="135"/>
        <v>0</v>
      </c>
      <c r="EU147" s="139">
        <f t="shared" si="136"/>
        <v>0</v>
      </c>
      <c r="EV147" s="139">
        <f t="shared" si="137"/>
        <v>0</v>
      </c>
      <c r="EW147" s="139">
        <f t="shared" si="138"/>
        <v>0</v>
      </c>
      <c r="EX147" s="139">
        <f t="shared" si="139"/>
        <v>0</v>
      </c>
      <c r="EY147" s="139">
        <f t="shared" si="140"/>
        <v>0</v>
      </c>
      <c r="EZ147" s="139">
        <f t="shared" si="141"/>
        <v>0</v>
      </c>
      <c r="FA147" s="139">
        <f t="shared" si="142"/>
        <v>0</v>
      </c>
      <c r="FB147" s="139">
        <f t="shared" si="143"/>
        <v>0</v>
      </c>
      <c r="FC147" s="139">
        <f t="shared" si="144"/>
        <v>0</v>
      </c>
      <c r="FD147" s="139">
        <f t="shared" si="145"/>
        <v>0</v>
      </c>
      <c r="FE147" s="139">
        <f t="shared" si="146"/>
        <v>0</v>
      </c>
      <c r="FF147" s="139">
        <f t="shared" si="147"/>
        <v>0</v>
      </c>
      <c r="FG147" s="139">
        <f t="shared" si="148"/>
        <v>0</v>
      </c>
      <c r="FH147" s="139">
        <f t="shared" si="149"/>
        <v>0</v>
      </c>
      <c r="FI147" s="139">
        <f t="shared" si="150"/>
        <v>0</v>
      </c>
      <c r="FJ147" s="139">
        <f t="shared" si="151"/>
        <v>0</v>
      </c>
      <c r="FK147" s="139">
        <f t="shared" si="152"/>
        <v>0</v>
      </c>
      <c r="FL147" s="139">
        <f t="shared" si="153"/>
        <v>0</v>
      </c>
      <c r="FM147" s="139">
        <f t="shared" si="154"/>
        <v>0</v>
      </c>
      <c r="FN147" s="139">
        <f t="shared" si="155"/>
        <v>0</v>
      </c>
      <c r="FO147" s="139">
        <f t="shared" si="156"/>
        <v>0</v>
      </c>
      <c r="FP147" s="139">
        <f t="shared" si="157"/>
        <v>0</v>
      </c>
      <c r="FQ147" s="139">
        <f t="shared" si="158"/>
        <v>0</v>
      </c>
      <c r="FR147" s="139">
        <f t="shared" si="159"/>
        <v>0</v>
      </c>
      <c r="FS147" s="139">
        <f t="shared" si="160"/>
        <v>0</v>
      </c>
      <c r="FT147" s="139">
        <f t="shared" si="161"/>
        <v>0</v>
      </c>
      <c r="FU147" s="148">
        <f t="shared" si="162"/>
        <v>0</v>
      </c>
      <c r="FV147" s="149"/>
      <c r="FY147" s="210">
        <v>142</v>
      </c>
      <c r="FZ147">
        <v>0.73704566401260951</v>
      </c>
      <c r="GA147">
        <v>4.8672506036074861</v>
      </c>
      <c r="GB147">
        <v>1.9015739323906893</v>
      </c>
      <c r="GC147">
        <v>9.9076316955521246</v>
      </c>
      <c r="GD147">
        <v>7.9571540525370219</v>
      </c>
      <c r="GE147">
        <v>1.32663679561035</v>
      </c>
      <c r="GF147">
        <v>0.5704949313633032</v>
      </c>
      <c r="GG147">
        <v>1.9472233248153306</v>
      </c>
      <c r="GH147">
        <v>1.9871405252523333</v>
      </c>
      <c r="GI147">
        <v>6.7855773745402335</v>
      </c>
      <c r="GJ147"/>
      <c r="GK147"/>
      <c r="GL147"/>
      <c r="GM147"/>
    </row>
    <row r="148" spans="1:195" s="7" customFormat="1">
      <c r="A148" s="128"/>
      <c r="B148" s="76" t="str">
        <f ca="1">IF(C148="", "", RAND())</f>
        <v/>
      </c>
      <c r="C148" t="s">
        <v>104</v>
      </c>
      <c r="D148" t="s">
        <v>104</v>
      </c>
      <c r="E148" t="s">
        <v>104</v>
      </c>
      <c r="F148" t="s">
        <v>104</v>
      </c>
      <c r="G148" t="s">
        <v>104</v>
      </c>
      <c r="H148" t="s">
        <v>104</v>
      </c>
      <c r="I148" t="s">
        <v>104</v>
      </c>
      <c r="J148" t="s">
        <v>104</v>
      </c>
      <c r="K148" t="s">
        <v>104</v>
      </c>
      <c r="L148" t="s">
        <v>104</v>
      </c>
      <c r="M148" t="s">
        <v>104</v>
      </c>
      <c r="N148" t="s">
        <v>104</v>
      </c>
      <c r="O148" t="s">
        <v>104</v>
      </c>
      <c r="P148" t="s">
        <v>104</v>
      </c>
      <c r="Q148" t="s">
        <v>104</v>
      </c>
      <c r="R148" t="s">
        <v>104</v>
      </c>
      <c r="S148" t="s">
        <v>104</v>
      </c>
      <c r="T148" t="s">
        <v>104</v>
      </c>
      <c r="U148" t="s">
        <v>104</v>
      </c>
      <c r="V148" t="s">
        <v>104</v>
      </c>
      <c r="W148" t="s">
        <v>104</v>
      </c>
      <c r="X148" t="s">
        <v>104</v>
      </c>
      <c r="Y148" t="s">
        <v>104</v>
      </c>
      <c r="Z148" t="s">
        <v>104</v>
      </c>
      <c r="AA148" t="s">
        <v>104</v>
      </c>
      <c r="AB148" t="s">
        <v>104</v>
      </c>
      <c r="AC148" t="s">
        <v>104</v>
      </c>
      <c r="AD148" t="s">
        <v>104</v>
      </c>
      <c r="AE148" t="s">
        <v>104</v>
      </c>
      <c r="AF148" t="s">
        <v>104</v>
      </c>
      <c r="AG148" t="s">
        <v>104</v>
      </c>
      <c r="AH148" t="s">
        <v>104</v>
      </c>
      <c r="AI148" t="s">
        <v>104</v>
      </c>
      <c r="AJ148" s="2"/>
      <c r="AK148" s="80"/>
      <c r="AL148" s="74">
        <v>3.0028000000000028</v>
      </c>
      <c r="AM148" s="43">
        <v>132</v>
      </c>
      <c r="AN148">
        <v>12.103708791208792</v>
      </c>
      <c r="AO148">
        <v>13.726944174794093</v>
      </c>
      <c r="AP148">
        <v>47.131479807971004</v>
      </c>
      <c r="AQ148">
        <v>46.484026538864676</v>
      </c>
      <c r="AR148">
        <v>12.627984008688928</v>
      </c>
      <c r="AS148">
        <v>76.106626506581449</v>
      </c>
      <c r="AT148" t="e">
        <v>#DIV/0!</v>
      </c>
      <c r="AU148" t="e">
        <v>#DIV/0!</v>
      </c>
      <c r="AV148"/>
      <c r="AW148"/>
      <c r="AX148" s="128"/>
      <c r="AY148" s="76">
        <f t="shared" ca="1" si="86"/>
        <v>0.35424874979395193</v>
      </c>
      <c r="AZ148">
        <v>1</v>
      </c>
      <c r="BA148" s="129">
        <f>IF(AZ148="", "",$C$10)</f>
        <v>39847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 s="147"/>
      <c r="CH148" s="176"/>
      <c r="CJ148" s="128"/>
      <c r="CK148" s="76">
        <f t="shared" ca="1" si="88"/>
        <v>0.12075642285310728</v>
      </c>
      <c r="CL148" s="179">
        <f t="shared" si="89"/>
        <v>1</v>
      </c>
      <c r="CM148" s="180">
        <f t="shared" si="90"/>
        <v>39847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 s="160"/>
      <c r="CW148">
        <v>1</v>
      </c>
      <c r="CX148">
        <v>1</v>
      </c>
      <c r="CY148" s="160"/>
      <c r="CZ148" s="177">
        <f t="shared" si="91"/>
        <v>9.6000000000000002E-2</v>
      </c>
      <c r="DB148" s="128"/>
      <c r="DC148" s="76">
        <f t="shared" ca="1" si="49"/>
        <v>0.88010884184776406</v>
      </c>
      <c r="DD148">
        <f t="shared" si="92"/>
        <v>1</v>
      </c>
      <c r="DE148" s="129">
        <f t="shared" ref="DE148:DE157" si="167">IF((DD148)="", "", $C$10)</f>
        <v>39847</v>
      </c>
      <c r="DF148" s="161">
        <f t="shared" si="93"/>
        <v>0</v>
      </c>
      <c r="DG148" s="161">
        <f t="shared" si="94"/>
        <v>0</v>
      </c>
      <c r="DH148" s="161">
        <f t="shared" si="95"/>
        <v>0</v>
      </c>
      <c r="DI148" s="161">
        <f t="shared" si="96"/>
        <v>0</v>
      </c>
      <c r="DJ148" s="161">
        <f t="shared" si="97"/>
        <v>0</v>
      </c>
      <c r="DK148" s="161">
        <f t="shared" si="98"/>
        <v>0</v>
      </c>
      <c r="DL148" s="161">
        <f t="shared" si="99"/>
        <v>0</v>
      </c>
      <c r="DM148" s="161">
        <f t="shared" si="100"/>
        <v>0</v>
      </c>
      <c r="DN148" s="161">
        <f t="shared" si="101"/>
        <v>0</v>
      </c>
      <c r="DO148" s="161">
        <f t="shared" si="102"/>
        <v>0</v>
      </c>
      <c r="DP148" s="161">
        <f t="shared" si="103"/>
        <v>0</v>
      </c>
      <c r="DQ148" s="161">
        <f t="shared" si="104"/>
        <v>0</v>
      </c>
      <c r="DR148" s="161">
        <f t="shared" si="105"/>
        <v>0</v>
      </c>
      <c r="DS148" s="161">
        <f t="shared" si="106"/>
        <v>0</v>
      </c>
      <c r="DT148" s="161">
        <f t="shared" si="107"/>
        <v>0</v>
      </c>
      <c r="DU148" s="161">
        <f t="shared" si="108"/>
        <v>0</v>
      </c>
      <c r="DV148" s="161">
        <f t="shared" si="109"/>
        <v>0</v>
      </c>
      <c r="DW148" s="161">
        <f t="shared" si="110"/>
        <v>0</v>
      </c>
      <c r="DX148" s="161">
        <f t="shared" si="111"/>
        <v>0</v>
      </c>
      <c r="DY148" s="161">
        <f t="shared" si="112"/>
        <v>0</v>
      </c>
      <c r="DZ148" s="161">
        <f t="shared" si="113"/>
        <v>0</v>
      </c>
      <c r="EA148" s="161">
        <f t="shared" si="114"/>
        <v>0</v>
      </c>
      <c r="EB148" s="161">
        <f t="shared" si="115"/>
        <v>0</v>
      </c>
      <c r="EC148" s="161">
        <f t="shared" si="116"/>
        <v>0</v>
      </c>
      <c r="ED148" s="161">
        <f t="shared" si="117"/>
        <v>0</v>
      </c>
      <c r="EE148" s="161">
        <f t="shared" si="118"/>
        <v>0</v>
      </c>
      <c r="EF148" s="161">
        <f t="shared" si="119"/>
        <v>0</v>
      </c>
      <c r="EG148" s="161">
        <f t="shared" si="120"/>
        <v>0</v>
      </c>
      <c r="EH148" s="161">
        <f t="shared" si="121"/>
        <v>0</v>
      </c>
      <c r="EI148" s="161">
        <f t="shared" si="122"/>
        <v>0</v>
      </c>
      <c r="EJ148" s="161">
        <f t="shared" si="123"/>
        <v>0</v>
      </c>
      <c r="EK148" s="147">
        <f t="shared" si="130"/>
        <v>0</v>
      </c>
      <c r="EL148" s="149"/>
      <c r="EN148" s="146"/>
      <c r="EO148" s="146"/>
      <c r="EP148" s="139">
        <f t="shared" si="131"/>
        <v>0</v>
      </c>
      <c r="EQ148" s="139">
        <f t="shared" si="132"/>
        <v>0</v>
      </c>
      <c r="ER148" s="139">
        <f t="shared" si="133"/>
        <v>0</v>
      </c>
      <c r="ES148" s="139">
        <f t="shared" si="134"/>
        <v>0</v>
      </c>
      <c r="ET148" s="139">
        <f t="shared" si="135"/>
        <v>0</v>
      </c>
      <c r="EU148" s="139">
        <f t="shared" si="136"/>
        <v>0</v>
      </c>
      <c r="EV148" s="139">
        <f t="shared" si="137"/>
        <v>0</v>
      </c>
      <c r="EW148" s="139">
        <f t="shared" si="138"/>
        <v>0</v>
      </c>
      <c r="EX148" s="139">
        <f t="shared" si="139"/>
        <v>0</v>
      </c>
      <c r="EY148" s="139">
        <f t="shared" si="140"/>
        <v>0</v>
      </c>
      <c r="EZ148" s="139">
        <f t="shared" si="141"/>
        <v>0</v>
      </c>
      <c r="FA148" s="139">
        <f t="shared" si="142"/>
        <v>0</v>
      </c>
      <c r="FB148" s="139">
        <f t="shared" si="143"/>
        <v>0</v>
      </c>
      <c r="FC148" s="139">
        <f t="shared" si="144"/>
        <v>0</v>
      </c>
      <c r="FD148" s="139">
        <f t="shared" si="145"/>
        <v>0</v>
      </c>
      <c r="FE148" s="139">
        <f t="shared" si="146"/>
        <v>0</v>
      </c>
      <c r="FF148" s="139">
        <f t="shared" si="147"/>
        <v>0</v>
      </c>
      <c r="FG148" s="139">
        <f t="shared" si="148"/>
        <v>0</v>
      </c>
      <c r="FH148" s="139">
        <f t="shared" si="149"/>
        <v>0</v>
      </c>
      <c r="FI148" s="139">
        <f t="shared" si="150"/>
        <v>0</v>
      </c>
      <c r="FJ148" s="139">
        <f t="shared" si="151"/>
        <v>0</v>
      </c>
      <c r="FK148" s="139">
        <f t="shared" si="152"/>
        <v>0</v>
      </c>
      <c r="FL148" s="139">
        <f t="shared" si="153"/>
        <v>0</v>
      </c>
      <c r="FM148" s="139">
        <f t="shared" si="154"/>
        <v>0</v>
      </c>
      <c r="FN148" s="139">
        <f t="shared" si="155"/>
        <v>0</v>
      </c>
      <c r="FO148" s="139">
        <f t="shared" si="156"/>
        <v>0</v>
      </c>
      <c r="FP148" s="139">
        <f t="shared" si="157"/>
        <v>0</v>
      </c>
      <c r="FQ148" s="139">
        <f t="shared" si="158"/>
        <v>0</v>
      </c>
      <c r="FR148" s="139">
        <f t="shared" si="159"/>
        <v>0</v>
      </c>
      <c r="FS148" s="139">
        <f t="shared" si="160"/>
        <v>0</v>
      </c>
      <c r="FT148" s="139">
        <f t="shared" si="161"/>
        <v>0</v>
      </c>
      <c r="FU148" s="148">
        <f t="shared" si="162"/>
        <v>0</v>
      </c>
      <c r="FV148" s="149"/>
      <c r="FY148" s="210">
        <v>143</v>
      </c>
      <c r="FZ148">
        <v>3.3183084785198033E-2</v>
      </c>
      <c r="GA148">
        <v>5.846918318728461</v>
      </c>
      <c r="GB148">
        <v>3.3285207523270586</v>
      </c>
      <c r="GC148">
        <v>10.026455940358581</v>
      </c>
      <c r="GD148">
        <v>8.3504909567610444</v>
      </c>
      <c r="GE148">
        <v>2.3028359860066381</v>
      </c>
      <c r="GF148">
        <v>0.5704949313633032</v>
      </c>
      <c r="GG148">
        <v>1.9472233248153306</v>
      </c>
      <c r="GH148">
        <v>1.9871405252523333</v>
      </c>
      <c r="GI148">
        <v>7.224467471346828</v>
      </c>
      <c r="GJ148"/>
      <c r="GK148"/>
      <c r="GL148"/>
      <c r="GM148"/>
    </row>
    <row r="149" spans="1:195" s="7" customFormat="1">
      <c r="A149" s="77"/>
      <c r="B149" s="76" t="str">
        <f ca="1">IF(C149="", "", RAND())</f>
        <v/>
      </c>
      <c r="C149" t="s">
        <v>104</v>
      </c>
      <c r="D149" t="s">
        <v>104</v>
      </c>
      <c r="E149" t="s">
        <v>104</v>
      </c>
      <c r="F149" t="s">
        <v>104</v>
      </c>
      <c r="G149" t="s">
        <v>104</v>
      </c>
      <c r="H149" t="s">
        <v>104</v>
      </c>
      <c r="I149" t="s">
        <v>104</v>
      </c>
      <c r="J149" t="s">
        <v>104</v>
      </c>
      <c r="K149" t="s">
        <v>104</v>
      </c>
      <c r="L149" t="s">
        <v>104</v>
      </c>
      <c r="M149" t="s">
        <v>104</v>
      </c>
      <c r="N149" t="s">
        <v>104</v>
      </c>
      <c r="O149" t="s">
        <v>104</v>
      </c>
      <c r="P149" t="s">
        <v>104</v>
      </c>
      <c r="Q149" t="s">
        <v>104</v>
      </c>
      <c r="R149" t="s">
        <v>104</v>
      </c>
      <c r="S149" t="s">
        <v>104</v>
      </c>
      <c r="T149" t="s">
        <v>104</v>
      </c>
      <c r="U149" t="s">
        <v>104</v>
      </c>
      <c r="V149" t="s">
        <v>104</v>
      </c>
      <c r="W149" t="s">
        <v>104</v>
      </c>
      <c r="X149" t="s">
        <v>104</v>
      </c>
      <c r="Y149" t="s">
        <v>104</v>
      </c>
      <c r="Z149" t="s">
        <v>104</v>
      </c>
      <c r="AA149" t="s">
        <v>104</v>
      </c>
      <c r="AB149" t="s">
        <v>104</v>
      </c>
      <c r="AC149" t="s">
        <v>104</v>
      </c>
      <c r="AD149" t="s">
        <v>104</v>
      </c>
      <c r="AE149" t="s">
        <v>104</v>
      </c>
      <c r="AF149" t="s">
        <v>104</v>
      </c>
      <c r="AG149" t="s">
        <v>104</v>
      </c>
      <c r="AH149" t="s">
        <v>104</v>
      </c>
      <c r="AI149" t="s">
        <v>104</v>
      </c>
      <c r="AJ149" s="2"/>
      <c r="AK149" s="80"/>
      <c r="AL149" s="74">
        <v>3.0028000000000028</v>
      </c>
      <c r="AM149" s="43">
        <v>133</v>
      </c>
      <c r="AN149">
        <v>4.1493437118437111</v>
      </c>
      <c r="AO149">
        <v>3.2834632641146513</v>
      </c>
      <c r="AP149">
        <v>12.53712178227374</v>
      </c>
      <c r="AQ149">
        <v>11.780248095577868</v>
      </c>
      <c r="AR149">
        <v>3.0458842895312159</v>
      </c>
      <c r="AS149">
        <v>12.758955961801975</v>
      </c>
      <c r="AT149" t="e">
        <v>#DIV/0!</v>
      </c>
      <c r="AU149" t="e">
        <v>#DIV/0!</v>
      </c>
      <c r="AV149"/>
      <c r="AW149"/>
      <c r="AX149" s="151"/>
      <c r="AY149" s="76">
        <f t="shared" ca="1" si="86"/>
        <v>0.51614072522573196</v>
      </c>
      <c r="AZ149">
        <v>2</v>
      </c>
      <c r="BA149" s="129">
        <f t="shared" ref="BA149:BA157" si="168">IF(AZ149="", "",$C$10)</f>
        <v>39847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 s="147"/>
      <c r="CH149" s="176"/>
      <c r="CJ149" s="151"/>
      <c r="CK149" s="76">
        <f t="shared" ca="1" si="88"/>
        <v>0.57178950837955211</v>
      </c>
      <c r="CL149" s="179">
        <f t="shared" si="89"/>
        <v>2</v>
      </c>
      <c r="CM149" s="180">
        <f t="shared" si="90"/>
        <v>39847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 s="160"/>
      <c r="CW149">
        <f>40/12</f>
        <v>3.3333333333333335</v>
      </c>
      <c r="CX149">
        <f>350/32</f>
        <v>10.9375</v>
      </c>
      <c r="CY149" s="160"/>
      <c r="CZ149" s="177">
        <f t="shared" si="91"/>
        <v>9.6000000000000002E-2</v>
      </c>
      <c r="DB149" s="151"/>
      <c r="DC149" s="76">
        <f t="shared" ca="1" si="49"/>
        <v>0.54748705879562776</v>
      </c>
      <c r="DD149">
        <f t="shared" si="92"/>
        <v>2</v>
      </c>
      <c r="DE149" s="129">
        <f t="shared" si="167"/>
        <v>39847</v>
      </c>
      <c r="DF149" s="161">
        <f t="shared" si="93"/>
        <v>0</v>
      </c>
      <c r="DG149" s="161">
        <f t="shared" si="94"/>
        <v>0</v>
      </c>
      <c r="DH149" s="161">
        <f t="shared" si="95"/>
        <v>0</v>
      </c>
      <c r="DI149" s="161">
        <f t="shared" si="96"/>
        <v>0</v>
      </c>
      <c r="DJ149" s="161">
        <f t="shared" si="97"/>
        <v>0</v>
      </c>
      <c r="DK149" s="161">
        <f t="shared" si="98"/>
        <v>0</v>
      </c>
      <c r="DL149" s="161">
        <f t="shared" si="99"/>
        <v>0</v>
      </c>
      <c r="DM149" s="161">
        <f t="shared" si="100"/>
        <v>0</v>
      </c>
      <c r="DN149" s="161">
        <f t="shared" si="101"/>
        <v>0</v>
      </c>
      <c r="DO149" s="161">
        <f t="shared" si="102"/>
        <v>0</v>
      </c>
      <c r="DP149" s="161">
        <f t="shared" si="103"/>
        <v>0</v>
      </c>
      <c r="DQ149" s="161">
        <f t="shared" si="104"/>
        <v>0</v>
      </c>
      <c r="DR149" s="161">
        <f t="shared" si="105"/>
        <v>0</v>
      </c>
      <c r="DS149" s="161">
        <f t="shared" si="106"/>
        <v>0</v>
      </c>
      <c r="DT149" s="161">
        <f t="shared" si="107"/>
        <v>0</v>
      </c>
      <c r="DU149" s="161">
        <f t="shared" si="108"/>
        <v>0</v>
      </c>
      <c r="DV149" s="161">
        <f t="shared" si="109"/>
        <v>0</v>
      </c>
      <c r="DW149" s="161">
        <f t="shared" si="110"/>
        <v>0</v>
      </c>
      <c r="DX149" s="161">
        <f t="shared" si="111"/>
        <v>0</v>
      </c>
      <c r="DY149" s="161">
        <f t="shared" si="112"/>
        <v>0</v>
      </c>
      <c r="DZ149" s="161">
        <f t="shared" si="113"/>
        <v>0</v>
      </c>
      <c r="EA149" s="161">
        <f t="shared" si="114"/>
        <v>0</v>
      </c>
      <c r="EB149" s="161">
        <f t="shared" si="115"/>
        <v>0</v>
      </c>
      <c r="EC149" s="161">
        <f t="shared" si="116"/>
        <v>0</v>
      </c>
      <c r="ED149" s="161">
        <f t="shared" si="117"/>
        <v>0</v>
      </c>
      <c r="EE149" s="161">
        <f t="shared" si="118"/>
        <v>0</v>
      </c>
      <c r="EF149" s="161">
        <f t="shared" si="119"/>
        <v>0</v>
      </c>
      <c r="EG149" s="161">
        <f t="shared" si="120"/>
        <v>0</v>
      </c>
      <c r="EH149" s="161">
        <f t="shared" si="121"/>
        <v>0</v>
      </c>
      <c r="EI149" s="161">
        <f t="shared" si="122"/>
        <v>0</v>
      </c>
      <c r="EJ149" s="161">
        <f t="shared" si="123"/>
        <v>0</v>
      </c>
      <c r="EK149" s="147">
        <f t="shared" si="130"/>
        <v>0</v>
      </c>
      <c r="EL149" s="149"/>
      <c r="EN149" s="151"/>
      <c r="EO149" s="151"/>
      <c r="EP149" s="139">
        <f t="shared" si="131"/>
        <v>0</v>
      </c>
      <c r="EQ149" s="139">
        <f t="shared" si="132"/>
        <v>0</v>
      </c>
      <c r="ER149" s="139">
        <f t="shared" si="133"/>
        <v>0</v>
      </c>
      <c r="ES149" s="139">
        <f t="shared" si="134"/>
        <v>0</v>
      </c>
      <c r="ET149" s="139">
        <f t="shared" si="135"/>
        <v>0</v>
      </c>
      <c r="EU149" s="139">
        <f t="shared" si="136"/>
        <v>0</v>
      </c>
      <c r="EV149" s="139">
        <f t="shared" si="137"/>
        <v>0</v>
      </c>
      <c r="EW149" s="139">
        <f t="shared" si="138"/>
        <v>0</v>
      </c>
      <c r="EX149" s="139">
        <f t="shared" si="139"/>
        <v>0</v>
      </c>
      <c r="EY149" s="139">
        <f t="shared" si="140"/>
        <v>0</v>
      </c>
      <c r="EZ149" s="139">
        <f t="shared" si="141"/>
        <v>0</v>
      </c>
      <c r="FA149" s="139">
        <f t="shared" si="142"/>
        <v>0</v>
      </c>
      <c r="FB149" s="139">
        <f t="shared" si="143"/>
        <v>0</v>
      </c>
      <c r="FC149" s="139">
        <f t="shared" si="144"/>
        <v>0</v>
      </c>
      <c r="FD149" s="139">
        <f t="shared" si="145"/>
        <v>0</v>
      </c>
      <c r="FE149" s="139">
        <f t="shared" si="146"/>
        <v>0</v>
      </c>
      <c r="FF149" s="139">
        <f t="shared" si="147"/>
        <v>0</v>
      </c>
      <c r="FG149" s="139">
        <f t="shared" si="148"/>
        <v>0</v>
      </c>
      <c r="FH149" s="139">
        <f t="shared" si="149"/>
        <v>0</v>
      </c>
      <c r="FI149" s="139">
        <f t="shared" si="150"/>
        <v>0</v>
      </c>
      <c r="FJ149" s="139">
        <f t="shared" si="151"/>
        <v>0</v>
      </c>
      <c r="FK149" s="139">
        <f t="shared" si="152"/>
        <v>0</v>
      </c>
      <c r="FL149" s="139">
        <f t="shared" si="153"/>
        <v>0</v>
      </c>
      <c r="FM149" s="139">
        <f t="shared" si="154"/>
        <v>0</v>
      </c>
      <c r="FN149" s="139">
        <f t="shared" si="155"/>
        <v>0</v>
      </c>
      <c r="FO149" s="139">
        <f t="shared" si="156"/>
        <v>0</v>
      </c>
      <c r="FP149" s="139">
        <f t="shared" si="157"/>
        <v>0</v>
      </c>
      <c r="FQ149" s="139">
        <f t="shared" si="158"/>
        <v>0</v>
      </c>
      <c r="FR149" s="139">
        <f t="shared" si="159"/>
        <v>0</v>
      </c>
      <c r="FS149" s="139">
        <f t="shared" si="160"/>
        <v>0</v>
      </c>
      <c r="FT149" s="139">
        <f t="shared" si="161"/>
        <v>0</v>
      </c>
      <c r="FU149" s="148">
        <f t="shared" si="162"/>
        <v>0</v>
      </c>
      <c r="FV149" s="149"/>
      <c r="FY149" s="210">
        <v>144</v>
      </c>
      <c r="FZ149">
        <v>0.52454686079360424</v>
      </c>
      <c r="GA149">
        <v>0.7446838337854581</v>
      </c>
      <c r="GB149">
        <v>1.7801293578300139</v>
      </c>
      <c r="GC149">
        <v>6.553080943486199</v>
      </c>
      <c r="GD149">
        <v>4.9230358711841866</v>
      </c>
      <c r="GE149">
        <v>1.9060896250024524</v>
      </c>
      <c r="GF149">
        <v>0.88105632613632445</v>
      </c>
      <c r="GG149">
        <v>1.4430063380750886</v>
      </c>
      <c r="GH149">
        <v>1.9871405252523333</v>
      </c>
      <c r="GI149">
        <v>4.5587632200597676</v>
      </c>
      <c r="GJ149"/>
      <c r="GK149"/>
      <c r="GL149"/>
      <c r="GM149"/>
    </row>
    <row r="150" spans="1:195" s="7" customFormat="1">
      <c r="A150" s="77"/>
      <c r="B150" s="76">
        <f ca="1">IF(C150="", "", RAND())</f>
        <v>0.91147819810867192</v>
      </c>
      <c r="C150">
        <v>7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5.6389270451770468</v>
      </c>
      <c r="AO150">
        <v>5.1973938627570586</v>
      </c>
      <c r="AP150">
        <v>25.235626037179774</v>
      </c>
      <c r="AQ150">
        <v>21.220222384598738</v>
      </c>
      <c r="AR150">
        <v>4.821330113874823</v>
      </c>
      <c r="AS150">
        <v>21.943964653142658</v>
      </c>
      <c r="AT150" t="e">
        <v>#DIV/0!</v>
      </c>
      <c r="AU150" t="e">
        <v>#DIV/0!</v>
      </c>
      <c r="AV150"/>
      <c r="AW150"/>
      <c r="AX150" s="151"/>
      <c r="AY150" s="76"/>
      <c r="AZ150"/>
      <c r="BA150" s="129"/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 s="147"/>
      <c r="CH150" s="176"/>
      <c r="CJ150" s="151"/>
      <c r="CK150" s="76"/>
      <c r="CL150" s="179"/>
      <c r="CM150" s="180"/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 s="160"/>
      <c r="CW150"/>
      <c r="CX150"/>
      <c r="CY150" s="160"/>
      <c r="CZ150" s="177" t="str">
        <f t="shared" si="91"/>
        <v/>
      </c>
      <c r="DB150" s="151"/>
      <c r="DC150" s="76" t="str">
        <f t="shared" ca="1" si="49"/>
        <v/>
      </c>
      <c r="DD150" t="str">
        <f t="shared" si="92"/>
        <v/>
      </c>
      <c r="DE150" s="129" t="str">
        <f t="shared" si="167"/>
        <v/>
      </c>
      <c r="DF150" s="161" t="str">
        <f t="shared" si="93"/>
        <v/>
      </c>
      <c r="DG150" s="161" t="str">
        <f t="shared" si="94"/>
        <v/>
      </c>
      <c r="DH150" s="161" t="str">
        <f t="shared" si="95"/>
        <v/>
      </c>
      <c r="DI150" s="161" t="str">
        <f t="shared" si="96"/>
        <v/>
      </c>
      <c r="DJ150" s="161" t="str">
        <f t="shared" si="97"/>
        <v/>
      </c>
      <c r="DK150" s="161" t="str">
        <f t="shared" si="98"/>
        <v/>
      </c>
      <c r="DL150" s="161" t="str">
        <f t="shared" si="99"/>
        <v/>
      </c>
      <c r="DM150" s="161" t="str">
        <f t="shared" si="100"/>
        <v/>
      </c>
      <c r="DN150" s="161" t="str">
        <f t="shared" si="101"/>
        <v/>
      </c>
      <c r="DO150" s="161" t="str">
        <f t="shared" si="102"/>
        <v/>
      </c>
      <c r="DP150" s="161" t="str">
        <f t="shared" si="103"/>
        <v/>
      </c>
      <c r="DQ150" s="161" t="str">
        <f t="shared" si="104"/>
        <v/>
      </c>
      <c r="DR150" s="161" t="str">
        <f t="shared" si="105"/>
        <v/>
      </c>
      <c r="DS150" s="161" t="str">
        <f t="shared" si="106"/>
        <v/>
      </c>
      <c r="DT150" s="161" t="str">
        <f t="shared" si="107"/>
        <v/>
      </c>
      <c r="DU150" s="161" t="str">
        <f t="shared" si="108"/>
        <v/>
      </c>
      <c r="DV150" s="161" t="str">
        <f t="shared" si="109"/>
        <v/>
      </c>
      <c r="DW150" s="161" t="str">
        <f t="shared" si="110"/>
        <v/>
      </c>
      <c r="DX150" s="161" t="str">
        <f t="shared" si="111"/>
        <v/>
      </c>
      <c r="DY150" s="161" t="str">
        <f t="shared" si="112"/>
        <v/>
      </c>
      <c r="DZ150" s="161" t="str">
        <f t="shared" si="113"/>
        <v/>
      </c>
      <c r="EA150" s="161" t="str">
        <f t="shared" si="114"/>
        <v/>
      </c>
      <c r="EB150" s="161" t="str">
        <f t="shared" si="115"/>
        <v/>
      </c>
      <c r="EC150" s="161" t="str">
        <f t="shared" si="116"/>
        <v/>
      </c>
      <c r="ED150" s="161" t="str">
        <f t="shared" si="117"/>
        <v/>
      </c>
      <c r="EE150" s="161" t="str">
        <f t="shared" si="118"/>
        <v/>
      </c>
      <c r="EF150" s="161" t="str">
        <f t="shared" si="119"/>
        <v/>
      </c>
      <c r="EG150" s="161" t="str">
        <f t="shared" si="120"/>
        <v/>
      </c>
      <c r="EH150" s="161" t="str">
        <f t="shared" si="121"/>
        <v/>
      </c>
      <c r="EI150" s="161" t="str">
        <f t="shared" si="122"/>
        <v/>
      </c>
      <c r="EJ150" s="161" t="str">
        <f t="shared" si="123"/>
        <v/>
      </c>
      <c r="EK150" s="147" t="str">
        <f t="shared" si="130"/>
        <v/>
      </c>
      <c r="EL150" s="149"/>
      <c r="EN150" s="151"/>
      <c r="EO150" s="151"/>
      <c r="EP150" s="139" t="str">
        <f t="shared" si="131"/>
        <v/>
      </c>
      <c r="EQ150" s="139" t="str">
        <f t="shared" si="132"/>
        <v/>
      </c>
      <c r="ER150" s="139" t="str">
        <f t="shared" si="133"/>
        <v/>
      </c>
      <c r="ES150" s="139" t="str">
        <f t="shared" si="134"/>
        <v/>
      </c>
      <c r="ET150" s="139" t="str">
        <f t="shared" si="135"/>
        <v/>
      </c>
      <c r="EU150" s="139" t="str">
        <f t="shared" si="136"/>
        <v/>
      </c>
      <c r="EV150" s="139" t="str">
        <f t="shared" si="137"/>
        <v/>
      </c>
      <c r="EW150" s="139" t="str">
        <f t="shared" si="138"/>
        <v/>
      </c>
      <c r="EX150" s="139" t="str">
        <f t="shared" si="139"/>
        <v/>
      </c>
      <c r="EY150" s="139" t="str">
        <f t="shared" si="140"/>
        <v/>
      </c>
      <c r="EZ150" s="139" t="str">
        <f t="shared" si="141"/>
        <v/>
      </c>
      <c r="FA150" s="139" t="str">
        <f t="shared" si="142"/>
        <v/>
      </c>
      <c r="FB150" s="139" t="str">
        <f t="shared" si="143"/>
        <v/>
      </c>
      <c r="FC150" s="139" t="str">
        <f t="shared" si="144"/>
        <v/>
      </c>
      <c r="FD150" s="139" t="str">
        <f t="shared" si="145"/>
        <v/>
      </c>
      <c r="FE150" s="139" t="str">
        <f t="shared" si="146"/>
        <v/>
      </c>
      <c r="FF150" s="139" t="str">
        <f t="shared" si="147"/>
        <v/>
      </c>
      <c r="FG150" s="139" t="str">
        <f t="shared" si="148"/>
        <v/>
      </c>
      <c r="FH150" s="139" t="str">
        <f t="shared" si="149"/>
        <v/>
      </c>
      <c r="FI150" s="139" t="str">
        <f t="shared" si="150"/>
        <v/>
      </c>
      <c r="FJ150" s="139" t="str">
        <f t="shared" si="151"/>
        <v/>
      </c>
      <c r="FK150" s="139" t="str">
        <f t="shared" si="152"/>
        <v/>
      </c>
      <c r="FL150" s="139" t="str">
        <f t="shared" si="153"/>
        <v/>
      </c>
      <c r="FM150" s="139" t="str">
        <f t="shared" si="154"/>
        <v/>
      </c>
      <c r="FN150" s="139" t="str">
        <f t="shared" si="155"/>
        <v/>
      </c>
      <c r="FO150" s="139" t="str">
        <f t="shared" si="156"/>
        <v/>
      </c>
      <c r="FP150" s="139" t="str">
        <f t="shared" si="157"/>
        <v/>
      </c>
      <c r="FQ150" s="139" t="str">
        <f t="shared" si="158"/>
        <v/>
      </c>
      <c r="FR150" s="139" t="str">
        <f t="shared" si="159"/>
        <v/>
      </c>
      <c r="FS150" s="139" t="str">
        <f t="shared" si="160"/>
        <v/>
      </c>
      <c r="FT150" s="139" t="str">
        <f t="shared" si="161"/>
        <v/>
      </c>
      <c r="FU150" s="148" t="str">
        <f t="shared" si="162"/>
        <v/>
      </c>
      <c r="FV150" s="149"/>
      <c r="FY150" s="210">
        <v>145</v>
      </c>
      <c r="FZ150">
        <v>0.73704566401260951</v>
      </c>
      <c r="GA150">
        <v>3.6537004613810744</v>
      </c>
      <c r="GB150">
        <v>3.0435291451383262</v>
      </c>
      <c r="GC150">
        <v>6.3876309934959066</v>
      </c>
      <c r="GD150">
        <v>5.5356403428370378</v>
      </c>
      <c r="GE150">
        <v>2.9017073331074523</v>
      </c>
      <c r="GF150">
        <v>0.38032995424220212</v>
      </c>
      <c r="GG150">
        <v>2.2601531085936126</v>
      </c>
      <c r="GH150">
        <v>2.6495207003364443</v>
      </c>
      <c r="GI150">
        <v>5.4046463769360322</v>
      </c>
      <c r="GJ150"/>
      <c r="GK150"/>
      <c r="GL150"/>
      <c r="GM150"/>
    </row>
    <row r="151" spans="1:195" s="7" customFormat="1">
      <c r="A151" s="77"/>
      <c r="B151" s="76">
        <f ca="1">IF(C151="", "", RAND())</f>
        <v>0.36114189458023049</v>
      </c>
      <c r="C151">
        <v>1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8.252976190476188</v>
      </c>
      <c r="AO151">
        <v>10.008068390568315</v>
      </c>
      <c r="AP151">
        <v>30.784160689500844</v>
      </c>
      <c r="AQ151">
        <v>31.766220128791453</v>
      </c>
      <c r="AR151">
        <v>9.2839224402303469</v>
      </c>
      <c r="AS151">
        <v>53.952823175440798</v>
      </c>
      <c r="AT151" t="e">
        <v>#DIV/0!</v>
      </c>
      <c r="AU151" t="e">
        <v>#DIV/0!</v>
      </c>
      <c r="AV151"/>
      <c r="AW151"/>
      <c r="AX151" s="151"/>
      <c r="AY151" s="76"/>
      <c r="AZ151"/>
      <c r="BA151" s="129"/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 s="147"/>
      <c r="CH151" s="176"/>
      <c r="CJ151" s="151"/>
      <c r="CK151" s="76"/>
      <c r="CL151" s="179"/>
      <c r="CM151" s="180"/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 s="160"/>
      <c r="CW151"/>
      <c r="CX151"/>
      <c r="CY151" s="160"/>
      <c r="CZ151" s="177" t="str">
        <f t="shared" si="91"/>
        <v/>
      </c>
      <c r="DB151" s="151"/>
      <c r="DC151" s="76" t="str">
        <f t="shared" ca="1" si="49"/>
        <v/>
      </c>
      <c r="DD151" t="str">
        <f t="shared" si="92"/>
        <v/>
      </c>
      <c r="DE151" s="129" t="str">
        <f t="shared" si="167"/>
        <v/>
      </c>
      <c r="DF151" s="161" t="str">
        <f t="shared" si="93"/>
        <v/>
      </c>
      <c r="DG151" s="161" t="str">
        <f t="shared" si="94"/>
        <v/>
      </c>
      <c r="DH151" s="161" t="str">
        <f t="shared" si="95"/>
        <v/>
      </c>
      <c r="DI151" s="161" t="str">
        <f t="shared" si="96"/>
        <v/>
      </c>
      <c r="DJ151" s="161" t="str">
        <f t="shared" si="97"/>
        <v/>
      </c>
      <c r="DK151" s="161" t="str">
        <f t="shared" si="98"/>
        <v/>
      </c>
      <c r="DL151" s="161" t="str">
        <f t="shared" si="99"/>
        <v/>
      </c>
      <c r="DM151" s="161" t="str">
        <f t="shared" si="100"/>
        <v/>
      </c>
      <c r="DN151" s="161" t="str">
        <f t="shared" si="101"/>
        <v/>
      </c>
      <c r="DO151" s="161" t="str">
        <f t="shared" si="102"/>
        <v/>
      </c>
      <c r="DP151" s="161" t="str">
        <f t="shared" si="103"/>
        <v/>
      </c>
      <c r="DQ151" s="161" t="str">
        <f t="shared" si="104"/>
        <v/>
      </c>
      <c r="DR151" s="161" t="str">
        <f t="shared" si="105"/>
        <v/>
      </c>
      <c r="DS151" s="161" t="str">
        <f t="shared" si="106"/>
        <v/>
      </c>
      <c r="DT151" s="161" t="str">
        <f t="shared" si="107"/>
        <v/>
      </c>
      <c r="DU151" s="161" t="str">
        <f t="shared" si="108"/>
        <v/>
      </c>
      <c r="DV151" s="161" t="str">
        <f t="shared" si="109"/>
        <v/>
      </c>
      <c r="DW151" s="161" t="str">
        <f t="shared" si="110"/>
        <v/>
      </c>
      <c r="DX151" s="161" t="str">
        <f t="shared" si="111"/>
        <v/>
      </c>
      <c r="DY151" s="161" t="str">
        <f t="shared" si="112"/>
        <v/>
      </c>
      <c r="DZ151" s="161" t="str">
        <f t="shared" si="113"/>
        <v/>
      </c>
      <c r="EA151" s="161" t="str">
        <f t="shared" si="114"/>
        <v/>
      </c>
      <c r="EB151" s="161" t="str">
        <f t="shared" si="115"/>
        <v/>
      </c>
      <c r="EC151" s="161" t="str">
        <f t="shared" si="116"/>
        <v/>
      </c>
      <c r="ED151" s="161" t="str">
        <f t="shared" si="117"/>
        <v/>
      </c>
      <c r="EE151" s="161" t="str">
        <f t="shared" si="118"/>
        <v/>
      </c>
      <c r="EF151" s="161" t="str">
        <f t="shared" si="119"/>
        <v/>
      </c>
      <c r="EG151" s="161" t="str">
        <f t="shared" si="120"/>
        <v/>
      </c>
      <c r="EH151" s="161" t="str">
        <f t="shared" si="121"/>
        <v/>
      </c>
      <c r="EI151" s="161" t="str">
        <f t="shared" si="122"/>
        <v/>
      </c>
      <c r="EJ151" s="161" t="str">
        <f t="shared" si="123"/>
        <v/>
      </c>
      <c r="EK151" s="147" t="str">
        <f t="shared" si="130"/>
        <v/>
      </c>
      <c r="EL151" s="149"/>
      <c r="EN151" s="151"/>
      <c r="EO151" s="151"/>
      <c r="EP151" s="139" t="str">
        <f t="shared" si="131"/>
        <v/>
      </c>
      <c r="EQ151" s="139" t="str">
        <f t="shared" si="132"/>
        <v/>
      </c>
      <c r="ER151" s="139" t="str">
        <f t="shared" si="133"/>
        <v/>
      </c>
      <c r="ES151" s="139" t="str">
        <f t="shared" si="134"/>
        <v/>
      </c>
      <c r="ET151" s="139" t="str">
        <f t="shared" si="135"/>
        <v/>
      </c>
      <c r="EU151" s="139" t="str">
        <f t="shared" si="136"/>
        <v/>
      </c>
      <c r="EV151" s="139" t="str">
        <f t="shared" si="137"/>
        <v/>
      </c>
      <c r="EW151" s="139" t="str">
        <f t="shared" si="138"/>
        <v/>
      </c>
      <c r="EX151" s="139" t="str">
        <f t="shared" si="139"/>
        <v/>
      </c>
      <c r="EY151" s="139" t="str">
        <f t="shared" si="140"/>
        <v/>
      </c>
      <c r="EZ151" s="139" t="str">
        <f t="shared" si="141"/>
        <v/>
      </c>
      <c r="FA151" s="139" t="str">
        <f t="shared" si="142"/>
        <v/>
      </c>
      <c r="FB151" s="139" t="str">
        <f t="shared" si="143"/>
        <v/>
      </c>
      <c r="FC151" s="139" t="str">
        <f t="shared" si="144"/>
        <v/>
      </c>
      <c r="FD151" s="139" t="str">
        <f t="shared" si="145"/>
        <v/>
      </c>
      <c r="FE151" s="139" t="str">
        <f t="shared" si="146"/>
        <v/>
      </c>
      <c r="FF151" s="139" t="str">
        <f t="shared" si="147"/>
        <v/>
      </c>
      <c r="FG151" s="139" t="str">
        <f t="shared" si="148"/>
        <v/>
      </c>
      <c r="FH151" s="139" t="str">
        <f t="shared" si="149"/>
        <v/>
      </c>
      <c r="FI151" s="139" t="str">
        <f t="shared" si="150"/>
        <v/>
      </c>
      <c r="FJ151" s="139" t="str">
        <f t="shared" si="151"/>
        <v/>
      </c>
      <c r="FK151" s="139" t="str">
        <f t="shared" si="152"/>
        <v/>
      </c>
      <c r="FL151" s="139" t="str">
        <f t="shared" si="153"/>
        <v/>
      </c>
      <c r="FM151" s="139" t="str">
        <f t="shared" si="154"/>
        <v/>
      </c>
      <c r="FN151" s="139" t="str">
        <f t="shared" si="155"/>
        <v/>
      </c>
      <c r="FO151" s="139" t="str">
        <f t="shared" si="156"/>
        <v/>
      </c>
      <c r="FP151" s="139" t="str">
        <f t="shared" si="157"/>
        <v/>
      </c>
      <c r="FQ151" s="139" t="str">
        <f t="shared" si="158"/>
        <v/>
      </c>
      <c r="FR151" s="139" t="str">
        <f t="shared" si="159"/>
        <v/>
      </c>
      <c r="FS151" s="139" t="str">
        <f t="shared" si="160"/>
        <v/>
      </c>
      <c r="FT151" s="139" t="str">
        <f t="shared" si="161"/>
        <v/>
      </c>
      <c r="FU151" s="148" t="str">
        <f t="shared" si="162"/>
        <v/>
      </c>
      <c r="FV151" s="149"/>
      <c r="FY151" s="210">
        <v>146</v>
      </c>
      <c r="FZ151">
        <v>3.3183084785198033E-2</v>
      </c>
      <c r="GA151">
        <v>2.8228675547052076</v>
      </c>
      <c r="GB151">
        <v>2.4714648014135903</v>
      </c>
      <c r="GC151">
        <v>4.5568430820805013</v>
      </c>
      <c r="GD151">
        <v>3.4416965631269143</v>
      </c>
      <c r="GE151">
        <v>1.0500470249980682</v>
      </c>
      <c r="GF151">
        <v>0.76065990848440423</v>
      </c>
      <c r="GG151">
        <v>1.634293541037048</v>
      </c>
      <c r="GH151">
        <v>1.3247603501682221</v>
      </c>
      <c r="GI151">
        <v>3.6491909684706751</v>
      </c>
      <c r="GJ151"/>
      <c r="GK151"/>
      <c r="GL151"/>
      <c r="GM151"/>
    </row>
    <row r="152" spans="1:195" s="7" customFormat="1">
      <c r="A152" s="77"/>
      <c r="B152" s="76">
        <f ca="1">IF(C152="", "", RAND())</f>
        <v>0.8578673515806472</v>
      </c>
      <c r="C152">
        <v>6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6.5102831196581192</v>
      </c>
      <c r="AO152">
        <v>8.1416654535429132</v>
      </c>
      <c r="AP152">
        <v>26.549368646149961</v>
      </c>
      <c r="AQ152">
        <v>27.067906142717369</v>
      </c>
      <c r="AR152">
        <v>7.4997001362051936</v>
      </c>
      <c r="AS152">
        <v>38.931207392913883</v>
      </c>
      <c r="AT152" t="e">
        <v>#DIV/0!</v>
      </c>
      <c r="AU152" t="e">
        <v>#DIV/0!</v>
      </c>
      <c r="AV152"/>
      <c r="AW152"/>
      <c r="AX152" s="151"/>
      <c r="AY152" s="76">
        <f t="shared" ref="AY152:AY207" ca="1" si="169">IF(AZ152="", "", RAND())</f>
        <v>0.91054965601043714</v>
      </c>
      <c r="AZ152">
        <v>5</v>
      </c>
      <c r="BA152" s="129">
        <f t="shared" si="168"/>
        <v>39847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 s="147"/>
      <c r="CH152" s="176"/>
      <c r="CJ152" s="151"/>
      <c r="CK152" s="76">
        <f t="shared" ca="1" si="88"/>
        <v>6.8961883320555639E-2</v>
      </c>
      <c r="CL152" s="179">
        <f t="shared" si="89"/>
        <v>5</v>
      </c>
      <c r="CM152" s="180">
        <f t="shared" si="90"/>
        <v>39847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 s="160"/>
      <c r="CW152">
        <v>1</v>
      </c>
      <c r="CX152">
        <v>1</v>
      </c>
      <c r="CY152" s="160"/>
      <c r="CZ152" s="177">
        <f t="shared" si="91"/>
        <v>9.6000000000000002E-2</v>
      </c>
      <c r="DB152" s="151"/>
      <c r="DC152" s="76">
        <f t="shared" ref="DC152:DC207" ca="1" si="170">IF(DD152="", "", RAND())</f>
        <v>0.6627064655189927</v>
      </c>
      <c r="DD152">
        <f t="shared" si="92"/>
        <v>5</v>
      </c>
      <c r="DE152" s="129">
        <f t="shared" si="167"/>
        <v>39847</v>
      </c>
      <c r="DF152" s="161">
        <f t="shared" si="93"/>
        <v>0</v>
      </c>
      <c r="DG152" s="161">
        <f t="shared" si="94"/>
        <v>0</v>
      </c>
      <c r="DH152" s="161">
        <f t="shared" si="95"/>
        <v>0</v>
      </c>
      <c r="DI152" s="161">
        <f t="shared" si="96"/>
        <v>0</v>
      </c>
      <c r="DJ152" s="161">
        <f t="shared" si="97"/>
        <v>0</v>
      </c>
      <c r="DK152" s="161">
        <f t="shared" si="98"/>
        <v>0</v>
      </c>
      <c r="DL152" s="161">
        <f t="shared" si="99"/>
        <v>0</v>
      </c>
      <c r="DM152" s="161">
        <f t="shared" si="100"/>
        <v>0</v>
      </c>
      <c r="DN152" s="161">
        <f t="shared" si="101"/>
        <v>0</v>
      </c>
      <c r="DO152" s="161">
        <f t="shared" si="102"/>
        <v>0</v>
      </c>
      <c r="DP152" s="161">
        <f t="shared" si="103"/>
        <v>0</v>
      </c>
      <c r="DQ152" s="161">
        <f t="shared" si="104"/>
        <v>0</v>
      </c>
      <c r="DR152" s="161">
        <f t="shared" si="105"/>
        <v>0</v>
      </c>
      <c r="DS152" s="161">
        <f t="shared" si="106"/>
        <v>0</v>
      </c>
      <c r="DT152" s="161">
        <f t="shared" si="107"/>
        <v>0</v>
      </c>
      <c r="DU152" s="161">
        <f t="shared" si="108"/>
        <v>0</v>
      </c>
      <c r="DV152" s="161">
        <f t="shared" si="109"/>
        <v>0</v>
      </c>
      <c r="DW152" s="161">
        <f t="shared" si="110"/>
        <v>0</v>
      </c>
      <c r="DX152" s="161">
        <f t="shared" si="111"/>
        <v>0</v>
      </c>
      <c r="DY152" s="161">
        <f t="shared" si="112"/>
        <v>0</v>
      </c>
      <c r="DZ152" s="161">
        <f t="shared" si="113"/>
        <v>0</v>
      </c>
      <c r="EA152" s="161">
        <f t="shared" si="114"/>
        <v>0</v>
      </c>
      <c r="EB152" s="161">
        <f t="shared" si="115"/>
        <v>0</v>
      </c>
      <c r="EC152" s="161">
        <f t="shared" si="116"/>
        <v>0</v>
      </c>
      <c r="ED152" s="161">
        <f t="shared" si="117"/>
        <v>0</v>
      </c>
      <c r="EE152" s="161">
        <f t="shared" si="118"/>
        <v>0</v>
      </c>
      <c r="EF152" s="161">
        <f t="shared" si="119"/>
        <v>0</v>
      </c>
      <c r="EG152" s="161">
        <f t="shared" si="120"/>
        <v>0</v>
      </c>
      <c r="EH152" s="161">
        <f t="shared" si="121"/>
        <v>0</v>
      </c>
      <c r="EI152" s="161">
        <f t="shared" si="122"/>
        <v>0</v>
      </c>
      <c r="EJ152" s="161">
        <f t="shared" si="123"/>
        <v>0</v>
      </c>
      <c r="EK152" s="147">
        <f t="shared" ref="EK152:EK183" si="171">IF(DF152="", "", SUM(DF152:EJ152))</f>
        <v>0</v>
      </c>
      <c r="EL152" s="149"/>
      <c r="EN152" s="151"/>
      <c r="EO152" s="151"/>
      <c r="EP152" s="139">
        <f t="shared" ref="EP152:EP183" si="172">IF(DF152="", "", DF152*G$36)</f>
        <v>0</v>
      </c>
      <c r="EQ152" s="139">
        <f t="shared" ref="EQ152:EQ183" si="173">IF(DG152="", "", DG152*H$36)</f>
        <v>0</v>
      </c>
      <c r="ER152" s="139">
        <f t="shared" ref="ER152:ER183" si="174">IF(DH152="", "", DH152*I$36)</f>
        <v>0</v>
      </c>
      <c r="ES152" s="139">
        <f t="shared" ref="ES152:ES183" si="175">IF(DI152="", "", DI152*J$36)</f>
        <v>0</v>
      </c>
      <c r="ET152" s="139">
        <f t="shared" ref="ET152:ET183" si="176">IF(DJ152="", "", DJ152*K$36)</f>
        <v>0</v>
      </c>
      <c r="EU152" s="139">
        <f t="shared" ref="EU152:EU183" si="177">IF(DK152="", "", DK152*L$36)</f>
        <v>0</v>
      </c>
      <c r="EV152" s="139">
        <f t="shared" ref="EV152:EV183" si="178">IF(DL152="", "", DL152*M$36)</f>
        <v>0</v>
      </c>
      <c r="EW152" s="139">
        <f t="shared" ref="EW152:EW183" si="179">IF(DM152="", "", DM152*N$36)</f>
        <v>0</v>
      </c>
      <c r="EX152" s="139">
        <f t="shared" ref="EX152:EX183" si="180">IF(DN152="", "", DN152*O$36)</f>
        <v>0</v>
      </c>
      <c r="EY152" s="139">
        <f t="shared" ref="EY152:EY183" si="181">IF(DO152="", "", DO152*P$36)</f>
        <v>0</v>
      </c>
      <c r="EZ152" s="139">
        <f t="shared" ref="EZ152:EZ183" si="182">IF(DP152="", "", DP152*Q$36)</f>
        <v>0</v>
      </c>
      <c r="FA152" s="139">
        <f t="shared" ref="FA152:FA183" si="183">IF(DQ152="", "", DQ152*R$36)</f>
        <v>0</v>
      </c>
      <c r="FB152" s="139">
        <f t="shared" ref="FB152:FB183" si="184">IF(DR152="", "", DR152*S$36)</f>
        <v>0</v>
      </c>
      <c r="FC152" s="139">
        <f t="shared" ref="FC152:FC183" si="185">IF(DS152="", "", DS152*T$36)</f>
        <v>0</v>
      </c>
      <c r="FD152" s="139">
        <f t="shared" ref="FD152:FD183" si="186">IF(DT152="", "", DT152*U$36)</f>
        <v>0</v>
      </c>
      <c r="FE152" s="139">
        <f t="shared" ref="FE152:FE183" si="187">IF(DU152="", "", DU152*V$36)</f>
        <v>0</v>
      </c>
      <c r="FF152" s="139">
        <f t="shared" ref="FF152:FF183" si="188">IF(DV152="", "", DV152*W$36)</f>
        <v>0</v>
      </c>
      <c r="FG152" s="139">
        <f t="shared" ref="FG152:FG183" si="189">IF(DW152="", "", DW152*X$36)</f>
        <v>0</v>
      </c>
      <c r="FH152" s="139">
        <f t="shared" ref="FH152:FH183" si="190">IF(DX152="", "", DX152*Y$36)</f>
        <v>0</v>
      </c>
      <c r="FI152" s="139">
        <f t="shared" ref="FI152:FI183" si="191">IF(DY152="", "", DY152*Z$36)</f>
        <v>0</v>
      </c>
      <c r="FJ152" s="139">
        <f t="shared" ref="FJ152:FJ183" si="192">IF(DZ152="", "", DZ152*AA$36)</f>
        <v>0</v>
      </c>
      <c r="FK152" s="139">
        <f t="shared" ref="FK152:FK183" si="193">IF(EA152="", "", EA152*AB$36)</f>
        <v>0</v>
      </c>
      <c r="FL152" s="139">
        <f t="shared" ref="FL152:FL183" si="194">IF(EB152="", "", EB152*AC$36)</f>
        <v>0</v>
      </c>
      <c r="FM152" s="139">
        <f t="shared" ref="FM152:FM183" si="195">IF(EC152="", "", EC152*AD$36)</f>
        <v>0</v>
      </c>
      <c r="FN152" s="139">
        <f t="shared" ref="FN152:FN183" si="196">IF(ED152="", "", ED152*AE$36)</f>
        <v>0</v>
      </c>
      <c r="FO152" s="139">
        <f t="shared" ref="FO152:FO183" si="197">IF(EE152="", "", EE152*AF$36)</f>
        <v>0</v>
      </c>
      <c r="FP152" s="139">
        <f t="shared" ref="FP152:FP183" si="198">IF(EF152="", "", EF152*AG$36)</f>
        <v>0</v>
      </c>
      <c r="FQ152" s="139">
        <f t="shared" ref="FQ152:FQ183" si="199">IF(EG152="", "", EG152*AH$36)</f>
        <v>0</v>
      </c>
      <c r="FR152" s="139">
        <f t="shared" ref="FR152:FR183" si="200">IF(EH152="", "", EH152*AI$36)</f>
        <v>0</v>
      </c>
      <c r="FS152" s="139">
        <f t="shared" ref="FS152:FS183" si="201">IF(EI152="", "", EI152*AJ$36)</f>
        <v>0</v>
      </c>
      <c r="FT152" s="139">
        <f t="shared" ref="FT152:FT183" si="202">IF(EJ152="", "", EJ152*AK$36)</f>
        <v>0</v>
      </c>
      <c r="FU152" s="148">
        <f t="shared" ref="FU152:FU183" si="203">IF(EP152="","",SUM(EP152:FT152))</f>
        <v>0</v>
      </c>
      <c r="FV152" s="149"/>
      <c r="FY152" s="210">
        <v>147</v>
      </c>
      <c r="FZ152">
        <v>0.34523114235979718</v>
      </c>
      <c r="GA152">
        <v>1.3808766220225659</v>
      </c>
      <c r="GB152">
        <v>1.0445179814772214</v>
      </c>
      <c r="GC152">
        <v>0.83053395036248268</v>
      </c>
      <c r="GD152">
        <v>1.2756206975824238</v>
      </c>
      <c r="GE152">
        <v>2.3216071762429333</v>
      </c>
      <c r="GF152">
        <v>1.0712213032574254</v>
      </c>
      <c r="GG152">
        <v>0.16807232891341395</v>
      </c>
      <c r="GH152">
        <v>0</v>
      </c>
      <c r="GI152">
        <v>1.4911779516121493</v>
      </c>
      <c r="GJ152"/>
      <c r="GK152"/>
      <c r="GL152"/>
      <c r="GM152"/>
    </row>
    <row r="153" spans="1:195" s="7" customFormat="1">
      <c r="A153" s="77"/>
      <c r="B153" s="76">
        <f ca="1">IF(C153="", "", RAND())</f>
        <v>2.3575012369333681E-2</v>
      </c>
      <c r="C153">
        <v>9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10.416666666666666</v>
      </c>
      <c r="J153">
        <v>0</v>
      </c>
      <c r="K153">
        <v>10.416666666666666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4.9814369658119659</v>
      </c>
      <c r="AO153">
        <v>5.1890484853649035</v>
      </c>
      <c r="AP153">
        <v>22.736125924529421</v>
      </c>
      <c r="AQ153">
        <v>20.979704754313634</v>
      </c>
      <c r="AR153">
        <v>4.7607233568192839</v>
      </c>
      <c r="AS153">
        <v>23.343479514424047</v>
      </c>
      <c r="AT153" t="e">
        <v>#DIV/0!</v>
      </c>
      <c r="AU153" t="e">
        <v>#DIV/0!</v>
      </c>
      <c r="AV153"/>
      <c r="AW153"/>
      <c r="AX153" s="151"/>
      <c r="AY153" s="76">
        <f t="shared" ca="1" si="169"/>
        <v>0.98428215524003848</v>
      </c>
      <c r="AZ153">
        <v>6</v>
      </c>
      <c r="BA153" s="129">
        <f t="shared" si="168"/>
        <v>39847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 s="147"/>
      <c r="CH153" s="176"/>
      <c r="CJ153" s="151"/>
      <c r="CK153" s="76">
        <f t="shared" ref="CK153:CK207" ca="1" si="204">IF(AZ153="", "", RAND())</f>
        <v>0.32248486182328784</v>
      </c>
      <c r="CL153" s="179">
        <f t="shared" ref="CL153:CL207" si="205">IF(AZ153="", "", AZ153)</f>
        <v>6</v>
      </c>
      <c r="CM153" s="180">
        <f t="shared" ref="CM153:CM207" si="206">IF(AZ153="", "", BA153)</f>
        <v>39847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 s="160"/>
      <c r="CW153">
        <v>1</v>
      </c>
      <c r="CX153">
        <v>1</v>
      </c>
      <c r="CY153" s="160"/>
      <c r="CZ153" s="177">
        <f t="shared" ref="CZ153:CZ207" si="207">IF(AZ153="", "", $G$15)</f>
        <v>9.6000000000000002E-2</v>
      </c>
      <c r="DB153" s="151"/>
      <c r="DC153" s="76">
        <f t="shared" ca="1" si="170"/>
        <v>0.65259812009143858</v>
      </c>
      <c r="DD153">
        <f t="shared" ref="DD153:DD207" si="208">IF(AZ153="", "", AZ153)</f>
        <v>6</v>
      </c>
      <c r="DE153" s="129">
        <f t="shared" si="167"/>
        <v>39847</v>
      </c>
      <c r="DF153" s="161">
        <f t="shared" ref="DF153:DF187" si="209">IF($AZ153="", "", ((BB153*$CW153)+(CN153*$CX153))/$CZ153)</f>
        <v>0</v>
      </c>
      <c r="DG153" s="161">
        <f t="shared" ref="DG153:DG187" si="210">IF($AZ153="", "", ((BC153*$CW153)+(CO153*$CX153))/$CZ153)</f>
        <v>0</v>
      </c>
      <c r="DH153" s="161">
        <f t="shared" ref="DH153:DH187" si="211">IF($AZ153="", "", ((BD153*$CW153)+(CP153*$CX153))/$CZ153)</f>
        <v>0</v>
      </c>
      <c r="DI153" s="161">
        <f t="shared" ref="DI153:DI187" si="212">IF($AZ153="", "", ((BE153*$CW153)+(CQ153*$CX153))/$CZ153)</f>
        <v>0</v>
      </c>
      <c r="DJ153" s="161">
        <f t="shared" ref="DJ153:DJ187" si="213">IF($AZ153="", "", ((BF153*$CW153)+(CR153*$CX153))/$CZ153)</f>
        <v>0</v>
      </c>
      <c r="DK153" s="161">
        <f t="shared" ref="DK153:DK187" si="214">IF($AZ153="", "", ((BG153*$CW153)+(CS153*$CX153))/$CZ153)</f>
        <v>0</v>
      </c>
      <c r="DL153" s="161">
        <f t="shared" ref="DL153:DL187" si="215">IF($AZ153="", "", ((BH153*$CW153)+(CT153*$CX153))/$CZ153)</f>
        <v>0</v>
      </c>
      <c r="DM153" s="161">
        <f t="shared" ref="DM153:DM187" si="216">IF($AZ153="", "", ((BI153*$CW153)+(CU153*$CX153))/$CZ153)</f>
        <v>0</v>
      </c>
      <c r="DN153" s="161">
        <f t="shared" ref="DN153:DN187" si="217">IF($AZ153="", "", (BJ153*$CW153)/$CZ153)</f>
        <v>0</v>
      </c>
      <c r="DO153" s="161">
        <f t="shared" ref="DO153:DO187" si="218">IF($AZ153="", "", (BK153*$CW153)/$CZ153)</f>
        <v>0</v>
      </c>
      <c r="DP153" s="161">
        <f t="shared" ref="DP153:DP187" si="219">IF($AZ153="", "", (BL153*$CW153)/$CZ153)</f>
        <v>0</v>
      </c>
      <c r="DQ153" s="161">
        <f t="shared" ref="DQ153:DQ187" si="220">IF($AZ153="", "", (BM153*$CW153)/$CZ153)</f>
        <v>0</v>
      </c>
      <c r="DR153" s="161">
        <f t="shared" ref="DR153:DR187" si="221">IF($AZ153="", "", (BN153*$CW153)/$CZ153)</f>
        <v>0</v>
      </c>
      <c r="DS153" s="161">
        <f t="shared" ref="DS153:DS187" si="222">IF($AZ153="", "", (BO153*$CW153)/$CZ153)</f>
        <v>0</v>
      </c>
      <c r="DT153" s="161">
        <f t="shared" ref="DT153:DT187" si="223">IF($AZ153="", "", (BP153*$CW153)/$CZ153)</f>
        <v>0</v>
      </c>
      <c r="DU153" s="161">
        <f t="shared" ref="DU153:DU187" si="224">IF($AZ153="", "", (BQ153*$CW153)/$CZ153)</f>
        <v>0</v>
      </c>
      <c r="DV153" s="161">
        <f t="shared" ref="DV153:DV187" si="225">IF($AZ153="", "", (BR153*$CW153)/$CZ153)</f>
        <v>0</v>
      </c>
      <c r="DW153" s="161">
        <f t="shared" ref="DW153:DW187" si="226">IF($AZ153="", "", (BS153*$CW153)/$CZ153)</f>
        <v>0</v>
      </c>
      <c r="DX153" s="161">
        <f t="shared" ref="DX153:DX187" si="227">IF($AZ153="", "", (BT153*$CW153)/$CZ153)</f>
        <v>0</v>
      </c>
      <c r="DY153" s="161">
        <f t="shared" ref="DY153:DY187" si="228">IF($AZ153="", "", (BU153*$CW153)/$CZ153)</f>
        <v>0</v>
      </c>
      <c r="DZ153" s="161">
        <f t="shared" ref="DZ153:DZ187" si="229">IF($AZ153="", "", (BV153*$CW153)/$CZ153)</f>
        <v>0</v>
      </c>
      <c r="EA153" s="161">
        <f t="shared" ref="EA153:EA187" si="230">IF($AZ153="", "", (BW153*$CW153)/$CZ153)</f>
        <v>0</v>
      </c>
      <c r="EB153" s="161">
        <f t="shared" ref="EB153:EB187" si="231">IF($AZ153="", "", (BX153*$CW153)/$CZ153)</f>
        <v>0</v>
      </c>
      <c r="EC153" s="161">
        <f t="shared" ref="EC153:EC187" si="232">IF($AZ153="", "", (BY153*$CW153)/$CZ153)</f>
        <v>0</v>
      </c>
      <c r="ED153" s="161">
        <f t="shared" ref="ED153:ED187" si="233">IF($AZ153="", "", (BZ153*$CW153)/$CZ153)</f>
        <v>0</v>
      </c>
      <c r="EE153" s="161">
        <f t="shared" ref="EE153:EE187" si="234">IF($AZ153="", "", (CA153*$CW153)/$CZ153)</f>
        <v>0</v>
      </c>
      <c r="EF153" s="161">
        <f t="shared" ref="EF153:EF187" si="235">IF($AZ153="", "", (CB153*$CW153)/$CZ153)</f>
        <v>0</v>
      </c>
      <c r="EG153" s="161">
        <f t="shared" ref="EG153:EG187" si="236">IF($AZ153="", "", (CC153*$CW153)/$CZ153)</f>
        <v>0</v>
      </c>
      <c r="EH153" s="161">
        <f t="shared" ref="EH153:EH187" si="237">IF($AZ153="", "", (CD153*$CW153)/$CZ153)</f>
        <v>0</v>
      </c>
      <c r="EI153" s="161">
        <f t="shared" ref="EI153:EI187" si="238">IF($AZ153="", "", (CE153*$CW153)/$CZ153)</f>
        <v>0</v>
      </c>
      <c r="EJ153" s="161">
        <f t="shared" ref="EJ153:EJ187" si="239">IF($AZ153="", "", (CF153*$CW153)/$CZ153)</f>
        <v>0</v>
      </c>
      <c r="EK153" s="147">
        <f t="shared" si="171"/>
        <v>0</v>
      </c>
      <c r="EL153" s="149"/>
      <c r="EN153" s="151"/>
      <c r="EO153" s="151"/>
      <c r="EP153" s="139">
        <f t="shared" si="172"/>
        <v>0</v>
      </c>
      <c r="EQ153" s="139">
        <f t="shared" si="173"/>
        <v>0</v>
      </c>
      <c r="ER153" s="139">
        <f t="shared" si="174"/>
        <v>0</v>
      </c>
      <c r="ES153" s="139">
        <f t="shared" si="175"/>
        <v>0</v>
      </c>
      <c r="ET153" s="139">
        <f t="shared" si="176"/>
        <v>0</v>
      </c>
      <c r="EU153" s="139">
        <f t="shared" si="177"/>
        <v>0</v>
      </c>
      <c r="EV153" s="139">
        <f t="shared" si="178"/>
        <v>0</v>
      </c>
      <c r="EW153" s="139">
        <f t="shared" si="179"/>
        <v>0</v>
      </c>
      <c r="EX153" s="139">
        <f t="shared" si="180"/>
        <v>0</v>
      </c>
      <c r="EY153" s="139">
        <f t="shared" si="181"/>
        <v>0</v>
      </c>
      <c r="EZ153" s="139">
        <f t="shared" si="182"/>
        <v>0</v>
      </c>
      <c r="FA153" s="139">
        <f t="shared" si="183"/>
        <v>0</v>
      </c>
      <c r="FB153" s="139">
        <f t="shared" si="184"/>
        <v>0</v>
      </c>
      <c r="FC153" s="139">
        <f t="shared" si="185"/>
        <v>0</v>
      </c>
      <c r="FD153" s="139">
        <f t="shared" si="186"/>
        <v>0</v>
      </c>
      <c r="FE153" s="139">
        <f t="shared" si="187"/>
        <v>0</v>
      </c>
      <c r="FF153" s="139">
        <f t="shared" si="188"/>
        <v>0</v>
      </c>
      <c r="FG153" s="139">
        <f t="shared" si="189"/>
        <v>0</v>
      </c>
      <c r="FH153" s="139">
        <f t="shared" si="190"/>
        <v>0</v>
      </c>
      <c r="FI153" s="139">
        <f t="shared" si="191"/>
        <v>0</v>
      </c>
      <c r="FJ153" s="139">
        <f t="shared" si="192"/>
        <v>0</v>
      </c>
      <c r="FK153" s="139">
        <f t="shared" si="193"/>
        <v>0</v>
      </c>
      <c r="FL153" s="139">
        <f t="shared" si="194"/>
        <v>0</v>
      </c>
      <c r="FM153" s="139">
        <f t="shared" si="195"/>
        <v>0</v>
      </c>
      <c r="FN153" s="139">
        <f t="shared" si="196"/>
        <v>0</v>
      </c>
      <c r="FO153" s="139">
        <f t="shared" si="197"/>
        <v>0</v>
      </c>
      <c r="FP153" s="139">
        <f t="shared" si="198"/>
        <v>0</v>
      </c>
      <c r="FQ153" s="139">
        <f t="shared" si="199"/>
        <v>0</v>
      </c>
      <c r="FR153" s="139">
        <f t="shared" si="200"/>
        <v>0</v>
      </c>
      <c r="FS153" s="139">
        <f t="shared" si="201"/>
        <v>0</v>
      </c>
      <c r="FT153" s="139">
        <f t="shared" si="202"/>
        <v>0</v>
      </c>
      <c r="FU153" s="148">
        <f t="shared" si="203"/>
        <v>0</v>
      </c>
      <c r="FV153" s="149"/>
      <c r="FY153" s="210">
        <v>148</v>
      </c>
      <c r="FZ153">
        <v>0.2456818880042031</v>
      </c>
      <c r="GA153">
        <v>5.2603250842874782</v>
      </c>
      <c r="GB153">
        <v>2.3740275701431752</v>
      </c>
      <c r="GC153">
        <v>0.42476052694407895</v>
      </c>
      <c r="GD153">
        <v>1.6888837578079525</v>
      </c>
      <c r="GE153">
        <v>2.8278594985056724</v>
      </c>
      <c r="GF153">
        <v>0.76065990848440423</v>
      </c>
      <c r="GG153">
        <v>2.5962977664204407</v>
      </c>
      <c r="GH153">
        <v>2.6495207003364443</v>
      </c>
      <c r="GI153">
        <v>2.4226196841945646</v>
      </c>
      <c r="GJ153"/>
      <c r="GK153"/>
      <c r="GL153"/>
      <c r="GM153"/>
    </row>
    <row r="154" spans="1:195" s="7" customFormat="1">
      <c r="A154" s="77"/>
      <c r="B154" s="76">
        <f ca="1">IF(C154="", "", RAND())</f>
        <v>0.30532833100883039</v>
      </c>
      <c r="C154">
        <v>2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8.9866452991452981</v>
      </c>
      <c r="AO154">
        <v>11.058183509095041</v>
      </c>
      <c r="AP154">
        <v>36.207386776276067</v>
      </c>
      <c r="AQ154">
        <v>37.260716208720737</v>
      </c>
      <c r="AR154">
        <v>10.152324764070144</v>
      </c>
      <c r="AS154">
        <v>61.330591627326093</v>
      </c>
      <c r="AT154" t="e">
        <v>#DIV/0!</v>
      </c>
      <c r="AU154" t="e">
        <v>#DIV/0!</v>
      </c>
      <c r="AV154"/>
      <c r="AW154"/>
      <c r="AX154" s="151"/>
      <c r="AY154" s="76">
        <f t="shared" ca="1" si="169"/>
        <v>8.4682230952232151E-2</v>
      </c>
      <c r="AZ154">
        <v>7</v>
      </c>
      <c r="BA154" s="129">
        <f t="shared" si="168"/>
        <v>39847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 s="147"/>
      <c r="CH154" s="176"/>
      <c r="CJ154" s="151"/>
      <c r="CK154" s="76">
        <f t="shared" ca="1" si="204"/>
        <v>0.32628514772645634</v>
      </c>
      <c r="CL154" s="179">
        <f t="shared" si="205"/>
        <v>7</v>
      </c>
      <c r="CM154" s="180">
        <f t="shared" si="206"/>
        <v>39847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 s="160"/>
      <c r="CW154">
        <v>1</v>
      </c>
      <c r="CX154">
        <v>1</v>
      </c>
      <c r="CY154" s="165"/>
      <c r="CZ154" s="177">
        <f t="shared" si="207"/>
        <v>9.6000000000000002E-2</v>
      </c>
      <c r="DB154" s="151"/>
      <c r="DC154" s="76">
        <f t="shared" ca="1" si="170"/>
        <v>0.44124736988528057</v>
      </c>
      <c r="DD154">
        <f t="shared" si="208"/>
        <v>7</v>
      </c>
      <c r="DE154" s="129">
        <f t="shared" si="167"/>
        <v>39847</v>
      </c>
      <c r="DF154" s="161">
        <f t="shared" si="209"/>
        <v>0</v>
      </c>
      <c r="DG154" s="161">
        <f t="shared" si="210"/>
        <v>0</v>
      </c>
      <c r="DH154" s="161">
        <f t="shared" si="211"/>
        <v>0</v>
      </c>
      <c r="DI154" s="161">
        <f t="shared" si="212"/>
        <v>0</v>
      </c>
      <c r="DJ154" s="161">
        <f t="shared" si="213"/>
        <v>0</v>
      </c>
      <c r="DK154" s="161">
        <f t="shared" si="214"/>
        <v>0</v>
      </c>
      <c r="DL154" s="161">
        <f t="shared" si="215"/>
        <v>0</v>
      </c>
      <c r="DM154" s="161">
        <f t="shared" si="216"/>
        <v>0</v>
      </c>
      <c r="DN154" s="161">
        <f t="shared" si="217"/>
        <v>0</v>
      </c>
      <c r="DO154" s="161">
        <f t="shared" si="218"/>
        <v>0</v>
      </c>
      <c r="DP154" s="161">
        <f t="shared" si="219"/>
        <v>0</v>
      </c>
      <c r="DQ154" s="161">
        <f t="shared" si="220"/>
        <v>0</v>
      </c>
      <c r="DR154" s="161">
        <f t="shared" si="221"/>
        <v>0</v>
      </c>
      <c r="DS154" s="161">
        <f t="shared" si="222"/>
        <v>0</v>
      </c>
      <c r="DT154" s="161">
        <f t="shared" si="223"/>
        <v>0</v>
      </c>
      <c r="DU154" s="161">
        <f t="shared" si="224"/>
        <v>0</v>
      </c>
      <c r="DV154" s="161">
        <f t="shared" si="225"/>
        <v>0</v>
      </c>
      <c r="DW154" s="161">
        <f t="shared" si="226"/>
        <v>0</v>
      </c>
      <c r="DX154" s="161">
        <f t="shared" si="227"/>
        <v>0</v>
      </c>
      <c r="DY154" s="161">
        <f t="shared" si="228"/>
        <v>0</v>
      </c>
      <c r="DZ154" s="161">
        <f t="shared" si="229"/>
        <v>0</v>
      </c>
      <c r="EA154" s="161">
        <f t="shared" si="230"/>
        <v>0</v>
      </c>
      <c r="EB154" s="161">
        <f t="shared" si="231"/>
        <v>0</v>
      </c>
      <c r="EC154" s="161">
        <f t="shared" si="232"/>
        <v>0</v>
      </c>
      <c r="ED154" s="161">
        <f t="shared" si="233"/>
        <v>0</v>
      </c>
      <c r="EE154" s="161">
        <f t="shared" si="234"/>
        <v>0</v>
      </c>
      <c r="EF154" s="161">
        <f t="shared" si="235"/>
        <v>0</v>
      </c>
      <c r="EG154" s="161">
        <f t="shared" si="236"/>
        <v>0</v>
      </c>
      <c r="EH154" s="161">
        <f t="shared" si="237"/>
        <v>0</v>
      </c>
      <c r="EI154" s="161">
        <f t="shared" si="238"/>
        <v>0</v>
      </c>
      <c r="EJ154" s="161">
        <f t="shared" si="239"/>
        <v>0</v>
      </c>
      <c r="EK154" s="147">
        <f t="shared" si="171"/>
        <v>0</v>
      </c>
      <c r="EL154" s="149"/>
      <c r="EN154" s="151"/>
      <c r="EO154" s="151"/>
      <c r="EP154" s="139">
        <f t="shared" si="172"/>
        <v>0</v>
      </c>
      <c r="EQ154" s="139">
        <f t="shared" si="173"/>
        <v>0</v>
      </c>
      <c r="ER154" s="139">
        <f t="shared" si="174"/>
        <v>0</v>
      </c>
      <c r="ES154" s="139">
        <f t="shared" si="175"/>
        <v>0</v>
      </c>
      <c r="ET154" s="139">
        <f t="shared" si="176"/>
        <v>0</v>
      </c>
      <c r="EU154" s="139">
        <f t="shared" si="177"/>
        <v>0</v>
      </c>
      <c r="EV154" s="139">
        <f t="shared" si="178"/>
        <v>0</v>
      </c>
      <c r="EW154" s="139">
        <f t="shared" si="179"/>
        <v>0</v>
      </c>
      <c r="EX154" s="139">
        <f t="shared" si="180"/>
        <v>0</v>
      </c>
      <c r="EY154" s="139">
        <f t="shared" si="181"/>
        <v>0</v>
      </c>
      <c r="EZ154" s="139">
        <f t="shared" si="182"/>
        <v>0</v>
      </c>
      <c r="FA154" s="139">
        <f t="shared" si="183"/>
        <v>0</v>
      </c>
      <c r="FB154" s="139">
        <f t="shared" si="184"/>
        <v>0</v>
      </c>
      <c r="FC154" s="139">
        <f t="shared" si="185"/>
        <v>0</v>
      </c>
      <c r="FD154" s="139">
        <f t="shared" si="186"/>
        <v>0</v>
      </c>
      <c r="FE154" s="139">
        <f t="shared" si="187"/>
        <v>0</v>
      </c>
      <c r="FF154" s="139">
        <f t="shared" si="188"/>
        <v>0</v>
      </c>
      <c r="FG154" s="139">
        <f t="shared" si="189"/>
        <v>0</v>
      </c>
      <c r="FH154" s="139">
        <f t="shared" si="190"/>
        <v>0</v>
      </c>
      <c r="FI154" s="139">
        <f t="shared" si="191"/>
        <v>0</v>
      </c>
      <c r="FJ154" s="139">
        <f t="shared" si="192"/>
        <v>0</v>
      </c>
      <c r="FK154" s="139">
        <f t="shared" si="193"/>
        <v>0</v>
      </c>
      <c r="FL154" s="139">
        <f t="shared" si="194"/>
        <v>0</v>
      </c>
      <c r="FM154" s="139">
        <f t="shared" si="195"/>
        <v>0</v>
      </c>
      <c r="FN154" s="139">
        <f t="shared" si="196"/>
        <v>0</v>
      </c>
      <c r="FO154" s="139">
        <f t="shared" si="197"/>
        <v>0</v>
      </c>
      <c r="FP154" s="139">
        <f t="shared" si="198"/>
        <v>0</v>
      </c>
      <c r="FQ154" s="139">
        <f t="shared" si="199"/>
        <v>0</v>
      </c>
      <c r="FR154" s="139">
        <f t="shared" si="200"/>
        <v>0</v>
      </c>
      <c r="FS154" s="139">
        <f t="shared" si="201"/>
        <v>0</v>
      </c>
      <c r="FT154" s="139">
        <f t="shared" si="202"/>
        <v>0</v>
      </c>
      <c r="FU154" s="148">
        <f t="shared" si="203"/>
        <v>0</v>
      </c>
      <c r="FV154" s="149"/>
      <c r="FY154" s="210">
        <v>149</v>
      </c>
      <c r="FZ154">
        <v>9.9549254355594113E-2</v>
      </c>
      <c r="GA154">
        <v>1.4670256949129752</v>
      </c>
      <c r="GB154">
        <v>1.808391305169379</v>
      </c>
      <c r="GC154">
        <v>6.2605775247042601</v>
      </c>
      <c r="GD154">
        <v>4.9635537559979861</v>
      </c>
      <c r="GE154">
        <v>2.0806755322874251</v>
      </c>
      <c r="GF154">
        <v>1.2613862803785265</v>
      </c>
      <c r="GG154">
        <v>1.7791509959019165</v>
      </c>
      <c r="GH154">
        <v>1.9871405252523333</v>
      </c>
      <c r="GI154">
        <v>4.6797285613657049</v>
      </c>
      <c r="GJ154"/>
      <c r="GK154"/>
      <c r="GL154"/>
      <c r="GM154"/>
    </row>
    <row r="155" spans="1:195" s="7" customFormat="1">
      <c r="A155" s="77"/>
      <c r="B155" s="76">
        <f ca="1">IF(C155="", "", RAND())</f>
        <v>8.3073553424727109E-2</v>
      </c>
      <c r="C155">
        <v>10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3.4756944444444442</v>
      </c>
      <c r="AO155">
        <v>3.3993770719224452</v>
      </c>
      <c r="AP155">
        <v>12.134371976949057</v>
      </c>
      <c r="AQ155">
        <v>11.703412793669472</v>
      </c>
      <c r="AR155">
        <v>3.1534110129150701</v>
      </c>
      <c r="AS155">
        <v>13.772413037822263</v>
      </c>
      <c r="AT155" t="e">
        <v>#DIV/0!</v>
      </c>
      <c r="AU155" t="e">
        <v>#DIV/0!</v>
      </c>
      <c r="AV155"/>
      <c r="AW155"/>
      <c r="AX155" s="151"/>
      <c r="AY155" s="76">
        <f t="shared" ca="1" si="169"/>
        <v>0.84073932586738143</v>
      </c>
      <c r="AZ155">
        <v>8</v>
      </c>
      <c r="BA155" s="129">
        <f t="shared" si="168"/>
        <v>39847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 s="147"/>
      <c r="CH155" s="176"/>
      <c r="CJ155" s="151"/>
      <c r="CK155" s="76">
        <f t="shared" ca="1" si="204"/>
        <v>0.79990293954035874</v>
      </c>
      <c r="CL155" s="179">
        <f t="shared" si="205"/>
        <v>8</v>
      </c>
      <c r="CM155" s="180">
        <f t="shared" si="206"/>
        <v>39847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 s="160"/>
      <c r="CW155">
        <v>1</v>
      </c>
      <c r="CX155">
        <f>360/54</f>
        <v>6.666666666666667</v>
      </c>
      <c r="CY155" s="165"/>
      <c r="CZ155" s="177">
        <f t="shared" si="207"/>
        <v>9.6000000000000002E-2</v>
      </c>
      <c r="DB155" s="151"/>
      <c r="DC155" s="76">
        <f t="shared" ca="1" si="170"/>
        <v>0.96649769277614794</v>
      </c>
      <c r="DD155">
        <f t="shared" si="208"/>
        <v>8</v>
      </c>
      <c r="DE155" s="129">
        <f t="shared" si="167"/>
        <v>39847</v>
      </c>
      <c r="DF155" s="161">
        <f t="shared" si="209"/>
        <v>0</v>
      </c>
      <c r="DG155" s="161">
        <f t="shared" si="210"/>
        <v>0</v>
      </c>
      <c r="DH155" s="161">
        <f t="shared" si="211"/>
        <v>0</v>
      </c>
      <c r="DI155" s="161">
        <f t="shared" si="212"/>
        <v>0</v>
      </c>
      <c r="DJ155" s="161">
        <f t="shared" si="213"/>
        <v>0</v>
      </c>
      <c r="DK155" s="161">
        <f t="shared" si="214"/>
        <v>0</v>
      </c>
      <c r="DL155" s="161">
        <f t="shared" si="215"/>
        <v>0</v>
      </c>
      <c r="DM155" s="161">
        <f t="shared" si="216"/>
        <v>0</v>
      </c>
      <c r="DN155" s="161">
        <f t="shared" si="217"/>
        <v>0</v>
      </c>
      <c r="DO155" s="161">
        <f t="shared" si="218"/>
        <v>0</v>
      </c>
      <c r="DP155" s="161">
        <f t="shared" si="219"/>
        <v>0</v>
      </c>
      <c r="DQ155" s="161">
        <f t="shared" si="220"/>
        <v>0</v>
      </c>
      <c r="DR155" s="161">
        <f t="shared" si="221"/>
        <v>0</v>
      </c>
      <c r="DS155" s="161">
        <f t="shared" si="222"/>
        <v>0</v>
      </c>
      <c r="DT155" s="161">
        <f t="shared" si="223"/>
        <v>0</v>
      </c>
      <c r="DU155" s="161">
        <f t="shared" si="224"/>
        <v>0</v>
      </c>
      <c r="DV155" s="161">
        <f t="shared" si="225"/>
        <v>0</v>
      </c>
      <c r="DW155" s="161">
        <f t="shared" si="226"/>
        <v>0</v>
      </c>
      <c r="DX155" s="161">
        <f t="shared" si="227"/>
        <v>0</v>
      </c>
      <c r="DY155" s="161">
        <f t="shared" si="228"/>
        <v>0</v>
      </c>
      <c r="DZ155" s="161">
        <f t="shared" si="229"/>
        <v>0</v>
      </c>
      <c r="EA155" s="161">
        <f t="shared" si="230"/>
        <v>0</v>
      </c>
      <c r="EB155" s="161">
        <f t="shared" si="231"/>
        <v>0</v>
      </c>
      <c r="EC155" s="161">
        <f t="shared" si="232"/>
        <v>0</v>
      </c>
      <c r="ED155" s="161">
        <f t="shared" si="233"/>
        <v>0</v>
      </c>
      <c r="EE155" s="161">
        <f t="shared" si="234"/>
        <v>0</v>
      </c>
      <c r="EF155" s="161">
        <f t="shared" si="235"/>
        <v>0</v>
      </c>
      <c r="EG155" s="161">
        <f t="shared" si="236"/>
        <v>0</v>
      </c>
      <c r="EH155" s="161">
        <f t="shared" si="237"/>
        <v>0</v>
      </c>
      <c r="EI155" s="161">
        <f t="shared" si="238"/>
        <v>0</v>
      </c>
      <c r="EJ155" s="161">
        <f t="shared" si="239"/>
        <v>0</v>
      </c>
      <c r="EK155" s="147">
        <f t="shared" si="171"/>
        <v>0</v>
      </c>
      <c r="EL155" s="149"/>
      <c r="EN155" s="151"/>
      <c r="EO155" s="151"/>
      <c r="EP155" s="139">
        <f t="shared" si="172"/>
        <v>0</v>
      </c>
      <c r="EQ155" s="139">
        <f t="shared" si="173"/>
        <v>0</v>
      </c>
      <c r="ER155" s="139">
        <f t="shared" si="174"/>
        <v>0</v>
      </c>
      <c r="ES155" s="139">
        <f t="shared" si="175"/>
        <v>0</v>
      </c>
      <c r="ET155" s="139">
        <f t="shared" si="176"/>
        <v>0</v>
      </c>
      <c r="EU155" s="139">
        <f t="shared" si="177"/>
        <v>0</v>
      </c>
      <c r="EV155" s="139">
        <f t="shared" si="178"/>
        <v>0</v>
      </c>
      <c r="EW155" s="139">
        <f t="shared" si="179"/>
        <v>0</v>
      </c>
      <c r="EX155" s="139">
        <f t="shared" si="180"/>
        <v>0</v>
      </c>
      <c r="EY155" s="139">
        <f t="shared" si="181"/>
        <v>0</v>
      </c>
      <c r="EZ155" s="139">
        <f t="shared" si="182"/>
        <v>0</v>
      </c>
      <c r="FA155" s="139">
        <f t="shared" si="183"/>
        <v>0</v>
      </c>
      <c r="FB155" s="139">
        <f t="shared" si="184"/>
        <v>0</v>
      </c>
      <c r="FC155" s="139">
        <f t="shared" si="185"/>
        <v>0</v>
      </c>
      <c r="FD155" s="139">
        <f t="shared" si="186"/>
        <v>0</v>
      </c>
      <c r="FE155" s="139">
        <f t="shared" si="187"/>
        <v>0</v>
      </c>
      <c r="FF155" s="139">
        <f t="shared" si="188"/>
        <v>0</v>
      </c>
      <c r="FG155" s="139">
        <f t="shared" si="189"/>
        <v>0</v>
      </c>
      <c r="FH155" s="139">
        <f t="shared" si="190"/>
        <v>0</v>
      </c>
      <c r="FI155" s="139">
        <f t="shared" si="191"/>
        <v>0</v>
      </c>
      <c r="FJ155" s="139">
        <f t="shared" si="192"/>
        <v>0</v>
      </c>
      <c r="FK155" s="139">
        <f t="shared" si="193"/>
        <v>0</v>
      </c>
      <c r="FL155" s="139">
        <f t="shared" si="194"/>
        <v>0</v>
      </c>
      <c r="FM155" s="139">
        <f t="shared" si="195"/>
        <v>0</v>
      </c>
      <c r="FN155" s="139">
        <f t="shared" si="196"/>
        <v>0</v>
      </c>
      <c r="FO155" s="139">
        <f t="shared" si="197"/>
        <v>0</v>
      </c>
      <c r="FP155" s="139">
        <f t="shared" si="198"/>
        <v>0</v>
      </c>
      <c r="FQ155" s="139">
        <f t="shared" si="199"/>
        <v>0</v>
      </c>
      <c r="FR155" s="139">
        <f t="shared" si="200"/>
        <v>0</v>
      </c>
      <c r="FS155" s="139">
        <f t="shared" si="201"/>
        <v>0</v>
      </c>
      <c r="FT155" s="139">
        <f t="shared" si="202"/>
        <v>0</v>
      </c>
      <c r="FU155" s="148">
        <f t="shared" si="203"/>
        <v>0</v>
      </c>
      <c r="FV155" s="149"/>
      <c r="FY155" s="210">
        <v>150</v>
      </c>
      <c r="FZ155">
        <v>0.27886497278940114</v>
      </c>
      <c r="GA155">
        <v>4.3264427687124662</v>
      </c>
      <c r="GB155">
        <v>1.9015739323906893</v>
      </c>
      <c r="GC155">
        <v>7.8807869457577162</v>
      </c>
      <c r="GD155">
        <v>6.2189792885164898</v>
      </c>
      <c r="GE155">
        <v>1.8866711072937405</v>
      </c>
      <c r="GF155">
        <v>2.3326075836359519</v>
      </c>
      <c r="GG155">
        <v>0.50421698674024196</v>
      </c>
      <c r="GH155">
        <v>0</v>
      </c>
      <c r="GI155">
        <v>5.449568989955095</v>
      </c>
      <c r="GJ155"/>
      <c r="GK155"/>
      <c r="GL155"/>
      <c r="GM155"/>
    </row>
    <row r="156" spans="1:195" s="7" customFormat="1">
      <c r="A156" s="77"/>
      <c r="B156" s="76">
        <f ca="1">IF(C156="", "", RAND())</f>
        <v>0.16102516748427953</v>
      </c>
      <c r="C156">
        <v>8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13.327171092796092</v>
      </c>
      <c r="AO156">
        <v>13.087833252128371</v>
      </c>
      <c r="AP156">
        <v>46.452519264005787</v>
      </c>
      <c r="AQ156">
        <v>44.807114698426872</v>
      </c>
      <c r="AR156">
        <v>12.087981953074818</v>
      </c>
      <c r="AS156">
        <v>59.683183485945527</v>
      </c>
      <c r="AT156" t="e">
        <v>#DIV/0!</v>
      </c>
      <c r="AU156" t="e">
        <v>#DIV/0!</v>
      </c>
      <c r="AV156"/>
      <c r="AW156"/>
      <c r="AX156" s="151"/>
      <c r="AY156" s="76">
        <f t="shared" ca="1" si="169"/>
        <v>0.95658032961726147</v>
      </c>
      <c r="AZ156">
        <v>9</v>
      </c>
      <c r="BA156" s="129">
        <f t="shared" si="168"/>
        <v>39847</v>
      </c>
      <c r="BB156">
        <v>0</v>
      </c>
      <c r="BC156">
        <v>0</v>
      </c>
      <c r="BD156">
        <v>0</v>
      </c>
      <c r="BE156">
        <v>0</v>
      </c>
      <c r="BF156">
        <v>1</v>
      </c>
      <c r="BG156">
        <v>0</v>
      </c>
      <c r="BH156">
        <v>1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 s="147"/>
      <c r="CH156" s="176"/>
      <c r="CJ156" s="151"/>
      <c r="CK156" s="76">
        <f t="shared" ca="1" si="204"/>
        <v>0.13187305165750463</v>
      </c>
      <c r="CL156" s="179">
        <f t="shared" si="205"/>
        <v>9</v>
      </c>
      <c r="CM156" s="180">
        <f t="shared" si="206"/>
        <v>39847</v>
      </c>
      <c r="CN156" s="220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 s="160"/>
      <c r="CW156">
        <v>1</v>
      </c>
      <c r="CX156">
        <f>350/56</f>
        <v>6.25</v>
      </c>
      <c r="CY156" s="165"/>
      <c r="CZ156" s="177">
        <f t="shared" si="207"/>
        <v>9.6000000000000002E-2</v>
      </c>
      <c r="DB156" s="151"/>
      <c r="DC156" s="76">
        <f t="shared" ca="1" si="170"/>
        <v>0.26310835026204793</v>
      </c>
      <c r="DD156">
        <f t="shared" si="208"/>
        <v>9</v>
      </c>
      <c r="DE156" s="129">
        <f t="shared" si="167"/>
        <v>39847</v>
      </c>
      <c r="DF156" s="161">
        <f t="shared" si="209"/>
        <v>0</v>
      </c>
      <c r="DG156" s="161">
        <f t="shared" si="210"/>
        <v>0</v>
      </c>
      <c r="DH156" s="161">
        <f t="shared" si="211"/>
        <v>0</v>
      </c>
      <c r="DI156" s="161">
        <f t="shared" si="212"/>
        <v>0</v>
      </c>
      <c r="DJ156" s="161">
        <f t="shared" si="213"/>
        <v>10.416666666666666</v>
      </c>
      <c r="DK156" s="161">
        <f t="shared" si="214"/>
        <v>0</v>
      </c>
      <c r="DL156" s="161">
        <f t="shared" si="215"/>
        <v>10.416666666666666</v>
      </c>
      <c r="DM156" s="161">
        <f t="shared" si="216"/>
        <v>0</v>
      </c>
      <c r="DN156" s="161">
        <f t="shared" si="217"/>
        <v>0</v>
      </c>
      <c r="DO156" s="161">
        <f t="shared" si="218"/>
        <v>0</v>
      </c>
      <c r="DP156" s="161">
        <f t="shared" si="219"/>
        <v>0</v>
      </c>
      <c r="DQ156" s="161">
        <f t="shared" si="220"/>
        <v>0</v>
      </c>
      <c r="DR156" s="161">
        <f t="shared" si="221"/>
        <v>0</v>
      </c>
      <c r="DS156" s="161">
        <f t="shared" si="222"/>
        <v>0</v>
      </c>
      <c r="DT156" s="161">
        <f t="shared" si="223"/>
        <v>0</v>
      </c>
      <c r="DU156" s="161">
        <f t="shared" si="224"/>
        <v>0</v>
      </c>
      <c r="DV156" s="161">
        <f t="shared" si="225"/>
        <v>0</v>
      </c>
      <c r="DW156" s="161">
        <f t="shared" si="226"/>
        <v>0</v>
      </c>
      <c r="DX156" s="161">
        <f t="shared" si="227"/>
        <v>0</v>
      </c>
      <c r="DY156" s="161">
        <f t="shared" si="228"/>
        <v>0</v>
      </c>
      <c r="DZ156" s="161">
        <f t="shared" si="229"/>
        <v>0</v>
      </c>
      <c r="EA156" s="161">
        <f t="shared" si="230"/>
        <v>0</v>
      </c>
      <c r="EB156" s="161">
        <f t="shared" si="231"/>
        <v>0</v>
      </c>
      <c r="EC156" s="161">
        <f t="shared" si="232"/>
        <v>0</v>
      </c>
      <c r="ED156" s="161">
        <f t="shared" si="233"/>
        <v>0</v>
      </c>
      <c r="EE156" s="161">
        <f t="shared" si="234"/>
        <v>0</v>
      </c>
      <c r="EF156" s="161">
        <f t="shared" si="235"/>
        <v>0</v>
      </c>
      <c r="EG156" s="161">
        <f t="shared" si="236"/>
        <v>0</v>
      </c>
      <c r="EH156" s="161">
        <f t="shared" si="237"/>
        <v>0</v>
      </c>
      <c r="EI156" s="161">
        <f t="shared" si="238"/>
        <v>0</v>
      </c>
      <c r="EJ156" s="161">
        <f t="shared" si="239"/>
        <v>0</v>
      </c>
      <c r="EK156" s="147">
        <f t="shared" si="171"/>
        <v>20.833333333333332</v>
      </c>
      <c r="EL156" s="149"/>
      <c r="EN156" s="151"/>
      <c r="EO156" s="151"/>
      <c r="EP156" s="139">
        <f t="shared" si="172"/>
        <v>0</v>
      </c>
      <c r="EQ156" s="139">
        <f t="shared" si="173"/>
        <v>0</v>
      </c>
      <c r="ER156" s="139">
        <f t="shared" si="174"/>
        <v>0</v>
      </c>
      <c r="ES156" s="139">
        <f t="shared" si="175"/>
        <v>0</v>
      </c>
      <c r="ET156" s="139">
        <f t="shared" si="176"/>
        <v>4.9047031276338604</v>
      </c>
      <c r="EU156" s="139">
        <f t="shared" si="177"/>
        <v>0</v>
      </c>
      <c r="EV156" s="139">
        <f t="shared" si="178"/>
        <v>15.818462950080853</v>
      </c>
      <c r="EW156" s="139">
        <f t="shared" si="179"/>
        <v>0</v>
      </c>
      <c r="EX156" s="139">
        <f t="shared" si="180"/>
        <v>0</v>
      </c>
      <c r="EY156" s="139">
        <f t="shared" si="181"/>
        <v>0</v>
      </c>
      <c r="EZ156" s="139">
        <f t="shared" si="182"/>
        <v>0</v>
      </c>
      <c r="FA156" s="139">
        <f t="shared" si="183"/>
        <v>0</v>
      </c>
      <c r="FB156" s="139">
        <f t="shared" si="184"/>
        <v>0</v>
      </c>
      <c r="FC156" s="139">
        <f t="shared" si="185"/>
        <v>0</v>
      </c>
      <c r="FD156" s="139">
        <f t="shared" si="186"/>
        <v>0</v>
      </c>
      <c r="FE156" s="139">
        <f t="shared" si="187"/>
        <v>0</v>
      </c>
      <c r="FF156" s="139">
        <f t="shared" si="188"/>
        <v>0</v>
      </c>
      <c r="FG156" s="139">
        <f t="shared" si="189"/>
        <v>0</v>
      </c>
      <c r="FH156" s="139">
        <f t="shared" si="190"/>
        <v>0</v>
      </c>
      <c r="FI156" s="139">
        <f t="shared" si="191"/>
        <v>0</v>
      </c>
      <c r="FJ156" s="139">
        <f t="shared" si="192"/>
        <v>0</v>
      </c>
      <c r="FK156" s="139">
        <f t="shared" si="193"/>
        <v>0</v>
      </c>
      <c r="FL156" s="139">
        <f t="shared" si="194"/>
        <v>0</v>
      </c>
      <c r="FM156" s="139">
        <f t="shared" si="195"/>
        <v>0</v>
      </c>
      <c r="FN156" s="139">
        <f t="shared" si="196"/>
        <v>0</v>
      </c>
      <c r="FO156" s="139">
        <f t="shared" si="197"/>
        <v>0</v>
      </c>
      <c r="FP156" s="139">
        <f t="shared" si="198"/>
        <v>0</v>
      </c>
      <c r="FQ156" s="139">
        <f t="shared" si="199"/>
        <v>0</v>
      </c>
      <c r="FR156" s="139">
        <f t="shared" si="200"/>
        <v>0</v>
      </c>
      <c r="FS156" s="139">
        <f t="shared" si="201"/>
        <v>0</v>
      </c>
      <c r="FT156" s="139">
        <f t="shared" si="202"/>
        <v>0</v>
      </c>
      <c r="FU156" s="148">
        <f t="shared" si="203"/>
        <v>20.723166077714716</v>
      </c>
      <c r="FV156" s="149"/>
      <c r="FY156" s="210">
        <v>151</v>
      </c>
      <c r="FZ156">
        <v>0</v>
      </c>
      <c r="GA156">
        <v>8.7166926376574008</v>
      </c>
      <c r="GB156">
        <v>4.1477288492222497</v>
      </c>
      <c r="GC156">
        <v>6.5987157721155425</v>
      </c>
      <c r="GD156">
        <v>5.4797300762998038</v>
      </c>
      <c r="GE156">
        <v>1.2897128783094598</v>
      </c>
      <c r="GF156">
        <v>0.19016497712110106</v>
      </c>
      <c r="GG156">
        <v>1.6110786669885027</v>
      </c>
      <c r="GH156">
        <v>1.9871405252523333</v>
      </c>
      <c r="GI156">
        <v>5.4686161329956295</v>
      </c>
      <c r="GJ156"/>
      <c r="GK156"/>
      <c r="GL156"/>
      <c r="GM156"/>
    </row>
    <row r="157" spans="1:195" s="7" customFormat="1">
      <c r="A157" s="77"/>
      <c r="B157" s="76">
        <f ca="1">IF(C157="", "", RAND())</f>
        <v>0.25589534759999655</v>
      </c>
      <c r="C157">
        <v>5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6.3442841880341883</v>
      </c>
      <c r="AO157">
        <v>8.5867399793256336</v>
      </c>
      <c r="AP157">
        <v>32.771571024519773</v>
      </c>
      <c r="AQ157">
        <v>30.023960235266888</v>
      </c>
      <c r="AR157">
        <v>7.9654359734004023</v>
      </c>
      <c r="AS157">
        <v>32.727445671797483</v>
      </c>
      <c r="AT157" t="e">
        <v>#DIV/0!</v>
      </c>
      <c r="AU157" t="e">
        <v>#DIV/0!</v>
      </c>
      <c r="AV157"/>
      <c r="AW157"/>
      <c r="AX157" s="151"/>
      <c r="AY157" s="76">
        <f t="shared" ca="1" si="169"/>
        <v>0.17312178556840241</v>
      </c>
      <c r="AZ157">
        <v>10</v>
      </c>
      <c r="BA157" s="129">
        <f t="shared" si="168"/>
        <v>39847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 s="147"/>
      <c r="CH157" s="176"/>
      <c r="CJ157" s="151"/>
      <c r="CK157" s="76">
        <f t="shared" ca="1" si="204"/>
        <v>0.10548190728287477</v>
      </c>
      <c r="CL157" s="179">
        <f t="shared" si="205"/>
        <v>10</v>
      </c>
      <c r="CM157" s="180">
        <f t="shared" si="206"/>
        <v>39847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 s="160"/>
      <c r="CW157">
        <v>1</v>
      </c>
      <c r="CX157">
        <v>1</v>
      </c>
      <c r="CY157" s="165"/>
      <c r="CZ157" s="177">
        <f t="shared" si="207"/>
        <v>9.6000000000000002E-2</v>
      </c>
      <c r="DB157" s="151"/>
      <c r="DC157" s="76">
        <f t="shared" ca="1" si="170"/>
        <v>9.6939179941351483E-2</v>
      </c>
      <c r="DD157">
        <f t="shared" si="208"/>
        <v>10</v>
      </c>
      <c r="DE157" s="129">
        <f t="shared" si="167"/>
        <v>39847</v>
      </c>
      <c r="DF157" s="161">
        <f t="shared" si="209"/>
        <v>0</v>
      </c>
      <c r="DG157" s="161">
        <f t="shared" si="210"/>
        <v>0</v>
      </c>
      <c r="DH157" s="161">
        <f t="shared" si="211"/>
        <v>0</v>
      </c>
      <c r="DI157" s="161">
        <f t="shared" si="212"/>
        <v>0</v>
      </c>
      <c r="DJ157" s="161">
        <f t="shared" si="213"/>
        <v>0</v>
      </c>
      <c r="DK157" s="161">
        <f t="shared" si="214"/>
        <v>0</v>
      </c>
      <c r="DL157" s="161">
        <f t="shared" si="215"/>
        <v>0</v>
      </c>
      <c r="DM157" s="161">
        <f t="shared" si="216"/>
        <v>0</v>
      </c>
      <c r="DN157" s="161">
        <f t="shared" si="217"/>
        <v>0</v>
      </c>
      <c r="DO157" s="161">
        <f t="shared" si="218"/>
        <v>0</v>
      </c>
      <c r="DP157" s="161">
        <f t="shared" si="219"/>
        <v>0</v>
      </c>
      <c r="DQ157" s="161">
        <f t="shared" si="220"/>
        <v>0</v>
      </c>
      <c r="DR157" s="161">
        <f t="shared" si="221"/>
        <v>0</v>
      </c>
      <c r="DS157" s="161">
        <f t="shared" si="222"/>
        <v>0</v>
      </c>
      <c r="DT157" s="161">
        <f t="shared" si="223"/>
        <v>0</v>
      </c>
      <c r="DU157" s="161">
        <f t="shared" si="224"/>
        <v>0</v>
      </c>
      <c r="DV157" s="161">
        <f t="shared" si="225"/>
        <v>0</v>
      </c>
      <c r="DW157" s="161">
        <f t="shared" si="226"/>
        <v>0</v>
      </c>
      <c r="DX157" s="161">
        <f t="shared" si="227"/>
        <v>0</v>
      </c>
      <c r="DY157" s="161">
        <f t="shared" si="228"/>
        <v>0</v>
      </c>
      <c r="DZ157" s="161">
        <f t="shared" si="229"/>
        <v>0</v>
      </c>
      <c r="EA157" s="161">
        <f t="shared" si="230"/>
        <v>0</v>
      </c>
      <c r="EB157" s="161">
        <f t="shared" si="231"/>
        <v>0</v>
      </c>
      <c r="EC157" s="161">
        <f t="shared" si="232"/>
        <v>0</v>
      </c>
      <c r="ED157" s="161">
        <f t="shared" si="233"/>
        <v>0</v>
      </c>
      <c r="EE157" s="161">
        <f t="shared" si="234"/>
        <v>0</v>
      </c>
      <c r="EF157" s="161">
        <f t="shared" si="235"/>
        <v>0</v>
      </c>
      <c r="EG157" s="161">
        <f t="shared" si="236"/>
        <v>0</v>
      </c>
      <c r="EH157" s="161">
        <f t="shared" si="237"/>
        <v>0</v>
      </c>
      <c r="EI157" s="161">
        <f t="shared" si="238"/>
        <v>0</v>
      </c>
      <c r="EJ157" s="161">
        <f t="shared" si="239"/>
        <v>0</v>
      </c>
      <c r="EK157" s="147">
        <f t="shared" si="171"/>
        <v>0</v>
      </c>
      <c r="EL157" s="149"/>
      <c r="EN157" s="151"/>
      <c r="EO157" s="151"/>
      <c r="EP157" s="139">
        <f t="shared" si="172"/>
        <v>0</v>
      </c>
      <c r="EQ157" s="139">
        <f t="shared" si="173"/>
        <v>0</v>
      </c>
      <c r="ER157" s="139">
        <f t="shared" si="174"/>
        <v>0</v>
      </c>
      <c r="ES157" s="139">
        <f t="shared" si="175"/>
        <v>0</v>
      </c>
      <c r="ET157" s="139">
        <f t="shared" si="176"/>
        <v>0</v>
      </c>
      <c r="EU157" s="139">
        <f t="shared" si="177"/>
        <v>0</v>
      </c>
      <c r="EV157" s="139">
        <f t="shared" si="178"/>
        <v>0</v>
      </c>
      <c r="EW157" s="139">
        <f t="shared" si="179"/>
        <v>0</v>
      </c>
      <c r="EX157" s="139">
        <f t="shared" si="180"/>
        <v>0</v>
      </c>
      <c r="EY157" s="139">
        <f t="shared" si="181"/>
        <v>0</v>
      </c>
      <c r="EZ157" s="139">
        <f t="shared" si="182"/>
        <v>0</v>
      </c>
      <c r="FA157" s="139">
        <f t="shared" si="183"/>
        <v>0</v>
      </c>
      <c r="FB157" s="139">
        <f t="shared" si="184"/>
        <v>0</v>
      </c>
      <c r="FC157" s="139">
        <f t="shared" si="185"/>
        <v>0</v>
      </c>
      <c r="FD157" s="139">
        <f t="shared" si="186"/>
        <v>0</v>
      </c>
      <c r="FE157" s="139">
        <f t="shared" si="187"/>
        <v>0</v>
      </c>
      <c r="FF157" s="139">
        <f t="shared" si="188"/>
        <v>0</v>
      </c>
      <c r="FG157" s="139">
        <f t="shared" si="189"/>
        <v>0</v>
      </c>
      <c r="FH157" s="139">
        <f t="shared" si="190"/>
        <v>0</v>
      </c>
      <c r="FI157" s="139">
        <f t="shared" si="191"/>
        <v>0</v>
      </c>
      <c r="FJ157" s="139">
        <f t="shared" si="192"/>
        <v>0</v>
      </c>
      <c r="FK157" s="139">
        <f t="shared" si="193"/>
        <v>0</v>
      </c>
      <c r="FL157" s="139">
        <f t="shared" si="194"/>
        <v>0</v>
      </c>
      <c r="FM157" s="139">
        <f t="shared" si="195"/>
        <v>0</v>
      </c>
      <c r="FN157" s="139">
        <f t="shared" si="196"/>
        <v>0</v>
      </c>
      <c r="FO157" s="139">
        <f t="shared" si="197"/>
        <v>0</v>
      </c>
      <c r="FP157" s="139">
        <f t="shared" si="198"/>
        <v>0</v>
      </c>
      <c r="FQ157" s="139">
        <f t="shared" si="199"/>
        <v>0</v>
      </c>
      <c r="FR157" s="139">
        <f t="shared" si="200"/>
        <v>0</v>
      </c>
      <c r="FS157" s="139">
        <f t="shared" si="201"/>
        <v>0</v>
      </c>
      <c r="FT157" s="139">
        <f t="shared" si="202"/>
        <v>0</v>
      </c>
      <c r="FU157" s="148">
        <f t="shared" si="203"/>
        <v>0</v>
      </c>
      <c r="FV157" s="149"/>
      <c r="FY157" s="210">
        <v>152</v>
      </c>
      <c r="FZ157">
        <v>3.3183084785198033E-2</v>
      </c>
      <c r="GA157">
        <v>0.29002507178084797</v>
      </c>
      <c r="GB157">
        <v>0.12787265331161465</v>
      </c>
      <c r="GC157">
        <v>6.0330466388768391</v>
      </c>
      <c r="GD157">
        <v>4.6034772898149026</v>
      </c>
      <c r="GE157">
        <v>0.31351368791317175</v>
      </c>
      <c r="GF157">
        <v>0.19016497712110106</v>
      </c>
      <c r="GG157">
        <v>1.6110786669885027</v>
      </c>
      <c r="GH157">
        <v>1.9871405252523333</v>
      </c>
      <c r="GI157">
        <v>3.7292804867266476</v>
      </c>
      <c r="GJ157"/>
      <c r="GK157"/>
      <c r="GL157"/>
      <c r="GM157"/>
    </row>
    <row r="158" spans="1:195" s="7" customFormat="1">
      <c r="A158" s="128"/>
      <c r="B158" s="76">
        <f ca="1">IF(C158="", "", RAND())</f>
        <v>0.24403936681553073</v>
      </c>
      <c r="C158">
        <v>1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11.065514346764346</v>
      </c>
      <c r="AO158">
        <v>11.16402104211366</v>
      </c>
      <c r="AP158">
        <v>37.872053568651751</v>
      </c>
      <c r="AQ158">
        <v>37.987728899681478</v>
      </c>
      <c r="AR158">
        <v>10.35623473294403</v>
      </c>
      <c r="AS158">
        <v>54.225906473430513</v>
      </c>
      <c r="AT158" t="e">
        <v>#DIV/0!</v>
      </c>
      <c r="AU158" t="e">
        <v>#DIV/0!</v>
      </c>
      <c r="AV158"/>
      <c r="AW158"/>
      <c r="AX158" s="128"/>
      <c r="AY158" s="76">
        <f t="shared" ca="1" si="169"/>
        <v>0.83245840164102392</v>
      </c>
      <c r="AZ158">
        <v>1</v>
      </c>
      <c r="BA158" s="129">
        <f>IF(AZ158="", "",$C$11)</f>
        <v>39910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 s="147"/>
      <c r="CH158" s="176"/>
      <c r="CJ158" s="128"/>
      <c r="CK158" s="76">
        <f t="shared" ca="1" si="204"/>
        <v>0.87144369016119416</v>
      </c>
      <c r="CL158" s="179">
        <f t="shared" si="205"/>
        <v>1</v>
      </c>
      <c r="CM158" s="180">
        <f t="shared" si="206"/>
        <v>39910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 s="160"/>
      <c r="CW158">
        <v>1</v>
      </c>
      <c r="CX158">
        <v>1</v>
      </c>
      <c r="CY158" s="160"/>
      <c r="CZ158" s="177">
        <f t="shared" si="207"/>
        <v>9.6000000000000002E-2</v>
      </c>
      <c r="DB158" s="128"/>
      <c r="DC158" s="76">
        <f t="shared" ca="1" si="170"/>
        <v>0.51142426268885033</v>
      </c>
      <c r="DD158">
        <f t="shared" si="208"/>
        <v>1</v>
      </c>
      <c r="DE158" s="129">
        <f t="shared" ref="DE158:DE167" si="240">IF((DD158)="", "", $C$11)</f>
        <v>39910</v>
      </c>
      <c r="DF158" s="161">
        <f t="shared" si="209"/>
        <v>0</v>
      </c>
      <c r="DG158" s="161">
        <f t="shared" si="210"/>
        <v>0</v>
      </c>
      <c r="DH158" s="161">
        <f t="shared" si="211"/>
        <v>0</v>
      </c>
      <c r="DI158" s="161">
        <f t="shared" si="212"/>
        <v>0</v>
      </c>
      <c r="DJ158" s="161">
        <f t="shared" si="213"/>
        <v>0</v>
      </c>
      <c r="DK158" s="161">
        <f t="shared" si="214"/>
        <v>0</v>
      </c>
      <c r="DL158" s="161">
        <f t="shared" si="215"/>
        <v>0</v>
      </c>
      <c r="DM158" s="161">
        <f t="shared" si="216"/>
        <v>0</v>
      </c>
      <c r="DN158" s="161">
        <f t="shared" si="217"/>
        <v>0</v>
      </c>
      <c r="DO158" s="161">
        <f t="shared" si="218"/>
        <v>0</v>
      </c>
      <c r="DP158" s="161">
        <f t="shared" si="219"/>
        <v>0</v>
      </c>
      <c r="DQ158" s="161">
        <f t="shared" si="220"/>
        <v>0</v>
      </c>
      <c r="DR158" s="161">
        <f t="shared" si="221"/>
        <v>0</v>
      </c>
      <c r="DS158" s="161">
        <f t="shared" si="222"/>
        <v>0</v>
      </c>
      <c r="DT158" s="161">
        <f t="shared" si="223"/>
        <v>0</v>
      </c>
      <c r="DU158" s="161">
        <f t="shared" si="224"/>
        <v>0</v>
      </c>
      <c r="DV158" s="161">
        <f t="shared" si="225"/>
        <v>0</v>
      </c>
      <c r="DW158" s="161">
        <f t="shared" si="226"/>
        <v>0</v>
      </c>
      <c r="DX158" s="161">
        <f t="shared" si="227"/>
        <v>0</v>
      </c>
      <c r="DY158" s="161">
        <f t="shared" si="228"/>
        <v>0</v>
      </c>
      <c r="DZ158" s="161">
        <f t="shared" si="229"/>
        <v>0</v>
      </c>
      <c r="EA158" s="161">
        <f t="shared" si="230"/>
        <v>0</v>
      </c>
      <c r="EB158" s="161">
        <f t="shared" si="231"/>
        <v>0</v>
      </c>
      <c r="EC158" s="161">
        <f t="shared" si="232"/>
        <v>0</v>
      </c>
      <c r="ED158" s="161">
        <f t="shared" si="233"/>
        <v>0</v>
      </c>
      <c r="EE158" s="161">
        <f t="shared" si="234"/>
        <v>0</v>
      </c>
      <c r="EF158" s="161">
        <f t="shared" si="235"/>
        <v>0</v>
      </c>
      <c r="EG158" s="161">
        <f t="shared" si="236"/>
        <v>0</v>
      </c>
      <c r="EH158" s="161">
        <f t="shared" si="237"/>
        <v>0</v>
      </c>
      <c r="EI158" s="161">
        <f t="shared" si="238"/>
        <v>0</v>
      </c>
      <c r="EJ158" s="161">
        <f t="shared" si="239"/>
        <v>0</v>
      </c>
      <c r="EK158" s="147">
        <f t="shared" si="171"/>
        <v>0</v>
      </c>
      <c r="EL158" s="149"/>
      <c r="EN158" s="146"/>
      <c r="EO158" s="146"/>
      <c r="EP158" s="139">
        <f t="shared" si="172"/>
        <v>0</v>
      </c>
      <c r="EQ158" s="139">
        <f t="shared" si="173"/>
        <v>0</v>
      </c>
      <c r="ER158" s="139">
        <f t="shared" si="174"/>
        <v>0</v>
      </c>
      <c r="ES158" s="139">
        <f t="shared" si="175"/>
        <v>0</v>
      </c>
      <c r="ET158" s="139">
        <f t="shared" si="176"/>
        <v>0</v>
      </c>
      <c r="EU158" s="139">
        <f t="shared" si="177"/>
        <v>0</v>
      </c>
      <c r="EV158" s="139">
        <f t="shared" si="178"/>
        <v>0</v>
      </c>
      <c r="EW158" s="139">
        <f t="shared" si="179"/>
        <v>0</v>
      </c>
      <c r="EX158" s="139">
        <f t="shared" si="180"/>
        <v>0</v>
      </c>
      <c r="EY158" s="139">
        <f t="shared" si="181"/>
        <v>0</v>
      </c>
      <c r="EZ158" s="139">
        <f t="shared" si="182"/>
        <v>0</v>
      </c>
      <c r="FA158" s="139">
        <f t="shared" si="183"/>
        <v>0</v>
      </c>
      <c r="FB158" s="139">
        <f t="shared" si="184"/>
        <v>0</v>
      </c>
      <c r="FC158" s="139">
        <f t="shared" si="185"/>
        <v>0</v>
      </c>
      <c r="FD158" s="139">
        <f t="shared" si="186"/>
        <v>0</v>
      </c>
      <c r="FE158" s="139">
        <f t="shared" si="187"/>
        <v>0</v>
      </c>
      <c r="FF158" s="139">
        <f t="shared" si="188"/>
        <v>0</v>
      </c>
      <c r="FG158" s="139">
        <f t="shared" si="189"/>
        <v>0</v>
      </c>
      <c r="FH158" s="139">
        <f t="shared" si="190"/>
        <v>0</v>
      </c>
      <c r="FI158" s="139">
        <f t="shared" si="191"/>
        <v>0</v>
      </c>
      <c r="FJ158" s="139">
        <f t="shared" si="192"/>
        <v>0</v>
      </c>
      <c r="FK158" s="139">
        <f t="shared" si="193"/>
        <v>0</v>
      </c>
      <c r="FL158" s="139">
        <f t="shared" si="194"/>
        <v>0</v>
      </c>
      <c r="FM158" s="139">
        <f t="shared" si="195"/>
        <v>0</v>
      </c>
      <c r="FN158" s="139">
        <f t="shared" si="196"/>
        <v>0</v>
      </c>
      <c r="FO158" s="139">
        <f t="shared" si="197"/>
        <v>0</v>
      </c>
      <c r="FP158" s="139">
        <f t="shared" si="198"/>
        <v>0</v>
      </c>
      <c r="FQ158" s="139">
        <f t="shared" si="199"/>
        <v>0</v>
      </c>
      <c r="FR158" s="139">
        <f t="shared" si="200"/>
        <v>0</v>
      </c>
      <c r="FS158" s="139">
        <f t="shared" si="201"/>
        <v>0</v>
      </c>
      <c r="FT158" s="139">
        <f t="shared" si="202"/>
        <v>0</v>
      </c>
      <c r="FU158" s="148">
        <f t="shared" si="203"/>
        <v>0</v>
      </c>
      <c r="FV158" s="149"/>
      <c r="FY158" s="210">
        <v>153</v>
      </c>
      <c r="FZ158">
        <v>6.6366169570396066E-2</v>
      </c>
      <c r="GA158">
        <v>1.0516092415750415</v>
      </c>
      <c r="GB158">
        <v>1.0445179814772214</v>
      </c>
      <c r="GC158">
        <v>6.7319637568321742</v>
      </c>
      <c r="GD158">
        <v>4.8891098603324599</v>
      </c>
      <c r="GE158">
        <v>0.31351368791317175</v>
      </c>
      <c r="GF158">
        <v>0.38032995424220212</v>
      </c>
      <c r="GG158">
        <v>1.7791509959019165</v>
      </c>
      <c r="GH158">
        <v>1.9871405252523333</v>
      </c>
      <c r="GI158">
        <v>4.3471012941637781</v>
      </c>
      <c r="GJ158"/>
      <c r="GK158"/>
      <c r="GL158"/>
      <c r="GM158"/>
    </row>
    <row r="159" spans="1:195" s="7" customFormat="1">
      <c r="A159" s="1"/>
      <c r="B159" s="76">
        <f ca="1">IF(C159="", "", RAND())</f>
        <v>0.54332347817474891</v>
      </c>
      <c r="C159">
        <v>4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12.00358669108669</v>
      </c>
      <c r="AO159">
        <v>11.840520963160117</v>
      </c>
      <c r="AP159">
        <v>43.187343970343193</v>
      </c>
      <c r="AQ159">
        <v>41.617731291744782</v>
      </c>
      <c r="AR159">
        <v>10.983785680111426</v>
      </c>
      <c r="AS159">
        <v>57.42222901422253</v>
      </c>
      <c r="AT159" t="e">
        <v>#DIV/0!</v>
      </c>
      <c r="AU159" t="e">
        <v>#DIV/0!</v>
      </c>
      <c r="AV159"/>
      <c r="AW159"/>
      <c r="AX159" s="146"/>
      <c r="AY159" s="76">
        <f t="shared" ca="1" si="169"/>
        <v>0.10622636373315242</v>
      </c>
      <c r="AZ159">
        <v>2</v>
      </c>
      <c r="BA159" s="129">
        <f t="shared" ref="BA159:BA167" si="241">IF(AZ159="", "",$C$11)</f>
        <v>39910</v>
      </c>
      <c r="BB159">
        <v>0</v>
      </c>
      <c r="BC159">
        <v>0</v>
      </c>
      <c r="BD159">
        <v>0</v>
      </c>
      <c r="BE159">
        <v>0</v>
      </c>
      <c r="BF159">
        <v>1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 s="147"/>
      <c r="CH159" s="176"/>
      <c r="CJ159" s="146"/>
      <c r="CK159" s="76">
        <f t="shared" ca="1" si="204"/>
        <v>0.93189590076643536</v>
      </c>
      <c r="CL159" s="179">
        <f t="shared" si="205"/>
        <v>2</v>
      </c>
      <c r="CM159" s="180">
        <f t="shared" si="206"/>
        <v>39910</v>
      </c>
      <c r="CN159" s="221">
        <v>0</v>
      </c>
      <c r="CO159" s="221">
        <v>0</v>
      </c>
      <c r="CP159" s="221">
        <v>0</v>
      </c>
      <c r="CQ159" s="221">
        <v>0</v>
      </c>
      <c r="CR159" s="221">
        <v>0</v>
      </c>
      <c r="CS159">
        <v>0</v>
      </c>
      <c r="CT159">
        <v>0</v>
      </c>
      <c r="CU159">
        <v>0</v>
      </c>
      <c r="CV159" s="160"/>
      <c r="CW159">
        <v>1</v>
      </c>
      <c r="CX159">
        <f>256/23</f>
        <v>11.130434782608695</v>
      </c>
      <c r="CY159" s="160"/>
      <c r="CZ159" s="177">
        <f t="shared" si="207"/>
        <v>9.6000000000000002E-2</v>
      </c>
      <c r="DB159" s="146"/>
      <c r="DC159" s="76">
        <f t="shared" ca="1" si="170"/>
        <v>0.35337686533749313</v>
      </c>
      <c r="DD159">
        <f t="shared" si="208"/>
        <v>2</v>
      </c>
      <c r="DE159" s="129">
        <f t="shared" si="240"/>
        <v>39910</v>
      </c>
      <c r="DF159" s="161">
        <f t="shared" si="209"/>
        <v>0</v>
      </c>
      <c r="DG159" s="161">
        <f t="shared" si="210"/>
        <v>0</v>
      </c>
      <c r="DH159" s="161">
        <f t="shared" si="211"/>
        <v>0</v>
      </c>
      <c r="DI159" s="161">
        <f t="shared" si="212"/>
        <v>0</v>
      </c>
      <c r="DJ159" s="161">
        <f t="shared" si="213"/>
        <v>10.416666666666666</v>
      </c>
      <c r="DK159" s="161">
        <f t="shared" si="214"/>
        <v>0</v>
      </c>
      <c r="DL159" s="161">
        <f t="shared" si="215"/>
        <v>0</v>
      </c>
      <c r="DM159" s="161">
        <f t="shared" si="216"/>
        <v>0</v>
      </c>
      <c r="DN159" s="161">
        <f t="shared" si="217"/>
        <v>0</v>
      </c>
      <c r="DO159" s="161">
        <f t="shared" si="218"/>
        <v>0</v>
      </c>
      <c r="DP159" s="161">
        <f t="shared" si="219"/>
        <v>0</v>
      </c>
      <c r="DQ159" s="161">
        <f t="shared" si="220"/>
        <v>0</v>
      </c>
      <c r="DR159" s="161">
        <f t="shared" si="221"/>
        <v>0</v>
      </c>
      <c r="DS159" s="161">
        <f t="shared" si="222"/>
        <v>0</v>
      </c>
      <c r="DT159" s="161">
        <f t="shared" si="223"/>
        <v>0</v>
      </c>
      <c r="DU159" s="161">
        <f t="shared" si="224"/>
        <v>0</v>
      </c>
      <c r="DV159" s="161">
        <f t="shared" si="225"/>
        <v>0</v>
      </c>
      <c r="DW159" s="161">
        <f t="shared" si="226"/>
        <v>0</v>
      </c>
      <c r="DX159" s="161">
        <f t="shared" si="227"/>
        <v>0</v>
      </c>
      <c r="DY159" s="161">
        <f t="shared" si="228"/>
        <v>0</v>
      </c>
      <c r="DZ159" s="161">
        <f t="shared" si="229"/>
        <v>0</v>
      </c>
      <c r="EA159" s="161">
        <f t="shared" si="230"/>
        <v>0</v>
      </c>
      <c r="EB159" s="161">
        <f t="shared" si="231"/>
        <v>0</v>
      </c>
      <c r="EC159" s="161">
        <f t="shared" si="232"/>
        <v>0</v>
      </c>
      <c r="ED159" s="161">
        <f t="shared" si="233"/>
        <v>0</v>
      </c>
      <c r="EE159" s="161">
        <f t="shared" si="234"/>
        <v>0</v>
      </c>
      <c r="EF159" s="161">
        <f t="shared" si="235"/>
        <v>0</v>
      </c>
      <c r="EG159" s="161">
        <f t="shared" si="236"/>
        <v>0</v>
      </c>
      <c r="EH159" s="161">
        <f t="shared" si="237"/>
        <v>0</v>
      </c>
      <c r="EI159" s="161">
        <f t="shared" si="238"/>
        <v>0</v>
      </c>
      <c r="EJ159" s="161">
        <f t="shared" si="239"/>
        <v>0</v>
      </c>
      <c r="EK159" s="147">
        <f t="shared" si="171"/>
        <v>10.416666666666666</v>
      </c>
      <c r="EL159" s="149"/>
      <c r="EN159" s="146"/>
      <c r="EO159" s="146"/>
      <c r="EP159" s="139">
        <f t="shared" si="172"/>
        <v>0</v>
      </c>
      <c r="EQ159" s="139">
        <f t="shared" si="173"/>
        <v>0</v>
      </c>
      <c r="ER159" s="139">
        <f t="shared" si="174"/>
        <v>0</v>
      </c>
      <c r="ES159" s="139">
        <f t="shared" si="175"/>
        <v>0</v>
      </c>
      <c r="ET159" s="139">
        <f t="shared" si="176"/>
        <v>4.9047031276338604</v>
      </c>
      <c r="EU159" s="139">
        <f t="shared" si="177"/>
        <v>0</v>
      </c>
      <c r="EV159" s="139">
        <f t="shared" si="178"/>
        <v>0</v>
      </c>
      <c r="EW159" s="139">
        <f t="shared" si="179"/>
        <v>0</v>
      </c>
      <c r="EX159" s="139">
        <f t="shared" si="180"/>
        <v>0</v>
      </c>
      <c r="EY159" s="139">
        <f t="shared" si="181"/>
        <v>0</v>
      </c>
      <c r="EZ159" s="139">
        <f t="shared" si="182"/>
        <v>0</v>
      </c>
      <c r="FA159" s="139">
        <f t="shared" si="183"/>
        <v>0</v>
      </c>
      <c r="FB159" s="139">
        <f t="shared" si="184"/>
        <v>0</v>
      </c>
      <c r="FC159" s="139">
        <f t="shared" si="185"/>
        <v>0</v>
      </c>
      <c r="FD159" s="139">
        <f t="shared" si="186"/>
        <v>0</v>
      </c>
      <c r="FE159" s="139">
        <f t="shared" si="187"/>
        <v>0</v>
      </c>
      <c r="FF159" s="139">
        <f t="shared" si="188"/>
        <v>0</v>
      </c>
      <c r="FG159" s="139">
        <f t="shared" si="189"/>
        <v>0</v>
      </c>
      <c r="FH159" s="139">
        <f t="shared" si="190"/>
        <v>0</v>
      </c>
      <c r="FI159" s="139">
        <f t="shared" si="191"/>
        <v>0</v>
      </c>
      <c r="FJ159" s="139">
        <f t="shared" si="192"/>
        <v>0</v>
      </c>
      <c r="FK159" s="139">
        <f t="shared" si="193"/>
        <v>0</v>
      </c>
      <c r="FL159" s="139">
        <f t="shared" si="194"/>
        <v>0</v>
      </c>
      <c r="FM159" s="139">
        <f t="shared" si="195"/>
        <v>0</v>
      </c>
      <c r="FN159" s="139">
        <f t="shared" si="196"/>
        <v>0</v>
      </c>
      <c r="FO159" s="139">
        <f t="shared" si="197"/>
        <v>0</v>
      </c>
      <c r="FP159" s="139">
        <f t="shared" si="198"/>
        <v>0</v>
      </c>
      <c r="FQ159" s="139">
        <f t="shared" si="199"/>
        <v>0</v>
      </c>
      <c r="FR159" s="139">
        <f t="shared" si="200"/>
        <v>0</v>
      </c>
      <c r="FS159" s="139">
        <f t="shared" si="201"/>
        <v>0</v>
      </c>
      <c r="FT159" s="139">
        <f t="shared" si="202"/>
        <v>0</v>
      </c>
      <c r="FU159" s="148">
        <f t="shared" si="203"/>
        <v>4.9047031276338604</v>
      </c>
      <c r="FV159" s="149"/>
      <c r="FY159" s="210">
        <v>154</v>
      </c>
      <c r="FZ159">
        <v>9.9549254355594113E-2</v>
      </c>
      <c r="GA159">
        <v>3.7490854147231634</v>
      </c>
      <c r="GB159">
        <v>2.8799821125102687</v>
      </c>
      <c r="GC159">
        <v>15.192203299983774</v>
      </c>
      <c r="GD159">
        <v>12.652876188956027</v>
      </c>
      <c r="GE159">
        <v>4.3096636836922828</v>
      </c>
      <c r="GF159">
        <v>1.2613862803785265</v>
      </c>
      <c r="GG159">
        <v>1.2981488832102204</v>
      </c>
      <c r="GH159">
        <v>1.3247603501682221</v>
      </c>
      <c r="GI159">
        <v>10.324544554673412</v>
      </c>
      <c r="GJ159"/>
      <c r="GK159"/>
      <c r="GL159"/>
      <c r="GM159"/>
    </row>
    <row r="160" spans="1:195" s="7" customFormat="1">
      <c r="A160" s="1"/>
      <c r="B160" s="76">
        <f ca="1">IF(C160="", "", RAND())</f>
        <v>0.64519002305382056</v>
      </c>
      <c r="C160">
        <v>10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6.1753472222222223</v>
      </c>
      <c r="AO160">
        <v>7.4901785598002419</v>
      </c>
      <c r="AP160">
        <v>26.020130312372231</v>
      </c>
      <c r="AQ160">
        <v>25.301532901605427</v>
      </c>
      <c r="AR160">
        <v>6.8953523683548461</v>
      </c>
      <c r="AS160">
        <v>37.776672773570489</v>
      </c>
      <c r="AT160" t="e">
        <v>#DIV/0!</v>
      </c>
      <c r="AU160" t="e">
        <v>#DIV/0!</v>
      </c>
      <c r="AV160"/>
      <c r="AW160"/>
      <c r="AX160" s="146"/>
      <c r="AY160" s="76">
        <f t="shared" ca="1" si="169"/>
        <v>0.52964900644515289</v>
      </c>
      <c r="AZ160">
        <v>3</v>
      </c>
      <c r="BA160" s="129">
        <f t="shared" si="241"/>
        <v>39910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 s="147"/>
      <c r="CH160" s="176"/>
      <c r="CJ160" s="146"/>
      <c r="CK160" s="76">
        <f t="shared" ca="1" si="204"/>
        <v>0.23929419815433217</v>
      </c>
      <c r="CL160" s="179">
        <f t="shared" si="205"/>
        <v>3</v>
      </c>
      <c r="CM160" s="180">
        <f t="shared" si="206"/>
        <v>39910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07"/>
        <v>9.6000000000000002E-2</v>
      </c>
      <c r="DB160" s="146"/>
      <c r="DC160" s="76">
        <f t="shared" ca="1" si="170"/>
        <v>0.13480756480246225</v>
      </c>
      <c r="DD160">
        <f t="shared" si="208"/>
        <v>3</v>
      </c>
      <c r="DE160" s="129">
        <f t="shared" si="240"/>
        <v>39910</v>
      </c>
      <c r="DF160" s="161">
        <f t="shared" si="209"/>
        <v>0</v>
      </c>
      <c r="DG160" s="161">
        <f t="shared" si="210"/>
        <v>0</v>
      </c>
      <c r="DH160" s="161">
        <f t="shared" si="211"/>
        <v>0</v>
      </c>
      <c r="DI160" s="161">
        <f t="shared" si="212"/>
        <v>0</v>
      </c>
      <c r="DJ160" s="161">
        <f t="shared" si="213"/>
        <v>0</v>
      </c>
      <c r="DK160" s="161">
        <f t="shared" si="214"/>
        <v>0</v>
      </c>
      <c r="DL160" s="161">
        <f t="shared" si="215"/>
        <v>0</v>
      </c>
      <c r="DM160" s="161">
        <f t="shared" si="216"/>
        <v>0</v>
      </c>
      <c r="DN160" s="161">
        <f t="shared" si="217"/>
        <v>0</v>
      </c>
      <c r="DO160" s="161">
        <f t="shared" si="218"/>
        <v>0</v>
      </c>
      <c r="DP160" s="161">
        <f t="shared" si="219"/>
        <v>0</v>
      </c>
      <c r="DQ160" s="161">
        <f t="shared" si="220"/>
        <v>0</v>
      </c>
      <c r="DR160" s="161">
        <f t="shared" si="221"/>
        <v>0</v>
      </c>
      <c r="DS160" s="161">
        <f t="shared" si="222"/>
        <v>0</v>
      </c>
      <c r="DT160" s="161">
        <f t="shared" si="223"/>
        <v>0</v>
      </c>
      <c r="DU160" s="161">
        <f t="shared" si="224"/>
        <v>0</v>
      </c>
      <c r="DV160" s="161">
        <f t="shared" si="225"/>
        <v>0</v>
      </c>
      <c r="DW160" s="161">
        <f t="shared" si="226"/>
        <v>0</v>
      </c>
      <c r="DX160" s="161">
        <f t="shared" si="227"/>
        <v>0</v>
      </c>
      <c r="DY160" s="161">
        <f t="shared" si="228"/>
        <v>0</v>
      </c>
      <c r="DZ160" s="161">
        <f t="shared" si="229"/>
        <v>0</v>
      </c>
      <c r="EA160" s="161">
        <f t="shared" si="230"/>
        <v>0</v>
      </c>
      <c r="EB160" s="161">
        <f t="shared" si="231"/>
        <v>0</v>
      </c>
      <c r="EC160" s="161">
        <f t="shared" si="232"/>
        <v>0</v>
      </c>
      <c r="ED160" s="161">
        <f t="shared" si="233"/>
        <v>0</v>
      </c>
      <c r="EE160" s="161">
        <f t="shared" si="234"/>
        <v>0</v>
      </c>
      <c r="EF160" s="161">
        <f t="shared" si="235"/>
        <v>0</v>
      </c>
      <c r="EG160" s="161">
        <f t="shared" si="236"/>
        <v>0</v>
      </c>
      <c r="EH160" s="161">
        <f t="shared" si="237"/>
        <v>0</v>
      </c>
      <c r="EI160" s="161">
        <f t="shared" si="238"/>
        <v>0</v>
      </c>
      <c r="EJ160" s="161">
        <f t="shared" si="239"/>
        <v>0</v>
      </c>
      <c r="EK160" s="147">
        <f t="shared" si="171"/>
        <v>0</v>
      </c>
      <c r="EL160" s="149"/>
      <c r="EN160" s="146"/>
      <c r="EO160" s="146"/>
      <c r="EP160" s="139">
        <f t="shared" si="172"/>
        <v>0</v>
      </c>
      <c r="EQ160" s="139">
        <f t="shared" si="173"/>
        <v>0</v>
      </c>
      <c r="ER160" s="139">
        <f t="shared" si="174"/>
        <v>0</v>
      </c>
      <c r="ES160" s="139">
        <f t="shared" si="175"/>
        <v>0</v>
      </c>
      <c r="ET160" s="139">
        <f t="shared" si="176"/>
        <v>0</v>
      </c>
      <c r="EU160" s="139">
        <f t="shared" si="177"/>
        <v>0</v>
      </c>
      <c r="EV160" s="139">
        <f t="shared" si="178"/>
        <v>0</v>
      </c>
      <c r="EW160" s="139">
        <f t="shared" si="179"/>
        <v>0</v>
      </c>
      <c r="EX160" s="139">
        <f t="shared" si="180"/>
        <v>0</v>
      </c>
      <c r="EY160" s="139">
        <f t="shared" si="181"/>
        <v>0</v>
      </c>
      <c r="EZ160" s="139">
        <f t="shared" si="182"/>
        <v>0</v>
      </c>
      <c r="FA160" s="139">
        <f t="shared" si="183"/>
        <v>0</v>
      </c>
      <c r="FB160" s="139">
        <f t="shared" si="184"/>
        <v>0</v>
      </c>
      <c r="FC160" s="139">
        <f t="shared" si="185"/>
        <v>0</v>
      </c>
      <c r="FD160" s="139">
        <f t="shared" si="186"/>
        <v>0</v>
      </c>
      <c r="FE160" s="139">
        <f t="shared" si="187"/>
        <v>0</v>
      </c>
      <c r="FF160" s="139">
        <f t="shared" si="188"/>
        <v>0</v>
      </c>
      <c r="FG160" s="139">
        <f t="shared" si="189"/>
        <v>0</v>
      </c>
      <c r="FH160" s="139">
        <f t="shared" si="190"/>
        <v>0</v>
      </c>
      <c r="FI160" s="139">
        <f t="shared" si="191"/>
        <v>0</v>
      </c>
      <c r="FJ160" s="139">
        <f t="shared" si="192"/>
        <v>0</v>
      </c>
      <c r="FK160" s="139">
        <f t="shared" si="193"/>
        <v>0</v>
      </c>
      <c r="FL160" s="139">
        <f t="shared" si="194"/>
        <v>0</v>
      </c>
      <c r="FM160" s="139">
        <f t="shared" si="195"/>
        <v>0</v>
      </c>
      <c r="FN160" s="139">
        <f t="shared" si="196"/>
        <v>0</v>
      </c>
      <c r="FO160" s="139">
        <f t="shared" si="197"/>
        <v>0</v>
      </c>
      <c r="FP160" s="139">
        <f t="shared" si="198"/>
        <v>0</v>
      </c>
      <c r="FQ160" s="139">
        <f t="shared" si="199"/>
        <v>0</v>
      </c>
      <c r="FR160" s="139">
        <f t="shared" si="200"/>
        <v>0</v>
      </c>
      <c r="FS160" s="139">
        <f t="shared" si="201"/>
        <v>0</v>
      </c>
      <c r="FT160" s="139">
        <f t="shared" si="202"/>
        <v>0</v>
      </c>
      <c r="FU160" s="148">
        <f t="shared" si="203"/>
        <v>0</v>
      </c>
      <c r="FV160" s="149"/>
      <c r="FY160" s="210">
        <v>155</v>
      </c>
      <c r="FZ160">
        <v>0.49136377600840619</v>
      </c>
      <c r="GA160">
        <v>3.6144581527143984</v>
      </c>
      <c r="GB160">
        <v>1.4552087672757343</v>
      </c>
      <c r="GC160">
        <v>9.1827071282481132</v>
      </c>
      <c r="GD160">
        <v>7.2345555262782755</v>
      </c>
      <c r="GE160">
        <v>2.0612570145787128</v>
      </c>
      <c r="GF160">
        <v>1.7621126522726489</v>
      </c>
      <c r="GG160">
        <v>1.4430063380750886</v>
      </c>
      <c r="GH160">
        <v>1.9871405252523333</v>
      </c>
      <c r="GI160">
        <v>6.4093760174828764</v>
      </c>
      <c r="GJ160"/>
      <c r="GK160"/>
      <c r="GL160"/>
      <c r="GM160"/>
    </row>
    <row r="161" spans="1:195" s="7" customFormat="1">
      <c r="A161" s="1"/>
      <c r="B161" s="76">
        <f ca="1">IF(C161="", "", RAND())</f>
        <v>0.31171608859993971</v>
      </c>
      <c r="C161">
        <v>2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10.416666666666666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8.3194826007326022</v>
      </c>
      <c r="AO161">
        <v>8.903634451008358</v>
      </c>
      <c r="AP161">
        <v>36.084811613078919</v>
      </c>
      <c r="AQ161">
        <v>32.953904080080704</v>
      </c>
      <c r="AR161">
        <v>8.2594011604901247</v>
      </c>
      <c r="AS161">
        <v>35.918432542307116</v>
      </c>
      <c r="AT161" t="e">
        <v>#DIV/0!</v>
      </c>
      <c r="AU161" t="e">
        <v>#DIV/0!</v>
      </c>
      <c r="AV161"/>
      <c r="AW161"/>
      <c r="AX161" s="146"/>
      <c r="AY161" s="76">
        <f t="shared" ca="1" si="169"/>
        <v>0.65205248683089789</v>
      </c>
      <c r="AZ161">
        <v>4</v>
      </c>
      <c r="BA161" s="129">
        <f t="shared" si="241"/>
        <v>39910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 s="147"/>
      <c r="CH161" s="176"/>
      <c r="CJ161" s="146"/>
      <c r="CK161" s="76">
        <f t="shared" ca="1" si="204"/>
        <v>0.84281926137099994</v>
      </c>
      <c r="CL161" s="179">
        <f t="shared" si="205"/>
        <v>4</v>
      </c>
      <c r="CM161" s="180">
        <f t="shared" si="206"/>
        <v>39910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 s="160"/>
      <c r="CW161">
        <v>1</v>
      </c>
      <c r="CX161">
        <f>310/93</f>
        <v>3.3333333333333335</v>
      </c>
      <c r="CY161" s="160"/>
      <c r="CZ161" s="177">
        <f t="shared" si="207"/>
        <v>9.6000000000000002E-2</v>
      </c>
      <c r="DB161" s="146"/>
      <c r="DC161" s="76">
        <f t="shared" ca="1" si="170"/>
        <v>0.92821116972136952</v>
      </c>
      <c r="DD161">
        <f t="shared" si="208"/>
        <v>4</v>
      </c>
      <c r="DE161" s="129">
        <f t="shared" si="240"/>
        <v>39910</v>
      </c>
      <c r="DF161" s="161">
        <f t="shared" si="209"/>
        <v>0</v>
      </c>
      <c r="DG161" s="161">
        <f t="shared" si="210"/>
        <v>0</v>
      </c>
      <c r="DH161" s="161">
        <f t="shared" si="211"/>
        <v>0</v>
      </c>
      <c r="DI161" s="161">
        <f t="shared" si="212"/>
        <v>0</v>
      </c>
      <c r="DJ161" s="161">
        <f t="shared" si="213"/>
        <v>0</v>
      </c>
      <c r="DK161" s="161">
        <f t="shared" si="214"/>
        <v>0</v>
      </c>
      <c r="DL161" s="161">
        <f t="shared" si="215"/>
        <v>0</v>
      </c>
      <c r="DM161" s="161">
        <f t="shared" si="216"/>
        <v>0</v>
      </c>
      <c r="DN161" s="161">
        <f t="shared" si="217"/>
        <v>0</v>
      </c>
      <c r="DO161" s="161">
        <f t="shared" si="218"/>
        <v>0</v>
      </c>
      <c r="DP161" s="161">
        <f t="shared" si="219"/>
        <v>0</v>
      </c>
      <c r="DQ161" s="161">
        <f t="shared" si="220"/>
        <v>0</v>
      </c>
      <c r="DR161" s="161">
        <f t="shared" si="221"/>
        <v>0</v>
      </c>
      <c r="DS161" s="161">
        <f t="shared" si="222"/>
        <v>0</v>
      </c>
      <c r="DT161" s="161">
        <f t="shared" si="223"/>
        <v>0</v>
      </c>
      <c r="DU161" s="161">
        <f t="shared" si="224"/>
        <v>0</v>
      </c>
      <c r="DV161" s="161">
        <f t="shared" si="225"/>
        <v>0</v>
      </c>
      <c r="DW161" s="161">
        <f t="shared" si="226"/>
        <v>0</v>
      </c>
      <c r="DX161" s="161">
        <f t="shared" si="227"/>
        <v>0</v>
      </c>
      <c r="DY161" s="161">
        <f t="shared" si="228"/>
        <v>0</v>
      </c>
      <c r="DZ161" s="161">
        <f t="shared" si="229"/>
        <v>0</v>
      </c>
      <c r="EA161" s="161">
        <f t="shared" si="230"/>
        <v>0</v>
      </c>
      <c r="EB161" s="161">
        <f t="shared" si="231"/>
        <v>0</v>
      </c>
      <c r="EC161" s="161">
        <f t="shared" si="232"/>
        <v>0</v>
      </c>
      <c r="ED161" s="161">
        <f t="shared" si="233"/>
        <v>0</v>
      </c>
      <c r="EE161" s="161">
        <f t="shared" si="234"/>
        <v>0</v>
      </c>
      <c r="EF161" s="161">
        <f t="shared" si="235"/>
        <v>0</v>
      </c>
      <c r="EG161" s="161">
        <f t="shared" si="236"/>
        <v>0</v>
      </c>
      <c r="EH161" s="161">
        <f t="shared" si="237"/>
        <v>0</v>
      </c>
      <c r="EI161" s="161">
        <f t="shared" si="238"/>
        <v>0</v>
      </c>
      <c r="EJ161" s="161">
        <f t="shared" si="239"/>
        <v>0</v>
      </c>
      <c r="EK161" s="147">
        <f t="shared" si="171"/>
        <v>0</v>
      </c>
      <c r="EL161" s="149"/>
      <c r="EN161" s="146"/>
      <c r="EO161" s="146"/>
      <c r="EP161" s="139">
        <f t="shared" si="172"/>
        <v>0</v>
      </c>
      <c r="EQ161" s="139">
        <f t="shared" si="173"/>
        <v>0</v>
      </c>
      <c r="ER161" s="139">
        <f t="shared" si="174"/>
        <v>0</v>
      </c>
      <c r="ES161" s="139">
        <f t="shared" si="175"/>
        <v>0</v>
      </c>
      <c r="ET161" s="139">
        <f t="shared" si="176"/>
        <v>0</v>
      </c>
      <c r="EU161" s="139">
        <f t="shared" si="177"/>
        <v>0</v>
      </c>
      <c r="EV161" s="139">
        <f t="shared" si="178"/>
        <v>0</v>
      </c>
      <c r="EW161" s="139">
        <f t="shared" si="179"/>
        <v>0</v>
      </c>
      <c r="EX161" s="139">
        <f t="shared" si="180"/>
        <v>0</v>
      </c>
      <c r="EY161" s="139">
        <f t="shared" si="181"/>
        <v>0</v>
      </c>
      <c r="EZ161" s="139">
        <f t="shared" si="182"/>
        <v>0</v>
      </c>
      <c r="FA161" s="139">
        <f t="shared" si="183"/>
        <v>0</v>
      </c>
      <c r="FB161" s="139">
        <f t="shared" si="184"/>
        <v>0</v>
      </c>
      <c r="FC161" s="139">
        <f t="shared" si="185"/>
        <v>0</v>
      </c>
      <c r="FD161" s="139">
        <f t="shared" si="186"/>
        <v>0</v>
      </c>
      <c r="FE161" s="139">
        <f t="shared" si="187"/>
        <v>0</v>
      </c>
      <c r="FF161" s="139">
        <f t="shared" si="188"/>
        <v>0</v>
      </c>
      <c r="FG161" s="139">
        <f t="shared" si="189"/>
        <v>0</v>
      </c>
      <c r="FH161" s="139">
        <f t="shared" si="190"/>
        <v>0</v>
      </c>
      <c r="FI161" s="139">
        <f t="shared" si="191"/>
        <v>0</v>
      </c>
      <c r="FJ161" s="139">
        <f t="shared" si="192"/>
        <v>0</v>
      </c>
      <c r="FK161" s="139">
        <f t="shared" si="193"/>
        <v>0</v>
      </c>
      <c r="FL161" s="139">
        <f t="shared" si="194"/>
        <v>0</v>
      </c>
      <c r="FM161" s="139">
        <f t="shared" si="195"/>
        <v>0</v>
      </c>
      <c r="FN161" s="139">
        <f t="shared" si="196"/>
        <v>0</v>
      </c>
      <c r="FO161" s="139">
        <f t="shared" si="197"/>
        <v>0</v>
      </c>
      <c r="FP161" s="139">
        <f t="shared" si="198"/>
        <v>0</v>
      </c>
      <c r="FQ161" s="139">
        <f t="shared" si="199"/>
        <v>0</v>
      </c>
      <c r="FR161" s="139">
        <f t="shared" si="200"/>
        <v>0</v>
      </c>
      <c r="FS161" s="139">
        <f t="shared" si="201"/>
        <v>0</v>
      </c>
      <c r="FT161" s="139">
        <f t="shared" si="202"/>
        <v>0</v>
      </c>
      <c r="FU161" s="148">
        <f t="shared" si="203"/>
        <v>0</v>
      </c>
      <c r="FV161" s="149"/>
      <c r="FY161" s="210">
        <v>156</v>
      </c>
      <c r="FZ161">
        <v>0</v>
      </c>
      <c r="GA161">
        <v>8.5913012561003157</v>
      </c>
      <c r="GB161">
        <v>4.0837925225664424</v>
      </c>
      <c r="GC161">
        <v>5.7460974602648927</v>
      </c>
      <c r="GD161">
        <v>4.4978488629986222</v>
      </c>
      <c r="GE161">
        <v>0.488099595198144</v>
      </c>
      <c r="GF161">
        <v>0.38032995424220212</v>
      </c>
      <c r="GG161">
        <v>0.81714677051852402</v>
      </c>
      <c r="GH161">
        <v>0.66238017508411107</v>
      </c>
      <c r="GI161">
        <v>4.4323341750917189</v>
      </c>
      <c r="GJ161"/>
      <c r="GK161"/>
      <c r="GL161"/>
      <c r="GM161"/>
    </row>
    <row r="162" spans="1:195" s="7" customFormat="1">
      <c r="A162" s="1"/>
      <c r="B162" s="76">
        <f ca="1">IF(C162="", "", RAND())</f>
        <v>0.81842834043323376</v>
      </c>
      <c r="C162">
        <v>9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5.5654761904761907</v>
      </c>
      <c r="AO162">
        <v>6.1083681394104179</v>
      </c>
      <c r="AP162">
        <v>25.428054169766167</v>
      </c>
      <c r="AQ162">
        <v>21.74500687926983</v>
      </c>
      <c r="AR162">
        <v>5.6663897397128196</v>
      </c>
      <c r="AS162">
        <v>21.60970910770525</v>
      </c>
      <c r="AT162" t="e">
        <v>#DIV/0!</v>
      </c>
      <c r="AU162" t="e">
        <v>#DIV/0!</v>
      </c>
      <c r="AV162"/>
      <c r="AW162"/>
      <c r="AX162" s="146"/>
      <c r="AY162" s="76">
        <f t="shared" ca="1" si="169"/>
        <v>0.30022782154178529</v>
      </c>
      <c r="AZ162">
        <v>5</v>
      </c>
      <c r="BA162" s="129">
        <f t="shared" si="241"/>
        <v>39910</v>
      </c>
      <c r="BB162">
        <v>0</v>
      </c>
      <c r="BC162">
        <v>0</v>
      </c>
      <c r="BD162">
        <v>0</v>
      </c>
      <c r="BE162">
        <v>0</v>
      </c>
      <c r="BF162">
        <v>1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 s="147"/>
      <c r="CH162" s="176"/>
      <c r="CJ162" s="146"/>
      <c r="CK162" s="76">
        <f t="shared" ca="1" si="204"/>
        <v>0.6649339628557609</v>
      </c>
      <c r="CL162" s="179">
        <f t="shared" si="205"/>
        <v>5</v>
      </c>
      <c r="CM162" s="180">
        <f t="shared" si="206"/>
        <v>39910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 s="160"/>
      <c r="CW162">
        <v>1</v>
      </c>
      <c r="CX162">
        <v>1</v>
      </c>
      <c r="CY162" s="160"/>
      <c r="CZ162" s="177">
        <f t="shared" si="207"/>
        <v>9.6000000000000002E-2</v>
      </c>
      <c r="DB162" s="146"/>
      <c r="DC162" s="76">
        <f t="shared" ca="1" si="170"/>
        <v>8.2102755829642327E-2</v>
      </c>
      <c r="DD162">
        <f t="shared" si="208"/>
        <v>5</v>
      </c>
      <c r="DE162" s="129">
        <f t="shared" si="240"/>
        <v>39910</v>
      </c>
      <c r="DF162" s="161">
        <f t="shared" si="209"/>
        <v>0</v>
      </c>
      <c r="DG162" s="161">
        <f t="shared" si="210"/>
        <v>0</v>
      </c>
      <c r="DH162" s="161">
        <f t="shared" si="211"/>
        <v>0</v>
      </c>
      <c r="DI162" s="161">
        <f t="shared" si="212"/>
        <v>0</v>
      </c>
      <c r="DJ162" s="161">
        <f t="shared" si="213"/>
        <v>10.416666666666666</v>
      </c>
      <c r="DK162" s="161">
        <f t="shared" si="214"/>
        <v>0</v>
      </c>
      <c r="DL162" s="161">
        <f t="shared" si="215"/>
        <v>0</v>
      </c>
      <c r="DM162" s="161">
        <f t="shared" si="216"/>
        <v>0</v>
      </c>
      <c r="DN162" s="161">
        <f t="shared" si="217"/>
        <v>0</v>
      </c>
      <c r="DO162" s="161">
        <f t="shared" si="218"/>
        <v>0</v>
      </c>
      <c r="DP162" s="161">
        <f t="shared" si="219"/>
        <v>0</v>
      </c>
      <c r="DQ162" s="161">
        <f t="shared" si="220"/>
        <v>0</v>
      </c>
      <c r="DR162" s="161">
        <f t="shared" si="221"/>
        <v>0</v>
      </c>
      <c r="DS162" s="161">
        <f t="shared" si="222"/>
        <v>0</v>
      </c>
      <c r="DT162" s="161">
        <f t="shared" si="223"/>
        <v>0</v>
      </c>
      <c r="DU162" s="161">
        <f t="shared" si="224"/>
        <v>0</v>
      </c>
      <c r="DV162" s="161">
        <f t="shared" si="225"/>
        <v>0</v>
      </c>
      <c r="DW162" s="161">
        <f t="shared" si="226"/>
        <v>0</v>
      </c>
      <c r="DX162" s="161">
        <f t="shared" si="227"/>
        <v>0</v>
      </c>
      <c r="DY162" s="161">
        <f t="shared" si="228"/>
        <v>0</v>
      </c>
      <c r="DZ162" s="161">
        <f t="shared" si="229"/>
        <v>0</v>
      </c>
      <c r="EA162" s="161">
        <f t="shared" si="230"/>
        <v>0</v>
      </c>
      <c r="EB162" s="161">
        <f t="shared" si="231"/>
        <v>0</v>
      </c>
      <c r="EC162" s="161">
        <f t="shared" si="232"/>
        <v>0</v>
      </c>
      <c r="ED162" s="161">
        <f t="shared" si="233"/>
        <v>0</v>
      </c>
      <c r="EE162" s="161">
        <f t="shared" si="234"/>
        <v>0</v>
      </c>
      <c r="EF162" s="161">
        <f t="shared" si="235"/>
        <v>0</v>
      </c>
      <c r="EG162" s="161">
        <f t="shared" si="236"/>
        <v>0</v>
      </c>
      <c r="EH162" s="161">
        <f t="shared" si="237"/>
        <v>0</v>
      </c>
      <c r="EI162" s="161">
        <f t="shared" si="238"/>
        <v>0</v>
      </c>
      <c r="EJ162" s="161">
        <f t="shared" si="239"/>
        <v>0</v>
      </c>
      <c r="EK162" s="147">
        <f t="shared" si="171"/>
        <v>10.416666666666666</v>
      </c>
      <c r="EL162" s="149"/>
      <c r="EN162" s="146"/>
      <c r="EO162" s="146"/>
      <c r="EP162" s="139">
        <f t="shared" si="172"/>
        <v>0</v>
      </c>
      <c r="EQ162" s="139">
        <f t="shared" si="173"/>
        <v>0</v>
      </c>
      <c r="ER162" s="139">
        <f t="shared" si="174"/>
        <v>0</v>
      </c>
      <c r="ES162" s="139">
        <f t="shared" si="175"/>
        <v>0</v>
      </c>
      <c r="ET162" s="139">
        <f t="shared" si="176"/>
        <v>4.9047031276338604</v>
      </c>
      <c r="EU162" s="139">
        <f t="shared" si="177"/>
        <v>0</v>
      </c>
      <c r="EV162" s="139">
        <f t="shared" si="178"/>
        <v>0</v>
      </c>
      <c r="EW162" s="139">
        <f t="shared" si="179"/>
        <v>0</v>
      </c>
      <c r="EX162" s="139">
        <f t="shared" si="180"/>
        <v>0</v>
      </c>
      <c r="EY162" s="139">
        <f t="shared" si="181"/>
        <v>0</v>
      </c>
      <c r="EZ162" s="139">
        <f t="shared" si="182"/>
        <v>0</v>
      </c>
      <c r="FA162" s="139">
        <f t="shared" si="183"/>
        <v>0</v>
      </c>
      <c r="FB162" s="139">
        <f t="shared" si="184"/>
        <v>0</v>
      </c>
      <c r="FC162" s="139">
        <f t="shared" si="185"/>
        <v>0</v>
      </c>
      <c r="FD162" s="139">
        <f t="shared" si="186"/>
        <v>0</v>
      </c>
      <c r="FE162" s="139">
        <f t="shared" si="187"/>
        <v>0</v>
      </c>
      <c r="FF162" s="139">
        <f t="shared" si="188"/>
        <v>0</v>
      </c>
      <c r="FG162" s="139">
        <f t="shared" si="189"/>
        <v>0</v>
      </c>
      <c r="FH162" s="139">
        <f t="shared" si="190"/>
        <v>0</v>
      </c>
      <c r="FI162" s="139">
        <f t="shared" si="191"/>
        <v>0</v>
      </c>
      <c r="FJ162" s="139">
        <f t="shared" si="192"/>
        <v>0</v>
      </c>
      <c r="FK162" s="139">
        <f t="shared" si="193"/>
        <v>0</v>
      </c>
      <c r="FL162" s="139">
        <f t="shared" si="194"/>
        <v>0</v>
      </c>
      <c r="FM162" s="139">
        <f t="shared" si="195"/>
        <v>0</v>
      </c>
      <c r="FN162" s="139">
        <f t="shared" si="196"/>
        <v>0</v>
      </c>
      <c r="FO162" s="139">
        <f t="shared" si="197"/>
        <v>0</v>
      </c>
      <c r="FP162" s="139">
        <f t="shared" si="198"/>
        <v>0</v>
      </c>
      <c r="FQ162" s="139">
        <f t="shared" si="199"/>
        <v>0</v>
      </c>
      <c r="FR162" s="139">
        <f t="shared" si="200"/>
        <v>0</v>
      </c>
      <c r="FS162" s="139">
        <f t="shared" si="201"/>
        <v>0</v>
      </c>
      <c r="FT162" s="139">
        <f t="shared" si="202"/>
        <v>0</v>
      </c>
      <c r="FU162" s="148">
        <f t="shared" si="203"/>
        <v>4.9047031276338604</v>
      </c>
      <c r="FV162" s="149"/>
      <c r="FY162" s="210">
        <v>157</v>
      </c>
      <c r="FZ162">
        <v>0.2456818880042031</v>
      </c>
      <c r="GA162">
        <v>2.2259170751347761</v>
      </c>
      <c r="GB162">
        <v>1.4908831465921764</v>
      </c>
      <c r="GC162">
        <v>5.9926154496179898</v>
      </c>
      <c r="GD162">
        <v>4.5145375716278533</v>
      </c>
      <c r="GE162">
        <v>0.62702737582634349</v>
      </c>
      <c r="GF162">
        <v>0.19016497712110106</v>
      </c>
      <c r="GG162">
        <v>2.0920807796801988</v>
      </c>
      <c r="GH162">
        <v>2.6495207003364443</v>
      </c>
      <c r="GI162">
        <v>4.2283398968149424</v>
      </c>
      <c r="GJ162"/>
      <c r="GK162"/>
      <c r="GL162"/>
      <c r="GM162"/>
    </row>
    <row r="163" spans="1:195" s="7" customFormat="1">
      <c r="A163" s="1"/>
      <c r="B163" s="76">
        <f ca="1">IF(C163="", "", RAND())</f>
        <v>0.17138981759289207</v>
      </c>
      <c r="C163">
        <v>8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2.4635416666666665</v>
      </c>
      <c r="AO163">
        <v>2.4618618591033639</v>
      </c>
      <c r="AP163">
        <v>11.381611200081572</v>
      </c>
      <c r="AQ163">
        <v>9.9288591538304143</v>
      </c>
      <c r="AR163">
        <v>2.2308656330145165</v>
      </c>
      <c r="AS163">
        <v>13.469265793686711</v>
      </c>
      <c r="AT163" t="e">
        <v>#DIV/0!</v>
      </c>
      <c r="AU163" t="e">
        <v>#DIV/0!</v>
      </c>
      <c r="AV163"/>
      <c r="AW163"/>
      <c r="AX163" s="146"/>
      <c r="AY163" s="76">
        <f t="shared" ca="1" si="169"/>
        <v>0.78361378523086422</v>
      </c>
      <c r="AZ163">
        <v>6</v>
      </c>
      <c r="BA163" s="129">
        <f t="shared" si="241"/>
        <v>39910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 s="147"/>
      <c r="CH163" s="176"/>
      <c r="CJ163" s="146"/>
      <c r="CK163" s="76">
        <f t="shared" ca="1" si="204"/>
        <v>6.6340238631319437E-2</v>
      </c>
      <c r="CL163" s="179">
        <f t="shared" si="205"/>
        <v>6</v>
      </c>
      <c r="CM163" s="180">
        <f t="shared" si="206"/>
        <v>39910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 s="160"/>
      <c r="CW163">
        <v>1</v>
      </c>
      <c r="CX163">
        <v>1</v>
      </c>
      <c r="CY163" s="160"/>
      <c r="CZ163" s="177">
        <f t="shared" si="207"/>
        <v>9.6000000000000002E-2</v>
      </c>
      <c r="DB163" s="146"/>
      <c r="DC163" s="76">
        <f t="shared" ca="1" si="170"/>
        <v>0.92196424260311449</v>
      </c>
      <c r="DD163">
        <f t="shared" si="208"/>
        <v>6</v>
      </c>
      <c r="DE163" s="129">
        <f t="shared" si="240"/>
        <v>39910</v>
      </c>
      <c r="DF163" s="161">
        <f t="shared" si="209"/>
        <v>0</v>
      </c>
      <c r="DG163" s="161">
        <f t="shared" si="210"/>
        <v>0</v>
      </c>
      <c r="DH163" s="161">
        <f t="shared" si="211"/>
        <v>0</v>
      </c>
      <c r="DI163" s="161">
        <f t="shared" si="212"/>
        <v>0</v>
      </c>
      <c r="DJ163" s="161">
        <f t="shared" si="213"/>
        <v>0</v>
      </c>
      <c r="DK163" s="161">
        <f t="shared" si="214"/>
        <v>0</v>
      </c>
      <c r="DL163" s="161">
        <f t="shared" si="215"/>
        <v>0</v>
      </c>
      <c r="DM163" s="161">
        <f t="shared" si="216"/>
        <v>0</v>
      </c>
      <c r="DN163" s="161">
        <f t="shared" si="217"/>
        <v>0</v>
      </c>
      <c r="DO163" s="161">
        <f t="shared" si="218"/>
        <v>0</v>
      </c>
      <c r="DP163" s="161">
        <f t="shared" si="219"/>
        <v>0</v>
      </c>
      <c r="DQ163" s="161">
        <f t="shared" si="220"/>
        <v>0</v>
      </c>
      <c r="DR163" s="161">
        <f t="shared" si="221"/>
        <v>0</v>
      </c>
      <c r="DS163" s="161">
        <f t="shared" si="222"/>
        <v>0</v>
      </c>
      <c r="DT163" s="161">
        <f t="shared" si="223"/>
        <v>0</v>
      </c>
      <c r="DU163" s="161">
        <f t="shared" si="224"/>
        <v>0</v>
      </c>
      <c r="DV163" s="161">
        <f t="shared" si="225"/>
        <v>0</v>
      </c>
      <c r="DW163" s="161">
        <f t="shared" si="226"/>
        <v>0</v>
      </c>
      <c r="DX163" s="161">
        <f t="shared" si="227"/>
        <v>0</v>
      </c>
      <c r="DY163" s="161">
        <f t="shared" si="228"/>
        <v>0</v>
      </c>
      <c r="DZ163" s="161">
        <f t="shared" si="229"/>
        <v>0</v>
      </c>
      <c r="EA163" s="161">
        <f t="shared" si="230"/>
        <v>0</v>
      </c>
      <c r="EB163" s="161">
        <f t="shared" si="231"/>
        <v>0</v>
      </c>
      <c r="EC163" s="161">
        <f t="shared" si="232"/>
        <v>0</v>
      </c>
      <c r="ED163" s="161">
        <f t="shared" si="233"/>
        <v>0</v>
      </c>
      <c r="EE163" s="161">
        <f t="shared" si="234"/>
        <v>0</v>
      </c>
      <c r="EF163" s="161">
        <f t="shared" si="235"/>
        <v>0</v>
      </c>
      <c r="EG163" s="161">
        <f t="shared" si="236"/>
        <v>0</v>
      </c>
      <c r="EH163" s="161">
        <f t="shared" si="237"/>
        <v>0</v>
      </c>
      <c r="EI163" s="161">
        <f t="shared" si="238"/>
        <v>0</v>
      </c>
      <c r="EJ163" s="161">
        <f t="shared" si="239"/>
        <v>0</v>
      </c>
      <c r="EK163" s="147">
        <f t="shared" si="171"/>
        <v>0</v>
      </c>
      <c r="EL163" s="149"/>
      <c r="EN163" s="146"/>
      <c r="EO163" s="146"/>
      <c r="EP163" s="139">
        <f t="shared" si="172"/>
        <v>0</v>
      </c>
      <c r="EQ163" s="139">
        <f t="shared" si="173"/>
        <v>0</v>
      </c>
      <c r="ER163" s="139">
        <f t="shared" si="174"/>
        <v>0</v>
      </c>
      <c r="ES163" s="139">
        <f t="shared" si="175"/>
        <v>0</v>
      </c>
      <c r="ET163" s="139">
        <f t="shared" si="176"/>
        <v>0</v>
      </c>
      <c r="EU163" s="139">
        <f t="shared" si="177"/>
        <v>0</v>
      </c>
      <c r="EV163" s="139">
        <f t="shared" si="178"/>
        <v>0</v>
      </c>
      <c r="EW163" s="139">
        <f t="shared" si="179"/>
        <v>0</v>
      </c>
      <c r="EX163" s="139">
        <f t="shared" si="180"/>
        <v>0</v>
      </c>
      <c r="EY163" s="139">
        <f t="shared" si="181"/>
        <v>0</v>
      </c>
      <c r="EZ163" s="139">
        <f t="shared" si="182"/>
        <v>0</v>
      </c>
      <c r="FA163" s="139">
        <f t="shared" si="183"/>
        <v>0</v>
      </c>
      <c r="FB163" s="139">
        <f t="shared" si="184"/>
        <v>0</v>
      </c>
      <c r="FC163" s="139">
        <f t="shared" si="185"/>
        <v>0</v>
      </c>
      <c r="FD163" s="139">
        <f t="shared" si="186"/>
        <v>0</v>
      </c>
      <c r="FE163" s="139">
        <f t="shared" si="187"/>
        <v>0</v>
      </c>
      <c r="FF163" s="139">
        <f t="shared" si="188"/>
        <v>0</v>
      </c>
      <c r="FG163" s="139">
        <f t="shared" si="189"/>
        <v>0</v>
      </c>
      <c r="FH163" s="139">
        <f t="shared" si="190"/>
        <v>0</v>
      </c>
      <c r="FI163" s="139">
        <f t="shared" si="191"/>
        <v>0</v>
      </c>
      <c r="FJ163" s="139">
        <f t="shared" si="192"/>
        <v>0</v>
      </c>
      <c r="FK163" s="139">
        <f t="shared" si="193"/>
        <v>0</v>
      </c>
      <c r="FL163" s="139">
        <f t="shared" si="194"/>
        <v>0</v>
      </c>
      <c r="FM163" s="139">
        <f t="shared" si="195"/>
        <v>0</v>
      </c>
      <c r="FN163" s="139">
        <f t="shared" si="196"/>
        <v>0</v>
      </c>
      <c r="FO163" s="139">
        <f t="shared" si="197"/>
        <v>0</v>
      </c>
      <c r="FP163" s="139">
        <f t="shared" si="198"/>
        <v>0</v>
      </c>
      <c r="FQ163" s="139">
        <f t="shared" si="199"/>
        <v>0</v>
      </c>
      <c r="FR163" s="139">
        <f t="shared" si="200"/>
        <v>0</v>
      </c>
      <c r="FS163" s="139">
        <f t="shared" si="201"/>
        <v>0</v>
      </c>
      <c r="FT163" s="139">
        <f t="shared" si="202"/>
        <v>0</v>
      </c>
      <c r="FU163" s="148">
        <f t="shared" si="203"/>
        <v>0</v>
      </c>
      <c r="FV163" s="149"/>
      <c r="FY163" s="210">
        <v>158</v>
      </c>
      <c r="FZ163">
        <v>0.27886497278940114</v>
      </c>
      <c r="GA163">
        <v>3.238284008043141</v>
      </c>
      <c r="GB163">
        <v>2.5354011280693975</v>
      </c>
      <c r="GC163">
        <v>5.5570970431334237</v>
      </c>
      <c r="GD163">
        <v>4.2735586007241873</v>
      </c>
      <c r="GE163">
        <v>1.69457980041659</v>
      </c>
      <c r="GF163">
        <v>1.8318812117418297</v>
      </c>
      <c r="GG163">
        <v>2.2833679826421585</v>
      </c>
      <c r="GH163">
        <v>1.9871405252523333</v>
      </c>
      <c r="GI163">
        <v>4.4641156930031443</v>
      </c>
      <c r="GJ163"/>
      <c r="GK163"/>
      <c r="GL163"/>
      <c r="GM163"/>
    </row>
    <row r="164" spans="1:195" s="7" customFormat="1">
      <c r="A164" s="1"/>
      <c r="B164" s="76">
        <f ca="1">IF(C164="", "", RAND())</f>
        <v>0.25233792872669092</v>
      </c>
      <c r="C164">
        <v>6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5.8513049450549453</v>
      </c>
      <c r="AO164">
        <v>3.9409494814387891</v>
      </c>
      <c r="AP164">
        <v>26.99098022454967</v>
      </c>
      <c r="AQ164">
        <v>21.250636385128416</v>
      </c>
      <c r="AR164">
        <v>3.655797292614833</v>
      </c>
      <c r="AS164">
        <v>15.325632429973597</v>
      </c>
      <c r="AT164" t="e">
        <v>#DIV/0!</v>
      </c>
      <c r="AU164" t="e">
        <v>#DIV/0!</v>
      </c>
      <c r="AV164"/>
      <c r="AW164"/>
      <c r="AX164" s="146"/>
      <c r="AY164" s="76">
        <f t="shared" ca="1" si="169"/>
        <v>0.64937849913132806</v>
      </c>
      <c r="AZ164">
        <v>7</v>
      </c>
      <c r="BA164" s="129">
        <f t="shared" si="241"/>
        <v>39910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 s="147"/>
      <c r="CH164" s="176"/>
      <c r="CJ164" s="146"/>
      <c r="CK164" s="76">
        <f t="shared" ca="1" si="204"/>
        <v>0.28427567799171793</v>
      </c>
      <c r="CL164" s="179">
        <f t="shared" si="205"/>
        <v>7</v>
      </c>
      <c r="CM164" s="180">
        <f t="shared" si="206"/>
        <v>39910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 s="160"/>
      <c r="CW164">
        <v>1</v>
      </c>
      <c r="CX164">
        <v>1</v>
      </c>
      <c r="CY164" s="165"/>
      <c r="CZ164" s="177">
        <f t="shared" si="207"/>
        <v>9.6000000000000002E-2</v>
      </c>
      <c r="DB164" s="146"/>
      <c r="DC164" s="76">
        <f t="shared" ca="1" si="170"/>
        <v>0.22756127653829594</v>
      </c>
      <c r="DD164">
        <f t="shared" si="208"/>
        <v>7</v>
      </c>
      <c r="DE164" s="129">
        <f t="shared" si="240"/>
        <v>39910</v>
      </c>
      <c r="DF164" s="161">
        <f t="shared" si="209"/>
        <v>0</v>
      </c>
      <c r="DG164" s="161">
        <f t="shared" si="210"/>
        <v>0</v>
      </c>
      <c r="DH164" s="161">
        <f t="shared" si="211"/>
        <v>0</v>
      </c>
      <c r="DI164" s="161">
        <f t="shared" si="212"/>
        <v>0</v>
      </c>
      <c r="DJ164" s="161">
        <f t="shared" si="213"/>
        <v>0</v>
      </c>
      <c r="DK164" s="161">
        <f t="shared" si="214"/>
        <v>0</v>
      </c>
      <c r="DL164" s="161">
        <f t="shared" si="215"/>
        <v>0</v>
      </c>
      <c r="DM164" s="161">
        <f t="shared" si="216"/>
        <v>0</v>
      </c>
      <c r="DN164" s="161">
        <f t="shared" si="217"/>
        <v>0</v>
      </c>
      <c r="DO164" s="161">
        <f t="shared" si="218"/>
        <v>0</v>
      </c>
      <c r="DP164" s="161">
        <f t="shared" si="219"/>
        <v>0</v>
      </c>
      <c r="DQ164" s="161">
        <f t="shared" si="220"/>
        <v>0</v>
      </c>
      <c r="DR164" s="161">
        <f t="shared" si="221"/>
        <v>0</v>
      </c>
      <c r="DS164" s="161">
        <f t="shared" si="222"/>
        <v>0</v>
      </c>
      <c r="DT164" s="161">
        <f t="shared" si="223"/>
        <v>0</v>
      </c>
      <c r="DU164" s="161">
        <f t="shared" si="224"/>
        <v>0</v>
      </c>
      <c r="DV164" s="161">
        <f t="shared" si="225"/>
        <v>0</v>
      </c>
      <c r="DW164" s="161">
        <f t="shared" si="226"/>
        <v>0</v>
      </c>
      <c r="DX164" s="161">
        <f t="shared" si="227"/>
        <v>0</v>
      </c>
      <c r="DY164" s="161">
        <f t="shared" si="228"/>
        <v>0</v>
      </c>
      <c r="DZ164" s="161">
        <f t="shared" si="229"/>
        <v>0</v>
      </c>
      <c r="EA164" s="161">
        <f t="shared" si="230"/>
        <v>0</v>
      </c>
      <c r="EB164" s="161">
        <f t="shared" si="231"/>
        <v>0</v>
      </c>
      <c r="EC164" s="161">
        <f t="shared" si="232"/>
        <v>0</v>
      </c>
      <c r="ED164" s="161">
        <f t="shared" si="233"/>
        <v>0</v>
      </c>
      <c r="EE164" s="161">
        <f t="shared" si="234"/>
        <v>0</v>
      </c>
      <c r="EF164" s="161">
        <f t="shared" si="235"/>
        <v>0</v>
      </c>
      <c r="EG164" s="161">
        <f t="shared" si="236"/>
        <v>0</v>
      </c>
      <c r="EH164" s="161">
        <f t="shared" si="237"/>
        <v>0</v>
      </c>
      <c r="EI164" s="161">
        <f t="shared" si="238"/>
        <v>0</v>
      </c>
      <c r="EJ164" s="161">
        <f t="shared" si="239"/>
        <v>0</v>
      </c>
      <c r="EK164" s="147">
        <f t="shared" si="171"/>
        <v>0</v>
      </c>
      <c r="EL164" s="149"/>
      <c r="EN164" s="146"/>
      <c r="EO164" s="146"/>
      <c r="EP164" s="139">
        <f t="shared" si="172"/>
        <v>0</v>
      </c>
      <c r="EQ164" s="139">
        <f t="shared" si="173"/>
        <v>0</v>
      </c>
      <c r="ER164" s="139">
        <f t="shared" si="174"/>
        <v>0</v>
      </c>
      <c r="ES164" s="139">
        <f t="shared" si="175"/>
        <v>0</v>
      </c>
      <c r="ET164" s="139">
        <f t="shared" si="176"/>
        <v>0</v>
      </c>
      <c r="EU164" s="139">
        <f t="shared" si="177"/>
        <v>0</v>
      </c>
      <c r="EV164" s="139">
        <f t="shared" si="178"/>
        <v>0</v>
      </c>
      <c r="EW164" s="139">
        <f t="shared" si="179"/>
        <v>0</v>
      </c>
      <c r="EX164" s="139">
        <f t="shared" si="180"/>
        <v>0</v>
      </c>
      <c r="EY164" s="139">
        <f t="shared" si="181"/>
        <v>0</v>
      </c>
      <c r="EZ164" s="139">
        <f t="shared" si="182"/>
        <v>0</v>
      </c>
      <c r="FA164" s="139">
        <f t="shared" si="183"/>
        <v>0</v>
      </c>
      <c r="FB164" s="139">
        <f t="shared" si="184"/>
        <v>0</v>
      </c>
      <c r="FC164" s="139">
        <f t="shared" si="185"/>
        <v>0</v>
      </c>
      <c r="FD164" s="139">
        <f t="shared" si="186"/>
        <v>0</v>
      </c>
      <c r="FE164" s="139">
        <f t="shared" si="187"/>
        <v>0</v>
      </c>
      <c r="FF164" s="139">
        <f t="shared" si="188"/>
        <v>0</v>
      </c>
      <c r="FG164" s="139">
        <f t="shared" si="189"/>
        <v>0</v>
      </c>
      <c r="FH164" s="139">
        <f t="shared" si="190"/>
        <v>0</v>
      </c>
      <c r="FI164" s="139">
        <f t="shared" si="191"/>
        <v>0</v>
      </c>
      <c r="FJ164" s="139">
        <f t="shared" si="192"/>
        <v>0</v>
      </c>
      <c r="FK164" s="139">
        <f t="shared" si="193"/>
        <v>0</v>
      </c>
      <c r="FL164" s="139">
        <f t="shared" si="194"/>
        <v>0</v>
      </c>
      <c r="FM164" s="139">
        <f t="shared" si="195"/>
        <v>0</v>
      </c>
      <c r="FN164" s="139">
        <f t="shared" si="196"/>
        <v>0</v>
      </c>
      <c r="FO164" s="139">
        <f t="shared" si="197"/>
        <v>0</v>
      </c>
      <c r="FP164" s="139">
        <f t="shared" si="198"/>
        <v>0</v>
      </c>
      <c r="FQ164" s="139">
        <f t="shared" si="199"/>
        <v>0</v>
      </c>
      <c r="FR164" s="139">
        <f t="shared" si="200"/>
        <v>0</v>
      </c>
      <c r="FS164" s="139">
        <f t="shared" si="201"/>
        <v>0</v>
      </c>
      <c r="FT164" s="139">
        <f t="shared" si="202"/>
        <v>0</v>
      </c>
      <c r="FU164" s="148">
        <f t="shared" si="203"/>
        <v>0</v>
      </c>
      <c r="FV164" s="149"/>
      <c r="FY164" s="210">
        <v>159</v>
      </c>
      <c r="FZ164">
        <v>0.52454686079360424</v>
      </c>
      <c r="GA164">
        <v>0.61929245222837248</v>
      </c>
      <c r="GB164">
        <v>0.57206434372473558</v>
      </c>
      <c r="GC164">
        <v>3.4331654371810876</v>
      </c>
      <c r="GD164">
        <v>2.5835428193506393</v>
      </c>
      <c r="GE164">
        <v>1.5731574193805689</v>
      </c>
      <c r="GF164">
        <v>1.95227762939375</v>
      </c>
      <c r="GG164">
        <v>0.64907444160511019</v>
      </c>
      <c r="GH164">
        <v>0.66238017508411107</v>
      </c>
      <c r="GI164">
        <v>2.5538603978560928</v>
      </c>
      <c r="GJ164"/>
      <c r="GK164"/>
      <c r="GL164"/>
      <c r="GM164"/>
    </row>
    <row r="165" spans="1:195" s="7" customFormat="1">
      <c r="A165" s="1"/>
      <c r="B165" s="76">
        <f ca="1">IF(C165="", "", RAND())</f>
        <v>0.1267133747272613</v>
      </c>
      <c r="C165">
        <v>5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10.416666666666666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6.0960202991452981</v>
      </c>
      <c r="AO165">
        <v>7.7237320042687498</v>
      </c>
      <c r="AP165">
        <v>27.686251717229826</v>
      </c>
      <c r="AQ165">
        <v>26.3871794303261</v>
      </c>
      <c r="AR165">
        <v>7.1120067695315718</v>
      </c>
      <c r="AS165">
        <v>38.558876758686544</v>
      </c>
      <c r="AT165" t="e">
        <v>#DIV/0!</v>
      </c>
      <c r="AU165" t="e">
        <v>#DIV/0!</v>
      </c>
      <c r="AV165"/>
      <c r="AW165"/>
      <c r="AX165" s="146"/>
      <c r="AY165" s="76">
        <f t="shared" ca="1" si="169"/>
        <v>0.46401384157364678</v>
      </c>
      <c r="AZ165">
        <v>8</v>
      </c>
      <c r="BA165" s="129">
        <f t="shared" si="241"/>
        <v>39910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 s="147"/>
      <c r="CH165" s="176"/>
      <c r="CJ165" s="146"/>
      <c r="CK165" s="76">
        <f t="shared" ca="1" si="204"/>
        <v>0.59310297356051067</v>
      </c>
      <c r="CL165" s="179">
        <f t="shared" si="205"/>
        <v>8</v>
      </c>
      <c r="CM165" s="180">
        <f t="shared" si="206"/>
        <v>39910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 s="160"/>
      <c r="CW165">
        <v>1</v>
      </c>
      <c r="CX165">
        <v>1</v>
      </c>
      <c r="CY165" s="165"/>
      <c r="CZ165" s="177">
        <f t="shared" si="207"/>
        <v>9.6000000000000002E-2</v>
      </c>
      <c r="DB165" s="146"/>
      <c r="DC165" s="76">
        <f t="shared" ca="1" si="170"/>
        <v>0.70164784430232796</v>
      </c>
      <c r="DD165">
        <f t="shared" si="208"/>
        <v>8</v>
      </c>
      <c r="DE165" s="129">
        <f t="shared" si="240"/>
        <v>39910</v>
      </c>
      <c r="DF165" s="161">
        <f t="shared" si="209"/>
        <v>0</v>
      </c>
      <c r="DG165" s="161">
        <f t="shared" si="210"/>
        <v>0</v>
      </c>
      <c r="DH165" s="161">
        <f t="shared" si="211"/>
        <v>0</v>
      </c>
      <c r="DI165" s="161">
        <f t="shared" si="212"/>
        <v>0</v>
      </c>
      <c r="DJ165" s="161">
        <f t="shared" si="213"/>
        <v>0</v>
      </c>
      <c r="DK165" s="161">
        <f t="shared" si="214"/>
        <v>0</v>
      </c>
      <c r="DL165" s="161">
        <f t="shared" si="215"/>
        <v>0</v>
      </c>
      <c r="DM165" s="161">
        <f t="shared" si="216"/>
        <v>0</v>
      </c>
      <c r="DN165" s="161">
        <f t="shared" si="217"/>
        <v>0</v>
      </c>
      <c r="DO165" s="161">
        <f t="shared" si="218"/>
        <v>0</v>
      </c>
      <c r="DP165" s="161">
        <f t="shared" si="219"/>
        <v>0</v>
      </c>
      <c r="DQ165" s="161">
        <f t="shared" si="220"/>
        <v>0</v>
      </c>
      <c r="DR165" s="161">
        <f t="shared" si="221"/>
        <v>0</v>
      </c>
      <c r="DS165" s="161">
        <f t="shared" si="222"/>
        <v>0</v>
      </c>
      <c r="DT165" s="161">
        <f t="shared" si="223"/>
        <v>0</v>
      </c>
      <c r="DU165" s="161">
        <f t="shared" si="224"/>
        <v>0</v>
      </c>
      <c r="DV165" s="161">
        <f t="shared" si="225"/>
        <v>0</v>
      </c>
      <c r="DW165" s="161">
        <f t="shared" si="226"/>
        <v>0</v>
      </c>
      <c r="DX165" s="161">
        <f t="shared" si="227"/>
        <v>0</v>
      </c>
      <c r="DY165" s="161">
        <f t="shared" si="228"/>
        <v>0</v>
      </c>
      <c r="DZ165" s="161">
        <f t="shared" si="229"/>
        <v>0</v>
      </c>
      <c r="EA165" s="161">
        <f t="shared" si="230"/>
        <v>0</v>
      </c>
      <c r="EB165" s="161">
        <f t="shared" si="231"/>
        <v>0</v>
      </c>
      <c r="EC165" s="161">
        <f t="shared" si="232"/>
        <v>0</v>
      </c>
      <c r="ED165" s="161">
        <f t="shared" si="233"/>
        <v>0</v>
      </c>
      <c r="EE165" s="161">
        <f t="shared" si="234"/>
        <v>0</v>
      </c>
      <c r="EF165" s="161">
        <f t="shared" si="235"/>
        <v>0</v>
      </c>
      <c r="EG165" s="161">
        <f t="shared" si="236"/>
        <v>0</v>
      </c>
      <c r="EH165" s="161">
        <f t="shared" si="237"/>
        <v>0</v>
      </c>
      <c r="EI165" s="161">
        <f t="shared" si="238"/>
        <v>0</v>
      </c>
      <c r="EJ165" s="161">
        <f t="shared" si="239"/>
        <v>0</v>
      </c>
      <c r="EK165" s="147">
        <f t="shared" si="171"/>
        <v>0</v>
      </c>
      <c r="EL165" s="149"/>
      <c r="EN165" s="146"/>
      <c r="EO165" s="146"/>
      <c r="EP165" s="139">
        <f t="shared" si="172"/>
        <v>0</v>
      </c>
      <c r="EQ165" s="139">
        <f t="shared" si="173"/>
        <v>0</v>
      </c>
      <c r="ER165" s="139">
        <f t="shared" si="174"/>
        <v>0</v>
      </c>
      <c r="ES165" s="139">
        <f t="shared" si="175"/>
        <v>0</v>
      </c>
      <c r="ET165" s="139">
        <f t="shared" si="176"/>
        <v>0</v>
      </c>
      <c r="EU165" s="139">
        <f t="shared" si="177"/>
        <v>0</v>
      </c>
      <c r="EV165" s="139">
        <f t="shared" si="178"/>
        <v>0</v>
      </c>
      <c r="EW165" s="139">
        <f t="shared" si="179"/>
        <v>0</v>
      </c>
      <c r="EX165" s="139">
        <f t="shared" si="180"/>
        <v>0</v>
      </c>
      <c r="EY165" s="139">
        <f t="shared" si="181"/>
        <v>0</v>
      </c>
      <c r="EZ165" s="139">
        <f t="shared" si="182"/>
        <v>0</v>
      </c>
      <c r="FA165" s="139">
        <f t="shared" si="183"/>
        <v>0</v>
      </c>
      <c r="FB165" s="139">
        <f t="shared" si="184"/>
        <v>0</v>
      </c>
      <c r="FC165" s="139">
        <f t="shared" si="185"/>
        <v>0</v>
      </c>
      <c r="FD165" s="139">
        <f t="shared" si="186"/>
        <v>0</v>
      </c>
      <c r="FE165" s="139">
        <f t="shared" si="187"/>
        <v>0</v>
      </c>
      <c r="FF165" s="139">
        <f t="shared" si="188"/>
        <v>0</v>
      </c>
      <c r="FG165" s="139">
        <f t="shared" si="189"/>
        <v>0</v>
      </c>
      <c r="FH165" s="139">
        <f t="shared" si="190"/>
        <v>0</v>
      </c>
      <c r="FI165" s="139">
        <f t="shared" si="191"/>
        <v>0</v>
      </c>
      <c r="FJ165" s="139">
        <f t="shared" si="192"/>
        <v>0</v>
      </c>
      <c r="FK165" s="139">
        <f t="shared" si="193"/>
        <v>0</v>
      </c>
      <c r="FL165" s="139">
        <f t="shared" si="194"/>
        <v>0</v>
      </c>
      <c r="FM165" s="139">
        <f t="shared" si="195"/>
        <v>0</v>
      </c>
      <c r="FN165" s="139">
        <f t="shared" si="196"/>
        <v>0</v>
      </c>
      <c r="FO165" s="139">
        <f t="shared" si="197"/>
        <v>0</v>
      </c>
      <c r="FP165" s="139">
        <f t="shared" si="198"/>
        <v>0</v>
      </c>
      <c r="FQ165" s="139">
        <f t="shared" si="199"/>
        <v>0</v>
      </c>
      <c r="FR165" s="139">
        <f t="shared" si="200"/>
        <v>0</v>
      </c>
      <c r="FS165" s="139">
        <f t="shared" si="201"/>
        <v>0</v>
      </c>
      <c r="FT165" s="139">
        <f t="shared" si="202"/>
        <v>0</v>
      </c>
      <c r="FU165" s="148">
        <f t="shared" si="203"/>
        <v>0</v>
      </c>
      <c r="FV165" s="149"/>
      <c r="FY165" s="210">
        <v>160</v>
      </c>
      <c r="FZ165">
        <v>6.6366169570396066E-2</v>
      </c>
      <c r="GA165">
        <v>4.0756600055982943</v>
      </c>
      <c r="GB165">
        <v>2.4736382761154245</v>
      </c>
      <c r="GC165">
        <v>5.2891349680471524</v>
      </c>
      <c r="GD165">
        <v>4.2735586007241873</v>
      </c>
      <c r="GE165">
        <v>1.69457980041659</v>
      </c>
      <c r="GF165">
        <v>1.0712213032574254</v>
      </c>
      <c r="GG165">
        <v>1.1300765542968063</v>
      </c>
      <c r="GH165">
        <v>1.3247603501682221</v>
      </c>
      <c r="GI165">
        <v>4.1638110526746868</v>
      </c>
      <c r="GJ165"/>
      <c r="GK165"/>
      <c r="GL165"/>
      <c r="GM165"/>
    </row>
    <row r="166" spans="1:195" s="7" customFormat="1">
      <c r="A166" s="1"/>
      <c r="B166" s="76">
        <f ca="1">IF(C166="", "", RAND())</f>
        <v>4.3284704565049292E-2</v>
      </c>
      <c r="C166">
        <v>3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8.9266254578754562</v>
      </c>
      <c r="AO166">
        <v>8.9279717123712832</v>
      </c>
      <c r="AP166">
        <v>31.380956307661236</v>
      </c>
      <c r="AQ166">
        <v>30.779712575791791</v>
      </c>
      <c r="AR166">
        <v>8.1762470305601571</v>
      </c>
      <c r="AS166">
        <v>43.080268409949525</v>
      </c>
      <c r="AT166" t="e">
        <v>#DIV/0!</v>
      </c>
      <c r="AU166" t="e">
        <v>#DIV/0!</v>
      </c>
      <c r="AV166"/>
      <c r="AW166"/>
      <c r="AX166" s="146"/>
      <c r="AY166" s="76">
        <f t="shared" ca="1" si="169"/>
        <v>0.85185144214559338</v>
      </c>
      <c r="AZ166">
        <v>9</v>
      </c>
      <c r="BA166" s="129">
        <f t="shared" si="241"/>
        <v>39910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 s="147"/>
      <c r="CH166" s="176"/>
      <c r="CJ166" s="146"/>
      <c r="CK166" s="76">
        <f t="shared" ca="1" si="204"/>
        <v>0.52674794727042284</v>
      </c>
      <c r="CL166" s="179">
        <f t="shared" si="205"/>
        <v>9</v>
      </c>
      <c r="CM166" s="180">
        <f t="shared" si="206"/>
        <v>39910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 s="160"/>
      <c r="CW166">
        <f>33/10</f>
        <v>3.3</v>
      </c>
      <c r="CX166">
        <f>350/36</f>
        <v>9.7222222222222214</v>
      </c>
      <c r="CY166" s="165"/>
      <c r="CZ166" s="177">
        <f t="shared" si="207"/>
        <v>9.6000000000000002E-2</v>
      </c>
      <c r="DB166" s="146"/>
      <c r="DC166" s="76">
        <f t="shared" ca="1" si="170"/>
        <v>0.16059589273218267</v>
      </c>
      <c r="DD166">
        <f t="shared" si="208"/>
        <v>9</v>
      </c>
      <c r="DE166" s="129">
        <f t="shared" si="240"/>
        <v>39910</v>
      </c>
      <c r="DF166" s="161">
        <f t="shared" si="209"/>
        <v>0</v>
      </c>
      <c r="DG166" s="161">
        <f t="shared" si="210"/>
        <v>0</v>
      </c>
      <c r="DH166" s="161">
        <f t="shared" si="211"/>
        <v>0</v>
      </c>
      <c r="DI166" s="161">
        <f t="shared" si="212"/>
        <v>0</v>
      </c>
      <c r="DJ166" s="161">
        <f t="shared" si="213"/>
        <v>0</v>
      </c>
      <c r="DK166" s="161">
        <f t="shared" si="214"/>
        <v>0</v>
      </c>
      <c r="DL166" s="161">
        <f t="shared" si="215"/>
        <v>0</v>
      </c>
      <c r="DM166" s="161">
        <f t="shared" si="216"/>
        <v>0</v>
      </c>
      <c r="DN166" s="161">
        <f t="shared" si="217"/>
        <v>0</v>
      </c>
      <c r="DO166" s="161">
        <f t="shared" si="218"/>
        <v>0</v>
      </c>
      <c r="DP166" s="161">
        <f t="shared" si="219"/>
        <v>0</v>
      </c>
      <c r="DQ166" s="161">
        <f t="shared" si="220"/>
        <v>0</v>
      </c>
      <c r="DR166" s="161">
        <f t="shared" si="221"/>
        <v>0</v>
      </c>
      <c r="DS166" s="161">
        <f t="shared" si="222"/>
        <v>0</v>
      </c>
      <c r="DT166" s="161">
        <f t="shared" si="223"/>
        <v>0</v>
      </c>
      <c r="DU166" s="161">
        <f t="shared" si="224"/>
        <v>0</v>
      </c>
      <c r="DV166" s="161">
        <f t="shared" si="225"/>
        <v>0</v>
      </c>
      <c r="DW166" s="161">
        <f t="shared" si="226"/>
        <v>0</v>
      </c>
      <c r="DX166" s="161">
        <f t="shared" si="227"/>
        <v>0</v>
      </c>
      <c r="DY166" s="161">
        <f t="shared" si="228"/>
        <v>0</v>
      </c>
      <c r="DZ166" s="161">
        <f t="shared" si="229"/>
        <v>0</v>
      </c>
      <c r="EA166" s="161">
        <f t="shared" si="230"/>
        <v>0</v>
      </c>
      <c r="EB166" s="161">
        <f t="shared" si="231"/>
        <v>0</v>
      </c>
      <c r="EC166" s="161">
        <f t="shared" si="232"/>
        <v>0</v>
      </c>
      <c r="ED166" s="161">
        <f t="shared" si="233"/>
        <v>0</v>
      </c>
      <c r="EE166" s="161">
        <f t="shared" si="234"/>
        <v>0</v>
      </c>
      <c r="EF166" s="161">
        <f t="shared" si="235"/>
        <v>0</v>
      </c>
      <c r="EG166" s="161">
        <f t="shared" si="236"/>
        <v>0</v>
      </c>
      <c r="EH166" s="161">
        <f t="shared" si="237"/>
        <v>0</v>
      </c>
      <c r="EI166" s="161">
        <f t="shared" si="238"/>
        <v>0</v>
      </c>
      <c r="EJ166" s="161">
        <f t="shared" si="239"/>
        <v>0</v>
      </c>
      <c r="EK166" s="147">
        <f t="shared" si="171"/>
        <v>0</v>
      </c>
      <c r="EL166" s="149"/>
      <c r="EN166" s="146"/>
      <c r="EO166" s="146"/>
      <c r="EP166" s="139">
        <f t="shared" si="172"/>
        <v>0</v>
      </c>
      <c r="EQ166" s="139">
        <f t="shared" si="173"/>
        <v>0</v>
      </c>
      <c r="ER166" s="139">
        <f t="shared" si="174"/>
        <v>0</v>
      </c>
      <c r="ES166" s="139">
        <f t="shared" si="175"/>
        <v>0</v>
      </c>
      <c r="ET166" s="139">
        <f t="shared" si="176"/>
        <v>0</v>
      </c>
      <c r="EU166" s="139">
        <f t="shared" si="177"/>
        <v>0</v>
      </c>
      <c r="EV166" s="139">
        <f t="shared" si="178"/>
        <v>0</v>
      </c>
      <c r="EW166" s="139">
        <f t="shared" si="179"/>
        <v>0</v>
      </c>
      <c r="EX166" s="139">
        <f t="shared" si="180"/>
        <v>0</v>
      </c>
      <c r="EY166" s="139">
        <f t="shared" si="181"/>
        <v>0</v>
      </c>
      <c r="EZ166" s="139">
        <f t="shared" si="182"/>
        <v>0</v>
      </c>
      <c r="FA166" s="139">
        <f t="shared" si="183"/>
        <v>0</v>
      </c>
      <c r="FB166" s="139">
        <f t="shared" si="184"/>
        <v>0</v>
      </c>
      <c r="FC166" s="139">
        <f t="shared" si="185"/>
        <v>0</v>
      </c>
      <c r="FD166" s="139">
        <f t="shared" si="186"/>
        <v>0</v>
      </c>
      <c r="FE166" s="139">
        <f t="shared" si="187"/>
        <v>0</v>
      </c>
      <c r="FF166" s="139">
        <f t="shared" si="188"/>
        <v>0</v>
      </c>
      <c r="FG166" s="139">
        <f t="shared" si="189"/>
        <v>0</v>
      </c>
      <c r="FH166" s="139">
        <f t="shared" si="190"/>
        <v>0</v>
      </c>
      <c r="FI166" s="139">
        <f t="shared" si="191"/>
        <v>0</v>
      </c>
      <c r="FJ166" s="139">
        <f t="shared" si="192"/>
        <v>0</v>
      </c>
      <c r="FK166" s="139">
        <f t="shared" si="193"/>
        <v>0</v>
      </c>
      <c r="FL166" s="139">
        <f t="shared" si="194"/>
        <v>0</v>
      </c>
      <c r="FM166" s="139">
        <f t="shared" si="195"/>
        <v>0</v>
      </c>
      <c r="FN166" s="139">
        <f t="shared" si="196"/>
        <v>0</v>
      </c>
      <c r="FO166" s="139">
        <f t="shared" si="197"/>
        <v>0</v>
      </c>
      <c r="FP166" s="139">
        <f t="shared" si="198"/>
        <v>0</v>
      </c>
      <c r="FQ166" s="139">
        <f t="shared" si="199"/>
        <v>0</v>
      </c>
      <c r="FR166" s="139">
        <f t="shared" si="200"/>
        <v>0</v>
      </c>
      <c r="FS166" s="139">
        <f t="shared" si="201"/>
        <v>0</v>
      </c>
      <c r="FT166" s="139">
        <f t="shared" si="202"/>
        <v>0</v>
      </c>
      <c r="FU166" s="148">
        <f t="shared" si="203"/>
        <v>0</v>
      </c>
      <c r="FV166" s="149"/>
      <c r="FY166" s="210">
        <v>161</v>
      </c>
      <c r="FZ166">
        <v>3.3183084785198033E-2</v>
      </c>
      <c r="GA166">
        <v>5.846918318728461</v>
      </c>
      <c r="GB166">
        <v>3.900585096051794</v>
      </c>
      <c r="GC166">
        <v>3.9911739488417979</v>
      </c>
      <c r="GD166">
        <v>3.1649644680786437</v>
      </c>
      <c r="GE166">
        <v>1.2897128783094598</v>
      </c>
      <c r="GF166">
        <v>0.19016497712110106</v>
      </c>
      <c r="GG166">
        <v>0.16807232891341395</v>
      </c>
      <c r="GH166">
        <v>0</v>
      </c>
      <c r="GI166">
        <v>3.4066816004824685</v>
      </c>
      <c r="GJ166"/>
      <c r="GK166"/>
      <c r="GL166"/>
      <c r="GM166"/>
    </row>
    <row r="167" spans="1:195" s="7" customFormat="1">
      <c r="A167" s="1"/>
      <c r="B167" s="76">
        <f ca="1">IF(C167="", "", RAND())</f>
        <v>6.9990311536010985E-2</v>
      </c>
      <c r="C167">
        <v>7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10.804639804639802</v>
      </c>
      <c r="AO167">
        <v>9.052839381251971</v>
      </c>
      <c r="AP167">
        <v>41.593014049783022</v>
      </c>
      <c r="AQ167">
        <v>35.489580515962025</v>
      </c>
      <c r="AR167">
        <v>8.3978101866901405</v>
      </c>
      <c r="AS167">
        <v>36.784612072217705</v>
      </c>
      <c r="AT167" t="e">
        <v>#DIV/0!</v>
      </c>
      <c r="AU167" t="e">
        <v>#DIV/0!</v>
      </c>
      <c r="AV167"/>
      <c r="AW167"/>
      <c r="AX167" s="146"/>
      <c r="AY167" s="76">
        <f t="shared" ca="1" si="169"/>
        <v>0.30699608349525942</v>
      </c>
      <c r="AZ167">
        <v>10</v>
      </c>
      <c r="BA167" s="129">
        <f t="shared" si="241"/>
        <v>39910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 s="147"/>
      <c r="CH167" s="176"/>
      <c r="CJ167" s="146"/>
      <c r="CK167" s="76">
        <f t="shared" ca="1" si="204"/>
        <v>0.64670974144959814</v>
      </c>
      <c r="CL167" s="179">
        <f t="shared" si="205"/>
        <v>10</v>
      </c>
      <c r="CM167" s="180">
        <f t="shared" si="206"/>
        <v>39910</v>
      </c>
      <c r="CN167" s="222">
        <v>0</v>
      </c>
      <c r="CO167" s="222">
        <v>0</v>
      </c>
      <c r="CP167" s="222">
        <v>0</v>
      </c>
      <c r="CQ167" s="222">
        <v>0</v>
      </c>
      <c r="CR167" s="222">
        <v>0</v>
      </c>
      <c r="CS167">
        <v>0</v>
      </c>
      <c r="CT167">
        <v>0</v>
      </c>
      <c r="CU167">
        <v>0</v>
      </c>
      <c r="CV167" s="160"/>
      <c r="CW167">
        <v>1</v>
      </c>
      <c r="CX167">
        <f>350/35</f>
        <v>10</v>
      </c>
      <c r="CY167" s="165"/>
      <c r="CZ167" s="177">
        <f t="shared" si="207"/>
        <v>9.6000000000000002E-2</v>
      </c>
      <c r="DB167" s="146"/>
      <c r="DC167" s="76">
        <f t="shared" ca="1" si="170"/>
        <v>0.4808584952500452</v>
      </c>
      <c r="DD167">
        <f t="shared" si="208"/>
        <v>10</v>
      </c>
      <c r="DE167" s="129">
        <f t="shared" si="240"/>
        <v>39910</v>
      </c>
      <c r="DF167" s="161">
        <f t="shared" si="209"/>
        <v>0</v>
      </c>
      <c r="DG167" s="161">
        <f t="shared" si="210"/>
        <v>0</v>
      </c>
      <c r="DH167" s="161">
        <f t="shared" si="211"/>
        <v>0</v>
      </c>
      <c r="DI167" s="161">
        <f t="shared" si="212"/>
        <v>0</v>
      </c>
      <c r="DJ167" s="161">
        <f t="shared" si="213"/>
        <v>0</v>
      </c>
      <c r="DK167" s="161">
        <f t="shared" si="214"/>
        <v>0</v>
      </c>
      <c r="DL167" s="161">
        <f t="shared" si="215"/>
        <v>0</v>
      </c>
      <c r="DM167" s="161">
        <f t="shared" si="216"/>
        <v>0</v>
      </c>
      <c r="DN167" s="161">
        <f t="shared" si="217"/>
        <v>0</v>
      </c>
      <c r="DO167" s="161">
        <f t="shared" si="218"/>
        <v>0</v>
      </c>
      <c r="DP167" s="161">
        <f t="shared" si="219"/>
        <v>0</v>
      </c>
      <c r="DQ167" s="161">
        <f t="shared" si="220"/>
        <v>0</v>
      </c>
      <c r="DR167" s="161">
        <f t="shared" si="221"/>
        <v>0</v>
      </c>
      <c r="DS167" s="161">
        <f t="shared" si="222"/>
        <v>0</v>
      </c>
      <c r="DT167" s="161">
        <f t="shared" si="223"/>
        <v>0</v>
      </c>
      <c r="DU167" s="161">
        <f t="shared" si="224"/>
        <v>0</v>
      </c>
      <c r="DV167" s="161">
        <f t="shared" si="225"/>
        <v>0</v>
      </c>
      <c r="DW167" s="161">
        <f t="shared" si="226"/>
        <v>0</v>
      </c>
      <c r="DX167" s="161">
        <f t="shared" si="227"/>
        <v>0</v>
      </c>
      <c r="DY167" s="161">
        <f t="shared" si="228"/>
        <v>0</v>
      </c>
      <c r="DZ167" s="161">
        <f t="shared" si="229"/>
        <v>0</v>
      </c>
      <c r="EA167" s="161">
        <f t="shared" si="230"/>
        <v>0</v>
      </c>
      <c r="EB167" s="161">
        <f t="shared" si="231"/>
        <v>0</v>
      </c>
      <c r="EC167" s="161">
        <f t="shared" si="232"/>
        <v>0</v>
      </c>
      <c r="ED167" s="161">
        <f t="shared" si="233"/>
        <v>0</v>
      </c>
      <c r="EE167" s="161">
        <f t="shared" si="234"/>
        <v>0</v>
      </c>
      <c r="EF167" s="161">
        <f t="shared" si="235"/>
        <v>0</v>
      </c>
      <c r="EG167" s="161">
        <f t="shared" si="236"/>
        <v>0</v>
      </c>
      <c r="EH167" s="161">
        <f t="shared" si="237"/>
        <v>0</v>
      </c>
      <c r="EI167" s="161">
        <f t="shared" si="238"/>
        <v>0</v>
      </c>
      <c r="EJ167" s="161">
        <f t="shared" si="239"/>
        <v>0</v>
      </c>
      <c r="EK167" s="147">
        <f t="shared" si="171"/>
        <v>0</v>
      </c>
      <c r="EL167" s="149"/>
      <c r="EN167" s="146"/>
      <c r="EO167" s="146"/>
      <c r="EP167" s="139">
        <f t="shared" si="172"/>
        <v>0</v>
      </c>
      <c r="EQ167" s="139">
        <f t="shared" si="173"/>
        <v>0</v>
      </c>
      <c r="ER167" s="139">
        <f t="shared" si="174"/>
        <v>0</v>
      </c>
      <c r="ES167" s="139">
        <f t="shared" si="175"/>
        <v>0</v>
      </c>
      <c r="ET167" s="139">
        <f t="shared" si="176"/>
        <v>0</v>
      </c>
      <c r="EU167" s="139">
        <f t="shared" si="177"/>
        <v>0</v>
      </c>
      <c r="EV167" s="139">
        <f t="shared" si="178"/>
        <v>0</v>
      </c>
      <c r="EW167" s="139">
        <f t="shared" si="179"/>
        <v>0</v>
      </c>
      <c r="EX167" s="139">
        <f t="shared" si="180"/>
        <v>0</v>
      </c>
      <c r="EY167" s="139">
        <f t="shared" si="181"/>
        <v>0</v>
      </c>
      <c r="EZ167" s="139">
        <f t="shared" si="182"/>
        <v>0</v>
      </c>
      <c r="FA167" s="139">
        <f t="shared" si="183"/>
        <v>0</v>
      </c>
      <c r="FB167" s="139">
        <f t="shared" si="184"/>
        <v>0</v>
      </c>
      <c r="FC167" s="139">
        <f t="shared" si="185"/>
        <v>0</v>
      </c>
      <c r="FD167" s="139">
        <f t="shared" si="186"/>
        <v>0</v>
      </c>
      <c r="FE167" s="139">
        <f t="shared" si="187"/>
        <v>0</v>
      </c>
      <c r="FF167" s="139">
        <f t="shared" si="188"/>
        <v>0</v>
      </c>
      <c r="FG167" s="139">
        <f t="shared" si="189"/>
        <v>0</v>
      </c>
      <c r="FH167" s="139">
        <f t="shared" si="190"/>
        <v>0</v>
      </c>
      <c r="FI167" s="139">
        <f t="shared" si="191"/>
        <v>0</v>
      </c>
      <c r="FJ167" s="139">
        <f t="shared" si="192"/>
        <v>0</v>
      </c>
      <c r="FK167" s="139">
        <f t="shared" si="193"/>
        <v>0</v>
      </c>
      <c r="FL167" s="139">
        <f t="shared" si="194"/>
        <v>0</v>
      </c>
      <c r="FM167" s="139">
        <f t="shared" si="195"/>
        <v>0</v>
      </c>
      <c r="FN167" s="139">
        <f t="shared" si="196"/>
        <v>0</v>
      </c>
      <c r="FO167" s="139">
        <f t="shared" si="197"/>
        <v>0</v>
      </c>
      <c r="FP167" s="139">
        <f t="shared" si="198"/>
        <v>0</v>
      </c>
      <c r="FQ167" s="139">
        <f t="shared" si="199"/>
        <v>0</v>
      </c>
      <c r="FR167" s="139">
        <f t="shared" si="200"/>
        <v>0</v>
      </c>
      <c r="FS167" s="139">
        <f t="shared" si="201"/>
        <v>0</v>
      </c>
      <c r="FT167" s="139">
        <f t="shared" si="202"/>
        <v>0</v>
      </c>
      <c r="FU167" s="148">
        <f t="shared" si="203"/>
        <v>0</v>
      </c>
      <c r="FV167" s="149"/>
      <c r="FY167" s="210">
        <v>162</v>
      </c>
      <c r="FZ167">
        <v>0.34523114235979718</v>
      </c>
      <c r="GA167">
        <v>4.4152846311752683</v>
      </c>
      <c r="GB167">
        <v>3.0717910924776906</v>
      </c>
      <c r="GC167">
        <v>1.5232565523928332</v>
      </c>
      <c r="GD167">
        <v>1.1092892223728277</v>
      </c>
      <c r="GE167">
        <v>1.3810661125034183</v>
      </c>
      <c r="GF167">
        <v>1.2613862803785265</v>
      </c>
      <c r="GG167">
        <v>2.7411552212853092</v>
      </c>
      <c r="GH167">
        <v>3.3119008754205557</v>
      </c>
      <c r="GI167">
        <v>2.5607644218388508</v>
      </c>
      <c r="GJ167"/>
      <c r="GK167"/>
      <c r="GL167"/>
      <c r="GM167"/>
    </row>
    <row r="168" spans="1:195" s="7" customFormat="1">
      <c r="A168" s="128"/>
      <c r="B168" s="76">
        <f ca="1">IF(C168="", "", RAND())</f>
        <v>0.55109509534246581</v>
      </c>
      <c r="C168">
        <v>5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5.010416666666667</v>
      </c>
      <c r="AO168">
        <v>6.1463360488161491</v>
      </c>
      <c r="AP168">
        <v>17.234467124484961</v>
      </c>
      <c r="AQ168">
        <v>18.91878308257116</v>
      </c>
      <c r="AR168">
        <v>5.7016104348943859</v>
      </c>
      <c r="AS168">
        <v>29.067245527739569</v>
      </c>
      <c r="AT168" t="e">
        <v>#DIV/0!</v>
      </c>
      <c r="AU168" t="e">
        <v>#DIV/0!</v>
      </c>
      <c r="AV168"/>
      <c r="AW168"/>
      <c r="AX168" s="128"/>
      <c r="AY168" s="76">
        <f t="shared" ca="1" si="169"/>
        <v>0.69396996980224168</v>
      </c>
      <c r="AZ168">
        <v>1</v>
      </c>
      <c r="BA168" s="129">
        <f>IF(AZ168="", "",$C$12)</f>
        <v>39949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1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 s="147"/>
      <c r="CH168" s="176"/>
      <c r="CJ168" s="128"/>
      <c r="CK168" s="76">
        <f t="shared" ca="1" si="204"/>
        <v>0.29202309887701627</v>
      </c>
      <c r="CL168" s="179">
        <f t="shared" si="205"/>
        <v>1</v>
      </c>
      <c r="CM168" s="180">
        <f t="shared" si="206"/>
        <v>39949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 s="160"/>
      <c r="CW168">
        <v>1</v>
      </c>
      <c r="CX168">
        <f>325/83</f>
        <v>3.9156626506024095</v>
      </c>
      <c r="CY168" s="160"/>
      <c r="CZ168" s="177">
        <f t="shared" si="207"/>
        <v>9.6000000000000002E-2</v>
      </c>
      <c r="DB168" s="128"/>
      <c r="DC168" s="76">
        <f t="shared" ca="1" si="170"/>
        <v>0.4215819074649434</v>
      </c>
      <c r="DD168">
        <f t="shared" si="208"/>
        <v>1</v>
      </c>
      <c r="DE168" s="129">
        <f t="shared" ref="DE168:DE177" si="242">IF((DD168)="", "", $C$12)</f>
        <v>39949</v>
      </c>
      <c r="DF168" s="161">
        <f t="shared" si="209"/>
        <v>0</v>
      </c>
      <c r="DG168" s="161">
        <f t="shared" si="210"/>
        <v>0</v>
      </c>
      <c r="DH168" s="161">
        <f t="shared" si="211"/>
        <v>0</v>
      </c>
      <c r="DI168" s="161">
        <f t="shared" si="212"/>
        <v>0</v>
      </c>
      <c r="DJ168" s="161">
        <f t="shared" si="213"/>
        <v>0</v>
      </c>
      <c r="DK168" s="161">
        <f t="shared" si="214"/>
        <v>0</v>
      </c>
      <c r="DL168" s="161">
        <f t="shared" si="215"/>
        <v>10.416666666666666</v>
      </c>
      <c r="DM168" s="161">
        <f t="shared" si="216"/>
        <v>0</v>
      </c>
      <c r="DN168" s="161">
        <f t="shared" si="217"/>
        <v>0</v>
      </c>
      <c r="DO168" s="161">
        <f t="shared" si="218"/>
        <v>0</v>
      </c>
      <c r="DP168" s="161">
        <f t="shared" si="219"/>
        <v>0</v>
      </c>
      <c r="DQ168" s="161">
        <f t="shared" si="220"/>
        <v>0</v>
      </c>
      <c r="DR168" s="161">
        <f t="shared" si="221"/>
        <v>0</v>
      </c>
      <c r="DS168" s="161">
        <f t="shared" si="222"/>
        <v>0</v>
      </c>
      <c r="DT168" s="161">
        <f t="shared" si="223"/>
        <v>0</v>
      </c>
      <c r="DU168" s="161">
        <f t="shared" si="224"/>
        <v>0</v>
      </c>
      <c r="DV168" s="161">
        <f t="shared" si="225"/>
        <v>0</v>
      </c>
      <c r="DW168" s="161">
        <f t="shared" si="226"/>
        <v>0</v>
      </c>
      <c r="DX168" s="161">
        <f t="shared" si="227"/>
        <v>0</v>
      </c>
      <c r="DY168" s="161">
        <f t="shared" si="228"/>
        <v>0</v>
      </c>
      <c r="DZ168" s="161">
        <f t="shared" si="229"/>
        <v>0</v>
      </c>
      <c r="EA168" s="161">
        <f t="shared" si="230"/>
        <v>0</v>
      </c>
      <c r="EB168" s="161">
        <f t="shared" si="231"/>
        <v>0</v>
      </c>
      <c r="EC168" s="161">
        <f t="shared" si="232"/>
        <v>0</v>
      </c>
      <c r="ED168" s="161">
        <f t="shared" si="233"/>
        <v>0</v>
      </c>
      <c r="EE168" s="161">
        <f t="shared" si="234"/>
        <v>0</v>
      </c>
      <c r="EF168" s="161">
        <f t="shared" si="235"/>
        <v>0</v>
      </c>
      <c r="EG168" s="161">
        <f t="shared" si="236"/>
        <v>0</v>
      </c>
      <c r="EH168" s="161">
        <f t="shared" si="237"/>
        <v>0</v>
      </c>
      <c r="EI168" s="161">
        <f t="shared" si="238"/>
        <v>0</v>
      </c>
      <c r="EJ168" s="161">
        <f t="shared" si="239"/>
        <v>0</v>
      </c>
      <c r="EK168" s="147">
        <f t="shared" si="171"/>
        <v>10.416666666666666</v>
      </c>
      <c r="EL168" s="149"/>
      <c r="EN168" s="146"/>
      <c r="EO168" s="146"/>
      <c r="EP168" s="139">
        <f t="shared" si="172"/>
        <v>0</v>
      </c>
      <c r="EQ168" s="139">
        <f t="shared" si="173"/>
        <v>0</v>
      </c>
      <c r="ER168" s="139">
        <f t="shared" si="174"/>
        <v>0</v>
      </c>
      <c r="ES168" s="139">
        <f t="shared" si="175"/>
        <v>0</v>
      </c>
      <c r="ET168" s="139">
        <f t="shared" si="176"/>
        <v>0</v>
      </c>
      <c r="EU168" s="139">
        <f t="shared" si="177"/>
        <v>0</v>
      </c>
      <c r="EV168" s="139">
        <f t="shared" si="178"/>
        <v>15.818462950080853</v>
      </c>
      <c r="EW168" s="139">
        <f t="shared" si="179"/>
        <v>0</v>
      </c>
      <c r="EX168" s="139">
        <f t="shared" si="180"/>
        <v>0</v>
      </c>
      <c r="EY168" s="139">
        <f t="shared" si="181"/>
        <v>0</v>
      </c>
      <c r="EZ168" s="139">
        <f t="shared" si="182"/>
        <v>0</v>
      </c>
      <c r="FA168" s="139">
        <f t="shared" si="183"/>
        <v>0</v>
      </c>
      <c r="FB168" s="139">
        <f t="shared" si="184"/>
        <v>0</v>
      </c>
      <c r="FC168" s="139">
        <f t="shared" si="185"/>
        <v>0</v>
      </c>
      <c r="FD168" s="139">
        <f t="shared" si="186"/>
        <v>0</v>
      </c>
      <c r="FE168" s="139">
        <f t="shared" si="187"/>
        <v>0</v>
      </c>
      <c r="FF168" s="139">
        <f t="shared" si="188"/>
        <v>0</v>
      </c>
      <c r="FG168" s="139">
        <f t="shared" si="189"/>
        <v>0</v>
      </c>
      <c r="FH168" s="139">
        <f t="shared" si="190"/>
        <v>0</v>
      </c>
      <c r="FI168" s="139">
        <f t="shared" si="191"/>
        <v>0</v>
      </c>
      <c r="FJ168" s="139">
        <f t="shared" si="192"/>
        <v>0</v>
      </c>
      <c r="FK168" s="139">
        <f t="shared" si="193"/>
        <v>0</v>
      </c>
      <c r="FL168" s="139">
        <f t="shared" si="194"/>
        <v>0</v>
      </c>
      <c r="FM168" s="139">
        <f t="shared" si="195"/>
        <v>0</v>
      </c>
      <c r="FN168" s="139">
        <f t="shared" si="196"/>
        <v>0</v>
      </c>
      <c r="FO168" s="139">
        <f t="shared" si="197"/>
        <v>0</v>
      </c>
      <c r="FP168" s="139">
        <f t="shared" si="198"/>
        <v>0</v>
      </c>
      <c r="FQ168" s="139">
        <f t="shared" si="199"/>
        <v>0</v>
      </c>
      <c r="FR168" s="139">
        <f t="shared" si="200"/>
        <v>0</v>
      </c>
      <c r="FS168" s="139">
        <f t="shared" si="201"/>
        <v>0</v>
      </c>
      <c r="FT168" s="139">
        <f t="shared" si="202"/>
        <v>0</v>
      </c>
      <c r="FU168" s="148">
        <f t="shared" si="203"/>
        <v>15.818462950080853</v>
      </c>
      <c r="FV168" s="149"/>
      <c r="FY168" s="210">
        <v>163</v>
      </c>
      <c r="FZ168">
        <v>3.3183084785198033E-2</v>
      </c>
      <c r="GA168">
        <v>1.2631496960225364</v>
      </c>
      <c r="GB168">
        <v>1.7444549785135717</v>
      </c>
      <c r="GC168">
        <v>4.4159344757858774</v>
      </c>
      <c r="GD168">
        <v>3.769558225935226</v>
      </c>
      <c r="GE168">
        <v>2.4592691662270156</v>
      </c>
      <c r="GF168">
        <v>1.4515512574996277</v>
      </c>
      <c r="GG168">
        <v>1.9472233248153306</v>
      </c>
      <c r="GH168">
        <v>1.9871405252523333</v>
      </c>
      <c r="GI168">
        <v>3.8899782800974569</v>
      </c>
      <c r="GJ168"/>
      <c r="GK168"/>
      <c r="GL168"/>
      <c r="GM168"/>
    </row>
    <row r="169" spans="1:195" s="7" customFormat="1">
      <c r="A169" s="1"/>
      <c r="B169" s="76">
        <f ca="1">IF(C169="", "", RAND())</f>
        <v>0.77775839109280742</v>
      </c>
      <c r="C169">
        <v>7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5.0486111111111098</v>
      </c>
      <c r="AO169">
        <v>7.2494686278892688</v>
      </c>
      <c r="AP169">
        <v>22.770040078894926</v>
      </c>
      <c r="AQ169">
        <v>22.590803467260695</v>
      </c>
      <c r="AR169">
        <v>6.7249245156672242</v>
      </c>
      <c r="AS169">
        <v>24.573198032223512</v>
      </c>
      <c r="AT169" t="e">
        <v>#DIV/0!</v>
      </c>
      <c r="AU169" t="e">
        <v>#DIV/0!</v>
      </c>
      <c r="AV169"/>
      <c r="AW169"/>
      <c r="AX169" s="146"/>
      <c r="AY169" s="76">
        <f t="shared" ca="1" si="169"/>
        <v>0.40460776011071475</v>
      </c>
      <c r="AZ169">
        <v>2</v>
      </c>
      <c r="BA169" s="129">
        <f t="shared" ref="BA169:BA177" si="243">IF(AZ169="", "",$C$12)</f>
        <v>39949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 s="147"/>
      <c r="CH169" s="176"/>
      <c r="CJ169" s="146"/>
      <c r="CK169" s="76">
        <f t="shared" ca="1" si="204"/>
        <v>0.30846153247010233</v>
      </c>
      <c r="CL169" s="179">
        <f t="shared" si="205"/>
        <v>2</v>
      </c>
      <c r="CM169" s="180">
        <f t="shared" si="206"/>
        <v>39949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 s="160"/>
      <c r="CW169">
        <v>1</v>
      </c>
      <c r="CX169">
        <v>1</v>
      </c>
      <c r="CY169" s="160"/>
      <c r="CZ169" s="177">
        <f t="shared" si="207"/>
        <v>9.6000000000000002E-2</v>
      </c>
      <c r="DB169" s="146"/>
      <c r="DC169" s="76">
        <f t="shared" ca="1" si="170"/>
        <v>0.5805288238329378</v>
      </c>
      <c r="DD169">
        <f t="shared" si="208"/>
        <v>2</v>
      </c>
      <c r="DE169" s="129">
        <f t="shared" si="242"/>
        <v>39949</v>
      </c>
      <c r="DF169" s="161">
        <f t="shared" si="209"/>
        <v>0</v>
      </c>
      <c r="DG169" s="161">
        <f t="shared" si="210"/>
        <v>0</v>
      </c>
      <c r="DH169" s="161">
        <f t="shared" si="211"/>
        <v>0</v>
      </c>
      <c r="DI169" s="161">
        <f t="shared" si="212"/>
        <v>0</v>
      </c>
      <c r="DJ169" s="161">
        <f t="shared" si="213"/>
        <v>0</v>
      </c>
      <c r="DK169" s="161">
        <f t="shared" si="214"/>
        <v>0</v>
      </c>
      <c r="DL169" s="161">
        <f t="shared" si="215"/>
        <v>0</v>
      </c>
      <c r="DM169" s="161">
        <f t="shared" si="216"/>
        <v>0</v>
      </c>
      <c r="DN169" s="161">
        <f t="shared" si="217"/>
        <v>0</v>
      </c>
      <c r="DO169" s="161">
        <f t="shared" si="218"/>
        <v>0</v>
      </c>
      <c r="DP169" s="161">
        <f t="shared" si="219"/>
        <v>0</v>
      </c>
      <c r="DQ169" s="161">
        <f t="shared" si="220"/>
        <v>0</v>
      </c>
      <c r="DR169" s="161">
        <f t="shared" si="221"/>
        <v>0</v>
      </c>
      <c r="DS169" s="161">
        <f t="shared" si="222"/>
        <v>0</v>
      </c>
      <c r="DT169" s="161">
        <f t="shared" si="223"/>
        <v>0</v>
      </c>
      <c r="DU169" s="161">
        <f t="shared" si="224"/>
        <v>0</v>
      </c>
      <c r="DV169" s="161">
        <f t="shared" si="225"/>
        <v>0</v>
      </c>
      <c r="DW169" s="161">
        <f t="shared" si="226"/>
        <v>0</v>
      </c>
      <c r="DX169" s="161">
        <f t="shared" si="227"/>
        <v>0</v>
      </c>
      <c r="DY169" s="161">
        <f t="shared" si="228"/>
        <v>0</v>
      </c>
      <c r="DZ169" s="161">
        <f t="shared" si="229"/>
        <v>0</v>
      </c>
      <c r="EA169" s="161">
        <f t="shared" si="230"/>
        <v>0</v>
      </c>
      <c r="EB169" s="161">
        <f t="shared" si="231"/>
        <v>0</v>
      </c>
      <c r="EC169" s="161">
        <f t="shared" si="232"/>
        <v>0</v>
      </c>
      <c r="ED169" s="161">
        <f t="shared" si="233"/>
        <v>0</v>
      </c>
      <c r="EE169" s="161">
        <f t="shared" si="234"/>
        <v>0</v>
      </c>
      <c r="EF169" s="161">
        <f t="shared" si="235"/>
        <v>0</v>
      </c>
      <c r="EG169" s="161">
        <f t="shared" si="236"/>
        <v>0</v>
      </c>
      <c r="EH169" s="161">
        <f t="shared" si="237"/>
        <v>0</v>
      </c>
      <c r="EI169" s="161">
        <f t="shared" si="238"/>
        <v>0</v>
      </c>
      <c r="EJ169" s="161">
        <f t="shared" si="239"/>
        <v>0</v>
      </c>
      <c r="EK169" s="147">
        <f t="shared" si="171"/>
        <v>0</v>
      </c>
      <c r="EL169" s="149"/>
      <c r="EN169" s="146"/>
      <c r="EO169" s="146"/>
      <c r="EP169" s="139">
        <f t="shared" si="172"/>
        <v>0</v>
      </c>
      <c r="EQ169" s="139">
        <f t="shared" si="173"/>
        <v>0</v>
      </c>
      <c r="ER169" s="139">
        <f t="shared" si="174"/>
        <v>0</v>
      </c>
      <c r="ES169" s="139">
        <f t="shared" si="175"/>
        <v>0</v>
      </c>
      <c r="ET169" s="139">
        <f t="shared" si="176"/>
        <v>0</v>
      </c>
      <c r="EU169" s="139">
        <f t="shared" si="177"/>
        <v>0</v>
      </c>
      <c r="EV169" s="139">
        <f t="shared" si="178"/>
        <v>0</v>
      </c>
      <c r="EW169" s="139">
        <f t="shared" si="179"/>
        <v>0</v>
      </c>
      <c r="EX169" s="139">
        <f t="shared" si="180"/>
        <v>0</v>
      </c>
      <c r="EY169" s="139">
        <f t="shared" si="181"/>
        <v>0</v>
      </c>
      <c r="EZ169" s="139">
        <f t="shared" si="182"/>
        <v>0</v>
      </c>
      <c r="FA169" s="139">
        <f t="shared" si="183"/>
        <v>0</v>
      </c>
      <c r="FB169" s="139">
        <f t="shared" si="184"/>
        <v>0</v>
      </c>
      <c r="FC169" s="139">
        <f t="shared" si="185"/>
        <v>0</v>
      </c>
      <c r="FD169" s="139">
        <f t="shared" si="186"/>
        <v>0</v>
      </c>
      <c r="FE169" s="139">
        <f t="shared" si="187"/>
        <v>0</v>
      </c>
      <c r="FF169" s="139">
        <f t="shared" si="188"/>
        <v>0</v>
      </c>
      <c r="FG169" s="139">
        <f t="shared" si="189"/>
        <v>0</v>
      </c>
      <c r="FH169" s="139">
        <f t="shared" si="190"/>
        <v>0</v>
      </c>
      <c r="FI169" s="139">
        <f t="shared" si="191"/>
        <v>0</v>
      </c>
      <c r="FJ169" s="139">
        <f t="shared" si="192"/>
        <v>0</v>
      </c>
      <c r="FK169" s="139">
        <f t="shared" si="193"/>
        <v>0</v>
      </c>
      <c r="FL169" s="139">
        <f t="shared" si="194"/>
        <v>0</v>
      </c>
      <c r="FM169" s="139">
        <f t="shared" si="195"/>
        <v>0</v>
      </c>
      <c r="FN169" s="139">
        <f t="shared" si="196"/>
        <v>0</v>
      </c>
      <c r="FO169" s="139">
        <f t="shared" si="197"/>
        <v>0</v>
      </c>
      <c r="FP169" s="139">
        <f t="shared" si="198"/>
        <v>0</v>
      </c>
      <c r="FQ169" s="139">
        <f t="shared" si="199"/>
        <v>0</v>
      </c>
      <c r="FR169" s="139">
        <f t="shared" si="200"/>
        <v>0</v>
      </c>
      <c r="FS169" s="139">
        <f t="shared" si="201"/>
        <v>0</v>
      </c>
      <c r="FT169" s="139">
        <f t="shared" si="202"/>
        <v>0</v>
      </c>
      <c r="FU169" s="148">
        <f t="shared" si="203"/>
        <v>0</v>
      </c>
      <c r="FV169" s="149"/>
      <c r="FY169" s="210">
        <v>164</v>
      </c>
      <c r="FZ169">
        <v>0.34523114235979718</v>
      </c>
      <c r="GA169">
        <v>0.78392614245213477</v>
      </c>
      <c r="GB169">
        <v>1.3359376674168932</v>
      </c>
      <c r="GC169">
        <v>5.6949083914655558</v>
      </c>
      <c r="GD169">
        <v>4.772523931764491</v>
      </c>
      <c r="GE169">
        <v>3.0387219956191185</v>
      </c>
      <c r="GF169">
        <v>1.95227762939375</v>
      </c>
      <c r="GG169">
        <v>1.6110786669885027</v>
      </c>
      <c r="GH169">
        <v>1.9871405252523333</v>
      </c>
      <c r="GI169">
        <v>4.51453616341366</v>
      </c>
      <c r="GJ169"/>
      <c r="GK169"/>
      <c r="GL169"/>
      <c r="GM169"/>
    </row>
    <row r="170" spans="1:195" s="7" customFormat="1">
      <c r="A170" s="1"/>
      <c r="B170" s="76">
        <f ca="1">IF(C170="", "", RAND())</f>
        <v>3.1661268668831122E-2</v>
      </c>
      <c r="C170">
        <v>1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10.416666666666666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13.455834096459096</v>
      </c>
      <c r="AO170">
        <v>16.999038949604746</v>
      </c>
      <c r="AP170">
        <v>49.905066608009598</v>
      </c>
      <c r="AQ170">
        <v>53.092200022651483</v>
      </c>
      <c r="AR170">
        <v>15.716187609360878</v>
      </c>
      <c r="AS170">
        <v>78.711525426158474</v>
      </c>
      <c r="AT170" t="e">
        <v>#DIV/0!</v>
      </c>
      <c r="AU170" t="e">
        <v>#DIV/0!</v>
      </c>
      <c r="AV170"/>
      <c r="AW170"/>
      <c r="AX170" s="146"/>
      <c r="AY170" s="76">
        <f t="shared" ca="1" si="169"/>
        <v>0.94160363836600913</v>
      </c>
      <c r="AZ170">
        <v>3</v>
      </c>
      <c r="BA170" s="129">
        <f t="shared" si="243"/>
        <v>39949</v>
      </c>
      <c r="BB170">
        <v>0</v>
      </c>
      <c r="BC170" s="225">
        <v>0</v>
      </c>
      <c r="BD170" s="225">
        <v>0</v>
      </c>
      <c r="BE170" s="225">
        <v>0</v>
      </c>
      <c r="BF170" s="225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 s="147"/>
      <c r="CH170" s="176"/>
      <c r="CJ170" s="146"/>
      <c r="CK170" s="76">
        <f t="shared" ca="1" si="204"/>
        <v>0.22038110938969524</v>
      </c>
      <c r="CL170" s="179">
        <f t="shared" si="205"/>
        <v>3</v>
      </c>
      <c r="CM170" s="180">
        <f t="shared" si="206"/>
        <v>39949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 s="160"/>
      <c r="CW170">
        <v>1</v>
      </c>
      <c r="CX170">
        <f>350/45</f>
        <v>7.7777777777777777</v>
      </c>
      <c r="CY170" s="160"/>
      <c r="CZ170" s="177">
        <f t="shared" si="207"/>
        <v>9.6000000000000002E-2</v>
      </c>
      <c r="DB170" s="146"/>
      <c r="DC170" s="76">
        <f t="shared" ca="1" si="170"/>
        <v>0.63182006673826452</v>
      </c>
      <c r="DD170">
        <f t="shared" si="208"/>
        <v>3</v>
      </c>
      <c r="DE170" s="129">
        <f t="shared" si="242"/>
        <v>39949</v>
      </c>
      <c r="DF170" s="161">
        <f t="shared" si="209"/>
        <v>0</v>
      </c>
      <c r="DG170" s="161">
        <f t="shared" si="210"/>
        <v>0</v>
      </c>
      <c r="DH170" s="161">
        <f t="shared" si="211"/>
        <v>0</v>
      </c>
      <c r="DI170" s="161">
        <f t="shared" si="212"/>
        <v>0</v>
      </c>
      <c r="DJ170" s="161">
        <f t="shared" si="213"/>
        <v>0</v>
      </c>
      <c r="DK170" s="161">
        <f t="shared" si="214"/>
        <v>0</v>
      </c>
      <c r="DL170" s="161">
        <f t="shared" si="215"/>
        <v>0</v>
      </c>
      <c r="DM170" s="161">
        <f t="shared" si="216"/>
        <v>0</v>
      </c>
      <c r="DN170" s="161">
        <f t="shared" si="217"/>
        <v>0</v>
      </c>
      <c r="DO170" s="161">
        <f t="shared" si="218"/>
        <v>0</v>
      </c>
      <c r="DP170" s="161">
        <f t="shared" si="219"/>
        <v>0</v>
      </c>
      <c r="DQ170" s="161">
        <f t="shared" si="220"/>
        <v>0</v>
      </c>
      <c r="DR170" s="161">
        <f t="shared" si="221"/>
        <v>0</v>
      </c>
      <c r="DS170" s="161">
        <f t="shared" si="222"/>
        <v>0</v>
      </c>
      <c r="DT170" s="161">
        <f t="shared" si="223"/>
        <v>0</v>
      </c>
      <c r="DU170" s="161">
        <f t="shared" si="224"/>
        <v>0</v>
      </c>
      <c r="DV170" s="161">
        <f t="shared" si="225"/>
        <v>0</v>
      </c>
      <c r="DW170" s="161">
        <f t="shared" si="226"/>
        <v>0</v>
      </c>
      <c r="DX170" s="161">
        <f t="shared" si="227"/>
        <v>0</v>
      </c>
      <c r="DY170" s="161">
        <f t="shared" si="228"/>
        <v>0</v>
      </c>
      <c r="DZ170" s="161">
        <f t="shared" si="229"/>
        <v>0</v>
      </c>
      <c r="EA170" s="161">
        <f t="shared" si="230"/>
        <v>0</v>
      </c>
      <c r="EB170" s="161">
        <f t="shared" si="231"/>
        <v>0</v>
      </c>
      <c r="EC170" s="161">
        <f t="shared" si="232"/>
        <v>0</v>
      </c>
      <c r="ED170" s="161">
        <f t="shared" si="233"/>
        <v>0</v>
      </c>
      <c r="EE170" s="161">
        <f t="shared" si="234"/>
        <v>0</v>
      </c>
      <c r="EF170" s="161">
        <f t="shared" si="235"/>
        <v>0</v>
      </c>
      <c r="EG170" s="161">
        <f t="shared" si="236"/>
        <v>0</v>
      </c>
      <c r="EH170" s="161">
        <f t="shared" si="237"/>
        <v>0</v>
      </c>
      <c r="EI170" s="161">
        <f t="shared" si="238"/>
        <v>0</v>
      </c>
      <c r="EJ170" s="161">
        <f t="shared" si="239"/>
        <v>0</v>
      </c>
      <c r="EK170" s="147">
        <f t="shared" si="171"/>
        <v>0</v>
      </c>
      <c r="EL170" s="149"/>
      <c r="EN170" s="146"/>
      <c r="EO170" s="146"/>
      <c r="EP170" s="139">
        <f t="shared" si="172"/>
        <v>0</v>
      </c>
      <c r="EQ170" s="139">
        <f t="shared" si="173"/>
        <v>0</v>
      </c>
      <c r="ER170" s="139">
        <f t="shared" si="174"/>
        <v>0</v>
      </c>
      <c r="ES170" s="139">
        <f t="shared" si="175"/>
        <v>0</v>
      </c>
      <c r="ET170" s="139">
        <f t="shared" si="176"/>
        <v>0</v>
      </c>
      <c r="EU170" s="139">
        <f t="shared" si="177"/>
        <v>0</v>
      </c>
      <c r="EV170" s="139">
        <f t="shared" si="178"/>
        <v>0</v>
      </c>
      <c r="EW170" s="139">
        <f t="shared" si="179"/>
        <v>0</v>
      </c>
      <c r="EX170" s="139">
        <f t="shared" si="180"/>
        <v>0</v>
      </c>
      <c r="EY170" s="139">
        <f t="shared" si="181"/>
        <v>0</v>
      </c>
      <c r="EZ170" s="139">
        <f t="shared" si="182"/>
        <v>0</v>
      </c>
      <c r="FA170" s="139">
        <f t="shared" si="183"/>
        <v>0</v>
      </c>
      <c r="FB170" s="139">
        <f t="shared" si="184"/>
        <v>0</v>
      </c>
      <c r="FC170" s="139">
        <f t="shared" si="185"/>
        <v>0</v>
      </c>
      <c r="FD170" s="139">
        <f t="shared" si="186"/>
        <v>0</v>
      </c>
      <c r="FE170" s="139">
        <f t="shared" si="187"/>
        <v>0</v>
      </c>
      <c r="FF170" s="139">
        <f t="shared" si="188"/>
        <v>0</v>
      </c>
      <c r="FG170" s="139">
        <f t="shared" si="189"/>
        <v>0</v>
      </c>
      <c r="FH170" s="139">
        <f t="shared" si="190"/>
        <v>0</v>
      </c>
      <c r="FI170" s="139">
        <f t="shared" si="191"/>
        <v>0</v>
      </c>
      <c r="FJ170" s="139">
        <f t="shared" si="192"/>
        <v>0</v>
      </c>
      <c r="FK170" s="139">
        <f t="shared" si="193"/>
        <v>0</v>
      </c>
      <c r="FL170" s="139">
        <f t="shared" si="194"/>
        <v>0</v>
      </c>
      <c r="FM170" s="139">
        <f t="shared" si="195"/>
        <v>0</v>
      </c>
      <c r="FN170" s="139">
        <f t="shared" si="196"/>
        <v>0</v>
      </c>
      <c r="FO170" s="139">
        <f t="shared" si="197"/>
        <v>0</v>
      </c>
      <c r="FP170" s="139">
        <f t="shared" si="198"/>
        <v>0</v>
      </c>
      <c r="FQ170" s="139">
        <f t="shared" si="199"/>
        <v>0</v>
      </c>
      <c r="FR170" s="139">
        <f t="shared" si="200"/>
        <v>0</v>
      </c>
      <c r="FS170" s="139">
        <f t="shared" si="201"/>
        <v>0</v>
      </c>
      <c r="FT170" s="139">
        <f t="shared" si="202"/>
        <v>0</v>
      </c>
      <c r="FU170" s="148">
        <f t="shared" si="203"/>
        <v>0</v>
      </c>
      <c r="FV170" s="149"/>
      <c r="FY170" s="210">
        <v>165</v>
      </c>
      <c r="FZ170">
        <v>3.3183084785198033E-2</v>
      </c>
      <c r="GA170">
        <v>4.8841509396162213</v>
      </c>
      <c r="GB170">
        <v>3.4542199309368389</v>
      </c>
      <c r="GC170">
        <v>10.018795318780587</v>
      </c>
      <c r="GD170">
        <v>7.6430538258346079</v>
      </c>
      <c r="GE170">
        <v>2.9172996145830972</v>
      </c>
      <c r="GF170">
        <v>3.213663909772277</v>
      </c>
      <c r="GG170">
        <v>1.4662212121236342</v>
      </c>
      <c r="GH170">
        <v>1.3247603501682221</v>
      </c>
      <c r="GI170">
        <v>7.2309079688455311</v>
      </c>
      <c r="GJ170"/>
      <c r="GK170"/>
      <c r="GL170"/>
      <c r="GM170"/>
    </row>
    <row r="171" spans="1:195" s="7" customFormat="1">
      <c r="A171" s="1"/>
      <c r="B171" s="76">
        <f ca="1">IF(C171="", "", RAND())</f>
        <v>0.70405091887765003</v>
      </c>
      <c r="C171">
        <v>2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8.9727945665445663</v>
      </c>
      <c r="AO171">
        <v>10.57122367946036</v>
      </c>
      <c r="AP171">
        <v>35.792670273631373</v>
      </c>
      <c r="AQ171">
        <v>35.641185898186585</v>
      </c>
      <c r="AR171">
        <v>9.7005995046687641</v>
      </c>
      <c r="AS171">
        <v>51.174581437118135</v>
      </c>
      <c r="AT171" t="e">
        <v>#DIV/0!</v>
      </c>
      <c r="AU171" t="e">
        <v>#DIV/0!</v>
      </c>
      <c r="AV171"/>
      <c r="AW171"/>
      <c r="AX171" s="146"/>
      <c r="AY171" s="76">
        <f t="shared" ca="1" si="169"/>
        <v>0.31952613411987318</v>
      </c>
      <c r="AZ171">
        <v>4</v>
      </c>
      <c r="BA171" s="129">
        <f t="shared" si="243"/>
        <v>39949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 s="147"/>
      <c r="CH171" s="176"/>
      <c r="CJ171" s="146"/>
      <c r="CK171" s="76">
        <f t="shared" ca="1" si="204"/>
        <v>0.7883297455140108</v>
      </c>
      <c r="CL171" s="179">
        <f t="shared" si="205"/>
        <v>4</v>
      </c>
      <c r="CM171" s="180">
        <f t="shared" si="206"/>
        <v>39949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 s="160"/>
      <c r="CW171">
        <v>1</v>
      </c>
      <c r="CX171">
        <f>320/73</f>
        <v>4.3835616438356162</v>
      </c>
      <c r="CY171" s="160"/>
      <c r="CZ171" s="177">
        <f t="shared" si="207"/>
        <v>9.6000000000000002E-2</v>
      </c>
      <c r="DB171" s="146"/>
      <c r="DC171" s="76">
        <f t="shared" ca="1" si="170"/>
        <v>0.23838662731662397</v>
      </c>
      <c r="DD171">
        <f t="shared" si="208"/>
        <v>4</v>
      </c>
      <c r="DE171" s="129">
        <f t="shared" si="242"/>
        <v>39949</v>
      </c>
      <c r="DF171" s="161">
        <f t="shared" si="209"/>
        <v>0</v>
      </c>
      <c r="DG171" s="161">
        <f t="shared" si="210"/>
        <v>0</v>
      </c>
      <c r="DH171" s="161">
        <f t="shared" si="211"/>
        <v>0</v>
      </c>
      <c r="DI171" s="161">
        <f t="shared" si="212"/>
        <v>0</v>
      </c>
      <c r="DJ171" s="161">
        <f t="shared" si="213"/>
        <v>0</v>
      </c>
      <c r="DK171" s="161">
        <f t="shared" si="214"/>
        <v>0</v>
      </c>
      <c r="DL171" s="161">
        <f t="shared" si="215"/>
        <v>0</v>
      </c>
      <c r="DM171" s="161">
        <f t="shared" si="216"/>
        <v>0</v>
      </c>
      <c r="DN171" s="161">
        <f t="shared" si="217"/>
        <v>0</v>
      </c>
      <c r="DO171" s="161">
        <f t="shared" si="218"/>
        <v>0</v>
      </c>
      <c r="DP171" s="161">
        <f t="shared" si="219"/>
        <v>0</v>
      </c>
      <c r="DQ171" s="161">
        <f t="shared" si="220"/>
        <v>0</v>
      </c>
      <c r="DR171" s="161">
        <f t="shared" si="221"/>
        <v>0</v>
      </c>
      <c r="DS171" s="161">
        <f t="shared" si="222"/>
        <v>0</v>
      </c>
      <c r="DT171" s="161">
        <f t="shared" si="223"/>
        <v>0</v>
      </c>
      <c r="DU171" s="161">
        <f t="shared" si="224"/>
        <v>0</v>
      </c>
      <c r="DV171" s="161">
        <f t="shared" si="225"/>
        <v>0</v>
      </c>
      <c r="DW171" s="161">
        <f t="shared" si="226"/>
        <v>0</v>
      </c>
      <c r="DX171" s="161">
        <f t="shared" si="227"/>
        <v>0</v>
      </c>
      <c r="DY171" s="161">
        <f t="shared" si="228"/>
        <v>0</v>
      </c>
      <c r="DZ171" s="161">
        <f t="shared" si="229"/>
        <v>0</v>
      </c>
      <c r="EA171" s="161">
        <f t="shared" si="230"/>
        <v>0</v>
      </c>
      <c r="EB171" s="161">
        <f t="shared" si="231"/>
        <v>0</v>
      </c>
      <c r="EC171" s="161">
        <f t="shared" si="232"/>
        <v>0</v>
      </c>
      <c r="ED171" s="161">
        <f t="shared" si="233"/>
        <v>0</v>
      </c>
      <c r="EE171" s="161">
        <f t="shared" si="234"/>
        <v>0</v>
      </c>
      <c r="EF171" s="161">
        <f t="shared" si="235"/>
        <v>0</v>
      </c>
      <c r="EG171" s="161">
        <f t="shared" si="236"/>
        <v>0</v>
      </c>
      <c r="EH171" s="161">
        <f t="shared" si="237"/>
        <v>0</v>
      </c>
      <c r="EI171" s="161">
        <f t="shared" si="238"/>
        <v>0</v>
      </c>
      <c r="EJ171" s="161">
        <f t="shared" si="239"/>
        <v>0</v>
      </c>
      <c r="EK171" s="147">
        <f t="shared" si="171"/>
        <v>0</v>
      </c>
      <c r="EL171" s="149"/>
      <c r="EN171" s="146"/>
      <c r="EO171" s="146"/>
      <c r="EP171" s="139">
        <f t="shared" si="172"/>
        <v>0</v>
      </c>
      <c r="EQ171" s="139">
        <f t="shared" si="173"/>
        <v>0</v>
      </c>
      <c r="ER171" s="139">
        <f t="shared" si="174"/>
        <v>0</v>
      </c>
      <c r="ES171" s="139">
        <f t="shared" si="175"/>
        <v>0</v>
      </c>
      <c r="ET171" s="139">
        <f t="shared" si="176"/>
        <v>0</v>
      </c>
      <c r="EU171" s="139">
        <f t="shared" si="177"/>
        <v>0</v>
      </c>
      <c r="EV171" s="139">
        <f t="shared" si="178"/>
        <v>0</v>
      </c>
      <c r="EW171" s="139">
        <f t="shared" si="179"/>
        <v>0</v>
      </c>
      <c r="EX171" s="139">
        <f t="shared" si="180"/>
        <v>0</v>
      </c>
      <c r="EY171" s="139">
        <f t="shared" si="181"/>
        <v>0</v>
      </c>
      <c r="EZ171" s="139">
        <f t="shared" si="182"/>
        <v>0</v>
      </c>
      <c r="FA171" s="139">
        <f t="shared" si="183"/>
        <v>0</v>
      </c>
      <c r="FB171" s="139">
        <f t="shared" si="184"/>
        <v>0</v>
      </c>
      <c r="FC171" s="139">
        <f t="shared" si="185"/>
        <v>0</v>
      </c>
      <c r="FD171" s="139">
        <f t="shared" si="186"/>
        <v>0</v>
      </c>
      <c r="FE171" s="139">
        <f t="shared" si="187"/>
        <v>0</v>
      </c>
      <c r="FF171" s="139">
        <f t="shared" si="188"/>
        <v>0</v>
      </c>
      <c r="FG171" s="139">
        <f t="shared" si="189"/>
        <v>0</v>
      </c>
      <c r="FH171" s="139">
        <f t="shared" si="190"/>
        <v>0</v>
      </c>
      <c r="FI171" s="139">
        <f t="shared" si="191"/>
        <v>0</v>
      </c>
      <c r="FJ171" s="139">
        <f t="shared" si="192"/>
        <v>0</v>
      </c>
      <c r="FK171" s="139">
        <f t="shared" si="193"/>
        <v>0</v>
      </c>
      <c r="FL171" s="139">
        <f t="shared" si="194"/>
        <v>0</v>
      </c>
      <c r="FM171" s="139">
        <f t="shared" si="195"/>
        <v>0</v>
      </c>
      <c r="FN171" s="139">
        <f t="shared" si="196"/>
        <v>0</v>
      </c>
      <c r="FO171" s="139">
        <f t="shared" si="197"/>
        <v>0</v>
      </c>
      <c r="FP171" s="139">
        <f t="shared" si="198"/>
        <v>0</v>
      </c>
      <c r="FQ171" s="139">
        <f t="shared" si="199"/>
        <v>0</v>
      </c>
      <c r="FR171" s="139">
        <f t="shared" si="200"/>
        <v>0</v>
      </c>
      <c r="FS171" s="139">
        <f t="shared" si="201"/>
        <v>0</v>
      </c>
      <c r="FT171" s="139">
        <f t="shared" si="202"/>
        <v>0</v>
      </c>
      <c r="FU171" s="148">
        <f t="shared" si="203"/>
        <v>0</v>
      </c>
      <c r="FV171" s="149"/>
      <c r="FY171" s="210">
        <v>166</v>
      </c>
      <c r="FZ171">
        <v>0.49136377600840619</v>
      </c>
      <c r="GA171">
        <v>3.3636753896002265</v>
      </c>
      <c r="GB171">
        <v>1.899400457688855</v>
      </c>
      <c r="GC171">
        <v>7.8731263241797222</v>
      </c>
      <c r="GD171">
        <v>6.0783331973728281</v>
      </c>
      <c r="GE171">
        <v>0.94054106373951529</v>
      </c>
      <c r="GF171">
        <v>0.19016497712110106</v>
      </c>
      <c r="GG171">
        <v>1.1300765542968063</v>
      </c>
      <c r="GH171">
        <v>1.3247603501682221</v>
      </c>
      <c r="GI171">
        <v>5.2020823003322452</v>
      </c>
      <c r="GJ171"/>
      <c r="GK171"/>
      <c r="GL171"/>
      <c r="GM171"/>
    </row>
    <row r="172" spans="1:195" s="7" customFormat="1">
      <c r="A172" s="1"/>
      <c r="B172" s="76">
        <f ca="1">IF(C172="", "", RAND())</f>
        <v>7.1813038568429022E-3</v>
      </c>
      <c r="C172">
        <v>9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10.005494505494502</v>
      </c>
      <c r="AO172">
        <v>7.260976776028838</v>
      </c>
      <c r="AP172">
        <v>35.304785602404557</v>
      </c>
      <c r="AQ172">
        <v>29.699330772064972</v>
      </c>
      <c r="AR172">
        <v>6.7355999777632984</v>
      </c>
      <c r="AS172">
        <v>33.923463366059437</v>
      </c>
      <c r="AT172" t="e">
        <v>#DIV/0!</v>
      </c>
      <c r="AU172" t="e">
        <v>#DIV/0!</v>
      </c>
      <c r="AV172"/>
      <c r="AW172"/>
      <c r="AX172" s="146"/>
      <c r="AY172" s="76">
        <f t="shared" ca="1" si="169"/>
        <v>0.30048309958316022</v>
      </c>
      <c r="AZ172">
        <v>5</v>
      </c>
      <c r="BA172" s="129">
        <f t="shared" si="243"/>
        <v>39949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 s="147"/>
      <c r="CH172" s="176"/>
      <c r="CJ172" s="146"/>
      <c r="CK172" s="76">
        <f t="shared" ca="1" si="204"/>
        <v>0.14689708187687689</v>
      </c>
      <c r="CL172" s="179">
        <f t="shared" si="205"/>
        <v>5</v>
      </c>
      <c r="CM172" s="180">
        <f t="shared" si="206"/>
        <v>39949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 s="160"/>
      <c r="CW172">
        <v>1</v>
      </c>
      <c r="CX172">
        <v>1</v>
      </c>
      <c r="CY172" s="160"/>
      <c r="CZ172" s="177">
        <f t="shared" si="207"/>
        <v>9.6000000000000002E-2</v>
      </c>
      <c r="DB172" s="146"/>
      <c r="DC172" s="76">
        <f t="shared" ca="1" si="170"/>
        <v>6.0503332645350127E-2</v>
      </c>
      <c r="DD172">
        <f t="shared" si="208"/>
        <v>5</v>
      </c>
      <c r="DE172" s="129">
        <f t="shared" si="242"/>
        <v>39949</v>
      </c>
      <c r="DF172" s="161">
        <f t="shared" si="209"/>
        <v>0</v>
      </c>
      <c r="DG172" s="161">
        <f t="shared" si="210"/>
        <v>0</v>
      </c>
      <c r="DH172" s="161">
        <f t="shared" si="211"/>
        <v>0</v>
      </c>
      <c r="DI172" s="161">
        <f t="shared" si="212"/>
        <v>0</v>
      </c>
      <c r="DJ172" s="161">
        <f t="shared" si="213"/>
        <v>0</v>
      </c>
      <c r="DK172" s="161">
        <f t="shared" si="214"/>
        <v>0</v>
      </c>
      <c r="DL172" s="161">
        <f t="shared" si="215"/>
        <v>0</v>
      </c>
      <c r="DM172" s="161">
        <f t="shared" si="216"/>
        <v>0</v>
      </c>
      <c r="DN172" s="161">
        <f t="shared" si="217"/>
        <v>0</v>
      </c>
      <c r="DO172" s="161">
        <f t="shared" si="218"/>
        <v>0</v>
      </c>
      <c r="DP172" s="161">
        <f t="shared" si="219"/>
        <v>0</v>
      </c>
      <c r="DQ172" s="161">
        <f t="shared" si="220"/>
        <v>0</v>
      </c>
      <c r="DR172" s="161">
        <f t="shared" si="221"/>
        <v>0</v>
      </c>
      <c r="DS172" s="161">
        <f t="shared" si="222"/>
        <v>0</v>
      </c>
      <c r="DT172" s="161">
        <f t="shared" si="223"/>
        <v>0</v>
      </c>
      <c r="DU172" s="161">
        <f t="shared" si="224"/>
        <v>0</v>
      </c>
      <c r="DV172" s="161">
        <f t="shared" si="225"/>
        <v>0</v>
      </c>
      <c r="DW172" s="161">
        <f t="shared" si="226"/>
        <v>0</v>
      </c>
      <c r="DX172" s="161">
        <f t="shared" si="227"/>
        <v>0</v>
      </c>
      <c r="DY172" s="161">
        <f t="shared" si="228"/>
        <v>0</v>
      </c>
      <c r="DZ172" s="161">
        <f t="shared" si="229"/>
        <v>0</v>
      </c>
      <c r="EA172" s="161">
        <f t="shared" si="230"/>
        <v>0</v>
      </c>
      <c r="EB172" s="161">
        <f t="shared" si="231"/>
        <v>0</v>
      </c>
      <c r="EC172" s="161">
        <f t="shared" si="232"/>
        <v>0</v>
      </c>
      <c r="ED172" s="161">
        <f t="shared" si="233"/>
        <v>0</v>
      </c>
      <c r="EE172" s="161">
        <f t="shared" si="234"/>
        <v>0</v>
      </c>
      <c r="EF172" s="161">
        <f t="shared" si="235"/>
        <v>0</v>
      </c>
      <c r="EG172" s="161">
        <f t="shared" si="236"/>
        <v>0</v>
      </c>
      <c r="EH172" s="161">
        <f t="shared" si="237"/>
        <v>0</v>
      </c>
      <c r="EI172" s="161">
        <f t="shared" si="238"/>
        <v>0</v>
      </c>
      <c r="EJ172" s="161">
        <f t="shared" si="239"/>
        <v>0</v>
      </c>
      <c r="EK172" s="147">
        <f t="shared" si="171"/>
        <v>0</v>
      </c>
      <c r="EL172" s="149"/>
      <c r="EN172" s="146"/>
      <c r="EO172" s="146"/>
      <c r="EP172" s="139">
        <f t="shared" si="172"/>
        <v>0</v>
      </c>
      <c r="EQ172" s="139">
        <f t="shared" si="173"/>
        <v>0</v>
      </c>
      <c r="ER172" s="139">
        <f t="shared" si="174"/>
        <v>0</v>
      </c>
      <c r="ES172" s="139">
        <f t="shared" si="175"/>
        <v>0</v>
      </c>
      <c r="ET172" s="139">
        <f t="shared" si="176"/>
        <v>0</v>
      </c>
      <c r="EU172" s="139">
        <f t="shared" si="177"/>
        <v>0</v>
      </c>
      <c r="EV172" s="139">
        <f t="shared" si="178"/>
        <v>0</v>
      </c>
      <c r="EW172" s="139">
        <f t="shared" si="179"/>
        <v>0</v>
      </c>
      <c r="EX172" s="139">
        <f t="shared" si="180"/>
        <v>0</v>
      </c>
      <c r="EY172" s="139">
        <f t="shared" si="181"/>
        <v>0</v>
      </c>
      <c r="EZ172" s="139">
        <f t="shared" si="182"/>
        <v>0</v>
      </c>
      <c r="FA172" s="139">
        <f t="shared" si="183"/>
        <v>0</v>
      </c>
      <c r="FB172" s="139">
        <f t="shared" si="184"/>
        <v>0</v>
      </c>
      <c r="FC172" s="139">
        <f t="shared" si="185"/>
        <v>0</v>
      </c>
      <c r="FD172" s="139">
        <f t="shared" si="186"/>
        <v>0</v>
      </c>
      <c r="FE172" s="139">
        <f t="shared" si="187"/>
        <v>0</v>
      </c>
      <c r="FF172" s="139">
        <f t="shared" si="188"/>
        <v>0</v>
      </c>
      <c r="FG172" s="139">
        <f t="shared" si="189"/>
        <v>0</v>
      </c>
      <c r="FH172" s="139">
        <f t="shared" si="190"/>
        <v>0</v>
      </c>
      <c r="FI172" s="139">
        <f t="shared" si="191"/>
        <v>0</v>
      </c>
      <c r="FJ172" s="139">
        <f t="shared" si="192"/>
        <v>0</v>
      </c>
      <c r="FK172" s="139">
        <f t="shared" si="193"/>
        <v>0</v>
      </c>
      <c r="FL172" s="139">
        <f t="shared" si="194"/>
        <v>0</v>
      </c>
      <c r="FM172" s="139">
        <f t="shared" si="195"/>
        <v>0</v>
      </c>
      <c r="FN172" s="139">
        <f t="shared" si="196"/>
        <v>0</v>
      </c>
      <c r="FO172" s="139">
        <f t="shared" si="197"/>
        <v>0</v>
      </c>
      <c r="FP172" s="139">
        <f t="shared" si="198"/>
        <v>0</v>
      </c>
      <c r="FQ172" s="139">
        <f t="shared" si="199"/>
        <v>0</v>
      </c>
      <c r="FR172" s="139">
        <f t="shared" si="200"/>
        <v>0</v>
      </c>
      <c r="FS172" s="139">
        <f t="shared" si="201"/>
        <v>0</v>
      </c>
      <c r="FT172" s="139">
        <f t="shared" si="202"/>
        <v>0</v>
      </c>
      <c r="FU172" s="148">
        <f t="shared" si="203"/>
        <v>0</v>
      </c>
      <c r="FV172" s="149"/>
      <c r="FY172" s="210">
        <v>167</v>
      </c>
      <c r="FZ172">
        <v>0.27886497278940114</v>
      </c>
      <c r="GA172">
        <v>3.238284008043141</v>
      </c>
      <c r="GB172">
        <v>1.3912724406199268</v>
      </c>
      <c r="GC172">
        <v>5.162081499255506</v>
      </c>
      <c r="GD172">
        <v>3.8057079138282033</v>
      </c>
      <c r="GE172">
        <v>0</v>
      </c>
      <c r="GF172">
        <v>0.19016497712110106</v>
      </c>
      <c r="GG172">
        <v>0.64907444160511019</v>
      </c>
      <c r="GH172">
        <v>0.66238017508411107</v>
      </c>
      <c r="GI172">
        <v>3.3183273020754696</v>
      </c>
      <c r="GJ172"/>
      <c r="GK172"/>
      <c r="GL172"/>
      <c r="GM172"/>
    </row>
    <row r="173" spans="1:195" s="7" customFormat="1">
      <c r="A173" s="1"/>
      <c r="B173" s="76">
        <f ca="1">IF(C173="", "", RAND())</f>
        <v>0.72776034428187986</v>
      </c>
      <c r="C173">
        <v>6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5.9543650793650782</v>
      </c>
      <c r="AO173">
        <v>7.0152497318468097</v>
      </c>
      <c r="AP173">
        <v>25.935148082118445</v>
      </c>
      <c r="AQ173">
        <v>24.256768860756033</v>
      </c>
      <c r="AR173">
        <v>6.5076528124738484</v>
      </c>
      <c r="AS173">
        <v>35.753233323710248</v>
      </c>
      <c r="AT173" t="e">
        <v>#DIV/0!</v>
      </c>
      <c r="AU173" t="e">
        <v>#DIV/0!</v>
      </c>
      <c r="AV173"/>
      <c r="AW173"/>
      <c r="AX173" s="146"/>
      <c r="AY173" s="76">
        <f t="shared" ca="1" si="169"/>
        <v>0.87043071037471709</v>
      </c>
      <c r="AZ173">
        <v>6</v>
      </c>
      <c r="BA173" s="129">
        <f t="shared" si="243"/>
        <v>39949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 s="147"/>
      <c r="CH173" s="176"/>
      <c r="CJ173" s="146"/>
      <c r="CK173" s="76">
        <f t="shared" ca="1" si="204"/>
        <v>0.12741050949473198</v>
      </c>
      <c r="CL173" s="179">
        <f t="shared" si="205"/>
        <v>6</v>
      </c>
      <c r="CM173" s="180">
        <f t="shared" si="206"/>
        <v>39949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 s="160"/>
      <c r="CW173">
        <v>1</v>
      </c>
      <c r="CX173">
        <v>1</v>
      </c>
      <c r="CY173" s="160"/>
      <c r="CZ173" s="177">
        <f t="shared" si="207"/>
        <v>9.6000000000000002E-2</v>
      </c>
      <c r="DB173" s="146"/>
      <c r="DC173" s="76">
        <f t="shared" ca="1" si="170"/>
        <v>0.97224528309155644</v>
      </c>
      <c r="DD173">
        <f t="shared" si="208"/>
        <v>6</v>
      </c>
      <c r="DE173" s="129">
        <f t="shared" si="242"/>
        <v>39949</v>
      </c>
      <c r="DF173" s="161">
        <f t="shared" si="209"/>
        <v>0</v>
      </c>
      <c r="DG173" s="161">
        <f t="shared" si="210"/>
        <v>0</v>
      </c>
      <c r="DH173" s="161">
        <f t="shared" si="211"/>
        <v>0</v>
      </c>
      <c r="DI173" s="161">
        <f t="shared" si="212"/>
        <v>0</v>
      </c>
      <c r="DJ173" s="161">
        <f t="shared" si="213"/>
        <v>0</v>
      </c>
      <c r="DK173" s="161">
        <f t="shared" si="214"/>
        <v>0</v>
      </c>
      <c r="DL173" s="161">
        <f t="shared" si="215"/>
        <v>0</v>
      </c>
      <c r="DM173" s="161">
        <f t="shared" si="216"/>
        <v>0</v>
      </c>
      <c r="DN173" s="161">
        <f t="shared" si="217"/>
        <v>0</v>
      </c>
      <c r="DO173" s="161">
        <f t="shared" si="218"/>
        <v>0</v>
      </c>
      <c r="DP173" s="161">
        <f t="shared" si="219"/>
        <v>0</v>
      </c>
      <c r="DQ173" s="161">
        <f t="shared" si="220"/>
        <v>0</v>
      </c>
      <c r="DR173" s="161">
        <f t="shared" si="221"/>
        <v>0</v>
      </c>
      <c r="DS173" s="161">
        <f t="shared" si="222"/>
        <v>0</v>
      </c>
      <c r="DT173" s="161">
        <f t="shared" si="223"/>
        <v>0</v>
      </c>
      <c r="DU173" s="161">
        <f t="shared" si="224"/>
        <v>0</v>
      </c>
      <c r="DV173" s="161">
        <f t="shared" si="225"/>
        <v>0</v>
      </c>
      <c r="DW173" s="161">
        <f t="shared" si="226"/>
        <v>0</v>
      </c>
      <c r="DX173" s="161">
        <f t="shared" si="227"/>
        <v>0</v>
      </c>
      <c r="DY173" s="161">
        <f t="shared" si="228"/>
        <v>0</v>
      </c>
      <c r="DZ173" s="161">
        <f t="shared" si="229"/>
        <v>0</v>
      </c>
      <c r="EA173" s="161">
        <f t="shared" si="230"/>
        <v>0</v>
      </c>
      <c r="EB173" s="161">
        <f t="shared" si="231"/>
        <v>0</v>
      </c>
      <c r="EC173" s="161">
        <f t="shared" si="232"/>
        <v>0</v>
      </c>
      <c r="ED173" s="161">
        <f t="shared" si="233"/>
        <v>0</v>
      </c>
      <c r="EE173" s="161">
        <f t="shared" si="234"/>
        <v>0</v>
      </c>
      <c r="EF173" s="161">
        <f t="shared" si="235"/>
        <v>0</v>
      </c>
      <c r="EG173" s="161">
        <f t="shared" si="236"/>
        <v>0</v>
      </c>
      <c r="EH173" s="161">
        <f t="shared" si="237"/>
        <v>0</v>
      </c>
      <c r="EI173" s="161">
        <f t="shared" si="238"/>
        <v>0</v>
      </c>
      <c r="EJ173" s="161">
        <f t="shared" si="239"/>
        <v>0</v>
      </c>
      <c r="EK173" s="147">
        <f t="shared" si="171"/>
        <v>0</v>
      </c>
      <c r="EL173" s="149"/>
      <c r="EN173" s="146"/>
      <c r="EO173" s="146"/>
      <c r="EP173" s="139">
        <f t="shared" si="172"/>
        <v>0</v>
      </c>
      <c r="EQ173" s="139">
        <f t="shared" si="173"/>
        <v>0</v>
      </c>
      <c r="ER173" s="139">
        <f t="shared" si="174"/>
        <v>0</v>
      </c>
      <c r="ES173" s="139">
        <f t="shared" si="175"/>
        <v>0</v>
      </c>
      <c r="ET173" s="139">
        <f t="shared" si="176"/>
        <v>0</v>
      </c>
      <c r="EU173" s="139">
        <f t="shared" si="177"/>
        <v>0</v>
      </c>
      <c r="EV173" s="139">
        <f t="shared" si="178"/>
        <v>0</v>
      </c>
      <c r="EW173" s="139">
        <f t="shared" si="179"/>
        <v>0</v>
      </c>
      <c r="EX173" s="139">
        <f t="shared" si="180"/>
        <v>0</v>
      </c>
      <c r="EY173" s="139">
        <f t="shared" si="181"/>
        <v>0</v>
      </c>
      <c r="EZ173" s="139">
        <f t="shared" si="182"/>
        <v>0</v>
      </c>
      <c r="FA173" s="139">
        <f t="shared" si="183"/>
        <v>0</v>
      </c>
      <c r="FB173" s="139">
        <f t="shared" si="184"/>
        <v>0</v>
      </c>
      <c r="FC173" s="139">
        <f t="shared" si="185"/>
        <v>0</v>
      </c>
      <c r="FD173" s="139">
        <f t="shared" si="186"/>
        <v>0</v>
      </c>
      <c r="FE173" s="139">
        <f t="shared" si="187"/>
        <v>0</v>
      </c>
      <c r="FF173" s="139">
        <f t="shared" si="188"/>
        <v>0</v>
      </c>
      <c r="FG173" s="139">
        <f t="shared" si="189"/>
        <v>0</v>
      </c>
      <c r="FH173" s="139">
        <f t="shared" si="190"/>
        <v>0</v>
      </c>
      <c r="FI173" s="139">
        <f t="shared" si="191"/>
        <v>0</v>
      </c>
      <c r="FJ173" s="139">
        <f t="shared" si="192"/>
        <v>0</v>
      </c>
      <c r="FK173" s="139">
        <f t="shared" si="193"/>
        <v>0</v>
      </c>
      <c r="FL173" s="139">
        <f t="shared" si="194"/>
        <v>0</v>
      </c>
      <c r="FM173" s="139">
        <f t="shared" si="195"/>
        <v>0</v>
      </c>
      <c r="FN173" s="139">
        <f t="shared" si="196"/>
        <v>0</v>
      </c>
      <c r="FO173" s="139">
        <f t="shared" si="197"/>
        <v>0</v>
      </c>
      <c r="FP173" s="139">
        <f t="shared" si="198"/>
        <v>0</v>
      </c>
      <c r="FQ173" s="139">
        <f t="shared" si="199"/>
        <v>0</v>
      </c>
      <c r="FR173" s="139">
        <f t="shared" si="200"/>
        <v>0</v>
      </c>
      <c r="FS173" s="139">
        <f t="shared" si="201"/>
        <v>0</v>
      </c>
      <c r="FT173" s="139">
        <f t="shared" si="202"/>
        <v>0</v>
      </c>
      <c r="FU173" s="148">
        <f t="shared" si="203"/>
        <v>0</v>
      </c>
      <c r="FV173" s="149"/>
      <c r="FY173" s="210">
        <v>168</v>
      </c>
      <c r="FZ173">
        <v>0.73704566401260951</v>
      </c>
      <c r="GA173">
        <v>4.7418592220504001</v>
      </c>
      <c r="GB173">
        <v>2.4097019494596168</v>
      </c>
      <c r="GC173">
        <v>1.6932698659986263</v>
      </c>
      <c r="GD173">
        <v>2.0531630441700588</v>
      </c>
      <c r="GE173">
        <v>2.0262462153943566</v>
      </c>
      <c r="GF173">
        <v>0</v>
      </c>
      <c r="GG173">
        <v>2.4050105634584811</v>
      </c>
      <c r="GH173">
        <v>3.3119008754205557</v>
      </c>
      <c r="GI173">
        <v>2.6917127377600498</v>
      </c>
      <c r="GJ173"/>
      <c r="GK173"/>
      <c r="GL173"/>
      <c r="GM173"/>
    </row>
    <row r="174" spans="1:195" s="7" customFormat="1">
      <c r="A174" s="1"/>
      <c r="B174" s="76">
        <f ca="1">IF(C174="", "", RAND())</f>
        <v>3.7536738291073179E-2</v>
      </c>
      <c r="C174">
        <v>8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7.0811011904761898</v>
      </c>
      <c r="AO174">
        <v>7.3286239985924508</v>
      </c>
      <c r="AP174">
        <v>32.038959500101747</v>
      </c>
      <c r="AQ174">
        <v>28.144290965815607</v>
      </c>
      <c r="AR174">
        <v>6.745487283746507</v>
      </c>
      <c r="AS174">
        <v>28.143015346915863</v>
      </c>
      <c r="AT174" t="e">
        <v>#DIV/0!</v>
      </c>
      <c r="AU174" t="e">
        <v>#DIV/0!</v>
      </c>
      <c r="AV174"/>
      <c r="AW174"/>
      <c r="AX174" s="146"/>
      <c r="AY174" s="76">
        <f t="shared" ca="1" si="169"/>
        <v>0.70789430959084587</v>
      </c>
      <c r="AZ174">
        <v>7</v>
      </c>
      <c r="BA174" s="129">
        <f t="shared" si="243"/>
        <v>39949</v>
      </c>
      <c r="BB174" s="217">
        <v>0</v>
      </c>
      <c r="BC174" s="217">
        <v>0</v>
      </c>
      <c r="BD174" s="217">
        <v>0</v>
      </c>
      <c r="BE174" s="217">
        <v>0</v>
      </c>
      <c r="BF174" s="217">
        <v>0</v>
      </c>
      <c r="BG174" s="217">
        <v>0</v>
      </c>
      <c r="BH174" s="217">
        <v>0</v>
      </c>
      <c r="BI174" s="217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 s="147"/>
      <c r="CH174" s="176"/>
      <c r="CJ174" s="146"/>
      <c r="CK174" s="76">
        <f t="shared" ca="1" si="204"/>
        <v>0.68775920258894918</v>
      </c>
      <c r="CL174" s="179">
        <f t="shared" si="205"/>
        <v>7</v>
      </c>
      <c r="CM174" s="180">
        <f t="shared" si="206"/>
        <v>39949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 s="160"/>
      <c r="CW174">
        <v>1</v>
      </c>
      <c r="CX174">
        <v>1</v>
      </c>
      <c r="CY174" s="165"/>
      <c r="CZ174" s="177">
        <f t="shared" si="207"/>
        <v>9.6000000000000002E-2</v>
      </c>
      <c r="DB174" s="146"/>
      <c r="DC174" s="76">
        <f t="shared" ca="1" si="170"/>
        <v>0.99255630254855665</v>
      </c>
      <c r="DD174">
        <f t="shared" si="208"/>
        <v>7</v>
      </c>
      <c r="DE174" s="129">
        <f t="shared" si="242"/>
        <v>39949</v>
      </c>
      <c r="DF174" s="161">
        <f t="shared" si="209"/>
        <v>0</v>
      </c>
      <c r="DG174" s="161">
        <f t="shared" si="210"/>
        <v>0</v>
      </c>
      <c r="DH174" s="161">
        <f t="shared" si="211"/>
        <v>0</v>
      </c>
      <c r="DI174" s="161">
        <f t="shared" si="212"/>
        <v>0</v>
      </c>
      <c r="DJ174" s="161">
        <f t="shared" si="213"/>
        <v>0</v>
      </c>
      <c r="DK174" s="161">
        <f t="shared" si="214"/>
        <v>0</v>
      </c>
      <c r="DL174" s="161">
        <f t="shared" si="215"/>
        <v>0</v>
      </c>
      <c r="DM174" s="161">
        <f t="shared" si="216"/>
        <v>0</v>
      </c>
      <c r="DN174" s="161">
        <f t="shared" si="217"/>
        <v>0</v>
      </c>
      <c r="DO174" s="161">
        <f t="shared" si="218"/>
        <v>0</v>
      </c>
      <c r="DP174" s="161">
        <f t="shared" si="219"/>
        <v>0</v>
      </c>
      <c r="DQ174" s="161">
        <f t="shared" si="220"/>
        <v>0</v>
      </c>
      <c r="DR174" s="161">
        <f t="shared" si="221"/>
        <v>0</v>
      </c>
      <c r="DS174" s="161">
        <f t="shared" si="222"/>
        <v>0</v>
      </c>
      <c r="DT174" s="161">
        <f t="shared" si="223"/>
        <v>0</v>
      </c>
      <c r="DU174" s="161">
        <f t="shared" si="224"/>
        <v>0</v>
      </c>
      <c r="DV174" s="161">
        <f t="shared" si="225"/>
        <v>0</v>
      </c>
      <c r="DW174" s="161">
        <f t="shared" si="226"/>
        <v>0</v>
      </c>
      <c r="DX174" s="161">
        <f t="shared" si="227"/>
        <v>0</v>
      </c>
      <c r="DY174" s="161">
        <f t="shared" si="228"/>
        <v>0</v>
      </c>
      <c r="DZ174" s="161">
        <f t="shared" si="229"/>
        <v>0</v>
      </c>
      <c r="EA174" s="161">
        <f t="shared" si="230"/>
        <v>0</v>
      </c>
      <c r="EB174" s="161">
        <f t="shared" si="231"/>
        <v>0</v>
      </c>
      <c r="EC174" s="161">
        <f t="shared" si="232"/>
        <v>0</v>
      </c>
      <c r="ED174" s="161">
        <f t="shared" si="233"/>
        <v>0</v>
      </c>
      <c r="EE174" s="161">
        <f t="shared" si="234"/>
        <v>0</v>
      </c>
      <c r="EF174" s="161">
        <f t="shared" si="235"/>
        <v>0</v>
      </c>
      <c r="EG174" s="161">
        <f t="shared" si="236"/>
        <v>0</v>
      </c>
      <c r="EH174" s="161">
        <f t="shared" si="237"/>
        <v>0</v>
      </c>
      <c r="EI174" s="161">
        <f t="shared" si="238"/>
        <v>0</v>
      </c>
      <c r="EJ174" s="161">
        <f t="shared" si="239"/>
        <v>0</v>
      </c>
      <c r="EK174" s="147">
        <f t="shared" si="171"/>
        <v>0</v>
      </c>
      <c r="EL174" s="149"/>
      <c r="EN174" s="146"/>
      <c r="EO174" s="146"/>
      <c r="EP174" s="139">
        <f t="shared" si="172"/>
        <v>0</v>
      </c>
      <c r="EQ174" s="139">
        <f t="shared" si="173"/>
        <v>0</v>
      </c>
      <c r="ER174" s="139">
        <f t="shared" si="174"/>
        <v>0</v>
      </c>
      <c r="ES174" s="139">
        <f t="shared" si="175"/>
        <v>0</v>
      </c>
      <c r="ET174" s="139">
        <f t="shared" si="176"/>
        <v>0</v>
      </c>
      <c r="EU174" s="139">
        <f t="shared" si="177"/>
        <v>0</v>
      </c>
      <c r="EV174" s="139">
        <f t="shared" si="178"/>
        <v>0</v>
      </c>
      <c r="EW174" s="139">
        <f t="shared" si="179"/>
        <v>0</v>
      </c>
      <c r="EX174" s="139">
        <f t="shared" si="180"/>
        <v>0</v>
      </c>
      <c r="EY174" s="139">
        <f t="shared" si="181"/>
        <v>0</v>
      </c>
      <c r="EZ174" s="139">
        <f t="shared" si="182"/>
        <v>0</v>
      </c>
      <c r="FA174" s="139">
        <f t="shared" si="183"/>
        <v>0</v>
      </c>
      <c r="FB174" s="139">
        <f t="shared" si="184"/>
        <v>0</v>
      </c>
      <c r="FC174" s="139">
        <f t="shared" si="185"/>
        <v>0</v>
      </c>
      <c r="FD174" s="139">
        <f t="shared" si="186"/>
        <v>0</v>
      </c>
      <c r="FE174" s="139">
        <f t="shared" si="187"/>
        <v>0</v>
      </c>
      <c r="FF174" s="139">
        <f t="shared" si="188"/>
        <v>0</v>
      </c>
      <c r="FG174" s="139">
        <f t="shared" si="189"/>
        <v>0</v>
      </c>
      <c r="FH174" s="139">
        <f t="shared" si="190"/>
        <v>0</v>
      </c>
      <c r="FI174" s="139">
        <f t="shared" si="191"/>
        <v>0</v>
      </c>
      <c r="FJ174" s="139">
        <f t="shared" si="192"/>
        <v>0</v>
      </c>
      <c r="FK174" s="139">
        <f t="shared" si="193"/>
        <v>0</v>
      </c>
      <c r="FL174" s="139">
        <f t="shared" si="194"/>
        <v>0</v>
      </c>
      <c r="FM174" s="139">
        <f t="shared" si="195"/>
        <v>0</v>
      </c>
      <c r="FN174" s="139">
        <f t="shared" si="196"/>
        <v>0</v>
      </c>
      <c r="FO174" s="139">
        <f t="shared" si="197"/>
        <v>0</v>
      </c>
      <c r="FP174" s="139">
        <f t="shared" si="198"/>
        <v>0</v>
      </c>
      <c r="FQ174" s="139">
        <f t="shared" si="199"/>
        <v>0</v>
      </c>
      <c r="FR174" s="139">
        <f t="shared" si="200"/>
        <v>0</v>
      </c>
      <c r="FS174" s="139">
        <f t="shared" si="201"/>
        <v>0</v>
      </c>
      <c r="FT174" s="139">
        <f t="shared" si="202"/>
        <v>0</v>
      </c>
      <c r="FU174" s="148">
        <f t="shared" si="203"/>
        <v>0</v>
      </c>
      <c r="FV174" s="149"/>
      <c r="FY174" s="210">
        <v>169</v>
      </c>
      <c r="FZ174">
        <v>0.77022874879780745</v>
      </c>
      <c r="GA174">
        <v>5.6288347734016799</v>
      </c>
      <c r="GB174">
        <v>2.8182192605562957</v>
      </c>
      <c r="GC174">
        <v>5.1513236197150203</v>
      </c>
      <c r="GD174">
        <v>4.3599179385949514</v>
      </c>
      <c r="GE174">
        <v>2.0806755322874251</v>
      </c>
      <c r="GF174">
        <v>1.4515512574996277</v>
      </c>
      <c r="GG174">
        <v>1.9472233248153306</v>
      </c>
      <c r="GH174">
        <v>1.9871405252523333</v>
      </c>
      <c r="GI174">
        <v>4.5823533377104946</v>
      </c>
      <c r="GJ174"/>
      <c r="GK174"/>
      <c r="GL174"/>
      <c r="GM174"/>
    </row>
    <row r="175" spans="1:195" s="7" customFormat="1">
      <c r="A175" s="1"/>
      <c r="B175" s="76">
        <f ca="1">IF(C175="", "", RAND())</f>
        <v>0.4171034450590021</v>
      </c>
      <c r="C175">
        <v>10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10.416666666666666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4.694978632478632</v>
      </c>
      <c r="AO175">
        <v>4.1607683310379766</v>
      </c>
      <c r="AP175">
        <v>15.671338283351016</v>
      </c>
      <c r="AQ175">
        <v>15.123361976598073</v>
      </c>
      <c r="AR175">
        <v>3.7539804430524546</v>
      </c>
      <c r="AS175">
        <v>18.769701547656059</v>
      </c>
      <c r="AT175" t="e">
        <v>#DIV/0!</v>
      </c>
      <c r="AU175" t="e">
        <v>#DIV/0!</v>
      </c>
      <c r="AV175"/>
      <c r="AW175"/>
      <c r="AX175" s="146"/>
      <c r="AY175" s="76">
        <f t="shared" ca="1" si="169"/>
        <v>0.28748368890384413</v>
      </c>
      <c r="AZ175">
        <v>8</v>
      </c>
      <c r="BA175" s="129">
        <f t="shared" si="243"/>
        <v>39949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 s="147"/>
      <c r="CH175" s="176"/>
      <c r="CJ175" s="146"/>
      <c r="CK175" s="76">
        <f t="shared" ca="1" si="204"/>
        <v>0.84742676109104575</v>
      </c>
      <c r="CL175" s="179">
        <f t="shared" si="205"/>
        <v>8</v>
      </c>
      <c r="CM175" s="180">
        <f t="shared" si="206"/>
        <v>39949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 s="160"/>
      <c r="CW175">
        <v>1</v>
      </c>
      <c r="CX175">
        <v>1</v>
      </c>
      <c r="CY175" s="165"/>
      <c r="CZ175" s="177">
        <f t="shared" si="207"/>
        <v>9.6000000000000002E-2</v>
      </c>
      <c r="DB175" s="146"/>
      <c r="DC175" s="76">
        <f t="shared" ca="1" si="170"/>
        <v>0.29544236683939817</v>
      </c>
      <c r="DD175">
        <f t="shared" si="208"/>
        <v>8</v>
      </c>
      <c r="DE175" s="129">
        <f t="shared" si="242"/>
        <v>39949</v>
      </c>
      <c r="DF175" s="161">
        <f t="shared" si="209"/>
        <v>0</v>
      </c>
      <c r="DG175" s="161">
        <f t="shared" si="210"/>
        <v>0</v>
      </c>
      <c r="DH175" s="161">
        <f t="shared" si="211"/>
        <v>0</v>
      </c>
      <c r="DI175" s="161">
        <f t="shared" si="212"/>
        <v>0</v>
      </c>
      <c r="DJ175" s="161">
        <f t="shared" si="213"/>
        <v>0</v>
      </c>
      <c r="DK175" s="161">
        <f t="shared" si="214"/>
        <v>0</v>
      </c>
      <c r="DL175" s="161">
        <f t="shared" si="215"/>
        <v>0</v>
      </c>
      <c r="DM175" s="161">
        <f t="shared" si="216"/>
        <v>0</v>
      </c>
      <c r="DN175" s="161">
        <f t="shared" si="217"/>
        <v>0</v>
      </c>
      <c r="DO175" s="161">
        <f t="shared" si="218"/>
        <v>0</v>
      </c>
      <c r="DP175" s="161">
        <f t="shared" si="219"/>
        <v>0</v>
      </c>
      <c r="DQ175" s="161">
        <f t="shared" si="220"/>
        <v>0</v>
      </c>
      <c r="DR175" s="161">
        <f t="shared" si="221"/>
        <v>0</v>
      </c>
      <c r="DS175" s="161">
        <f t="shared" si="222"/>
        <v>0</v>
      </c>
      <c r="DT175" s="161">
        <f t="shared" si="223"/>
        <v>0</v>
      </c>
      <c r="DU175" s="161">
        <f t="shared" si="224"/>
        <v>0</v>
      </c>
      <c r="DV175" s="161">
        <f t="shared" si="225"/>
        <v>0</v>
      </c>
      <c r="DW175" s="161">
        <f t="shared" si="226"/>
        <v>0</v>
      </c>
      <c r="DX175" s="161">
        <f t="shared" si="227"/>
        <v>0</v>
      </c>
      <c r="DY175" s="161">
        <f t="shared" si="228"/>
        <v>0</v>
      </c>
      <c r="DZ175" s="161">
        <f t="shared" si="229"/>
        <v>0</v>
      </c>
      <c r="EA175" s="161">
        <f t="shared" si="230"/>
        <v>0</v>
      </c>
      <c r="EB175" s="161">
        <f t="shared" si="231"/>
        <v>0</v>
      </c>
      <c r="EC175" s="161">
        <f t="shared" si="232"/>
        <v>0</v>
      </c>
      <c r="ED175" s="161">
        <f t="shared" si="233"/>
        <v>0</v>
      </c>
      <c r="EE175" s="161">
        <f t="shared" si="234"/>
        <v>0</v>
      </c>
      <c r="EF175" s="161">
        <f t="shared" si="235"/>
        <v>0</v>
      </c>
      <c r="EG175" s="161">
        <f t="shared" si="236"/>
        <v>0</v>
      </c>
      <c r="EH175" s="161">
        <f t="shared" si="237"/>
        <v>0</v>
      </c>
      <c r="EI175" s="161">
        <f t="shared" si="238"/>
        <v>0</v>
      </c>
      <c r="EJ175" s="161">
        <f t="shared" si="239"/>
        <v>0</v>
      </c>
      <c r="EK175" s="147">
        <f t="shared" si="171"/>
        <v>0</v>
      </c>
      <c r="EL175" s="149"/>
      <c r="EN175" s="146"/>
      <c r="EO175" s="146"/>
      <c r="EP175" s="139">
        <f t="shared" si="172"/>
        <v>0</v>
      </c>
      <c r="EQ175" s="139">
        <f t="shared" si="173"/>
        <v>0</v>
      </c>
      <c r="ER175" s="139">
        <f t="shared" si="174"/>
        <v>0</v>
      </c>
      <c r="ES175" s="139">
        <f t="shared" si="175"/>
        <v>0</v>
      </c>
      <c r="ET175" s="139">
        <f t="shared" si="176"/>
        <v>0</v>
      </c>
      <c r="EU175" s="139">
        <f t="shared" si="177"/>
        <v>0</v>
      </c>
      <c r="EV175" s="139">
        <f t="shared" si="178"/>
        <v>0</v>
      </c>
      <c r="EW175" s="139">
        <f t="shared" si="179"/>
        <v>0</v>
      </c>
      <c r="EX175" s="139">
        <f t="shared" si="180"/>
        <v>0</v>
      </c>
      <c r="EY175" s="139">
        <f t="shared" si="181"/>
        <v>0</v>
      </c>
      <c r="EZ175" s="139">
        <f t="shared" si="182"/>
        <v>0</v>
      </c>
      <c r="FA175" s="139">
        <f t="shared" si="183"/>
        <v>0</v>
      </c>
      <c r="FB175" s="139">
        <f t="shared" si="184"/>
        <v>0</v>
      </c>
      <c r="FC175" s="139">
        <f t="shared" si="185"/>
        <v>0</v>
      </c>
      <c r="FD175" s="139">
        <f t="shared" si="186"/>
        <v>0</v>
      </c>
      <c r="FE175" s="139">
        <f t="shared" si="187"/>
        <v>0</v>
      </c>
      <c r="FF175" s="139">
        <f t="shared" si="188"/>
        <v>0</v>
      </c>
      <c r="FG175" s="139">
        <f t="shared" si="189"/>
        <v>0</v>
      </c>
      <c r="FH175" s="139">
        <f t="shared" si="190"/>
        <v>0</v>
      </c>
      <c r="FI175" s="139">
        <f t="shared" si="191"/>
        <v>0</v>
      </c>
      <c r="FJ175" s="139">
        <f t="shared" si="192"/>
        <v>0</v>
      </c>
      <c r="FK175" s="139">
        <f t="shared" si="193"/>
        <v>0</v>
      </c>
      <c r="FL175" s="139">
        <f t="shared" si="194"/>
        <v>0</v>
      </c>
      <c r="FM175" s="139">
        <f t="shared" si="195"/>
        <v>0</v>
      </c>
      <c r="FN175" s="139">
        <f t="shared" si="196"/>
        <v>0</v>
      </c>
      <c r="FO175" s="139">
        <f t="shared" si="197"/>
        <v>0</v>
      </c>
      <c r="FP175" s="139">
        <f t="shared" si="198"/>
        <v>0</v>
      </c>
      <c r="FQ175" s="139">
        <f t="shared" si="199"/>
        <v>0</v>
      </c>
      <c r="FR175" s="139">
        <f t="shared" si="200"/>
        <v>0</v>
      </c>
      <c r="FS175" s="139">
        <f t="shared" si="201"/>
        <v>0</v>
      </c>
      <c r="FT175" s="139">
        <f t="shared" si="202"/>
        <v>0</v>
      </c>
      <c r="FU175" s="148">
        <f t="shared" si="203"/>
        <v>0</v>
      </c>
      <c r="FV175" s="149"/>
      <c r="FY175" s="210">
        <v>170</v>
      </c>
      <c r="FZ175">
        <v>0.55772994557880229</v>
      </c>
      <c r="GA175">
        <v>5.378052010287508</v>
      </c>
      <c r="GB175">
        <v>2.8182192605562957</v>
      </c>
      <c r="GC175">
        <v>5.7169927529537237</v>
      </c>
      <c r="GD175">
        <v>4.8050311027820225</v>
      </c>
      <c r="GE175">
        <v>2.1826793956147341</v>
      </c>
      <c r="GF175">
        <v>1.0712213032574254</v>
      </c>
      <c r="GG175">
        <v>0.64907444160511019</v>
      </c>
      <c r="GH175">
        <v>0.66238017508411107</v>
      </c>
      <c r="GI175">
        <v>4.6766658572633348</v>
      </c>
      <c r="GJ175"/>
      <c r="GK175"/>
      <c r="GL175"/>
      <c r="GM175"/>
    </row>
    <row r="176" spans="1:195" s="7" customFormat="1">
      <c r="A176" s="1"/>
      <c r="B176" s="76">
        <f ca="1">IF(C176="", "", RAND())</f>
        <v>0.1023293158363876</v>
      </c>
      <c r="C176">
        <v>3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7.3757440476190457</v>
      </c>
      <c r="AO176">
        <v>6.852517628202679</v>
      </c>
      <c r="AP176">
        <v>28.636296859603995</v>
      </c>
      <c r="AQ176">
        <v>25.562807080869185</v>
      </c>
      <c r="AR176">
        <v>6.3038301683571083</v>
      </c>
      <c r="AS176">
        <v>34.072893746823311</v>
      </c>
      <c r="AT176" t="e">
        <v>#DIV/0!</v>
      </c>
      <c r="AU176" t="e">
        <v>#DIV/0!</v>
      </c>
      <c r="AV176"/>
      <c r="AW176"/>
      <c r="AX176" s="146"/>
      <c r="AY176" s="76">
        <f t="shared" ca="1" si="169"/>
        <v>0.85878489459693186</v>
      </c>
      <c r="AZ176">
        <v>9</v>
      </c>
      <c r="BA176" s="129">
        <f t="shared" si="243"/>
        <v>39949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 s="147"/>
      <c r="CH176" s="176"/>
      <c r="CJ176" s="146"/>
      <c r="CK176" s="76">
        <f t="shared" ca="1" si="204"/>
        <v>0.61562793870792287</v>
      </c>
      <c r="CL176" s="179">
        <f t="shared" si="205"/>
        <v>9</v>
      </c>
      <c r="CM176" s="180">
        <f t="shared" si="206"/>
        <v>39949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 s="160"/>
      <c r="CW176">
        <v>1</v>
      </c>
      <c r="CX176">
        <v>1</v>
      </c>
      <c r="CY176" s="165"/>
      <c r="CZ176" s="177">
        <f t="shared" si="207"/>
        <v>9.6000000000000002E-2</v>
      </c>
      <c r="DB176" s="146"/>
      <c r="DC176" s="76">
        <f t="shared" ca="1" si="170"/>
        <v>0.34542431001397045</v>
      </c>
      <c r="DD176">
        <f t="shared" si="208"/>
        <v>9</v>
      </c>
      <c r="DE176" s="129">
        <f t="shared" si="242"/>
        <v>39949</v>
      </c>
      <c r="DF176" s="161">
        <f t="shared" si="209"/>
        <v>0</v>
      </c>
      <c r="DG176" s="161">
        <f t="shared" si="210"/>
        <v>0</v>
      </c>
      <c r="DH176" s="161">
        <f t="shared" si="211"/>
        <v>0</v>
      </c>
      <c r="DI176" s="161">
        <f t="shared" si="212"/>
        <v>0</v>
      </c>
      <c r="DJ176" s="161">
        <f t="shared" si="213"/>
        <v>0</v>
      </c>
      <c r="DK176" s="161">
        <f t="shared" si="214"/>
        <v>0</v>
      </c>
      <c r="DL176" s="161">
        <f t="shared" si="215"/>
        <v>0</v>
      </c>
      <c r="DM176" s="161">
        <f t="shared" si="216"/>
        <v>0</v>
      </c>
      <c r="DN176" s="161">
        <f t="shared" si="217"/>
        <v>0</v>
      </c>
      <c r="DO176" s="161">
        <f t="shared" si="218"/>
        <v>0</v>
      </c>
      <c r="DP176" s="161">
        <f t="shared" si="219"/>
        <v>0</v>
      </c>
      <c r="DQ176" s="161">
        <f t="shared" si="220"/>
        <v>0</v>
      </c>
      <c r="DR176" s="161">
        <f t="shared" si="221"/>
        <v>0</v>
      </c>
      <c r="DS176" s="161">
        <f t="shared" si="222"/>
        <v>0</v>
      </c>
      <c r="DT176" s="161">
        <f t="shared" si="223"/>
        <v>0</v>
      </c>
      <c r="DU176" s="161">
        <f t="shared" si="224"/>
        <v>0</v>
      </c>
      <c r="DV176" s="161">
        <f t="shared" si="225"/>
        <v>0</v>
      </c>
      <c r="DW176" s="161">
        <f t="shared" si="226"/>
        <v>0</v>
      </c>
      <c r="DX176" s="161">
        <f t="shared" si="227"/>
        <v>0</v>
      </c>
      <c r="DY176" s="161">
        <f t="shared" si="228"/>
        <v>0</v>
      </c>
      <c r="DZ176" s="161">
        <f t="shared" si="229"/>
        <v>0</v>
      </c>
      <c r="EA176" s="161">
        <f t="shared" si="230"/>
        <v>0</v>
      </c>
      <c r="EB176" s="161">
        <f t="shared" si="231"/>
        <v>0</v>
      </c>
      <c r="EC176" s="161">
        <f t="shared" si="232"/>
        <v>0</v>
      </c>
      <c r="ED176" s="161">
        <f t="shared" si="233"/>
        <v>0</v>
      </c>
      <c r="EE176" s="161">
        <f t="shared" si="234"/>
        <v>0</v>
      </c>
      <c r="EF176" s="161">
        <f t="shared" si="235"/>
        <v>0</v>
      </c>
      <c r="EG176" s="161">
        <f t="shared" si="236"/>
        <v>0</v>
      </c>
      <c r="EH176" s="161">
        <f t="shared" si="237"/>
        <v>0</v>
      </c>
      <c r="EI176" s="161">
        <f t="shared" si="238"/>
        <v>0</v>
      </c>
      <c r="EJ176" s="161">
        <f t="shared" si="239"/>
        <v>0</v>
      </c>
      <c r="EK176" s="147">
        <f t="shared" si="171"/>
        <v>0</v>
      </c>
      <c r="EL176" s="149"/>
      <c r="EN176" s="146"/>
      <c r="EO176" s="146"/>
      <c r="EP176" s="139">
        <f t="shared" si="172"/>
        <v>0</v>
      </c>
      <c r="EQ176" s="139">
        <f t="shared" si="173"/>
        <v>0</v>
      </c>
      <c r="ER176" s="139">
        <f t="shared" si="174"/>
        <v>0</v>
      </c>
      <c r="ES176" s="139">
        <f t="shared" si="175"/>
        <v>0</v>
      </c>
      <c r="ET176" s="139">
        <f t="shared" si="176"/>
        <v>0</v>
      </c>
      <c r="EU176" s="139">
        <f t="shared" si="177"/>
        <v>0</v>
      </c>
      <c r="EV176" s="139">
        <f t="shared" si="178"/>
        <v>0</v>
      </c>
      <c r="EW176" s="139">
        <f t="shared" si="179"/>
        <v>0</v>
      </c>
      <c r="EX176" s="139">
        <f t="shared" si="180"/>
        <v>0</v>
      </c>
      <c r="EY176" s="139">
        <f t="shared" si="181"/>
        <v>0</v>
      </c>
      <c r="EZ176" s="139">
        <f t="shared" si="182"/>
        <v>0</v>
      </c>
      <c r="FA176" s="139">
        <f t="shared" si="183"/>
        <v>0</v>
      </c>
      <c r="FB176" s="139">
        <f t="shared" si="184"/>
        <v>0</v>
      </c>
      <c r="FC176" s="139">
        <f t="shared" si="185"/>
        <v>0</v>
      </c>
      <c r="FD176" s="139">
        <f t="shared" si="186"/>
        <v>0</v>
      </c>
      <c r="FE176" s="139">
        <f t="shared" si="187"/>
        <v>0</v>
      </c>
      <c r="FF176" s="139">
        <f t="shared" si="188"/>
        <v>0</v>
      </c>
      <c r="FG176" s="139">
        <f t="shared" si="189"/>
        <v>0</v>
      </c>
      <c r="FH176" s="139">
        <f t="shared" si="190"/>
        <v>0</v>
      </c>
      <c r="FI176" s="139">
        <f t="shared" si="191"/>
        <v>0</v>
      </c>
      <c r="FJ176" s="139">
        <f t="shared" si="192"/>
        <v>0</v>
      </c>
      <c r="FK176" s="139">
        <f t="shared" si="193"/>
        <v>0</v>
      </c>
      <c r="FL176" s="139">
        <f t="shared" si="194"/>
        <v>0</v>
      </c>
      <c r="FM176" s="139">
        <f t="shared" si="195"/>
        <v>0</v>
      </c>
      <c r="FN176" s="139">
        <f t="shared" si="196"/>
        <v>0</v>
      </c>
      <c r="FO176" s="139">
        <f t="shared" si="197"/>
        <v>0</v>
      </c>
      <c r="FP176" s="139">
        <f t="shared" si="198"/>
        <v>0</v>
      </c>
      <c r="FQ176" s="139">
        <f t="shared" si="199"/>
        <v>0</v>
      </c>
      <c r="FR176" s="139">
        <f t="shared" si="200"/>
        <v>0</v>
      </c>
      <c r="FS176" s="139">
        <f t="shared" si="201"/>
        <v>0</v>
      </c>
      <c r="FT176" s="139">
        <f t="shared" si="202"/>
        <v>0</v>
      </c>
      <c r="FU176" s="148">
        <f t="shared" si="203"/>
        <v>0</v>
      </c>
      <c r="FV176" s="149"/>
      <c r="FY176" s="210">
        <v>171</v>
      </c>
      <c r="FZ176">
        <v>0.49136377600840619</v>
      </c>
      <c r="GA176">
        <v>4.4518341502695522</v>
      </c>
      <c r="GB176">
        <v>1.8376376057348818</v>
      </c>
      <c r="GC176">
        <v>5.162081499255506</v>
      </c>
      <c r="GD176">
        <v>4.8036385759088089</v>
      </c>
      <c r="GE176">
        <v>2.5687751274855688</v>
      </c>
      <c r="GF176">
        <v>1.6417162346207288</v>
      </c>
      <c r="GG176">
        <v>2.5962977664204407</v>
      </c>
      <c r="GH176">
        <v>2.6495207003364443</v>
      </c>
      <c r="GI176">
        <v>4.7274207456114041</v>
      </c>
      <c r="GJ176"/>
      <c r="GK176"/>
      <c r="GL176"/>
      <c r="GM176"/>
    </row>
    <row r="177" spans="1:195" s="7" customFormat="1">
      <c r="A177" s="1"/>
      <c r="B177" s="76">
        <f ca="1">IF(C177="", "", RAND())</f>
        <v>7.1818326521929432E-2</v>
      </c>
      <c r="C177">
        <v>4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7.63846916971917</v>
      </c>
      <c r="AO177">
        <v>5.6681383951342053</v>
      </c>
      <c r="AP177">
        <v>27.191167985196969</v>
      </c>
      <c r="AQ177">
        <v>21.991456701312337</v>
      </c>
      <c r="AR177">
        <v>5.2580133535567759</v>
      </c>
      <c r="AS177">
        <v>24.04543437981166</v>
      </c>
      <c r="AT177" t="e">
        <v>#DIV/0!</v>
      </c>
      <c r="AU177" t="e">
        <v>#DIV/0!</v>
      </c>
      <c r="AV177"/>
      <c r="AW177"/>
      <c r="AX177" s="146"/>
      <c r="AY177" s="76">
        <f t="shared" ca="1" si="169"/>
        <v>0.93914098467720675</v>
      </c>
      <c r="AZ177">
        <v>10</v>
      </c>
      <c r="BA177" s="129">
        <f t="shared" si="243"/>
        <v>39949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1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 s="147"/>
      <c r="CH177" s="176"/>
      <c r="CJ177" s="146"/>
      <c r="CK177" s="76">
        <f t="shared" ca="1" si="204"/>
        <v>0.1052933540389982</v>
      </c>
      <c r="CL177" s="179">
        <f t="shared" si="205"/>
        <v>10</v>
      </c>
      <c r="CM177" s="180">
        <f t="shared" si="206"/>
        <v>39949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 s="160"/>
      <c r="CW177">
        <v>1</v>
      </c>
      <c r="CX177">
        <f>500/87</f>
        <v>5.7471264367816088</v>
      </c>
      <c r="CY177" s="165"/>
      <c r="CZ177" s="177">
        <f t="shared" si="207"/>
        <v>9.6000000000000002E-2</v>
      </c>
      <c r="DB177" s="146"/>
      <c r="DC177" s="76">
        <f t="shared" ca="1" si="170"/>
        <v>0.7139166538516124</v>
      </c>
      <c r="DD177">
        <f t="shared" si="208"/>
        <v>10</v>
      </c>
      <c r="DE177" s="129">
        <f t="shared" si="242"/>
        <v>39949</v>
      </c>
      <c r="DF177" s="161">
        <f t="shared" si="209"/>
        <v>0</v>
      </c>
      <c r="DG177" s="161">
        <f t="shared" si="210"/>
        <v>0</v>
      </c>
      <c r="DH177" s="161">
        <f t="shared" si="211"/>
        <v>0</v>
      </c>
      <c r="DI177" s="161">
        <f t="shared" si="212"/>
        <v>0</v>
      </c>
      <c r="DJ177" s="161">
        <f t="shared" si="213"/>
        <v>0</v>
      </c>
      <c r="DK177" s="161">
        <f t="shared" si="214"/>
        <v>0</v>
      </c>
      <c r="DL177" s="161">
        <f t="shared" si="215"/>
        <v>10.416666666666666</v>
      </c>
      <c r="DM177" s="161">
        <f t="shared" si="216"/>
        <v>0</v>
      </c>
      <c r="DN177" s="161">
        <f t="shared" si="217"/>
        <v>0</v>
      </c>
      <c r="DO177" s="161">
        <f t="shared" si="218"/>
        <v>0</v>
      </c>
      <c r="DP177" s="161">
        <f t="shared" si="219"/>
        <v>0</v>
      </c>
      <c r="DQ177" s="161">
        <f t="shared" si="220"/>
        <v>0</v>
      </c>
      <c r="DR177" s="161">
        <f t="shared" si="221"/>
        <v>0</v>
      </c>
      <c r="DS177" s="161">
        <f t="shared" si="222"/>
        <v>0</v>
      </c>
      <c r="DT177" s="161">
        <f t="shared" si="223"/>
        <v>0</v>
      </c>
      <c r="DU177" s="161">
        <f t="shared" si="224"/>
        <v>0</v>
      </c>
      <c r="DV177" s="161">
        <f t="shared" si="225"/>
        <v>0</v>
      </c>
      <c r="DW177" s="161">
        <f t="shared" si="226"/>
        <v>0</v>
      </c>
      <c r="DX177" s="161">
        <f t="shared" si="227"/>
        <v>0</v>
      </c>
      <c r="DY177" s="161">
        <f t="shared" si="228"/>
        <v>0</v>
      </c>
      <c r="DZ177" s="161">
        <f t="shared" si="229"/>
        <v>0</v>
      </c>
      <c r="EA177" s="161">
        <f t="shared" si="230"/>
        <v>0</v>
      </c>
      <c r="EB177" s="161">
        <f t="shared" si="231"/>
        <v>0</v>
      </c>
      <c r="EC177" s="161">
        <f t="shared" si="232"/>
        <v>0</v>
      </c>
      <c r="ED177" s="161">
        <f t="shared" si="233"/>
        <v>0</v>
      </c>
      <c r="EE177" s="161">
        <f t="shared" si="234"/>
        <v>0</v>
      </c>
      <c r="EF177" s="161">
        <f t="shared" si="235"/>
        <v>0</v>
      </c>
      <c r="EG177" s="161">
        <f t="shared" si="236"/>
        <v>0</v>
      </c>
      <c r="EH177" s="161">
        <f t="shared" si="237"/>
        <v>0</v>
      </c>
      <c r="EI177" s="161">
        <f t="shared" si="238"/>
        <v>0</v>
      </c>
      <c r="EJ177" s="161">
        <f t="shared" si="239"/>
        <v>0</v>
      </c>
      <c r="EK177" s="147">
        <f t="shared" si="171"/>
        <v>10.416666666666666</v>
      </c>
      <c r="EL177" s="149"/>
      <c r="EN177" s="146"/>
      <c r="EO177" s="146"/>
      <c r="EP177" s="139">
        <f t="shared" si="172"/>
        <v>0</v>
      </c>
      <c r="EQ177" s="139">
        <f t="shared" si="173"/>
        <v>0</v>
      </c>
      <c r="ER177" s="139">
        <f t="shared" si="174"/>
        <v>0</v>
      </c>
      <c r="ES177" s="139">
        <f t="shared" si="175"/>
        <v>0</v>
      </c>
      <c r="ET177" s="139">
        <f t="shared" si="176"/>
        <v>0</v>
      </c>
      <c r="EU177" s="139">
        <f t="shared" si="177"/>
        <v>0</v>
      </c>
      <c r="EV177" s="139">
        <f t="shared" si="178"/>
        <v>15.818462950080853</v>
      </c>
      <c r="EW177" s="139">
        <f t="shared" si="179"/>
        <v>0</v>
      </c>
      <c r="EX177" s="139">
        <f t="shared" si="180"/>
        <v>0</v>
      </c>
      <c r="EY177" s="139">
        <f t="shared" si="181"/>
        <v>0</v>
      </c>
      <c r="EZ177" s="139">
        <f t="shared" si="182"/>
        <v>0</v>
      </c>
      <c r="FA177" s="139">
        <f t="shared" si="183"/>
        <v>0</v>
      </c>
      <c r="FB177" s="139">
        <f t="shared" si="184"/>
        <v>0</v>
      </c>
      <c r="FC177" s="139">
        <f t="shared" si="185"/>
        <v>0</v>
      </c>
      <c r="FD177" s="139">
        <f t="shared" si="186"/>
        <v>0</v>
      </c>
      <c r="FE177" s="139">
        <f t="shared" si="187"/>
        <v>0</v>
      </c>
      <c r="FF177" s="139">
        <f t="shared" si="188"/>
        <v>0</v>
      </c>
      <c r="FG177" s="139">
        <f t="shared" si="189"/>
        <v>0</v>
      </c>
      <c r="FH177" s="139">
        <f t="shared" si="190"/>
        <v>0</v>
      </c>
      <c r="FI177" s="139">
        <f t="shared" si="191"/>
        <v>0</v>
      </c>
      <c r="FJ177" s="139">
        <f t="shared" si="192"/>
        <v>0</v>
      </c>
      <c r="FK177" s="139">
        <f t="shared" si="193"/>
        <v>0</v>
      </c>
      <c r="FL177" s="139">
        <f t="shared" si="194"/>
        <v>0</v>
      </c>
      <c r="FM177" s="139">
        <f t="shared" si="195"/>
        <v>0</v>
      </c>
      <c r="FN177" s="139">
        <f t="shared" si="196"/>
        <v>0</v>
      </c>
      <c r="FO177" s="139">
        <f t="shared" si="197"/>
        <v>0</v>
      </c>
      <c r="FP177" s="139">
        <f t="shared" si="198"/>
        <v>0</v>
      </c>
      <c r="FQ177" s="139">
        <f t="shared" si="199"/>
        <v>0</v>
      </c>
      <c r="FR177" s="139">
        <f t="shared" si="200"/>
        <v>0</v>
      </c>
      <c r="FS177" s="139">
        <f t="shared" si="201"/>
        <v>0</v>
      </c>
      <c r="FT177" s="139">
        <f t="shared" si="202"/>
        <v>0</v>
      </c>
      <c r="FU177" s="148">
        <f t="shared" si="203"/>
        <v>15.818462950080853</v>
      </c>
      <c r="FV177" s="149"/>
      <c r="FY177" s="210">
        <v>172</v>
      </c>
      <c r="FZ177">
        <v>0.55772994557880229</v>
      </c>
      <c r="GA177">
        <v>8.5274941558678474</v>
      </c>
      <c r="GB177">
        <v>4.3112758818503059</v>
      </c>
      <c r="GC177">
        <v>3.5577619237652351</v>
      </c>
      <c r="GD177">
        <v>2.7975148397231919</v>
      </c>
      <c r="GE177">
        <v>1.3810661125034183</v>
      </c>
      <c r="GF177">
        <v>1.0712213032574254</v>
      </c>
      <c r="GG177">
        <v>0.64907444160511019</v>
      </c>
      <c r="GH177">
        <v>0.66238017508411107</v>
      </c>
      <c r="GI177">
        <v>3.7222444615352082</v>
      </c>
      <c r="GJ177"/>
      <c r="GK177"/>
      <c r="GL177"/>
      <c r="GM177"/>
    </row>
    <row r="178" spans="1:195" s="7" customFormat="1">
      <c r="A178" s="128"/>
      <c r="B178" s="76">
        <f ca="1">IF(C178="", "", RAND())</f>
        <v>0.30939785547456955</v>
      </c>
      <c r="C178">
        <v>4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4.8206845238095237</v>
      </c>
      <c r="AO178">
        <v>4.2648641143152179</v>
      </c>
      <c r="AP178">
        <v>29.95821836480275</v>
      </c>
      <c r="AQ178">
        <v>21.721125552205081</v>
      </c>
      <c r="AR178">
        <v>3.9034094690180918</v>
      </c>
      <c r="AS178">
        <v>20.620521021026992</v>
      </c>
      <c r="AT178" t="e">
        <v>#DIV/0!</v>
      </c>
      <c r="AU178" t="e">
        <v>#DIV/0!</v>
      </c>
      <c r="AV178"/>
      <c r="AW178"/>
      <c r="AX178" s="128"/>
      <c r="AY178" s="76">
        <f t="shared" ca="1" si="169"/>
        <v>0.86927441720902832</v>
      </c>
      <c r="AZ178">
        <v>1</v>
      </c>
      <c r="BA178" s="129">
        <f>IF(AZ178="", "",$C$13)</f>
        <v>39987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 s="147"/>
      <c r="CH178" s="176"/>
      <c r="CJ178" s="128"/>
      <c r="CK178" s="76">
        <f t="shared" ca="1" si="204"/>
        <v>0.6589230322684001</v>
      </c>
      <c r="CL178" s="179">
        <f t="shared" si="205"/>
        <v>1</v>
      </c>
      <c r="CM178" s="180">
        <f t="shared" si="206"/>
        <v>39987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 s="160"/>
      <c r="CW178">
        <v>1</v>
      </c>
      <c r="CX178">
        <f>350/47</f>
        <v>7.4468085106382977</v>
      </c>
      <c r="CY178" s="160"/>
      <c r="CZ178" s="177">
        <f t="shared" si="207"/>
        <v>9.6000000000000002E-2</v>
      </c>
      <c r="DB178" s="128"/>
      <c r="DC178" s="76">
        <f t="shared" ca="1" si="170"/>
        <v>0.50333301353507487</v>
      </c>
      <c r="DD178">
        <f t="shared" si="208"/>
        <v>1</v>
      </c>
      <c r="DE178" s="129">
        <f t="shared" ref="DE178:DE187" si="244">IF((DD178)="", "", $C$13)</f>
        <v>39987</v>
      </c>
      <c r="DF178" s="161">
        <f t="shared" si="209"/>
        <v>0</v>
      </c>
      <c r="DG178" s="161">
        <f t="shared" si="210"/>
        <v>0</v>
      </c>
      <c r="DH178" s="161">
        <f t="shared" si="211"/>
        <v>0</v>
      </c>
      <c r="DI178" s="161">
        <f t="shared" si="212"/>
        <v>0</v>
      </c>
      <c r="DJ178" s="161">
        <f t="shared" si="213"/>
        <v>0</v>
      </c>
      <c r="DK178" s="161">
        <f t="shared" si="214"/>
        <v>0</v>
      </c>
      <c r="DL178" s="161">
        <f t="shared" si="215"/>
        <v>0</v>
      </c>
      <c r="DM178" s="161">
        <f t="shared" si="216"/>
        <v>0</v>
      </c>
      <c r="DN178" s="161">
        <f t="shared" si="217"/>
        <v>0</v>
      </c>
      <c r="DO178" s="161">
        <f t="shared" si="218"/>
        <v>0</v>
      </c>
      <c r="DP178" s="161">
        <f t="shared" si="219"/>
        <v>0</v>
      </c>
      <c r="DQ178" s="161">
        <f t="shared" si="220"/>
        <v>0</v>
      </c>
      <c r="DR178" s="161">
        <f t="shared" si="221"/>
        <v>0</v>
      </c>
      <c r="DS178" s="161">
        <f t="shared" si="222"/>
        <v>0</v>
      </c>
      <c r="DT178" s="161">
        <f t="shared" si="223"/>
        <v>0</v>
      </c>
      <c r="DU178" s="161">
        <f t="shared" si="224"/>
        <v>0</v>
      </c>
      <c r="DV178" s="161">
        <f t="shared" si="225"/>
        <v>0</v>
      </c>
      <c r="DW178" s="161">
        <f t="shared" si="226"/>
        <v>0</v>
      </c>
      <c r="DX178" s="161">
        <f t="shared" si="227"/>
        <v>0</v>
      </c>
      <c r="DY178" s="161">
        <f t="shared" si="228"/>
        <v>0</v>
      </c>
      <c r="DZ178" s="161">
        <f t="shared" si="229"/>
        <v>0</v>
      </c>
      <c r="EA178" s="161">
        <f t="shared" si="230"/>
        <v>0</v>
      </c>
      <c r="EB178" s="161">
        <f t="shared" si="231"/>
        <v>0</v>
      </c>
      <c r="EC178" s="161">
        <f t="shared" si="232"/>
        <v>0</v>
      </c>
      <c r="ED178" s="161">
        <f t="shared" si="233"/>
        <v>0</v>
      </c>
      <c r="EE178" s="161">
        <f t="shared" si="234"/>
        <v>0</v>
      </c>
      <c r="EF178" s="161">
        <f t="shared" si="235"/>
        <v>0</v>
      </c>
      <c r="EG178" s="161">
        <f t="shared" si="236"/>
        <v>0</v>
      </c>
      <c r="EH178" s="161">
        <f t="shared" si="237"/>
        <v>0</v>
      </c>
      <c r="EI178" s="161">
        <f t="shared" si="238"/>
        <v>0</v>
      </c>
      <c r="EJ178" s="161">
        <f t="shared" si="239"/>
        <v>0</v>
      </c>
      <c r="EK178" s="147">
        <f t="shared" si="171"/>
        <v>0</v>
      </c>
      <c r="EL178" s="149"/>
      <c r="EN178" s="146"/>
      <c r="EO178" s="146"/>
      <c r="EP178" s="139">
        <f t="shared" si="172"/>
        <v>0</v>
      </c>
      <c r="EQ178" s="139">
        <f t="shared" si="173"/>
        <v>0</v>
      </c>
      <c r="ER178" s="139">
        <f t="shared" si="174"/>
        <v>0</v>
      </c>
      <c r="ES178" s="139">
        <f t="shared" si="175"/>
        <v>0</v>
      </c>
      <c r="ET178" s="139">
        <f t="shared" si="176"/>
        <v>0</v>
      </c>
      <c r="EU178" s="139">
        <f t="shared" si="177"/>
        <v>0</v>
      </c>
      <c r="EV178" s="139">
        <f t="shared" si="178"/>
        <v>0</v>
      </c>
      <c r="EW178" s="139">
        <f t="shared" si="179"/>
        <v>0</v>
      </c>
      <c r="EX178" s="139">
        <f t="shared" si="180"/>
        <v>0</v>
      </c>
      <c r="EY178" s="139">
        <f t="shared" si="181"/>
        <v>0</v>
      </c>
      <c r="EZ178" s="139">
        <f t="shared" si="182"/>
        <v>0</v>
      </c>
      <c r="FA178" s="139">
        <f t="shared" si="183"/>
        <v>0</v>
      </c>
      <c r="FB178" s="139">
        <f t="shared" si="184"/>
        <v>0</v>
      </c>
      <c r="FC178" s="139">
        <f t="shared" si="185"/>
        <v>0</v>
      </c>
      <c r="FD178" s="139">
        <f t="shared" si="186"/>
        <v>0</v>
      </c>
      <c r="FE178" s="139">
        <f t="shared" si="187"/>
        <v>0</v>
      </c>
      <c r="FF178" s="139">
        <f t="shared" si="188"/>
        <v>0</v>
      </c>
      <c r="FG178" s="139">
        <f t="shared" si="189"/>
        <v>0</v>
      </c>
      <c r="FH178" s="139">
        <f t="shared" si="190"/>
        <v>0</v>
      </c>
      <c r="FI178" s="139">
        <f t="shared" si="191"/>
        <v>0</v>
      </c>
      <c r="FJ178" s="139">
        <f t="shared" si="192"/>
        <v>0</v>
      </c>
      <c r="FK178" s="139">
        <f t="shared" si="193"/>
        <v>0</v>
      </c>
      <c r="FL178" s="139">
        <f t="shared" si="194"/>
        <v>0</v>
      </c>
      <c r="FM178" s="139">
        <f t="shared" si="195"/>
        <v>0</v>
      </c>
      <c r="FN178" s="139">
        <f t="shared" si="196"/>
        <v>0</v>
      </c>
      <c r="FO178" s="139">
        <f t="shared" si="197"/>
        <v>0</v>
      </c>
      <c r="FP178" s="139">
        <f t="shared" si="198"/>
        <v>0</v>
      </c>
      <c r="FQ178" s="139">
        <f t="shared" si="199"/>
        <v>0</v>
      </c>
      <c r="FR178" s="139">
        <f t="shared" si="200"/>
        <v>0</v>
      </c>
      <c r="FS178" s="139">
        <f t="shared" si="201"/>
        <v>0</v>
      </c>
      <c r="FT178" s="139">
        <f t="shared" si="202"/>
        <v>0</v>
      </c>
      <c r="FU178" s="148">
        <f t="shared" si="203"/>
        <v>0</v>
      </c>
      <c r="FV178" s="149"/>
      <c r="FY178" s="210">
        <v>173</v>
      </c>
      <c r="FZ178">
        <v>3.3183084785198033E-2</v>
      </c>
      <c r="GA178">
        <v>0.88697555135127926</v>
      </c>
      <c r="GB178">
        <v>2.6967746859956208</v>
      </c>
      <c r="GC178">
        <v>10.982577253859702</v>
      </c>
      <c r="GD178">
        <v>7.7113141209967448</v>
      </c>
      <c r="GE178">
        <v>0.83853720041220592</v>
      </c>
      <c r="GF178">
        <v>0</v>
      </c>
      <c r="GG178">
        <v>1.4430063380750886</v>
      </c>
      <c r="GH178">
        <v>1.9871405252523333</v>
      </c>
      <c r="GI178">
        <v>6.679276973592378</v>
      </c>
      <c r="GJ178"/>
      <c r="GK178"/>
      <c r="GL178"/>
      <c r="GM178"/>
    </row>
    <row r="179" spans="1:195" s="7" customFormat="1">
      <c r="A179" s="1"/>
      <c r="B179" s="76">
        <f ca="1">IF(C179="", "", RAND())</f>
        <v>0.8298805566475187</v>
      </c>
      <c r="C179">
        <v>9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5.4368322649572649</v>
      </c>
      <c r="AO179">
        <v>6.4587700950963436</v>
      </c>
      <c r="AP179">
        <v>25.361941542508461</v>
      </c>
      <c r="AQ179">
        <v>22.961443014934172</v>
      </c>
      <c r="AR179">
        <v>5.9385727164959441</v>
      </c>
      <c r="AS179">
        <v>27.038046947608031</v>
      </c>
      <c r="AT179" t="e">
        <v>#DIV/0!</v>
      </c>
      <c r="AU179" t="e">
        <v>#DIV/0!</v>
      </c>
      <c r="AV179"/>
      <c r="AW179"/>
      <c r="AX179" s="146"/>
      <c r="AY179" s="76">
        <f t="shared" ca="1" si="169"/>
        <v>0.15392467619793582</v>
      </c>
      <c r="AZ179">
        <v>2</v>
      </c>
      <c r="BA179" s="129">
        <f t="shared" ref="BA179:BA187" si="245">IF(AZ179="", "",$C$13)</f>
        <v>39987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 s="147"/>
      <c r="CH179" s="176"/>
      <c r="CJ179" s="146"/>
      <c r="CK179" s="76">
        <f t="shared" ca="1" si="204"/>
        <v>0.8403308650774195</v>
      </c>
      <c r="CL179" s="179">
        <f t="shared" si="205"/>
        <v>2</v>
      </c>
      <c r="CM179" s="180">
        <f t="shared" si="206"/>
        <v>39987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 s="160"/>
      <c r="CW179">
        <v>1</v>
      </c>
      <c r="CX179">
        <f>355/64</f>
        <v>5.546875</v>
      </c>
      <c r="CY179" s="160"/>
      <c r="CZ179" s="177">
        <f t="shared" si="207"/>
        <v>9.6000000000000002E-2</v>
      </c>
      <c r="DB179" s="146"/>
      <c r="DC179" s="76">
        <f t="shared" ca="1" si="170"/>
        <v>0.27894027031483493</v>
      </c>
      <c r="DD179">
        <f t="shared" si="208"/>
        <v>2</v>
      </c>
      <c r="DE179" s="129">
        <f t="shared" si="244"/>
        <v>39987</v>
      </c>
      <c r="DF179" s="161">
        <f t="shared" si="209"/>
        <v>0</v>
      </c>
      <c r="DG179" s="161">
        <f t="shared" si="210"/>
        <v>0</v>
      </c>
      <c r="DH179" s="161">
        <f t="shared" si="211"/>
        <v>0</v>
      </c>
      <c r="DI179" s="161">
        <f t="shared" si="212"/>
        <v>0</v>
      </c>
      <c r="DJ179" s="161">
        <f t="shared" si="213"/>
        <v>0</v>
      </c>
      <c r="DK179" s="161">
        <f t="shared" si="214"/>
        <v>0</v>
      </c>
      <c r="DL179" s="161">
        <f t="shared" si="215"/>
        <v>0</v>
      </c>
      <c r="DM179" s="161">
        <f t="shared" si="216"/>
        <v>0</v>
      </c>
      <c r="DN179" s="161">
        <f t="shared" si="217"/>
        <v>0</v>
      </c>
      <c r="DO179" s="161">
        <f t="shared" si="218"/>
        <v>0</v>
      </c>
      <c r="DP179" s="161">
        <f t="shared" si="219"/>
        <v>0</v>
      </c>
      <c r="DQ179" s="161">
        <f t="shared" si="220"/>
        <v>0</v>
      </c>
      <c r="DR179" s="161">
        <f t="shared" si="221"/>
        <v>0</v>
      </c>
      <c r="DS179" s="161">
        <f t="shared" si="222"/>
        <v>0</v>
      </c>
      <c r="DT179" s="161">
        <f t="shared" si="223"/>
        <v>0</v>
      </c>
      <c r="DU179" s="161">
        <f t="shared" si="224"/>
        <v>0</v>
      </c>
      <c r="DV179" s="161">
        <f t="shared" si="225"/>
        <v>0</v>
      </c>
      <c r="DW179" s="161">
        <f t="shared" si="226"/>
        <v>0</v>
      </c>
      <c r="DX179" s="161">
        <f t="shared" si="227"/>
        <v>0</v>
      </c>
      <c r="DY179" s="161">
        <f t="shared" si="228"/>
        <v>0</v>
      </c>
      <c r="DZ179" s="161">
        <f t="shared" si="229"/>
        <v>0</v>
      </c>
      <c r="EA179" s="161">
        <f t="shared" si="230"/>
        <v>0</v>
      </c>
      <c r="EB179" s="161">
        <f t="shared" si="231"/>
        <v>0</v>
      </c>
      <c r="EC179" s="161">
        <f t="shared" si="232"/>
        <v>0</v>
      </c>
      <c r="ED179" s="161">
        <f t="shared" si="233"/>
        <v>0</v>
      </c>
      <c r="EE179" s="161">
        <f t="shared" si="234"/>
        <v>0</v>
      </c>
      <c r="EF179" s="161">
        <f t="shared" si="235"/>
        <v>0</v>
      </c>
      <c r="EG179" s="161">
        <f t="shared" si="236"/>
        <v>0</v>
      </c>
      <c r="EH179" s="161">
        <f t="shared" si="237"/>
        <v>0</v>
      </c>
      <c r="EI179" s="161">
        <f t="shared" si="238"/>
        <v>0</v>
      </c>
      <c r="EJ179" s="161">
        <f t="shared" si="239"/>
        <v>0</v>
      </c>
      <c r="EK179" s="147">
        <f t="shared" si="171"/>
        <v>0</v>
      </c>
      <c r="EL179" s="149"/>
      <c r="EN179" s="146"/>
      <c r="EO179" s="146"/>
      <c r="EP179" s="139">
        <f t="shared" si="172"/>
        <v>0</v>
      </c>
      <c r="EQ179" s="139">
        <f t="shared" si="173"/>
        <v>0</v>
      </c>
      <c r="ER179" s="139">
        <f t="shared" si="174"/>
        <v>0</v>
      </c>
      <c r="ES179" s="139">
        <f t="shared" si="175"/>
        <v>0</v>
      </c>
      <c r="ET179" s="139">
        <f t="shared" si="176"/>
        <v>0</v>
      </c>
      <c r="EU179" s="139">
        <f t="shared" si="177"/>
        <v>0</v>
      </c>
      <c r="EV179" s="139">
        <f t="shared" si="178"/>
        <v>0</v>
      </c>
      <c r="EW179" s="139">
        <f t="shared" si="179"/>
        <v>0</v>
      </c>
      <c r="EX179" s="139">
        <f t="shared" si="180"/>
        <v>0</v>
      </c>
      <c r="EY179" s="139">
        <f t="shared" si="181"/>
        <v>0</v>
      </c>
      <c r="EZ179" s="139">
        <f t="shared" si="182"/>
        <v>0</v>
      </c>
      <c r="FA179" s="139">
        <f t="shared" si="183"/>
        <v>0</v>
      </c>
      <c r="FB179" s="139">
        <f t="shared" si="184"/>
        <v>0</v>
      </c>
      <c r="FC179" s="139">
        <f t="shared" si="185"/>
        <v>0</v>
      </c>
      <c r="FD179" s="139">
        <f t="shared" si="186"/>
        <v>0</v>
      </c>
      <c r="FE179" s="139">
        <f t="shared" si="187"/>
        <v>0</v>
      </c>
      <c r="FF179" s="139">
        <f t="shared" si="188"/>
        <v>0</v>
      </c>
      <c r="FG179" s="139">
        <f t="shared" si="189"/>
        <v>0</v>
      </c>
      <c r="FH179" s="139">
        <f t="shared" si="190"/>
        <v>0</v>
      </c>
      <c r="FI179" s="139">
        <f t="shared" si="191"/>
        <v>0</v>
      </c>
      <c r="FJ179" s="139">
        <f t="shared" si="192"/>
        <v>0</v>
      </c>
      <c r="FK179" s="139">
        <f t="shared" si="193"/>
        <v>0</v>
      </c>
      <c r="FL179" s="139">
        <f t="shared" si="194"/>
        <v>0</v>
      </c>
      <c r="FM179" s="139">
        <f t="shared" si="195"/>
        <v>0</v>
      </c>
      <c r="FN179" s="139">
        <f t="shared" si="196"/>
        <v>0</v>
      </c>
      <c r="FO179" s="139">
        <f t="shared" si="197"/>
        <v>0</v>
      </c>
      <c r="FP179" s="139">
        <f t="shared" si="198"/>
        <v>0</v>
      </c>
      <c r="FQ179" s="139">
        <f t="shared" si="199"/>
        <v>0</v>
      </c>
      <c r="FR179" s="139">
        <f t="shared" si="200"/>
        <v>0</v>
      </c>
      <c r="FS179" s="139">
        <f t="shared" si="201"/>
        <v>0</v>
      </c>
      <c r="FT179" s="139">
        <f t="shared" si="202"/>
        <v>0</v>
      </c>
      <c r="FU179" s="148">
        <f t="shared" si="203"/>
        <v>0</v>
      </c>
      <c r="FV179" s="149"/>
      <c r="FY179" s="210">
        <v>174</v>
      </c>
      <c r="FZ179">
        <v>0.73704566401260951</v>
      </c>
      <c r="GA179">
        <v>4.7418592220504001</v>
      </c>
      <c r="GB179">
        <v>2.4097019494596168</v>
      </c>
      <c r="GC179">
        <v>7.4599855820986782</v>
      </c>
      <c r="GD179">
        <v>5.6927721774056952</v>
      </c>
      <c r="GE179">
        <v>2.4661239366858436</v>
      </c>
      <c r="GF179">
        <v>3.0234989326511759</v>
      </c>
      <c r="GG179">
        <v>1.2981488832102204</v>
      </c>
      <c r="GH179">
        <v>1.3247603501682221</v>
      </c>
      <c r="GI179">
        <v>5.7780681532552034</v>
      </c>
      <c r="GJ179"/>
      <c r="GK179"/>
      <c r="GL179"/>
      <c r="GM179"/>
    </row>
    <row r="180" spans="1:195" s="7" customFormat="1">
      <c r="A180" s="1"/>
      <c r="B180" s="76">
        <f ca="1">IF(C180="", "", RAND())</f>
        <v>0.97583316666596609</v>
      </c>
      <c r="C180">
        <v>7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6.4206730769230758</v>
      </c>
      <c r="AO180">
        <v>7.3929930636990751</v>
      </c>
      <c r="AP180">
        <v>26.78348305882071</v>
      </c>
      <c r="AQ180">
        <v>26.036282256126238</v>
      </c>
      <c r="AR180">
        <v>6.752333627339187</v>
      </c>
      <c r="AS180">
        <v>36.714283189591534</v>
      </c>
      <c r="AT180" t="e">
        <v>#DIV/0!</v>
      </c>
      <c r="AU180" t="e">
        <v>#DIV/0!</v>
      </c>
      <c r="AV180"/>
      <c r="AW180"/>
      <c r="AX180" s="146"/>
      <c r="AY180" s="76">
        <f t="shared" ca="1" si="169"/>
        <v>0.73038043180954126</v>
      </c>
      <c r="AZ180">
        <v>3</v>
      </c>
      <c r="BA180" s="129">
        <f t="shared" si="245"/>
        <v>39987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 s="147"/>
      <c r="CH180" s="176"/>
      <c r="CJ180" s="146"/>
      <c r="CK180" s="76">
        <f t="shared" ca="1" si="204"/>
        <v>0.24136141513731513</v>
      </c>
      <c r="CL180" s="179">
        <f t="shared" si="205"/>
        <v>3</v>
      </c>
      <c r="CM180" s="180">
        <f t="shared" si="206"/>
        <v>39987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 s="160"/>
      <c r="CW180">
        <v>1</v>
      </c>
      <c r="CX180">
        <f>350/54</f>
        <v>6.4814814814814818</v>
      </c>
      <c r="CY180" s="160"/>
      <c r="CZ180" s="177">
        <f t="shared" si="207"/>
        <v>9.6000000000000002E-2</v>
      </c>
      <c r="DB180" s="146"/>
      <c r="DC180" s="76">
        <f t="shared" ca="1" si="170"/>
        <v>0.97366647440545884</v>
      </c>
      <c r="DD180">
        <f t="shared" si="208"/>
        <v>3</v>
      </c>
      <c r="DE180" s="129">
        <f t="shared" si="244"/>
        <v>39987</v>
      </c>
      <c r="DF180" s="161">
        <f t="shared" si="209"/>
        <v>0</v>
      </c>
      <c r="DG180" s="161">
        <f t="shared" si="210"/>
        <v>0</v>
      </c>
      <c r="DH180" s="161">
        <f t="shared" si="211"/>
        <v>0</v>
      </c>
      <c r="DI180" s="161">
        <f t="shared" si="212"/>
        <v>0</v>
      </c>
      <c r="DJ180" s="161">
        <f t="shared" si="213"/>
        <v>0</v>
      </c>
      <c r="DK180" s="161">
        <f t="shared" si="214"/>
        <v>0</v>
      </c>
      <c r="DL180" s="161">
        <f t="shared" si="215"/>
        <v>0</v>
      </c>
      <c r="DM180" s="161">
        <f t="shared" si="216"/>
        <v>0</v>
      </c>
      <c r="DN180" s="161">
        <f t="shared" si="217"/>
        <v>0</v>
      </c>
      <c r="DO180" s="161">
        <f t="shared" si="218"/>
        <v>0</v>
      </c>
      <c r="DP180" s="161">
        <f t="shared" si="219"/>
        <v>0</v>
      </c>
      <c r="DQ180" s="161">
        <f t="shared" si="220"/>
        <v>0</v>
      </c>
      <c r="DR180" s="161">
        <f t="shared" si="221"/>
        <v>0</v>
      </c>
      <c r="DS180" s="161">
        <f t="shared" si="222"/>
        <v>0</v>
      </c>
      <c r="DT180" s="161">
        <f t="shared" si="223"/>
        <v>0</v>
      </c>
      <c r="DU180" s="161">
        <f t="shared" si="224"/>
        <v>0</v>
      </c>
      <c r="DV180" s="161">
        <f t="shared" si="225"/>
        <v>0</v>
      </c>
      <c r="DW180" s="161">
        <f t="shared" si="226"/>
        <v>0</v>
      </c>
      <c r="DX180" s="161">
        <f t="shared" si="227"/>
        <v>0</v>
      </c>
      <c r="DY180" s="161">
        <f t="shared" si="228"/>
        <v>0</v>
      </c>
      <c r="DZ180" s="161">
        <f t="shared" si="229"/>
        <v>0</v>
      </c>
      <c r="EA180" s="161">
        <f t="shared" si="230"/>
        <v>0</v>
      </c>
      <c r="EB180" s="161">
        <f t="shared" si="231"/>
        <v>0</v>
      </c>
      <c r="EC180" s="161">
        <f t="shared" si="232"/>
        <v>0</v>
      </c>
      <c r="ED180" s="161">
        <f t="shared" si="233"/>
        <v>0</v>
      </c>
      <c r="EE180" s="161">
        <f t="shared" si="234"/>
        <v>0</v>
      </c>
      <c r="EF180" s="161">
        <f t="shared" si="235"/>
        <v>0</v>
      </c>
      <c r="EG180" s="161">
        <f t="shared" si="236"/>
        <v>0</v>
      </c>
      <c r="EH180" s="161">
        <f t="shared" si="237"/>
        <v>0</v>
      </c>
      <c r="EI180" s="161">
        <f t="shared" si="238"/>
        <v>0</v>
      </c>
      <c r="EJ180" s="161">
        <f t="shared" si="239"/>
        <v>0</v>
      </c>
      <c r="EK180" s="147">
        <f t="shared" si="171"/>
        <v>0</v>
      </c>
      <c r="EL180" s="149"/>
      <c r="EN180" s="146"/>
      <c r="EO180" s="146"/>
      <c r="EP180" s="139">
        <f t="shared" si="172"/>
        <v>0</v>
      </c>
      <c r="EQ180" s="139">
        <f t="shared" si="173"/>
        <v>0</v>
      </c>
      <c r="ER180" s="139">
        <f t="shared" si="174"/>
        <v>0</v>
      </c>
      <c r="ES180" s="139">
        <f t="shared" si="175"/>
        <v>0</v>
      </c>
      <c r="ET180" s="139">
        <f t="shared" si="176"/>
        <v>0</v>
      </c>
      <c r="EU180" s="139">
        <f t="shared" si="177"/>
        <v>0</v>
      </c>
      <c r="EV180" s="139">
        <f t="shared" si="178"/>
        <v>0</v>
      </c>
      <c r="EW180" s="139">
        <f t="shared" si="179"/>
        <v>0</v>
      </c>
      <c r="EX180" s="139">
        <f t="shared" si="180"/>
        <v>0</v>
      </c>
      <c r="EY180" s="139">
        <f t="shared" si="181"/>
        <v>0</v>
      </c>
      <c r="EZ180" s="139">
        <f t="shared" si="182"/>
        <v>0</v>
      </c>
      <c r="FA180" s="139">
        <f t="shared" si="183"/>
        <v>0</v>
      </c>
      <c r="FB180" s="139">
        <f t="shared" si="184"/>
        <v>0</v>
      </c>
      <c r="FC180" s="139">
        <f t="shared" si="185"/>
        <v>0</v>
      </c>
      <c r="FD180" s="139">
        <f t="shared" si="186"/>
        <v>0</v>
      </c>
      <c r="FE180" s="139">
        <f t="shared" si="187"/>
        <v>0</v>
      </c>
      <c r="FF180" s="139">
        <f t="shared" si="188"/>
        <v>0</v>
      </c>
      <c r="FG180" s="139">
        <f t="shared" si="189"/>
        <v>0</v>
      </c>
      <c r="FH180" s="139">
        <f t="shared" si="190"/>
        <v>0</v>
      </c>
      <c r="FI180" s="139">
        <f t="shared" si="191"/>
        <v>0</v>
      </c>
      <c r="FJ180" s="139">
        <f t="shared" si="192"/>
        <v>0</v>
      </c>
      <c r="FK180" s="139">
        <f t="shared" si="193"/>
        <v>0</v>
      </c>
      <c r="FL180" s="139">
        <f t="shared" si="194"/>
        <v>0</v>
      </c>
      <c r="FM180" s="139">
        <f t="shared" si="195"/>
        <v>0</v>
      </c>
      <c r="FN180" s="139">
        <f t="shared" si="196"/>
        <v>0</v>
      </c>
      <c r="FO180" s="139">
        <f t="shared" si="197"/>
        <v>0</v>
      </c>
      <c r="FP180" s="139">
        <f t="shared" si="198"/>
        <v>0</v>
      </c>
      <c r="FQ180" s="139">
        <f t="shared" si="199"/>
        <v>0</v>
      </c>
      <c r="FR180" s="139">
        <f t="shared" si="200"/>
        <v>0</v>
      </c>
      <c r="FS180" s="139">
        <f t="shared" si="201"/>
        <v>0</v>
      </c>
      <c r="FT180" s="139">
        <f t="shared" si="202"/>
        <v>0</v>
      </c>
      <c r="FU180" s="148">
        <f t="shared" si="203"/>
        <v>0</v>
      </c>
      <c r="FV180" s="149"/>
      <c r="FY180" s="210">
        <v>175</v>
      </c>
      <c r="FZ180">
        <v>0.13273233914079213</v>
      </c>
      <c r="GA180">
        <v>5.1272692471733361</v>
      </c>
      <c r="GB180">
        <v>4.6622849450421171</v>
      </c>
      <c r="GC180">
        <v>3.0741517064438257</v>
      </c>
      <c r="GD180">
        <v>2.1734220799315693</v>
      </c>
      <c r="GE180">
        <v>2.0437516149865345</v>
      </c>
      <c r="GF180">
        <v>1.4515512574996277</v>
      </c>
      <c r="GG180">
        <v>0.50421698674024196</v>
      </c>
      <c r="GH180">
        <v>0</v>
      </c>
      <c r="GI180">
        <v>3.2412803814526172</v>
      </c>
      <c r="GJ180"/>
      <c r="GK180"/>
      <c r="GL180"/>
      <c r="GM180"/>
    </row>
    <row r="181" spans="1:195" s="7" customFormat="1">
      <c r="A181" s="1"/>
      <c r="B181" s="76">
        <f ca="1">IF(C181="", "", RAND())</f>
        <v>0.27700584942841511</v>
      </c>
      <c r="C181">
        <v>2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11.043479090354092</v>
      </c>
      <c r="AO181">
        <v>11.864644929677079</v>
      </c>
      <c r="AP181">
        <v>45.505642772854358</v>
      </c>
      <c r="AQ181">
        <v>42.186256155446209</v>
      </c>
      <c r="AR181">
        <v>10.847568468957267</v>
      </c>
      <c r="AS181">
        <v>59.964530211869054</v>
      </c>
      <c r="AT181" t="e">
        <v>#DIV/0!</v>
      </c>
      <c r="AU181" t="e">
        <v>#DIV/0!</v>
      </c>
      <c r="AV181"/>
      <c r="AW181"/>
      <c r="AX181" s="146"/>
      <c r="AY181" s="76">
        <f t="shared" ca="1" si="169"/>
        <v>0.21143756544348591</v>
      </c>
      <c r="AZ181">
        <v>4</v>
      </c>
      <c r="BA181" s="129">
        <f t="shared" si="245"/>
        <v>39987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 s="147"/>
      <c r="CH181" s="176"/>
      <c r="CJ181" s="146"/>
      <c r="CK181" s="76">
        <f t="shared" ca="1" si="204"/>
        <v>0.61962405589936775</v>
      </c>
      <c r="CL181" s="179">
        <f t="shared" si="205"/>
        <v>4</v>
      </c>
      <c r="CM181" s="180">
        <f t="shared" si="206"/>
        <v>39987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 s="160"/>
      <c r="CW181">
        <v>1</v>
      </c>
      <c r="CX181">
        <f>350/41</f>
        <v>8.536585365853659</v>
      </c>
      <c r="CY181" s="160"/>
      <c r="CZ181" s="177">
        <f t="shared" si="207"/>
        <v>9.6000000000000002E-2</v>
      </c>
      <c r="DB181" s="146"/>
      <c r="DC181" s="76">
        <f t="shared" ca="1" si="170"/>
        <v>0.38871552905693307</v>
      </c>
      <c r="DD181">
        <f t="shared" si="208"/>
        <v>4</v>
      </c>
      <c r="DE181" s="129">
        <f t="shared" si="244"/>
        <v>39987</v>
      </c>
      <c r="DF181" s="161">
        <f t="shared" si="209"/>
        <v>0</v>
      </c>
      <c r="DG181" s="161">
        <f t="shared" si="210"/>
        <v>0</v>
      </c>
      <c r="DH181" s="161">
        <f t="shared" si="211"/>
        <v>0</v>
      </c>
      <c r="DI181" s="161">
        <f t="shared" si="212"/>
        <v>0</v>
      </c>
      <c r="DJ181" s="161">
        <f t="shared" si="213"/>
        <v>0</v>
      </c>
      <c r="DK181" s="161">
        <f t="shared" si="214"/>
        <v>0</v>
      </c>
      <c r="DL181" s="161">
        <f t="shared" si="215"/>
        <v>0</v>
      </c>
      <c r="DM181" s="161">
        <f t="shared" si="216"/>
        <v>0</v>
      </c>
      <c r="DN181" s="161">
        <f t="shared" si="217"/>
        <v>0</v>
      </c>
      <c r="DO181" s="161">
        <f t="shared" si="218"/>
        <v>0</v>
      </c>
      <c r="DP181" s="161">
        <f t="shared" si="219"/>
        <v>0</v>
      </c>
      <c r="DQ181" s="161">
        <f t="shared" si="220"/>
        <v>0</v>
      </c>
      <c r="DR181" s="161">
        <f t="shared" si="221"/>
        <v>0</v>
      </c>
      <c r="DS181" s="161">
        <f t="shared" si="222"/>
        <v>0</v>
      </c>
      <c r="DT181" s="161">
        <f t="shared" si="223"/>
        <v>0</v>
      </c>
      <c r="DU181" s="161">
        <f t="shared" si="224"/>
        <v>0</v>
      </c>
      <c r="DV181" s="161">
        <f t="shared" si="225"/>
        <v>0</v>
      </c>
      <c r="DW181" s="161">
        <f t="shared" si="226"/>
        <v>0</v>
      </c>
      <c r="DX181" s="161">
        <f t="shared" si="227"/>
        <v>0</v>
      </c>
      <c r="DY181" s="161">
        <f t="shared" si="228"/>
        <v>0</v>
      </c>
      <c r="DZ181" s="161">
        <f t="shared" si="229"/>
        <v>0</v>
      </c>
      <c r="EA181" s="161">
        <f t="shared" si="230"/>
        <v>0</v>
      </c>
      <c r="EB181" s="161">
        <f t="shared" si="231"/>
        <v>0</v>
      </c>
      <c r="EC181" s="161">
        <f t="shared" si="232"/>
        <v>0</v>
      </c>
      <c r="ED181" s="161">
        <f t="shared" si="233"/>
        <v>0</v>
      </c>
      <c r="EE181" s="161">
        <f t="shared" si="234"/>
        <v>0</v>
      </c>
      <c r="EF181" s="161">
        <f t="shared" si="235"/>
        <v>0</v>
      </c>
      <c r="EG181" s="161">
        <f t="shared" si="236"/>
        <v>0</v>
      </c>
      <c r="EH181" s="161">
        <f t="shared" si="237"/>
        <v>0</v>
      </c>
      <c r="EI181" s="161">
        <f t="shared" si="238"/>
        <v>0</v>
      </c>
      <c r="EJ181" s="161">
        <f t="shared" si="239"/>
        <v>0</v>
      </c>
      <c r="EK181" s="147">
        <f t="shared" si="171"/>
        <v>0</v>
      </c>
      <c r="EL181" s="149"/>
      <c r="EN181" s="146"/>
      <c r="EO181" s="146"/>
      <c r="EP181" s="139">
        <f t="shared" si="172"/>
        <v>0</v>
      </c>
      <c r="EQ181" s="139">
        <f t="shared" si="173"/>
        <v>0</v>
      </c>
      <c r="ER181" s="139">
        <f t="shared" si="174"/>
        <v>0</v>
      </c>
      <c r="ES181" s="139">
        <f t="shared" si="175"/>
        <v>0</v>
      </c>
      <c r="ET181" s="139">
        <f t="shared" si="176"/>
        <v>0</v>
      </c>
      <c r="EU181" s="139">
        <f t="shared" si="177"/>
        <v>0</v>
      </c>
      <c r="EV181" s="139">
        <f t="shared" si="178"/>
        <v>0</v>
      </c>
      <c r="EW181" s="139">
        <f t="shared" si="179"/>
        <v>0</v>
      </c>
      <c r="EX181" s="139">
        <f t="shared" si="180"/>
        <v>0</v>
      </c>
      <c r="EY181" s="139">
        <f t="shared" si="181"/>
        <v>0</v>
      </c>
      <c r="EZ181" s="139">
        <f t="shared" si="182"/>
        <v>0</v>
      </c>
      <c r="FA181" s="139">
        <f t="shared" si="183"/>
        <v>0</v>
      </c>
      <c r="FB181" s="139">
        <f t="shared" si="184"/>
        <v>0</v>
      </c>
      <c r="FC181" s="139">
        <f t="shared" si="185"/>
        <v>0</v>
      </c>
      <c r="FD181" s="139">
        <f t="shared" si="186"/>
        <v>0</v>
      </c>
      <c r="FE181" s="139">
        <f t="shared" si="187"/>
        <v>0</v>
      </c>
      <c r="FF181" s="139">
        <f t="shared" si="188"/>
        <v>0</v>
      </c>
      <c r="FG181" s="139">
        <f t="shared" si="189"/>
        <v>0</v>
      </c>
      <c r="FH181" s="139">
        <f t="shared" si="190"/>
        <v>0</v>
      </c>
      <c r="FI181" s="139">
        <f t="shared" si="191"/>
        <v>0</v>
      </c>
      <c r="FJ181" s="139">
        <f t="shared" si="192"/>
        <v>0</v>
      </c>
      <c r="FK181" s="139">
        <f t="shared" si="193"/>
        <v>0</v>
      </c>
      <c r="FL181" s="139">
        <f t="shared" si="194"/>
        <v>0</v>
      </c>
      <c r="FM181" s="139">
        <f t="shared" si="195"/>
        <v>0</v>
      </c>
      <c r="FN181" s="139">
        <f t="shared" si="196"/>
        <v>0</v>
      </c>
      <c r="FO181" s="139">
        <f t="shared" si="197"/>
        <v>0</v>
      </c>
      <c r="FP181" s="139">
        <f t="shared" si="198"/>
        <v>0</v>
      </c>
      <c r="FQ181" s="139">
        <f t="shared" si="199"/>
        <v>0</v>
      </c>
      <c r="FR181" s="139">
        <f t="shared" si="200"/>
        <v>0</v>
      </c>
      <c r="FS181" s="139">
        <f t="shared" si="201"/>
        <v>0</v>
      </c>
      <c r="FT181" s="139">
        <f t="shared" si="202"/>
        <v>0</v>
      </c>
      <c r="FU181" s="148">
        <f t="shared" si="203"/>
        <v>0</v>
      </c>
      <c r="FV181" s="149"/>
      <c r="FY181" s="210">
        <v>176</v>
      </c>
      <c r="FZ181">
        <v>0</v>
      </c>
      <c r="GA181">
        <v>4.4790917314077356</v>
      </c>
      <c r="GB181">
        <v>2.7164350798822126</v>
      </c>
      <c r="GC181">
        <v>7.1567242837762528</v>
      </c>
      <c r="GD181">
        <v>5.7885347559459408</v>
      </c>
      <c r="GE181">
        <v>1.5381466201962124</v>
      </c>
      <c r="GF181">
        <v>0.38032995424220212</v>
      </c>
      <c r="GG181">
        <v>0.81714677051852402</v>
      </c>
      <c r="GH181">
        <v>0.66238017508411107</v>
      </c>
      <c r="GI181">
        <v>5.2362111187308749</v>
      </c>
      <c r="GJ181"/>
      <c r="GK181"/>
      <c r="GL181"/>
      <c r="GM181"/>
    </row>
    <row r="182" spans="1:195" s="7" customFormat="1">
      <c r="A182" s="1"/>
      <c r="B182" s="76">
        <f ca="1">IF(C182="", "", RAND())</f>
        <v>0.24722593815050331</v>
      </c>
      <c r="C182">
        <v>10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7.1071428571428568</v>
      </c>
      <c r="AO182">
        <v>8.5662666871834201</v>
      </c>
      <c r="AP182">
        <v>28.582506297974756</v>
      </c>
      <c r="AQ182">
        <v>28.493524390507929</v>
      </c>
      <c r="AR182">
        <v>7.946444051190559</v>
      </c>
      <c r="AS182">
        <v>52.990005872016447</v>
      </c>
      <c r="AT182" t="e">
        <v>#DIV/0!</v>
      </c>
      <c r="AU182" t="e">
        <v>#DIV/0!</v>
      </c>
      <c r="AV182"/>
      <c r="AW182"/>
      <c r="AX182" s="146"/>
      <c r="AY182" s="76">
        <f t="shared" ca="1" si="169"/>
        <v>0.87184509316585945</v>
      </c>
      <c r="AZ182">
        <v>5</v>
      </c>
      <c r="BA182" s="129">
        <f t="shared" si="245"/>
        <v>39987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 s="147"/>
      <c r="CH182" s="176"/>
      <c r="CJ182" s="146"/>
      <c r="CK182" s="76">
        <f t="shared" ca="1" si="204"/>
        <v>0.96227672674976095</v>
      </c>
      <c r="CL182" s="179">
        <f t="shared" si="205"/>
        <v>5</v>
      </c>
      <c r="CM182" s="180">
        <f t="shared" si="206"/>
        <v>39987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 s="160"/>
      <c r="CW182">
        <v>1</v>
      </c>
      <c r="CX182">
        <f>350/60</f>
        <v>5.833333333333333</v>
      </c>
      <c r="CY182" s="160"/>
      <c r="CZ182" s="177">
        <f t="shared" si="207"/>
        <v>9.6000000000000002E-2</v>
      </c>
      <c r="DB182" s="146"/>
      <c r="DC182" s="76">
        <f t="shared" ca="1" si="170"/>
        <v>0.88881352356666898</v>
      </c>
      <c r="DD182">
        <f t="shared" si="208"/>
        <v>5</v>
      </c>
      <c r="DE182" s="129">
        <f t="shared" si="244"/>
        <v>39987</v>
      </c>
      <c r="DF182" s="161">
        <f t="shared" si="209"/>
        <v>0</v>
      </c>
      <c r="DG182" s="161">
        <f t="shared" si="210"/>
        <v>0</v>
      </c>
      <c r="DH182" s="161">
        <f t="shared" si="211"/>
        <v>0</v>
      </c>
      <c r="DI182" s="161">
        <f t="shared" si="212"/>
        <v>0</v>
      </c>
      <c r="DJ182" s="161">
        <f t="shared" si="213"/>
        <v>0</v>
      </c>
      <c r="DK182" s="161">
        <f t="shared" si="214"/>
        <v>0</v>
      </c>
      <c r="DL182" s="161">
        <f t="shared" si="215"/>
        <v>0</v>
      </c>
      <c r="DM182" s="161">
        <f t="shared" si="216"/>
        <v>0</v>
      </c>
      <c r="DN182" s="161">
        <f t="shared" si="217"/>
        <v>0</v>
      </c>
      <c r="DO182" s="161">
        <f t="shared" si="218"/>
        <v>0</v>
      </c>
      <c r="DP182" s="161">
        <f t="shared" si="219"/>
        <v>0</v>
      </c>
      <c r="DQ182" s="161">
        <f t="shared" si="220"/>
        <v>0</v>
      </c>
      <c r="DR182" s="161">
        <f t="shared" si="221"/>
        <v>0</v>
      </c>
      <c r="DS182" s="161">
        <f t="shared" si="222"/>
        <v>0</v>
      </c>
      <c r="DT182" s="161">
        <f t="shared" si="223"/>
        <v>0</v>
      </c>
      <c r="DU182" s="161">
        <f t="shared" si="224"/>
        <v>0</v>
      </c>
      <c r="DV182" s="161">
        <f t="shared" si="225"/>
        <v>0</v>
      </c>
      <c r="DW182" s="161">
        <f t="shared" si="226"/>
        <v>0</v>
      </c>
      <c r="DX182" s="161">
        <f t="shared" si="227"/>
        <v>0</v>
      </c>
      <c r="DY182" s="161">
        <f t="shared" si="228"/>
        <v>0</v>
      </c>
      <c r="DZ182" s="161">
        <f t="shared" si="229"/>
        <v>0</v>
      </c>
      <c r="EA182" s="161">
        <f t="shared" si="230"/>
        <v>0</v>
      </c>
      <c r="EB182" s="161">
        <f t="shared" si="231"/>
        <v>0</v>
      </c>
      <c r="EC182" s="161">
        <f t="shared" si="232"/>
        <v>0</v>
      </c>
      <c r="ED182" s="161">
        <f t="shared" si="233"/>
        <v>0</v>
      </c>
      <c r="EE182" s="161">
        <f t="shared" si="234"/>
        <v>0</v>
      </c>
      <c r="EF182" s="161">
        <f t="shared" si="235"/>
        <v>0</v>
      </c>
      <c r="EG182" s="161">
        <f t="shared" si="236"/>
        <v>0</v>
      </c>
      <c r="EH182" s="161">
        <f t="shared" si="237"/>
        <v>0</v>
      </c>
      <c r="EI182" s="161">
        <f t="shared" si="238"/>
        <v>0</v>
      </c>
      <c r="EJ182" s="161">
        <f t="shared" si="239"/>
        <v>0</v>
      </c>
      <c r="EK182" s="147">
        <f t="shared" si="171"/>
        <v>0</v>
      </c>
      <c r="EL182" s="149"/>
      <c r="EN182" s="146"/>
      <c r="EO182" s="146"/>
      <c r="EP182" s="139">
        <f t="shared" si="172"/>
        <v>0</v>
      </c>
      <c r="EQ182" s="139">
        <f t="shared" si="173"/>
        <v>0</v>
      </c>
      <c r="ER182" s="139">
        <f t="shared" si="174"/>
        <v>0</v>
      </c>
      <c r="ES182" s="139">
        <f t="shared" si="175"/>
        <v>0</v>
      </c>
      <c r="ET182" s="139">
        <f t="shared" si="176"/>
        <v>0</v>
      </c>
      <c r="EU182" s="139">
        <f t="shared" si="177"/>
        <v>0</v>
      </c>
      <c r="EV182" s="139">
        <f t="shared" si="178"/>
        <v>0</v>
      </c>
      <c r="EW182" s="139">
        <f t="shared" si="179"/>
        <v>0</v>
      </c>
      <c r="EX182" s="139">
        <f t="shared" si="180"/>
        <v>0</v>
      </c>
      <c r="EY182" s="139">
        <f t="shared" si="181"/>
        <v>0</v>
      </c>
      <c r="EZ182" s="139">
        <f t="shared" si="182"/>
        <v>0</v>
      </c>
      <c r="FA182" s="139">
        <f t="shared" si="183"/>
        <v>0</v>
      </c>
      <c r="FB182" s="139">
        <f t="shared" si="184"/>
        <v>0</v>
      </c>
      <c r="FC182" s="139">
        <f t="shared" si="185"/>
        <v>0</v>
      </c>
      <c r="FD182" s="139">
        <f t="shared" si="186"/>
        <v>0</v>
      </c>
      <c r="FE182" s="139">
        <f t="shared" si="187"/>
        <v>0</v>
      </c>
      <c r="FF182" s="139">
        <f t="shared" si="188"/>
        <v>0</v>
      </c>
      <c r="FG182" s="139">
        <f t="shared" si="189"/>
        <v>0</v>
      </c>
      <c r="FH182" s="139">
        <f t="shared" si="190"/>
        <v>0</v>
      </c>
      <c r="FI182" s="139">
        <f t="shared" si="191"/>
        <v>0</v>
      </c>
      <c r="FJ182" s="139">
        <f t="shared" si="192"/>
        <v>0</v>
      </c>
      <c r="FK182" s="139">
        <f t="shared" si="193"/>
        <v>0</v>
      </c>
      <c r="FL182" s="139">
        <f t="shared" si="194"/>
        <v>0</v>
      </c>
      <c r="FM182" s="139">
        <f t="shared" si="195"/>
        <v>0</v>
      </c>
      <c r="FN182" s="139">
        <f t="shared" si="196"/>
        <v>0</v>
      </c>
      <c r="FO182" s="139">
        <f t="shared" si="197"/>
        <v>0</v>
      </c>
      <c r="FP182" s="139">
        <f t="shared" si="198"/>
        <v>0</v>
      </c>
      <c r="FQ182" s="139">
        <f t="shared" si="199"/>
        <v>0</v>
      </c>
      <c r="FR182" s="139">
        <f t="shared" si="200"/>
        <v>0</v>
      </c>
      <c r="FS182" s="139">
        <f t="shared" si="201"/>
        <v>0</v>
      </c>
      <c r="FT182" s="139">
        <f t="shared" si="202"/>
        <v>0</v>
      </c>
      <c r="FU182" s="148">
        <f t="shared" si="203"/>
        <v>0</v>
      </c>
      <c r="FV182" s="149"/>
      <c r="FY182" s="210">
        <v>177</v>
      </c>
      <c r="FZ182">
        <v>9.9549254355594113E-2</v>
      </c>
      <c r="GA182">
        <v>6.8985275603035028</v>
      </c>
      <c r="GB182">
        <v>3.2289100463548088</v>
      </c>
      <c r="GC182">
        <v>4.1584369773247376</v>
      </c>
      <c r="GD182">
        <v>4.0135152143051487</v>
      </c>
      <c r="GE182">
        <v>1.9536641714366936</v>
      </c>
      <c r="GF182">
        <v>0.5704949313633032</v>
      </c>
      <c r="GG182">
        <v>1.9472233248153306</v>
      </c>
      <c r="GH182">
        <v>1.9871405252523333</v>
      </c>
      <c r="GI182">
        <v>4.2164692676032614</v>
      </c>
      <c r="GJ182"/>
      <c r="GK182"/>
      <c r="GL182"/>
      <c r="GM182"/>
    </row>
    <row r="183" spans="1:195" s="7" customFormat="1">
      <c r="A183" s="1"/>
      <c r="B183" s="76">
        <f ca="1">IF(C183="", "", RAND())</f>
        <v>7.8158893012485464E-2</v>
      </c>
      <c r="C183">
        <v>5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5.26686507936508</v>
      </c>
      <c r="AO183">
        <v>5.4735295780400204</v>
      </c>
      <c r="AP183">
        <v>19.398372449091301</v>
      </c>
      <c r="AQ183">
        <v>18.696157730421969</v>
      </c>
      <c r="AR183">
        <v>5.0774856939146753</v>
      </c>
      <c r="AS183">
        <v>27.071217037831996</v>
      </c>
      <c r="AT183" t="e">
        <v>#DIV/0!</v>
      </c>
      <c r="AU183" t="e">
        <v>#DIV/0!</v>
      </c>
      <c r="AV183"/>
      <c r="AW183"/>
      <c r="AX183" s="146"/>
      <c r="AY183" s="76">
        <f t="shared" ca="1" si="169"/>
        <v>0.60904437822888813</v>
      </c>
      <c r="AZ183">
        <v>6</v>
      </c>
      <c r="BA183" s="129">
        <f t="shared" si="245"/>
        <v>39987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 s="147"/>
      <c r="CH183" s="176"/>
      <c r="CJ183" s="146"/>
      <c r="CK183" s="76">
        <f t="shared" ca="1" si="204"/>
        <v>0.42223292030992288</v>
      </c>
      <c r="CL183" s="179">
        <f t="shared" si="205"/>
        <v>6</v>
      </c>
      <c r="CM183" s="180">
        <f t="shared" si="206"/>
        <v>39987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 s="160"/>
      <c r="CW183">
        <v>1</v>
      </c>
      <c r="CX183">
        <f>350/50</f>
        <v>7</v>
      </c>
      <c r="CY183" s="160"/>
      <c r="CZ183" s="177">
        <f t="shared" si="207"/>
        <v>9.6000000000000002E-2</v>
      </c>
      <c r="DB183" s="146"/>
      <c r="DC183" s="76">
        <f t="shared" ca="1" si="170"/>
        <v>0.31444858203290593</v>
      </c>
      <c r="DD183">
        <f t="shared" si="208"/>
        <v>6</v>
      </c>
      <c r="DE183" s="129">
        <f t="shared" si="244"/>
        <v>39987</v>
      </c>
      <c r="DF183" s="161">
        <f t="shared" si="209"/>
        <v>0</v>
      </c>
      <c r="DG183" s="161">
        <f t="shared" si="210"/>
        <v>0</v>
      </c>
      <c r="DH183" s="161">
        <f t="shared" si="211"/>
        <v>0</v>
      </c>
      <c r="DI183" s="161">
        <f t="shared" si="212"/>
        <v>0</v>
      </c>
      <c r="DJ183" s="161">
        <f t="shared" si="213"/>
        <v>0</v>
      </c>
      <c r="DK183" s="161">
        <f t="shared" si="214"/>
        <v>0</v>
      </c>
      <c r="DL183" s="161">
        <f t="shared" si="215"/>
        <v>0</v>
      </c>
      <c r="DM183" s="161">
        <f t="shared" si="216"/>
        <v>0</v>
      </c>
      <c r="DN183" s="161">
        <f t="shared" si="217"/>
        <v>0</v>
      </c>
      <c r="DO183" s="161">
        <f t="shared" si="218"/>
        <v>0</v>
      </c>
      <c r="DP183" s="161">
        <f t="shared" si="219"/>
        <v>0</v>
      </c>
      <c r="DQ183" s="161">
        <f t="shared" si="220"/>
        <v>0</v>
      </c>
      <c r="DR183" s="161">
        <f t="shared" si="221"/>
        <v>0</v>
      </c>
      <c r="DS183" s="161">
        <f t="shared" si="222"/>
        <v>0</v>
      </c>
      <c r="DT183" s="161">
        <f t="shared" si="223"/>
        <v>0</v>
      </c>
      <c r="DU183" s="161">
        <f t="shared" si="224"/>
        <v>0</v>
      </c>
      <c r="DV183" s="161">
        <f t="shared" si="225"/>
        <v>0</v>
      </c>
      <c r="DW183" s="161">
        <f t="shared" si="226"/>
        <v>0</v>
      </c>
      <c r="DX183" s="161">
        <f t="shared" si="227"/>
        <v>0</v>
      </c>
      <c r="DY183" s="161">
        <f t="shared" si="228"/>
        <v>0</v>
      </c>
      <c r="DZ183" s="161">
        <f t="shared" si="229"/>
        <v>0</v>
      </c>
      <c r="EA183" s="161">
        <f t="shared" si="230"/>
        <v>0</v>
      </c>
      <c r="EB183" s="161">
        <f t="shared" si="231"/>
        <v>0</v>
      </c>
      <c r="EC183" s="161">
        <f t="shared" si="232"/>
        <v>0</v>
      </c>
      <c r="ED183" s="161">
        <f t="shared" si="233"/>
        <v>0</v>
      </c>
      <c r="EE183" s="161">
        <f t="shared" si="234"/>
        <v>0</v>
      </c>
      <c r="EF183" s="161">
        <f t="shared" si="235"/>
        <v>0</v>
      </c>
      <c r="EG183" s="161">
        <f t="shared" si="236"/>
        <v>0</v>
      </c>
      <c r="EH183" s="161">
        <f t="shared" si="237"/>
        <v>0</v>
      </c>
      <c r="EI183" s="161">
        <f t="shared" si="238"/>
        <v>0</v>
      </c>
      <c r="EJ183" s="161">
        <f t="shared" si="239"/>
        <v>0</v>
      </c>
      <c r="EK183" s="147">
        <f t="shared" si="171"/>
        <v>0</v>
      </c>
      <c r="EL183" s="149"/>
      <c r="EN183" s="146"/>
      <c r="EO183" s="146"/>
      <c r="EP183" s="139">
        <f t="shared" si="172"/>
        <v>0</v>
      </c>
      <c r="EQ183" s="139">
        <f t="shared" si="173"/>
        <v>0</v>
      </c>
      <c r="ER183" s="139">
        <f t="shared" si="174"/>
        <v>0</v>
      </c>
      <c r="ES183" s="139">
        <f t="shared" si="175"/>
        <v>0</v>
      </c>
      <c r="ET183" s="139">
        <f t="shared" si="176"/>
        <v>0</v>
      </c>
      <c r="EU183" s="139">
        <f t="shared" si="177"/>
        <v>0</v>
      </c>
      <c r="EV183" s="139">
        <f t="shared" si="178"/>
        <v>0</v>
      </c>
      <c r="EW183" s="139">
        <f t="shared" si="179"/>
        <v>0</v>
      </c>
      <c r="EX183" s="139">
        <f t="shared" si="180"/>
        <v>0</v>
      </c>
      <c r="EY183" s="139">
        <f t="shared" si="181"/>
        <v>0</v>
      </c>
      <c r="EZ183" s="139">
        <f t="shared" si="182"/>
        <v>0</v>
      </c>
      <c r="FA183" s="139">
        <f t="shared" si="183"/>
        <v>0</v>
      </c>
      <c r="FB183" s="139">
        <f t="shared" si="184"/>
        <v>0</v>
      </c>
      <c r="FC183" s="139">
        <f t="shared" si="185"/>
        <v>0</v>
      </c>
      <c r="FD183" s="139">
        <f t="shared" si="186"/>
        <v>0</v>
      </c>
      <c r="FE183" s="139">
        <f t="shared" si="187"/>
        <v>0</v>
      </c>
      <c r="FF183" s="139">
        <f t="shared" si="188"/>
        <v>0</v>
      </c>
      <c r="FG183" s="139">
        <f t="shared" si="189"/>
        <v>0</v>
      </c>
      <c r="FH183" s="139">
        <f t="shared" si="190"/>
        <v>0</v>
      </c>
      <c r="FI183" s="139">
        <f t="shared" si="191"/>
        <v>0</v>
      </c>
      <c r="FJ183" s="139">
        <f t="shared" si="192"/>
        <v>0</v>
      </c>
      <c r="FK183" s="139">
        <f t="shared" si="193"/>
        <v>0</v>
      </c>
      <c r="FL183" s="139">
        <f t="shared" si="194"/>
        <v>0</v>
      </c>
      <c r="FM183" s="139">
        <f t="shared" si="195"/>
        <v>0</v>
      </c>
      <c r="FN183" s="139">
        <f t="shared" si="196"/>
        <v>0</v>
      </c>
      <c r="FO183" s="139">
        <f t="shared" si="197"/>
        <v>0</v>
      </c>
      <c r="FP183" s="139">
        <f t="shared" si="198"/>
        <v>0</v>
      </c>
      <c r="FQ183" s="139">
        <f t="shared" si="199"/>
        <v>0</v>
      </c>
      <c r="FR183" s="139">
        <f t="shared" si="200"/>
        <v>0</v>
      </c>
      <c r="FS183" s="139">
        <f t="shared" si="201"/>
        <v>0</v>
      </c>
      <c r="FT183" s="139">
        <f t="shared" si="202"/>
        <v>0</v>
      </c>
      <c r="FU183" s="148">
        <f t="shared" si="203"/>
        <v>0</v>
      </c>
      <c r="FV183" s="149"/>
      <c r="FY183" s="210">
        <v>178</v>
      </c>
      <c r="FZ183">
        <v>0.31204805757459919</v>
      </c>
      <c r="GA183">
        <v>1.3416343133558895</v>
      </c>
      <c r="GB183">
        <v>1.6165823252019571</v>
      </c>
      <c r="GC183">
        <v>7.4379012206105095</v>
      </c>
      <c r="GD183">
        <v>6.1092811907582973</v>
      </c>
      <c r="GE183">
        <v>2.6056990447864585</v>
      </c>
      <c r="GF183">
        <v>1.0712213032574254</v>
      </c>
      <c r="GG183">
        <v>1.1300765542968063</v>
      </c>
      <c r="GH183">
        <v>1.3247603501682221</v>
      </c>
      <c r="GI183">
        <v>5.2665924767751324</v>
      </c>
      <c r="GJ183"/>
      <c r="GK183"/>
      <c r="GL183"/>
      <c r="GM183"/>
    </row>
    <row r="184" spans="1:195" s="7" customFormat="1">
      <c r="A184" s="1"/>
      <c r="B184" s="76">
        <f ca="1">IF(C184="", "", RAND())</f>
        <v>0.27687411303353127</v>
      </c>
      <c r="C184">
        <v>6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6.6181318681318668</v>
      </c>
      <c r="AO184">
        <v>4.3768146045886089</v>
      </c>
      <c r="AP184">
        <v>27.394587416328733</v>
      </c>
      <c r="AQ184">
        <v>22.069910137724754</v>
      </c>
      <c r="AR184">
        <v>4.0601248651100281</v>
      </c>
      <c r="AS184">
        <v>17.246189961693151</v>
      </c>
      <c r="AT184" t="e">
        <v>#DIV/0!</v>
      </c>
      <c r="AU184" t="e">
        <v>#DIV/0!</v>
      </c>
      <c r="AV184"/>
      <c r="AW184"/>
      <c r="AX184" s="146"/>
      <c r="AY184" s="76">
        <f t="shared" ca="1" si="169"/>
        <v>0.12756327938138234</v>
      </c>
      <c r="AZ184">
        <v>7</v>
      </c>
      <c r="BA184" s="129">
        <f t="shared" si="245"/>
        <v>39987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 s="147"/>
      <c r="CH184" s="176"/>
      <c r="CJ184" s="146"/>
      <c r="CK184" s="76">
        <f t="shared" ca="1" si="204"/>
        <v>0.54302611901787023</v>
      </c>
      <c r="CL184" s="179">
        <f t="shared" si="205"/>
        <v>7</v>
      </c>
      <c r="CM184" s="180">
        <f t="shared" si="206"/>
        <v>39987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 s="160"/>
      <c r="CW184">
        <v>1</v>
      </c>
      <c r="CX184">
        <f>350/51</f>
        <v>6.8627450980392153</v>
      </c>
      <c r="CY184" s="165"/>
      <c r="CZ184" s="177">
        <f t="shared" si="207"/>
        <v>9.6000000000000002E-2</v>
      </c>
      <c r="DB184" s="146"/>
      <c r="DC184" s="76">
        <f t="shared" ca="1" si="170"/>
        <v>0.6333817596347826</v>
      </c>
      <c r="DD184">
        <f t="shared" si="208"/>
        <v>7</v>
      </c>
      <c r="DE184" s="129">
        <f t="shared" si="244"/>
        <v>39987</v>
      </c>
      <c r="DF184" s="161">
        <f t="shared" si="209"/>
        <v>0</v>
      </c>
      <c r="DG184" s="161">
        <f t="shared" si="210"/>
        <v>0</v>
      </c>
      <c r="DH184" s="161">
        <f t="shared" si="211"/>
        <v>0</v>
      </c>
      <c r="DI184" s="161">
        <f t="shared" si="212"/>
        <v>0</v>
      </c>
      <c r="DJ184" s="161">
        <f t="shared" si="213"/>
        <v>0</v>
      </c>
      <c r="DK184" s="161">
        <f t="shared" si="214"/>
        <v>0</v>
      </c>
      <c r="DL184" s="161">
        <f t="shared" si="215"/>
        <v>0</v>
      </c>
      <c r="DM184" s="161">
        <f t="shared" si="216"/>
        <v>0</v>
      </c>
      <c r="DN184" s="161">
        <f t="shared" si="217"/>
        <v>0</v>
      </c>
      <c r="DO184" s="161">
        <f t="shared" si="218"/>
        <v>0</v>
      </c>
      <c r="DP184" s="161">
        <f t="shared" si="219"/>
        <v>0</v>
      </c>
      <c r="DQ184" s="161">
        <f t="shared" si="220"/>
        <v>0</v>
      </c>
      <c r="DR184" s="161">
        <f t="shared" si="221"/>
        <v>0</v>
      </c>
      <c r="DS184" s="161">
        <f t="shared" si="222"/>
        <v>0</v>
      </c>
      <c r="DT184" s="161">
        <f t="shared" si="223"/>
        <v>0</v>
      </c>
      <c r="DU184" s="161">
        <f t="shared" si="224"/>
        <v>0</v>
      </c>
      <c r="DV184" s="161">
        <f t="shared" si="225"/>
        <v>0</v>
      </c>
      <c r="DW184" s="161">
        <f t="shared" si="226"/>
        <v>0</v>
      </c>
      <c r="DX184" s="161">
        <f t="shared" si="227"/>
        <v>0</v>
      </c>
      <c r="DY184" s="161">
        <f t="shared" si="228"/>
        <v>0</v>
      </c>
      <c r="DZ184" s="161">
        <f t="shared" si="229"/>
        <v>0</v>
      </c>
      <c r="EA184" s="161">
        <f t="shared" si="230"/>
        <v>0</v>
      </c>
      <c r="EB184" s="161">
        <f t="shared" si="231"/>
        <v>0</v>
      </c>
      <c r="EC184" s="161">
        <f t="shared" si="232"/>
        <v>0</v>
      </c>
      <c r="ED184" s="161">
        <f t="shared" si="233"/>
        <v>0</v>
      </c>
      <c r="EE184" s="161">
        <f t="shared" si="234"/>
        <v>0</v>
      </c>
      <c r="EF184" s="161">
        <f t="shared" si="235"/>
        <v>0</v>
      </c>
      <c r="EG184" s="161">
        <f t="shared" si="236"/>
        <v>0</v>
      </c>
      <c r="EH184" s="161">
        <f t="shared" si="237"/>
        <v>0</v>
      </c>
      <c r="EI184" s="161">
        <f t="shared" si="238"/>
        <v>0</v>
      </c>
      <c r="EJ184" s="161">
        <f t="shared" si="239"/>
        <v>0</v>
      </c>
      <c r="EK184" s="147">
        <f t="shared" ref="EK184:EK207" si="246">IF(DF184="", "", SUM(DF184:EJ184))</f>
        <v>0</v>
      </c>
      <c r="EL184" s="149"/>
      <c r="EN184" s="146"/>
      <c r="EO184" s="146"/>
      <c r="EP184" s="139">
        <f t="shared" ref="EP184:EP207" si="247">IF(DF184="", "", DF184*G$36)</f>
        <v>0</v>
      </c>
      <c r="EQ184" s="139">
        <f t="shared" ref="EQ184:EQ207" si="248">IF(DG184="", "", DG184*H$36)</f>
        <v>0</v>
      </c>
      <c r="ER184" s="139">
        <f t="shared" ref="ER184:ER207" si="249">IF(DH184="", "", DH184*I$36)</f>
        <v>0</v>
      </c>
      <c r="ES184" s="139">
        <f t="shared" ref="ES184:ES207" si="250">IF(DI184="", "", DI184*J$36)</f>
        <v>0</v>
      </c>
      <c r="ET184" s="139">
        <f t="shared" ref="ET184:ET207" si="251">IF(DJ184="", "", DJ184*K$36)</f>
        <v>0</v>
      </c>
      <c r="EU184" s="139">
        <f t="shared" ref="EU184:EU207" si="252">IF(DK184="", "", DK184*L$36)</f>
        <v>0</v>
      </c>
      <c r="EV184" s="139">
        <f t="shared" ref="EV184:EV207" si="253">IF(DL184="", "", DL184*M$36)</f>
        <v>0</v>
      </c>
      <c r="EW184" s="139">
        <f t="shared" ref="EW184:EW207" si="254">IF(DM184="", "", DM184*N$36)</f>
        <v>0</v>
      </c>
      <c r="EX184" s="139">
        <f t="shared" ref="EX184:EX207" si="255">IF(DN184="", "", DN184*O$36)</f>
        <v>0</v>
      </c>
      <c r="EY184" s="139">
        <f t="shared" ref="EY184:EY207" si="256">IF(DO184="", "", DO184*P$36)</f>
        <v>0</v>
      </c>
      <c r="EZ184" s="139">
        <f t="shared" ref="EZ184:EZ207" si="257">IF(DP184="", "", DP184*Q$36)</f>
        <v>0</v>
      </c>
      <c r="FA184" s="139">
        <f t="shared" ref="FA184:FA207" si="258">IF(DQ184="", "", DQ184*R$36)</f>
        <v>0</v>
      </c>
      <c r="FB184" s="139">
        <f t="shared" ref="FB184:FB207" si="259">IF(DR184="", "", DR184*S$36)</f>
        <v>0</v>
      </c>
      <c r="FC184" s="139">
        <f t="shared" ref="FC184:FC207" si="260">IF(DS184="", "", DS184*T$36)</f>
        <v>0</v>
      </c>
      <c r="FD184" s="139">
        <f t="shared" ref="FD184:FD207" si="261">IF(DT184="", "", DT184*U$36)</f>
        <v>0</v>
      </c>
      <c r="FE184" s="139">
        <f t="shared" ref="FE184:FE207" si="262">IF(DU184="", "", DU184*V$36)</f>
        <v>0</v>
      </c>
      <c r="FF184" s="139">
        <f t="shared" ref="FF184:FF207" si="263">IF(DV184="", "", DV184*W$36)</f>
        <v>0</v>
      </c>
      <c r="FG184" s="139">
        <f t="shared" ref="FG184:FG207" si="264">IF(DW184="", "", DW184*X$36)</f>
        <v>0</v>
      </c>
      <c r="FH184" s="139">
        <f t="shared" ref="FH184:FH207" si="265">IF(DX184="", "", DX184*Y$36)</f>
        <v>0</v>
      </c>
      <c r="FI184" s="139">
        <f t="shared" ref="FI184:FI207" si="266">IF(DY184="", "", DY184*Z$36)</f>
        <v>0</v>
      </c>
      <c r="FJ184" s="139">
        <f t="shared" ref="FJ184:FJ207" si="267">IF(DZ184="", "", DZ184*AA$36)</f>
        <v>0</v>
      </c>
      <c r="FK184" s="139">
        <f t="shared" ref="FK184:FK207" si="268">IF(EA184="", "", EA184*AB$36)</f>
        <v>0</v>
      </c>
      <c r="FL184" s="139">
        <f t="shared" ref="FL184:FL207" si="269">IF(EB184="", "", EB184*AC$36)</f>
        <v>0</v>
      </c>
      <c r="FM184" s="139">
        <f t="shared" ref="FM184:FM207" si="270">IF(EC184="", "", EC184*AD$36)</f>
        <v>0</v>
      </c>
      <c r="FN184" s="139">
        <f t="shared" ref="FN184:FN207" si="271">IF(ED184="", "", ED184*AE$36)</f>
        <v>0</v>
      </c>
      <c r="FO184" s="139">
        <f t="shared" ref="FO184:FO207" si="272">IF(EE184="", "", EE184*AF$36)</f>
        <v>0</v>
      </c>
      <c r="FP184" s="139">
        <f t="shared" ref="FP184:FP207" si="273">IF(EF184="", "", EF184*AG$36)</f>
        <v>0</v>
      </c>
      <c r="FQ184" s="139">
        <f t="shared" ref="FQ184:FQ207" si="274">IF(EG184="", "", EG184*AH$36)</f>
        <v>0</v>
      </c>
      <c r="FR184" s="139">
        <f t="shared" ref="FR184:FR207" si="275">IF(EH184="", "", EH184*AI$36)</f>
        <v>0</v>
      </c>
      <c r="FS184" s="139">
        <f t="shared" ref="FS184:FS207" si="276">IF(EI184="", "", EI184*AJ$36)</f>
        <v>0</v>
      </c>
      <c r="FT184" s="139">
        <f t="shared" ref="FT184:FT207" si="277">IF(EJ184="", "", EJ184*AK$36)</f>
        <v>0</v>
      </c>
      <c r="FU184" s="148">
        <f t="shared" ref="FU184:FU207" si="278">IF(EP184="","",SUM(EP184:FT184))</f>
        <v>0</v>
      </c>
      <c r="FV184" s="149"/>
      <c r="FY184" s="210">
        <v>179</v>
      </c>
      <c r="FZ184">
        <v>6.6366169570396066E-2</v>
      </c>
      <c r="GA184">
        <v>2.8621098633718836</v>
      </c>
      <c r="GB184">
        <v>1.3273361139641193</v>
      </c>
      <c r="GC184">
        <v>5.5837447682370929</v>
      </c>
      <c r="GD184">
        <v>4.6061924565548944</v>
      </c>
      <c r="GE184">
        <v>1.0131231076971783</v>
      </c>
      <c r="GF184">
        <v>0</v>
      </c>
      <c r="GG184">
        <v>1.9240084507667847</v>
      </c>
      <c r="GH184">
        <v>2.6495207003364443</v>
      </c>
      <c r="GI184">
        <v>4.1360165610179029</v>
      </c>
      <c r="GJ184"/>
      <c r="GK184"/>
      <c r="GL184"/>
      <c r="GM184"/>
    </row>
    <row r="185" spans="1:195" s="7" customFormat="1">
      <c r="A185" s="1"/>
      <c r="B185" s="76">
        <f ca="1">IF(C185="", "", RAND())</f>
        <v>0.51572030507746458</v>
      </c>
      <c r="C185">
        <v>8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8.7860004578754562</v>
      </c>
      <c r="AO185">
        <v>7.5037017418356271</v>
      </c>
      <c r="AP185">
        <v>35.346968329717839</v>
      </c>
      <c r="AQ185">
        <v>30.777468318630962</v>
      </c>
      <c r="AR185">
        <v>6.9078970641205109</v>
      </c>
      <c r="AS185">
        <v>31.868020241398661</v>
      </c>
      <c r="AT185" t="e">
        <v>#DIV/0!</v>
      </c>
      <c r="AU185" t="e">
        <v>#DIV/0!</v>
      </c>
      <c r="AV185"/>
      <c r="AW185"/>
      <c r="AX185" s="146"/>
      <c r="AY185" s="76">
        <f t="shared" ca="1" si="169"/>
        <v>0.31952292252869618</v>
      </c>
      <c r="AZ185">
        <v>8</v>
      </c>
      <c r="BA185" s="129">
        <f t="shared" si="245"/>
        <v>39987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 s="147"/>
      <c r="CH185" s="176"/>
      <c r="CJ185" s="146"/>
      <c r="CK185" s="76">
        <f t="shared" ca="1" si="204"/>
        <v>0.21414625076693294</v>
      </c>
      <c r="CL185" s="179">
        <f t="shared" si="205"/>
        <v>8</v>
      </c>
      <c r="CM185" s="180">
        <f t="shared" si="206"/>
        <v>39987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 s="160"/>
      <c r="CW185">
        <v>1</v>
      </c>
      <c r="CX185">
        <f>350/65</f>
        <v>5.384615384615385</v>
      </c>
      <c r="CY185" s="165"/>
      <c r="CZ185" s="177">
        <f t="shared" si="207"/>
        <v>9.6000000000000002E-2</v>
      </c>
      <c r="DB185" s="146"/>
      <c r="DC185" s="76">
        <f t="shared" ca="1" si="170"/>
        <v>0.50866153833132355</v>
      </c>
      <c r="DD185">
        <f t="shared" si="208"/>
        <v>8</v>
      </c>
      <c r="DE185" s="129">
        <f t="shared" si="244"/>
        <v>39987</v>
      </c>
      <c r="DF185" s="161">
        <f t="shared" si="209"/>
        <v>0</v>
      </c>
      <c r="DG185" s="161">
        <f t="shared" si="210"/>
        <v>0</v>
      </c>
      <c r="DH185" s="161">
        <f t="shared" si="211"/>
        <v>0</v>
      </c>
      <c r="DI185" s="161">
        <f t="shared" si="212"/>
        <v>0</v>
      </c>
      <c r="DJ185" s="161">
        <f t="shared" si="213"/>
        <v>0</v>
      </c>
      <c r="DK185" s="161">
        <f t="shared" si="214"/>
        <v>0</v>
      </c>
      <c r="DL185" s="161">
        <f t="shared" si="215"/>
        <v>0</v>
      </c>
      <c r="DM185" s="161">
        <f t="shared" si="216"/>
        <v>0</v>
      </c>
      <c r="DN185" s="161">
        <f t="shared" si="217"/>
        <v>0</v>
      </c>
      <c r="DO185" s="161">
        <f t="shared" si="218"/>
        <v>0</v>
      </c>
      <c r="DP185" s="161">
        <f t="shared" si="219"/>
        <v>0</v>
      </c>
      <c r="DQ185" s="161">
        <f t="shared" si="220"/>
        <v>0</v>
      </c>
      <c r="DR185" s="161">
        <f t="shared" si="221"/>
        <v>0</v>
      </c>
      <c r="DS185" s="161">
        <f t="shared" si="222"/>
        <v>0</v>
      </c>
      <c r="DT185" s="161">
        <f t="shared" si="223"/>
        <v>0</v>
      </c>
      <c r="DU185" s="161">
        <f t="shared" si="224"/>
        <v>0</v>
      </c>
      <c r="DV185" s="161">
        <f t="shared" si="225"/>
        <v>0</v>
      </c>
      <c r="DW185" s="161">
        <f t="shared" si="226"/>
        <v>0</v>
      </c>
      <c r="DX185" s="161">
        <f t="shared" si="227"/>
        <v>0</v>
      </c>
      <c r="DY185" s="161">
        <f t="shared" si="228"/>
        <v>0</v>
      </c>
      <c r="DZ185" s="161">
        <f t="shared" si="229"/>
        <v>0</v>
      </c>
      <c r="EA185" s="161">
        <f t="shared" si="230"/>
        <v>0</v>
      </c>
      <c r="EB185" s="161">
        <f t="shared" si="231"/>
        <v>0</v>
      </c>
      <c r="EC185" s="161">
        <f t="shared" si="232"/>
        <v>0</v>
      </c>
      <c r="ED185" s="161">
        <f t="shared" si="233"/>
        <v>0</v>
      </c>
      <c r="EE185" s="161">
        <f t="shared" si="234"/>
        <v>0</v>
      </c>
      <c r="EF185" s="161">
        <f t="shared" si="235"/>
        <v>0</v>
      </c>
      <c r="EG185" s="161">
        <f t="shared" si="236"/>
        <v>0</v>
      </c>
      <c r="EH185" s="161">
        <f t="shared" si="237"/>
        <v>0</v>
      </c>
      <c r="EI185" s="161">
        <f t="shared" si="238"/>
        <v>0</v>
      </c>
      <c r="EJ185" s="161">
        <f t="shared" si="239"/>
        <v>0</v>
      </c>
      <c r="EK185" s="147">
        <f t="shared" si="246"/>
        <v>0</v>
      </c>
      <c r="EL185" s="149"/>
      <c r="EN185" s="146"/>
      <c r="EO185" s="146"/>
      <c r="EP185" s="139">
        <f t="shared" si="247"/>
        <v>0</v>
      </c>
      <c r="EQ185" s="139">
        <f t="shared" si="248"/>
        <v>0</v>
      </c>
      <c r="ER185" s="139">
        <f t="shared" si="249"/>
        <v>0</v>
      </c>
      <c r="ES185" s="139">
        <f t="shared" si="250"/>
        <v>0</v>
      </c>
      <c r="ET185" s="139">
        <f t="shared" si="251"/>
        <v>0</v>
      </c>
      <c r="EU185" s="139">
        <f t="shared" si="252"/>
        <v>0</v>
      </c>
      <c r="EV185" s="139">
        <f t="shared" si="253"/>
        <v>0</v>
      </c>
      <c r="EW185" s="139">
        <f t="shared" si="254"/>
        <v>0</v>
      </c>
      <c r="EX185" s="139">
        <f t="shared" si="255"/>
        <v>0</v>
      </c>
      <c r="EY185" s="139">
        <f t="shared" si="256"/>
        <v>0</v>
      </c>
      <c r="EZ185" s="139">
        <f t="shared" si="257"/>
        <v>0</v>
      </c>
      <c r="FA185" s="139">
        <f t="shared" si="258"/>
        <v>0</v>
      </c>
      <c r="FB185" s="139">
        <f t="shared" si="259"/>
        <v>0</v>
      </c>
      <c r="FC185" s="139">
        <f t="shared" si="260"/>
        <v>0</v>
      </c>
      <c r="FD185" s="139">
        <f t="shared" si="261"/>
        <v>0</v>
      </c>
      <c r="FE185" s="139">
        <f t="shared" si="262"/>
        <v>0</v>
      </c>
      <c r="FF185" s="139">
        <f t="shared" si="263"/>
        <v>0</v>
      </c>
      <c r="FG185" s="139">
        <f t="shared" si="264"/>
        <v>0</v>
      </c>
      <c r="FH185" s="139">
        <f t="shared" si="265"/>
        <v>0</v>
      </c>
      <c r="FI185" s="139">
        <f t="shared" si="266"/>
        <v>0</v>
      </c>
      <c r="FJ185" s="139">
        <f t="shared" si="267"/>
        <v>0</v>
      </c>
      <c r="FK185" s="139">
        <f t="shared" si="268"/>
        <v>0</v>
      </c>
      <c r="FL185" s="139">
        <f t="shared" si="269"/>
        <v>0</v>
      </c>
      <c r="FM185" s="139">
        <f t="shared" si="270"/>
        <v>0</v>
      </c>
      <c r="FN185" s="139">
        <f t="shared" si="271"/>
        <v>0</v>
      </c>
      <c r="FO185" s="139">
        <f t="shared" si="272"/>
        <v>0</v>
      </c>
      <c r="FP185" s="139">
        <f t="shared" si="273"/>
        <v>0</v>
      </c>
      <c r="FQ185" s="139">
        <f t="shared" si="274"/>
        <v>0</v>
      </c>
      <c r="FR185" s="139">
        <f t="shared" si="275"/>
        <v>0</v>
      </c>
      <c r="FS185" s="139">
        <f t="shared" si="276"/>
        <v>0</v>
      </c>
      <c r="FT185" s="139">
        <f t="shared" si="277"/>
        <v>0</v>
      </c>
      <c r="FU185" s="148">
        <f t="shared" si="278"/>
        <v>0</v>
      </c>
      <c r="FV185" s="149"/>
      <c r="FY185" s="210">
        <v>180</v>
      </c>
      <c r="FZ185">
        <v>3.3183084785198033E-2</v>
      </c>
      <c r="GA185">
        <v>4.0364176969316183</v>
      </c>
      <c r="GB185">
        <v>2.4736382761154245</v>
      </c>
      <c r="GC185">
        <v>3.2677154871907952</v>
      </c>
      <c r="GD185">
        <v>3.1097879531327259</v>
      </c>
      <c r="GE185">
        <v>1.8516603081093841</v>
      </c>
      <c r="GF185">
        <v>0.19016497712110106</v>
      </c>
      <c r="GG185">
        <v>1.1300765542968063</v>
      </c>
      <c r="GH185">
        <v>1.3247603501682221</v>
      </c>
      <c r="GI185">
        <v>3.1706054633120266</v>
      </c>
      <c r="GJ185"/>
      <c r="GK185"/>
      <c r="GL185"/>
      <c r="GM185"/>
    </row>
    <row r="186" spans="1:195" s="7" customFormat="1">
      <c r="A186" s="1"/>
      <c r="B186" s="76">
        <f ca="1">IF(C186="", "", RAND())</f>
        <v>0.1297741005637878</v>
      </c>
      <c r="C186">
        <v>3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8.1748893467643455</v>
      </c>
      <c r="AO186">
        <v>7.7357640132567855</v>
      </c>
      <c r="AP186">
        <v>31.702388662481585</v>
      </c>
      <c r="AQ186">
        <v>28.518046244983061</v>
      </c>
      <c r="AR186">
        <v>7.1231681878878179</v>
      </c>
      <c r="AS186">
        <v>33.89084317054084</v>
      </c>
      <c r="AT186" t="e">
        <v>#DIV/0!</v>
      </c>
      <c r="AU186" t="e">
        <v>#DIV/0!</v>
      </c>
      <c r="AV186"/>
      <c r="AW186"/>
      <c r="AX186" s="146"/>
      <c r="AY186" s="76">
        <f t="shared" ca="1" si="169"/>
        <v>0.66118528478299732</v>
      </c>
      <c r="AZ186">
        <v>9</v>
      </c>
      <c r="BA186" s="129">
        <f t="shared" si="245"/>
        <v>39987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 s="147"/>
      <c r="CH186" s="176"/>
      <c r="CJ186" s="146"/>
      <c r="CK186" s="76">
        <f t="shared" ca="1" si="204"/>
        <v>0.77743998797082181</v>
      </c>
      <c r="CL186" s="179">
        <f t="shared" si="205"/>
        <v>9</v>
      </c>
      <c r="CM186" s="180">
        <f t="shared" si="206"/>
        <v>39987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 s="160"/>
      <c r="CW186">
        <v>1</v>
      </c>
      <c r="CX186">
        <f>350/52</f>
        <v>6.7307692307692308</v>
      </c>
      <c r="CY186" s="165"/>
      <c r="CZ186" s="177">
        <f t="shared" si="207"/>
        <v>9.6000000000000002E-2</v>
      </c>
      <c r="DB186" s="146"/>
      <c r="DC186" s="76">
        <f t="shared" ca="1" si="170"/>
        <v>0.67662313207237101</v>
      </c>
      <c r="DD186">
        <f t="shared" si="208"/>
        <v>9</v>
      </c>
      <c r="DE186" s="129">
        <f t="shared" si="244"/>
        <v>39987</v>
      </c>
      <c r="DF186" s="161">
        <f t="shared" si="209"/>
        <v>0</v>
      </c>
      <c r="DG186" s="161">
        <f t="shared" si="210"/>
        <v>0</v>
      </c>
      <c r="DH186" s="161">
        <f t="shared" si="211"/>
        <v>0</v>
      </c>
      <c r="DI186" s="161">
        <f t="shared" si="212"/>
        <v>0</v>
      </c>
      <c r="DJ186" s="161">
        <f t="shared" si="213"/>
        <v>0</v>
      </c>
      <c r="DK186" s="161">
        <f t="shared" si="214"/>
        <v>0</v>
      </c>
      <c r="DL186" s="161">
        <f t="shared" si="215"/>
        <v>0</v>
      </c>
      <c r="DM186" s="161">
        <f t="shared" si="216"/>
        <v>0</v>
      </c>
      <c r="DN186" s="161">
        <f t="shared" si="217"/>
        <v>0</v>
      </c>
      <c r="DO186" s="161">
        <f t="shared" si="218"/>
        <v>0</v>
      </c>
      <c r="DP186" s="161">
        <f t="shared" si="219"/>
        <v>0</v>
      </c>
      <c r="DQ186" s="161">
        <f t="shared" si="220"/>
        <v>0</v>
      </c>
      <c r="DR186" s="161">
        <f t="shared" si="221"/>
        <v>0</v>
      </c>
      <c r="DS186" s="161">
        <f t="shared" si="222"/>
        <v>0</v>
      </c>
      <c r="DT186" s="161">
        <f t="shared" si="223"/>
        <v>0</v>
      </c>
      <c r="DU186" s="161">
        <f t="shared" si="224"/>
        <v>0</v>
      </c>
      <c r="DV186" s="161">
        <f t="shared" si="225"/>
        <v>0</v>
      </c>
      <c r="DW186" s="161">
        <f t="shared" si="226"/>
        <v>0</v>
      </c>
      <c r="DX186" s="161">
        <f t="shared" si="227"/>
        <v>0</v>
      </c>
      <c r="DY186" s="161">
        <f t="shared" si="228"/>
        <v>0</v>
      </c>
      <c r="DZ186" s="161">
        <f t="shared" si="229"/>
        <v>0</v>
      </c>
      <c r="EA186" s="161">
        <f t="shared" si="230"/>
        <v>0</v>
      </c>
      <c r="EB186" s="161">
        <f t="shared" si="231"/>
        <v>0</v>
      </c>
      <c r="EC186" s="161">
        <f t="shared" si="232"/>
        <v>0</v>
      </c>
      <c r="ED186" s="161">
        <f t="shared" si="233"/>
        <v>0</v>
      </c>
      <c r="EE186" s="161">
        <f t="shared" si="234"/>
        <v>0</v>
      </c>
      <c r="EF186" s="161">
        <f t="shared" si="235"/>
        <v>0</v>
      </c>
      <c r="EG186" s="161">
        <f t="shared" si="236"/>
        <v>0</v>
      </c>
      <c r="EH186" s="161">
        <f t="shared" si="237"/>
        <v>0</v>
      </c>
      <c r="EI186" s="161">
        <f t="shared" si="238"/>
        <v>0</v>
      </c>
      <c r="EJ186" s="161">
        <f t="shared" si="239"/>
        <v>0</v>
      </c>
      <c r="EK186" s="147">
        <f t="shared" si="246"/>
        <v>0</v>
      </c>
      <c r="EL186" s="149"/>
      <c r="EN186" s="146"/>
      <c r="EO186" s="146"/>
      <c r="EP186" s="139">
        <f t="shared" si="247"/>
        <v>0</v>
      </c>
      <c r="EQ186" s="139">
        <f t="shared" si="248"/>
        <v>0</v>
      </c>
      <c r="ER186" s="139">
        <f t="shared" si="249"/>
        <v>0</v>
      </c>
      <c r="ES186" s="139">
        <f t="shared" si="250"/>
        <v>0</v>
      </c>
      <c r="ET186" s="139">
        <f t="shared" si="251"/>
        <v>0</v>
      </c>
      <c r="EU186" s="139">
        <f t="shared" si="252"/>
        <v>0</v>
      </c>
      <c r="EV186" s="139">
        <f t="shared" si="253"/>
        <v>0</v>
      </c>
      <c r="EW186" s="139">
        <f t="shared" si="254"/>
        <v>0</v>
      </c>
      <c r="EX186" s="139">
        <f t="shared" si="255"/>
        <v>0</v>
      </c>
      <c r="EY186" s="139">
        <f t="shared" si="256"/>
        <v>0</v>
      </c>
      <c r="EZ186" s="139">
        <f t="shared" si="257"/>
        <v>0</v>
      </c>
      <c r="FA186" s="139">
        <f t="shared" si="258"/>
        <v>0</v>
      </c>
      <c r="FB186" s="139">
        <f t="shared" si="259"/>
        <v>0</v>
      </c>
      <c r="FC186" s="139">
        <f t="shared" si="260"/>
        <v>0</v>
      </c>
      <c r="FD186" s="139">
        <f t="shared" si="261"/>
        <v>0</v>
      </c>
      <c r="FE186" s="139">
        <f t="shared" si="262"/>
        <v>0</v>
      </c>
      <c r="FF186" s="139">
        <f t="shared" si="263"/>
        <v>0</v>
      </c>
      <c r="FG186" s="139">
        <f t="shared" si="264"/>
        <v>0</v>
      </c>
      <c r="FH186" s="139">
        <f t="shared" si="265"/>
        <v>0</v>
      </c>
      <c r="FI186" s="139">
        <f t="shared" si="266"/>
        <v>0</v>
      </c>
      <c r="FJ186" s="139">
        <f t="shared" si="267"/>
        <v>0</v>
      </c>
      <c r="FK186" s="139">
        <f t="shared" si="268"/>
        <v>0</v>
      </c>
      <c r="FL186" s="139">
        <f t="shared" si="269"/>
        <v>0</v>
      </c>
      <c r="FM186" s="139">
        <f t="shared" si="270"/>
        <v>0</v>
      </c>
      <c r="FN186" s="139">
        <f t="shared" si="271"/>
        <v>0</v>
      </c>
      <c r="FO186" s="139">
        <f t="shared" si="272"/>
        <v>0</v>
      </c>
      <c r="FP186" s="139">
        <f t="shared" si="273"/>
        <v>0</v>
      </c>
      <c r="FQ186" s="139">
        <f t="shared" si="274"/>
        <v>0</v>
      </c>
      <c r="FR186" s="139">
        <f t="shared" si="275"/>
        <v>0</v>
      </c>
      <c r="FS186" s="139">
        <f t="shared" si="276"/>
        <v>0</v>
      </c>
      <c r="FT186" s="139">
        <f t="shared" si="277"/>
        <v>0</v>
      </c>
      <c r="FU186" s="148">
        <f t="shared" si="278"/>
        <v>0</v>
      </c>
      <c r="FV186" s="149"/>
      <c r="FY186" s="210">
        <v>181</v>
      </c>
      <c r="FZ186">
        <v>0.27886497278940114</v>
      </c>
      <c r="GA186">
        <v>2.3905507653585385</v>
      </c>
      <c r="GB186">
        <v>1.5548194732479839</v>
      </c>
      <c r="GC186">
        <v>3.9957373124572997</v>
      </c>
      <c r="GD186">
        <v>3.8955737081336581</v>
      </c>
      <c r="GE186">
        <v>2.3397599033075283</v>
      </c>
      <c r="GF186">
        <v>0.38032995424220212</v>
      </c>
      <c r="GG186">
        <v>1.2981488832102204</v>
      </c>
      <c r="GH186">
        <v>1.3247603501682221</v>
      </c>
      <c r="GI186">
        <v>3.5139852270903784</v>
      </c>
      <c r="GJ186"/>
      <c r="GK186"/>
      <c r="GL186"/>
      <c r="GM186"/>
    </row>
    <row r="187" spans="1:195" s="7" customFormat="1">
      <c r="A187" s="1"/>
      <c r="B187" s="76">
        <f ca="1">IF(C187="", "", RAND())</f>
        <v>0.37552868619766144</v>
      </c>
      <c r="C187">
        <v>1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8.5538957570207561</v>
      </c>
      <c r="AO187">
        <v>7.7260337953196538</v>
      </c>
      <c r="AP187">
        <v>33.983470363196702</v>
      </c>
      <c r="AQ187">
        <v>30.930286181651745</v>
      </c>
      <c r="AR187">
        <v>7.1141420116938221</v>
      </c>
      <c r="AS187">
        <v>35.211454732368345</v>
      </c>
      <c r="AT187" t="e">
        <v>#DIV/0!</v>
      </c>
      <c r="AU187" t="e">
        <v>#DIV/0!</v>
      </c>
      <c r="AV187"/>
      <c r="AW187"/>
      <c r="AX187" s="146"/>
      <c r="AY187" s="76">
        <f t="shared" ca="1" si="169"/>
        <v>0.82220422693692896</v>
      </c>
      <c r="AZ187">
        <v>10</v>
      </c>
      <c r="BA187" s="129">
        <f t="shared" si="245"/>
        <v>39987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 s="147"/>
      <c r="CH187" s="176"/>
      <c r="CJ187" s="146"/>
      <c r="CK187" s="76">
        <f t="shared" ca="1" si="204"/>
        <v>0.99347171030055414</v>
      </c>
      <c r="CL187" s="179">
        <f t="shared" si="205"/>
        <v>10</v>
      </c>
      <c r="CM187" s="180">
        <f t="shared" si="206"/>
        <v>39987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 s="160"/>
      <c r="CW187">
        <v>1</v>
      </c>
      <c r="CX187">
        <f>350/73</f>
        <v>4.7945205479452051</v>
      </c>
      <c r="CY187" s="165"/>
      <c r="CZ187" s="177">
        <f t="shared" si="207"/>
        <v>9.6000000000000002E-2</v>
      </c>
      <c r="DB187" s="146"/>
      <c r="DC187" s="76">
        <f t="shared" ca="1" si="170"/>
        <v>0.37782023524328778</v>
      </c>
      <c r="DD187">
        <f t="shared" si="208"/>
        <v>10</v>
      </c>
      <c r="DE187" s="129">
        <f t="shared" si="244"/>
        <v>39987</v>
      </c>
      <c r="DF187" s="161">
        <f t="shared" si="209"/>
        <v>0</v>
      </c>
      <c r="DG187" s="161">
        <f t="shared" si="210"/>
        <v>0</v>
      </c>
      <c r="DH187" s="161">
        <f t="shared" si="211"/>
        <v>0</v>
      </c>
      <c r="DI187" s="161">
        <f t="shared" si="212"/>
        <v>0</v>
      </c>
      <c r="DJ187" s="161">
        <f t="shared" si="213"/>
        <v>0</v>
      </c>
      <c r="DK187" s="161">
        <f t="shared" si="214"/>
        <v>0</v>
      </c>
      <c r="DL187" s="161">
        <f t="shared" si="215"/>
        <v>0</v>
      </c>
      <c r="DM187" s="161">
        <f t="shared" si="216"/>
        <v>0</v>
      </c>
      <c r="DN187" s="161">
        <f t="shared" si="217"/>
        <v>0</v>
      </c>
      <c r="DO187" s="161">
        <f t="shared" si="218"/>
        <v>0</v>
      </c>
      <c r="DP187" s="161">
        <f t="shared" si="219"/>
        <v>0</v>
      </c>
      <c r="DQ187" s="161">
        <f t="shared" si="220"/>
        <v>0</v>
      </c>
      <c r="DR187" s="161">
        <f t="shared" si="221"/>
        <v>0</v>
      </c>
      <c r="DS187" s="161">
        <f t="shared" si="222"/>
        <v>0</v>
      </c>
      <c r="DT187" s="161">
        <f t="shared" si="223"/>
        <v>0</v>
      </c>
      <c r="DU187" s="161">
        <f t="shared" si="224"/>
        <v>0</v>
      </c>
      <c r="DV187" s="161">
        <f t="shared" si="225"/>
        <v>0</v>
      </c>
      <c r="DW187" s="161">
        <f t="shared" si="226"/>
        <v>0</v>
      </c>
      <c r="DX187" s="161">
        <f t="shared" si="227"/>
        <v>0</v>
      </c>
      <c r="DY187" s="161">
        <f t="shared" si="228"/>
        <v>0</v>
      </c>
      <c r="DZ187" s="161">
        <f t="shared" si="229"/>
        <v>0</v>
      </c>
      <c r="EA187" s="161">
        <f t="shared" si="230"/>
        <v>0</v>
      </c>
      <c r="EB187" s="161">
        <f t="shared" si="231"/>
        <v>0</v>
      </c>
      <c r="EC187" s="161">
        <f t="shared" si="232"/>
        <v>0</v>
      </c>
      <c r="ED187" s="161">
        <f t="shared" si="233"/>
        <v>0</v>
      </c>
      <c r="EE187" s="161">
        <f t="shared" si="234"/>
        <v>0</v>
      </c>
      <c r="EF187" s="161">
        <f t="shared" si="235"/>
        <v>0</v>
      </c>
      <c r="EG187" s="161">
        <f t="shared" si="236"/>
        <v>0</v>
      </c>
      <c r="EH187" s="161">
        <f t="shared" si="237"/>
        <v>0</v>
      </c>
      <c r="EI187" s="161">
        <f t="shared" si="238"/>
        <v>0</v>
      </c>
      <c r="EJ187" s="161">
        <f t="shared" si="239"/>
        <v>0</v>
      </c>
      <c r="EK187" s="147">
        <f t="shared" si="246"/>
        <v>0</v>
      </c>
      <c r="EL187" s="149"/>
      <c r="EN187" s="146"/>
      <c r="EO187" s="146"/>
      <c r="EP187" s="139">
        <f t="shared" si="247"/>
        <v>0</v>
      </c>
      <c r="EQ187" s="139">
        <f t="shared" si="248"/>
        <v>0</v>
      </c>
      <c r="ER187" s="139">
        <f t="shared" si="249"/>
        <v>0</v>
      </c>
      <c r="ES187" s="139">
        <f t="shared" si="250"/>
        <v>0</v>
      </c>
      <c r="ET187" s="139">
        <f t="shared" si="251"/>
        <v>0</v>
      </c>
      <c r="EU187" s="139">
        <f t="shared" si="252"/>
        <v>0</v>
      </c>
      <c r="EV187" s="139">
        <f t="shared" si="253"/>
        <v>0</v>
      </c>
      <c r="EW187" s="139">
        <f t="shared" si="254"/>
        <v>0</v>
      </c>
      <c r="EX187" s="139">
        <f t="shared" si="255"/>
        <v>0</v>
      </c>
      <c r="EY187" s="139">
        <f t="shared" si="256"/>
        <v>0</v>
      </c>
      <c r="EZ187" s="139">
        <f t="shared" si="257"/>
        <v>0</v>
      </c>
      <c r="FA187" s="139">
        <f t="shared" si="258"/>
        <v>0</v>
      </c>
      <c r="FB187" s="139">
        <f t="shared" si="259"/>
        <v>0</v>
      </c>
      <c r="FC187" s="139">
        <f t="shared" si="260"/>
        <v>0</v>
      </c>
      <c r="FD187" s="139">
        <f t="shared" si="261"/>
        <v>0</v>
      </c>
      <c r="FE187" s="139">
        <f t="shared" si="262"/>
        <v>0</v>
      </c>
      <c r="FF187" s="139">
        <f t="shared" si="263"/>
        <v>0</v>
      </c>
      <c r="FG187" s="139">
        <f t="shared" si="264"/>
        <v>0</v>
      </c>
      <c r="FH187" s="139">
        <f t="shared" si="265"/>
        <v>0</v>
      </c>
      <c r="FI187" s="139">
        <f t="shared" si="266"/>
        <v>0</v>
      </c>
      <c r="FJ187" s="139">
        <f t="shared" si="267"/>
        <v>0</v>
      </c>
      <c r="FK187" s="139">
        <f t="shared" si="268"/>
        <v>0</v>
      </c>
      <c r="FL187" s="139">
        <f t="shared" si="269"/>
        <v>0</v>
      </c>
      <c r="FM187" s="139">
        <f t="shared" si="270"/>
        <v>0</v>
      </c>
      <c r="FN187" s="139">
        <f t="shared" si="271"/>
        <v>0</v>
      </c>
      <c r="FO187" s="139">
        <f t="shared" si="272"/>
        <v>0</v>
      </c>
      <c r="FP187" s="139">
        <f t="shared" si="273"/>
        <v>0</v>
      </c>
      <c r="FQ187" s="139">
        <f t="shared" si="274"/>
        <v>0</v>
      </c>
      <c r="FR187" s="139">
        <f t="shared" si="275"/>
        <v>0</v>
      </c>
      <c r="FS187" s="139">
        <f t="shared" si="276"/>
        <v>0</v>
      </c>
      <c r="FT187" s="139">
        <f t="shared" si="277"/>
        <v>0</v>
      </c>
      <c r="FU187" s="148">
        <f t="shared" si="278"/>
        <v>0</v>
      </c>
      <c r="FV187" s="149"/>
      <c r="FY187" s="210">
        <v>182</v>
      </c>
      <c r="FZ187">
        <v>0.34523114235979718</v>
      </c>
      <c r="GA187">
        <v>0.40775199778087756</v>
      </c>
      <c r="GB187">
        <v>1.1441286874494712</v>
      </c>
      <c r="GC187">
        <v>5.5570970431334237</v>
      </c>
      <c r="GD187">
        <v>3.9651885074977158</v>
      </c>
      <c r="GE187">
        <v>1.0675524245902468</v>
      </c>
      <c r="GF187">
        <v>1.6417162346207288</v>
      </c>
      <c r="GG187">
        <v>1.1532914283453519</v>
      </c>
      <c r="GH187">
        <v>0.66238017508411107</v>
      </c>
      <c r="GI187">
        <v>3.6427000788303725</v>
      </c>
      <c r="GJ187"/>
      <c r="GK187"/>
      <c r="GL187"/>
      <c r="GM187"/>
    </row>
    <row r="188" spans="1:195" s="7" customFormat="1">
      <c r="A188" s="128"/>
      <c r="B188" s="76" t="str">
        <f ca="1">IF(C188="", "", RAND())</f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9.6768353174603163</v>
      </c>
      <c r="AO188">
        <v>6.2255976032952756</v>
      </c>
      <c r="AP188">
        <v>35.498038244645784</v>
      </c>
      <c r="AQ188">
        <v>27.237763240770651</v>
      </c>
      <c r="AR188">
        <v>5.7222717036934707</v>
      </c>
      <c r="AS188">
        <v>24.800767451045765</v>
      </c>
      <c r="AT188" t="e">
        <v>#DIV/0!</v>
      </c>
      <c r="AU188" t="e">
        <v>#DIV/0!</v>
      </c>
      <c r="AV188"/>
      <c r="AW188"/>
      <c r="AX188" s="128"/>
      <c r="AY188" s="76" t="str">
        <f t="shared" ca="1" si="169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4"/>
        <v/>
      </c>
      <c r="CL188" s="179" t="str">
        <f t="shared" si="205"/>
        <v/>
      </c>
      <c r="CM188" s="180" t="str">
        <f t="shared" si="206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07"/>
        <v/>
      </c>
      <c r="DB188" s="128"/>
      <c r="DC188" s="76" t="str">
        <f t="shared" ca="1" si="170"/>
        <v/>
      </c>
      <c r="DD188" t="str">
        <f t="shared" si="208"/>
        <v/>
      </c>
      <c r="DE188" s="129" t="str">
        <f t="shared" ref="DE188:DE197" si="279">IF((DD188)="", "", $C$14)</f>
        <v/>
      </c>
      <c r="DF188" s="161" t="str">
        <f t="shared" ref="DF188:DF207" si="280">IF($AZ188="", "", ((BB188*$CW188)+(CN188*$CX188))/$CZ188)</f>
        <v/>
      </c>
      <c r="DG188" s="161" t="str">
        <f t="shared" ref="DG188:DG207" si="281">IF($AZ188="", "", ((BC188*$CW188)+(CO188*$CX188))/$CZ188)</f>
        <v/>
      </c>
      <c r="DH188" s="161" t="str">
        <f t="shared" ref="DH188:DH207" si="282">IF($AZ188="", "", ((BD188*$CW188)+(CP188*$CX188))/$CZ188)</f>
        <v/>
      </c>
      <c r="DI188" s="161" t="str">
        <f t="shared" ref="DI188:DI207" si="283">IF($AZ188="", "", ((BE188*$CW188)+(CQ188*$CX188))/$CZ188)</f>
        <v/>
      </c>
      <c r="DJ188" s="161" t="str">
        <f t="shared" ref="DJ188:DJ207" si="284">IF($AZ188="", "", ((BF188*$CW188)+(CR188*$CX188))/$CZ188)</f>
        <v/>
      </c>
      <c r="DK188" s="161" t="str">
        <f t="shared" ref="DK188:DK207" si="285">IF($AZ188="", "", ((BG188*$CW188)+(CS188*$CX188))/$CZ188)</f>
        <v/>
      </c>
      <c r="DL188" s="161" t="str">
        <f t="shared" ref="DL188:DL207" si="286">IF($AZ188="", "", ((BH188*$CW188)+(CT188*$CX188))/$CZ188)</f>
        <v/>
      </c>
      <c r="DM188" s="161" t="str">
        <f t="shared" ref="DM188:DM207" si="287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88">IF($AZ188="", "", (BK187*$CW188)/$CZ188)</f>
        <v/>
      </c>
      <c r="DP188" s="161" t="str">
        <f t="shared" ref="DP188:DP193" si="289">IF($AZ188="", "", (BL187*$CW188)/$CZ188)</f>
        <v/>
      </c>
      <c r="DQ188" s="161" t="str">
        <f t="shared" ref="DQ188:DQ193" si="290">IF($AZ188="", "", (BM187*$CW188)/$CZ188)</f>
        <v/>
      </c>
      <c r="DR188" s="161" t="str">
        <f t="shared" ref="DR188:DR193" si="291">IF($AZ188="", "", (BN187*$CW188)/$CZ188)</f>
        <v/>
      </c>
      <c r="DS188" s="161" t="str">
        <f t="shared" ref="DS188:DS193" si="292">IF($AZ188="", "", (BO187*$CW188)/$CZ188)</f>
        <v/>
      </c>
      <c r="DT188" s="161" t="str">
        <f t="shared" ref="DT188:DT193" si="293">IF($AZ188="", "", (BP187*$CW188)/$CZ188)</f>
        <v/>
      </c>
      <c r="DU188" s="161" t="str">
        <f t="shared" ref="DU188:DU193" si="294">IF($AZ188="", "", (BQ187*$CW188)/$CZ188)</f>
        <v/>
      </c>
      <c r="DV188" s="161" t="str">
        <f t="shared" ref="DV188:DV193" si="295">IF($AZ188="", "", (BR187*$CW188)/$CZ188)</f>
        <v/>
      </c>
      <c r="DW188" s="161" t="str">
        <f t="shared" ref="DW188:DW193" si="296">IF($AZ188="", "", (BS187*$CW188)/$CZ188)</f>
        <v/>
      </c>
      <c r="DX188" s="161" t="str">
        <f t="shared" ref="DX188:DX193" si="297">IF($AZ188="", "", (BT187*$CW188)/$CZ188)</f>
        <v/>
      </c>
      <c r="DY188" s="161" t="str">
        <f t="shared" ref="DY188:DY193" si="298">IF($AZ188="", "", (BU187*$CW188)/$CZ188)</f>
        <v/>
      </c>
      <c r="DZ188" s="161" t="str">
        <f t="shared" ref="DZ188:DZ193" si="299">IF($AZ188="", "", (BV187*$CW188)/$CZ188)</f>
        <v/>
      </c>
      <c r="EA188" s="161" t="str">
        <f t="shared" ref="EA188:EA193" si="300">IF($AZ188="", "", (BW187*$CW188)/$CZ188)</f>
        <v/>
      </c>
      <c r="EB188" s="161" t="str">
        <f t="shared" ref="EB188:EB193" si="301">IF($AZ188="", "", (BX187*$CW188)/$CZ188)</f>
        <v/>
      </c>
      <c r="EC188" s="161" t="str">
        <f t="shared" ref="EC188:EC193" si="302">IF($AZ188="", "", (BY187*$CW188)/$CZ188)</f>
        <v/>
      </c>
      <c r="ED188" s="161" t="str">
        <f t="shared" ref="ED188:ED193" si="303">IF($AZ188="", "", (BZ187*$CW188)/$CZ188)</f>
        <v/>
      </c>
      <c r="EE188" s="161" t="str">
        <f t="shared" ref="EE188:EE193" si="304">IF($AZ188="", "", (CA187*$CW188)/$CZ188)</f>
        <v/>
      </c>
      <c r="EF188" s="161" t="str">
        <f t="shared" ref="EF188:EF193" si="305">IF($AZ188="", "", (CB187*$CW188)/$CZ188)</f>
        <v/>
      </c>
      <c r="EG188" s="161" t="str">
        <f t="shared" ref="EG188:EG193" si="306">IF($AZ188="", "", (CC187*$CW188)/$CZ188)</f>
        <v/>
      </c>
      <c r="EH188" s="161" t="str">
        <f t="shared" ref="EH188:EH193" si="307">IF($AZ188="", "", (CD187*$CW188)/$CZ188)</f>
        <v/>
      </c>
      <c r="EI188" s="161" t="str">
        <f t="shared" ref="EI188:EI193" si="308">IF($AZ188="", "", (CE187*$CW188)/$CZ188)</f>
        <v/>
      </c>
      <c r="EJ188" s="161" t="str">
        <f t="shared" ref="EJ188:EJ193" si="309">IF($AZ188="", "", (CF187*$CW188)/$CZ188)</f>
        <v/>
      </c>
      <c r="EK188" s="147" t="str">
        <f t="shared" si="246"/>
        <v/>
      </c>
      <c r="EL188" s="149"/>
      <c r="EN188" s="146"/>
      <c r="EO188" s="146"/>
      <c r="EP188" s="139" t="str">
        <f t="shared" si="247"/>
        <v/>
      </c>
      <c r="EQ188" s="139" t="str">
        <f t="shared" si="248"/>
        <v/>
      </c>
      <c r="ER188" s="139" t="str">
        <f t="shared" si="249"/>
        <v/>
      </c>
      <c r="ES188" s="139" t="str">
        <f t="shared" si="250"/>
        <v/>
      </c>
      <c r="ET188" s="139" t="str">
        <f t="shared" si="251"/>
        <v/>
      </c>
      <c r="EU188" s="139" t="str">
        <f t="shared" si="252"/>
        <v/>
      </c>
      <c r="EV188" s="139" t="str">
        <f t="shared" si="253"/>
        <v/>
      </c>
      <c r="EW188" s="139" t="str">
        <f t="shared" si="254"/>
        <v/>
      </c>
      <c r="EX188" s="139" t="str">
        <f t="shared" si="255"/>
        <v/>
      </c>
      <c r="EY188" s="139" t="str">
        <f t="shared" si="256"/>
        <v/>
      </c>
      <c r="EZ188" s="139" t="str">
        <f t="shared" si="257"/>
        <v/>
      </c>
      <c r="FA188" s="139" t="str">
        <f t="shared" si="258"/>
        <v/>
      </c>
      <c r="FB188" s="139" t="str">
        <f t="shared" si="259"/>
        <v/>
      </c>
      <c r="FC188" s="139" t="str">
        <f t="shared" si="260"/>
        <v/>
      </c>
      <c r="FD188" s="139" t="str">
        <f t="shared" si="261"/>
        <v/>
      </c>
      <c r="FE188" s="139" t="str">
        <f t="shared" si="262"/>
        <v/>
      </c>
      <c r="FF188" s="139" t="str">
        <f t="shared" si="263"/>
        <v/>
      </c>
      <c r="FG188" s="139" t="str">
        <f t="shared" si="264"/>
        <v/>
      </c>
      <c r="FH188" s="139" t="str">
        <f t="shared" si="265"/>
        <v/>
      </c>
      <c r="FI188" s="139" t="str">
        <f t="shared" si="266"/>
        <v/>
      </c>
      <c r="FJ188" s="139" t="str">
        <f t="shared" si="267"/>
        <v/>
      </c>
      <c r="FK188" s="139" t="str">
        <f t="shared" si="268"/>
        <v/>
      </c>
      <c r="FL188" s="139" t="str">
        <f t="shared" si="269"/>
        <v/>
      </c>
      <c r="FM188" s="139" t="str">
        <f t="shared" si="270"/>
        <v/>
      </c>
      <c r="FN188" s="139" t="str">
        <f t="shared" si="271"/>
        <v/>
      </c>
      <c r="FO188" s="139" t="str">
        <f t="shared" si="272"/>
        <v/>
      </c>
      <c r="FP188" s="139" t="str">
        <f t="shared" si="273"/>
        <v/>
      </c>
      <c r="FQ188" s="139" t="str">
        <f t="shared" si="274"/>
        <v/>
      </c>
      <c r="FR188" s="139" t="str">
        <f t="shared" si="275"/>
        <v/>
      </c>
      <c r="FS188" s="139" t="str">
        <f t="shared" si="276"/>
        <v/>
      </c>
      <c r="FT188" s="139" t="str">
        <f t="shared" si="277"/>
        <v/>
      </c>
      <c r="FU188" s="148" t="str">
        <f t="shared" si="278"/>
        <v/>
      </c>
      <c r="FV188" s="149"/>
      <c r="FY188" s="210">
        <v>183</v>
      </c>
      <c r="FZ188">
        <v>0</v>
      </c>
      <c r="GA188">
        <v>0.97312462424168844</v>
      </c>
      <c r="GB188">
        <v>2.1886466689266926</v>
      </c>
      <c r="GC188">
        <v>2.9440009796896871</v>
      </c>
      <c r="GD188">
        <v>2.0549901574629379</v>
      </c>
      <c r="GE188">
        <v>2.1351048491804936</v>
      </c>
      <c r="GF188">
        <v>2.1424426065148507</v>
      </c>
      <c r="GG188">
        <v>0.81714677051852402</v>
      </c>
      <c r="GH188">
        <v>0.66238017508411107</v>
      </c>
      <c r="GI188">
        <v>2.7431976285593098</v>
      </c>
      <c r="GJ188"/>
      <c r="GK188"/>
      <c r="GL188"/>
      <c r="GM188"/>
    </row>
    <row r="189" spans="1:195" s="7" customFormat="1">
      <c r="A189" s="1"/>
      <c r="B189" s="76" t="str">
        <f ca="1">IF(C189="", "", RAND())</f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7.0798611111111098</v>
      </c>
      <c r="AO189">
        <v>11.092435996294522</v>
      </c>
      <c r="AP189">
        <v>33.128272889421382</v>
      </c>
      <c r="AQ189">
        <v>33.258785734320554</v>
      </c>
      <c r="AR189">
        <v>10.289829310106239</v>
      </c>
      <c r="AS189">
        <v>57.606709317302524</v>
      </c>
      <c r="AT189" t="e">
        <v>#DIV/0!</v>
      </c>
      <c r="AU189" t="e">
        <v>#DIV/0!</v>
      </c>
      <c r="AV189"/>
      <c r="AW189"/>
      <c r="AX189" s="146"/>
      <c r="AY189" s="76" t="str">
        <f t="shared" ca="1" si="169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4"/>
        <v/>
      </c>
      <c r="CL189" s="179" t="str">
        <f t="shared" si="205"/>
        <v/>
      </c>
      <c r="CM189" s="180" t="str">
        <f t="shared" si="206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07"/>
        <v/>
      </c>
      <c r="DB189" s="146"/>
      <c r="DC189" s="76" t="str">
        <f t="shared" ca="1" si="170"/>
        <v/>
      </c>
      <c r="DD189" t="str">
        <f t="shared" si="208"/>
        <v/>
      </c>
      <c r="DE189" s="129" t="str">
        <f t="shared" si="279"/>
        <v/>
      </c>
      <c r="DF189" s="161" t="str">
        <f t="shared" si="280"/>
        <v/>
      </c>
      <c r="DG189" s="161" t="str">
        <f t="shared" si="281"/>
        <v/>
      </c>
      <c r="DH189" s="161" t="str">
        <f t="shared" si="282"/>
        <v/>
      </c>
      <c r="DI189" s="161" t="str">
        <f t="shared" si="283"/>
        <v/>
      </c>
      <c r="DJ189" s="161" t="str">
        <f t="shared" si="284"/>
        <v/>
      </c>
      <c r="DK189" s="161" t="str">
        <f t="shared" si="285"/>
        <v/>
      </c>
      <c r="DL189" s="161" t="str">
        <f t="shared" si="286"/>
        <v/>
      </c>
      <c r="DM189" s="161" t="str">
        <f t="shared" si="287"/>
        <v/>
      </c>
      <c r="DN189" s="161" t="str">
        <f>IF($AZ189="", "", (BJ189*$CW189)/$CZ189)</f>
        <v/>
      </c>
      <c r="DO189" s="161" t="str">
        <f t="shared" si="288"/>
        <v/>
      </c>
      <c r="DP189" s="161" t="str">
        <f t="shared" si="289"/>
        <v/>
      </c>
      <c r="DQ189" s="161" t="str">
        <f t="shared" si="290"/>
        <v/>
      </c>
      <c r="DR189" s="161" t="str">
        <f t="shared" si="291"/>
        <v/>
      </c>
      <c r="DS189" s="161" t="str">
        <f t="shared" si="292"/>
        <v/>
      </c>
      <c r="DT189" s="161" t="str">
        <f t="shared" si="293"/>
        <v/>
      </c>
      <c r="DU189" s="161" t="str">
        <f t="shared" si="294"/>
        <v/>
      </c>
      <c r="DV189" s="161" t="str">
        <f t="shared" si="295"/>
        <v/>
      </c>
      <c r="DW189" s="161" t="str">
        <f t="shared" si="296"/>
        <v/>
      </c>
      <c r="DX189" s="161" t="str">
        <f t="shared" si="297"/>
        <v/>
      </c>
      <c r="DY189" s="161" t="str">
        <f t="shared" si="298"/>
        <v/>
      </c>
      <c r="DZ189" s="161" t="str">
        <f t="shared" si="299"/>
        <v/>
      </c>
      <c r="EA189" s="161" t="str">
        <f t="shared" si="300"/>
        <v/>
      </c>
      <c r="EB189" s="161" t="str">
        <f t="shared" si="301"/>
        <v/>
      </c>
      <c r="EC189" s="161" t="str">
        <f t="shared" si="302"/>
        <v/>
      </c>
      <c r="ED189" s="161" t="str">
        <f t="shared" si="303"/>
        <v/>
      </c>
      <c r="EE189" s="161" t="str">
        <f t="shared" si="304"/>
        <v/>
      </c>
      <c r="EF189" s="161" t="str">
        <f t="shared" si="305"/>
        <v/>
      </c>
      <c r="EG189" s="161" t="str">
        <f t="shared" si="306"/>
        <v/>
      </c>
      <c r="EH189" s="161" t="str">
        <f t="shared" si="307"/>
        <v/>
      </c>
      <c r="EI189" s="161" t="str">
        <f t="shared" si="308"/>
        <v/>
      </c>
      <c r="EJ189" s="161" t="str">
        <f t="shared" si="309"/>
        <v/>
      </c>
      <c r="EK189" s="147" t="str">
        <f t="shared" si="246"/>
        <v/>
      </c>
      <c r="EL189" s="149"/>
      <c r="EN189" s="146"/>
      <c r="EO189" s="146"/>
      <c r="EP189" s="139" t="str">
        <f t="shared" si="247"/>
        <v/>
      </c>
      <c r="EQ189" s="139" t="str">
        <f t="shared" si="248"/>
        <v/>
      </c>
      <c r="ER189" s="139" t="str">
        <f t="shared" si="249"/>
        <v/>
      </c>
      <c r="ES189" s="139" t="str">
        <f t="shared" si="250"/>
        <v/>
      </c>
      <c r="ET189" s="139" t="str">
        <f t="shared" si="251"/>
        <v/>
      </c>
      <c r="EU189" s="139" t="str">
        <f t="shared" si="252"/>
        <v/>
      </c>
      <c r="EV189" s="139" t="str">
        <f t="shared" si="253"/>
        <v/>
      </c>
      <c r="EW189" s="139" t="str">
        <f t="shared" si="254"/>
        <v/>
      </c>
      <c r="EX189" s="139" t="str">
        <f t="shared" si="255"/>
        <v/>
      </c>
      <c r="EY189" s="139" t="str">
        <f t="shared" si="256"/>
        <v/>
      </c>
      <c r="EZ189" s="139" t="str">
        <f t="shared" si="257"/>
        <v/>
      </c>
      <c r="FA189" s="139" t="str">
        <f t="shared" si="258"/>
        <v/>
      </c>
      <c r="FB189" s="139" t="str">
        <f t="shared" si="259"/>
        <v/>
      </c>
      <c r="FC189" s="139" t="str">
        <f t="shared" si="260"/>
        <v/>
      </c>
      <c r="FD189" s="139" t="str">
        <f t="shared" si="261"/>
        <v/>
      </c>
      <c r="FE189" s="139" t="str">
        <f t="shared" si="262"/>
        <v/>
      </c>
      <c r="FF189" s="139" t="str">
        <f t="shared" si="263"/>
        <v/>
      </c>
      <c r="FG189" s="139" t="str">
        <f t="shared" si="264"/>
        <v/>
      </c>
      <c r="FH189" s="139" t="str">
        <f t="shared" si="265"/>
        <v/>
      </c>
      <c r="FI189" s="139" t="str">
        <f t="shared" si="266"/>
        <v/>
      </c>
      <c r="FJ189" s="139" t="str">
        <f t="shared" si="267"/>
        <v/>
      </c>
      <c r="FK189" s="139" t="str">
        <f t="shared" si="268"/>
        <v/>
      </c>
      <c r="FL189" s="139" t="str">
        <f t="shared" si="269"/>
        <v/>
      </c>
      <c r="FM189" s="139" t="str">
        <f t="shared" si="270"/>
        <v/>
      </c>
      <c r="FN189" s="139" t="str">
        <f t="shared" si="271"/>
        <v/>
      </c>
      <c r="FO189" s="139" t="str">
        <f t="shared" si="272"/>
        <v/>
      </c>
      <c r="FP189" s="139" t="str">
        <f t="shared" si="273"/>
        <v/>
      </c>
      <c r="FQ189" s="139" t="str">
        <f t="shared" si="274"/>
        <v/>
      </c>
      <c r="FR189" s="139" t="str">
        <f t="shared" si="275"/>
        <v/>
      </c>
      <c r="FS189" s="139" t="str">
        <f t="shared" si="276"/>
        <v/>
      </c>
      <c r="FT189" s="139" t="str">
        <f t="shared" si="277"/>
        <v/>
      </c>
      <c r="FU189" s="148" t="str">
        <f t="shared" si="278"/>
        <v/>
      </c>
      <c r="FV189" s="149"/>
      <c r="FY189" s="210">
        <v>184</v>
      </c>
      <c r="FZ189">
        <v>0.52454686079360424</v>
      </c>
      <c r="GA189">
        <v>0.61929245222837248</v>
      </c>
      <c r="GB189">
        <v>0.57206434372473558</v>
      </c>
      <c r="GC189">
        <v>9.73761838194633</v>
      </c>
      <c r="GD189">
        <v>7.6485540463210269</v>
      </c>
      <c r="GE189">
        <v>1.9711695710288715</v>
      </c>
      <c r="GF189">
        <v>1.0712213032574254</v>
      </c>
      <c r="GG189">
        <v>1.1300765542968063</v>
      </c>
      <c r="GH189">
        <v>1.3247603501682221</v>
      </c>
      <c r="GI189">
        <v>6.3212121426638754</v>
      </c>
      <c r="GJ189"/>
      <c r="GK189"/>
      <c r="GL189"/>
      <c r="GM189"/>
    </row>
    <row r="190" spans="1:195" s="7" customFormat="1">
      <c r="A190" s="1"/>
      <c r="B190" s="76" t="str">
        <f ca="1">IF(C190="", "", RAND())</f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9.7819940476190474</v>
      </c>
      <c r="AO190">
        <v>9.5534503656166176</v>
      </c>
      <c r="AP190">
        <v>38.640415489038098</v>
      </c>
      <c r="AQ190">
        <v>34.931964850997666</v>
      </c>
      <c r="AR190">
        <v>8.7036031961739067</v>
      </c>
      <c r="AS190">
        <v>36.706783478917245</v>
      </c>
      <c r="AT190" t="e">
        <v>#DIV/0!</v>
      </c>
      <c r="AU190" t="e">
        <v>#DIV/0!</v>
      </c>
      <c r="AV190"/>
      <c r="AW190"/>
      <c r="AX190" s="146"/>
      <c r="AY190" s="76" t="str">
        <f t="shared" ca="1" si="169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4"/>
        <v/>
      </c>
      <c r="CL190" s="179" t="str">
        <f t="shared" si="205"/>
        <v/>
      </c>
      <c r="CM190" s="180" t="str">
        <f t="shared" si="206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07"/>
        <v/>
      </c>
      <c r="DB190" s="146"/>
      <c r="DC190" s="76" t="str">
        <f t="shared" ca="1" si="170"/>
        <v/>
      </c>
      <c r="DD190" t="str">
        <f t="shared" si="208"/>
        <v/>
      </c>
      <c r="DE190" s="129" t="str">
        <f t="shared" si="279"/>
        <v/>
      </c>
      <c r="DF190" s="161" t="str">
        <f t="shared" si="280"/>
        <v/>
      </c>
      <c r="DG190" s="161" t="str">
        <f t="shared" si="281"/>
        <v/>
      </c>
      <c r="DH190" s="161" t="str">
        <f t="shared" si="282"/>
        <v/>
      </c>
      <c r="DI190" s="161" t="str">
        <f t="shared" si="283"/>
        <v/>
      </c>
      <c r="DJ190" s="161" t="str">
        <f t="shared" si="284"/>
        <v/>
      </c>
      <c r="DK190" s="161" t="str">
        <f t="shared" si="285"/>
        <v/>
      </c>
      <c r="DL190" s="161" t="str">
        <f t="shared" si="286"/>
        <v/>
      </c>
      <c r="DM190" s="161" t="str">
        <f t="shared" si="287"/>
        <v/>
      </c>
      <c r="DN190" s="161" t="str">
        <f>IF($AZ190="", "", (BJ190*$CW190)/$CZ190)</f>
        <v/>
      </c>
      <c r="DO190" s="161" t="str">
        <f t="shared" si="288"/>
        <v/>
      </c>
      <c r="DP190" s="161" t="str">
        <f t="shared" si="289"/>
        <v/>
      </c>
      <c r="DQ190" s="161" t="str">
        <f t="shared" si="290"/>
        <v/>
      </c>
      <c r="DR190" s="161" t="str">
        <f t="shared" si="291"/>
        <v/>
      </c>
      <c r="DS190" s="161" t="str">
        <f t="shared" si="292"/>
        <v/>
      </c>
      <c r="DT190" s="161" t="str">
        <f t="shared" si="293"/>
        <v/>
      </c>
      <c r="DU190" s="161" t="str">
        <f t="shared" si="294"/>
        <v/>
      </c>
      <c r="DV190" s="161" t="str">
        <f t="shared" si="295"/>
        <v/>
      </c>
      <c r="DW190" s="161" t="str">
        <f t="shared" si="296"/>
        <v/>
      </c>
      <c r="DX190" s="161" t="str">
        <f t="shared" si="297"/>
        <v/>
      </c>
      <c r="DY190" s="161" t="str">
        <f t="shared" si="298"/>
        <v/>
      </c>
      <c r="DZ190" s="161" t="str">
        <f t="shared" si="299"/>
        <v/>
      </c>
      <c r="EA190" s="161" t="str">
        <f t="shared" si="300"/>
        <v/>
      </c>
      <c r="EB190" s="161" t="str">
        <f t="shared" si="301"/>
        <v/>
      </c>
      <c r="EC190" s="161" t="str">
        <f t="shared" si="302"/>
        <v/>
      </c>
      <c r="ED190" s="161" t="str">
        <f t="shared" si="303"/>
        <v/>
      </c>
      <c r="EE190" s="161" t="str">
        <f t="shared" si="304"/>
        <v/>
      </c>
      <c r="EF190" s="161" t="str">
        <f t="shared" si="305"/>
        <v/>
      </c>
      <c r="EG190" s="161" t="str">
        <f t="shared" si="306"/>
        <v/>
      </c>
      <c r="EH190" s="161" t="str">
        <f t="shared" si="307"/>
        <v/>
      </c>
      <c r="EI190" s="161" t="str">
        <f t="shared" si="308"/>
        <v/>
      </c>
      <c r="EJ190" s="161" t="str">
        <f t="shared" si="309"/>
        <v/>
      </c>
      <c r="EK190" s="147" t="str">
        <f t="shared" si="246"/>
        <v/>
      </c>
      <c r="EL190" s="149"/>
      <c r="EN190" s="146"/>
      <c r="EO190" s="146"/>
      <c r="EP190" s="139" t="str">
        <f t="shared" si="247"/>
        <v/>
      </c>
      <c r="EQ190" s="139" t="str">
        <f t="shared" si="248"/>
        <v/>
      </c>
      <c r="ER190" s="139" t="str">
        <f t="shared" si="249"/>
        <v/>
      </c>
      <c r="ES190" s="139" t="str">
        <f t="shared" si="250"/>
        <v/>
      </c>
      <c r="ET190" s="139" t="str">
        <f t="shared" si="251"/>
        <v/>
      </c>
      <c r="EU190" s="139" t="str">
        <f t="shared" si="252"/>
        <v/>
      </c>
      <c r="EV190" s="139" t="str">
        <f t="shared" si="253"/>
        <v/>
      </c>
      <c r="EW190" s="139" t="str">
        <f t="shared" si="254"/>
        <v/>
      </c>
      <c r="EX190" s="139" t="str">
        <f t="shared" si="255"/>
        <v/>
      </c>
      <c r="EY190" s="139" t="str">
        <f t="shared" si="256"/>
        <v/>
      </c>
      <c r="EZ190" s="139" t="str">
        <f t="shared" si="257"/>
        <v/>
      </c>
      <c r="FA190" s="139" t="str">
        <f t="shared" si="258"/>
        <v/>
      </c>
      <c r="FB190" s="139" t="str">
        <f t="shared" si="259"/>
        <v/>
      </c>
      <c r="FC190" s="139" t="str">
        <f t="shared" si="260"/>
        <v/>
      </c>
      <c r="FD190" s="139" t="str">
        <f t="shared" si="261"/>
        <v/>
      </c>
      <c r="FE190" s="139" t="str">
        <f t="shared" si="262"/>
        <v/>
      </c>
      <c r="FF190" s="139" t="str">
        <f t="shared" si="263"/>
        <v/>
      </c>
      <c r="FG190" s="139" t="str">
        <f t="shared" si="264"/>
        <v/>
      </c>
      <c r="FH190" s="139" t="str">
        <f t="shared" si="265"/>
        <v/>
      </c>
      <c r="FI190" s="139" t="str">
        <f t="shared" si="266"/>
        <v/>
      </c>
      <c r="FJ190" s="139" t="str">
        <f t="shared" si="267"/>
        <v/>
      </c>
      <c r="FK190" s="139" t="str">
        <f t="shared" si="268"/>
        <v/>
      </c>
      <c r="FL190" s="139" t="str">
        <f t="shared" si="269"/>
        <v/>
      </c>
      <c r="FM190" s="139" t="str">
        <f t="shared" si="270"/>
        <v/>
      </c>
      <c r="FN190" s="139" t="str">
        <f t="shared" si="271"/>
        <v/>
      </c>
      <c r="FO190" s="139" t="str">
        <f t="shared" si="272"/>
        <v/>
      </c>
      <c r="FP190" s="139" t="str">
        <f t="shared" si="273"/>
        <v/>
      </c>
      <c r="FQ190" s="139" t="str">
        <f t="shared" si="274"/>
        <v/>
      </c>
      <c r="FR190" s="139" t="str">
        <f t="shared" si="275"/>
        <v/>
      </c>
      <c r="FS190" s="139" t="str">
        <f t="shared" si="276"/>
        <v/>
      </c>
      <c r="FT190" s="139" t="str">
        <f t="shared" si="277"/>
        <v/>
      </c>
      <c r="FU190" s="148" t="str">
        <f t="shared" si="278"/>
        <v/>
      </c>
      <c r="FV190" s="149"/>
      <c r="FY190" s="210">
        <v>185</v>
      </c>
      <c r="FZ190">
        <v>0.2456818880042031</v>
      </c>
      <c r="GA190">
        <v>2.6020912198060331</v>
      </c>
      <c r="GB190">
        <v>1.6826921265595984</v>
      </c>
      <c r="GC190">
        <v>2.2834803429329975</v>
      </c>
      <c r="GD190">
        <v>1.7367822371473194</v>
      </c>
      <c r="GE190">
        <v>0.488099595198144</v>
      </c>
      <c r="GF190">
        <v>0.95082488560550527</v>
      </c>
      <c r="GG190">
        <v>1.321363757258766</v>
      </c>
      <c r="GH190">
        <v>0.66238017508411107</v>
      </c>
      <c r="GI190">
        <v>1.9714929630095548</v>
      </c>
      <c r="GJ190"/>
      <c r="GK190"/>
      <c r="GL190"/>
      <c r="GM190"/>
    </row>
    <row r="191" spans="1:195" s="7" customFormat="1">
      <c r="A191" s="1"/>
      <c r="B191" s="76" t="str">
        <f ca="1">IF(C191="", "", RAND())</f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6.5226457570207561</v>
      </c>
      <c r="AO191">
        <v>5.4364125821527214</v>
      </c>
      <c r="AP191">
        <v>30.146839311604857</v>
      </c>
      <c r="AQ191">
        <v>22.410660558410662</v>
      </c>
      <c r="AR191">
        <v>4.990189123783864</v>
      </c>
      <c r="AS191">
        <v>20.51501519732355</v>
      </c>
      <c r="AT191" t="e">
        <v>#DIV/0!</v>
      </c>
      <c r="AU191" t="e">
        <v>#DIV/0!</v>
      </c>
      <c r="AV191"/>
      <c r="AW191"/>
      <c r="AX191" s="146"/>
      <c r="AY191" s="76" t="str">
        <f t="shared" ca="1" si="169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4"/>
        <v/>
      </c>
      <c r="CL191" s="179" t="str">
        <f t="shared" si="205"/>
        <v/>
      </c>
      <c r="CM191" s="180" t="str">
        <f t="shared" si="206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07"/>
        <v/>
      </c>
      <c r="DB191" s="146"/>
      <c r="DC191" s="76" t="str">
        <f t="shared" ca="1" si="170"/>
        <v/>
      </c>
      <c r="DD191" t="str">
        <f t="shared" si="208"/>
        <v/>
      </c>
      <c r="DE191" s="129" t="str">
        <f t="shared" si="279"/>
        <v/>
      </c>
      <c r="DF191" s="161" t="str">
        <f t="shared" si="280"/>
        <v/>
      </c>
      <c r="DG191" s="161" t="str">
        <f t="shared" si="281"/>
        <v/>
      </c>
      <c r="DH191" s="161" t="str">
        <f t="shared" si="282"/>
        <v/>
      </c>
      <c r="DI191" s="161" t="str">
        <f t="shared" si="283"/>
        <v/>
      </c>
      <c r="DJ191" s="161" t="str">
        <f t="shared" si="284"/>
        <v/>
      </c>
      <c r="DK191" s="161" t="str">
        <f t="shared" si="285"/>
        <v/>
      </c>
      <c r="DL191" s="161" t="str">
        <f t="shared" si="286"/>
        <v/>
      </c>
      <c r="DM191" s="161" t="str">
        <f t="shared" si="287"/>
        <v/>
      </c>
      <c r="DN191" s="161" t="str">
        <f>IF($AZ191="", "", (BJ191*$CW191)/$CZ191)</f>
        <v/>
      </c>
      <c r="DO191" s="161" t="str">
        <f t="shared" si="288"/>
        <v/>
      </c>
      <c r="DP191" s="161" t="str">
        <f t="shared" si="289"/>
        <v/>
      </c>
      <c r="DQ191" s="161" t="str">
        <f t="shared" si="290"/>
        <v/>
      </c>
      <c r="DR191" s="161" t="str">
        <f t="shared" si="291"/>
        <v/>
      </c>
      <c r="DS191" s="161" t="str">
        <f t="shared" si="292"/>
        <v/>
      </c>
      <c r="DT191" s="161" t="str">
        <f t="shared" si="293"/>
        <v/>
      </c>
      <c r="DU191" s="161" t="str">
        <f t="shared" si="294"/>
        <v/>
      </c>
      <c r="DV191" s="161" t="str">
        <f t="shared" si="295"/>
        <v/>
      </c>
      <c r="DW191" s="161" t="str">
        <f t="shared" si="296"/>
        <v/>
      </c>
      <c r="DX191" s="161" t="str">
        <f t="shared" si="297"/>
        <v/>
      </c>
      <c r="DY191" s="161" t="str">
        <f t="shared" si="298"/>
        <v/>
      </c>
      <c r="DZ191" s="161" t="str">
        <f t="shared" si="299"/>
        <v/>
      </c>
      <c r="EA191" s="161" t="str">
        <f t="shared" si="300"/>
        <v/>
      </c>
      <c r="EB191" s="161" t="str">
        <f t="shared" si="301"/>
        <v/>
      </c>
      <c r="EC191" s="161" t="str">
        <f t="shared" si="302"/>
        <v/>
      </c>
      <c r="ED191" s="161" t="str">
        <f t="shared" si="303"/>
        <v/>
      </c>
      <c r="EE191" s="161" t="str">
        <f t="shared" si="304"/>
        <v/>
      </c>
      <c r="EF191" s="161" t="str">
        <f t="shared" si="305"/>
        <v/>
      </c>
      <c r="EG191" s="161" t="str">
        <f t="shared" si="306"/>
        <v/>
      </c>
      <c r="EH191" s="161" t="str">
        <f t="shared" si="307"/>
        <v/>
      </c>
      <c r="EI191" s="161" t="str">
        <f t="shared" si="308"/>
        <v/>
      </c>
      <c r="EJ191" s="161" t="str">
        <f t="shared" si="309"/>
        <v/>
      </c>
      <c r="EK191" s="147" t="str">
        <f t="shared" si="246"/>
        <v/>
      </c>
      <c r="EL191" s="149"/>
      <c r="EN191" s="146"/>
      <c r="EO191" s="146"/>
      <c r="EP191" s="139" t="str">
        <f t="shared" si="247"/>
        <v/>
      </c>
      <c r="EQ191" s="139" t="str">
        <f t="shared" si="248"/>
        <v/>
      </c>
      <c r="ER191" s="139" t="str">
        <f t="shared" si="249"/>
        <v/>
      </c>
      <c r="ES191" s="139" t="str">
        <f t="shared" si="250"/>
        <v/>
      </c>
      <c r="ET191" s="139" t="str">
        <f t="shared" si="251"/>
        <v/>
      </c>
      <c r="EU191" s="139" t="str">
        <f t="shared" si="252"/>
        <v/>
      </c>
      <c r="EV191" s="139" t="str">
        <f t="shared" si="253"/>
        <v/>
      </c>
      <c r="EW191" s="139" t="str">
        <f t="shared" si="254"/>
        <v/>
      </c>
      <c r="EX191" s="139" t="str">
        <f t="shared" si="255"/>
        <v/>
      </c>
      <c r="EY191" s="139" t="str">
        <f t="shared" si="256"/>
        <v/>
      </c>
      <c r="EZ191" s="139" t="str">
        <f t="shared" si="257"/>
        <v/>
      </c>
      <c r="FA191" s="139" t="str">
        <f t="shared" si="258"/>
        <v/>
      </c>
      <c r="FB191" s="139" t="str">
        <f t="shared" si="259"/>
        <v/>
      </c>
      <c r="FC191" s="139" t="str">
        <f t="shared" si="260"/>
        <v/>
      </c>
      <c r="FD191" s="139" t="str">
        <f t="shared" si="261"/>
        <v/>
      </c>
      <c r="FE191" s="139" t="str">
        <f t="shared" si="262"/>
        <v/>
      </c>
      <c r="FF191" s="139" t="str">
        <f t="shared" si="263"/>
        <v/>
      </c>
      <c r="FG191" s="139" t="str">
        <f t="shared" si="264"/>
        <v/>
      </c>
      <c r="FH191" s="139" t="str">
        <f t="shared" si="265"/>
        <v/>
      </c>
      <c r="FI191" s="139" t="str">
        <f t="shared" si="266"/>
        <v/>
      </c>
      <c r="FJ191" s="139" t="str">
        <f t="shared" si="267"/>
        <v/>
      </c>
      <c r="FK191" s="139" t="str">
        <f t="shared" si="268"/>
        <v/>
      </c>
      <c r="FL191" s="139" t="str">
        <f t="shared" si="269"/>
        <v/>
      </c>
      <c r="FM191" s="139" t="str">
        <f t="shared" si="270"/>
        <v/>
      </c>
      <c r="FN191" s="139" t="str">
        <f t="shared" si="271"/>
        <v/>
      </c>
      <c r="FO191" s="139" t="str">
        <f t="shared" si="272"/>
        <v/>
      </c>
      <c r="FP191" s="139" t="str">
        <f t="shared" si="273"/>
        <v/>
      </c>
      <c r="FQ191" s="139" t="str">
        <f t="shared" si="274"/>
        <v/>
      </c>
      <c r="FR191" s="139" t="str">
        <f t="shared" si="275"/>
        <v/>
      </c>
      <c r="FS191" s="139" t="str">
        <f t="shared" si="276"/>
        <v/>
      </c>
      <c r="FT191" s="139" t="str">
        <f t="shared" si="277"/>
        <v/>
      </c>
      <c r="FU191" s="148" t="str">
        <f t="shared" si="278"/>
        <v/>
      </c>
      <c r="FV191" s="149"/>
      <c r="FY191" s="210">
        <v>186</v>
      </c>
      <c r="FZ191">
        <v>0.2456818880042031</v>
      </c>
      <c r="GA191">
        <v>5.0095423211733063</v>
      </c>
      <c r="GB191">
        <v>2.2461549168315607</v>
      </c>
      <c r="GC191">
        <v>16.522366284462791</v>
      </c>
      <c r="GD191">
        <v>12.536764143496063</v>
      </c>
      <c r="GE191">
        <v>1.7120852000087687</v>
      </c>
      <c r="GF191">
        <v>1.95227762939375</v>
      </c>
      <c r="GG191">
        <v>1.1300765542968063</v>
      </c>
      <c r="GH191">
        <v>1.3247603501682221</v>
      </c>
      <c r="GI191">
        <v>10.164983126271594</v>
      </c>
      <c r="GJ191"/>
      <c r="GK191"/>
      <c r="GL191"/>
      <c r="GM191"/>
    </row>
    <row r="192" spans="1:195" s="7" customFormat="1">
      <c r="A192" s="1"/>
      <c r="B192" s="76" t="str">
        <f ca="1">IF(C192="", "", RAND())</f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6.8680937118437111</v>
      </c>
      <c r="AO192">
        <v>8.7365536846237504</v>
      </c>
      <c r="AP192">
        <v>30.636819556427021</v>
      </c>
      <c r="AQ192">
        <v>28.775000489784063</v>
      </c>
      <c r="AR192">
        <v>8.1044097259960566</v>
      </c>
      <c r="AS192">
        <v>39.000111798089144</v>
      </c>
      <c r="AT192" t="e">
        <v>#DIV/0!</v>
      </c>
      <c r="AU192" t="e">
        <v>#DIV/0!</v>
      </c>
      <c r="AV192"/>
      <c r="AW192"/>
      <c r="AX192" s="146"/>
      <c r="AY192" s="76" t="str">
        <f t="shared" ca="1" si="169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4"/>
        <v/>
      </c>
      <c r="CL192" s="179" t="str">
        <f t="shared" si="205"/>
        <v/>
      </c>
      <c r="CM192" s="180" t="str">
        <f t="shared" si="206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07"/>
        <v/>
      </c>
      <c r="DB192" s="146"/>
      <c r="DC192" s="76" t="str">
        <f t="shared" ca="1" si="170"/>
        <v/>
      </c>
      <c r="DD192" t="str">
        <f t="shared" si="208"/>
        <v/>
      </c>
      <c r="DE192" s="129" t="str">
        <f t="shared" si="279"/>
        <v/>
      </c>
      <c r="DF192" s="161" t="str">
        <f t="shared" si="280"/>
        <v/>
      </c>
      <c r="DG192" s="161" t="str">
        <f t="shared" si="281"/>
        <v/>
      </c>
      <c r="DH192" s="161" t="str">
        <f t="shared" si="282"/>
        <v/>
      </c>
      <c r="DI192" s="161" t="str">
        <f t="shared" si="283"/>
        <v/>
      </c>
      <c r="DJ192" s="161" t="str">
        <f t="shared" si="284"/>
        <v/>
      </c>
      <c r="DK192" s="161" t="str">
        <f t="shared" si="285"/>
        <v/>
      </c>
      <c r="DL192" s="161" t="str">
        <f t="shared" si="286"/>
        <v/>
      </c>
      <c r="DM192" s="161" t="str">
        <f t="shared" si="287"/>
        <v/>
      </c>
      <c r="DN192" s="161" t="str">
        <f>IF($AZ192="", "", (BJ192*$CW192)/$CZ192)</f>
        <v/>
      </c>
      <c r="DO192" s="161" t="str">
        <f t="shared" si="288"/>
        <v/>
      </c>
      <c r="DP192" s="161" t="str">
        <f t="shared" si="289"/>
        <v/>
      </c>
      <c r="DQ192" s="161" t="str">
        <f t="shared" si="290"/>
        <v/>
      </c>
      <c r="DR192" s="161" t="str">
        <f t="shared" si="291"/>
        <v/>
      </c>
      <c r="DS192" s="161" t="str">
        <f t="shared" si="292"/>
        <v/>
      </c>
      <c r="DT192" s="161" t="str">
        <f t="shared" si="293"/>
        <v/>
      </c>
      <c r="DU192" s="161" t="str">
        <f t="shared" si="294"/>
        <v/>
      </c>
      <c r="DV192" s="161" t="str">
        <f t="shared" si="295"/>
        <v/>
      </c>
      <c r="DW192" s="161" t="str">
        <f t="shared" si="296"/>
        <v/>
      </c>
      <c r="DX192" s="161" t="str">
        <f t="shared" si="297"/>
        <v/>
      </c>
      <c r="DY192" s="161" t="str">
        <f t="shared" si="298"/>
        <v/>
      </c>
      <c r="DZ192" s="161" t="str">
        <f t="shared" si="299"/>
        <v/>
      </c>
      <c r="EA192" s="161" t="str">
        <f t="shared" si="300"/>
        <v/>
      </c>
      <c r="EB192" s="161" t="str">
        <f t="shared" si="301"/>
        <v/>
      </c>
      <c r="EC192" s="161" t="str">
        <f t="shared" si="302"/>
        <v/>
      </c>
      <c r="ED192" s="161" t="str">
        <f t="shared" si="303"/>
        <v/>
      </c>
      <c r="EE192" s="161" t="str">
        <f t="shared" si="304"/>
        <v/>
      </c>
      <c r="EF192" s="161" t="str">
        <f t="shared" si="305"/>
        <v/>
      </c>
      <c r="EG192" s="161" t="str">
        <f t="shared" si="306"/>
        <v/>
      </c>
      <c r="EH192" s="161" t="str">
        <f t="shared" si="307"/>
        <v/>
      </c>
      <c r="EI192" s="161" t="str">
        <f t="shared" si="308"/>
        <v/>
      </c>
      <c r="EJ192" s="161" t="str">
        <f t="shared" si="309"/>
        <v/>
      </c>
      <c r="EK192" s="147" t="str">
        <f t="shared" si="246"/>
        <v/>
      </c>
      <c r="EL192" s="149"/>
      <c r="EN192" s="146"/>
      <c r="EO192" s="146"/>
      <c r="EP192" s="139" t="str">
        <f t="shared" si="247"/>
        <v/>
      </c>
      <c r="EQ192" s="139" t="str">
        <f t="shared" si="248"/>
        <v/>
      </c>
      <c r="ER192" s="139" t="str">
        <f t="shared" si="249"/>
        <v/>
      </c>
      <c r="ES192" s="139" t="str">
        <f t="shared" si="250"/>
        <v/>
      </c>
      <c r="ET192" s="139" t="str">
        <f t="shared" si="251"/>
        <v/>
      </c>
      <c r="EU192" s="139" t="str">
        <f t="shared" si="252"/>
        <v/>
      </c>
      <c r="EV192" s="139" t="str">
        <f t="shared" si="253"/>
        <v/>
      </c>
      <c r="EW192" s="139" t="str">
        <f t="shared" si="254"/>
        <v/>
      </c>
      <c r="EX192" s="139" t="str">
        <f t="shared" si="255"/>
        <v/>
      </c>
      <c r="EY192" s="139" t="str">
        <f t="shared" si="256"/>
        <v/>
      </c>
      <c r="EZ192" s="139" t="str">
        <f t="shared" si="257"/>
        <v/>
      </c>
      <c r="FA192" s="139" t="str">
        <f t="shared" si="258"/>
        <v/>
      </c>
      <c r="FB192" s="139" t="str">
        <f t="shared" si="259"/>
        <v/>
      </c>
      <c r="FC192" s="139" t="str">
        <f t="shared" si="260"/>
        <v/>
      </c>
      <c r="FD192" s="139" t="str">
        <f t="shared" si="261"/>
        <v/>
      </c>
      <c r="FE192" s="139" t="str">
        <f t="shared" si="262"/>
        <v/>
      </c>
      <c r="FF192" s="139" t="str">
        <f t="shared" si="263"/>
        <v/>
      </c>
      <c r="FG192" s="139" t="str">
        <f t="shared" si="264"/>
        <v/>
      </c>
      <c r="FH192" s="139" t="str">
        <f t="shared" si="265"/>
        <v/>
      </c>
      <c r="FI192" s="139" t="str">
        <f t="shared" si="266"/>
        <v/>
      </c>
      <c r="FJ192" s="139" t="str">
        <f t="shared" si="267"/>
        <v/>
      </c>
      <c r="FK192" s="139" t="str">
        <f t="shared" si="268"/>
        <v/>
      </c>
      <c r="FL192" s="139" t="str">
        <f t="shared" si="269"/>
        <v/>
      </c>
      <c r="FM192" s="139" t="str">
        <f t="shared" si="270"/>
        <v/>
      </c>
      <c r="FN192" s="139" t="str">
        <f t="shared" si="271"/>
        <v/>
      </c>
      <c r="FO192" s="139" t="str">
        <f t="shared" si="272"/>
        <v/>
      </c>
      <c r="FP192" s="139" t="str">
        <f t="shared" si="273"/>
        <v/>
      </c>
      <c r="FQ192" s="139" t="str">
        <f t="shared" si="274"/>
        <v/>
      </c>
      <c r="FR192" s="139" t="str">
        <f t="shared" si="275"/>
        <v/>
      </c>
      <c r="FS192" s="139" t="str">
        <f t="shared" si="276"/>
        <v/>
      </c>
      <c r="FT192" s="139" t="str">
        <f t="shared" si="277"/>
        <v/>
      </c>
      <c r="FU192" s="148" t="str">
        <f t="shared" si="278"/>
        <v/>
      </c>
      <c r="FV192" s="149"/>
      <c r="FY192" s="210">
        <v>187</v>
      </c>
      <c r="FZ192">
        <v>6.6366169570396066E-2</v>
      </c>
      <c r="GA192">
        <v>2.9875012449289695</v>
      </c>
      <c r="GB192">
        <v>1.9633367843446625</v>
      </c>
      <c r="GC192">
        <v>6.7420813606176679</v>
      </c>
      <c r="GD192">
        <v>5.4556962266850926</v>
      </c>
      <c r="GE192">
        <v>1.32663679561035</v>
      </c>
      <c r="GF192">
        <v>0.5704949313633032</v>
      </c>
      <c r="GG192">
        <v>0.98521909943193808</v>
      </c>
      <c r="GH192">
        <v>0.66238017508411107</v>
      </c>
      <c r="GI192">
        <v>4.5607273802676023</v>
      </c>
      <c r="GJ192"/>
      <c r="GK192"/>
      <c r="GL192"/>
      <c r="GM192"/>
    </row>
    <row r="193" spans="1:195" s="7" customFormat="1">
      <c r="A193" s="1"/>
      <c r="B193" s="76" t="str">
        <f ca="1">IF(C193="", "", RAND())</f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8.335851648351646</v>
      </c>
      <c r="AO193">
        <v>6.9497628847194264</v>
      </c>
      <c r="AP193">
        <v>34.51032525849876</v>
      </c>
      <c r="AQ193">
        <v>29.073931273114709</v>
      </c>
      <c r="AR193">
        <v>6.4469043457508581</v>
      </c>
      <c r="AS193">
        <v>32.282443146018906</v>
      </c>
      <c r="AT193" t="e">
        <v>#DIV/0!</v>
      </c>
      <c r="AU193" t="e">
        <v>#DIV/0!</v>
      </c>
      <c r="AV193"/>
      <c r="AW193"/>
      <c r="AX193" s="146"/>
      <c r="AY193" s="76" t="str">
        <f t="shared" ca="1" si="169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4"/>
        <v/>
      </c>
      <c r="CL193" s="179" t="str">
        <f t="shared" si="205"/>
        <v/>
      </c>
      <c r="CM193" s="180" t="str">
        <f t="shared" si="206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07"/>
        <v/>
      </c>
      <c r="DB193" s="146"/>
      <c r="DC193" s="76" t="str">
        <f t="shared" ca="1" si="170"/>
        <v/>
      </c>
      <c r="DD193" t="str">
        <f t="shared" si="208"/>
        <v/>
      </c>
      <c r="DE193" s="129" t="str">
        <f t="shared" si="279"/>
        <v/>
      </c>
      <c r="DF193" s="161" t="str">
        <f t="shared" si="280"/>
        <v/>
      </c>
      <c r="DG193" s="161" t="str">
        <f t="shared" si="281"/>
        <v/>
      </c>
      <c r="DH193" s="161" t="str">
        <f t="shared" si="282"/>
        <v/>
      </c>
      <c r="DI193" s="161" t="str">
        <f t="shared" si="283"/>
        <v/>
      </c>
      <c r="DJ193" s="161" t="str">
        <f t="shared" si="284"/>
        <v/>
      </c>
      <c r="DK193" s="161" t="str">
        <f t="shared" si="285"/>
        <v/>
      </c>
      <c r="DL193" s="161" t="str">
        <f t="shared" si="286"/>
        <v/>
      </c>
      <c r="DM193" s="161" t="str">
        <f t="shared" si="287"/>
        <v/>
      </c>
      <c r="DN193" s="161" t="str">
        <f t="shared" ref="DN193:DN207" si="310">IF($AZ193="", "", (BJ193*$CW193)/$CZ193)</f>
        <v/>
      </c>
      <c r="DO193" s="161" t="str">
        <f t="shared" si="288"/>
        <v/>
      </c>
      <c r="DP193" s="161" t="str">
        <f t="shared" si="289"/>
        <v/>
      </c>
      <c r="DQ193" s="161" t="str">
        <f t="shared" si="290"/>
        <v/>
      </c>
      <c r="DR193" s="161" t="str">
        <f t="shared" si="291"/>
        <v/>
      </c>
      <c r="DS193" s="161" t="str">
        <f t="shared" si="292"/>
        <v/>
      </c>
      <c r="DT193" s="161" t="str">
        <f t="shared" si="293"/>
        <v/>
      </c>
      <c r="DU193" s="161" t="str">
        <f t="shared" si="294"/>
        <v/>
      </c>
      <c r="DV193" s="161" t="str">
        <f t="shared" si="295"/>
        <v/>
      </c>
      <c r="DW193" s="161" t="str">
        <f t="shared" si="296"/>
        <v/>
      </c>
      <c r="DX193" s="161" t="str">
        <f t="shared" si="297"/>
        <v/>
      </c>
      <c r="DY193" s="161" t="str">
        <f t="shared" si="298"/>
        <v/>
      </c>
      <c r="DZ193" s="161" t="str">
        <f t="shared" si="299"/>
        <v/>
      </c>
      <c r="EA193" s="161" t="str">
        <f t="shared" si="300"/>
        <v/>
      </c>
      <c r="EB193" s="161" t="str">
        <f t="shared" si="301"/>
        <v/>
      </c>
      <c r="EC193" s="161" t="str">
        <f t="shared" si="302"/>
        <v/>
      </c>
      <c r="ED193" s="161" t="str">
        <f t="shared" si="303"/>
        <v/>
      </c>
      <c r="EE193" s="161" t="str">
        <f t="shared" si="304"/>
        <v/>
      </c>
      <c r="EF193" s="161" t="str">
        <f t="shared" si="305"/>
        <v/>
      </c>
      <c r="EG193" s="161" t="str">
        <f t="shared" si="306"/>
        <v/>
      </c>
      <c r="EH193" s="161" t="str">
        <f t="shared" si="307"/>
        <v/>
      </c>
      <c r="EI193" s="161" t="str">
        <f t="shared" si="308"/>
        <v/>
      </c>
      <c r="EJ193" s="161" t="str">
        <f t="shared" si="309"/>
        <v/>
      </c>
      <c r="EK193" s="147" t="str">
        <f t="shared" si="246"/>
        <v/>
      </c>
      <c r="EL193" s="149"/>
      <c r="EN193" s="146"/>
      <c r="EO193" s="146"/>
      <c r="EP193" s="139" t="str">
        <f t="shared" si="247"/>
        <v/>
      </c>
      <c r="EQ193" s="139" t="str">
        <f t="shared" si="248"/>
        <v/>
      </c>
      <c r="ER193" s="139" t="str">
        <f t="shared" si="249"/>
        <v/>
      </c>
      <c r="ES193" s="139" t="str">
        <f t="shared" si="250"/>
        <v/>
      </c>
      <c r="ET193" s="139" t="str">
        <f t="shared" si="251"/>
        <v/>
      </c>
      <c r="EU193" s="139" t="str">
        <f t="shared" si="252"/>
        <v/>
      </c>
      <c r="EV193" s="139" t="str">
        <f t="shared" si="253"/>
        <v/>
      </c>
      <c r="EW193" s="139" t="str">
        <f t="shared" si="254"/>
        <v/>
      </c>
      <c r="EX193" s="139" t="str">
        <f t="shared" si="255"/>
        <v/>
      </c>
      <c r="EY193" s="139" t="str">
        <f t="shared" si="256"/>
        <v/>
      </c>
      <c r="EZ193" s="139" t="str">
        <f t="shared" si="257"/>
        <v/>
      </c>
      <c r="FA193" s="139" t="str">
        <f t="shared" si="258"/>
        <v/>
      </c>
      <c r="FB193" s="139" t="str">
        <f t="shared" si="259"/>
        <v/>
      </c>
      <c r="FC193" s="139" t="str">
        <f t="shared" si="260"/>
        <v/>
      </c>
      <c r="FD193" s="139" t="str">
        <f t="shared" si="261"/>
        <v/>
      </c>
      <c r="FE193" s="139" t="str">
        <f t="shared" si="262"/>
        <v/>
      </c>
      <c r="FF193" s="139" t="str">
        <f t="shared" si="263"/>
        <v/>
      </c>
      <c r="FG193" s="139" t="str">
        <f t="shared" si="264"/>
        <v/>
      </c>
      <c r="FH193" s="139" t="str">
        <f t="shared" si="265"/>
        <v/>
      </c>
      <c r="FI193" s="139" t="str">
        <f t="shared" si="266"/>
        <v/>
      </c>
      <c r="FJ193" s="139" t="str">
        <f t="shared" si="267"/>
        <v/>
      </c>
      <c r="FK193" s="139" t="str">
        <f t="shared" si="268"/>
        <v/>
      </c>
      <c r="FL193" s="139" t="str">
        <f t="shared" si="269"/>
        <v/>
      </c>
      <c r="FM193" s="139" t="str">
        <f t="shared" si="270"/>
        <v/>
      </c>
      <c r="FN193" s="139" t="str">
        <f t="shared" si="271"/>
        <v/>
      </c>
      <c r="FO193" s="139" t="str">
        <f t="shared" si="272"/>
        <v/>
      </c>
      <c r="FP193" s="139" t="str">
        <f t="shared" si="273"/>
        <v/>
      </c>
      <c r="FQ193" s="139" t="str">
        <f t="shared" si="274"/>
        <v/>
      </c>
      <c r="FR193" s="139" t="str">
        <f t="shared" si="275"/>
        <v/>
      </c>
      <c r="FS193" s="139" t="str">
        <f t="shared" si="276"/>
        <v/>
      </c>
      <c r="FT193" s="139" t="str">
        <f t="shared" si="277"/>
        <v/>
      </c>
      <c r="FU193" s="148" t="str">
        <f t="shared" si="278"/>
        <v/>
      </c>
      <c r="FV193" s="149"/>
      <c r="FY193" s="210">
        <v>188</v>
      </c>
      <c r="FZ193">
        <v>0.31204805757459919</v>
      </c>
      <c r="GA193">
        <v>0.74468383378545822</v>
      </c>
      <c r="GB193">
        <v>0.19180897996742202</v>
      </c>
      <c r="GC193">
        <v>10.49164765656151</v>
      </c>
      <c r="GD193">
        <v>8.7535309016505085</v>
      </c>
      <c r="GE193">
        <v>2.5687751274855688</v>
      </c>
      <c r="GF193">
        <v>1.2613862803785265</v>
      </c>
      <c r="GG193">
        <v>1.2981488832102204</v>
      </c>
      <c r="GH193">
        <v>1.3247603501682221</v>
      </c>
      <c r="GI193">
        <v>6.766990501440592</v>
      </c>
      <c r="GJ193"/>
      <c r="GK193"/>
      <c r="GL193"/>
      <c r="GM193"/>
    </row>
    <row r="194" spans="1:195" s="7" customFormat="1">
      <c r="A194" s="1"/>
      <c r="B194" s="76" t="str">
        <f ca="1">IF(C194="", "", RAND())</f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7.0890758547008543</v>
      </c>
      <c r="AO194">
        <v>8.6505893040403414</v>
      </c>
      <c r="AP194">
        <v>27.507310517599173</v>
      </c>
      <c r="AQ194">
        <v>28.215796836785294</v>
      </c>
      <c r="AR194">
        <v>7.971800183048817</v>
      </c>
      <c r="AS194">
        <v>31.804677527274514</v>
      </c>
      <c r="AT194" t="e">
        <v>#DIV/0!</v>
      </c>
      <c r="AU194" t="e">
        <v>#DIV/0!</v>
      </c>
      <c r="AV194"/>
      <c r="AW194"/>
      <c r="AX194" s="146"/>
      <c r="AY194" s="76" t="str">
        <f t="shared" ca="1" si="169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4"/>
        <v/>
      </c>
      <c r="CL194" s="179" t="str">
        <f t="shared" si="205"/>
        <v/>
      </c>
      <c r="CM194" s="180" t="str">
        <f t="shared" si="206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07"/>
        <v/>
      </c>
      <c r="DB194" s="146"/>
      <c r="DC194" s="76" t="str">
        <f t="shared" ca="1" si="170"/>
        <v/>
      </c>
      <c r="DD194" t="str">
        <f t="shared" si="208"/>
        <v/>
      </c>
      <c r="DE194" s="129" t="str">
        <f t="shared" si="279"/>
        <v/>
      </c>
      <c r="DF194" s="161" t="str">
        <f t="shared" si="280"/>
        <v/>
      </c>
      <c r="DG194" s="161" t="str">
        <f t="shared" si="281"/>
        <v/>
      </c>
      <c r="DH194" s="161" t="str">
        <f t="shared" si="282"/>
        <v/>
      </c>
      <c r="DI194" s="161" t="str">
        <f t="shared" si="283"/>
        <v/>
      </c>
      <c r="DJ194" s="161" t="str">
        <f t="shared" si="284"/>
        <v/>
      </c>
      <c r="DK194" s="161" t="str">
        <f t="shared" si="285"/>
        <v/>
      </c>
      <c r="DL194" s="161" t="str">
        <f t="shared" si="286"/>
        <v/>
      </c>
      <c r="DM194" s="161" t="str">
        <f t="shared" si="287"/>
        <v/>
      </c>
      <c r="DN194" s="161" t="str">
        <f t="shared" si="310"/>
        <v/>
      </c>
      <c r="DO194" s="161" t="str">
        <f t="shared" ref="DO194:DO206" si="311">IF($AZ194="", "", (BK193*$CW194)/$CZ194)</f>
        <v/>
      </c>
      <c r="DP194" s="161" t="str">
        <f t="shared" ref="DP194:DP206" si="312">IF($AZ194="", "", (BL193*$CW194)/$CZ194)</f>
        <v/>
      </c>
      <c r="DQ194" s="161" t="str">
        <f t="shared" ref="DQ194:DQ206" si="313">IF($AZ194="", "", (BM193*$CW194)/$CZ194)</f>
        <v/>
      </c>
      <c r="DR194" s="161" t="str">
        <f t="shared" ref="DR194:DR206" si="314">IF($AZ194="", "", (BN193*$CW194)/$CZ194)</f>
        <v/>
      </c>
      <c r="DS194" s="161" t="str">
        <f t="shared" ref="DS194:DS206" si="315">IF($AZ194="", "", (BO193*$CW194)/$CZ194)</f>
        <v/>
      </c>
      <c r="DT194" s="161" t="str">
        <f t="shared" ref="DT194:DT206" si="316">IF($AZ194="", "", (BP193*$CW194)/$CZ194)</f>
        <v/>
      </c>
      <c r="DU194" s="161" t="str">
        <f t="shared" ref="DU194:DU206" si="317">IF($AZ194="", "", (BQ193*$CW194)/$CZ194)</f>
        <v/>
      </c>
      <c r="DV194" s="161" t="str">
        <f t="shared" ref="DV194:DV206" si="318">IF($AZ194="", "", (BR193*$CW194)/$CZ194)</f>
        <v/>
      </c>
      <c r="DW194" s="161" t="str">
        <f t="shared" ref="DW194:DW206" si="319">IF($AZ194="", "", (BS193*$CW194)/$CZ194)</f>
        <v/>
      </c>
      <c r="DX194" s="161" t="str">
        <f t="shared" ref="DX194:DX206" si="320">IF($AZ194="", "", (BT193*$CW194)/$CZ194)</f>
        <v/>
      </c>
      <c r="DY194" s="161" t="str">
        <f t="shared" ref="DY194:DY206" si="321">IF($AZ194="", "", (BU193*$CW194)/$CZ194)</f>
        <v/>
      </c>
      <c r="DZ194" s="161" t="str">
        <f t="shared" ref="DZ194:DZ206" si="322">IF($AZ194="", "", (BV193*$CW194)/$CZ194)</f>
        <v/>
      </c>
      <c r="EA194" s="161" t="str">
        <f t="shared" ref="EA194:EA206" si="323">IF($AZ194="", "", (BW193*$CW194)/$CZ194)</f>
        <v/>
      </c>
      <c r="EB194" s="161" t="str">
        <f t="shared" ref="EB194:EB206" si="324">IF($AZ194="", "", (BX193*$CW194)/$CZ194)</f>
        <v/>
      </c>
      <c r="EC194" s="161" t="str">
        <f t="shared" ref="EC194:EC206" si="325">IF($AZ194="", "", (BY193*$CW194)/$CZ194)</f>
        <v/>
      </c>
      <c r="ED194" s="161" t="str">
        <f t="shared" ref="ED194:ED206" si="326">IF($AZ194="", "", (BZ193*$CW194)/$CZ194)</f>
        <v/>
      </c>
      <c r="EE194" s="161" t="str">
        <f t="shared" ref="EE194:EE206" si="327">IF($AZ194="", "", (CA193*$CW194)/$CZ194)</f>
        <v/>
      </c>
      <c r="EF194" s="161" t="str">
        <f t="shared" ref="EF194:EF206" si="328">IF($AZ194="", "", (CB193*$CW194)/$CZ194)</f>
        <v/>
      </c>
      <c r="EG194" s="161" t="str">
        <f t="shared" ref="EG194:EG206" si="329">IF($AZ194="", "", (CC193*$CW194)/$CZ194)</f>
        <v/>
      </c>
      <c r="EH194" s="161" t="str">
        <f t="shared" ref="EH194:EH206" si="330">IF($AZ194="", "", (CD193*$CW194)/$CZ194)</f>
        <v/>
      </c>
      <c r="EI194" s="161" t="str">
        <f t="shared" ref="EI194:EI206" si="331">IF($AZ194="", "", (CE193*$CW194)/$CZ194)</f>
        <v/>
      </c>
      <c r="EJ194" s="161" t="str">
        <f t="shared" ref="EJ194:EJ206" si="332">IF($AZ194="", "", (CF193*$CW194)/$CZ194)</f>
        <v/>
      </c>
      <c r="EK194" s="147" t="str">
        <f t="shared" si="246"/>
        <v/>
      </c>
      <c r="EL194" s="149"/>
      <c r="EN194" s="146"/>
      <c r="EO194" s="146"/>
      <c r="EP194" s="139" t="str">
        <f t="shared" si="247"/>
        <v/>
      </c>
      <c r="EQ194" s="139" t="str">
        <f t="shared" si="248"/>
        <v/>
      </c>
      <c r="ER194" s="139" t="str">
        <f t="shared" si="249"/>
        <v/>
      </c>
      <c r="ES194" s="139" t="str">
        <f t="shared" si="250"/>
        <v/>
      </c>
      <c r="ET194" s="139" t="str">
        <f t="shared" si="251"/>
        <v/>
      </c>
      <c r="EU194" s="139" t="str">
        <f t="shared" si="252"/>
        <v/>
      </c>
      <c r="EV194" s="139" t="str">
        <f t="shared" si="253"/>
        <v/>
      </c>
      <c r="EW194" s="139" t="str">
        <f t="shared" si="254"/>
        <v/>
      </c>
      <c r="EX194" s="139" t="str">
        <f t="shared" si="255"/>
        <v/>
      </c>
      <c r="EY194" s="139" t="str">
        <f t="shared" si="256"/>
        <v/>
      </c>
      <c r="EZ194" s="139" t="str">
        <f t="shared" si="257"/>
        <v/>
      </c>
      <c r="FA194" s="139" t="str">
        <f t="shared" si="258"/>
        <v/>
      </c>
      <c r="FB194" s="139" t="str">
        <f t="shared" si="259"/>
        <v/>
      </c>
      <c r="FC194" s="139" t="str">
        <f t="shared" si="260"/>
        <v/>
      </c>
      <c r="FD194" s="139" t="str">
        <f t="shared" si="261"/>
        <v/>
      </c>
      <c r="FE194" s="139" t="str">
        <f t="shared" si="262"/>
        <v/>
      </c>
      <c r="FF194" s="139" t="str">
        <f t="shared" si="263"/>
        <v/>
      </c>
      <c r="FG194" s="139" t="str">
        <f t="shared" si="264"/>
        <v/>
      </c>
      <c r="FH194" s="139" t="str">
        <f t="shared" si="265"/>
        <v/>
      </c>
      <c r="FI194" s="139" t="str">
        <f t="shared" si="266"/>
        <v/>
      </c>
      <c r="FJ194" s="139" t="str">
        <f t="shared" si="267"/>
        <v/>
      </c>
      <c r="FK194" s="139" t="str">
        <f t="shared" si="268"/>
        <v/>
      </c>
      <c r="FL194" s="139" t="str">
        <f t="shared" si="269"/>
        <v/>
      </c>
      <c r="FM194" s="139" t="str">
        <f t="shared" si="270"/>
        <v/>
      </c>
      <c r="FN194" s="139" t="str">
        <f t="shared" si="271"/>
        <v/>
      </c>
      <c r="FO194" s="139" t="str">
        <f t="shared" si="272"/>
        <v/>
      </c>
      <c r="FP194" s="139" t="str">
        <f t="shared" si="273"/>
        <v/>
      </c>
      <c r="FQ194" s="139" t="str">
        <f t="shared" si="274"/>
        <v/>
      </c>
      <c r="FR194" s="139" t="str">
        <f t="shared" si="275"/>
        <v/>
      </c>
      <c r="FS194" s="139" t="str">
        <f t="shared" si="276"/>
        <v/>
      </c>
      <c r="FT194" s="139" t="str">
        <f t="shared" si="277"/>
        <v/>
      </c>
      <c r="FU194" s="148" t="str">
        <f t="shared" si="278"/>
        <v/>
      </c>
      <c r="FV194" s="149"/>
      <c r="FY194" s="210">
        <v>189</v>
      </c>
      <c r="FZ194">
        <v>9.9549254355594113E-2</v>
      </c>
      <c r="GA194">
        <v>2.9013521720385604</v>
      </c>
      <c r="GB194">
        <v>1.899400457688855</v>
      </c>
      <c r="GC194">
        <v>7.891766454865758</v>
      </c>
      <c r="GD194">
        <v>6.5430011933724126</v>
      </c>
      <c r="GE194">
        <v>1.8147363908084939</v>
      </c>
      <c r="GF194">
        <v>0.19016497712110106</v>
      </c>
      <c r="GG194">
        <v>0.64907444160511019</v>
      </c>
      <c r="GH194">
        <v>0.66238017508411107</v>
      </c>
      <c r="GI194">
        <v>5.2496236523476938</v>
      </c>
      <c r="GJ194"/>
      <c r="GK194"/>
      <c r="GL194"/>
      <c r="GM194"/>
    </row>
    <row r="195" spans="1:195" s="7" customFormat="1">
      <c r="A195" s="1"/>
      <c r="B195" s="76" t="str">
        <f ca="1">IF(C195="", "", RAND())</f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6.1423992673992673</v>
      </c>
      <c r="AO195">
        <v>6.8283294587448733</v>
      </c>
      <c r="AP195">
        <v>25.330296390765181</v>
      </c>
      <c r="AQ195">
        <v>24.1684181915167</v>
      </c>
      <c r="AR195">
        <v>6.3342573828802173</v>
      </c>
      <c r="AS195">
        <v>32.284726402972858</v>
      </c>
      <c r="AT195" t="e">
        <v>#DIV/0!</v>
      </c>
      <c r="AU195" t="e">
        <v>#DIV/0!</v>
      </c>
      <c r="AV195"/>
      <c r="AW195"/>
      <c r="AX195" s="146"/>
      <c r="AY195" s="76" t="str">
        <f t="shared" ca="1" si="169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4"/>
        <v/>
      </c>
      <c r="CL195" s="179" t="str">
        <f t="shared" si="205"/>
        <v/>
      </c>
      <c r="CM195" s="180" t="str">
        <f t="shared" si="206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07"/>
        <v/>
      </c>
      <c r="DB195" s="146"/>
      <c r="DC195" s="76" t="str">
        <f t="shared" ca="1" si="170"/>
        <v/>
      </c>
      <c r="DD195" t="str">
        <f t="shared" si="208"/>
        <v/>
      </c>
      <c r="DE195" s="129" t="str">
        <f t="shared" si="279"/>
        <v/>
      </c>
      <c r="DF195" s="161" t="str">
        <f t="shared" si="280"/>
        <v/>
      </c>
      <c r="DG195" s="161" t="str">
        <f t="shared" si="281"/>
        <v/>
      </c>
      <c r="DH195" s="161" t="str">
        <f t="shared" si="282"/>
        <v/>
      </c>
      <c r="DI195" s="161" t="str">
        <f t="shared" si="283"/>
        <v/>
      </c>
      <c r="DJ195" s="161" t="str">
        <f t="shared" si="284"/>
        <v/>
      </c>
      <c r="DK195" s="161" t="str">
        <f t="shared" si="285"/>
        <v/>
      </c>
      <c r="DL195" s="161" t="str">
        <f t="shared" si="286"/>
        <v/>
      </c>
      <c r="DM195" s="161" t="str">
        <f t="shared" si="287"/>
        <v/>
      </c>
      <c r="DN195" s="161" t="str">
        <f t="shared" si="310"/>
        <v/>
      </c>
      <c r="DO195" s="161" t="str">
        <f t="shared" si="311"/>
        <v/>
      </c>
      <c r="DP195" s="161" t="str">
        <f t="shared" si="312"/>
        <v/>
      </c>
      <c r="DQ195" s="161" t="str">
        <f t="shared" si="313"/>
        <v/>
      </c>
      <c r="DR195" s="161" t="str">
        <f t="shared" si="314"/>
        <v/>
      </c>
      <c r="DS195" s="161" t="str">
        <f t="shared" si="315"/>
        <v/>
      </c>
      <c r="DT195" s="161" t="str">
        <f t="shared" si="316"/>
        <v/>
      </c>
      <c r="DU195" s="161" t="str">
        <f t="shared" si="317"/>
        <v/>
      </c>
      <c r="DV195" s="161" t="str">
        <f t="shared" si="318"/>
        <v/>
      </c>
      <c r="DW195" s="161" t="str">
        <f t="shared" si="319"/>
        <v/>
      </c>
      <c r="DX195" s="161" t="str">
        <f t="shared" si="320"/>
        <v/>
      </c>
      <c r="DY195" s="161" t="str">
        <f t="shared" si="321"/>
        <v/>
      </c>
      <c r="DZ195" s="161" t="str">
        <f t="shared" si="322"/>
        <v/>
      </c>
      <c r="EA195" s="161" t="str">
        <f t="shared" si="323"/>
        <v/>
      </c>
      <c r="EB195" s="161" t="str">
        <f t="shared" si="324"/>
        <v/>
      </c>
      <c r="EC195" s="161" t="str">
        <f t="shared" si="325"/>
        <v/>
      </c>
      <c r="ED195" s="161" t="str">
        <f t="shared" si="326"/>
        <v/>
      </c>
      <c r="EE195" s="161" t="str">
        <f t="shared" si="327"/>
        <v/>
      </c>
      <c r="EF195" s="161" t="str">
        <f t="shared" si="328"/>
        <v/>
      </c>
      <c r="EG195" s="161" t="str">
        <f t="shared" si="329"/>
        <v/>
      </c>
      <c r="EH195" s="161" t="str">
        <f t="shared" si="330"/>
        <v/>
      </c>
      <c r="EI195" s="161" t="str">
        <f t="shared" si="331"/>
        <v/>
      </c>
      <c r="EJ195" s="161" t="str">
        <f t="shared" si="332"/>
        <v/>
      </c>
      <c r="EK195" s="147" t="str">
        <f t="shared" si="246"/>
        <v/>
      </c>
      <c r="EL195" s="149"/>
      <c r="EN195" s="146"/>
      <c r="EO195" s="146"/>
      <c r="EP195" s="139" t="str">
        <f t="shared" si="247"/>
        <v/>
      </c>
      <c r="EQ195" s="139" t="str">
        <f t="shared" si="248"/>
        <v/>
      </c>
      <c r="ER195" s="139" t="str">
        <f t="shared" si="249"/>
        <v/>
      </c>
      <c r="ES195" s="139" t="str">
        <f t="shared" si="250"/>
        <v/>
      </c>
      <c r="ET195" s="139" t="str">
        <f t="shared" si="251"/>
        <v/>
      </c>
      <c r="EU195" s="139" t="str">
        <f t="shared" si="252"/>
        <v/>
      </c>
      <c r="EV195" s="139" t="str">
        <f t="shared" si="253"/>
        <v/>
      </c>
      <c r="EW195" s="139" t="str">
        <f t="shared" si="254"/>
        <v/>
      </c>
      <c r="EX195" s="139" t="str">
        <f t="shared" si="255"/>
        <v/>
      </c>
      <c r="EY195" s="139" t="str">
        <f t="shared" si="256"/>
        <v/>
      </c>
      <c r="EZ195" s="139" t="str">
        <f t="shared" si="257"/>
        <v/>
      </c>
      <c r="FA195" s="139" t="str">
        <f t="shared" si="258"/>
        <v/>
      </c>
      <c r="FB195" s="139" t="str">
        <f t="shared" si="259"/>
        <v/>
      </c>
      <c r="FC195" s="139" t="str">
        <f t="shared" si="260"/>
        <v/>
      </c>
      <c r="FD195" s="139" t="str">
        <f t="shared" si="261"/>
        <v/>
      </c>
      <c r="FE195" s="139" t="str">
        <f t="shared" si="262"/>
        <v/>
      </c>
      <c r="FF195" s="139" t="str">
        <f t="shared" si="263"/>
        <v/>
      </c>
      <c r="FG195" s="139" t="str">
        <f t="shared" si="264"/>
        <v/>
      </c>
      <c r="FH195" s="139" t="str">
        <f t="shared" si="265"/>
        <v/>
      </c>
      <c r="FI195" s="139" t="str">
        <f t="shared" si="266"/>
        <v/>
      </c>
      <c r="FJ195" s="139" t="str">
        <f t="shared" si="267"/>
        <v/>
      </c>
      <c r="FK195" s="139" t="str">
        <f t="shared" si="268"/>
        <v/>
      </c>
      <c r="FL195" s="139" t="str">
        <f t="shared" si="269"/>
        <v/>
      </c>
      <c r="FM195" s="139" t="str">
        <f t="shared" si="270"/>
        <v/>
      </c>
      <c r="FN195" s="139" t="str">
        <f t="shared" si="271"/>
        <v/>
      </c>
      <c r="FO195" s="139" t="str">
        <f t="shared" si="272"/>
        <v/>
      </c>
      <c r="FP195" s="139" t="str">
        <f t="shared" si="273"/>
        <v/>
      </c>
      <c r="FQ195" s="139" t="str">
        <f t="shared" si="274"/>
        <v/>
      </c>
      <c r="FR195" s="139" t="str">
        <f t="shared" si="275"/>
        <v/>
      </c>
      <c r="FS195" s="139" t="str">
        <f t="shared" si="276"/>
        <v/>
      </c>
      <c r="FT195" s="139" t="str">
        <f t="shared" si="277"/>
        <v/>
      </c>
      <c r="FU195" s="148" t="str">
        <f t="shared" si="278"/>
        <v/>
      </c>
      <c r="FV195" s="149"/>
      <c r="FY195" s="210">
        <v>190</v>
      </c>
      <c r="FZ195">
        <v>3.3183084785198033E-2</v>
      </c>
      <c r="GA195">
        <v>0.4154164533379337</v>
      </c>
      <c r="GB195">
        <v>1.3359376674168932</v>
      </c>
      <c r="GC195">
        <v>3.2763669853232793</v>
      </c>
      <c r="GD195">
        <v>2.4415042013337636</v>
      </c>
      <c r="GE195">
        <v>0.80161328311131574</v>
      </c>
      <c r="GF195">
        <v>1.1409898627266062</v>
      </c>
      <c r="GG195">
        <v>2.4514403115555723</v>
      </c>
      <c r="GH195">
        <v>1.9871405252523333</v>
      </c>
      <c r="GI195">
        <v>2.5489824202214937</v>
      </c>
      <c r="GJ195"/>
      <c r="GK195"/>
      <c r="GL195"/>
      <c r="GM195"/>
    </row>
    <row r="196" spans="1:195" s="7" customFormat="1">
      <c r="A196" s="1"/>
      <c r="B196" s="76" t="str">
        <f ca="1">IF(C196="", "", RAND())</f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6.6974587912087902</v>
      </c>
      <c r="AO196">
        <v>5.2419059504450392</v>
      </c>
      <c r="AP196">
        <v>23.993903094116426</v>
      </c>
      <c r="AQ196">
        <v>20.588010151163299</v>
      </c>
      <c r="AR196">
        <v>4.8626214753664563</v>
      </c>
      <c r="AS196">
        <v>26.175775394939759</v>
      </c>
      <c r="AT196" t="e">
        <v>#DIV/0!</v>
      </c>
      <c r="AU196" t="e">
        <v>#DIV/0!</v>
      </c>
      <c r="AV196"/>
      <c r="AW196"/>
      <c r="AX196" s="146"/>
      <c r="AY196" s="76" t="str">
        <f t="shared" ca="1" si="169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4"/>
        <v/>
      </c>
      <c r="CL196" s="179" t="str">
        <f t="shared" si="205"/>
        <v/>
      </c>
      <c r="CM196" s="180" t="str">
        <f t="shared" si="206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07"/>
        <v/>
      </c>
      <c r="DB196" s="146"/>
      <c r="DC196" s="76" t="str">
        <f t="shared" ca="1" si="170"/>
        <v/>
      </c>
      <c r="DD196" t="str">
        <f t="shared" si="208"/>
        <v/>
      </c>
      <c r="DE196" s="129" t="str">
        <f t="shared" si="279"/>
        <v/>
      </c>
      <c r="DF196" s="161" t="str">
        <f t="shared" si="280"/>
        <v/>
      </c>
      <c r="DG196" s="161" t="str">
        <f t="shared" si="281"/>
        <v/>
      </c>
      <c r="DH196" s="161" t="str">
        <f t="shared" si="282"/>
        <v/>
      </c>
      <c r="DI196" s="161" t="str">
        <f t="shared" si="283"/>
        <v/>
      </c>
      <c r="DJ196" s="161" t="str">
        <f t="shared" si="284"/>
        <v/>
      </c>
      <c r="DK196" s="161" t="str">
        <f t="shared" si="285"/>
        <v/>
      </c>
      <c r="DL196" s="161" t="str">
        <f t="shared" si="286"/>
        <v/>
      </c>
      <c r="DM196" s="161" t="str">
        <f t="shared" si="287"/>
        <v/>
      </c>
      <c r="DN196" s="161" t="str">
        <f t="shared" si="310"/>
        <v/>
      </c>
      <c r="DO196" s="161" t="str">
        <f t="shared" si="311"/>
        <v/>
      </c>
      <c r="DP196" s="161" t="str">
        <f t="shared" si="312"/>
        <v/>
      </c>
      <c r="DQ196" s="161" t="str">
        <f t="shared" si="313"/>
        <v/>
      </c>
      <c r="DR196" s="161" t="str">
        <f t="shared" si="314"/>
        <v/>
      </c>
      <c r="DS196" s="161" t="str">
        <f t="shared" si="315"/>
        <v/>
      </c>
      <c r="DT196" s="161" t="str">
        <f t="shared" si="316"/>
        <v/>
      </c>
      <c r="DU196" s="161" t="str">
        <f t="shared" si="317"/>
        <v/>
      </c>
      <c r="DV196" s="161" t="str">
        <f t="shared" si="318"/>
        <v/>
      </c>
      <c r="DW196" s="161" t="str">
        <f t="shared" si="319"/>
        <v/>
      </c>
      <c r="DX196" s="161" t="str">
        <f t="shared" si="320"/>
        <v/>
      </c>
      <c r="DY196" s="161" t="str">
        <f t="shared" si="321"/>
        <v/>
      </c>
      <c r="DZ196" s="161" t="str">
        <f t="shared" si="322"/>
        <v/>
      </c>
      <c r="EA196" s="161" t="str">
        <f t="shared" si="323"/>
        <v/>
      </c>
      <c r="EB196" s="161" t="str">
        <f t="shared" si="324"/>
        <v/>
      </c>
      <c r="EC196" s="161" t="str">
        <f t="shared" si="325"/>
        <v/>
      </c>
      <c r="ED196" s="161" t="str">
        <f t="shared" si="326"/>
        <v/>
      </c>
      <c r="EE196" s="161" t="str">
        <f t="shared" si="327"/>
        <v/>
      </c>
      <c r="EF196" s="161" t="str">
        <f t="shared" si="328"/>
        <v/>
      </c>
      <c r="EG196" s="161" t="str">
        <f t="shared" si="329"/>
        <v/>
      </c>
      <c r="EH196" s="161" t="str">
        <f t="shared" si="330"/>
        <v/>
      </c>
      <c r="EI196" s="161" t="str">
        <f t="shared" si="331"/>
        <v/>
      </c>
      <c r="EJ196" s="161" t="str">
        <f t="shared" si="332"/>
        <v/>
      </c>
      <c r="EK196" s="147" t="str">
        <f t="shared" si="246"/>
        <v/>
      </c>
      <c r="EL196" s="149"/>
      <c r="EN196" s="146"/>
      <c r="EO196" s="146"/>
      <c r="EP196" s="139" t="str">
        <f t="shared" si="247"/>
        <v/>
      </c>
      <c r="EQ196" s="139" t="str">
        <f t="shared" si="248"/>
        <v/>
      </c>
      <c r="ER196" s="139" t="str">
        <f t="shared" si="249"/>
        <v/>
      </c>
      <c r="ES196" s="139" t="str">
        <f t="shared" si="250"/>
        <v/>
      </c>
      <c r="ET196" s="139" t="str">
        <f t="shared" si="251"/>
        <v/>
      </c>
      <c r="EU196" s="139" t="str">
        <f t="shared" si="252"/>
        <v/>
      </c>
      <c r="EV196" s="139" t="str">
        <f t="shared" si="253"/>
        <v/>
      </c>
      <c r="EW196" s="139" t="str">
        <f t="shared" si="254"/>
        <v/>
      </c>
      <c r="EX196" s="139" t="str">
        <f t="shared" si="255"/>
        <v/>
      </c>
      <c r="EY196" s="139" t="str">
        <f t="shared" si="256"/>
        <v/>
      </c>
      <c r="EZ196" s="139" t="str">
        <f t="shared" si="257"/>
        <v/>
      </c>
      <c r="FA196" s="139" t="str">
        <f t="shared" si="258"/>
        <v/>
      </c>
      <c r="FB196" s="139" t="str">
        <f t="shared" si="259"/>
        <v/>
      </c>
      <c r="FC196" s="139" t="str">
        <f t="shared" si="260"/>
        <v/>
      </c>
      <c r="FD196" s="139" t="str">
        <f t="shared" si="261"/>
        <v/>
      </c>
      <c r="FE196" s="139" t="str">
        <f t="shared" si="262"/>
        <v/>
      </c>
      <c r="FF196" s="139" t="str">
        <f t="shared" si="263"/>
        <v/>
      </c>
      <c r="FG196" s="139" t="str">
        <f t="shared" si="264"/>
        <v/>
      </c>
      <c r="FH196" s="139" t="str">
        <f t="shared" si="265"/>
        <v/>
      </c>
      <c r="FI196" s="139" t="str">
        <f t="shared" si="266"/>
        <v/>
      </c>
      <c r="FJ196" s="139" t="str">
        <f t="shared" si="267"/>
        <v/>
      </c>
      <c r="FK196" s="139" t="str">
        <f t="shared" si="268"/>
        <v/>
      </c>
      <c r="FL196" s="139" t="str">
        <f t="shared" si="269"/>
        <v/>
      </c>
      <c r="FM196" s="139" t="str">
        <f t="shared" si="270"/>
        <v/>
      </c>
      <c r="FN196" s="139" t="str">
        <f t="shared" si="271"/>
        <v/>
      </c>
      <c r="FO196" s="139" t="str">
        <f t="shared" si="272"/>
        <v/>
      </c>
      <c r="FP196" s="139" t="str">
        <f t="shared" si="273"/>
        <v/>
      </c>
      <c r="FQ196" s="139" t="str">
        <f t="shared" si="274"/>
        <v/>
      </c>
      <c r="FR196" s="139" t="str">
        <f t="shared" si="275"/>
        <v/>
      </c>
      <c r="FS196" s="139" t="str">
        <f t="shared" si="276"/>
        <v/>
      </c>
      <c r="FT196" s="139" t="str">
        <f t="shared" si="277"/>
        <v/>
      </c>
      <c r="FU196" s="148" t="str">
        <f t="shared" si="278"/>
        <v/>
      </c>
      <c r="FV196" s="149"/>
      <c r="FY196" s="210">
        <v>191</v>
      </c>
      <c r="FZ196">
        <v>0.27886497278940114</v>
      </c>
      <c r="GA196">
        <v>2.2651593838014525</v>
      </c>
      <c r="GB196">
        <v>0.91881880286744089</v>
      </c>
      <c r="GC196">
        <v>6.8988798124754744</v>
      </c>
      <c r="GD196">
        <v>5.5977348447019679</v>
      </c>
      <c r="GE196">
        <v>1.0131231076971783</v>
      </c>
      <c r="GF196">
        <v>0.38032995424220212</v>
      </c>
      <c r="GG196">
        <v>0.3361446578268279</v>
      </c>
      <c r="GH196">
        <v>0</v>
      </c>
      <c r="GI196">
        <v>4.3414518480175968</v>
      </c>
      <c r="GJ196"/>
      <c r="GK196"/>
      <c r="GL196"/>
      <c r="GM196"/>
    </row>
    <row r="197" spans="1:195" s="7" customFormat="1">
      <c r="A197" s="1"/>
      <c r="B197" s="76" t="str">
        <f ca="1">IF(C197="", "", RAND())</f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6.6290445665445663</v>
      </c>
      <c r="AO197">
        <v>5.7639892988644252</v>
      </c>
      <c r="AP197">
        <v>21.836717270781161</v>
      </c>
      <c r="AQ197">
        <v>20.97253055000543</v>
      </c>
      <c r="AR197">
        <v>5.3469288486682984</v>
      </c>
      <c r="AS197">
        <v>27.270366853112087</v>
      </c>
      <c r="AT197" t="e">
        <v>#DIV/0!</v>
      </c>
      <c r="AU197" t="e">
        <v>#DIV/0!</v>
      </c>
      <c r="AV197"/>
      <c r="AW197"/>
      <c r="AX197" s="146"/>
      <c r="AY197" s="76" t="str">
        <f t="shared" ca="1" si="169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4"/>
        <v/>
      </c>
      <c r="CL197" s="179" t="str">
        <f t="shared" si="205"/>
        <v/>
      </c>
      <c r="CM197" s="180" t="str">
        <f t="shared" si="206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07"/>
        <v/>
      </c>
      <c r="DB197" s="146"/>
      <c r="DC197" s="76" t="str">
        <f t="shared" ca="1" si="170"/>
        <v/>
      </c>
      <c r="DD197" t="str">
        <f t="shared" si="208"/>
        <v/>
      </c>
      <c r="DE197" s="129" t="str">
        <f t="shared" si="279"/>
        <v/>
      </c>
      <c r="DF197" s="161" t="str">
        <f t="shared" si="280"/>
        <v/>
      </c>
      <c r="DG197" s="161" t="str">
        <f t="shared" si="281"/>
        <v/>
      </c>
      <c r="DH197" s="161" t="str">
        <f t="shared" si="282"/>
        <v/>
      </c>
      <c r="DI197" s="161" t="str">
        <f t="shared" si="283"/>
        <v/>
      </c>
      <c r="DJ197" s="161" t="str">
        <f t="shared" si="284"/>
        <v/>
      </c>
      <c r="DK197" s="161" t="str">
        <f t="shared" si="285"/>
        <v/>
      </c>
      <c r="DL197" s="161" t="str">
        <f t="shared" si="286"/>
        <v/>
      </c>
      <c r="DM197" s="161" t="str">
        <f t="shared" si="287"/>
        <v/>
      </c>
      <c r="DN197" s="161" t="str">
        <f t="shared" si="310"/>
        <v/>
      </c>
      <c r="DO197" s="161" t="str">
        <f t="shared" si="311"/>
        <v/>
      </c>
      <c r="DP197" s="161" t="str">
        <f t="shared" si="312"/>
        <v/>
      </c>
      <c r="DQ197" s="161" t="str">
        <f t="shared" si="313"/>
        <v/>
      </c>
      <c r="DR197" s="161" t="str">
        <f t="shared" si="314"/>
        <v/>
      </c>
      <c r="DS197" s="161" t="str">
        <f t="shared" si="315"/>
        <v/>
      </c>
      <c r="DT197" s="161" t="str">
        <f t="shared" si="316"/>
        <v/>
      </c>
      <c r="DU197" s="161" t="str">
        <f t="shared" si="317"/>
        <v/>
      </c>
      <c r="DV197" s="161" t="str">
        <f t="shared" si="318"/>
        <v/>
      </c>
      <c r="DW197" s="161" t="str">
        <f t="shared" si="319"/>
        <v/>
      </c>
      <c r="DX197" s="161" t="str">
        <f t="shared" si="320"/>
        <v/>
      </c>
      <c r="DY197" s="161" t="str">
        <f t="shared" si="321"/>
        <v/>
      </c>
      <c r="DZ197" s="161" t="str">
        <f t="shared" si="322"/>
        <v/>
      </c>
      <c r="EA197" s="161" t="str">
        <f t="shared" si="323"/>
        <v/>
      </c>
      <c r="EB197" s="161" t="str">
        <f t="shared" si="324"/>
        <v/>
      </c>
      <c r="EC197" s="161" t="str">
        <f t="shared" si="325"/>
        <v/>
      </c>
      <c r="ED197" s="161" t="str">
        <f t="shared" si="326"/>
        <v/>
      </c>
      <c r="EE197" s="161" t="str">
        <f t="shared" si="327"/>
        <v/>
      </c>
      <c r="EF197" s="161" t="str">
        <f t="shared" si="328"/>
        <v/>
      </c>
      <c r="EG197" s="161" t="str">
        <f t="shared" si="329"/>
        <v/>
      </c>
      <c r="EH197" s="161" t="str">
        <f t="shared" si="330"/>
        <v/>
      </c>
      <c r="EI197" s="161" t="str">
        <f t="shared" si="331"/>
        <v/>
      </c>
      <c r="EJ197" s="161" t="str">
        <f t="shared" si="332"/>
        <v/>
      </c>
      <c r="EK197" s="147" t="str">
        <f t="shared" si="246"/>
        <v/>
      </c>
      <c r="EL197" s="149"/>
      <c r="EN197" s="146"/>
      <c r="EO197" s="146"/>
      <c r="EP197" s="139" t="str">
        <f t="shared" si="247"/>
        <v/>
      </c>
      <c r="EQ197" s="139" t="str">
        <f t="shared" si="248"/>
        <v/>
      </c>
      <c r="ER197" s="139" t="str">
        <f t="shared" si="249"/>
        <v/>
      </c>
      <c r="ES197" s="139" t="str">
        <f t="shared" si="250"/>
        <v/>
      </c>
      <c r="ET197" s="139" t="str">
        <f t="shared" si="251"/>
        <v/>
      </c>
      <c r="EU197" s="139" t="str">
        <f t="shared" si="252"/>
        <v/>
      </c>
      <c r="EV197" s="139" t="str">
        <f t="shared" si="253"/>
        <v/>
      </c>
      <c r="EW197" s="139" t="str">
        <f t="shared" si="254"/>
        <v/>
      </c>
      <c r="EX197" s="139" t="str">
        <f t="shared" si="255"/>
        <v/>
      </c>
      <c r="EY197" s="139" t="str">
        <f t="shared" si="256"/>
        <v/>
      </c>
      <c r="EZ197" s="139" t="str">
        <f t="shared" si="257"/>
        <v/>
      </c>
      <c r="FA197" s="139" t="str">
        <f t="shared" si="258"/>
        <v/>
      </c>
      <c r="FB197" s="139" t="str">
        <f t="shared" si="259"/>
        <v/>
      </c>
      <c r="FC197" s="139" t="str">
        <f t="shared" si="260"/>
        <v/>
      </c>
      <c r="FD197" s="139" t="str">
        <f t="shared" si="261"/>
        <v/>
      </c>
      <c r="FE197" s="139" t="str">
        <f t="shared" si="262"/>
        <v/>
      </c>
      <c r="FF197" s="139" t="str">
        <f t="shared" si="263"/>
        <v/>
      </c>
      <c r="FG197" s="139" t="str">
        <f t="shared" si="264"/>
        <v/>
      </c>
      <c r="FH197" s="139" t="str">
        <f t="shared" si="265"/>
        <v/>
      </c>
      <c r="FI197" s="139" t="str">
        <f t="shared" si="266"/>
        <v/>
      </c>
      <c r="FJ197" s="139" t="str">
        <f t="shared" si="267"/>
        <v/>
      </c>
      <c r="FK197" s="139" t="str">
        <f t="shared" si="268"/>
        <v/>
      </c>
      <c r="FL197" s="139" t="str">
        <f t="shared" si="269"/>
        <v/>
      </c>
      <c r="FM197" s="139" t="str">
        <f t="shared" si="270"/>
        <v/>
      </c>
      <c r="FN197" s="139" t="str">
        <f t="shared" si="271"/>
        <v/>
      </c>
      <c r="FO197" s="139" t="str">
        <f t="shared" si="272"/>
        <v/>
      </c>
      <c r="FP197" s="139" t="str">
        <f t="shared" si="273"/>
        <v/>
      </c>
      <c r="FQ197" s="139" t="str">
        <f t="shared" si="274"/>
        <v/>
      </c>
      <c r="FR197" s="139" t="str">
        <f t="shared" si="275"/>
        <v/>
      </c>
      <c r="FS197" s="139" t="str">
        <f t="shared" si="276"/>
        <v/>
      </c>
      <c r="FT197" s="139" t="str">
        <f t="shared" si="277"/>
        <v/>
      </c>
      <c r="FU197" s="148" t="str">
        <f t="shared" si="278"/>
        <v/>
      </c>
      <c r="FV197" s="149"/>
      <c r="FY197" s="210">
        <v>192</v>
      </c>
      <c r="FZ197">
        <v>3.3183084785198033E-2</v>
      </c>
      <c r="GA197">
        <v>6.820042942970149</v>
      </c>
      <c r="GB197">
        <v>3.8009743900795443</v>
      </c>
      <c r="GC197">
        <v>2.5458881778492768</v>
      </c>
      <c r="GD197">
        <v>2.5539554885032407</v>
      </c>
      <c r="GE197">
        <v>1.8516603081093841</v>
      </c>
      <c r="GF197">
        <v>0.38032995424220212</v>
      </c>
      <c r="GG197">
        <v>1.2981488832102204</v>
      </c>
      <c r="GH197">
        <v>1.3247603501682221</v>
      </c>
      <c r="GI197">
        <v>3.2430609225763756</v>
      </c>
      <c r="GJ197"/>
      <c r="GK197"/>
      <c r="GL197"/>
      <c r="GM197"/>
    </row>
    <row r="198" spans="1:195" s="7" customFormat="1">
      <c r="A198" s="128"/>
      <c r="B198" s="76" t="str">
        <f ca="1">IF(C198="", "", RAND())</f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5.1822916666666661</v>
      </c>
      <c r="AO198">
        <v>5.9894272714480632</v>
      </c>
      <c r="AP198">
        <v>19.873562052301494</v>
      </c>
      <c r="AQ198">
        <v>19.587037719692095</v>
      </c>
      <c r="AR198">
        <v>5.5031897632044044</v>
      </c>
      <c r="AS198">
        <v>21.146605188174444</v>
      </c>
      <c r="AT198" t="e">
        <v>#DIV/0!</v>
      </c>
      <c r="AU198" t="e">
        <v>#DIV/0!</v>
      </c>
      <c r="AV198"/>
      <c r="AW198"/>
      <c r="AX198" s="128"/>
      <c r="AY198" s="76" t="str">
        <f t="shared" ca="1" si="169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4"/>
        <v/>
      </c>
      <c r="CL198" s="179" t="str">
        <f t="shared" si="205"/>
        <v/>
      </c>
      <c r="CM198" s="180" t="str">
        <f t="shared" si="206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07"/>
        <v/>
      </c>
      <c r="DB198" s="128"/>
      <c r="DC198" s="76" t="str">
        <f t="shared" ca="1" si="170"/>
        <v/>
      </c>
      <c r="DD198" t="str">
        <f t="shared" si="208"/>
        <v/>
      </c>
      <c r="DE198" s="129" t="str">
        <f t="shared" ref="DE198:DE207" si="333">IF((DD198)="", "", $C$15)</f>
        <v/>
      </c>
      <c r="DF198" s="161" t="str">
        <f t="shared" si="280"/>
        <v/>
      </c>
      <c r="DG198" s="161" t="str">
        <f t="shared" si="281"/>
        <v/>
      </c>
      <c r="DH198" s="161" t="str">
        <f t="shared" si="282"/>
        <v/>
      </c>
      <c r="DI198" s="161" t="str">
        <f t="shared" si="283"/>
        <v/>
      </c>
      <c r="DJ198" s="161" t="str">
        <f t="shared" si="284"/>
        <v/>
      </c>
      <c r="DK198" s="161" t="str">
        <f t="shared" si="285"/>
        <v/>
      </c>
      <c r="DL198" s="161" t="str">
        <f t="shared" si="286"/>
        <v/>
      </c>
      <c r="DM198" s="161" t="str">
        <f t="shared" si="287"/>
        <v/>
      </c>
      <c r="DN198" s="161" t="str">
        <f t="shared" si="310"/>
        <v/>
      </c>
      <c r="DO198" s="161" t="str">
        <f t="shared" si="311"/>
        <v/>
      </c>
      <c r="DP198" s="161" t="str">
        <f t="shared" si="312"/>
        <v/>
      </c>
      <c r="DQ198" s="161" t="str">
        <f t="shared" si="313"/>
        <v/>
      </c>
      <c r="DR198" s="161" t="str">
        <f t="shared" si="314"/>
        <v/>
      </c>
      <c r="DS198" s="161" t="str">
        <f t="shared" si="315"/>
        <v/>
      </c>
      <c r="DT198" s="161" t="str">
        <f t="shared" si="316"/>
        <v/>
      </c>
      <c r="DU198" s="161" t="str">
        <f t="shared" si="317"/>
        <v/>
      </c>
      <c r="DV198" s="161" t="str">
        <f t="shared" si="318"/>
        <v/>
      </c>
      <c r="DW198" s="161" t="str">
        <f t="shared" si="319"/>
        <v/>
      </c>
      <c r="DX198" s="161" t="str">
        <f t="shared" si="320"/>
        <v/>
      </c>
      <c r="DY198" s="161" t="str">
        <f t="shared" si="321"/>
        <v/>
      </c>
      <c r="DZ198" s="161" t="str">
        <f t="shared" si="322"/>
        <v/>
      </c>
      <c r="EA198" s="161" t="str">
        <f t="shared" si="323"/>
        <v/>
      </c>
      <c r="EB198" s="161" t="str">
        <f t="shared" si="324"/>
        <v/>
      </c>
      <c r="EC198" s="161" t="str">
        <f t="shared" si="325"/>
        <v/>
      </c>
      <c r="ED198" s="161" t="str">
        <f t="shared" si="326"/>
        <v/>
      </c>
      <c r="EE198" s="161" t="str">
        <f t="shared" si="327"/>
        <v/>
      </c>
      <c r="EF198" s="161" t="str">
        <f t="shared" si="328"/>
        <v/>
      </c>
      <c r="EG198" s="161" t="str">
        <f t="shared" si="329"/>
        <v/>
      </c>
      <c r="EH198" s="161" t="str">
        <f t="shared" si="330"/>
        <v/>
      </c>
      <c r="EI198" s="161" t="str">
        <f t="shared" si="331"/>
        <v/>
      </c>
      <c r="EJ198" s="161" t="str">
        <f t="shared" si="332"/>
        <v/>
      </c>
      <c r="EK198" s="147" t="str">
        <f t="shared" si="246"/>
        <v/>
      </c>
      <c r="EL198" s="149"/>
      <c r="EN198" s="146"/>
      <c r="EO198" s="146"/>
      <c r="EP198" s="139" t="str">
        <f t="shared" si="247"/>
        <v/>
      </c>
      <c r="EQ198" s="139" t="str">
        <f t="shared" si="248"/>
        <v/>
      </c>
      <c r="ER198" s="139" t="str">
        <f t="shared" si="249"/>
        <v/>
      </c>
      <c r="ES198" s="139" t="str">
        <f t="shared" si="250"/>
        <v/>
      </c>
      <c r="ET198" s="139" t="str">
        <f t="shared" si="251"/>
        <v/>
      </c>
      <c r="EU198" s="139" t="str">
        <f t="shared" si="252"/>
        <v/>
      </c>
      <c r="EV198" s="139" t="str">
        <f t="shared" si="253"/>
        <v/>
      </c>
      <c r="EW198" s="139" t="str">
        <f t="shared" si="254"/>
        <v/>
      </c>
      <c r="EX198" s="139" t="str">
        <f t="shared" si="255"/>
        <v/>
      </c>
      <c r="EY198" s="139" t="str">
        <f t="shared" si="256"/>
        <v/>
      </c>
      <c r="EZ198" s="139" t="str">
        <f t="shared" si="257"/>
        <v/>
      </c>
      <c r="FA198" s="139" t="str">
        <f t="shared" si="258"/>
        <v/>
      </c>
      <c r="FB198" s="139" t="str">
        <f t="shared" si="259"/>
        <v/>
      </c>
      <c r="FC198" s="139" t="str">
        <f t="shared" si="260"/>
        <v/>
      </c>
      <c r="FD198" s="139" t="str">
        <f t="shared" si="261"/>
        <v/>
      </c>
      <c r="FE198" s="139" t="str">
        <f t="shared" si="262"/>
        <v/>
      </c>
      <c r="FF198" s="139" t="str">
        <f t="shared" si="263"/>
        <v/>
      </c>
      <c r="FG198" s="139" t="str">
        <f t="shared" si="264"/>
        <v/>
      </c>
      <c r="FH198" s="139" t="str">
        <f t="shared" si="265"/>
        <v/>
      </c>
      <c r="FI198" s="139" t="str">
        <f t="shared" si="266"/>
        <v/>
      </c>
      <c r="FJ198" s="139" t="str">
        <f t="shared" si="267"/>
        <v/>
      </c>
      <c r="FK198" s="139" t="str">
        <f t="shared" si="268"/>
        <v/>
      </c>
      <c r="FL198" s="139" t="str">
        <f t="shared" si="269"/>
        <v/>
      </c>
      <c r="FM198" s="139" t="str">
        <f t="shared" si="270"/>
        <v/>
      </c>
      <c r="FN198" s="139" t="str">
        <f t="shared" si="271"/>
        <v/>
      </c>
      <c r="FO198" s="139" t="str">
        <f t="shared" si="272"/>
        <v/>
      </c>
      <c r="FP198" s="139" t="str">
        <f t="shared" si="273"/>
        <v/>
      </c>
      <c r="FQ198" s="139" t="str">
        <f t="shared" si="274"/>
        <v/>
      </c>
      <c r="FR198" s="139" t="str">
        <f t="shared" si="275"/>
        <v/>
      </c>
      <c r="FS198" s="139" t="str">
        <f t="shared" si="276"/>
        <v/>
      </c>
      <c r="FT198" s="139" t="str">
        <f t="shared" si="277"/>
        <v/>
      </c>
      <c r="FU198" s="148" t="str">
        <f t="shared" si="278"/>
        <v/>
      </c>
      <c r="FV198" s="149"/>
      <c r="FY198" s="210">
        <v>193</v>
      </c>
      <c r="FZ198">
        <v>6.6366169570396066E-2</v>
      </c>
      <c r="GA198">
        <v>0.32926738044752452</v>
      </c>
      <c r="GB198">
        <v>1.2720013407610857</v>
      </c>
      <c r="GC198">
        <v>7.3000898722783774</v>
      </c>
      <c r="GD198">
        <v>5.5381525443727941</v>
      </c>
      <c r="GE198">
        <v>1.1151269710244875</v>
      </c>
      <c r="GF198">
        <v>0</v>
      </c>
      <c r="GG198">
        <v>0</v>
      </c>
      <c r="GH198">
        <v>0</v>
      </c>
      <c r="GI198">
        <v>4.3406740923497571</v>
      </c>
      <c r="GJ198"/>
      <c r="GK198"/>
      <c r="GL198"/>
      <c r="GM198"/>
    </row>
    <row r="199" spans="1:195" s="7" customFormat="1">
      <c r="A199" s="1"/>
      <c r="B199" s="76" t="str">
        <f ca="1">IF(C199="", "", RAND())</f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3.2847222222222223</v>
      </c>
      <c r="AO199">
        <v>4.6097772788102667</v>
      </c>
      <c r="AP199">
        <v>20.670973497149845</v>
      </c>
      <c r="AQ199">
        <v>16.6610344601783</v>
      </c>
      <c r="AR199">
        <v>4.170500802767009</v>
      </c>
      <c r="AS199">
        <v>18.149058130121592</v>
      </c>
      <c r="AT199" t="e">
        <v>#DIV/0!</v>
      </c>
      <c r="AU199" t="e">
        <v>#DIV/0!</v>
      </c>
      <c r="AV199"/>
      <c r="AW199"/>
      <c r="AX199" s="146"/>
      <c r="AY199" s="76" t="str">
        <f t="shared" ca="1" si="169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4"/>
        <v/>
      </c>
      <c r="CL199" s="179" t="str">
        <f t="shared" si="205"/>
        <v/>
      </c>
      <c r="CM199" s="180" t="str">
        <f t="shared" si="206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07"/>
        <v/>
      </c>
      <c r="DB199" s="146"/>
      <c r="DC199" s="76" t="str">
        <f t="shared" ca="1" si="170"/>
        <v/>
      </c>
      <c r="DD199" t="str">
        <f t="shared" si="208"/>
        <v/>
      </c>
      <c r="DE199" s="129" t="str">
        <f t="shared" si="333"/>
        <v/>
      </c>
      <c r="DF199" s="161" t="str">
        <f t="shared" si="280"/>
        <v/>
      </c>
      <c r="DG199" s="161" t="str">
        <f t="shared" si="281"/>
        <v/>
      </c>
      <c r="DH199" s="161" t="str">
        <f t="shared" si="282"/>
        <v/>
      </c>
      <c r="DI199" s="161" t="str">
        <f t="shared" si="283"/>
        <v/>
      </c>
      <c r="DJ199" s="161" t="str">
        <f t="shared" si="284"/>
        <v/>
      </c>
      <c r="DK199" s="161" t="str">
        <f t="shared" si="285"/>
        <v/>
      </c>
      <c r="DL199" s="161" t="str">
        <f t="shared" si="286"/>
        <v/>
      </c>
      <c r="DM199" s="161" t="str">
        <f t="shared" si="287"/>
        <v/>
      </c>
      <c r="DN199" s="161" t="str">
        <f t="shared" si="310"/>
        <v/>
      </c>
      <c r="DO199" s="161" t="str">
        <f t="shared" si="311"/>
        <v/>
      </c>
      <c r="DP199" s="161" t="str">
        <f t="shared" si="312"/>
        <v/>
      </c>
      <c r="DQ199" s="161" t="str">
        <f t="shared" si="313"/>
        <v/>
      </c>
      <c r="DR199" s="161" t="str">
        <f t="shared" si="314"/>
        <v/>
      </c>
      <c r="DS199" s="161" t="str">
        <f t="shared" si="315"/>
        <v/>
      </c>
      <c r="DT199" s="161" t="str">
        <f t="shared" si="316"/>
        <v/>
      </c>
      <c r="DU199" s="161" t="str">
        <f t="shared" si="317"/>
        <v/>
      </c>
      <c r="DV199" s="161" t="str">
        <f t="shared" si="318"/>
        <v/>
      </c>
      <c r="DW199" s="161" t="str">
        <f t="shared" si="319"/>
        <v/>
      </c>
      <c r="DX199" s="161" t="str">
        <f t="shared" si="320"/>
        <v/>
      </c>
      <c r="DY199" s="161" t="str">
        <f t="shared" si="321"/>
        <v/>
      </c>
      <c r="DZ199" s="161" t="str">
        <f t="shared" si="322"/>
        <v/>
      </c>
      <c r="EA199" s="161" t="str">
        <f t="shared" si="323"/>
        <v/>
      </c>
      <c r="EB199" s="161" t="str">
        <f t="shared" si="324"/>
        <v/>
      </c>
      <c r="EC199" s="161" t="str">
        <f t="shared" si="325"/>
        <v/>
      </c>
      <c r="ED199" s="161" t="str">
        <f t="shared" si="326"/>
        <v/>
      </c>
      <c r="EE199" s="161" t="str">
        <f t="shared" si="327"/>
        <v/>
      </c>
      <c r="EF199" s="161" t="str">
        <f t="shared" si="328"/>
        <v/>
      </c>
      <c r="EG199" s="161" t="str">
        <f t="shared" si="329"/>
        <v/>
      </c>
      <c r="EH199" s="161" t="str">
        <f t="shared" si="330"/>
        <v/>
      </c>
      <c r="EI199" s="161" t="str">
        <f t="shared" si="331"/>
        <v/>
      </c>
      <c r="EJ199" s="161" t="str">
        <f t="shared" si="332"/>
        <v/>
      </c>
      <c r="EK199" s="147" t="str">
        <f t="shared" si="246"/>
        <v/>
      </c>
      <c r="EL199" s="149"/>
      <c r="EN199" s="146"/>
      <c r="EO199" s="146"/>
      <c r="EP199" s="139" t="str">
        <f t="shared" si="247"/>
        <v/>
      </c>
      <c r="EQ199" s="139" t="str">
        <f t="shared" si="248"/>
        <v/>
      </c>
      <c r="ER199" s="139" t="str">
        <f t="shared" si="249"/>
        <v/>
      </c>
      <c r="ES199" s="139" t="str">
        <f t="shared" si="250"/>
        <v/>
      </c>
      <c r="ET199" s="139" t="str">
        <f t="shared" si="251"/>
        <v/>
      </c>
      <c r="EU199" s="139" t="str">
        <f t="shared" si="252"/>
        <v/>
      </c>
      <c r="EV199" s="139" t="str">
        <f t="shared" si="253"/>
        <v/>
      </c>
      <c r="EW199" s="139" t="str">
        <f t="shared" si="254"/>
        <v/>
      </c>
      <c r="EX199" s="139" t="str">
        <f t="shared" si="255"/>
        <v/>
      </c>
      <c r="EY199" s="139" t="str">
        <f t="shared" si="256"/>
        <v/>
      </c>
      <c r="EZ199" s="139" t="str">
        <f t="shared" si="257"/>
        <v/>
      </c>
      <c r="FA199" s="139" t="str">
        <f t="shared" si="258"/>
        <v/>
      </c>
      <c r="FB199" s="139" t="str">
        <f t="shared" si="259"/>
        <v/>
      </c>
      <c r="FC199" s="139" t="str">
        <f t="shared" si="260"/>
        <v/>
      </c>
      <c r="FD199" s="139" t="str">
        <f t="shared" si="261"/>
        <v/>
      </c>
      <c r="FE199" s="139" t="str">
        <f t="shared" si="262"/>
        <v/>
      </c>
      <c r="FF199" s="139" t="str">
        <f t="shared" si="263"/>
        <v/>
      </c>
      <c r="FG199" s="139" t="str">
        <f t="shared" si="264"/>
        <v/>
      </c>
      <c r="FH199" s="139" t="str">
        <f t="shared" si="265"/>
        <v/>
      </c>
      <c r="FI199" s="139" t="str">
        <f t="shared" si="266"/>
        <v/>
      </c>
      <c r="FJ199" s="139" t="str">
        <f t="shared" si="267"/>
        <v/>
      </c>
      <c r="FK199" s="139" t="str">
        <f t="shared" si="268"/>
        <v/>
      </c>
      <c r="FL199" s="139" t="str">
        <f t="shared" si="269"/>
        <v/>
      </c>
      <c r="FM199" s="139" t="str">
        <f t="shared" si="270"/>
        <v/>
      </c>
      <c r="FN199" s="139" t="str">
        <f t="shared" si="271"/>
        <v/>
      </c>
      <c r="FO199" s="139" t="str">
        <f t="shared" si="272"/>
        <v/>
      </c>
      <c r="FP199" s="139" t="str">
        <f t="shared" si="273"/>
        <v/>
      </c>
      <c r="FQ199" s="139" t="str">
        <f t="shared" si="274"/>
        <v/>
      </c>
      <c r="FR199" s="139" t="str">
        <f t="shared" si="275"/>
        <v/>
      </c>
      <c r="FS199" s="139" t="str">
        <f t="shared" si="276"/>
        <v/>
      </c>
      <c r="FT199" s="139" t="str">
        <f t="shared" si="277"/>
        <v/>
      </c>
      <c r="FU199" s="148" t="str">
        <f t="shared" si="278"/>
        <v/>
      </c>
      <c r="FV199" s="149"/>
      <c r="FY199" s="210">
        <v>194</v>
      </c>
      <c r="FZ199">
        <v>6.6366169570396066E-2</v>
      </c>
      <c r="GA199">
        <v>2.1397680022443666</v>
      </c>
      <c r="GB199">
        <v>0.98275512952324828</v>
      </c>
      <c r="GC199">
        <v>9.4828711686080442</v>
      </c>
      <c r="GD199">
        <v>8.1420191568749107</v>
      </c>
      <c r="GE199">
        <v>2.8453648980978503</v>
      </c>
      <c r="GF199">
        <v>1.4515512574996277</v>
      </c>
      <c r="GG199">
        <v>1.9472233248153306</v>
      </c>
      <c r="GH199">
        <v>1.9871405252523333</v>
      </c>
      <c r="GI199">
        <v>6.6444229347855854</v>
      </c>
      <c r="GJ199"/>
      <c r="GK199"/>
      <c r="GL199"/>
      <c r="GM199"/>
    </row>
    <row r="200" spans="1:195" s="7" customFormat="1">
      <c r="A200" s="1"/>
      <c r="B200" s="76" t="str">
        <f ca="1">IF(C200="", "", RAND())</f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7.439770299145299</v>
      </c>
      <c r="AO200">
        <v>10.501996222150231</v>
      </c>
      <c r="AP200">
        <v>28.054219511829377</v>
      </c>
      <c r="AQ200">
        <v>30.920516006429267</v>
      </c>
      <c r="AR200">
        <v>9.689246303744449</v>
      </c>
      <c r="AS200">
        <v>57.334817809806729</v>
      </c>
      <c r="AT200" t="e">
        <v>#DIV/0!</v>
      </c>
      <c r="AU200" t="e">
        <v>#DIV/0!</v>
      </c>
      <c r="AV200"/>
      <c r="AW200"/>
      <c r="AX200" s="146"/>
      <c r="AY200" s="76" t="str">
        <f t="shared" ca="1" si="169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4"/>
        <v/>
      </c>
      <c r="CL200" s="179" t="str">
        <f t="shared" si="205"/>
        <v/>
      </c>
      <c r="CM200" s="180" t="str">
        <f t="shared" si="206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07"/>
        <v/>
      </c>
      <c r="DB200" s="146"/>
      <c r="DC200" s="76" t="str">
        <f t="shared" ca="1" si="170"/>
        <v/>
      </c>
      <c r="DD200" t="str">
        <f t="shared" si="208"/>
        <v/>
      </c>
      <c r="DE200" s="129" t="str">
        <f t="shared" si="333"/>
        <v/>
      </c>
      <c r="DF200" s="161" t="str">
        <f t="shared" si="280"/>
        <v/>
      </c>
      <c r="DG200" s="161" t="str">
        <f t="shared" si="281"/>
        <v/>
      </c>
      <c r="DH200" s="161" t="str">
        <f t="shared" si="282"/>
        <v/>
      </c>
      <c r="DI200" s="161" t="str">
        <f t="shared" si="283"/>
        <v/>
      </c>
      <c r="DJ200" s="161" t="str">
        <f t="shared" si="284"/>
        <v/>
      </c>
      <c r="DK200" s="161" t="str">
        <f t="shared" si="285"/>
        <v/>
      </c>
      <c r="DL200" s="161" t="str">
        <f t="shared" si="286"/>
        <v/>
      </c>
      <c r="DM200" s="161" t="str">
        <f t="shared" si="287"/>
        <v/>
      </c>
      <c r="DN200" s="161" t="str">
        <f t="shared" si="310"/>
        <v/>
      </c>
      <c r="DO200" s="161" t="str">
        <f t="shared" si="311"/>
        <v/>
      </c>
      <c r="DP200" s="161" t="str">
        <f t="shared" si="312"/>
        <v/>
      </c>
      <c r="DQ200" s="161" t="str">
        <f t="shared" si="313"/>
        <v/>
      </c>
      <c r="DR200" s="161" t="str">
        <f t="shared" si="314"/>
        <v/>
      </c>
      <c r="DS200" s="161" t="str">
        <f t="shared" si="315"/>
        <v/>
      </c>
      <c r="DT200" s="161" t="str">
        <f t="shared" si="316"/>
        <v/>
      </c>
      <c r="DU200" s="161" t="str">
        <f t="shared" si="317"/>
        <v/>
      </c>
      <c r="DV200" s="161" t="str">
        <f t="shared" si="318"/>
        <v/>
      </c>
      <c r="DW200" s="161" t="str">
        <f t="shared" si="319"/>
        <v/>
      </c>
      <c r="DX200" s="161" t="str">
        <f t="shared" si="320"/>
        <v/>
      </c>
      <c r="DY200" s="161" t="str">
        <f t="shared" si="321"/>
        <v/>
      </c>
      <c r="DZ200" s="161" t="str">
        <f t="shared" si="322"/>
        <v/>
      </c>
      <c r="EA200" s="161" t="str">
        <f t="shared" si="323"/>
        <v/>
      </c>
      <c r="EB200" s="161" t="str">
        <f t="shared" si="324"/>
        <v/>
      </c>
      <c r="EC200" s="161" t="str">
        <f t="shared" si="325"/>
        <v/>
      </c>
      <c r="ED200" s="161" t="str">
        <f t="shared" si="326"/>
        <v/>
      </c>
      <c r="EE200" s="161" t="str">
        <f t="shared" si="327"/>
        <v/>
      </c>
      <c r="EF200" s="161" t="str">
        <f t="shared" si="328"/>
        <v/>
      </c>
      <c r="EG200" s="161" t="str">
        <f t="shared" si="329"/>
        <v/>
      </c>
      <c r="EH200" s="161" t="str">
        <f t="shared" si="330"/>
        <v/>
      </c>
      <c r="EI200" s="161" t="str">
        <f t="shared" si="331"/>
        <v/>
      </c>
      <c r="EJ200" s="161" t="str">
        <f t="shared" si="332"/>
        <v/>
      </c>
      <c r="EK200" s="147" t="str">
        <f t="shared" si="246"/>
        <v/>
      </c>
      <c r="EL200" s="149"/>
      <c r="EN200" s="146"/>
      <c r="EO200" s="146"/>
      <c r="EP200" s="139" t="str">
        <f t="shared" si="247"/>
        <v/>
      </c>
      <c r="EQ200" s="139" t="str">
        <f t="shared" si="248"/>
        <v/>
      </c>
      <c r="ER200" s="139" t="str">
        <f t="shared" si="249"/>
        <v/>
      </c>
      <c r="ES200" s="139" t="str">
        <f t="shared" si="250"/>
        <v/>
      </c>
      <c r="ET200" s="139" t="str">
        <f t="shared" si="251"/>
        <v/>
      </c>
      <c r="EU200" s="139" t="str">
        <f t="shared" si="252"/>
        <v/>
      </c>
      <c r="EV200" s="139" t="str">
        <f t="shared" si="253"/>
        <v/>
      </c>
      <c r="EW200" s="139" t="str">
        <f t="shared" si="254"/>
        <v/>
      </c>
      <c r="EX200" s="139" t="str">
        <f t="shared" si="255"/>
        <v/>
      </c>
      <c r="EY200" s="139" t="str">
        <f t="shared" si="256"/>
        <v/>
      </c>
      <c r="EZ200" s="139" t="str">
        <f t="shared" si="257"/>
        <v/>
      </c>
      <c r="FA200" s="139" t="str">
        <f t="shared" si="258"/>
        <v/>
      </c>
      <c r="FB200" s="139" t="str">
        <f t="shared" si="259"/>
        <v/>
      </c>
      <c r="FC200" s="139" t="str">
        <f t="shared" si="260"/>
        <v/>
      </c>
      <c r="FD200" s="139" t="str">
        <f t="shared" si="261"/>
        <v/>
      </c>
      <c r="FE200" s="139" t="str">
        <f t="shared" si="262"/>
        <v/>
      </c>
      <c r="FF200" s="139" t="str">
        <f t="shared" si="263"/>
        <v/>
      </c>
      <c r="FG200" s="139" t="str">
        <f t="shared" si="264"/>
        <v/>
      </c>
      <c r="FH200" s="139" t="str">
        <f t="shared" si="265"/>
        <v/>
      </c>
      <c r="FI200" s="139" t="str">
        <f t="shared" si="266"/>
        <v/>
      </c>
      <c r="FJ200" s="139" t="str">
        <f t="shared" si="267"/>
        <v/>
      </c>
      <c r="FK200" s="139" t="str">
        <f t="shared" si="268"/>
        <v/>
      </c>
      <c r="FL200" s="139" t="str">
        <f t="shared" si="269"/>
        <v/>
      </c>
      <c r="FM200" s="139" t="str">
        <f t="shared" si="270"/>
        <v/>
      </c>
      <c r="FN200" s="139" t="str">
        <f t="shared" si="271"/>
        <v/>
      </c>
      <c r="FO200" s="139" t="str">
        <f t="shared" si="272"/>
        <v/>
      </c>
      <c r="FP200" s="139" t="str">
        <f t="shared" si="273"/>
        <v/>
      </c>
      <c r="FQ200" s="139" t="str">
        <f t="shared" si="274"/>
        <v/>
      </c>
      <c r="FR200" s="139" t="str">
        <f t="shared" si="275"/>
        <v/>
      </c>
      <c r="FS200" s="139" t="str">
        <f t="shared" si="276"/>
        <v/>
      </c>
      <c r="FT200" s="139" t="str">
        <f t="shared" si="277"/>
        <v/>
      </c>
      <c r="FU200" s="148" t="str">
        <f t="shared" si="278"/>
        <v/>
      </c>
      <c r="FV200" s="149"/>
      <c r="FY200" s="210">
        <v>195</v>
      </c>
      <c r="FZ200">
        <v>0.2456818880042031</v>
      </c>
      <c r="GA200">
        <v>2.3513084566918616</v>
      </c>
      <c r="GB200">
        <v>0.98275512952324828</v>
      </c>
      <c r="GC200">
        <v>2.8782541834828699</v>
      </c>
      <c r="GD200">
        <v>2.8041610478331331</v>
      </c>
      <c r="GE200">
        <v>1.32663679561035</v>
      </c>
      <c r="GF200">
        <v>0.19016497712110106</v>
      </c>
      <c r="GG200">
        <v>0.64907444160511019</v>
      </c>
      <c r="GH200">
        <v>0.66238017508411107</v>
      </c>
      <c r="GI200">
        <v>2.3258407390552915</v>
      </c>
      <c r="GJ200"/>
      <c r="GK200"/>
      <c r="GL200"/>
      <c r="GM200"/>
    </row>
    <row r="201" spans="1:195" s="7" customFormat="1">
      <c r="A201" s="1"/>
      <c r="B201" s="76" t="str">
        <f ca="1">IF(C201="", "", RAND())</f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4.7604548229548227</v>
      </c>
      <c r="AO201">
        <v>3.1956422034695491</v>
      </c>
      <c r="AP201">
        <v>16.716930883068432</v>
      </c>
      <c r="AQ201">
        <v>13.944889190606233</v>
      </c>
      <c r="AR201">
        <v>2.9644176284504171</v>
      </c>
      <c r="AS201">
        <v>14.760259220324834</v>
      </c>
      <c r="AT201" t="e">
        <v>#DIV/0!</v>
      </c>
      <c r="AU201" t="e">
        <v>#DIV/0!</v>
      </c>
      <c r="AV201"/>
      <c r="AW201"/>
      <c r="AX201" s="146"/>
      <c r="AY201" s="76" t="str">
        <f t="shared" ca="1" si="169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4"/>
        <v/>
      </c>
      <c r="CL201" s="179" t="str">
        <f t="shared" si="205"/>
        <v/>
      </c>
      <c r="CM201" s="180" t="str">
        <f t="shared" si="206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07"/>
        <v/>
      </c>
      <c r="DB201" s="146"/>
      <c r="DC201" s="76" t="str">
        <f t="shared" ca="1" si="170"/>
        <v/>
      </c>
      <c r="DD201" t="str">
        <f t="shared" si="208"/>
        <v/>
      </c>
      <c r="DE201" s="129" t="str">
        <f t="shared" si="333"/>
        <v/>
      </c>
      <c r="DF201" s="161" t="str">
        <f t="shared" si="280"/>
        <v/>
      </c>
      <c r="DG201" s="161" t="str">
        <f t="shared" si="281"/>
        <v/>
      </c>
      <c r="DH201" s="161" t="str">
        <f t="shared" si="282"/>
        <v/>
      </c>
      <c r="DI201" s="161" t="str">
        <f t="shared" si="283"/>
        <v/>
      </c>
      <c r="DJ201" s="161" t="str">
        <f t="shared" si="284"/>
        <v/>
      </c>
      <c r="DK201" s="161" t="str">
        <f t="shared" si="285"/>
        <v/>
      </c>
      <c r="DL201" s="161" t="str">
        <f t="shared" si="286"/>
        <v/>
      </c>
      <c r="DM201" s="161" t="str">
        <f t="shared" si="287"/>
        <v/>
      </c>
      <c r="DN201" s="161" t="str">
        <f t="shared" si="310"/>
        <v/>
      </c>
      <c r="DO201" s="161" t="str">
        <f t="shared" si="311"/>
        <v/>
      </c>
      <c r="DP201" s="161" t="str">
        <f t="shared" si="312"/>
        <v/>
      </c>
      <c r="DQ201" s="161" t="str">
        <f t="shared" si="313"/>
        <v/>
      </c>
      <c r="DR201" s="161" t="str">
        <f t="shared" si="314"/>
        <v/>
      </c>
      <c r="DS201" s="161" t="str">
        <f t="shared" si="315"/>
        <v/>
      </c>
      <c r="DT201" s="161" t="str">
        <f t="shared" si="316"/>
        <v/>
      </c>
      <c r="DU201" s="161" t="str">
        <f t="shared" si="317"/>
        <v/>
      </c>
      <c r="DV201" s="161" t="str">
        <f t="shared" si="318"/>
        <v/>
      </c>
      <c r="DW201" s="161" t="str">
        <f t="shared" si="319"/>
        <v/>
      </c>
      <c r="DX201" s="161" t="str">
        <f t="shared" si="320"/>
        <v/>
      </c>
      <c r="DY201" s="161" t="str">
        <f t="shared" si="321"/>
        <v/>
      </c>
      <c r="DZ201" s="161" t="str">
        <f t="shared" si="322"/>
        <v/>
      </c>
      <c r="EA201" s="161" t="str">
        <f t="shared" si="323"/>
        <v/>
      </c>
      <c r="EB201" s="161" t="str">
        <f t="shared" si="324"/>
        <v/>
      </c>
      <c r="EC201" s="161" t="str">
        <f t="shared" si="325"/>
        <v/>
      </c>
      <c r="ED201" s="161" t="str">
        <f t="shared" si="326"/>
        <v/>
      </c>
      <c r="EE201" s="161" t="str">
        <f t="shared" si="327"/>
        <v/>
      </c>
      <c r="EF201" s="161" t="str">
        <f t="shared" si="328"/>
        <v/>
      </c>
      <c r="EG201" s="161" t="str">
        <f t="shared" si="329"/>
        <v/>
      </c>
      <c r="EH201" s="161" t="str">
        <f t="shared" si="330"/>
        <v/>
      </c>
      <c r="EI201" s="161" t="str">
        <f t="shared" si="331"/>
        <v/>
      </c>
      <c r="EJ201" s="161" t="str">
        <f t="shared" si="332"/>
        <v/>
      </c>
      <c r="EK201" s="147" t="str">
        <f t="shared" si="246"/>
        <v/>
      </c>
      <c r="EL201" s="149"/>
      <c r="EN201" s="146"/>
      <c r="EO201" s="146"/>
      <c r="EP201" s="139" t="str">
        <f t="shared" si="247"/>
        <v/>
      </c>
      <c r="EQ201" s="139" t="str">
        <f t="shared" si="248"/>
        <v/>
      </c>
      <c r="ER201" s="139" t="str">
        <f t="shared" si="249"/>
        <v/>
      </c>
      <c r="ES201" s="139" t="str">
        <f t="shared" si="250"/>
        <v/>
      </c>
      <c r="ET201" s="139" t="str">
        <f t="shared" si="251"/>
        <v/>
      </c>
      <c r="EU201" s="139" t="str">
        <f t="shared" si="252"/>
        <v/>
      </c>
      <c r="EV201" s="139" t="str">
        <f t="shared" si="253"/>
        <v/>
      </c>
      <c r="EW201" s="139" t="str">
        <f t="shared" si="254"/>
        <v/>
      </c>
      <c r="EX201" s="139" t="str">
        <f t="shared" si="255"/>
        <v/>
      </c>
      <c r="EY201" s="139" t="str">
        <f t="shared" si="256"/>
        <v/>
      </c>
      <c r="EZ201" s="139" t="str">
        <f t="shared" si="257"/>
        <v/>
      </c>
      <c r="FA201" s="139" t="str">
        <f t="shared" si="258"/>
        <v/>
      </c>
      <c r="FB201" s="139" t="str">
        <f t="shared" si="259"/>
        <v/>
      </c>
      <c r="FC201" s="139" t="str">
        <f t="shared" si="260"/>
        <v/>
      </c>
      <c r="FD201" s="139" t="str">
        <f t="shared" si="261"/>
        <v/>
      </c>
      <c r="FE201" s="139" t="str">
        <f t="shared" si="262"/>
        <v/>
      </c>
      <c r="FF201" s="139" t="str">
        <f t="shared" si="263"/>
        <v/>
      </c>
      <c r="FG201" s="139" t="str">
        <f t="shared" si="264"/>
        <v/>
      </c>
      <c r="FH201" s="139" t="str">
        <f t="shared" si="265"/>
        <v/>
      </c>
      <c r="FI201" s="139" t="str">
        <f t="shared" si="266"/>
        <v/>
      </c>
      <c r="FJ201" s="139" t="str">
        <f t="shared" si="267"/>
        <v/>
      </c>
      <c r="FK201" s="139" t="str">
        <f t="shared" si="268"/>
        <v/>
      </c>
      <c r="FL201" s="139" t="str">
        <f t="shared" si="269"/>
        <v/>
      </c>
      <c r="FM201" s="139" t="str">
        <f t="shared" si="270"/>
        <v/>
      </c>
      <c r="FN201" s="139" t="str">
        <f t="shared" si="271"/>
        <v/>
      </c>
      <c r="FO201" s="139" t="str">
        <f t="shared" si="272"/>
        <v/>
      </c>
      <c r="FP201" s="139" t="str">
        <f t="shared" si="273"/>
        <v/>
      </c>
      <c r="FQ201" s="139" t="str">
        <f t="shared" si="274"/>
        <v/>
      </c>
      <c r="FR201" s="139" t="str">
        <f t="shared" si="275"/>
        <v/>
      </c>
      <c r="FS201" s="139" t="str">
        <f t="shared" si="276"/>
        <v/>
      </c>
      <c r="FT201" s="139" t="str">
        <f t="shared" si="277"/>
        <v/>
      </c>
      <c r="FU201" s="148" t="str">
        <f t="shared" si="278"/>
        <v/>
      </c>
      <c r="FV201" s="149"/>
      <c r="FY201" s="210">
        <v>196</v>
      </c>
      <c r="FZ201">
        <v>0.2456818880042031</v>
      </c>
      <c r="GA201">
        <v>3.9213835605039815</v>
      </c>
      <c r="GB201">
        <v>3.4520464562350046</v>
      </c>
      <c r="GC201">
        <v>5.4189387219616529</v>
      </c>
      <c r="GD201">
        <v>3.8566782631825958</v>
      </c>
      <c r="GE201">
        <v>0.83853720041220592</v>
      </c>
      <c r="GF201">
        <v>0.19016497712110106</v>
      </c>
      <c r="GG201">
        <v>1.1300765542968063</v>
      </c>
      <c r="GH201">
        <v>1.3247603501682221</v>
      </c>
      <c r="GI201">
        <v>3.8443763914849285</v>
      </c>
      <c r="GJ201"/>
      <c r="GK201"/>
      <c r="GL201"/>
      <c r="GM201"/>
    </row>
    <row r="202" spans="1:195" s="7" customFormat="1">
      <c r="A202" s="1"/>
      <c r="B202" s="76" t="str">
        <f ca="1">IF(C202="", "", RAND())</f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14.09970238095238</v>
      </c>
      <c r="AO202">
        <v>16.669864696040161</v>
      </c>
      <c r="AP202">
        <v>49.852599182147607</v>
      </c>
      <c r="AQ202">
        <v>52.844692414107058</v>
      </c>
      <c r="AR202">
        <v>15.357965939343909</v>
      </c>
      <c r="AS202">
        <v>95.585755629892461</v>
      </c>
      <c r="AT202" t="e">
        <v>#DIV/0!</v>
      </c>
      <c r="AU202" t="e">
        <v>#DIV/0!</v>
      </c>
      <c r="AV202"/>
      <c r="AW202"/>
      <c r="AX202" s="146"/>
      <c r="AY202" s="76" t="str">
        <f t="shared" ca="1" si="169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4"/>
        <v/>
      </c>
      <c r="CL202" s="179" t="str">
        <f t="shared" si="205"/>
        <v/>
      </c>
      <c r="CM202" s="180" t="str">
        <f t="shared" si="206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07"/>
        <v/>
      </c>
      <c r="DB202" s="146"/>
      <c r="DC202" s="76" t="str">
        <f t="shared" ca="1" si="170"/>
        <v/>
      </c>
      <c r="DD202" t="str">
        <f t="shared" si="208"/>
        <v/>
      </c>
      <c r="DE202" s="129" t="str">
        <f t="shared" si="333"/>
        <v/>
      </c>
      <c r="DF202" s="161" t="str">
        <f t="shared" si="280"/>
        <v/>
      </c>
      <c r="DG202" s="161" t="str">
        <f t="shared" si="281"/>
        <v/>
      </c>
      <c r="DH202" s="161" t="str">
        <f t="shared" si="282"/>
        <v/>
      </c>
      <c r="DI202" s="161" t="str">
        <f t="shared" si="283"/>
        <v/>
      </c>
      <c r="DJ202" s="161" t="str">
        <f t="shared" si="284"/>
        <v/>
      </c>
      <c r="DK202" s="161" t="str">
        <f t="shared" si="285"/>
        <v/>
      </c>
      <c r="DL202" s="161" t="str">
        <f t="shared" si="286"/>
        <v/>
      </c>
      <c r="DM202" s="161" t="str">
        <f t="shared" si="287"/>
        <v/>
      </c>
      <c r="DN202" s="161" t="str">
        <f t="shared" si="310"/>
        <v/>
      </c>
      <c r="DO202" s="161" t="str">
        <f t="shared" si="311"/>
        <v/>
      </c>
      <c r="DP202" s="161" t="str">
        <f t="shared" si="312"/>
        <v/>
      </c>
      <c r="DQ202" s="161" t="str">
        <f t="shared" si="313"/>
        <v/>
      </c>
      <c r="DR202" s="161" t="str">
        <f t="shared" si="314"/>
        <v/>
      </c>
      <c r="DS202" s="161" t="str">
        <f t="shared" si="315"/>
        <v/>
      </c>
      <c r="DT202" s="161" t="str">
        <f t="shared" si="316"/>
        <v/>
      </c>
      <c r="DU202" s="161" t="str">
        <f t="shared" si="317"/>
        <v/>
      </c>
      <c r="DV202" s="161" t="str">
        <f t="shared" si="318"/>
        <v/>
      </c>
      <c r="DW202" s="161" t="str">
        <f t="shared" si="319"/>
        <v/>
      </c>
      <c r="DX202" s="161" t="str">
        <f t="shared" si="320"/>
        <v/>
      </c>
      <c r="DY202" s="161" t="str">
        <f t="shared" si="321"/>
        <v/>
      </c>
      <c r="DZ202" s="161" t="str">
        <f t="shared" si="322"/>
        <v/>
      </c>
      <c r="EA202" s="161" t="str">
        <f t="shared" si="323"/>
        <v/>
      </c>
      <c r="EB202" s="161" t="str">
        <f t="shared" si="324"/>
        <v/>
      </c>
      <c r="EC202" s="161" t="str">
        <f t="shared" si="325"/>
        <v/>
      </c>
      <c r="ED202" s="161" t="str">
        <f t="shared" si="326"/>
        <v/>
      </c>
      <c r="EE202" s="161" t="str">
        <f t="shared" si="327"/>
        <v/>
      </c>
      <c r="EF202" s="161" t="str">
        <f t="shared" si="328"/>
        <v/>
      </c>
      <c r="EG202" s="161" t="str">
        <f t="shared" si="329"/>
        <v/>
      </c>
      <c r="EH202" s="161" t="str">
        <f t="shared" si="330"/>
        <v/>
      </c>
      <c r="EI202" s="161" t="str">
        <f t="shared" si="331"/>
        <v/>
      </c>
      <c r="EJ202" s="161" t="str">
        <f t="shared" si="332"/>
        <v/>
      </c>
      <c r="EK202" s="147" t="str">
        <f t="shared" si="246"/>
        <v/>
      </c>
      <c r="EL202" s="149"/>
      <c r="EN202" s="146"/>
      <c r="EO202" s="146"/>
      <c r="EP202" s="139" t="str">
        <f t="shared" si="247"/>
        <v/>
      </c>
      <c r="EQ202" s="139" t="str">
        <f t="shared" si="248"/>
        <v/>
      </c>
      <c r="ER202" s="139" t="str">
        <f t="shared" si="249"/>
        <v/>
      </c>
      <c r="ES202" s="139" t="str">
        <f t="shared" si="250"/>
        <v/>
      </c>
      <c r="ET202" s="139" t="str">
        <f t="shared" si="251"/>
        <v/>
      </c>
      <c r="EU202" s="139" t="str">
        <f t="shared" si="252"/>
        <v/>
      </c>
      <c r="EV202" s="139" t="str">
        <f t="shared" si="253"/>
        <v/>
      </c>
      <c r="EW202" s="139" t="str">
        <f t="shared" si="254"/>
        <v/>
      </c>
      <c r="EX202" s="139" t="str">
        <f t="shared" si="255"/>
        <v/>
      </c>
      <c r="EY202" s="139" t="str">
        <f t="shared" si="256"/>
        <v/>
      </c>
      <c r="EZ202" s="139" t="str">
        <f t="shared" si="257"/>
        <v/>
      </c>
      <c r="FA202" s="139" t="str">
        <f t="shared" si="258"/>
        <v/>
      </c>
      <c r="FB202" s="139" t="str">
        <f t="shared" si="259"/>
        <v/>
      </c>
      <c r="FC202" s="139" t="str">
        <f t="shared" si="260"/>
        <v/>
      </c>
      <c r="FD202" s="139" t="str">
        <f t="shared" si="261"/>
        <v/>
      </c>
      <c r="FE202" s="139" t="str">
        <f t="shared" si="262"/>
        <v/>
      </c>
      <c r="FF202" s="139" t="str">
        <f t="shared" si="263"/>
        <v/>
      </c>
      <c r="FG202" s="139" t="str">
        <f t="shared" si="264"/>
        <v/>
      </c>
      <c r="FH202" s="139" t="str">
        <f t="shared" si="265"/>
        <v/>
      </c>
      <c r="FI202" s="139" t="str">
        <f t="shared" si="266"/>
        <v/>
      </c>
      <c r="FJ202" s="139" t="str">
        <f t="shared" si="267"/>
        <v/>
      </c>
      <c r="FK202" s="139" t="str">
        <f t="shared" si="268"/>
        <v/>
      </c>
      <c r="FL202" s="139" t="str">
        <f t="shared" si="269"/>
        <v/>
      </c>
      <c r="FM202" s="139" t="str">
        <f t="shared" si="270"/>
        <v/>
      </c>
      <c r="FN202" s="139" t="str">
        <f t="shared" si="271"/>
        <v/>
      </c>
      <c r="FO202" s="139" t="str">
        <f t="shared" si="272"/>
        <v/>
      </c>
      <c r="FP202" s="139" t="str">
        <f t="shared" si="273"/>
        <v/>
      </c>
      <c r="FQ202" s="139" t="str">
        <f t="shared" si="274"/>
        <v/>
      </c>
      <c r="FR202" s="139" t="str">
        <f t="shared" si="275"/>
        <v/>
      </c>
      <c r="FS202" s="139" t="str">
        <f t="shared" si="276"/>
        <v/>
      </c>
      <c r="FT202" s="139" t="str">
        <f t="shared" si="277"/>
        <v/>
      </c>
      <c r="FU202" s="148" t="str">
        <f t="shared" si="278"/>
        <v/>
      </c>
      <c r="FV202" s="149"/>
      <c r="FY202" s="210">
        <v>197</v>
      </c>
      <c r="FZ202">
        <v>0.2456818880042031</v>
      </c>
      <c r="GA202">
        <v>3.0840075629488273</v>
      </c>
      <c r="GB202">
        <v>1.9254889303263858</v>
      </c>
      <c r="GC202">
        <v>3.2708127451532882</v>
      </c>
      <c r="GD202">
        <v>2.6055270750361474</v>
      </c>
      <c r="GE202">
        <v>0.83853720041220592</v>
      </c>
      <c r="GF202">
        <v>0.5704949313633032</v>
      </c>
      <c r="GG202">
        <v>0.98521909943193808</v>
      </c>
      <c r="GH202">
        <v>0.66238017508411107</v>
      </c>
      <c r="GI202">
        <v>2.7130992430544252</v>
      </c>
      <c r="GJ202"/>
      <c r="GK202"/>
      <c r="GL202"/>
      <c r="GM202"/>
    </row>
    <row r="203" spans="1:195" s="7" customFormat="1">
      <c r="A203" s="1"/>
      <c r="B203" s="76" t="str">
        <f ca="1">IF(C203="", "", RAND())</f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7.4792048229548218</v>
      </c>
      <c r="AO203">
        <v>7.4394330266014084</v>
      </c>
      <c r="AP203">
        <v>25.250341863793409</v>
      </c>
      <c r="AQ203">
        <v>25.320440167904088</v>
      </c>
      <c r="AR203">
        <v>6.9011438094632735</v>
      </c>
      <c r="AS203">
        <v>28.256282350489325</v>
      </c>
      <c r="AT203" t="e">
        <v>#DIV/0!</v>
      </c>
      <c r="AU203" t="e">
        <v>#DIV/0!</v>
      </c>
      <c r="AV203"/>
      <c r="AW203"/>
      <c r="AX203" s="146"/>
      <c r="AY203" s="76" t="str">
        <f t="shared" ca="1" si="169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4"/>
        <v/>
      </c>
      <c r="CL203" s="179" t="str">
        <f t="shared" si="205"/>
        <v/>
      </c>
      <c r="CM203" s="180" t="str">
        <f t="shared" si="206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07"/>
        <v/>
      </c>
      <c r="DB203" s="146"/>
      <c r="DC203" s="76" t="str">
        <f t="shared" ca="1" si="170"/>
        <v/>
      </c>
      <c r="DD203" t="str">
        <f t="shared" si="208"/>
        <v/>
      </c>
      <c r="DE203" s="129" t="str">
        <f t="shared" si="333"/>
        <v/>
      </c>
      <c r="DF203" s="161" t="str">
        <f t="shared" si="280"/>
        <v/>
      </c>
      <c r="DG203" s="161" t="str">
        <f t="shared" si="281"/>
        <v/>
      </c>
      <c r="DH203" s="161" t="str">
        <f t="shared" si="282"/>
        <v/>
      </c>
      <c r="DI203" s="161" t="str">
        <f t="shared" si="283"/>
        <v/>
      </c>
      <c r="DJ203" s="161" t="str">
        <f t="shared" si="284"/>
        <v/>
      </c>
      <c r="DK203" s="161" t="str">
        <f t="shared" si="285"/>
        <v/>
      </c>
      <c r="DL203" s="161" t="str">
        <f t="shared" si="286"/>
        <v/>
      </c>
      <c r="DM203" s="161" t="str">
        <f t="shared" si="287"/>
        <v/>
      </c>
      <c r="DN203" s="161" t="str">
        <f t="shared" si="310"/>
        <v/>
      </c>
      <c r="DO203" s="161" t="str">
        <f t="shared" si="311"/>
        <v/>
      </c>
      <c r="DP203" s="161" t="str">
        <f t="shared" si="312"/>
        <v/>
      </c>
      <c r="DQ203" s="161" t="str">
        <f t="shared" si="313"/>
        <v/>
      </c>
      <c r="DR203" s="161" t="str">
        <f t="shared" si="314"/>
        <v/>
      </c>
      <c r="DS203" s="161" t="str">
        <f t="shared" si="315"/>
        <v/>
      </c>
      <c r="DT203" s="161" t="str">
        <f t="shared" si="316"/>
        <v/>
      </c>
      <c r="DU203" s="161" t="str">
        <f t="shared" si="317"/>
        <v/>
      </c>
      <c r="DV203" s="161" t="str">
        <f t="shared" si="318"/>
        <v/>
      </c>
      <c r="DW203" s="161" t="str">
        <f t="shared" si="319"/>
        <v/>
      </c>
      <c r="DX203" s="161" t="str">
        <f t="shared" si="320"/>
        <v/>
      </c>
      <c r="DY203" s="161" t="str">
        <f t="shared" si="321"/>
        <v/>
      </c>
      <c r="DZ203" s="161" t="str">
        <f t="shared" si="322"/>
        <v/>
      </c>
      <c r="EA203" s="161" t="str">
        <f t="shared" si="323"/>
        <v/>
      </c>
      <c r="EB203" s="161" t="str">
        <f t="shared" si="324"/>
        <v/>
      </c>
      <c r="EC203" s="161" t="str">
        <f t="shared" si="325"/>
        <v/>
      </c>
      <c r="ED203" s="161" t="str">
        <f t="shared" si="326"/>
        <v/>
      </c>
      <c r="EE203" s="161" t="str">
        <f t="shared" si="327"/>
        <v/>
      </c>
      <c r="EF203" s="161" t="str">
        <f t="shared" si="328"/>
        <v/>
      </c>
      <c r="EG203" s="161" t="str">
        <f t="shared" si="329"/>
        <v/>
      </c>
      <c r="EH203" s="161" t="str">
        <f t="shared" si="330"/>
        <v/>
      </c>
      <c r="EI203" s="161" t="str">
        <f t="shared" si="331"/>
        <v/>
      </c>
      <c r="EJ203" s="161" t="str">
        <f t="shared" si="332"/>
        <v/>
      </c>
      <c r="EK203" s="147" t="str">
        <f t="shared" si="246"/>
        <v/>
      </c>
      <c r="EL203" s="149"/>
      <c r="EN203" s="146"/>
      <c r="EO203" s="146"/>
      <c r="EP203" s="139" t="str">
        <f t="shared" si="247"/>
        <v/>
      </c>
      <c r="EQ203" s="139" t="str">
        <f t="shared" si="248"/>
        <v/>
      </c>
      <c r="ER203" s="139" t="str">
        <f t="shared" si="249"/>
        <v/>
      </c>
      <c r="ES203" s="139" t="str">
        <f t="shared" si="250"/>
        <v/>
      </c>
      <c r="ET203" s="139" t="str">
        <f t="shared" si="251"/>
        <v/>
      </c>
      <c r="EU203" s="139" t="str">
        <f t="shared" si="252"/>
        <v/>
      </c>
      <c r="EV203" s="139" t="str">
        <f t="shared" si="253"/>
        <v/>
      </c>
      <c r="EW203" s="139" t="str">
        <f t="shared" si="254"/>
        <v/>
      </c>
      <c r="EX203" s="139" t="str">
        <f t="shared" si="255"/>
        <v/>
      </c>
      <c r="EY203" s="139" t="str">
        <f t="shared" si="256"/>
        <v/>
      </c>
      <c r="EZ203" s="139" t="str">
        <f t="shared" si="257"/>
        <v/>
      </c>
      <c r="FA203" s="139" t="str">
        <f t="shared" si="258"/>
        <v/>
      </c>
      <c r="FB203" s="139" t="str">
        <f t="shared" si="259"/>
        <v/>
      </c>
      <c r="FC203" s="139" t="str">
        <f t="shared" si="260"/>
        <v/>
      </c>
      <c r="FD203" s="139" t="str">
        <f t="shared" si="261"/>
        <v/>
      </c>
      <c r="FE203" s="139" t="str">
        <f t="shared" si="262"/>
        <v/>
      </c>
      <c r="FF203" s="139" t="str">
        <f t="shared" si="263"/>
        <v/>
      </c>
      <c r="FG203" s="139" t="str">
        <f t="shared" si="264"/>
        <v/>
      </c>
      <c r="FH203" s="139" t="str">
        <f t="shared" si="265"/>
        <v/>
      </c>
      <c r="FI203" s="139" t="str">
        <f t="shared" si="266"/>
        <v/>
      </c>
      <c r="FJ203" s="139" t="str">
        <f t="shared" si="267"/>
        <v/>
      </c>
      <c r="FK203" s="139" t="str">
        <f t="shared" si="268"/>
        <v/>
      </c>
      <c r="FL203" s="139" t="str">
        <f t="shared" si="269"/>
        <v/>
      </c>
      <c r="FM203" s="139" t="str">
        <f t="shared" si="270"/>
        <v/>
      </c>
      <c r="FN203" s="139" t="str">
        <f t="shared" si="271"/>
        <v/>
      </c>
      <c r="FO203" s="139" t="str">
        <f t="shared" si="272"/>
        <v/>
      </c>
      <c r="FP203" s="139" t="str">
        <f t="shared" si="273"/>
        <v/>
      </c>
      <c r="FQ203" s="139" t="str">
        <f t="shared" si="274"/>
        <v/>
      </c>
      <c r="FR203" s="139" t="str">
        <f t="shared" si="275"/>
        <v/>
      </c>
      <c r="FS203" s="139" t="str">
        <f t="shared" si="276"/>
        <v/>
      </c>
      <c r="FT203" s="139" t="str">
        <f t="shared" si="277"/>
        <v/>
      </c>
      <c r="FU203" s="148" t="str">
        <f t="shared" si="278"/>
        <v/>
      </c>
      <c r="FV203" s="149"/>
      <c r="FY203" s="210">
        <v>198</v>
      </c>
      <c r="FZ203">
        <v>0.27886497278940114</v>
      </c>
      <c r="GA203">
        <v>3.1128926264860555</v>
      </c>
      <c r="GB203">
        <v>1.899400457688855</v>
      </c>
      <c r="GC203">
        <v>4.589045047354162</v>
      </c>
      <c r="GD203">
        <v>3.3333529695706421</v>
      </c>
      <c r="GE203">
        <v>0.31351368791317175</v>
      </c>
      <c r="GF203">
        <v>0</v>
      </c>
      <c r="GG203">
        <v>0.48100211269169618</v>
      </c>
      <c r="GH203">
        <v>0.66238017508411107</v>
      </c>
      <c r="GI203">
        <v>3.1006886173389985</v>
      </c>
      <c r="GJ203"/>
      <c r="GK203"/>
      <c r="GL203"/>
      <c r="GM203"/>
    </row>
    <row r="204" spans="1:195" s="7" customFormat="1">
      <c r="A204" s="1"/>
      <c r="B204" s="76" t="str">
        <f ca="1">IF(C204="", "", RAND())</f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9.5757211538461533</v>
      </c>
      <c r="AO204">
        <v>11.063861311902413</v>
      </c>
      <c r="AP204">
        <v>28.663838661937859</v>
      </c>
      <c r="AQ204">
        <v>33.713780572222632</v>
      </c>
      <c r="AR204">
        <v>10.210456962141647</v>
      </c>
      <c r="AS204">
        <v>53.790271787756637</v>
      </c>
      <c r="AT204" t="e">
        <v>#DIV/0!</v>
      </c>
      <c r="AU204" t="e">
        <v>#DIV/0!</v>
      </c>
      <c r="AV204"/>
      <c r="AW204"/>
      <c r="AX204" s="146"/>
      <c r="AY204" s="76" t="str">
        <f t="shared" ca="1" si="169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4"/>
        <v/>
      </c>
      <c r="CL204" s="179" t="str">
        <f t="shared" si="205"/>
        <v/>
      </c>
      <c r="CM204" s="180" t="str">
        <f t="shared" si="206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07"/>
        <v/>
      </c>
      <c r="DB204" s="146"/>
      <c r="DC204" s="76" t="str">
        <f t="shared" ca="1" si="170"/>
        <v/>
      </c>
      <c r="DD204" t="str">
        <f t="shared" si="208"/>
        <v/>
      </c>
      <c r="DE204" s="129" t="str">
        <f t="shared" si="333"/>
        <v/>
      </c>
      <c r="DF204" s="161" t="str">
        <f t="shared" si="280"/>
        <v/>
      </c>
      <c r="DG204" s="161" t="str">
        <f t="shared" si="281"/>
        <v/>
      </c>
      <c r="DH204" s="161" t="str">
        <f t="shared" si="282"/>
        <v/>
      </c>
      <c r="DI204" s="161" t="str">
        <f t="shared" si="283"/>
        <v/>
      </c>
      <c r="DJ204" s="161" t="str">
        <f t="shared" si="284"/>
        <v/>
      </c>
      <c r="DK204" s="161" t="str">
        <f t="shared" si="285"/>
        <v/>
      </c>
      <c r="DL204" s="161" t="str">
        <f t="shared" si="286"/>
        <v/>
      </c>
      <c r="DM204" s="161" t="str">
        <f t="shared" si="287"/>
        <v/>
      </c>
      <c r="DN204" s="161" t="str">
        <f t="shared" si="310"/>
        <v/>
      </c>
      <c r="DO204" s="161" t="str">
        <f t="shared" si="311"/>
        <v/>
      </c>
      <c r="DP204" s="161" t="str">
        <f t="shared" si="312"/>
        <v/>
      </c>
      <c r="DQ204" s="161" t="str">
        <f t="shared" si="313"/>
        <v/>
      </c>
      <c r="DR204" s="161" t="str">
        <f t="shared" si="314"/>
        <v/>
      </c>
      <c r="DS204" s="161" t="str">
        <f t="shared" si="315"/>
        <v/>
      </c>
      <c r="DT204" s="161" t="str">
        <f t="shared" si="316"/>
        <v/>
      </c>
      <c r="DU204" s="161" t="str">
        <f t="shared" si="317"/>
        <v/>
      </c>
      <c r="DV204" s="161" t="str">
        <f t="shared" si="318"/>
        <v/>
      </c>
      <c r="DW204" s="161" t="str">
        <f t="shared" si="319"/>
        <v/>
      </c>
      <c r="DX204" s="161" t="str">
        <f t="shared" si="320"/>
        <v/>
      </c>
      <c r="DY204" s="161" t="str">
        <f t="shared" si="321"/>
        <v/>
      </c>
      <c r="DZ204" s="161" t="str">
        <f t="shared" si="322"/>
        <v/>
      </c>
      <c r="EA204" s="161" t="str">
        <f t="shared" si="323"/>
        <v/>
      </c>
      <c r="EB204" s="161" t="str">
        <f t="shared" si="324"/>
        <v/>
      </c>
      <c r="EC204" s="161" t="str">
        <f t="shared" si="325"/>
        <v/>
      </c>
      <c r="ED204" s="161" t="str">
        <f t="shared" si="326"/>
        <v/>
      </c>
      <c r="EE204" s="161" t="str">
        <f t="shared" si="327"/>
        <v/>
      </c>
      <c r="EF204" s="161" t="str">
        <f t="shared" si="328"/>
        <v/>
      </c>
      <c r="EG204" s="161" t="str">
        <f t="shared" si="329"/>
        <v/>
      </c>
      <c r="EH204" s="161" t="str">
        <f t="shared" si="330"/>
        <v/>
      </c>
      <c r="EI204" s="161" t="str">
        <f t="shared" si="331"/>
        <v/>
      </c>
      <c r="EJ204" s="161" t="str">
        <f t="shared" si="332"/>
        <v/>
      </c>
      <c r="EK204" s="147" t="str">
        <f t="shared" si="246"/>
        <v/>
      </c>
      <c r="EL204" s="149"/>
      <c r="EN204" s="146"/>
      <c r="EO204" s="146"/>
      <c r="EP204" s="139" t="str">
        <f t="shared" si="247"/>
        <v/>
      </c>
      <c r="EQ204" s="139" t="str">
        <f t="shared" si="248"/>
        <v/>
      </c>
      <c r="ER204" s="139" t="str">
        <f t="shared" si="249"/>
        <v/>
      </c>
      <c r="ES204" s="139" t="str">
        <f t="shared" si="250"/>
        <v/>
      </c>
      <c r="ET204" s="139" t="str">
        <f t="shared" si="251"/>
        <v/>
      </c>
      <c r="EU204" s="139" t="str">
        <f t="shared" si="252"/>
        <v/>
      </c>
      <c r="EV204" s="139" t="str">
        <f t="shared" si="253"/>
        <v/>
      </c>
      <c r="EW204" s="139" t="str">
        <f t="shared" si="254"/>
        <v/>
      </c>
      <c r="EX204" s="139" t="str">
        <f t="shared" si="255"/>
        <v/>
      </c>
      <c r="EY204" s="139" t="str">
        <f t="shared" si="256"/>
        <v/>
      </c>
      <c r="EZ204" s="139" t="str">
        <f t="shared" si="257"/>
        <v/>
      </c>
      <c r="FA204" s="139" t="str">
        <f t="shared" si="258"/>
        <v/>
      </c>
      <c r="FB204" s="139" t="str">
        <f t="shared" si="259"/>
        <v/>
      </c>
      <c r="FC204" s="139" t="str">
        <f t="shared" si="260"/>
        <v/>
      </c>
      <c r="FD204" s="139" t="str">
        <f t="shared" si="261"/>
        <v/>
      </c>
      <c r="FE204" s="139" t="str">
        <f t="shared" si="262"/>
        <v/>
      </c>
      <c r="FF204" s="139" t="str">
        <f t="shared" si="263"/>
        <v/>
      </c>
      <c r="FG204" s="139" t="str">
        <f t="shared" si="264"/>
        <v/>
      </c>
      <c r="FH204" s="139" t="str">
        <f t="shared" si="265"/>
        <v/>
      </c>
      <c r="FI204" s="139" t="str">
        <f t="shared" si="266"/>
        <v/>
      </c>
      <c r="FJ204" s="139" t="str">
        <f t="shared" si="267"/>
        <v/>
      </c>
      <c r="FK204" s="139" t="str">
        <f t="shared" si="268"/>
        <v/>
      </c>
      <c r="FL204" s="139" t="str">
        <f t="shared" si="269"/>
        <v/>
      </c>
      <c r="FM204" s="139" t="str">
        <f t="shared" si="270"/>
        <v/>
      </c>
      <c r="FN204" s="139" t="str">
        <f t="shared" si="271"/>
        <v/>
      </c>
      <c r="FO204" s="139" t="str">
        <f t="shared" si="272"/>
        <v/>
      </c>
      <c r="FP204" s="139" t="str">
        <f t="shared" si="273"/>
        <v/>
      </c>
      <c r="FQ204" s="139" t="str">
        <f t="shared" si="274"/>
        <v/>
      </c>
      <c r="FR204" s="139" t="str">
        <f t="shared" si="275"/>
        <v/>
      </c>
      <c r="FS204" s="139" t="str">
        <f t="shared" si="276"/>
        <v/>
      </c>
      <c r="FT204" s="139" t="str">
        <f t="shared" si="277"/>
        <v/>
      </c>
      <c r="FU204" s="148" t="str">
        <f t="shared" si="278"/>
        <v/>
      </c>
      <c r="FV204" s="149"/>
      <c r="FY204" s="210">
        <v>199</v>
      </c>
      <c r="FZ204">
        <v>0.2456818880042031</v>
      </c>
      <c r="GA204">
        <v>2.3513084566918616</v>
      </c>
      <c r="GB204">
        <v>2.1268838169727191</v>
      </c>
      <c r="GC204">
        <v>5.3947443511056239</v>
      </c>
      <c r="GD204">
        <v>4.3140764855379876</v>
      </c>
      <c r="GE204">
        <v>2.0806755322874251</v>
      </c>
      <c r="GF204">
        <v>1.0712213032574254</v>
      </c>
      <c r="GG204">
        <v>0.64907444160511019</v>
      </c>
      <c r="GH204">
        <v>0.66238017508411107</v>
      </c>
      <c r="GI204">
        <v>4.1121693403215609</v>
      </c>
      <c r="GJ204"/>
      <c r="GK204"/>
      <c r="GL204"/>
      <c r="GM204"/>
    </row>
    <row r="205" spans="1:195" s="7" customFormat="1">
      <c r="A205" s="1"/>
      <c r="B205" s="76" t="str">
        <f ca="1">IF(C205="", "", RAND())</f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8.5457112332112324</v>
      </c>
      <c r="AO205">
        <v>8.5787570909350936</v>
      </c>
      <c r="AP205">
        <v>26.53627607049771</v>
      </c>
      <c r="AQ205">
        <v>27.901049169287685</v>
      </c>
      <c r="AR205">
        <v>7.9580306966002716</v>
      </c>
      <c r="AS205">
        <v>33.263210153284376</v>
      </c>
      <c r="AT205" t="e">
        <v>#DIV/0!</v>
      </c>
      <c r="AU205" t="e">
        <v>#DIV/0!</v>
      </c>
      <c r="AV205"/>
      <c r="AW205"/>
      <c r="AX205" s="146"/>
      <c r="AY205" s="76" t="str">
        <f t="shared" ca="1" si="169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4"/>
        <v/>
      </c>
      <c r="CL205" s="179" t="str">
        <f t="shared" si="205"/>
        <v/>
      </c>
      <c r="CM205" s="180" t="str">
        <f t="shared" si="206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07"/>
        <v/>
      </c>
      <c r="DB205" s="146"/>
      <c r="DC205" s="76" t="str">
        <f t="shared" ca="1" si="170"/>
        <v/>
      </c>
      <c r="DD205" t="str">
        <f t="shared" si="208"/>
        <v/>
      </c>
      <c r="DE205" s="129" t="str">
        <f t="shared" si="333"/>
        <v/>
      </c>
      <c r="DF205" s="161" t="str">
        <f t="shared" si="280"/>
        <v/>
      </c>
      <c r="DG205" s="161" t="str">
        <f t="shared" si="281"/>
        <v/>
      </c>
      <c r="DH205" s="161" t="str">
        <f t="shared" si="282"/>
        <v/>
      </c>
      <c r="DI205" s="161" t="str">
        <f t="shared" si="283"/>
        <v/>
      </c>
      <c r="DJ205" s="161" t="str">
        <f t="shared" si="284"/>
        <v/>
      </c>
      <c r="DK205" s="161" t="str">
        <f t="shared" si="285"/>
        <v/>
      </c>
      <c r="DL205" s="161" t="str">
        <f t="shared" si="286"/>
        <v/>
      </c>
      <c r="DM205" s="161" t="str">
        <f t="shared" si="287"/>
        <v/>
      </c>
      <c r="DN205" s="161" t="str">
        <f t="shared" si="310"/>
        <v/>
      </c>
      <c r="DO205" s="161" t="str">
        <f t="shared" si="311"/>
        <v/>
      </c>
      <c r="DP205" s="161" t="str">
        <f t="shared" si="312"/>
        <v/>
      </c>
      <c r="DQ205" s="161" t="str">
        <f t="shared" si="313"/>
        <v/>
      </c>
      <c r="DR205" s="161" t="str">
        <f t="shared" si="314"/>
        <v/>
      </c>
      <c r="DS205" s="161" t="str">
        <f t="shared" si="315"/>
        <v/>
      </c>
      <c r="DT205" s="161" t="str">
        <f t="shared" si="316"/>
        <v/>
      </c>
      <c r="DU205" s="161" t="str">
        <f t="shared" si="317"/>
        <v/>
      </c>
      <c r="DV205" s="161" t="str">
        <f t="shared" si="318"/>
        <v/>
      </c>
      <c r="DW205" s="161" t="str">
        <f t="shared" si="319"/>
        <v/>
      </c>
      <c r="DX205" s="161" t="str">
        <f t="shared" si="320"/>
        <v/>
      </c>
      <c r="DY205" s="161" t="str">
        <f t="shared" si="321"/>
        <v/>
      </c>
      <c r="DZ205" s="161" t="str">
        <f t="shared" si="322"/>
        <v/>
      </c>
      <c r="EA205" s="161" t="str">
        <f t="shared" si="323"/>
        <v/>
      </c>
      <c r="EB205" s="161" t="str">
        <f t="shared" si="324"/>
        <v/>
      </c>
      <c r="EC205" s="161" t="str">
        <f t="shared" si="325"/>
        <v/>
      </c>
      <c r="ED205" s="161" t="str">
        <f t="shared" si="326"/>
        <v/>
      </c>
      <c r="EE205" s="161" t="str">
        <f t="shared" si="327"/>
        <v/>
      </c>
      <c r="EF205" s="161" t="str">
        <f t="shared" si="328"/>
        <v/>
      </c>
      <c r="EG205" s="161" t="str">
        <f t="shared" si="329"/>
        <v/>
      </c>
      <c r="EH205" s="161" t="str">
        <f t="shared" si="330"/>
        <v/>
      </c>
      <c r="EI205" s="161" t="str">
        <f t="shared" si="331"/>
        <v/>
      </c>
      <c r="EJ205" s="161" t="str">
        <f t="shared" si="332"/>
        <v/>
      </c>
      <c r="EK205" s="147" t="str">
        <f t="shared" si="246"/>
        <v/>
      </c>
      <c r="EL205" s="149"/>
      <c r="EN205" s="146"/>
      <c r="EO205" s="146"/>
      <c r="EP205" s="139" t="str">
        <f t="shared" si="247"/>
        <v/>
      </c>
      <c r="EQ205" s="139" t="str">
        <f t="shared" si="248"/>
        <v/>
      </c>
      <c r="ER205" s="139" t="str">
        <f t="shared" si="249"/>
        <v/>
      </c>
      <c r="ES205" s="139" t="str">
        <f t="shared" si="250"/>
        <v/>
      </c>
      <c r="ET205" s="139" t="str">
        <f t="shared" si="251"/>
        <v/>
      </c>
      <c r="EU205" s="139" t="str">
        <f t="shared" si="252"/>
        <v/>
      </c>
      <c r="EV205" s="139" t="str">
        <f t="shared" si="253"/>
        <v/>
      </c>
      <c r="EW205" s="139" t="str">
        <f t="shared" si="254"/>
        <v/>
      </c>
      <c r="EX205" s="139" t="str">
        <f t="shared" si="255"/>
        <v/>
      </c>
      <c r="EY205" s="139" t="str">
        <f t="shared" si="256"/>
        <v/>
      </c>
      <c r="EZ205" s="139" t="str">
        <f t="shared" si="257"/>
        <v/>
      </c>
      <c r="FA205" s="139" t="str">
        <f t="shared" si="258"/>
        <v/>
      </c>
      <c r="FB205" s="139" t="str">
        <f t="shared" si="259"/>
        <v/>
      </c>
      <c r="FC205" s="139" t="str">
        <f t="shared" si="260"/>
        <v/>
      </c>
      <c r="FD205" s="139" t="str">
        <f t="shared" si="261"/>
        <v/>
      </c>
      <c r="FE205" s="139" t="str">
        <f t="shared" si="262"/>
        <v/>
      </c>
      <c r="FF205" s="139" t="str">
        <f t="shared" si="263"/>
        <v/>
      </c>
      <c r="FG205" s="139" t="str">
        <f t="shared" si="264"/>
        <v/>
      </c>
      <c r="FH205" s="139" t="str">
        <f t="shared" si="265"/>
        <v/>
      </c>
      <c r="FI205" s="139" t="str">
        <f t="shared" si="266"/>
        <v/>
      </c>
      <c r="FJ205" s="139" t="str">
        <f t="shared" si="267"/>
        <v/>
      </c>
      <c r="FK205" s="139" t="str">
        <f t="shared" si="268"/>
        <v/>
      </c>
      <c r="FL205" s="139" t="str">
        <f t="shared" si="269"/>
        <v/>
      </c>
      <c r="FM205" s="139" t="str">
        <f t="shared" si="270"/>
        <v/>
      </c>
      <c r="FN205" s="139" t="str">
        <f t="shared" si="271"/>
        <v/>
      </c>
      <c r="FO205" s="139" t="str">
        <f t="shared" si="272"/>
        <v/>
      </c>
      <c r="FP205" s="139" t="str">
        <f t="shared" si="273"/>
        <v/>
      </c>
      <c r="FQ205" s="139" t="str">
        <f t="shared" si="274"/>
        <v/>
      </c>
      <c r="FR205" s="139" t="str">
        <f t="shared" si="275"/>
        <v/>
      </c>
      <c r="FS205" s="139" t="str">
        <f t="shared" si="276"/>
        <v/>
      </c>
      <c r="FT205" s="139" t="str">
        <f t="shared" si="277"/>
        <v/>
      </c>
      <c r="FU205" s="148" t="str">
        <f t="shared" si="278"/>
        <v/>
      </c>
      <c r="FV205" s="149"/>
      <c r="FY205" s="210">
        <v>200</v>
      </c>
      <c r="FZ205">
        <v>0.2456818880042031</v>
      </c>
      <c r="GA205">
        <v>6.9454343245272359</v>
      </c>
      <c r="GB205">
        <v>4.3091024071484725</v>
      </c>
      <c r="GC205">
        <v>4.1157704354259455</v>
      </c>
      <c r="GD205">
        <v>3.2068748797656572</v>
      </c>
      <c r="GE205">
        <v>1.2897128783094598</v>
      </c>
      <c r="GF205">
        <v>0.38032995424220212</v>
      </c>
      <c r="GG205">
        <v>1.7791509959019165</v>
      </c>
      <c r="GH205">
        <v>1.9871405252523333</v>
      </c>
      <c r="GI205">
        <v>4.1204616203860045</v>
      </c>
      <c r="GJ205"/>
      <c r="GK205"/>
      <c r="GL205"/>
      <c r="GM205"/>
    </row>
    <row r="206" spans="1:195" s="7" customFormat="1">
      <c r="A206" s="1"/>
      <c r="B206" s="76" t="str">
        <f ca="1">IF(C206="", "", RAND())</f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4.580395299145299</v>
      </c>
      <c r="AO206">
        <v>4.1139993904136682</v>
      </c>
      <c r="AP206">
        <v>18.420211979583897</v>
      </c>
      <c r="AQ206">
        <v>16.43257479506439</v>
      </c>
      <c r="AR206">
        <v>3.8163259651332719</v>
      </c>
      <c r="AS206">
        <v>20.267018365753909</v>
      </c>
      <c r="AT206" t="e">
        <v>#DIV/0!</v>
      </c>
      <c r="AU206" t="e">
        <v>#DIV/0!</v>
      </c>
      <c r="AV206"/>
      <c r="AW206"/>
      <c r="AX206" s="146"/>
      <c r="AY206" s="76" t="str">
        <f t="shared" ca="1" si="169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4"/>
        <v/>
      </c>
      <c r="CL206" s="179" t="str">
        <f t="shared" si="205"/>
        <v/>
      </c>
      <c r="CM206" s="180" t="str">
        <f t="shared" si="206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07"/>
        <v/>
      </c>
      <c r="DB206" s="146"/>
      <c r="DC206" s="76" t="str">
        <f t="shared" ca="1" si="170"/>
        <v/>
      </c>
      <c r="DD206" t="str">
        <f t="shared" si="208"/>
        <v/>
      </c>
      <c r="DE206" s="129" t="str">
        <f t="shared" si="333"/>
        <v/>
      </c>
      <c r="DF206" s="161" t="str">
        <f t="shared" si="280"/>
        <v/>
      </c>
      <c r="DG206" s="161" t="str">
        <f t="shared" si="281"/>
        <v/>
      </c>
      <c r="DH206" s="161" t="str">
        <f t="shared" si="282"/>
        <v/>
      </c>
      <c r="DI206" s="161" t="str">
        <f t="shared" si="283"/>
        <v/>
      </c>
      <c r="DJ206" s="161" t="str">
        <f t="shared" si="284"/>
        <v/>
      </c>
      <c r="DK206" s="161" t="str">
        <f t="shared" si="285"/>
        <v/>
      </c>
      <c r="DL206" s="161" t="str">
        <f t="shared" si="286"/>
        <v/>
      </c>
      <c r="DM206" s="161" t="str">
        <f t="shared" si="287"/>
        <v/>
      </c>
      <c r="DN206" s="161" t="str">
        <f t="shared" si="310"/>
        <v/>
      </c>
      <c r="DO206" s="161" t="str">
        <f t="shared" si="311"/>
        <v/>
      </c>
      <c r="DP206" s="161" t="str">
        <f t="shared" si="312"/>
        <v/>
      </c>
      <c r="DQ206" s="161" t="str">
        <f t="shared" si="313"/>
        <v/>
      </c>
      <c r="DR206" s="161" t="str">
        <f t="shared" si="314"/>
        <v/>
      </c>
      <c r="DS206" s="161" t="str">
        <f t="shared" si="315"/>
        <v/>
      </c>
      <c r="DT206" s="161" t="str">
        <f t="shared" si="316"/>
        <v/>
      </c>
      <c r="DU206" s="161" t="str">
        <f t="shared" si="317"/>
        <v/>
      </c>
      <c r="DV206" s="161" t="str">
        <f t="shared" si="318"/>
        <v/>
      </c>
      <c r="DW206" s="161" t="str">
        <f t="shared" si="319"/>
        <v/>
      </c>
      <c r="DX206" s="161" t="str">
        <f t="shared" si="320"/>
        <v/>
      </c>
      <c r="DY206" s="161" t="str">
        <f t="shared" si="321"/>
        <v/>
      </c>
      <c r="DZ206" s="161" t="str">
        <f t="shared" si="322"/>
        <v/>
      </c>
      <c r="EA206" s="161" t="str">
        <f t="shared" si="323"/>
        <v/>
      </c>
      <c r="EB206" s="161" t="str">
        <f t="shared" si="324"/>
        <v/>
      </c>
      <c r="EC206" s="161" t="str">
        <f t="shared" si="325"/>
        <v/>
      </c>
      <c r="ED206" s="161" t="str">
        <f t="shared" si="326"/>
        <v/>
      </c>
      <c r="EE206" s="161" t="str">
        <f t="shared" si="327"/>
        <v/>
      </c>
      <c r="EF206" s="161" t="str">
        <f t="shared" si="328"/>
        <v/>
      </c>
      <c r="EG206" s="161" t="str">
        <f t="shared" si="329"/>
        <v/>
      </c>
      <c r="EH206" s="161" t="str">
        <f t="shared" si="330"/>
        <v/>
      </c>
      <c r="EI206" s="161" t="str">
        <f t="shared" si="331"/>
        <v/>
      </c>
      <c r="EJ206" s="161" t="str">
        <f t="shared" si="332"/>
        <v/>
      </c>
      <c r="EK206" s="147" t="str">
        <f t="shared" si="246"/>
        <v/>
      </c>
      <c r="EL206" s="149"/>
      <c r="EN206" s="146"/>
      <c r="EO206" s="146"/>
      <c r="EP206" s="139" t="str">
        <f t="shared" si="247"/>
        <v/>
      </c>
      <c r="EQ206" s="139" t="str">
        <f t="shared" si="248"/>
        <v/>
      </c>
      <c r="ER206" s="139" t="str">
        <f t="shared" si="249"/>
        <v/>
      </c>
      <c r="ES206" s="139" t="str">
        <f t="shared" si="250"/>
        <v/>
      </c>
      <c r="ET206" s="139" t="str">
        <f t="shared" si="251"/>
        <v/>
      </c>
      <c r="EU206" s="139" t="str">
        <f t="shared" si="252"/>
        <v/>
      </c>
      <c r="EV206" s="139" t="str">
        <f t="shared" si="253"/>
        <v/>
      </c>
      <c r="EW206" s="139" t="str">
        <f t="shared" si="254"/>
        <v/>
      </c>
      <c r="EX206" s="139" t="str">
        <f t="shared" si="255"/>
        <v/>
      </c>
      <c r="EY206" s="139" t="str">
        <f t="shared" si="256"/>
        <v/>
      </c>
      <c r="EZ206" s="139" t="str">
        <f t="shared" si="257"/>
        <v/>
      </c>
      <c r="FA206" s="139" t="str">
        <f t="shared" si="258"/>
        <v/>
      </c>
      <c r="FB206" s="139" t="str">
        <f t="shared" si="259"/>
        <v/>
      </c>
      <c r="FC206" s="139" t="str">
        <f t="shared" si="260"/>
        <v/>
      </c>
      <c r="FD206" s="139" t="str">
        <f t="shared" si="261"/>
        <v/>
      </c>
      <c r="FE206" s="139" t="str">
        <f t="shared" si="262"/>
        <v/>
      </c>
      <c r="FF206" s="139" t="str">
        <f t="shared" si="263"/>
        <v/>
      </c>
      <c r="FG206" s="139" t="str">
        <f t="shared" si="264"/>
        <v/>
      </c>
      <c r="FH206" s="139" t="str">
        <f t="shared" si="265"/>
        <v/>
      </c>
      <c r="FI206" s="139" t="str">
        <f t="shared" si="266"/>
        <v/>
      </c>
      <c r="FJ206" s="139" t="str">
        <f t="shared" si="267"/>
        <v/>
      </c>
      <c r="FK206" s="139" t="str">
        <f t="shared" si="268"/>
        <v/>
      </c>
      <c r="FL206" s="139" t="str">
        <f t="shared" si="269"/>
        <v/>
      </c>
      <c r="FM206" s="139" t="str">
        <f t="shared" si="270"/>
        <v/>
      </c>
      <c r="FN206" s="139" t="str">
        <f t="shared" si="271"/>
        <v/>
      </c>
      <c r="FO206" s="139" t="str">
        <f t="shared" si="272"/>
        <v/>
      </c>
      <c r="FP206" s="139" t="str">
        <f t="shared" si="273"/>
        <v/>
      </c>
      <c r="FQ206" s="139" t="str">
        <f t="shared" si="274"/>
        <v/>
      </c>
      <c r="FR206" s="139" t="str">
        <f t="shared" si="275"/>
        <v/>
      </c>
      <c r="FS206" s="139" t="str">
        <f t="shared" si="276"/>
        <v/>
      </c>
      <c r="FT206" s="139" t="str">
        <f t="shared" si="277"/>
        <v/>
      </c>
      <c r="FU206" s="148" t="str">
        <f t="shared" si="278"/>
        <v/>
      </c>
      <c r="FV206" s="149"/>
      <c r="FY206" s="210">
        <v>201</v>
      </c>
      <c r="FZ206">
        <v>3.3183084785198033E-2</v>
      </c>
      <c r="GA206">
        <v>2.1005256935776906</v>
      </c>
      <c r="GB206">
        <v>1.5548194732479839</v>
      </c>
      <c r="GC206">
        <v>3.998834570419791</v>
      </c>
      <c r="GD206">
        <v>3.6318572145210792</v>
      </c>
      <c r="GE206">
        <v>1.8147363908084939</v>
      </c>
      <c r="GF206">
        <v>0.38032995424220212</v>
      </c>
      <c r="GG206">
        <v>0.3361446578268279</v>
      </c>
      <c r="GH206">
        <v>0</v>
      </c>
      <c r="GI206">
        <v>3.1153449581225874</v>
      </c>
      <c r="GJ206"/>
      <c r="GK206"/>
      <c r="GL206"/>
      <c r="GM206"/>
    </row>
    <row r="207" spans="1:195" s="7" customFormat="1">
      <c r="A207" s="1"/>
      <c r="B207" s="76" t="str">
        <f ca="1">IF(C207="", "", RAND())</f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7.250038156288154</v>
      </c>
      <c r="AO207">
        <v>7.1175450852408391</v>
      </c>
      <c r="AP207">
        <v>19.797174997154816</v>
      </c>
      <c r="AQ207">
        <v>22.030507384419543</v>
      </c>
      <c r="AR207">
        <v>6.6025464612623752</v>
      </c>
      <c r="AS207">
        <v>29.966324496392495</v>
      </c>
      <c r="AT207" t="e">
        <v>#DIV/0!</v>
      </c>
      <c r="AU207" t="e">
        <v>#DIV/0!</v>
      </c>
      <c r="AV207"/>
      <c r="AW207"/>
      <c r="AX207" s="146"/>
      <c r="AY207" s="76" t="str">
        <f t="shared" ca="1" si="169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4"/>
        <v/>
      </c>
      <c r="CL207" s="179" t="str">
        <f t="shared" si="205"/>
        <v/>
      </c>
      <c r="CM207" s="180" t="str">
        <f t="shared" si="206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07"/>
        <v/>
      </c>
      <c r="DB207" s="146"/>
      <c r="DC207" s="76" t="str">
        <f t="shared" ca="1" si="170"/>
        <v/>
      </c>
      <c r="DD207" t="str">
        <f t="shared" si="208"/>
        <v/>
      </c>
      <c r="DE207" s="129" t="str">
        <f t="shared" si="333"/>
        <v/>
      </c>
      <c r="DF207" s="161" t="str">
        <f t="shared" si="280"/>
        <v/>
      </c>
      <c r="DG207" s="161" t="str">
        <f t="shared" si="281"/>
        <v/>
      </c>
      <c r="DH207" s="161" t="str">
        <f t="shared" si="282"/>
        <v/>
      </c>
      <c r="DI207" s="161" t="str">
        <f t="shared" si="283"/>
        <v/>
      </c>
      <c r="DJ207" s="161" t="str">
        <f t="shared" si="284"/>
        <v/>
      </c>
      <c r="DK207" s="161" t="str">
        <f t="shared" si="285"/>
        <v/>
      </c>
      <c r="DL207" s="161" t="str">
        <f t="shared" si="286"/>
        <v/>
      </c>
      <c r="DM207" s="161" t="str">
        <f t="shared" si="287"/>
        <v/>
      </c>
      <c r="DN207" s="161" t="str">
        <f t="shared" si="310"/>
        <v/>
      </c>
      <c r="DO207" s="161" t="str">
        <f t="shared" ref="DO207:EJ207" si="334">IF($AZ207="", "", (BK207*$CW207)/$CZ207)</f>
        <v/>
      </c>
      <c r="DP207" s="161" t="str">
        <f t="shared" si="334"/>
        <v/>
      </c>
      <c r="DQ207" s="161" t="str">
        <f t="shared" si="334"/>
        <v/>
      </c>
      <c r="DR207" s="161" t="str">
        <f t="shared" si="334"/>
        <v/>
      </c>
      <c r="DS207" s="161" t="str">
        <f t="shared" si="334"/>
        <v/>
      </c>
      <c r="DT207" s="161" t="str">
        <f t="shared" si="334"/>
        <v/>
      </c>
      <c r="DU207" s="161" t="str">
        <f t="shared" si="334"/>
        <v/>
      </c>
      <c r="DV207" s="161" t="str">
        <f t="shared" si="334"/>
        <v/>
      </c>
      <c r="DW207" s="161" t="str">
        <f t="shared" si="334"/>
        <v/>
      </c>
      <c r="DX207" s="161" t="str">
        <f t="shared" si="334"/>
        <v/>
      </c>
      <c r="DY207" s="161" t="str">
        <f t="shared" si="334"/>
        <v/>
      </c>
      <c r="DZ207" s="161" t="str">
        <f t="shared" si="334"/>
        <v/>
      </c>
      <c r="EA207" s="161" t="str">
        <f t="shared" si="334"/>
        <v/>
      </c>
      <c r="EB207" s="161" t="str">
        <f t="shared" si="334"/>
        <v/>
      </c>
      <c r="EC207" s="161" t="str">
        <f t="shared" si="334"/>
        <v/>
      </c>
      <c r="ED207" s="161" t="str">
        <f t="shared" si="334"/>
        <v/>
      </c>
      <c r="EE207" s="161" t="str">
        <f t="shared" si="334"/>
        <v/>
      </c>
      <c r="EF207" s="161" t="str">
        <f t="shared" si="334"/>
        <v/>
      </c>
      <c r="EG207" s="161" t="str">
        <f t="shared" si="334"/>
        <v/>
      </c>
      <c r="EH207" s="161" t="str">
        <f t="shared" si="334"/>
        <v/>
      </c>
      <c r="EI207" s="161" t="str">
        <f t="shared" si="334"/>
        <v/>
      </c>
      <c r="EJ207" s="161" t="str">
        <f t="shared" si="334"/>
        <v/>
      </c>
      <c r="EK207" s="147" t="str">
        <f t="shared" si="246"/>
        <v/>
      </c>
      <c r="EL207" s="149"/>
      <c r="EN207" s="146"/>
      <c r="EO207" s="146"/>
      <c r="EP207" s="139" t="str">
        <f t="shared" si="247"/>
        <v/>
      </c>
      <c r="EQ207" s="139" t="str">
        <f t="shared" si="248"/>
        <v/>
      </c>
      <c r="ER207" s="139" t="str">
        <f t="shared" si="249"/>
        <v/>
      </c>
      <c r="ES207" s="139" t="str">
        <f t="shared" si="250"/>
        <v/>
      </c>
      <c r="ET207" s="139" t="str">
        <f t="shared" si="251"/>
        <v/>
      </c>
      <c r="EU207" s="139" t="str">
        <f t="shared" si="252"/>
        <v/>
      </c>
      <c r="EV207" s="139" t="str">
        <f t="shared" si="253"/>
        <v/>
      </c>
      <c r="EW207" s="139" t="str">
        <f t="shared" si="254"/>
        <v/>
      </c>
      <c r="EX207" s="139" t="str">
        <f t="shared" si="255"/>
        <v/>
      </c>
      <c r="EY207" s="139" t="str">
        <f t="shared" si="256"/>
        <v/>
      </c>
      <c r="EZ207" s="139" t="str">
        <f t="shared" si="257"/>
        <v/>
      </c>
      <c r="FA207" s="139" t="str">
        <f t="shared" si="258"/>
        <v/>
      </c>
      <c r="FB207" s="139" t="str">
        <f t="shared" si="259"/>
        <v/>
      </c>
      <c r="FC207" s="139" t="str">
        <f t="shared" si="260"/>
        <v/>
      </c>
      <c r="FD207" s="139" t="str">
        <f t="shared" si="261"/>
        <v/>
      </c>
      <c r="FE207" s="139" t="str">
        <f t="shared" si="262"/>
        <v/>
      </c>
      <c r="FF207" s="139" t="str">
        <f t="shared" si="263"/>
        <v/>
      </c>
      <c r="FG207" s="139" t="str">
        <f t="shared" si="264"/>
        <v/>
      </c>
      <c r="FH207" s="139" t="str">
        <f t="shared" si="265"/>
        <v/>
      </c>
      <c r="FI207" s="139" t="str">
        <f t="shared" si="266"/>
        <v/>
      </c>
      <c r="FJ207" s="139" t="str">
        <f t="shared" si="267"/>
        <v/>
      </c>
      <c r="FK207" s="139" t="str">
        <f t="shared" si="268"/>
        <v/>
      </c>
      <c r="FL207" s="139" t="str">
        <f t="shared" si="269"/>
        <v/>
      </c>
      <c r="FM207" s="139" t="str">
        <f t="shared" si="270"/>
        <v/>
      </c>
      <c r="FN207" s="139" t="str">
        <f t="shared" si="271"/>
        <v/>
      </c>
      <c r="FO207" s="139" t="str">
        <f t="shared" si="272"/>
        <v/>
      </c>
      <c r="FP207" s="139" t="str">
        <f t="shared" si="273"/>
        <v/>
      </c>
      <c r="FQ207" s="139" t="str">
        <f t="shared" si="274"/>
        <v/>
      </c>
      <c r="FR207" s="139" t="str">
        <f t="shared" si="275"/>
        <v/>
      </c>
      <c r="FS207" s="139" t="str">
        <f t="shared" si="276"/>
        <v/>
      </c>
      <c r="FT207" s="139" t="str">
        <f t="shared" si="277"/>
        <v/>
      </c>
      <c r="FU207" s="148" t="str">
        <f t="shared" si="278"/>
        <v/>
      </c>
      <c r="FV207" s="149"/>
      <c r="FY207" s="210">
        <v>202</v>
      </c>
      <c r="FZ207">
        <v>0</v>
      </c>
      <c r="GA207">
        <v>0.97312462424168844</v>
      </c>
      <c r="GB207">
        <v>1.6165823252019571</v>
      </c>
      <c r="GC207">
        <v>2.4105338117246435</v>
      </c>
      <c r="GD207">
        <v>1.9462119774870006</v>
      </c>
      <c r="GE207">
        <v>2.7427137072981251</v>
      </c>
      <c r="GF207">
        <v>3.0234989326511759</v>
      </c>
      <c r="GG207">
        <v>0.81714677051852402</v>
      </c>
      <c r="GH207">
        <v>0.66238017508411107</v>
      </c>
      <c r="GI207">
        <v>2.474912578944549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7.183073870573871</v>
      </c>
      <c r="AO208">
        <v>5.4108665596519785</v>
      </c>
      <c r="AP208">
        <v>30.820286882525828</v>
      </c>
      <c r="AQ208">
        <v>23.852004502493816</v>
      </c>
      <c r="AR208">
        <v>5.019356734371037</v>
      </c>
      <c r="AS208">
        <v>23.535473056835222</v>
      </c>
      <c r="AT208" t="e">
        <v>#DIV/0!</v>
      </c>
      <c r="AU208" t="e">
        <v>#DIV/0!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0">
        <v>203</v>
      </c>
      <c r="FZ208">
        <v>0.27886497278940114</v>
      </c>
      <c r="GA208">
        <v>2.2651593838014525</v>
      </c>
      <c r="GB208">
        <v>1.4908831465921764</v>
      </c>
      <c r="GC208">
        <v>6.8767954509873075</v>
      </c>
      <c r="GD208">
        <v>5.6515870115552014</v>
      </c>
      <c r="GE208">
        <v>3.1288094391689594</v>
      </c>
      <c r="GF208">
        <v>2.6431689784089736</v>
      </c>
      <c r="GG208">
        <v>1.4430063380750886</v>
      </c>
      <c r="GH208">
        <v>1.9871405252523333</v>
      </c>
      <c r="GI208">
        <v>5.1975993646831808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5.5422008547008543</v>
      </c>
      <c r="AO209">
        <v>7.1737927338140919</v>
      </c>
      <c r="AP209">
        <v>17.482198920440702</v>
      </c>
      <c r="AQ209">
        <v>19.961678370804421</v>
      </c>
      <c r="AR209">
        <v>6.6547242428702162</v>
      </c>
      <c r="AS209">
        <v>25.636369843731895</v>
      </c>
      <c r="AT209" t="e">
        <v>#DIV/0!</v>
      </c>
      <c r="AU209" t="e">
        <v>#DIV/0!</v>
      </c>
      <c r="AV209"/>
      <c r="AW209"/>
      <c r="FY209" s="210">
        <v>204</v>
      </c>
      <c r="FZ209">
        <v>0.27886497278940114</v>
      </c>
      <c r="GA209">
        <v>2.1501252473738157</v>
      </c>
      <c r="GB209">
        <v>0.88097094884916438</v>
      </c>
      <c r="GC209">
        <v>7.0366911608076075</v>
      </c>
      <c r="GD209">
        <v>6.0967001757422707</v>
      </c>
      <c r="GE209">
        <v>2.8997942149909193</v>
      </c>
      <c r="GF209">
        <v>1.95227762939375</v>
      </c>
      <c r="GG209">
        <v>1.1300765542968063</v>
      </c>
      <c r="GH209">
        <v>1.3247603501682221</v>
      </c>
      <c r="GI209">
        <v>5.1862228009092721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9.5236759768009769</v>
      </c>
      <c r="AO210">
        <v>10.866530767292112</v>
      </c>
      <c r="AP210">
        <v>33.395576873579017</v>
      </c>
      <c r="AQ210">
        <v>35.689482567271689</v>
      </c>
      <c r="AR210">
        <v>10.027404508885342</v>
      </c>
      <c r="AS210">
        <v>55.478281813464513</v>
      </c>
      <c r="AT210" t="e">
        <v>#DIV/0!</v>
      </c>
      <c r="AU210" t="e">
        <v>#DIV/0!</v>
      </c>
      <c r="AV210"/>
      <c r="AW210"/>
      <c r="FY210" s="210">
        <v>205</v>
      </c>
      <c r="FZ210">
        <v>0</v>
      </c>
      <c r="GA210">
        <v>5.6926418736341473</v>
      </c>
      <c r="GB210">
        <v>2.7186085545840464</v>
      </c>
      <c r="GC210">
        <v>10.908178959520399</v>
      </c>
      <c r="GD210">
        <v>8.9745837165526687</v>
      </c>
      <c r="GE210">
        <v>2.3941892202005963</v>
      </c>
      <c r="GF210">
        <v>1.0712213032574254</v>
      </c>
      <c r="GG210">
        <v>0.16807232891341395</v>
      </c>
      <c r="GH210">
        <v>0</v>
      </c>
      <c r="GI210">
        <v>7.3207703855426383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5.2187881562881548</v>
      </c>
      <c r="AO211">
        <v>3.7389230040086523</v>
      </c>
      <c r="AP211">
        <v>14.446080694468119</v>
      </c>
      <c r="AQ211">
        <v>14.416257834011279</v>
      </c>
      <c r="AR211">
        <v>3.4683886864644267</v>
      </c>
      <c r="AS211">
        <v>17.06014183894635</v>
      </c>
      <c r="AT211" t="e">
        <v>#DIV/0!</v>
      </c>
      <c r="AU211" t="e">
        <v>#DIV/0!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0">
        <v>206</v>
      </c>
      <c r="FZ211">
        <v>6.6366169570396066E-2</v>
      </c>
      <c r="GA211">
        <v>2.1397680022443666</v>
      </c>
      <c r="GB211">
        <v>1.5548194732479839</v>
      </c>
      <c r="GC211">
        <v>2.2834803429329975</v>
      </c>
      <c r="GD211">
        <v>1.9088438458328576</v>
      </c>
      <c r="GE211">
        <v>0.83853720041220592</v>
      </c>
      <c r="GF211">
        <v>0</v>
      </c>
      <c r="GG211">
        <v>1.4430063380750886</v>
      </c>
      <c r="GH211">
        <v>1.9871405252523333</v>
      </c>
      <c r="GI211">
        <v>2.0779227443384256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7.2460317460317452</v>
      </c>
      <c r="AO212">
        <v>6.2626287442680715</v>
      </c>
      <c r="AP212">
        <v>27.978524299635747</v>
      </c>
      <c r="AQ212">
        <v>24.222644363370698</v>
      </c>
      <c r="AR212">
        <v>5.8094886310464462</v>
      </c>
      <c r="AS212">
        <v>29.655366155999495</v>
      </c>
      <c r="AT212" t="e">
        <v>#DIV/0!</v>
      </c>
      <c r="AU212" t="e">
        <v>#DIV/0!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35">AVERAGE(DF88:DF97)</f>
        <v>0</v>
      </c>
      <c r="DG212" s="182">
        <f t="shared" si="335"/>
        <v>0</v>
      </c>
      <c r="DH212" s="182">
        <f t="shared" si="335"/>
        <v>0</v>
      </c>
      <c r="DI212" s="182">
        <f t="shared" si="335"/>
        <v>0</v>
      </c>
      <c r="DJ212" s="182">
        <f t="shared" si="335"/>
        <v>0</v>
      </c>
      <c r="DK212" s="182">
        <f t="shared" ref="DK212:DQ212" si="336">AVERAGE(DK88:DK97)</f>
        <v>0</v>
      </c>
      <c r="DL212" s="182">
        <f t="shared" si="336"/>
        <v>0</v>
      </c>
      <c r="DM212" s="182">
        <f t="shared" si="336"/>
        <v>0</v>
      </c>
      <c r="DN212" s="182">
        <f t="shared" si="336"/>
        <v>0</v>
      </c>
      <c r="DO212" s="182">
        <f t="shared" si="336"/>
        <v>0</v>
      </c>
      <c r="DP212" s="182">
        <f t="shared" si="336"/>
        <v>0</v>
      </c>
      <c r="DQ212" s="182">
        <f t="shared" si="336"/>
        <v>0</v>
      </c>
      <c r="DR212" s="182">
        <f t="shared" si="335"/>
        <v>0</v>
      </c>
      <c r="DS212" s="182">
        <f t="shared" si="335"/>
        <v>0</v>
      </c>
      <c r="DT212" s="182">
        <f t="shared" si="335"/>
        <v>0</v>
      </c>
      <c r="DU212" s="182">
        <f t="shared" si="335"/>
        <v>0</v>
      </c>
      <c r="DV212" s="182">
        <f t="shared" si="335"/>
        <v>0</v>
      </c>
      <c r="DW212" s="182">
        <f t="shared" si="335"/>
        <v>0</v>
      </c>
      <c r="DX212" s="182">
        <f t="shared" si="335"/>
        <v>0</v>
      </c>
      <c r="DY212" s="182">
        <f t="shared" si="335"/>
        <v>0</v>
      </c>
      <c r="DZ212" s="182">
        <f t="shared" si="335"/>
        <v>0</v>
      </c>
      <c r="EA212" s="182">
        <f t="shared" si="335"/>
        <v>0</v>
      </c>
      <c r="EB212" s="182">
        <f t="shared" si="335"/>
        <v>0</v>
      </c>
      <c r="EC212" s="182">
        <f t="shared" si="335"/>
        <v>0</v>
      </c>
      <c r="ED212" s="182">
        <f t="shared" si="335"/>
        <v>0</v>
      </c>
      <c r="EE212" s="182">
        <f t="shared" si="335"/>
        <v>0</v>
      </c>
      <c r="EF212" s="182">
        <f t="shared" si="335"/>
        <v>0</v>
      </c>
      <c r="EG212" s="182">
        <f t="shared" si="335"/>
        <v>0</v>
      </c>
      <c r="EH212" s="182">
        <f t="shared" si="335"/>
        <v>0</v>
      </c>
      <c r="EI212" s="182">
        <f t="shared" si="335"/>
        <v>0</v>
      </c>
      <c r="EJ212" s="182">
        <f t="shared" si="335"/>
        <v>0</v>
      </c>
      <c r="FY212" s="210">
        <v>207</v>
      </c>
      <c r="FZ212">
        <v>0.73704566401260951</v>
      </c>
      <c r="GA212">
        <v>5.714983846292089</v>
      </c>
      <c r="GB212">
        <v>2.3100912434873679</v>
      </c>
      <c r="GC212">
        <v>4.1584369773247376</v>
      </c>
      <c r="GD212">
        <v>4.0634643609753169</v>
      </c>
      <c r="GE212">
        <v>3.1407258589464275</v>
      </c>
      <c r="GF212">
        <v>1.95227762939375</v>
      </c>
      <c r="GG212">
        <v>1.1300765542968063</v>
      </c>
      <c r="GH212">
        <v>1.3247603501682221</v>
      </c>
      <c r="GI212">
        <v>4.2855288978990114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4.0868055555555554</v>
      </c>
      <c r="AO213">
        <v>4.5006209112059281</v>
      </c>
      <c r="AP213">
        <v>19.452193362580935</v>
      </c>
      <c r="AQ213">
        <v>16.901248850814834</v>
      </c>
      <c r="AR213">
        <v>4.1749730159609717</v>
      </c>
      <c r="AS213">
        <v>18.733472592653293</v>
      </c>
      <c r="AT213" t="e">
        <v>#DIV/0!</v>
      </c>
      <c r="AU213" t="e">
        <v>#DIV/0!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37">AVERAGE(DF98:DF107)</f>
        <v>0</v>
      </c>
      <c r="DG213" s="185">
        <f t="shared" si="337"/>
        <v>0</v>
      </c>
      <c r="DH213" s="185">
        <f t="shared" si="337"/>
        <v>2.083333333333333</v>
      </c>
      <c r="DI213" s="185">
        <f t="shared" si="337"/>
        <v>2.083333333333333</v>
      </c>
      <c r="DJ213" s="185">
        <f t="shared" si="337"/>
        <v>0</v>
      </c>
      <c r="DK213" s="185">
        <f t="shared" ref="DK213:DQ213" si="338">AVERAGE(DK98:DK107)</f>
        <v>0</v>
      </c>
      <c r="DL213" s="185">
        <f t="shared" si="338"/>
        <v>0</v>
      </c>
      <c r="DM213" s="185">
        <f t="shared" si="338"/>
        <v>0</v>
      </c>
      <c r="DN213" s="185">
        <f t="shared" si="338"/>
        <v>0</v>
      </c>
      <c r="DO213" s="185">
        <f t="shared" si="338"/>
        <v>0</v>
      </c>
      <c r="DP213" s="185">
        <f t="shared" si="338"/>
        <v>0</v>
      </c>
      <c r="DQ213" s="185">
        <f t="shared" si="338"/>
        <v>0</v>
      </c>
      <c r="DR213" s="185">
        <f t="shared" si="337"/>
        <v>0</v>
      </c>
      <c r="DS213" s="185">
        <f t="shared" si="337"/>
        <v>0</v>
      </c>
      <c r="DT213" s="185">
        <f t="shared" si="337"/>
        <v>0</v>
      </c>
      <c r="DU213" s="185">
        <f t="shared" si="337"/>
        <v>0</v>
      </c>
      <c r="DV213" s="185">
        <f t="shared" si="337"/>
        <v>0</v>
      </c>
      <c r="DW213" s="185">
        <f t="shared" si="337"/>
        <v>0</v>
      </c>
      <c r="DX213" s="185">
        <f t="shared" si="337"/>
        <v>0</v>
      </c>
      <c r="DY213" s="185">
        <f t="shared" si="337"/>
        <v>0</v>
      </c>
      <c r="DZ213" s="185">
        <f t="shared" si="337"/>
        <v>0</v>
      </c>
      <c r="EA213" s="185">
        <f t="shared" si="337"/>
        <v>0</v>
      </c>
      <c r="EB213" s="185">
        <f t="shared" si="337"/>
        <v>0</v>
      </c>
      <c r="EC213" s="185">
        <f t="shared" si="337"/>
        <v>0</v>
      </c>
      <c r="ED213" s="185">
        <f t="shared" si="337"/>
        <v>0</v>
      </c>
      <c r="EE213" s="185">
        <f t="shared" si="337"/>
        <v>0</v>
      </c>
      <c r="EF213" s="185">
        <f t="shared" si="337"/>
        <v>0</v>
      </c>
      <c r="EG213" s="185">
        <f t="shared" si="337"/>
        <v>0</v>
      </c>
      <c r="EH213" s="185">
        <f t="shared" si="337"/>
        <v>0</v>
      </c>
      <c r="EI213" s="185">
        <f t="shared" si="337"/>
        <v>0</v>
      </c>
      <c r="EJ213" s="185">
        <f t="shared" si="337"/>
        <v>0</v>
      </c>
      <c r="FY213" s="210">
        <v>208</v>
      </c>
      <c r="FZ213">
        <v>0</v>
      </c>
      <c r="GA213">
        <v>0.25078276311417147</v>
      </c>
      <c r="GB213">
        <v>0.12787265331161465</v>
      </c>
      <c r="GC213">
        <v>1.2874964425802224</v>
      </c>
      <c r="GD213">
        <v>2.066701999639633</v>
      </c>
      <c r="GE213">
        <v>2.2671778593498648</v>
      </c>
      <c r="GF213">
        <v>0.19016497712110106</v>
      </c>
      <c r="GG213">
        <v>0.16807232891341395</v>
      </c>
      <c r="GH213">
        <v>0</v>
      </c>
      <c r="GI213">
        <v>1.5046107716692516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5.4508928571428585</v>
      </c>
      <c r="AO214">
        <v>5.1437075462423945</v>
      </c>
      <c r="AP214">
        <v>19.470548104205211</v>
      </c>
      <c r="AQ214">
        <v>17.771140666917095</v>
      </c>
      <c r="AR214">
        <v>4.7715283360319045</v>
      </c>
      <c r="AS214">
        <v>22.069599127750173</v>
      </c>
      <c r="AT214" t="e">
        <v>#DIV/0!</v>
      </c>
      <c r="AU214" t="e">
        <v>#DIV/0!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339">AVERAGE(DF108:DF117)</f>
        <v>0</v>
      </c>
      <c r="DG214" s="182">
        <f t="shared" si="339"/>
        <v>8.928571428571427</v>
      </c>
      <c r="DH214" s="182">
        <f t="shared" si="339"/>
        <v>0</v>
      </c>
      <c r="DI214" s="182">
        <f t="shared" si="339"/>
        <v>2.083333333333333</v>
      </c>
      <c r="DJ214" s="182">
        <f t="shared" si="339"/>
        <v>0</v>
      </c>
      <c r="DK214" s="182">
        <f t="shared" si="339"/>
        <v>1.0416666666666665</v>
      </c>
      <c r="DL214" s="182">
        <f t="shared" si="339"/>
        <v>1.0416666666666665</v>
      </c>
      <c r="DM214" s="182">
        <f t="shared" si="339"/>
        <v>1.0416666666666665</v>
      </c>
      <c r="DN214" s="182">
        <f t="shared" si="339"/>
        <v>0</v>
      </c>
      <c r="DO214" s="182">
        <f t="shared" si="339"/>
        <v>0</v>
      </c>
      <c r="DP214" s="182">
        <f t="shared" si="339"/>
        <v>0</v>
      </c>
      <c r="DQ214" s="182">
        <f t="shared" si="339"/>
        <v>0</v>
      </c>
      <c r="DR214" s="182">
        <f t="shared" si="339"/>
        <v>0</v>
      </c>
      <c r="DS214" s="182">
        <f t="shared" si="339"/>
        <v>0</v>
      </c>
      <c r="DT214" s="182">
        <f t="shared" si="339"/>
        <v>0</v>
      </c>
      <c r="DU214" s="182">
        <f t="shared" si="339"/>
        <v>0</v>
      </c>
      <c r="DV214" s="182">
        <f t="shared" si="339"/>
        <v>0</v>
      </c>
      <c r="DW214" s="182">
        <f t="shared" si="339"/>
        <v>0</v>
      </c>
      <c r="DX214" s="182">
        <f t="shared" si="339"/>
        <v>0</v>
      </c>
      <c r="DY214" s="182">
        <f t="shared" si="339"/>
        <v>0</v>
      </c>
      <c r="DZ214" s="182">
        <f t="shared" si="339"/>
        <v>0</v>
      </c>
      <c r="EA214" s="182">
        <f t="shared" si="339"/>
        <v>0</v>
      </c>
      <c r="EB214" s="182">
        <f t="shared" si="339"/>
        <v>0</v>
      </c>
      <c r="EC214" s="182">
        <f t="shared" si="339"/>
        <v>0</v>
      </c>
      <c r="ED214" s="182">
        <f t="shared" si="339"/>
        <v>0</v>
      </c>
      <c r="EE214" s="182">
        <f t="shared" si="339"/>
        <v>0</v>
      </c>
      <c r="EF214" s="182">
        <f t="shared" si="339"/>
        <v>0</v>
      </c>
      <c r="EG214" s="182">
        <f t="shared" si="339"/>
        <v>0</v>
      </c>
      <c r="EH214" s="182">
        <f t="shared" si="339"/>
        <v>0</v>
      </c>
      <c r="EI214" s="182">
        <f t="shared" si="339"/>
        <v>0</v>
      </c>
      <c r="EJ214" s="182">
        <f t="shared" si="339"/>
        <v>0</v>
      </c>
      <c r="FY214" s="210">
        <v>209</v>
      </c>
      <c r="FZ214">
        <v>0.52454686079360424</v>
      </c>
      <c r="GA214">
        <v>3.4029176982669034</v>
      </c>
      <c r="GB214">
        <v>1.3273361139641193</v>
      </c>
      <c r="GC214">
        <v>8.4679001647295937</v>
      </c>
      <c r="GD214">
        <v>6.7695162060896976</v>
      </c>
      <c r="GE214">
        <v>1.5556520197883907</v>
      </c>
      <c r="GF214">
        <v>1.2613862803785265</v>
      </c>
      <c r="GG214">
        <v>1.2981488832102204</v>
      </c>
      <c r="GH214">
        <v>1.3247603501682221</v>
      </c>
      <c r="GI214">
        <v>5.6724220665048133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5.9705242673992664</v>
      </c>
      <c r="AO215">
        <v>6.8302534309121752</v>
      </c>
      <c r="AP215">
        <v>24.723922103773226</v>
      </c>
      <c r="AQ215">
        <v>23.008215790868025</v>
      </c>
      <c r="AR215">
        <v>6.2831769241173099</v>
      </c>
      <c r="AS215">
        <v>26.622747904155769</v>
      </c>
      <c r="AT215" t="e">
        <v>#DIV/0!</v>
      </c>
      <c r="AU215" t="e">
        <v>#DIV/0!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40">AVERAGE(DF118:DF127)</f>
        <v>0</v>
      </c>
      <c r="DG215" s="182">
        <f t="shared" ref="DG215:DH215" si="341">AVERAGE(DG118:DG127)</f>
        <v>0</v>
      </c>
      <c r="DH215" s="182">
        <f t="shared" si="341"/>
        <v>0</v>
      </c>
      <c r="DI215" s="182">
        <f t="shared" si="340"/>
        <v>0</v>
      </c>
      <c r="DJ215" s="182">
        <f t="shared" si="340"/>
        <v>0</v>
      </c>
      <c r="DK215" s="182">
        <f t="shared" si="340"/>
        <v>0</v>
      </c>
      <c r="DL215" s="182">
        <f t="shared" si="340"/>
        <v>0</v>
      </c>
      <c r="DM215" s="182">
        <f t="shared" si="340"/>
        <v>1.0416666666666665</v>
      </c>
      <c r="DN215" s="182">
        <f t="shared" si="340"/>
        <v>0</v>
      </c>
      <c r="DO215" s="182">
        <f t="shared" si="340"/>
        <v>0</v>
      </c>
      <c r="DP215" s="182">
        <f t="shared" si="340"/>
        <v>0</v>
      </c>
      <c r="DQ215" s="182">
        <f t="shared" si="340"/>
        <v>0</v>
      </c>
      <c r="DR215" s="182">
        <f t="shared" si="340"/>
        <v>0</v>
      </c>
      <c r="DS215" s="182">
        <f t="shared" si="340"/>
        <v>0</v>
      </c>
      <c r="DT215" s="182">
        <f t="shared" si="340"/>
        <v>0</v>
      </c>
      <c r="DU215" s="182">
        <f t="shared" si="340"/>
        <v>0</v>
      </c>
      <c r="DV215" s="182">
        <f t="shared" si="340"/>
        <v>0</v>
      </c>
      <c r="DW215" s="182">
        <f t="shared" si="340"/>
        <v>0</v>
      </c>
      <c r="DX215" s="182">
        <f t="shared" si="340"/>
        <v>0</v>
      </c>
      <c r="DY215" s="182">
        <f t="shared" si="340"/>
        <v>0</v>
      </c>
      <c r="DZ215" s="182">
        <f t="shared" si="340"/>
        <v>0</v>
      </c>
      <c r="EA215" s="182">
        <f t="shared" si="340"/>
        <v>0</v>
      </c>
      <c r="EB215" s="182">
        <f t="shared" si="340"/>
        <v>0</v>
      </c>
      <c r="EC215" s="182">
        <f t="shared" si="340"/>
        <v>0</v>
      </c>
      <c r="ED215" s="182">
        <f t="shared" si="340"/>
        <v>0</v>
      </c>
      <c r="EE215" s="182">
        <f t="shared" si="340"/>
        <v>0</v>
      </c>
      <c r="EF215" s="182">
        <f t="shared" si="340"/>
        <v>0</v>
      </c>
      <c r="EG215" s="182">
        <f t="shared" si="340"/>
        <v>0</v>
      </c>
      <c r="EH215" s="182">
        <f t="shared" si="340"/>
        <v>0</v>
      </c>
      <c r="EI215" s="182">
        <f t="shared" si="340"/>
        <v>0</v>
      </c>
      <c r="EJ215" s="182">
        <f t="shared" si="340"/>
        <v>0</v>
      </c>
      <c r="FY215" s="210">
        <v>210</v>
      </c>
      <c r="FZ215">
        <v>0.2456818880042031</v>
      </c>
      <c r="GA215">
        <v>4.1721663236181534</v>
      </c>
      <c r="GB215">
        <v>1.8637260783724128</v>
      </c>
      <c r="GC215">
        <v>9.7698203472199907</v>
      </c>
      <c r="GD215">
        <v>7.9214009283924165</v>
      </c>
      <c r="GE215">
        <v>1.4642987855944321</v>
      </c>
      <c r="GF215">
        <v>0.38032995424220212</v>
      </c>
      <c r="GG215">
        <v>1.7791509959019165</v>
      </c>
      <c r="GH215">
        <v>1.9871405252523333</v>
      </c>
      <c r="GI215">
        <v>6.6204258203823905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8.0968025030525048</v>
      </c>
      <c r="AO216">
        <v>6.9452828219055247</v>
      </c>
      <c r="AP216">
        <v>36.591690711503809</v>
      </c>
      <c r="AQ216">
        <v>28.379659908963426</v>
      </c>
      <c r="AR216">
        <v>6.4427484433260886</v>
      </c>
      <c r="AS216">
        <v>26.386365131047928</v>
      </c>
      <c r="AT216" t="e">
        <v>#DIV/0!</v>
      </c>
      <c r="AU216" t="e">
        <v>#DIV/0!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42">AVERAGE(DF128:DF137)</f>
        <v>0</v>
      </c>
      <c r="DG216" s="182">
        <f t="shared" ref="DG216:DH216" si="343">AVERAGE(DG128:DG137)</f>
        <v>0</v>
      </c>
      <c r="DH216" s="182">
        <f t="shared" si="343"/>
        <v>0</v>
      </c>
      <c r="DI216" s="182">
        <f t="shared" si="342"/>
        <v>0</v>
      </c>
      <c r="DJ216" s="182">
        <f t="shared" si="342"/>
        <v>7.6388888888888884</v>
      </c>
      <c r="DK216" s="182">
        <f t="shared" si="342"/>
        <v>8.0492424242424256</v>
      </c>
      <c r="DL216" s="182">
        <f t="shared" si="342"/>
        <v>11.363636363636363</v>
      </c>
      <c r="DM216" s="182">
        <f t="shared" si="342"/>
        <v>7.7335858585858572</v>
      </c>
      <c r="DN216" s="182">
        <f t="shared" si="342"/>
        <v>1.0416666666666665</v>
      </c>
      <c r="DO216" s="182">
        <f t="shared" si="342"/>
        <v>0</v>
      </c>
      <c r="DP216" s="182">
        <f t="shared" si="342"/>
        <v>0</v>
      </c>
      <c r="DQ216" s="182">
        <f t="shared" si="342"/>
        <v>0</v>
      </c>
      <c r="DR216" s="182">
        <f t="shared" si="342"/>
        <v>0</v>
      </c>
      <c r="DS216" s="182">
        <f t="shared" si="342"/>
        <v>0</v>
      </c>
      <c r="DT216" s="182">
        <f t="shared" si="342"/>
        <v>0</v>
      </c>
      <c r="DU216" s="182">
        <f t="shared" si="342"/>
        <v>0</v>
      </c>
      <c r="DV216" s="182">
        <f t="shared" si="342"/>
        <v>0</v>
      </c>
      <c r="DW216" s="182">
        <f t="shared" si="342"/>
        <v>0</v>
      </c>
      <c r="DX216" s="182">
        <f t="shared" si="342"/>
        <v>0</v>
      </c>
      <c r="DY216" s="182">
        <f t="shared" si="342"/>
        <v>0</v>
      </c>
      <c r="DZ216" s="182">
        <f t="shared" si="342"/>
        <v>0</v>
      </c>
      <c r="EA216" s="182">
        <f t="shared" si="342"/>
        <v>0</v>
      </c>
      <c r="EB216" s="182">
        <f t="shared" si="342"/>
        <v>0</v>
      </c>
      <c r="EC216" s="182">
        <f t="shared" si="342"/>
        <v>0</v>
      </c>
      <c r="ED216" s="182">
        <f t="shared" si="342"/>
        <v>0</v>
      </c>
      <c r="EE216" s="182">
        <f t="shared" si="342"/>
        <v>0</v>
      </c>
      <c r="EF216" s="182">
        <f t="shared" si="342"/>
        <v>0</v>
      </c>
      <c r="EG216" s="182">
        <f t="shared" si="342"/>
        <v>0</v>
      </c>
      <c r="EH216" s="182">
        <f t="shared" si="342"/>
        <v>0</v>
      </c>
      <c r="EI216" s="182">
        <f t="shared" si="342"/>
        <v>0</v>
      </c>
      <c r="EJ216" s="182">
        <f t="shared" si="342"/>
        <v>0</v>
      </c>
      <c r="FY216" s="210">
        <v>211</v>
      </c>
      <c r="FZ216">
        <v>0.31204805757459919</v>
      </c>
      <c r="GA216">
        <v>3.4029176982669034</v>
      </c>
      <c r="GB216">
        <v>2.0272731110004698</v>
      </c>
      <c r="GC216">
        <v>4.8643744411030738</v>
      </c>
      <c r="GD216">
        <v>3.9095092273516046</v>
      </c>
      <c r="GE216">
        <v>1.0131231076971783</v>
      </c>
      <c r="GF216">
        <v>0.19016497712110106</v>
      </c>
      <c r="GG216">
        <v>1.1300765542968063</v>
      </c>
      <c r="GH216">
        <v>1.3247603501682221</v>
      </c>
      <c r="GI216">
        <v>3.5586984837660323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5.5596001221001217</v>
      </c>
      <c r="AO217">
        <v>5.1437390675240513</v>
      </c>
      <c r="AP217">
        <v>17.168497219721043</v>
      </c>
      <c r="AQ217">
        <v>16.965775997551852</v>
      </c>
      <c r="AR217">
        <v>4.7715575765529232</v>
      </c>
      <c r="AS217">
        <v>21.649069695627933</v>
      </c>
      <c r="AT217" t="e">
        <v>#DIV/0!</v>
      </c>
      <c r="AU217" t="e">
        <v>#DIV/0!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44">AVERAGE(DF138:DF147)</f>
        <v>0</v>
      </c>
      <c r="DG217" s="182">
        <f t="shared" ref="DG217:DH217" si="345">AVERAGE(DG138:DG147)</f>
        <v>0</v>
      </c>
      <c r="DH217" s="182">
        <f t="shared" si="345"/>
        <v>0</v>
      </c>
      <c r="DI217" s="182">
        <f t="shared" si="344"/>
        <v>0</v>
      </c>
      <c r="DJ217" s="182">
        <f t="shared" si="344"/>
        <v>0</v>
      </c>
      <c r="DK217" s="182">
        <f t="shared" si="344"/>
        <v>3.4455128205128203</v>
      </c>
      <c r="DL217" s="182">
        <f t="shared" si="344"/>
        <v>2.083333333333333</v>
      </c>
      <c r="DM217" s="182">
        <f t="shared" si="344"/>
        <v>0</v>
      </c>
      <c r="DN217" s="182">
        <f t="shared" si="344"/>
        <v>0</v>
      </c>
      <c r="DO217" s="182">
        <f t="shared" si="344"/>
        <v>0</v>
      </c>
      <c r="DP217" s="182">
        <f t="shared" si="344"/>
        <v>0</v>
      </c>
      <c r="DQ217" s="182">
        <f t="shared" si="344"/>
        <v>0</v>
      </c>
      <c r="DR217" s="182">
        <f t="shared" si="344"/>
        <v>0</v>
      </c>
      <c r="DS217" s="182">
        <f t="shared" si="344"/>
        <v>0</v>
      </c>
      <c r="DT217" s="182">
        <f t="shared" si="344"/>
        <v>0</v>
      </c>
      <c r="DU217" s="182">
        <f t="shared" si="344"/>
        <v>0</v>
      </c>
      <c r="DV217" s="182">
        <f t="shared" si="344"/>
        <v>0</v>
      </c>
      <c r="DW217" s="182">
        <f t="shared" si="344"/>
        <v>0</v>
      </c>
      <c r="DX217" s="182">
        <f t="shared" si="344"/>
        <v>0</v>
      </c>
      <c r="DY217" s="182">
        <f t="shared" si="344"/>
        <v>0</v>
      </c>
      <c r="DZ217" s="182">
        <f t="shared" si="344"/>
        <v>0</v>
      </c>
      <c r="EA217" s="182">
        <f t="shared" si="344"/>
        <v>0</v>
      </c>
      <c r="EB217" s="182">
        <f t="shared" si="344"/>
        <v>0</v>
      </c>
      <c r="EC217" s="182">
        <f t="shared" si="344"/>
        <v>0</v>
      </c>
      <c r="ED217" s="182">
        <f t="shared" si="344"/>
        <v>0</v>
      </c>
      <c r="EE217" s="182">
        <f t="shared" si="344"/>
        <v>0</v>
      </c>
      <c r="EF217" s="182">
        <f t="shared" si="344"/>
        <v>0</v>
      </c>
      <c r="EG217" s="182">
        <f t="shared" si="344"/>
        <v>0</v>
      </c>
      <c r="EH217" s="182">
        <f t="shared" si="344"/>
        <v>0</v>
      </c>
      <c r="EI217" s="182">
        <f t="shared" si="344"/>
        <v>0</v>
      </c>
      <c r="EJ217" s="182">
        <f t="shared" si="344"/>
        <v>0</v>
      </c>
      <c r="FY217" s="210">
        <v>212</v>
      </c>
      <c r="FZ217">
        <v>0.2456818880042031</v>
      </c>
      <c r="GA217">
        <v>3.0736503178193786</v>
      </c>
      <c r="GB217">
        <v>1.899400457688855</v>
      </c>
      <c r="GC217">
        <v>12.043183086367495</v>
      </c>
      <c r="GD217">
        <v>9.7805003009852474</v>
      </c>
      <c r="GE217">
        <v>2.3397599033075283</v>
      </c>
      <c r="GF217">
        <v>0.38032995424220212</v>
      </c>
      <c r="GG217">
        <v>1.7791509959019165</v>
      </c>
      <c r="GH217">
        <v>1.9871405252523333</v>
      </c>
      <c r="GI217">
        <v>8.166766727356455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3.9883814102564101</v>
      </c>
      <c r="AO218">
        <v>4.012987585185801</v>
      </c>
      <c r="AP218">
        <v>19.80359478153532</v>
      </c>
      <c r="AQ218">
        <v>16.667104903151774</v>
      </c>
      <c r="AR218">
        <v>3.5640273330655425</v>
      </c>
      <c r="AS218">
        <v>18.414519622298851</v>
      </c>
      <c r="AT218" t="e">
        <v>#DIV/0!</v>
      </c>
      <c r="AU218" t="e">
        <v>#DIV/0!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346">AVERAGE(DF148:DF157)</f>
        <v>0</v>
      </c>
      <c r="DG218" s="182">
        <f t="shared" ref="DG218:DH218" si="347">AVERAGE(DG148:DG157)</f>
        <v>0</v>
      </c>
      <c r="DH218" s="182">
        <f t="shared" si="347"/>
        <v>0</v>
      </c>
      <c r="DI218" s="182">
        <f t="shared" si="346"/>
        <v>0</v>
      </c>
      <c r="DJ218" s="182">
        <f t="shared" si="346"/>
        <v>1.3020833333333333</v>
      </c>
      <c r="DK218" s="182">
        <f t="shared" si="346"/>
        <v>0</v>
      </c>
      <c r="DL218" s="182">
        <f t="shared" si="346"/>
        <v>1.3020833333333333</v>
      </c>
      <c r="DM218" s="182">
        <f t="shared" si="346"/>
        <v>0</v>
      </c>
      <c r="DN218" s="182">
        <f t="shared" si="346"/>
        <v>0</v>
      </c>
      <c r="DO218" s="182">
        <f t="shared" si="346"/>
        <v>0</v>
      </c>
      <c r="DP218" s="182">
        <f t="shared" si="346"/>
        <v>0</v>
      </c>
      <c r="DQ218" s="182">
        <f t="shared" si="346"/>
        <v>0</v>
      </c>
      <c r="DR218" s="182">
        <f t="shared" si="346"/>
        <v>0</v>
      </c>
      <c r="DS218" s="182">
        <f t="shared" si="346"/>
        <v>0</v>
      </c>
      <c r="DT218" s="182">
        <f t="shared" si="346"/>
        <v>0</v>
      </c>
      <c r="DU218" s="182">
        <f t="shared" si="346"/>
        <v>0</v>
      </c>
      <c r="DV218" s="182">
        <f t="shared" si="346"/>
        <v>0</v>
      </c>
      <c r="DW218" s="182">
        <f t="shared" si="346"/>
        <v>0</v>
      </c>
      <c r="DX218" s="182">
        <f t="shared" si="346"/>
        <v>0</v>
      </c>
      <c r="DY218" s="182">
        <f t="shared" si="346"/>
        <v>0</v>
      </c>
      <c r="DZ218" s="182">
        <f t="shared" si="346"/>
        <v>0</v>
      </c>
      <c r="EA218" s="182">
        <f t="shared" si="346"/>
        <v>0</v>
      </c>
      <c r="EB218" s="182">
        <f t="shared" si="346"/>
        <v>0</v>
      </c>
      <c r="EC218" s="182">
        <f t="shared" si="346"/>
        <v>0</v>
      </c>
      <c r="ED218" s="182">
        <f t="shared" si="346"/>
        <v>0</v>
      </c>
      <c r="EE218" s="182">
        <f t="shared" si="346"/>
        <v>0</v>
      </c>
      <c r="EF218" s="182">
        <f t="shared" si="346"/>
        <v>0</v>
      </c>
      <c r="EG218" s="182">
        <f t="shared" si="346"/>
        <v>0</v>
      </c>
      <c r="EH218" s="182">
        <f t="shared" si="346"/>
        <v>0</v>
      </c>
      <c r="EI218" s="182">
        <f t="shared" si="346"/>
        <v>0</v>
      </c>
      <c r="EJ218" s="182">
        <f t="shared" si="346"/>
        <v>0</v>
      </c>
      <c r="FY218" s="210">
        <v>213</v>
      </c>
      <c r="FZ218">
        <v>3.3183084785198033E-2</v>
      </c>
      <c r="GA218">
        <v>4.8841509396162213</v>
      </c>
      <c r="GB218">
        <v>2.882155587212103</v>
      </c>
      <c r="GC218">
        <v>5.5647576647114185</v>
      </c>
      <c r="GD218">
        <v>4.9445855404500287</v>
      </c>
      <c r="GE218">
        <v>3.7201786883385308</v>
      </c>
      <c r="GF218">
        <v>3.78415884113558</v>
      </c>
      <c r="GG218">
        <v>1.4894360861721798</v>
      </c>
      <c r="GH218">
        <v>0.66238017508411107</v>
      </c>
      <c r="GI218">
        <v>5.1456768550804037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8.7557806776556752</v>
      </c>
      <c r="AO219">
        <v>8.437024630227814</v>
      </c>
      <c r="AP219">
        <v>31.898592083915965</v>
      </c>
      <c r="AQ219">
        <v>30.963014611314076</v>
      </c>
      <c r="AR219">
        <v>7.6679578015646275</v>
      </c>
      <c r="AS219">
        <v>37.697955613445139</v>
      </c>
      <c r="AT219" t="e">
        <v>#DIV/0!</v>
      </c>
      <c r="AU219" t="e">
        <v>#DIV/0!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48">AVERAGE(DF158:DF167)</f>
        <v>0</v>
      </c>
      <c r="DG219" s="182">
        <f t="shared" si="348"/>
        <v>0</v>
      </c>
      <c r="DH219" s="182">
        <f t="shared" si="348"/>
        <v>0</v>
      </c>
      <c r="DI219" s="182">
        <f t="shared" ref="DI219" si="349">AVERAGE(DI158:DI167)</f>
        <v>0</v>
      </c>
      <c r="DJ219" s="182">
        <f t="shared" si="348"/>
        <v>2.083333333333333</v>
      </c>
      <c r="DK219" s="182">
        <f t="shared" si="348"/>
        <v>0</v>
      </c>
      <c r="DL219" s="182">
        <f t="shared" si="348"/>
        <v>0</v>
      </c>
      <c r="DM219" s="182">
        <f t="shared" si="348"/>
        <v>0</v>
      </c>
      <c r="DN219" s="182">
        <f t="shared" si="348"/>
        <v>0</v>
      </c>
      <c r="DO219" s="182">
        <f t="shared" si="348"/>
        <v>0</v>
      </c>
      <c r="DP219" s="182">
        <f t="shared" si="348"/>
        <v>0</v>
      </c>
      <c r="DQ219" s="182">
        <f t="shared" si="348"/>
        <v>0</v>
      </c>
      <c r="DR219" s="182">
        <f t="shared" si="348"/>
        <v>0</v>
      </c>
      <c r="DS219" s="182">
        <f t="shared" si="348"/>
        <v>0</v>
      </c>
      <c r="DT219" s="182">
        <f t="shared" si="348"/>
        <v>0</v>
      </c>
      <c r="DU219" s="182">
        <f t="shared" si="348"/>
        <v>0</v>
      </c>
      <c r="DV219" s="182">
        <f t="shared" si="348"/>
        <v>0</v>
      </c>
      <c r="DW219" s="182">
        <f t="shared" si="348"/>
        <v>0</v>
      </c>
      <c r="DX219" s="182">
        <f t="shared" si="348"/>
        <v>0</v>
      </c>
      <c r="DY219" s="182">
        <f t="shared" si="348"/>
        <v>0</v>
      </c>
      <c r="DZ219" s="182">
        <f t="shared" si="348"/>
        <v>0</v>
      </c>
      <c r="EA219" s="182">
        <f t="shared" si="348"/>
        <v>0</v>
      </c>
      <c r="EB219" s="182">
        <f t="shared" si="348"/>
        <v>0</v>
      </c>
      <c r="EC219" s="182">
        <f t="shared" si="348"/>
        <v>0</v>
      </c>
      <c r="ED219" s="182">
        <f t="shared" si="348"/>
        <v>0</v>
      </c>
      <c r="EE219" s="182">
        <f t="shared" si="348"/>
        <v>0</v>
      </c>
      <c r="EF219" s="182">
        <f t="shared" si="348"/>
        <v>0</v>
      </c>
      <c r="EG219" s="182">
        <f t="shared" si="348"/>
        <v>0</v>
      </c>
      <c r="EH219" s="182">
        <f t="shared" si="348"/>
        <v>0</v>
      </c>
      <c r="EI219" s="182">
        <f t="shared" si="348"/>
        <v>0</v>
      </c>
      <c r="EJ219" s="182">
        <f t="shared" si="348"/>
        <v>0</v>
      </c>
      <c r="FY219" s="210">
        <v>214</v>
      </c>
      <c r="FZ219">
        <v>0.2456818880042031</v>
      </c>
      <c r="GA219">
        <v>1.9854915571500533</v>
      </c>
      <c r="GB219">
        <v>1.9611633096428283</v>
      </c>
      <c r="GC219">
        <v>5.9950724318254887</v>
      </c>
      <c r="GD219">
        <v>5.0953199605060497</v>
      </c>
      <c r="GE219">
        <v>2.0913261614207754</v>
      </c>
      <c r="GF219">
        <v>0.38032995424220212</v>
      </c>
      <c r="GG219">
        <v>0.81714677051852402</v>
      </c>
      <c r="GH219">
        <v>0.66238017508411107</v>
      </c>
      <c r="GI219">
        <v>4.2162141394947588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7.4489850427350435</v>
      </c>
      <c r="AO220">
        <v>8.4606454016631591</v>
      </c>
      <c r="AP220">
        <v>27.786806042107639</v>
      </c>
      <c r="AQ220">
        <v>28.93648405532123</v>
      </c>
      <c r="AR220">
        <v>7.7427346829644952</v>
      </c>
      <c r="AS220">
        <v>38.732996535463535</v>
      </c>
      <c r="AT220" t="e">
        <v>#DIV/0!</v>
      </c>
      <c r="AU220" t="e">
        <v>#DIV/0!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50">AVERAGE(DF168:DF177)</f>
        <v>0</v>
      </c>
      <c r="DG220" s="182">
        <f t="shared" si="350"/>
        <v>0</v>
      </c>
      <c r="DH220" s="182">
        <f t="shared" si="350"/>
        <v>0</v>
      </c>
      <c r="DI220" s="182">
        <f t="shared" ref="DI220" si="351">AVERAGE(DI168:DI177)</f>
        <v>0</v>
      </c>
      <c r="DJ220" s="182">
        <f t="shared" si="350"/>
        <v>0</v>
      </c>
      <c r="DK220" s="182">
        <f t="shared" si="350"/>
        <v>0</v>
      </c>
      <c r="DL220" s="182">
        <f t="shared" si="350"/>
        <v>2.083333333333333</v>
      </c>
      <c r="DM220" s="182">
        <f t="shared" si="350"/>
        <v>0</v>
      </c>
      <c r="DN220" s="182">
        <f t="shared" si="350"/>
        <v>0</v>
      </c>
      <c r="DO220" s="182">
        <v>8</v>
      </c>
      <c r="DP220" s="182">
        <f t="shared" si="350"/>
        <v>0</v>
      </c>
      <c r="DQ220" s="182">
        <f t="shared" si="350"/>
        <v>0</v>
      </c>
      <c r="DR220" s="182">
        <f t="shared" si="350"/>
        <v>0</v>
      </c>
      <c r="DS220" s="182">
        <f t="shared" si="350"/>
        <v>0</v>
      </c>
      <c r="DT220" s="182">
        <f t="shared" si="350"/>
        <v>0</v>
      </c>
      <c r="DU220" s="182">
        <f t="shared" si="350"/>
        <v>0</v>
      </c>
      <c r="DV220" s="182">
        <f t="shared" si="350"/>
        <v>0</v>
      </c>
      <c r="DW220" s="182">
        <f t="shared" si="350"/>
        <v>0</v>
      </c>
      <c r="DX220" s="182">
        <f t="shared" si="350"/>
        <v>0</v>
      </c>
      <c r="DY220" s="182">
        <f t="shared" si="350"/>
        <v>0</v>
      </c>
      <c r="DZ220" s="182">
        <f t="shared" si="350"/>
        <v>0</v>
      </c>
      <c r="EA220" s="182">
        <f t="shared" si="350"/>
        <v>0</v>
      </c>
      <c r="EB220" s="182">
        <f t="shared" si="350"/>
        <v>0</v>
      </c>
      <c r="EC220" s="182">
        <f t="shared" si="350"/>
        <v>0</v>
      </c>
      <c r="ED220" s="182">
        <f t="shared" si="350"/>
        <v>0</v>
      </c>
      <c r="EE220" s="182">
        <f t="shared" si="350"/>
        <v>0</v>
      </c>
      <c r="EF220" s="182">
        <f t="shared" si="350"/>
        <v>0</v>
      </c>
      <c r="EG220" s="182">
        <f t="shared" si="350"/>
        <v>0</v>
      </c>
      <c r="EH220" s="182">
        <f t="shared" si="350"/>
        <v>0</v>
      </c>
      <c r="EI220" s="182">
        <f t="shared" si="350"/>
        <v>0</v>
      </c>
      <c r="EJ220" s="182">
        <f t="shared" si="350"/>
        <v>0</v>
      </c>
      <c r="FY220" s="210">
        <v>215</v>
      </c>
      <c r="FZ220">
        <v>0</v>
      </c>
      <c r="GA220">
        <v>0</v>
      </c>
      <c r="GB220">
        <v>0</v>
      </c>
      <c r="GC220">
        <v>3.4653674024547492</v>
      </c>
      <c r="GD220">
        <v>3.3368214033340395</v>
      </c>
      <c r="GE220">
        <v>2.5862805270777471</v>
      </c>
      <c r="GF220">
        <v>2.1424426065148507</v>
      </c>
      <c r="GG220">
        <v>1.7791509959019165</v>
      </c>
      <c r="GH220">
        <v>1.9871405252523333</v>
      </c>
      <c r="GI220">
        <v>2.9535797488585516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11.237389346764346</v>
      </c>
      <c r="AO221">
        <v>12.010607285705003</v>
      </c>
      <c r="AP221">
        <v>38.205359299282676</v>
      </c>
      <c r="AQ221">
        <v>39.248266342205341</v>
      </c>
      <c r="AR221">
        <v>11.0886999805114</v>
      </c>
      <c r="AS221">
        <v>57.081737392628469</v>
      </c>
      <c r="AT221" t="e">
        <v>#DIV/0!</v>
      </c>
      <c r="AU221" t="e">
        <v>#DIV/0!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52">AVERAGE(DF178:DF187)</f>
        <v>0</v>
      </c>
      <c r="DG221" s="182">
        <f t="shared" si="352"/>
        <v>0</v>
      </c>
      <c r="DH221" s="182">
        <f t="shared" si="352"/>
        <v>0</v>
      </c>
      <c r="DI221" s="182">
        <f t="shared" si="352"/>
        <v>0</v>
      </c>
      <c r="DJ221" s="182">
        <f t="shared" si="352"/>
        <v>0</v>
      </c>
      <c r="DK221" s="182">
        <f t="shared" si="352"/>
        <v>0</v>
      </c>
      <c r="DL221" s="182">
        <f t="shared" si="352"/>
        <v>0</v>
      </c>
      <c r="DM221" s="182">
        <f t="shared" si="352"/>
        <v>0</v>
      </c>
      <c r="DN221" s="182">
        <f t="shared" si="352"/>
        <v>0</v>
      </c>
      <c r="DO221" s="182">
        <f t="shared" si="352"/>
        <v>0</v>
      </c>
      <c r="DP221" s="182">
        <f t="shared" si="352"/>
        <v>0</v>
      </c>
      <c r="DQ221" s="182">
        <f t="shared" si="352"/>
        <v>0</v>
      </c>
      <c r="DR221" s="182">
        <f t="shared" si="352"/>
        <v>0</v>
      </c>
      <c r="DS221" s="182">
        <f t="shared" si="352"/>
        <v>0</v>
      </c>
      <c r="DT221" s="182">
        <f t="shared" si="352"/>
        <v>0</v>
      </c>
      <c r="DU221" s="182">
        <f t="shared" si="352"/>
        <v>0</v>
      </c>
      <c r="DV221" s="182">
        <f t="shared" si="352"/>
        <v>0</v>
      </c>
      <c r="DW221" s="182">
        <f t="shared" si="352"/>
        <v>0</v>
      </c>
      <c r="DX221" s="182">
        <f t="shared" si="352"/>
        <v>0</v>
      </c>
      <c r="DY221" s="182">
        <f t="shared" si="352"/>
        <v>0</v>
      </c>
      <c r="DZ221" s="182">
        <f t="shared" si="352"/>
        <v>0</v>
      </c>
      <c r="EA221" s="182">
        <f t="shared" si="352"/>
        <v>0</v>
      </c>
      <c r="EB221" s="182">
        <f t="shared" si="352"/>
        <v>0</v>
      </c>
      <c r="EC221" s="182">
        <f t="shared" si="352"/>
        <v>0</v>
      </c>
      <c r="ED221" s="182">
        <f t="shared" si="352"/>
        <v>0</v>
      </c>
      <c r="EE221" s="182">
        <f t="shared" si="352"/>
        <v>0</v>
      </c>
      <c r="EF221" s="182">
        <f t="shared" si="352"/>
        <v>0</v>
      </c>
      <c r="EG221" s="182">
        <f t="shared" si="352"/>
        <v>0</v>
      </c>
      <c r="EH221" s="182">
        <f t="shared" si="352"/>
        <v>0</v>
      </c>
      <c r="EI221" s="182">
        <f t="shared" si="352"/>
        <v>0</v>
      </c>
      <c r="EJ221" s="182">
        <f t="shared" si="352"/>
        <v>0</v>
      </c>
      <c r="FY221" s="210">
        <v>216</v>
      </c>
      <c r="FZ221">
        <v>0.31204805757459919</v>
      </c>
      <c r="GA221">
        <v>2.304401692468129</v>
      </c>
      <c r="GB221">
        <v>1.4908831465921764</v>
      </c>
      <c r="GC221">
        <v>8.4602395431515998</v>
      </c>
      <c r="GD221">
        <v>6.0620790751632621</v>
      </c>
      <c r="GE221">
        <v>0</v>
      </c>
      <c r="GF221">
        <v>0.76065990848440423</v>
      </c>
      <c r="GG221">
        <v>1.634293541037048</v>
      </c>
      <c r="GH221">
        <v>1.3247603501682221</v>
      </c>
      <c r="GI221">
        <v>5.1277267550710803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4.1522817460317452</v>
      </c>
      <c r="AO222">
        <v>3.4007632630708606</v>
      </c>
      <c r="AP222">
        <v>16.972062054670115</v>
      </c>
      <c r="AQ222">
        <v>14.299884641906655</v>
      </c>
      <c r="AR222">
        <v>3.1546969045184237</v>
      </c>
      <c r="AS222">
        <v>12.717526095313106</v>
      </c>
      <c r="AT222" t="e">
        <v>#DIV/0!</v>
      </c>
      <c r="AU222" t="e">
        <v>#DIV/0!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0">
        <v>217</v>
      </c>
      <c r="FZ222">
        <v>0.27886497278940114</v>
      </c>
      <c r="GA222">
        <v>4.3264427687124662</v>
      </c>
      <c r="GB222">
        <v>1.9015739323906893</v>
      </c>
      <c r="GC222">
        <v>10.61934140110815</v>
      </c>
      <c r="GD222">
        <v>8.2547702440403476</v>
      </c>
      <c r="GE222">
        <v>2.02559888792194</v>
      </c>
      <c r="GF222">
        <v>1.7621126522726489</v>
      </c>
      <c r="GG222">
        <v>1.9240084507667847</v>
      </c>
      <c r="GH222">
        <v>2.6495207003364443</v>
      </c>
      <c r="GI222">
        <v>7.4562402598130939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7.926625457875458</v>
      </c>
      <c r="AO223">
        <v>7.0437099766478228</v>
      </c>
      <c r="AP223">
        <v>32.783971176187642</v>
      </c>
      <c r="AQ223">
        <v>28.817391382796337</v>
      </c>
      <c r="AR223">
        <v>6.428323342505001</v>
      </c>
      <c r="AS223">
        <v>38.364442578914996</v>
      </c>
      <c r="AT223" t="e">
        <v>#DIV/0!</v>
      </c>
      <c r="AU223" t="e">
        <v>#DIV/0!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0">
        <v>218</v>
      </c>
      <c r="FZ223">
        <v>0.49136377600840619</v>
      </c>
      <c r="GA223">
        <v>1.5531747678033843</v>
      </c>
      <c r="GB223">
        <v>2.1886466689266926</v>
      </c>
      <c r="GC223">
        <v>3.4065177120774188</v>
      </c>
      <c r="GD223">
        <v>2.6999251478900663</v>
      </c>
      <c r="GE223">
        <v>2.6232044443786373</v>
      </c>
      <c r="GF223">
        <v>1.7621126522726489</v>
      </c>
      <c r="GG223">
        <v>0.96200422538339236</v>
      </c>
      <c r="GH223">
        <v>1.3247603501682221</v>
      </c>
      <c r="GI223">
        <v>3.0590592894727067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2.4415064102564097</v>
      </c>
      <c r="AO224">
        <v>2.4399721198164954</v>
      </c>
      <c r="AP224">
        <v>6.2203959181494497</v>
      </c>
      <c r="AQ224">
        <v>7.8628797956992731</v>
      </c>
      <c r="AR224">
        <v>2.2634249720004598</v>
      </c>
      <c r="AS224">
        <v>11.214724390427369</v>
      </c>
      <c r="AT224" t="e">
        <v>#DIV/0!</v>
      </c>
      <c r="AU224" t="e">
        <v>#DIV/0!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0">
        <v>219</v>
      </c>
      <c r="FZ224">
        <v>3.3183084785198033E-2</v>
      </c>
      <c r="GA224">
        <v>1.7347087940358819</v>
      </c>
      <c r="GB224">
        <v>1.3890989659180928</v>
      </c>
      <c r="GC224">
        <v>7.032127797192107</v>
      </c>
      <c r="GD224">
        <v>5.7102141530583328</v>
      </c>
      <c r="GE224">
        <v>2.0080934883297616</v>
      </c>
      <c r="GF224">
        <v>1.2613862803785265</v>
      </c>
      <c r="GG224">
        <v>1.7791509959019165</v>
      </c>
      <c r="GH224">
        <v>1.9871405252523333</v>
      </c>
      <c r="GI224">
        <v>5.0591245770580899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8.5746909340659343</v>
      </c>
      <c r="AO225">
        <v>9.25970791388281</v>
      </c>
      <c r="AP225">
        <v>30.711010406870933</v>
      </c>
      <c r="AQ225">
        <v>31.604586643894095</v>
      </c>
      <c r="AR225">
        <v>8.5368452756670621</v>
      </c>
      <c r="AS225">
        <v>49.834881555998081</v>
      </c>
      <c r="AT225" t="e">
        <v>#DIV/0!</v>
      </c>
      <c r="AU225" t="e">
        <v>#DIV/0!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 t="e">
        <f>((DG212*$H$372)+(DH212*$I$372)+(DI212*$J$372)+(DJ212*$K$372)+(DK212*$L$372)+(DL212*$M$372)+(DM212*$N$372)+(DN212*$O$372)+(DO212*$P$372)+(DP212*$Q$372)+(DQ212*$R$372)+(DR212*$S$372)+(DS212*$T$372)+(DT212*$U$372))/SUM(DG212:DT212)</f>
        <v>#DIV/0!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0">
        <v>220</v>
      </c>
      <c r="FZ225">
        <v>0.27886497278940114</v>
      </c>
      <c r="GA225">
        <v>2.515942146915624</v>
      </c>
      <c r="GB225">
        <v>1.0466914561790557</v>
      </c>
      <c r="GC225">
        <v>6.4741192855313958</v>
      </c>
      <c r="GD225">
        <v>5.8683022198546313</v>
      </c>
      <c r="GE225">
        <v>3.7927607322961938</v>
      </c>
      <c r="GF225">
        <v>2.8333339555300743</v>
      </c>
      <c r="GG225">
        <v>1.6110786669885027</v>
      </c>
      <c r="GH225">
        <v>1.9871405252523333</v>
      </c>
      <c r="GI225">
        <v>5.300898255254606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9.3518009768009769</v>
      </c>
      <c r="AO226">
        <v>10.887466348568529</v>
      </c>
      <c r="AP226">
        <v>35.481111312263245</v>
      </c>
      <c r="AQ226">
        <v>36.204141646980446</v>
      </c>
      <c r="AR226">
        <v>10.09969049032331</v>
      </c>
      <c r="AS226">
        <v>54.739899794297649</v>
      </c>
      <c r="AT226" t="e">
        <v>#DIV/0!</v>
      </c>
      <c r="AU226" t="e">
        <v>#DIV/0!</v>
      </c>
      <c r="AV226"/>
      <c r="AW226"/>
      <c r="DE226" s="187">
        <f>DE101</f>
        <v>39673</v>
      </c>
      <c r="DF226" s="205"/>
      <c r="DG226" s="205">
        <f t="shared" ref="DG226:DG234" si="353">((DG213*$H$372)+(DH213*$I$372)+(DI213*$J$372)+(DJ213*$K$372)+(DK213*$L$372)+(DL213*$M$372)+(DM213*$N$372)+(DN213*$O$372)+(DO213*$P$372)+(DP213*$Q$372)+(DQ213*$R$372)+(DR213*$S$372)+(DS213*$T$372)+(DT213*$U$372))/SUM(DG213:DT213)</f>
        <v>0.13437631194519895</v>
      </c>
      <c r="DH226" s="205" t="e">
        <f>(LN(DG226/DG225))/(DE213-DE212)</f>
        <v>#DIV/0!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0">
        <v>221</v>
      </c>
      <c r="FZ226">
        <v>0</v>
      </c>
      <c r="GA226">
        <v>1.9358920033539282</v>
      </c>
      <c r="GB226">
        <v>0.91881880286744089</v>
      </c>
      <c r="GC226">
        <v>0.72492456730401122</v>
      </c>
      <c r="GD226">
        <v>1.3757489039122857</v>
      </c>
      <c r="GE226">
        <v>3.3046611370980497</v>
      </c>
      <c r="GF226">
        <v>2.8333339555300743</v>
      </c>
      <c r="GG226">
        <v>2.5730828923718949</v>
      </c>
      <c r="GH226">
        <v>3.3119008754205557</v>
      </c>
      <c r="GI226">
        <v>2.249580439973625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6.1423992673992673</v>
      </c>
      <c r="AO227">
        <v>5.8000998799250851</v>
      </c>
      <c r="AP227">
        <v>23.298184395797893</v>
      </c>
      <c r="AQ227">
        <v>21.732946008345991</v>
      </c>
      <c r="AR227">
        <v>5.3804266047542528</v>
      </c>
      <c r="AS227">
        <v>25.655517614419114</v>
      </c>
      <c r="AT227" t="e">
        <v>#DIV/0!</v>
      </c>
      <c r="AU227" t="e">
        <v>#DIV/0!</v>
      </c>
      <c r="AV227"/>
      <c r="AW227"/>
      <c r="DE227" s="187">
        <f>DE111</f>
        <v>39714</v>
      </c>
      <c r="DF227" s="205"/>
      <c r="DG227" s="205">
        <f t="shared" si="353"/>
        <v>0.38828698590346084</v>
      </c>
      <c r="DH227" s="205">
        <f t="shared" ref="DH227:DH234" si="354">(LN(DG227/DG226))/(DE214-DE213)</f>
        <v>2.5880501425774725E-2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0">
        <v>222</v>
      </c>
      <c r="FZ227">
        <v>0.27886497278940114</v>
      </c>
      <c r="GA227">
        <v>1.3023920046892128</v>
      </c>
      <c r="GB227">
        <v>1.0445179814772214</v>
      </c>
      <c r="GC227">
        <v>9.3015313730545692</v>
      </c>
      <c r="GD227">
        <v>7.5772862167761392</v>
      </c>
      <c r="GE227">
        <v>3.4792470443830217</v>
      </c>
      <c r="GF227">
        <v>2.6431689784089736</v>
      </c>
      <c r="GG227">
        <v>2.4050105634584811</v>
      </c>
      <c r="GH227">
        <v>3.3119008754205557</v>
      </c>
      <c r="GI227">
        <v>6.8205486102269823</v>
      </c>
      <c r="GJ227"/>
      <c r="GK227"/>
      <c r="GL227"/>
      <c r="GM227"/>
    </row>
    <row r="228" spans="1:195" s="7" customFormat="1">
      <c r="A228" s="9" t="s">
        <v>60</v>
      </c>
      <c r="B228">
        <v>0.61915273524309811</v>
      </c>
      <c r="C228">
        <v>5</v>
      </c>
      <c r="D228">
        <v>39646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10.385989010989011</v>
      </c>
      <c r="AO228">
        <v>13.576656419778496</v>
      </c>
      <c r="AP228">
        <v>39.938192693616514</v>
      </c>
      <c r="AQ228">
        <v>41.695564156925613</v>
      </c>
      <c r="AR228">
        <v>12.594300945991186</v>
      </c>
      <c r="AS228">
        <v>62.401172688387412</v>
      </c>
      <c r="AT228" t="e">
        <v>#DIV/0!</v>
      </c>
      <c r="AU228" t="e">
        <v>#DIV/0!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53"/>
        <v>2.3701609750235364</v>
      </c>
      <c r="DH228" s="205">
        <f t="shared" si="354"/>
        <v>5.4817225247554738E-2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0">
        <v>223</v>
      </c>
      <c r="FZ228">
        <v>0.59091303036400022</v>
      </c>
      <c r="GA228">
        <v>6.6308444611805957</v>
      </c>
      <c r="GB228">
        <v>2.8203927352581299</v>
      </c>
      <c r="GC228">
        <v>2.4402787947908049</v>
      </c>
      <c r="GD228">
        <v>2.1008316105199021</v>
      </c>
      <c r="GE228">
        <v>1.1695562879175558</v>
      </c>
      <c r="GF228">
        <v>1.6417162346207288</v>
      </c>
      <c r="GG228">
        <v>1.1532914283453519</v>
      </c>
      <c r="GH228">
        <v>0.66238017508411107</v>
      </c>
      <c r="GI228">
        <v>2.8072244787207121</v>
      </c>
      <c r="GJ228"/>
      <c r="GK228"/>
      <c r="GL228"/>
      <c r="GM228"/>
    </row>
    <row r="229" spans="1:195" s="7" customFormat="1">
      <c r="A229" s="90"/>
      <c r="B229">
        <v>6.3770391386706038E-3</v>
      </c>
      <c r="C229">
        <v>4</v>
      </c>
      <c r="D229">
        <v>39646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8.9799107142857117</v>
      </c>
      <c r="AO229">
        <v>8.4124314489619074</v>
      </c>
      <c r="AP229">
        <v>37.599087735913685</v>
      </c>
      <c r="AQ229">
        <v>33.110663462585777</v>
      </c>
      <c r="AR229">
        <v>7.6451440898151759</v>
      </c>
      <c r="AS229">
        <v>32.76620300226611</v>
      </c>
      <c r="AT229" t="e">
        <v>#DIV/0!</v>
      </c>
      <c r="AU229" t="e">
        <v>#DIV/0!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53"/>
        <v>1.3965280293193405</v>
      </c>
      <c r="DH229" s="205">
        <f t="shared" si="354"/>
        <v>-1.8891739195337466E-2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0">
        <v>224</v>
      </c>
      <c r="FZ229">
        <v>0</v>
      </c>
      <c r="GA229">
        <v>4.7195172493924584</v>
      </c>
      <c r="GB229">
        <v>2.8182192605562957</v>
      </c>
      <c r="GC229">
        <v>8.0326750611603828</v>
      </c>
      <c r="GD229">
        <v>6.1608527772912023</v>
      </c>
      <c r="GE229">
        <v>1.9235950245946309</v>
      </c>
      <c r="GF229">
        <v>2.3326075836359519</v>
      </c>
      <c r="GG229">
        <v>1.4662212121236342</v>
      </c>
      <c r="GH229">
        <v>1.3247603501682221</v>
      </c>
      <c r="GI229">
        <v>5.8007650746661188</v>
      </c>
      <c r="GJ229"/>
      <c r="GK229"/>
      <c r="GL229"/>
      <c r="GM229"/>
    </row>
    <row r="230" spans="1:195" s="7" customFormat="1">
      <c r="A230" s="77"/>
      <c r="B230">
        <v>0.22599600896715111</v>
      </c>
      <c r="C230">
        <v>4</v>
      </c>
      <c r="D230">
        <v>39646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6.0328525641025639</v>
      </c>
      <c r="AO230">
        <v>6.8302137767684643</v>
      </c>
      <c r="AP230">
        <v>22.83131799808951</v>
      </c>
      <c r="AQ230">
        <v>23.450126347888993</v>
      </c>
      <c r="AR230">
        <v>6.3360053587833614</v>
      </c>
      <c r="AS230">
        <v>32.951484308063606</v>
      </c>
      <c r="AT230" t="e">
        <v>#DIV/0!</v>
      </c>
      <c r="AU230" t="e">
        <v>#DIV/0!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53"/>
        <v>1.1311740438352109</v>
      </c>
      <c r="DH230" s="205">
        <f t="shared" si="354"/>
        <v>-8.7805461297989409E-3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0">
        <v>225</v>
      </c>
      <c r="FZ230">
        <v>0</v>
      </c>
      <c r="GA230">
        <v>6.6554092527463879</v>
      </c>
      <c r="GB230">
        <v>4.3091024071484725</v>
      </c>
      <c r="GC230">
        <v>3.2386107798796271</v>
      </c>
      <c r="GD230">
        <v>2.936538491004117</v>
      </c>
      <c r="GE230">
        <v>3.1113040395767815</v>
      </c>
      <c r="GF230">
        <v>2.1424426065148507</v>
      </c>
      <c r="GG230">
        <v>1.2981488832102204</v>
      </c>
      <c r="GH230">
        <v>1.3247603501682221</v>
      </c>
      <c r="GI230">
        <v>4.06039463204079</v>
      </c>
      <c r="GJ230"/>
      <c r="GK230"/>
      <c r="GL230"/>
      <c r="GM230"/>
    </row>
    <row r="231" spans="1:195" s="7" customFormat="1">
      <c r="A231" s="77"/>
      <c r="B231">
        <v>0.8406645131604833</v>
      </c>
      <c r="C231">
        <v>10</v>
      </c>
      <c r="D231">
        <v>39646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5.1885683760683765</v>
      </c>
      <c r="AO231">
        <v>4.7111817900375765</v>
      </c>
      <c r="AP231">
        <v>17.757638643389644</v>
      </c>
      <c r="AQ231">
        <v>18.250783209394189</v>
      </c>
      <c r="AR231">
        <v>4.2645680673563495</v>
      </c>
      <c r="AS231">
        <v>18.4691728984678</v>
      </c>
      <c r="AT231" t="e">
        <v>#DIV/0!</v>
      </c>
      <c r="AU231" t="e">
        <v>#DIV/0!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 t="str">
        <f>DE151</f>
        <v/>
      </c>
      <c r="DF231" s="205"/>
      <c r="DG231" s="205">
        <f t="shared" si="353"/>
        <v>0.99471197173030645</v>
      </c>
      <c r="DH231" s="205">
        <f t="shared" si="354"/>
        <v>-2.6782943663400897E-3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0">
        <v>226</v>
      </c>
      <c r="FZ231">
        <v>0.55772994557880229</v>
      </c>
      <c r="GA231">
        <v>2.8452095273631484</v>
      </c>
      <c r="GB231">
        <v>1.6187557999037911</v>
      </c>
      <c r="GC231">
        <v>9.6099246373996898</v>
      </c>
      <c r="GD231">
        <v>7.3899284263345821</v>
      </c>
      <c r="GE231">
        <v>0.976199190396288</v>
      </c>
      <c r="GF231">
        <v>0.19016497712110106</v>
      </c>
      <c r="GG231">
        <v>2.0920807796801988</v>
      </c>
      <c r="GH231">
        <v>2.6495207003364443</v>
      </c>
      <c r="GI231">
        <v>6.2258067501462051</v>
      </c>
      <c r="GJ231"/>
      <c r="GK231"/>
      <c r="GL231"/>
      <c r="GM231"/>
    </row>
    <row r="232" spans="1:195" s="7" customFormat="1">
      <c r="A232" s="77"/>
      <c r="B232">
        <v>0.18190237986073221</v>
      </c>
      <c r="C232">
        <v>3</v>
      </c>
      <c r="D232">
        <v>39646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7.5654761904761898</v>
      </c>
      <c r="AO232">
        <v>8.4137396244095584</v>
      </c>
      <c r="AP232">
        <v>27.135683594677193</v>
      </c>
      <c r="AQ232">
        <v>27.477092069710523</v>
      </c>
      <c r="AR232">
        <v>7.8049532693966199</v>
      </c>
      <c r="AS232">
        <v>44.98665569047597</v>
      </c>
      <c r="AT232" t="e">
        <v>#DIV/0!</v>
      </c>
      <c r="AU232" t="e">
        <v>#DIV/0!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53"/>
        <v>0.47085150025285061</v>
      </c>
      <c r="DH232" s="205">
        <f t="shared" si="354"/>
        <v>-1.1871594625215127E-2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0">
        <v>227</v>
      </c>
      <c r="FZ232">
        <v>3.3183084785198033E-2</v>
      </c>
      <c r="GA232">
        <v>3.0736503178193786</v>
      </c>
      <c r="GB232">
        <v>3.1714017984499412</v>
      </c>
      <c r="GC232">
        <v>5.0942333379060534</v>
      </c>
      <c r="GD232">
        <v>3.7970679416665343</v>
      </c>
      <c r="GE232">
        <v>1.32663679561035</v>
      </c>
      <c r="GF232">
        <v>0.19016497712110106</v>
      </c>
      <c r="GG232">
        <v>1.1300765542968063</v>
      </c>
      <c r="GH232">
        <v>1.3247603501682221</v>
      </c>
      <c r="GI232">
        <v>3.9000406762510962</v>
      </c>
      <c r="GJ232"/>
      <c r="GK232"/>
      <c r="GL232"/>
      <c r="GM232"/>
    </row>
    <row r="233" spans="1:195" s="7" customFormat="1">
      <c r="A233" s="77"/>
      <c r="B233">
        <v>0.74004172886153707</v>
      </c>
      <c r="C233">
        <v>10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10.915674603174603</v>
      </c>
      <c r="AO233">
        <v>12.380324569963092</v>
      </c>
      <c r="AP233">
        <v>42.4548611060087</v>
      </c>
      <c r="AQ233">
        <v>41.198474270151962</v>
      </c>
      <c r="AR233">
        <v>11.378800701795605</v>
      </c>
      <c r="AS233">
        <v>63.562895369603972</v>
      </c>
      <c r="AT233" t="e">
        <v>#DIV/0!</v>
      </c>
      <c r="AU233" t="e">
        <v>#DIV/0!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53"/>
        <v>4.1994874393442005</v>
      </c>
      <c r="DH233" s="205">
        <f t="shared" si="354"/>
        <v>5.6107051291201589E-2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0">
        <v>228</v>
      </c>
      <c r="FZ233">
        <v>3.3183084785198033E-2</v>
      </c>
      <c r="GA233">
        <v>3.5555666609621732</v>
      </c>
      <c r="GB233">
        <v>1.6980055710425215</v>
      </c>
      <c r="GC233">
        <v>4.4586010176846704</v>
      </c>
      <c r="GD233">
        <v>3.9415818119494714</v>
      </c>
      <c r="GE233">
        <v>2.3747707024918845</v>
      </c>
      <c r="GF233">
        <v>2.1424426065148507</v>
      </c>
      <c r="GG233">
        <v>1.2981488832102204</v>
      </c>
      <c r="GH233">
        <v>1.3247603501682221</v>
      </c>
      <c r="GI233">
        <v>3.8325779440149468</v>
      </c>
      <c r="GJ233"/>
      <c r="GK233"/>
      <c r="GL233"/>
      <c r="GM233"/>
    </row>
    <row r="234" spans="1:195" s="7" customFormat="1">
      <c r="A234" s="77"/>
      <c r="B234">
        <v>0.92057000386057219</v>
      </c>
      <c r="C234">
        <v>2</v>
      </c>
      <c r="D234">
        <v>39646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5.1533119658119642</v>
      </c>
      <c r="AO234">
        <v>4.9628344456164077</v>
      </c>
      <c r="AP234">
        <v>23.070045180225112</v>
      </c>
      <c r="AQ234">
        <v>20.070769034381577</v>
      </c>
      <c r="AR234">
        <v>4.4980120892291069</v>
      </c>
      <c r="AS234">
        <v>22.741328613028106</v>
      </c>
      <c r="AT234" t="e">
        <v>#DIV/0!</v>
      </c>
      <c r="AU234" t="e">
        <v>#DIV/0!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 t="e">
        <f t="shared" si="353"/>
        <v>#DIV/0!</v>
      </c>
      <c r="DH234" s="205" t="e">
        <f t="shared" si="354"/>
        <v>#DIV/0!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0">
        <v>229</v>
      </c>
      <c r="FZ234">
        <v>0.27886497278940114</v>
      </c>
      <c r="GA234">
        <v>5.8965178725245861</v>
      </c>
      <c r="GB234">
        <v>3.79880091537771</v>
      </c>
      <c r="GC234">
        <v>8.1597285299520284</v>
      </c>
      <c r="GD234">
        <v>6.3888161467591766</v>
      </c>
      <c r="GE234">
        <v>2.0437516149865345</v>
      </c>
      <c r="GF234">
        <v>1.2613862803785265</v>
      </c>
      <c r="GG234">
        <v>0.3361446578268279</v>
      </c>
      <c r="GH234">
        <v>0</v>
      </c>
      <c r="GI234">
        <v>5.785195583778652</v>
      </c>
      <c r="GJ234"/>
      <c r="GK234"/>
      <c r="GL234"/>
      <c r="GM234"/>
    </row>
    <row r="235" spans="1:195" s="7" customFormat="1">
      <c r="A235" s="77"/>
      <c r="B235">
        <v>0.94198439963093161</v>
      </c>
      <c r="C235">
        <v>2</v>
      </c>
      <c r="D235">
        <v>39646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6.2517361111111107</v>
      </c>
      <c r="AO235">
        <v>8.3243834381573336</v>
      </c>
      <c r="AP235">
        <v>28.238483195679905</v>
      </c>
      <c r="AQ235">
        <v>27.994228661910238</v>
      </c>
      <c r="AR235">
        <v>7.6691973390014994</v>
      </c>
      <c r="AS235">
        <v>29.412281854533003</v>
      </c>
      <c r="AT235" t="e">
        <v>#DIV/0!</v>
      </c>
      <c r="AU235" t="e">
        <v>#DIV/0!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/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0">
        <v>230</v>
      </c>
      <c r="FZ235">
        <v>0.27886497278940114</v>
      </c>
      <c r="GA235">
        <v>2.515942146915624</v>
      </c>
      <c r="GB235">
        <v>1.6187557999037911</v>
      </c>
      <c r="GC235">
        <v>2.7113381278395687</v>
      </c>
      <c r="GD235">
        <v>2.1818954013343901</v>
      </c>
      <c r="GE235">
        <v>1.3441421952025283</v>
      </c>
      <c r="GF235">
        <v>1.2613862803785265</v>
      </c>
      <c r="GG235">
        <v>1.2981488832102204</v>
      </c>
      <c r="GH235">
        <v>1.3247603501682221</v>
      </c>
      <c r="GI235">
        <v>2.5502392508810061</v>
      </c>
      <c r="GJ235"/>
      <c r="GK235"/>
      <c r="GL235"/>
      <c r="GM235"/>
    </row>
    <row r="236" spans="1:195" s="7" customFormat="1">
      <c r="A236" s="77"/>
      <c r="B236">
        <v>0.72311391337408359</v>
      </c>
      <c r="C236">
        <v>10</v>
      </c>
      <c r="D236">
        <v>39646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8.796913156288154</v>
      </c>
      <c r="AO236">
        <v>8.6100806668046612</v>
      </c>
      <c r="AP236">
        <v>32.022409332797231</v>
      </c>
      <c r="AQ236">
        <v>31.709132216591819</v>
      </c>
      <c r="AR236">
        <v>7.8284921583149494</v>
      </c>
      <c r="AS236">
        <v>34.115916403450058</v>
      </c>
      <c r="AT236" t="e">
        <v>#DIV/0!</v>
      </c>
      <c r="AU236" t="e">
        <v>#DIV/0!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0">
        <v>231</v>
      </c>
      <c r="FZ236">
        <v>0.52454686079360424</v>
      </c>
      <c r="GA236">
        <v>1.5924170764700607</v>
      </c>
      <c r="GB236">
        <v>1.6165823252019571</v>
      </c>
      <c r="GC236">
        <v>7.1377371802505776</v>
      </c>
      <c r="GD236">
        <v>5.5965469912588963</v>
      </c>
      <c r="GE236">
        <v>1.5381466201962124</v>
      </c>
      <c r="GF236">
        <v>0.38032995424220212</v>
      </c>
      <c r="GG236">
        <v>1.7791509959019165</v>
      </c>
      <c r="GH236">
        <v>1.9871405252523333</v>
      </c>
      <c r="GI236">
        <v>5.029041427971972</v>
      </c>
      <c r="GJ236"/>
      <c r="GK236"/>
      <c r="GL236"/>
      <c r="GM236"/>
    </row>
    <row r="237" spans="1:195" s="7" customFormat="1">
      <c r="A237" s="77"/>
      <c r="B237">
        <v>0.47123789670270777</v>
      </c>
      <c r="C237">
        <v>6</v>
      </c>
      <c r="D237">
        <v>39646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4.3623511904761898</v>
      </c>
      <c r="AO237">
        <v>3.6107851436809191</v>
      </c>
      <c r="AP237">
        <v>23.893551304661763</v>
      </c>
      <c r="AQ237">
        <v>19.227943577831866</v>
      </c>
      <c r="AR237">
        <v>3.1909267379775259</v>
      </c>
      <c r="AS237">
        <v>15.277501952767413</v>
      </c>
      <c r="AT237" t="e">
        <v>#DIV/0!</v>
      </c>
      <c r="AU237" t="e">
        <v>#DIV/0!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0">
        <v>232</v>
      </c>
      <c r="FZ237">
        <v>0.49136377600840619</v>
      </c>
      <c r="GA237">
        <v>3.4890667711573125</v>
      </c>
      <c r="GB237">
        <v>3.1074654717941335</v>
      </c>
      <c r="GC237">
        <v>5.9659677245143197</v>
      </c>
      <c r="GD237">
        <v>4.2004373449254393</v>
      </c>
      <c r="GE237">
        <v>1.3441421952025283</v>
      </c>
      <c r="GF237">
        <v>1.4515512574996277</v>
      </c>
      <c r="GG237">
        <v>0.98521909943193808</v>
      </c>
      <c r="GH237">
        <v>0.66238017508411107</v>
      </c>
      <c r="GI237">
        <v>4.3306019429217883</v>
      </c>
      <c r="GJ237"/>
      <c r="GK237"/>
      <c r="GL237"/>
      <c r="GM237"/>
    </row>
    <row r="238" spans="1:195" s="7" customFormat="1">
      <c r="A238" s="77"/>
      <c r="B238">
        <v>0.21986548777206139</v>
      </c>
      <c r="C238">
        <v>7</v>
      </c>
      <c r="D238">
        <v>39673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8.2418536324786338</v>
      </c>
      <c r="AO238">
        <v>11.192721664012469</v>
      </c>
      <c r="AP238">
        <v>37.97624767542699</v>
      </c>
      <c r="AQ238">
        <v>38.164468620684559</v>
      </c>
      <c r="AR238">
        <v>10.224263027709949</v>
      </c>
      <c r="AS238">
        <v>68.540244330467928</v>
      </c>
      <c r="AT238" t="e">
        <v>#DIV/0!</v>
      </c>
      <c r="AU238" t="e">
        <v>#DIV/0!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0">
        <v>233</v>
      </c>
      <c r="FZ238">
        <v>0.13273233914079213</v>
      </c>
      <c r="GA238">
        <v>4.1541446229316481</v>
      </c>
      <c r="GB238">
        <v>4.1898313072896309</v>
      </c>
      <c r="GC238">
        <v>6.1147585819544945</v>
      </c>
      <c r="GD238">
        <v>4.2339657186271946</v>
      </c>
      <c r="GE238">
        <v>1.0131231076971783</v>
      </c>
      <c r="GF238">
        <v>0.76065990848440423</v>
      </c>
      <c r="GG238">
        <v>1.1532914283453519</v>
      </c>
      <c r="GH238">
        <v>0.66238017508411107</v>
      </c>
      <c r="GI238">
        <v>4.3799876868592413</v>
      </c>
      <c r="GJ238"/>
      <c r="GK238"/>
      <c r="GL238"/>
      <c r="GM238"/>
    </row>
    <row r="239" spans="1:195" s="7" customFormat="1">
      <c r="A239" s="77" t="s">
        <v>61</v>
      </c>
      <c r="B239">
        <v>0.3581714036395871</v>
      </c>
      <c r="C239">
        <v>8</v>
      </c>
      <c r="D239">
        <v>39673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8.1217757936507944</v>
      </c>
      <c r="AO239">
        <v>4.6097909193591651</v>
      </c>
      <c r="AP239">
        <v>28.116648236518145</v>
      </c>
      <c r="AQ239">
        <v>22.017429236801892</v>
      </c>
      <c r="AR239">
        <v>4.2233786759234215</v>
      </c>
      <c r="AS239">
        <v>18.081729267627011</v>
      </c>
      <c r="AT239" t="e">
        <v>#DIV/0!</v>
      </c>
      <c r="AU239" t="e">
        <v>#DIV/0!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FY239" s="210">
        <v>234</v>
      </c>
      <c r="FZ239">
        <v>0.2456818880042031</v>
      </c>
      <c r="GA239">
        <v>2.7274826013631186</v>
      </c>
      <c r="GB239">
        <v>1.7466284532154059</v>
      </c>
      <c r="GC239">
        <v>3.2739100031157804</v>
      </c>
      <c r="GD239">
        <v>2.96288837447924</v>
      </c>
      <c r="GE239">
        <v>1.5750705374971026</v>
      </c>
      <c r="GF239">
        <v>0</v>
      </c>
      <c r="GG239">
        <v>1.4430063380750886</v>
      </c>
      <c r="GH239">
        <v>1.9871405252523333</v>
      </c>
      <c r="GI239">
        <v>3.0392500823823014</v>
      </c>
      <c r="GJ239"/>
      <c r="GK239"/>
      <c r="GL239"/>
      <c r="GM239"/>
    </row>
    <row r="240" spans="1:195" s="7" customFormat="1">
      <c r="A240" s="77" t="s">
        <v>62</v>
      </c>
      <c r="B240">
        <v>0.32414981233409046</v>
      </c>
      <c r="C240">
        <v>10</v>
      </c>
      <c r="D240">
        <v>39673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9.762896825396826</v>
      </c>
      <c r="AO240">
        <v>9.502253024301675</v>
      </c>
      <c r="AP240">
        <v>37.598076794398416</v>
      </c>
      <c r="AQ240">
        <v>34.579213593588896</v>
      </c>
      <c r="AR240">
        <v>8.7089755202915065</v>
      </c>
      <c r="AS240">
        <v>40.117254313152898</v>
      </c>
      <c r="AT240" t="e">
        <v>#DIV/0!</v>
      </c>
      <c r="AU240" t="e">
        <v>#DIV/0!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FY240" s="210">
        <v>235</v>
      </c>
      <c r="FZ240">
        <v>0.98272755201681239</v>
      </c>
      <c r="GA240">
        <v>5.157275675388334</v>
      </c>
      <c r="GB240">
        <v>3.0457026198401604</v>
      </c>
      <c r="GC240">
        <v>10.581367194056799</v>
      </c>
      <c r="GD240">
        <v>8.7003443076080647</v>
      </c>
      <c r="GE240">
        <v>3.167646474586383</v>
      </c>
      <c r="GF240">
        <v>1.2613862803785265</v>
      </c>
      <c r="GG240">
        <v>0.81714677051852402</v>
      </c>
      <c r="GH240">
        <v>0.66238017508411107</v>
      </c>
      <c r="GI240">
        <v>7.5640213889064212</v>
      </c>
      <c r="GJ240"/>
      <c r="GK240"/>
      <c r="GL240"/>
      <c r="GM240"/>
    </row>
    <row r="241" spans="1:195" s="7" customFormat="1">
      <c r="A241" s="77"/>
      <c r="B241">
        <v>0.35400308632818978</v>
      </c>
      <c r="C241">
        <v>1</v>
      </c>
      <c r="D241">
        <v>39673</v>
      </c>
      <c r="E241">
        <v>0</v>
      </c>
      <c r="F241">
        <v>0</v>
      </c>
      <c r="G241">
        <v>10.416666666666666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8.0204136141636138</v>
      </c>
      <c r="AO241">
        <v>6.7868545517331258</v>
      </c>
      <c r="AP241">
        <v>37.704920854200545</v>
      </c>
      <c r="AQ241">
        <v>29.076711442289469</v>
      </c>
      <c r="AR241">
        <v>6.1900530039941515</v>
      </c>
      <c r="AS241">
        <v>28.760766803203612</v>
      </c>
      <c r="AT241" t="e">
        <v>#DIV/0!</v>
      </c>
      <c r="AU241" t="e">
        <v>#DIV/0!</v>
      </c>
      <c r="AV241"/>
      <c r="AW241"/>
      <c r="FY241" s="210">
        <v>236</v>
      </c>
      <c r="FZ241">
        <v>0.73704566401260951</v>
      </c>
      <c r="GA241">
        <v>5.5895924647350022</v>
      </c>
      <c r="GB241">
        <v>2.8182192605562957</v>
      </c>
      <c r="GC241">
        <v>2.270265481185012</v>
      </c>
      <c r="GD241">
        <v>2.4133093973595789</v>
      </c>
      <c r="GE241">
        <v>2.5331170008287955</v>
      </c>
      <c r="GF241">
        <v>1.2613862803785265</v>
      </c>
      <c r="GG241">
        <v>0.81714677051852402</v>
      </c>
      <c r="GH241">
        <v>0.66238017508411107</v>
      </c>
      <c r="GI241">
        <v>3.08828612197102</v>
      </c>
      <c r="GJ241"/>
      <c r="GK241"/>
      <c r="GL241"/>
      <c r="GM241"/>
    </row>
    <row r="242" spans="1:195" s="7" customFormat="1">
      <c r="A242" s="1"/>
      <c r="B242">
        <v>0.17587432616269005</v>
      </c>
      <c r="C242">
        <v>5</v>
      </c>
      <c r="D242">
        <v>39673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9.583905677655677</v>
      </c>
      <c r="AO242">
        <v>10.201818939151547</v>
      </c>
      <c r="AP242">
        <v>33.360535792987733</v>
      </c>
      <c r="AQ242">
        <v>34.155320734260251</v>
      </c>
      <c r="AR242">
        <v>9.4636539324225861</v>
      </c>
      <c r="AS242">
        <v>50.845661977723488</v>
      </c>
      <c r="AT242" t="e">
        <v>#DIV/0!</v>
      </c>
      <c r="AU242" t="e">
        <v>#DIV/0!</v>
      </c>
      <c r="AV242"/>
      <c r="AW242"/>
      <c r="BI242" s="162"/>
      <c r="FY242" s="210">
        <v>237</v>
      </c>
      <c r="FZ242">
        <v>0.27886497278940114</v>
      </c>
      <c r="GA242">
        <v>1.3023920046892128</v>
      </c>
      <c r="GB242">
        <v>0.47245363775248589</v>
      </c>
      <c r="GC242">
        <v>6.7396243784101681</v>
      </c>
      <c r="GD242">
        <v>5.4423619446456604</v>
      </c>
      <c r="GE242">
        <v>1.0131231076971783</v>
      </c>
      <c r="GF242">
        <v>0</v>
      </c>
      <c r="GG242">
        <v>0.48100211269169618</v>
      </c>
      <c r="GH242">
        <v>0.66238017508411107</v>
      </c>
      <c r="GI242">
        <v>4.285462016203617</v>
      </c>
      <c r="GJ242"/>
      <c r="GK242"/>
      <c r="GL242"/>
      <c r="GM242"/>
    </row>
    <row r="243" spans="1:195" s="7" customFormat="1">
      <c r="A243" s="1"/>
      <c r="B243">
        <v>0.36142355456588859</v>
      </c>
      <c r="C243">
        <v>9</v>
      </c>
      <c r="D243">
        <v>39673</v>
      </c>
      <c r="E243">
        <v>0</v>
      </c>
      <c r="F243">
        <v>0</v>
      </c>
      <c r="G243">
        <v>10.416666666666666</v>
      </c>
      <c r="H243">
        <v>20.833333333333332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6.4792048229548218</v>
      </c>
      <c r="AO243">
        <v>6.4873828796454633</v>
      </c>
      <c r="AP243">
        <v>26.733974627936391</v>
      </c>
      <c r="AQ243">
        <v>23.041215834074681</v>
      </c>
      <c r="AR243">
        <v>6.017980407834381</v>
      </c>
      <c r="AS243">
        <v>29.303754874354514</v>
      </c>
      <c r="AT243" t="e">
        <v>#DIV/0!</v>
      </c>
      <c r="AU243" t="e">
        <v>#DIV/0!</v>
      </c>
      <c r="AV243"/>
      <c r="AW243"/>
      <c r="FY243" s="210">
        <v>238</v>
      </c>
      <c r="FZ243">
        <v>0.27886497278940114</v>
      </c>
      <c r="GA243">
        <v>4.4518341502695522</v>
      </c>
      <c r="GB243">
        <v>1.9655102590464966</v>
      </c>
      <c r="GC243">
        <v>9.063535910602015</v>
      </c>
      <c r="GD243">
        <v>7.422268946593265</v>
      </c>
      <c r="GE243">
        <v>2.0437516149865345</v>
      </c>
      <c r="GF243">
        <v>1.0712213032574254</v>
      </c>
      <c r="GG243">
        <v>0.64907444160511019</v>
      </c>
      <c r="GH243">
        <v>0.66238017508411107</v>
      </c>
      <c r="GI243">
        <v>6.215823478731263</v>
      </c>
      <c r="GJ243"/>
      <c r="GK243"/>
      <c r="GL243"/>
      <c r="GM243"/>
    </row>
    <row r="244" spans="1:195" s="7" customFormat="1">
      <c r="A244" s="1"/>
      <c r="B244">
        <v>0.791016270304572</v>
      </c>
      <c r="C244">
        <v>10</v>
      </c>
      <c r="D244">
        <v>39673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5.1955128205128203</v>
      </c>
      <c r="AO244">
        <v>6.2145942309906115</v>
      </c>
      <c r="AP244">
        <v>26.82712564561421</v>
      </c>
      <c r="AQ244">
        <v>24.659638632824162</v>
      </c>
      <c r="AR244">
        <v>5.6591992741773467</v>
      </c>
      <c r="AS244">
        <v>35.365374988363172</v>
      </c>
      <c r="AT244" t="e">
        <v>#DIV/0!</v>
      </c>
      <c r="AU244" t="e">
        <v>#DIV/0!</v>
      </c>
      <c r="AV244"/>
      <c r="AW244"/>
      <c r="FY244" s="210">
        <v>239</v>
      </c>
      <c r="FZ244">
        <v>0.2456818880042031</v>
      </c>
      <c r="GA244">
        <v>5.1349337027303932</v>
      </c>
      <c r="GB244">
        <v>2.882155587212103</v>
      </c>
      <c r="GC244">
        <v>5.8548041012858567</v>
      </c>
      <c r="GD244">
        <v>4.4966610095555506</v>
      </c>
      <c r="GE244">
        <v>1.8866711072937405</v>
      </c>
      <c r="GF244">
        <v>1.95227762939375</v>
      </c>
      <c r="GG244">
        <v>0.64907444160511019</v>
      </c>
      <c r="GH244">
        <v>0.66238017508411107</v>
      </c>
      <c r="GI244">
        <v>4.6102927227195449</v>
      </c>
      <c r="GJ244"/>
      <c r="GK244"/>
      <c r="GL244"/>
      <c r="GM244"/>
    </row>
    <row r="245" spans="1:195" s="7" customFormat="1">
      <c r="A245" s="1"/>
      <c r="B245">
        <v>0.3157760578004718</v>
      </c>
      <c r="C245">
        <v>2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10.387229090354092</v>
      </c>
      <c r="AO245">
        <v>9.4612543134849467</v>
      </c>
      <c r="AP245">
        <v>36.565882980641121</v>
      </c>
      <c r="AQ245">
        <v>33.949206574373449</v>
      </c>
      <c r="AR245">
        <v>8.7238085406041073</v>
      </c>
      <c r="AS245">
        <v>42.028711303348189</v>
      </c>
      <c r="AT245" t="e">
        <v>#DIV/0!</v>
      </c>
      <c r="AU245" t="e">
        <v>#DIV/0!</v>
      </c>
      <c r="AV245"/>
      <c r="AW245"/>
      <c r="FY245" s="210">
        <v>240</v>
      </c>
      <c r="FZ245">
        <v>0.52454686079360424</v>
      </c>
      <c r="GA245">
        <v>2.6805758371393864</v>
      </c>
      <c r="GB245">
        <v>0.98275512952324828</v>
      </c>
      <c r="GC245">
        <v>9.3419625623134195</v>
      </c>
      <c r="GD245">
        <v>8.0430788039881218</v>
      </c>
      <c r="GE245">
        <v>2.3028359860066381</v>
      </c>
      <c r="GF245">
        <v>0.19016497712110106</v>
      </c>
      <c r="GG245">
        <v>1.6110786669885027</v>
      </c>
      <c r="GH245">
        <v>1.9871405252523333</v>
      </c>
      <c r="GI245">
        <v>6.3724864124535898</v>
      </c>
      <c r="GJ245"/>
      <c r="GK245"/>
      <c r="GL245"/>
      <c r="GM245"/>
    </row>
    <row r="246" spans="1:195" s="7" customFormat="1">
      <c r="A246" s="1"/>
      <c r="B246">
        <v>0.20328134763828909</v>
      </c>
      <c r="C246">
        <v>1</v>
      </c>
      <c r="D246">
        <v>39673</v>
      </c>
      <c r="E246">
        <v>0</v>
      </c>
      <c r="F246">
        <v>0</v>
      </c>
      <c r="G246">
        <v>10.416666666666666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4.8941353785103781</v>
      </c>
      <c r="AO246">
        <v>4.211500122895421</v>
      </c>
      <c r="AP246">
        <v>20.294571963929929</v>
      </c>
      <c r="AQ246">
        <v>17.08547340862328</v>
      </c>
      <c r="AR246">
        <v>3.8539066940461097</v>
      </c>
      <c r="AS246">
        <v>16.246826598185478</v>
      </c>
      <c r="AT246" t="e">
        <v>#DIV/0!</v>
      </c>
      <c r="AU246" t="e">
        <v>#DIV/0!</v>
      </c>
      <c r="AV246"/>
      <c r="AW246"/>
      <c r="FY246" s="210">
        <v>241</v>
      </c>
      <c r="FZ246">
        <v>0</v>
      </c>
      <c r="GA246">
        <v>3.6313584887231336</v>
      </c>
      <c r="GB246">
        <v>1.7358534250607978</v>
      </c>
      <c r="GC246">
        <v>1.8531655758189267</v>
      </c>
      <c r="GD246">
        <v>1.7408899307605243</v>
      </c>
      <c r="GE246">
        <v>0.80161328311131574</v>
      </c>
      <c r="GF246">
        <v>0.38032995424220212</v>
      </c>
      <c r="GG246">
        <v>1.7791509959019165</v>
      </c>
      <c r="GH246">
        <v>1.9871405252523333</v>
      </c>
      <c r="GI246">
        <v>2.1643761446692342</v>
      </c>
      <c r="GJ246"/>
      <c r="GK246"/>
      <c r="GL246"/>
      <c r="GM246"/>
    </row>
    <row r="247" spans="1:195" s="7" customFormat="1">
      <c r="A247" s="77" t="s">
        <v>61</v>
      </c>
      <c r="B247">
        <v>0.74356714726326367</v>
      </c>
      <c r="C247">
        <v>6</v>
      </c>
      <c r="D247">
        <v>39673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6.4588675213675204</v>
      </c>
      <c r="AO247">
        <v>8.3418564170036333</v>
      </c>
      <c r="AP247">
        <v>27.48433997386611</v>
      </c>
      <c r="AQ247">
        <v>27.18163995753973</v>
      </c>
      <c r="AR247">
        <v>7.7382712588159865</v>
      </c>
      <c r="AS247">
        <v>38.463965029434334</v>
      </c>
      <c r="AT247" t="e">
        <v>#DIV/0!</v>
      </c>
      <c r="AU247" t="e">
        <v>#DIV/0!</v>
      </c>
      <c r="AV247"/>
      <c r="AW247"/>
      <c r="FY247" s="210">
        <v>242</v>
      </c>
      <c r="FZ247">
        <v>3.3183084785198033E-2</v>
      </c>
      <c r="GA247">
        <v>3.9110263153745324</v>
      </c>
      <c r="GB247">
        <v>3.5538306369090886</v>
      </c>
      <c r="GC247">
        <v>6.6776774300703456</v>
      </c>
      <c r="GD247">
        <v>4.2939193431453591</v>
      </c>
      <c r="GE247">
        <v>0</v>
      </c>
      <c r="GF247">
        <v>0.5704949313633032</v>
      </c>
      <c r="GG247">
        <v>0.50421698674024196</v>
      </c>
      <c r="GH247">
        <v>0</v>
      </c>
      <c r="GI247">
        <v>4.3330135418140019</v>
      </c>
      <c r="GJ247"/>
      <c r="GK247"/>
      <c r="GL247"/>
      <c r="GM247"/>
    </row>
    <row r="248" spans="1:195" s="7" customFormat="1">
      <c r="A248" s="77" t="s">
        <v>62</v>
      </c>
      <c r="B248">
        <v>6.1640600111593224E-2</v>
      </c>
      <c r="C248">
        <v>4</v>
      </c>
      <c r="D248">
        <v>39714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6.7344131562881557</v>
      </c>
      <c r="AO248">
        <v>7.1393047221753676</v>
      </c>
      <c r="AP248">
        <v>29.682246294010611</v>
      </c>
      <c r="AQ248">
        <v>26.028195758539603</v>
      </c>
      <c r="AR248">
        <v>6.5698664336378965</v>
      </c>
      <c r="AS248">
        <v>34.017118149369658</v>
      </c>
      <c r="AT248" t="e">
        <v>#DIV/0!</v>
      </c>
      <c r="AU248" t="e">
        <v>#DIV/0!</v>
      </c>
      <c r="AV248"/>
      <c r="AW248"/>
      <c r="FY248" s="210">
        <v>243</v>
      </c>
      <c r="FZ248">
        <v>3.3183084785198033E-2</v>
      </c>
      <c r="GA248">
        <v>2.1005256935776906</v>
      </c>
      <c r="GB248">
        <v>0.98275512952324828</v>
      </c>
      <c r="GC248">
        <v>5.4591482816529462</v>
      </c>
      <c r="GD248">
        <v>4.6820569002805215</v>
      </c>
      <c r="GE248">
        <v>1.254054751652687</v>
      </c>
      <c r="GF248">
        <v>0.5704949313633032</v>
      </c>
      <c r="GG248">
        <v>1.4662212121236342</v>
      </c>
      <c r="GH248">
        <v>1.3247603501682221</v>
      </c>
      <c r="GI248">
        <v>3.8169038235914163</v>
      </c>
      <c r="GJ248"/>
      <c r="GK248"/>
      <c r="GL248"/>
      <c r="GM248"/>
    </row>
    <row r="249" spans="1:195" s="7" customFormat="1">
      <c r="A249" s="1"/>
      <c r="B249">
        <v>0.70589581548247615</v>
      </c>
      <c r="C249">
        <v>9</v>
      </c>
      <c r="D249">
        <v>39714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10.416666666666666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9.0273199023198991</v>
      </c>
      <c r="AO249">
        <v>7.2028625906885297</v>
      </c>
      <c r="AP249">
        <v>31.652360911306459</v>
      </c>
      <c r="AQ249">
        <v>26.794874876414042</v>
      </c>
      <c r="AR249">
        <v>6.6816907149244242</v>
      </c>
      <c r="AS249">
        <v>26.36188604662161</v>
      </c>
      <c r="AT249" t="e">
        <v>#DIV/0!</v>
      </c>
      <c r="AU249" t="e">
        <v>#DIV/0!</v>
      </c>
      <c r="AV249"/>
      <c r="AW249"/>
      <c r="FY249" s="210">
        <v>244</v>
      </c>
      <c r="FZ249">
        <v>3.3183084785198033E-2</v>
      </c>
      <c r="GA249">
        <v>2.8228675547052076</v>
      </c>
      <c r="GB249">
        <v>1.3273361139641193</v>
      </c>
      <c r="GC249">
        <v>5.4490306778674524</v>
      </c>
      <c r="GD249">
        <v>4.9092670027250893</v>
      </c>
      <c r="GE249">
        <v>2.936718132291809</v>
      </c>
      <c r="GF249">
        <v>2.3326075836359519</v>
      </c>
      <c r="GG249">
        <v>1.9472233248153306</v>
      </c>
      <c r="GH249">
        <v>1.9871405252523333</v>
      </c>
      <c r="GI249">
        <v>4.7257737083424534</v>
      </c>
      <c r="GJ249"/>
      <c r="GK249"/>
      <c r="GL249"/>
      <c r="GM249"/>
    </row>
    <row r="250" spans="1:195" s="7" customFormat="1">
      <c r="A250" s="1"/>
      <c r="B250">
        <v>0.57752391726004459</v>
      </c>
      <c r="C250">
        <v>1</v>
      </c>
      <c r="D250">
        <v>39714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5.2599206349206344</v>
      </c>
      <c r="AO250">
        <v>5.0564587696766203</v>
      </c>
      <c r="AP250">
        <v>21.493340272629887</v>
      </c>
      <c r="AQ250">
        <v>19.001058803384574</v>
      </c>
      <c r="AR250">
        <v>4.6905925507204271</v>
      </c>
      <c r="AS250">
        <v>19.439056423153939</v>
      </c>
      <c r="AT250" t="e">
        <v>#DIV/0!</v>
      </c>
      <c r="AU250" t="e">
        <v>#DIV/0!</v>
      </c>
      <c r="AV250"/>
      <c r="AW250"/>
      <c r="FY250" s="210">
        <v>245</v>
      </c>
      <c r="FZ250">
        <v>0.27886497278940114</v>
      </c>
      <c r="GA250">
        <v>0.32926738044752452</v>
      </c>
      <c r="GB250">
        <v>0.57206434372473558</v>
      </c>
      <c r="GC250">
        <v>6.8666778472018137</v>
      </c>
      <c r="GD250">
        <v>5.619719100387476</v>
      </c>
      <c r="GE250">
        <v>2.1175994495883153</v>
      </c>
      <c r="GF250">
        <v>1.2613862803785265</v>
      </c>
      <c r="GG250">
        <v>0.81714677051852402</v>
      </c>
      <c r="GH250">
        <v>0.66238017508411107</v>
      </c>
      <c r="GI250">
        <v>4.6726980248504608</v>
      </c>
      <c r="GJ250"/>
      <c r="GK250"/>
      <c r="GL250"/>
      <c r="GM250"/>
    </row>
    <row r="251" spans="1:195" s="7" customFormat="1">
      <c r="A251" s="1"/>
      <c r="B251">
        <v>0.1515623214380053</v>
      </c>
      <c r="C251">
        <v>3</v>
      </c>
      <c r="D251">
        <v>39714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12.233382936507935</v>
      </c>
      <c r="AO251">
        <v>12.44317671815284</v>
      </c>
      <c r="AP251">
        <v>42.193937058446416</v>
      </c>
      <c r="AQ251">
        <v>41.93999843838413</v>
      </c>
      <c r="AR251">
        <v>11.489970326010321</v>
      </c>
      <c r="AS251">
        <v>53.825766097464331</v>
      </c>
      <c r="AT251" t="e">
        <v>#DIV/0!</v>
      </c>
      <c r="AU251" t="e">
        <v>#DIV/0!</v>
      </c>
      <c r="AV251"/>
      <c r="AW251"/>
      <c r="FY251" s="210">
        <v>246</v>
      </c>
      <c r="FZ251">
        <v>0.55772994557880229</v>
      </c>
      <c r="GA251">
        <v>0.78392614245213466</v>
      </c>
      <c r="GB251">
        <v>6.3936326655807327E-2</v>
      </c>
      <c r="GC251">
        <v>4.4340596739890028</v>
      </c>
      <c r="GD251">
        <v>3.9136169209648095</v>
      </c>
      <c r="GE251">
        <v>1.8691657077015624</v>
      </c>
      <c r="GF251">
        <v>1.0712213032574254</v>
      </c>
      <c r="GG251">
        <v>2.0920807796801988</v>
      </c>
      <c r="GH251">
        <v>2.6495207003364443</v>
      </c>
      <c r="GI251">
        <v>3.5746255373926443</v>
      </c>
      <c r="GJ251"/>
      <c r="GK251"/>
      <c r="GL251"/>
      <c r="GM251"/>
    </row>
    <row r="252" spans="1:195" s="7" customFormat="1">
      <c r="A252" s="1"/>
      <c r="B252">
        <v>0.31118141263477828</v>
      </c>
      <c r="C252">
        <v>4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6.5667162698412698</v>
      </c>
      <c r="AO252">
        <v>5.1529038226056105</v>
      </c>
      <c r="AP252">
        <v>27.597411973938165</v>
      </c>
      <c r="AQ252">
        <v>22.190748616629474</v>
      </c>
      <c r="AR252">
        <v>4.7271939850574158</v>
      </c>
      <c r="AS252">
        <v>18.136065239756416</v>
      </c>
      <c r="AT252" t="e">
        <v>#DIV/0!</v>
      </c>
      <c r="AU252" t="e">
        <v>#DIV/0!</v>
      </c>
      <c r="AV252"/>
      <c r="AW252"/>
      <c r="FY252" s="210">
        <v>247</v>
      </c>
      <c r="FZ252">
        <v>6.6366169570396066E-2</v>
      </c>
      <c r="GA252">
        <v>2.1397680022443666</v>
      </c>
      <c r="GB252">
        <v>2.1268838169727191</v>
      </c>
      <c r="GC252">
        <v>7.0100434357039383</v>
      </c>
      <c r="GD252">
        <v>5.6783640490967908</v>
      </c>
      <c r="GE252">
        <v>1.7778124735076037</v>
      </c>
      <c r="GF252">
        <v>0.5704949313633032</v>
      </c>
      <c r="GG252">
        <v>0.98521909943193808</v>
      </c>
      <c r="GH252">
        <v>0.66238017508411107</v>
      </c>
      <c r="GI252">
        <v>4.7422671661522502</v>
      </c>
      <c r="GJ252"/>
      <c r="GK252"/>
      <c r="GL252"/>
      <c r="GM252"/>
    </row>
    <row r="253" spans="1:195" s="7" customFormat="1">
      <c r="A253" s="1"/>
      <c r="B253">
        <v>0.18031210188882252</v>
      </c>
      <c r="C253">
        <v>1</v>
      </c>
      <c r="D253">
        <v>39714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5.3130341880341883</v>
      </c>
      <c r="AO253">
        <v>7.1144810139903836</v>
      </c>
      <c r="AP253">
        <v>18.145435996915261</v>
      </c>
      <c r="AQ253">
        <v>20.677664349963528</v>
      </c>
      <c r="AR253">
        <v>6.5997040946107459</v>
      </c>
      <c r="AS253">
        <v>31.79477205525561</v>
      </c>
      <c r="AT253" t="e">
        <v>#DIV/0!</v>
      </c>
      <c r="AU253" t="e">
        <v>#DIV/0!</v>
      </c>
      <c r="AV253"/>
      <c r="AW253"/>
      <c r="FY253" s="210">
        <v>248</v>
      </c>
      <c r="FZ253">
        <v>3.3183084785198033E-2</v>
      </c>
      <c r="GA253">
        <v>0.88697555135127926</v>
      </c>
      <c r="GB253">
        <v>0.40851731109667855</v>
      </c>
      <c r="GC253">
        <v>3.7523165810666956</v>
      </c>
      <c r="GD253">
        <v>3.3560904922795554</v>
      </c>
      <c r="GE253">
        <v>2.2371087125078026</v>
      </c>
      <c r="GF253">
        <v>2.522772560757053</v>
      </c>
      <c r="GG253">
        <v>2.5962977664204407</v>
      </c>
      <c r="GH253">
        <v>2.6495207003364443</v>
      </c>
      <c r="GI253">
        <v>3.3670297910914395</v>
      </c>
      <c r="GJ253"/>
      <c r="GK253"/>
      <c r="GL253"/>
      <c r="GM253"/>
    </row>
    <row r="254" spans="1:195" s="7" customFormat="1">
      <c r="A254" s="1"/>
      <c r="B254">
        <v>0.74386712093358409</v>
      </c>
      <c r="C254">
        <v>7</v>
      </c>
      <c r="D254">
        <v>39714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11.036534645909645</v>
      </c>
      <c r="AO254">
        <v>10.221633148515512</v>
      </c>
      <c r="AP254">
        <v>33.242619502910358</v>
      </c>
      <c r="AQ254">
        <v>33.824265252965162</v>
      </c>
      <c r="AR254">
        <v>9.4291692410035193</v>
      </c>
      <c r="AS254">
        <v>45.321623731795249</v>
      </c>
      <c r="AT254" t="e">
        <v>#DIV/0!</v>
      </c>
      <c r="AU254" t="e">
        <v>#DIV/0!</v>
      </c>
      <c r="AV254"/>
      <c r="AW254"/>
      <c r="FY254" s="210">
        <v>249</v>
      </c>
      <c r="FZ254">
        <v>0.27886497278940114</v>
      </c>
      <c r="GA254">
        <v>0.58005014356169593</v>
      </c>
      <c r="GB254">
        <v>1.2720013407610857</v>
      </c>
      <c r="GC254">
        <v>1.8265178507152573</v>
      </c>
      <c r="GD254">
        <v>2.0293338679854895</v>
      </c>
      <c r="GE254">
        <v>2.7446268254146586</v>
      </c>
      <c r="GF254">
        <v>1.2613862803785265</v>
      </c>
      <c r="GG254">
        <v>0.81714677051852402</v>
      </c>
      <c r="GH254">
        <v>0.66238017508411107</v>
      </c>
      <c r="GI254">
        <v>2.1861557199857642</v>
      </c>
      <c r="GJ254"/>
      <c r="GK254"/>
      <c r="GL254"/>
      <c r="GM254"/>
    </row>
    <row r="255" spans="1:195" s="7" customFormat="1">
      <c r="A255" s="1"/>
      <c r="B255">
        <v>0.42936044633542902</v>
      </c>
      <c r="C255">
        <v>8</v>
      </c>
      <c r="D255">
        <v>39714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7.7738476800976795</v>
      </c>
      <c r="AO255">
        <v>7.6273300379725297</v>
      </c>
      <c r="AP255">
        <v>32.446856902159091</v>
      </c>
      <c r="AQ255">
        <v>28.374932364884362</v>
      </c>
      <c r="AR255">
        <v>6.9697148650696628</v>
      </c>
      <c r="AS255">
        <v>36.085586419097361</v>
      </c>
      <c r="AT255" t="e">
        <v>#DIV/0!</v>
      </c>
      <c r="AU255" t="e">
        <v>#DIV/0!</v>
      </c>
      <c r="AV255"/>
      <c r="AW255"/>
      <c r="FY255" s="210">
        <v>250</v>
      </c>
      <c r="FZ255">
        <v>0.55772994557880229</v>
      </c>
      <c r="GA255">
        <v>2.3540012462642546</v>
      </c>
      <c r="GB255">
        <v>0.8170346221933571</v>
      </c>
      <c r="GC255">
        <v>5.0211728929608812</v>
      </c>
      <c r="GD255">
        <v>4.6362154472235568</v>
      </c>
      <c r="GE255">
        <v>4.058699873775125</v>
      </c>
      <c r="GF255">
        <v>3.9045552587875001</v>
      </c>
      <c r="GG255">
        <v>2.2601531085936126</v>
      </c>
      <c r="GH255">
        <v>2.6495207003364443</v>
      </c>
      <c r="GI255">
        <v>4.8106445886960802</v>
      </c>
      <c r="GJ255"/>
      <c r="GK255"/>
      <c r="GL255"/>
      <c r="GM255"/>
    </row>
    <row r="256" spans="1:195" s="7" customFormat="1">
      <c r="A256" s="1"/>
      <c r="B256">
        <v>0.96941841455865418</v>
      </c>
      <c r="C256">
        <v>6</v>
      </c>
      <c r="D256">
        <v>39714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9.7337454212454197</v>
      </c>
      <c r="AO256">
        <v>10.413389928933215</v>
      </c>
      <c r="AP256">
        <v>31.05396967965946</v>
      </c>
      <c r="AQ256">
        <v>34.036625761579941</v>
      </c>
      <c r="AR256">
        <v>9.6599164461347105</v>
      </c>
      <c r="AS256">
        <v>51.88585707292475</v>
      </c>
      <c r="AT256" t="e">
        <v>#DIV/0!</v>
      </c>
      <c r="AU256" t="e">
        <v>#DIV/0!</v>
      </c>
      <c r="AV256"/>
      <c r="AW256"/>
      <c r="FY256" s="210">
        <v>251</v>
      </c>
      <c r="FZ256">
        <v>9.9549254355594113E-2</v>
      </c>
      <c r="GA256">
        <v>0.2431183075571153</v>
      </c>
      <c r="GB256">
        <v>0.63600067038054287</v>
      </c>
      <c r="GC256">
        <v>1.5585557756289865</v>
      </c>
      <c r="GD256">
        <v>1.444666266130413</v>
      </c>
      <c r="GE256">
        <v>1.5556520197883907</v>
      </c>
      <c r="GF256">
        <v>1.0712213032574254</v>
      </c>
      <c r="GG256">
        <v>1.1300765542968063</v>
      </c>
      <c r="GH256">
        <v>1.3247603501682221</v>
      </c>
      <c r="GI256">
        <v>1.6499914098116157</v>
      </c>
      <c r="GJ256"/>
      <c r="GK256"/>
      <c r="GL256"/>
      <c r="GM256"/>
    </row>
    <row r="257" spans="1:195" s="7" customFormat="1">
      <c r="A257" s="1"/>
      <c r="B257">
        <v>0.81306151614256716</v>
      </c>
      <c r="C257">
        <v>3</v>
      </c>
      <c r="D257">
        <v>39714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3.7292048229548223</v>
      </c>
      <c r="AO257">
        <v>3.5881958670452967</v>
      </c>
      <c r="AP257">
        <v>20.118886300414179</v>
      </c>
      <c r="AQ257">
        <v>16.073878323540384</v>
      </c>
      <c r="AR257">
        <v>3.3285675946616848</v>
      </c>
      <c r="AS257">
        <v>14.287073988368233</v>
      </c>
      <c r="AT257" t="e">
        <v>#DIV/0!</v>
      </c>
      <c r="AU257" t="e">
        <v>#DIV/0!</v>
      </c>
      <c r="AV257"/>
      <c r="AW257"/>
      <c r="FY257" s="210">
        <v>252</v>
      </c>
      <c r="FZ257">
        <v>0</v>
      </c>
      <c r="GA257">
        <v>2.6685911096108939</v>
      </c>
      <c r="GB257">
        <v>1.8615526036705785</v>
      </c>
      <c r="GC257">
        <v>9.0259086763903031</v>
      </c>
      <c r="GD257">
        <v>7.4551737547607679</v>
      </c>
      <c r="GE257">
        <v>3.6538329516679942</v>
      </c>
      <c r="GF257">
        <v>3.213663909772277</v>
      </c>
      <c r="GG257">
        <v>1.4662212121236342</v>
      </c>
      <c r="GH257">
        <v>1.3247603501682221</v>
      </c>
      <c r="GI257">
        <v>6.6919878288599017</v>
      </c>
      <c r="GJ257"/>
      <c r="GK257"/>
      <c r="GL257"/>
      <c r="GM257"/>
    </row>
    <row r="258" spans="1:195" s="7" customFormat="1">
      <c r="A258" s="1"/>
      <c r="B258">
        <v>0.75850451904878735</v>
      </c>
      <c r="C258">
        <v>10</v>
      </c>
      <c r="D258">
        <v>39747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6.8219246031746028</v>
      </c>
      <c r="AO258">
        <v>7.2781848729555225</v>
      </c>
      <c r="AP258">
        <v>27.958912477817289</v>
      </c>
      <c r="AQ258">
        <v>23.87736227020207</v>
      </c>
      <c r="AR258">
        <v>6.7515629619253463</v>
      </c>
      <c r="AS258">
        <v>33.042980984657923</v>
      </c>
      <c r="AT258" t="e">
        <v>#DIV/0!</v>
      </c>
      <c r="AU258" t="e">
        <v>#DIV/0!</v>
      </c>
      <c r="AV258"/>
      <c r="AW258"/>
      <c r="FY258" s="210">
        <v>253</v>
      </c>
      <c r="FZ258">
        <v>3.3183084785198033E-2</v>
      </c>
      <c r="GA258">
        <v>0.16463369022376226</v>
      </c>
      <c r="GB258">
        <v>6.3936326655807327E-2</v>
      </c>
      <c r="GC258">
        <v>10.49164765656151</v>
      </c>
      <c r="GD258">
        <v>8.9255925103360454</v>
      </c>
      <c r="GE258">
        <v>2.3766838206084184</v>
      </c>
      <c r="GF258">
        <v>0</v>
      </c>
      <c r="GG258">
        <v>0.48100211269169618</v>
      </c>
      <c r="GH258">
        <v>0.66238017508411107</v>
      </c>
      <c r="GI258">
        <v>6.4659132871608458</v>
      </c>
      <c r="GJ258"/>
      <c r="GK258"/>
      <c r="GL258"/>
      <c r="GM258"/>
    </row>
    <row r="259" spans="1:195" s="7" customFormat="1">
      <c r="A259" s="90"/>
      <c r="B259">
        <v>0.36428924698108078</v>
      </c>
      <c r="C259">
        <v>8</v>
      </c>
      <c r="D259">
        <v>39747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6.4508928571428568</v>
      </c>
      <c r="AO259">
        <v>6.1862911350550984</v>
      </c>
      <c r="AP259">
        <v>21.013986534551645</v>
      </c>
      <c r="AQ259">
        <v>21.690104158718867</v>
      </c>
      <c r="AR259">
        <v>5.7386745223145619</v>
      </c>
      <c r="AS259">
        <v>31.346545579927618</v>
      </c>
      <c r="AT259" t="e">
        <v>#DIV/0!</v>
      </c>
      <c r="AU259" t="e">
        <v>#DIV/0!</v>
      </c>
      <c r="AV259"/>
      <c r="AW259"/>
      <c r="FY259" s="210">
        <v>254</v>
      </c>
      <c r="FZ259">
        <v>0.27886497278940114</v>
      </c>
      <c r="GA259">
        <v>3.3636753896002265</v>
      </c>
      <c r="GB259">
        <v>1.4552087672757343</v>
      </c>
      <c r="GC259">
        <v>10.191483616201577</v>
      </c>
      <c r="GD259">
        <v>8.3764481196360521</v>
      </c>
      <c r="GE259">
        <v>1.7790782641517209</v>
      </c>
      <c r="GF259">
        <v>0.76065990848440423</v>
      </c>
      <c r="GG259">
        <v>0.67228931565365579</v>
      </c>
      <c r="GH259">
        <v>0</v>
      </c>
      <c r="GI259">
        <v>6.6678012629765275</v>
      </c>
      <c r="GJ259"/>
      <c r="GK259"/>
      <c r="GL259"/>
      <c r="GM259"/>
    </row>
    <row r="260" spans="1:195" s="7" customFormat="1">
      <c r="A260" s="77" t="s">
        <v>61</v>
      </c>
      <c r="B260">
        <v>0.22166248225410112</v>
      </c>
      <c r="C260">
        <v>3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6.7917048229548218</v>
      </c>
      <c r="AO260">
        <v>7.7856198483090733</v>
      </c>
      <c r="AP260">
        <v>30.405256375199826</v>
      </c>
      <c r="AQ260">
        <v>28.47114770838494</v>
      </c>
      <c r="AR260">
        <v>7.1165514238234158</v>
      </c>
      <c r="AS260">
        <v>37.832592031639223</v>
      </c>
      <c r="AT260" t="e">
        <v>#DIV/0!</v>
      </c>
      <c r="AU260" t="e">
        <v>#DIV/0!</v>
      </c>
      <c r="AV260"/>
      <c r="AW260"/>
      <c r="FY260" s="210">
        <v>255</v>
      </c>
      <c r="FZ260">
        <v>0.37841422714499523</v>
      </c>
      <c r="GA260">
        <v>2.6336690729156533</v>
      </c>
      <c r="GB260">
        <v>1.6187557999037911</v>
      </c>
      <c r="GC260">
        <v>8.8850000700956784</v>
      </c>
      <c r="GD260">
        <v>7.3741099639462817</v>
      </c>
      <c r="GE260">
        <v>2.0631701326952463</v>
      </c>
      <c r="GF260">
        <v>0.38032995424220212</v>
      </c>
      <c r="GG260">
        <v>1.7791509959019165</v>
      </c>
      <c r="GH260">
        <v>1.9871405252523333</v>
      </c>
      <c r="GI260">
        <v>6.154811687451005</v>
      </c>
      <c r="GJ260"/>
      <c r="GK260"/>
      <c r="GL260"/>
      <c r="GM260"/>
    </row>
    <row r="261" spans="1:195" s="7" customFormat="1">
      <c r="A261" s="77" t="s">
        <v>62</v>
      </c>
      <c r="B261">
        <v>0.50016555722484957</v>
      </c>
      <c r="C261">
        <v>5</v>
      </c>
      <c r="D261">
        <v>39747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10.416666666666666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6.0607638888888884</v>
      </c>
      <c r="AO261">
        <v>7.7361762222292452</v>
      </c>
      <c r="AP261">
        <v>21.203122912544334</v>
      </c>
      <c r="AQ261">
        <v>23.197804344970887</v>
      </c>
      <c r="AR261">
        <v>7.1235505709791553</v>
      </c>
      <c r="AS261">
        <v>32.593334814462409</v>
      </c>
      <c r="AT261" t="e">
        <v>#DIV/0!</v>
      </c>
      <c r="AU261" t="e">
        <v>#DIV/0!</v>
      </c>
      <c r="AV261"/>
      <c r="AW261"/>
      <c r="FY261" s="210">
        <v>256</v>
      </c>
      <c r="FZ261">
        <v>0</v>
      </c>
      <c r="GA261">
        <v>3.8717840067078564</v>
      </c>
      <c r="GB261">
        <v>2.9817662931843527</v>
      </c>
      <c r="GC261">
        <v>3.8634802042951586</v>
      </c>
      <c r="GD261">
        <v>2.4930757878666703</v>
      </c>
      <c r="GE261">
        <v>0</v>
      </c>
      <c r="GF261">
        <v>0.76065990848440423</v>
      </c>
      <c r="GG261">
        <v>1.634293541037048</v>
      </c>
      <c r="GH261">
        <v>1.3247603501682221</v>
      </c>
      <c r="GI261">
        <v>2.8232233499995365</v>
      </c>
      <c r="GJ261"/>
      <c r="GK261"/>
      <c r="GL261"/>
      <c r="GM261"/>
    </row>
    <row r="262" spans="1:195" s="7" customFormat="1" ht="12.75" customHeight="1">
      <c r="A262" s="77"/>
      <c r="B262">
        <v>0.69385292361074336</v>
      </c>
      <c r="C262">
        <v>6</v>
      </c>
      <c r="D262">
        <v>39747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4.9883814102564097</v>
      </c>
      <c r="AO262">
        <v>5.8667568392321332</v>
      </c>
      <c r="AP262">
        <v>20.810772485399387</v>
      </c>
      <c r="AQ262">
        <v>21.009883038008834</v>
      </c>
      <c r="AR262">
        <v>5.3893952991822056</v>
      </c>
      <c r="AS262">
        <v>29.700602279018433</v>
      </c>
      <c r="AT262" t="e">
        <v>#DIV/0!</v>
      </c>
      <c r="AU262" t="e">
        <v>#DIV/0!</v>
      </c>
      <c r="AV262"/>
      <c r="AW262"/>
      <c r="FY262" s="210">
        <v>257</v>
      </c>
      <c r="FZ262">
        <v>0.27886497278940114</v>
      </c>
      <c r="GA262">
        <v>2.2651593838014525</v>
      </c>
      <c r="GB262">
        <v>2.0629474903169118</v>
      </c>
      <c r="GC262">
        <v>10.302647239430041</v>
      </c>
      <c r="GD262">
        <v>7.4634842685529952</v>
      </c>
      <c r="GE262">
        <v>1.0675524245902468</v>
      </c>
      <c r="GF262">
        <v>0.88105632613632445</v>
      </c>
      <c r="GG262">
        <v>2.4050105634584811</v>
      </c>
      <c r="GH262">
        <v>3.3119008754205557</v>
      </c>
      <c r="GI262">
        <v>6.7083665184656205</v>
      </c>
      <c r="GJ262"/>
      <c r="GK262"/>
      <c r="GL262"/>
      <c r="GM262"/>
    </row>
    <row r="263" spans="1:195" s="7" customFormat="1">
      <c r="A263" s="77"/>
      <c r="B263">
        <v>5.3743123077514054E-2</v>
      </c>
      <c r="C263">
        <v>5</v>
      </c>
      <c r="D263">
        <v>39747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10.416666666666666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7.778884310134309</v>
      </c>
      <c r="AO263">
        <v>7.7345738437783851</v>
      </c>
      <c r="AP263">
        <v>25.408195493762591</v>
      </c>
      <c r="AQ263">
        <v>25.75959931912741</v>
      </c>
      <c r="AR263">
        <v>7.1749293541543491</v>
      </c>
      <c r="AS263">
        <v>30.614377397037078</v>
      </c>
      <c r="AT263" t="e">
        <v>#DIV/0!</v>
      </c>
      <c r="AU263" t="e">
        <v>#DIV/0!</v>
      </c>
      <c r="AV263"/>
      <c r="AW263"/>
      <c r="FY263" s="210">
        <v>258</v>
      </c>
      <c r="FZ263">
        <v>0.52454686079360424</v>
      </c>
      <c r="GA263">
        <v>2.5551844555823005</v>
      </c>
      <c r="GB263">
        <v>1.4908831465921764</v>
      </c>
      <c r="GC263">
        <v>8.7358622398158658</v>
      </c>
      <c r="GD263">
        <v>6.5110952595333966</v>
      </c>
      <c r="GE263">
        <v>1.5731574193805689</v>
      </c>
      <c r="GF263">
        <v>2.1424426065148507</v>
      </c>
      <c r="GG263">
        <v>1.2981488832102204</v>
      </c>
      <c r="GH263">
        <v>1.3247603501682221</v>
      </c>
      <c r="GI263">
        <v>5.7282151598170241</v>
      </c>
      <c r="GJ263"/>
      <c r="GK263"/>
      <c r="GL263"/>
      <c r="GM263"/>
    </row>
    <row r="264" spans="1:195" s="7" customFormat="1">
      <c r="A264" s="77"/>
      <c r="B264">
        <v>0.15039428622291773</v>
      </c>
      <c r="C264">
        <v>6</v>
      </c>
      <c r="D264">
        <v>39747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5.5763888888888884</v>
      </c>
      <c r="AO264">
        <v>5.4474205875707753</v>
      </c>
      <c r="AP264">
        <v>23.28818615882674</v>
      </c>
      <c r="AQ264">
        <v>21.809812551692591</v>
      </c>
      <c r="AR264">
        <v>4.9475354120068129</v>
      </c>
      <c r="AS264">
        <v>21.047628248565882</v>
      </c>
      <c r="AT264" t="e">
        <v>#DIV/0!</v>
      </c>
      <c r="AU264" t="e">
        <v>#DIV/0!</v>
      </c>
      <c r="AV264"/>
      <c r="AW264"/>
      <c r="FY264" s="210">
        <v>259</v>
      </c>
      <c r="FZ264">
        <v>3.3183084785198033E-2</v>
      </c>
      <c r="GA264">
        <v>3.9242308666676516E-2</v>
      </c>
      <c r="GB264">
        <v>1.7161930311742066</v>
      </c>
      <c r="GC264">
        <v>11.86430027302152</v>
      </c>
      <c r="GD264">
        <v>8.6623106031431334</v>
      </c>
      <c r="GE264">
        <v>1.5925759370892807</v>
      </c>
      <c r="GF264">
        <v>1.2613862803785265</v>
      </c>
      <c r="GG264">
        <v>1.7791509959019165</v>
      </c>
      <c r="GH264">
        <v>1.9871405252523333</v>
      </c>
      <c r="GI264">
        <v>7.3485702591878397</v>
      </c>
      <c r="GJ264"/>
      <c r="GK264"/>
      <c r="GL264"/>
      <c r="GM264"/>
    </row>
    <row r="265" spans="1:195" s="7" customFormat="1">
      <c r="A265" s="77"/>
      <c r="B265">
        <v>0.52518303302446423</v>
      </c>
      <c r="C265">
        <v>7</v>
      </c>
      <c r="D265">
        <v>39747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3.3420138888888884</v>
      </c>
      <c r="AO265">
        <v>3.5848322731694453</v>
      </c>
      <c r="AP265">
        <v>15.089047417420938</v>
      </c>
      <c r="AQ265">
        <v>13.658463947194518</v>
      </c>
      <c r="AR265">
        <v>3.2725821581221988</v>
      </c>
      <c r="AS265">
        <v>14.475439482408612</v>
      </c>
      <c r="AT265" t="e">
        <v>#DIV/0!</v>
      </c>
      <c r="AU265" t="e">
        <v>#DIV/0!</v>
      </c>
      <c r="AV265"/>
      <c r="AW265"/>
      <c r="FY265" s="210">
        <v>260</v>
      </c>
      <c r="FZ265">
        <v>0.27886497278940114</v>
      </c>
      <c r="GA265">
        <v>2.2651593838014525</v>
      </c>
      <c r="GB265">
        <v>2.6350118340416477</v>
      </c>
      <c r="GC265">
        <v>3.96908958735363</v>
      </c>
      <c r="GD265">
        <v>3.4772375814881777</v>
      </c>
      <c r="GE265">
        <v>2.8453648980978503</v>
      </c>
      <c r="GF265">
        <v>1.2613862803785265</v>
      </c>
      <c r="GG265">
        <v>1.7791509959019165</v>
      </c>
      <c r="GH265">
        <v>1.9871405252523333</v>
      </c>
      <c r="GI265">
        <v>3.7326163049550733</v>
      </c>
      <c r="GJ265"/>
      <c r="GK265"/>
      <c r="GL265"/>
      <c r="GM265"/>
    </row>
    <row r="266" spans="1:195" s="7" customFormat="1">
      <c r="A266" s="1"/>
      <c r="B266">
        <v>0.72501680302529348</v>
      </c>
      <c r="C266">
        <v>4</v>
      </c>
      <c r="D266">
        <v>39747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6.958333333333333</v>
      </c>
      <c r="AO266">
        <v>7.8377768238360233</v>
      </c>
      <c r="AP266">
        <v>33.388690665767832</v>
      </c>
      <c r="AQ266">
        <v>31.069727684409614</v>
      </c>
      <c r="AR266">
        <v>7.0592040788322459</v>
      </c>
      <c r="AS266">
        <v>41.564245659241926</v>
      </c>
      <c r="AT266" t="e">
        <v>#DIV/0!</v>
      </c>
      <c r="AU266" t="e">
        <v>#DIV/0!</v>
      </c>
      <c r="AV266"/>
      <c r="AW266"/>
      <c r="FY266" s="210">
        <v>261</v>
      </c>
      <c r="FZ266">
        <v>0</v>
      </c>
      <c r="GA266">
        <v>2.3120661480251856</v>
      </c>
      <c r="GB266">
        <v>1.6826921265595984</v>
      </c>
      <c r="GC266">
        <v>6.0171567933136565</v>
      </c>
      <c r="GD266">
        <v>4.9230358711841866</v>
      </c>
      <c r="GE266">
        <v>1.9060896250024524</v>
      </c>
      <c r="GF266">
        <v>1.6417162346207288</v>
      </c>
      <c r="GG266">
        <v>2.5962977664204407</v>
      </c>
      <c r="GH266">
        <v>2.6495207003364443</v>
      </c>
      <c r="GI266">
        <v>4.691420416028798</v>
      </c>
      <c r="GJ266"/>
      <c r="GK266"/>
      <c r="GL266"/>
      <c r="GM266"/>
    </row>
    <row r="267" spans="1:195" s="7" customFormat="1">
      <c r="A267" s="1"/>
      <c r="B267">
        <v>8.0750935927111911E-3</v>
      </c>
      <c r="C267">
        <v>8</v>
      </c>
      <c r="D267">
        <v>39747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2.5751869658119664</v>
      </c>
      <c r="AO267">
        <v>2.7056827499739038</v>
      </c>
      <c r="AP267">
        <v>12.096555951519029</v>
      </c>
      <c r="AQ267">
        <v>10.713591911375113</v>
      </c>
      <c r="AR267">
        <v>2.4570445670317147</v>
      </c>
      <c r="AS267">
        <v>9.7200440531794552</v>
      </c>
      <c r="AT267" t="e">
        <v>#DIV/0!</v>
      </c>
      <c r="AU267" t="e">
        <v>#DIV/0!</v>
      </c>
      <c r="AV267"/>
      <c r="AW267"/>
      <c r="FY267" s="210">
        <v>262</v>
      </c>
      <c r="FZ267">
        <v>6.6366169570396066E-2</v>
      </c>
      <c r="GA267">
        <v>1.8993424842596442</v>
      </c>
      <c r="GB267">
        <v>0.88097094884916438</v>
      </c>
      <c r="GC267">
        <v>6.7610684641433423</v>
      </c>
      <c r="GD267">
        <v>5.4756223826865984</v>
      </c>
      <c r="GE267">
        <v>1.5187281024875006</v>
      </c>
      <c r="GF267">
        <v>1.2613862803785265</v>
      </c>
      <c r="GG267">
        <v>1.2981488832102204</v>
      </c>
      <c r="GH267">
        <v>1.3247603501682221</v>
      </c>
      <c r="GI267">
        <v>4.6004529848101825</v>
      </c>
      <c r="GJ267"/>
      <c r="GK267"/>
      <c r="GL267"/>
      <c r="GM267"/>
    </row>
    <row r="268" spans="1:195" s="7" customFormat="1">
      <c r="A268" s="1"/>
      <c r="B268">
        <v>0.7966268879113223</v>
      </c>
      <c r="C268">
        <v>10</v>
      </c>
      <c r="D268">
        <v>39775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10.416666666666666</v>
      </c>
      <c r="K268">
        <v>0</v>
      </c>
      <c r="L268">
        <v>0</v>
      </c>
      <c r="M268">
        <v>10.416666666666666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7.9333600427350435</v>
      </c>
      <c r="AO268">
        <v>10.976604182498701</v>
      </c>
      <c r="AP268">
        <v>37.710176768142787</v>
      </c>
      <c r="AQ268">
        <v>37.361692397024569</v>
      </c>
      <c r="AR268">
        <v>10.02378298919996</v>
      </c>
      <c r="AS268">
        <v>61.946862605543764</v>
      </c>
      <c r="AT268" t="e">
        <v>#DIV/0!</v>
      </c>
      <c r="AU268" t="e">
        <v>#DIV/0!</v>
      </c>
      <c r="AV268"/>
      <c r="AW268"/>
      <c r="FY268" s="210">
        <v>263</v>
      </c>
      <c r="FZ268">
        <v>0</v>
      </c>
      <c r="GA268">
        <v>2.3120661480251856</v>
      </c>
      <c r="GB268">
        <v>2.8268208140090696</v>
      </c>
      <c r="GC268">
        <v>5.5381099396077484</v>
      </c>
      <c r="GD268">
        <v>4.2364129497063692</v>
      </c>
      <c r="GE268">
        <v>1.4642987855944321</v>
      </c>
      <c r="GF268">
        <v>0.76065990848440423</v>
      </c>
      <c r="GG268">
        <v>1.634293541037048</v>
      </c>
      <c r="GH268">
        <v>1.3247603501682221</v>
      </c>
      <c r="GI268">
        <v>4.0396773416056284</v>
      </c>
      <c r="GJ268"/>
      <c r="GK268"/>
      <c r="GL268"/>
      <c r="GM268"/>
    </row>
    <row r="269" spans="1:195" s="7" customFormat="1">
      <c r="A269" s="1"/>
      <c r="B269">
        <v>0.19995903943502213</v>
      </c>
      <c r="C269">
        <v>1</v>
      </c>
      <c r="D269">
        <v>39775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8.3373397435897427</v>
      </c>
      <c r="AO269">
        <v>10.602019635098975</v>
      </c>
      <c r="AP269">
        <v>22.908336128539158</v>
      </c>
      <c r="AQ269">
        <v>29.664972664107395</v>
      </c>
      <c r="AR269">
        <v>9.8348976206855045</v>
      </c>
      <c r="AS269">
        <v>49.984355901200701</v>
      </c>
      <c r="AT269" t="e">
        <v>#DIV/0!</v>
      </c>
      <c r="AU269" t="e">
        <v>#DIV/0!</v>
      </c>
      <c r="AV269"/>
      <c r="AW269"/>
      <c r="FY269" s="210">
        <v>264</v>
      </c>
      <c r="FZ269">
        <v>0.55772994557880229</v>
      </c>
      <c r="GA269">
        <v>3.5675513884906653</v>
      </c>
      <c r="GB269">
        <v>1.9633367843446625</v>
      </c>
      <c r="GC269">
        <v>12.48115847505956</v>
      </c>
      <c r="GD269">
        <v>9.6400841228311105</v>
      </c>
      <c r="GE269">
        <v>1.8691657077015624</v>
      </c>
      <c r="GF269">
        <v>1.2613862803785265</v>
      </c>
      <c r="GG269">
        <v>0.3361446578268279</v>
      </c>
      <c r="GH269">
        <v>0</v>
      </c>
      <c r="GI269">
        <v>7.8872924416632717</v>
      </c>
      <c r="GJ269"/>
      <c r="GK269"/>
      <c r="GL269"/>
      <c r="GM269"/>
    </row>
    <row r="270" spans="1:195" s="7" customFormat="1">
      <c r="A270" s="1"/>
      <c r="B270">
        <v>0.80634209374641985</v>
      </c>
      <c r="C270">
        <v>10</v>
      </c>
      <c r="D270">
        <v>39775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10.416666666666666</v>
      </c>
      <c r="K270">
        <v>0</v>
      </c>
      <c r="L270">
        <v>0</v>
      </c>
      <c r="M270">
        <v>10.416666666666666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9.627976190476188</v>
      </c>
      <c r="AO270">
        <v>11.01123982260204</v>
      </c>
      <c r="AP270">
        <v>30.755211188210321</v>
      </c>
      <c r="AQ270">
        <v>33.545509616769301</v>
      </c>
      <c r="AR270">
        <v>10.214508184231947</v>
      </c>
      <c r="AS270">
        <v>56.13526128784445</v>
      </c>
      <c r="AT270" t="e">
        <v>#DIV/0!</v>
      </c>
      <c r="AU270" t="e">
        <v>#DIV/0!</v>
      </c>
      <c r="AV270"/>
      <c r="AW270"/>
      <c r="FY270" s="210">
        <v>265</v>
      </c>
      <c r="FZ270">
        <v>3.3183084785198033E-2</v>
      </c>
      <c r="GA270">
        <v>1.9854915571500533</v>
      </c>
      <c r="GB270">
        <v>2.0890359629544428</v>
      </c>
      <c r="GC270">
        <v>15.330014648315906</v>
      </c>
      <c r="GD270">
        <v>11.554390166479093</v>
      </c>
      <c r="GE270">
        <v>1.32663679561035</v>
      </c>
      <c r="GF270">
        <v>0.38032995424220212</v>
      </c>
      <c r="GG270">
        <v>0.81714677051852402</v>
      </c>
      <c r="GH270">
        <v>0.66238017508411107</v>
      </c>
      <c r="GI270">
        <v>9.1221193262191438</v>
      </c>
      <c r="GJ270"/>
      <c r="GK270"/>
      <c r="GL270"/>
      <c r="GM270"/>
    </row>
    <row r="271" spans="1:195" s="7" customFormat="1">
      <c r="A271" s="77"/>
      <c r="B271">
        <v>0.18674410588137347</v>
      </c>
      <c r="C271">
        <v>7</v>
      </c>
      <c r="D271">
        <v>39775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28.409090909090907</v>
      </c>
      <c r="K271">
        <v>113.63636363636363</v>
      </c>
      <c r="L271">
        <v>42.61363636363636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9.0903159340659361</v>
      </c>
      <c r="AO271">
        <v>10.111076082929619</v>
      </c>
      <c r="AP271">
        <v>32.094285528400505</v>
      </c>
      <c r="AQ271">
        <v>33.254552429549108</v>
      </c>
      <c r="AR271">
        <v>9.3794768858345279</v>
      </c>
      <c r="AS271">
        <v>57.774796847101378</v>
      </c>
      <c r="AT271" t="e">
        <v>#DIV/0!</v>
      </c>
      <c r="AU271" t="e">
        <v>#DIV/0!</v>
      </c>
      <c r="AV271"/>
      <c r="AW271"/>
      <c r="FY271" s="210">
        <v>266</v>
      </c>
      <c r="FZ271">
        <v>0.77022874879780745</v>
      </c>
      <c r="GA271">
        <v>3.8183341516048372</v>
      </c>
      <c r="GB271">
        <v>1.9633367843446625</v>
      </c>
      <c r="GC271">
        <v>5.292232226009645</v>
      </c>
      <c r="GD271">
        <v>4.613043338094978</v>
      </c>
      <c r="GE271">
        <v>1.8516603081093841</v>
      </c>
      <c r="GF271">
        <v>0.19016497712110106</v>
      </c>
      <c r="GG271">
        <v>0.64907444160511019</v>
      </c>
      <c r="GH271">
        <v>0.66238017508411107</v>
      </c>
      <c r="GI271">
        <v>4.087552595203622</v>
      </c>
      <c r="GJ271"/>
      <c r="GK271"/>
      <c r="GL271"/>
      <c r="GM271"/>
    </row>
    <row r="272" spans="1:195" s="7" customFormat="1">
      <c r="A272" s="77"/>
      <c r="B272">
        <v>0.34064261086471337</v>
      </c>
      <c r="C272">
        <v>4</v>
      </c>
      <c r="D272">
        <v>39775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6.738591269841268</v>
      </c>
      <c r="AO272">
        <v>4.5770672445580391</v>
      </c>
      <c r="AP272">
        <v>24.553737934490691</v>
      </c>
      <c r="AQ272">
        <v>19.753043441743248</v>
      </c>
      <c r="AR272">
        <v>4.2458879819647866</v>
      </c>
      <c r="AS272">
        <v>23.887490874340678</v>
      </c>
      <c r="AT272" t="e">
        <v>#DIV/0!</v>
      </c>
      <c r="AU272" t="e">
        <v>#DIV/0!</v>
      </c>
      <c r="AV272"/>
      <c r="AW272"/>
      <c r="FY272" s="210">
        <v>267</v>
      </c>
      <c r="FZ272">
        <v>0.2456818880042031</v>
      </c>
      <c r="GA272">
        <v>2.1108829387071388</v>
      </c>
      <c r="GB272">
        <v>1.4530352925739001</v>
      </c>
      <c r="GC272">
        <v>8.4574355881044614</v>
      </c>
      <c r="GD272">
        <v>6.1986554953650117</v>
      </c>
      <c r="GE272">
        <v>0.31351368791317175</v>
      </c>
      <c r="GF272">
        <v>0.5704949313633032</v>
      </c>
      <c r="GG272">
        <v>0.98521909943193808</v>
      </c>
      <c r="GH272">
        <v>0.66238017508411107</v>
      </c>
      <c r="GI272">
        <v>5.1130961806062833</v>
      </c>
      <c r="GJ272"/>
      <c r="GK272"/>
      <c r="GL272"/>
      <c r="GM272"/>
    </row>
    <row r="273" spans="1:195" s="7" customFormat="1">
      <c r="A273" s="1"/>
      <c r="B273">
        <v>0.45936410316200704</v>
      </c>
      <c r="C273">
        <v>6</v>
      </c>
      <c r="D273">
        <v>39775</v>
      </c>
      <c r="E273">
        <v>0</v>
      </c>
      <c r="F273">
        <v>0</v>
      </c>
      <c r="G273">
        <v>0</v>
      </c>
      <c r="H273">
        <v>0</v>
      </c>
      <c r="I273">
        <v>41.666666666666664</v>
      </c>
      <c r="J273">
        <v>31.25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9.2269345238095219</v>
      </c>
      <c r="AO273">
        <v>11.074378097957801</v>
      </c>
      <c r="AP273">
        <v>37.744504675396037</v>
      </c>
      <c r="AQ273">
        <v>36.746990062962027</v>
      </c>
      <c r="AR273">
        <v>10.220212793361862</v>
      </c>
      <c r="AS273">
        <v>60.169943106640844</v>
      </c>
      <c r="AT273" t="e">
        <v>#DIV/0!</v>
      </c>
      <c r="AU273" t="e">
        <v>#DIV/0!</v>
      </c>
      <c r="AV273"/>
      <c r="AW273"/>
      <c r="FY273" s="210">
        <v>268</v>
      </c>
      <c r="FZ273">
        <v>0.2456818880042031</v>
      </c>
      <c r="GA273">
        <v>4.1618090784887043</v>
      </c>
      <c r="GB273">
        <v>3.5538306369090886</v>
      </c>
      <c r="GC273">
        <v>11.277187054049641</v>
      </c>
      <c r="GD273">
        <v>8.7969966478213308</v>
      </c>
      <c r="GE273">
        <v>2.2302539420489751</v>
      </c>
      <c r="GF273">
        <v>0.5704949313633032</v>
      </c>
      <c r="GG273">
        <v>0.50421698674024196</v>
      </c>
      <c r="GH273">
        <v>0</v>
      </c>
      <c r="GI273">
        <v>7.5184352246197026</v>
      </c>
      <c r="GJ273"/>
      <c r="GK273"/>
      <c r="GL273"/>
      <c r="GM273"/>
    </row>
    <row r="274" spans="1:195" s="7" customFormat="1">
      <c r="A274" s="1"/>
      <c r="B274">
        <v>0.10944583517925111</v>
      </c>
      <c r="C274">
        <v>1</v>
      </c>
      <c r="D274">
        <v>39775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8.6319826007325986</v>
      </c>
      <c r="AO274">
        <v>9.3654526173637151</v>
      </c>
      <c r="AP274">
        <v>31.87667106469641</v>
      </c>
      <c r="AQ274">
        <v>31.884296381408234</v>
      </c>
      <c r="AR274">
        <v>8.5820734730392214</v>
      </c>
      <c r="AS274">
        <v>52.367181260772618</v>
      </c>
      <c r="AT274" t="e">
        <v>#DIV/0!</v>
      </c>
      <c r="AU274" t="e">
        <v>#DIV/0!</v>
      </c>
      <c r="AV274"/>
      <c r="AW274"/>
      <c r="FY274" s="210">
        <v>269</v>
      </c>
      <c r="FZ274">
        <v>0.73704566401260951</v>
      </c>
      <c r="GA274">
        <v>4.5014337040656773</v>
      </c>
      <c r="GB274">
        <v>2.8799821125102687</v>
      </c>
      <c r="GC274">
        <v>2.1134670293272038</v>
      </c>
      <c r="GD274">
        <v>1.8950749773737603</v>
      </c>
      <c r="GE274">
        <v>2.0806755322874251</v>
      </c>
      <c r="GF274">
        <v>1.0712213032574254</v>
      </c>
      <c r="GG274">
        <v>0.64907444160511019</v>
      </c>
      <c r="GH274">
        <v>0.66238017508411107</v>
      </c>
      <c r="GI274">
        <v>2.6242209302541251</v>
      </c>
      <c r="GJ274"/>
      <c r="GK274"/>
      <c r="GL274"/>
      <c r="GM274"/>
    </row>
    <row r="275" spans="1:195" s="7" customFormat="1">
      <c r="A275" s="1"/>
      <c r="B275">
        <v>0.65937393623598961</v>
      </c>
      <c r="C275">
        <v>7</v>
      </c>
      <c r="D275">
        <v>39775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28.409090909090907</v>
      </c>
      <c r="K275">
        <v>113.63636363636363</v>
      </c>
      <c r="L275">
        <v>42.61363636363636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8.5121527777777786</v>
      </c>
      <c r="AO275">
        <v>12.168748079939181</v>
      </c>
      <c r="AP275">
        <v>34.593788977429227</v>
      </c>
      <c r="AQ275">
        <v>36.284053298600625</v>
      </c>
      <c r="AR275">
        <v>11.23539830540396</v>
      </c>
      <c r="AS275">
        <v>42.353285856109146</v>
      </c>
      <c r="AT275" t="e">
        <v>#DIV/0!</v>
      </c>
      <c r="AU275" t="e">
        <v>#DIV/0!</v>
      </c>
      <c r="AV275"/>
      <c r="AW275"/>
      <c r="FY275" s="210">
        <v>270</v>
      </c>
      <c r="FZ275">
        <v>3.3183084785198033E-2</v>
      </c>
      <c r="GA275">
        <v>1.7347087940358819</v>
      </c>
      <c r="GB275">
        <v>0.8170346221933571</v>
      </c>
      <c r="GC275">
        <v>6.0330466388768391</v>
      </c>
      <c r="GD275">
        <v>4.8618982363712044</v>
      </c>
      <c r="GE275">
        <v>0.83853720041220592</v>
      </c>
      <c r="GF275">
        <v>0.19016497712110106</v>
      </c>
      <c r="GG275">
        <v>2.0920807796801988</v>
      </c>
      <c r="GH275">
        <v>2.6495207003364443</v>
      </c>
      <c r="GI275">
        <v>4.1918122538775657</v>
      </c>
      <c r="GJ275"/>
      <c r="GK275"/>
      <c r="GL275"/>
      <c r="GM275"/>
    </row>
    <row r="276" spans="1:195" s="7" customFormat="1">
      <c r="A276" s="1"/>
      <c r="B276">
        <v>0.5923089867299165</v>
      </c>
      <c r="C276">
        <v>4</v>
      </c>
      <c r="D276">
        <v>39775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6.836175976800976</v>
      </c>
      <c r="AO276">
        <v>6.098063350242688</v>
      </c>
      <c r="AP276">
        <v>27.840940533739243</v>
      </c>
      <c r="AQ276">
        <v>24.231022364060006</v>
      </c>
      <c r="AR276">
        <v>5.6039653465018295</v>
      </c>
      <c r="AS276">
        <v>28.228819863761235</v>
      </c>
      <c r="AT276" t="e">
        <v>#DIV/0!</v>
      </c>
      <c r="AU276" t="e">
        <v>#DIV/0!</v>
      </c>
      <c r="AV276"/>
      <c r="AW276"/>
      <c r="FY276" s="210">
        <v>271</v>
      </c>
      <c r="FZ276">
        <v>3.3183084785198033E-2</v>
      </c>
      <c r="GA276">
        <v>3.6706007973898105</v>
      </c>
      <c r="GB276">
        <v>2.8799821125102687</v>
      </c>
      <c r="GC276">
        <v>6.6966645335960218</v>
      </c>
      <c r="GD276">
        <v>5.2254168233567064</v>
      </c>
      <c r="GE276">
        <v>1.501222702895322</v>
      </c>
      <c r="GF276">
        <v>0.19016497712110106</v>
      </c>
      <c r="GG276">
        <v>0.64907444160511019</v>
      </c>
      <c r="GH276">
        <v>0.66238017508411107</v>
      </c>
      <c r="GI276">
        <v>4.8708482624466702</v>
      </c>
      <c r="GJ276"/>
      <c r="GK276"/>
      <c r="GL276"/>
      <c r="GM276"/>
    </row>
    <row r="277" spans="1:195" s="7" customFormat="1">
      <c r="A277" s="1"/>
      <c r="B277">
        <v>0.24104742000160617</v>
      </c>
      <c r="C277">
        <v>10</v>
      </c>
      <c r="D277">
        <v>39775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10.416666666666666</v>
      </c>
      <c r="K277">
        <v>0</v>
      </c>
      <c r="L277">
        <v>0</v>
      </c>
      <c r="M277">
        <v>10.416666666666666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7.2720734126984112</v>
      </c>
      <c r="AO277">
        <v>7.6742492682447176</v>
      </c>
      <c r="AP277">
        <v>30.48127792511211</v>
      </c>
      <c r="AQ277">
        <v>28.419995681491493</v>
      </c>
      <c r="AR277">
        <v>7.066104417004639</v>
      </c>
      <c r="AS277">
        <v>30.554517215966506</v>
      </c>
      <c r="AT277" t="e">
        <v>#DIV/0!</v>
      </c>
      <c r="AU277" t="e">
        <v>#DIV/0!</v>
      </c>
      <c r="AV277"/>
      <c r="AW277"/>
      <c r="FY277" s="210">
        <v>272</v>
      </c>
      <c r="FZ277">
        <v>0.2456818880042031</v>
      </c>
      <c r="GA277">
        <v>3.3244330809335505</v>
      </c>
      <c r="GB277">
        <v>1.4552087672757343</v>
      </c>
      <c r="GC277">
        <v>6.1739552451714639</v>
      </c>
      <c r="GD277">
        <v>5.3555680203552312</v>
      </c>
      <c r="GE277">
        <v>2.1826793956147341</v>
      </c>
      <c r="GF277">
        <v>1.2613862803785265</v>
      </c>
      <c r="GG277">
        <v>0.3361446578268279</v>
      </c>
      <c r="GH277">
        <v>0</v>
      </c>
      <c r="GI277">
        <v>4.5276634965862383</v>
      </c>
      <c r="GJ277"/>
      <c r="GK277"/>
      <c r="GL277"/>
      <c r="GM277"/>
    </row>
    <row r="278" spans="1:195" s="7" customFormat="1">
      <c r="A278" s="1"/>
      <c r="B278">
        <v>0.95226359981074293</v>
      </c>
      <c r="C278">
        <v>4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6.4750267094017087</v>
      </c>
      <c r="AO278">
        <v>7.5263142563634817</v>
      </c>
      <c r="AP278">
        <v>24.142244383214233</v>
      </c>
      <c r="AQ278">
        <v>25.086847050563801</v>
      </c>
      <c r="AR278">
        <v>6.9288734226806721</v>
      </c>
      <c r="AS278">
        <v>29.063974249695349</v>
      </c>
      <c r="AT278" t="e">
        <v>#DIV/0!</v>
      </c>
      <c r="AU278" t="e">
        <v>#DIV/0!</v>
      </c>
      <c r="AV278"/>
      <c r="AW278"/>
      <c r="FY278" s="210">
        <v>273</v>
      </c>
      <c r="FZ278">
        <v>3.3183084785198033E-2</v>
      </c>
      <c r="GA278">
        <v>3.0736503178193786</v>
      </c>
      <c r="GB278">
        <v>2.0272731110004698</v>
      </c>
      <c r="GC278">
        <v>5.2645936243514857</v>
      </c>
      <c r="GD278">
        <v>4.7951652545059877</v>
      </c>
      <c r="GE278">
        <v>3.3878938101890634</v>
      </c>
      <c r="GF278">
        <v>2.1424426065148507</v>
      </c>
      <c r="GG278">
        <v>2.2601531085936126</v>
      </c>
      <c r="GH278">
        <v>2.6495207003364443</v>
      </c>
      <c r="GI278">
        <v>4.8847020561274217</v>
      </c>
      <c r="GJ278"/>
      <c r="GK278"/>
      <c r="GL278"/>
      <c r="GM278"/>
    </row>
    <row r="279" spans="1:195" s="7" customFormat="1">
      <c r="A279" s="1"/>
      <c r="B279">
        <v>0.6925314929713684</v>
      </c>
      <c r="C279">
        <v>6</v>
      </c>
      <c r="D279">
        <v>39799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10.416666666666666</v>
      </c>
      <c r="K279">
        <v>10.416666666666666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6.5566620879120876</v>
      </c>
      <c r="AO279">
        <v>6.586079111658381</v>
      </c>
      <c r="AP279">
        <v>26.588504299024667</v>
      </c>
      <c r="AQ279">
        <v>24.13709977823811</v>
      </c>
      <c r="AR279">
        <v>6.1095353540430253</v>
      </c>
      <c r="AS279">
        <v>31.281443609716145</v>
      </c>
      <c r="AT279" t="e">
        <v>#DIV/0!</v>
      </c>
      <c r="AU279" t="e">
        <v>#DIV/0!</v>
      </c>
      <c r="AV279"/>
      <c r="AW279"/>
      <c r="FY279" s="210">
        <v>274</v>
      </c>
      <c r="FZ279">
        <v>0.34523114235979718</v>
      </c>
      <c r="GA279">
        <v>0.53314337933796319</v>
      </c>
      <c r="GB279">
        <v>6.3936326655807327E-2</v>
      </c>
      <c r="GC279">
        <v>8.7548493433415402</v>
      </c>
      <c r="GD279">
        <v>6.9615039707767421</v>
      </c>
      <c r="GE279">
        <v>1.5556520197883907</v>
      </c>
      <c r="GF279">
        <v>1.2613862803785265</v>
      </c>
      <c r="GG279">
        <v>0.3361446578268279</v>
      </c>
      <c r="GH279">
        <v>0</v>
      </c>
      <c r="GI279">
        <v>5.3089649221281965</v>
      </c>
      <c r="GJ279"/>
      <c r="GK279"/>
      <c r="GL279"/>
      <c r="GM279"/>
    </row>
    <row r="280" spans="1:195" s="7" customFormat="1">
      <c r="A280" s="1"/>
      <c r="B280">
        <v>0.52787408070463404</v>
      </c>
      <c r="C280">
        <v>2</v>
      </c>
      <c r="D280">
        <v>39799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11.2101076007326</v>
      </c>
      <c r="AO280">
        <v>13.042781362516212</v>
      </c>
      <c r="AP280">
        <v>36.978038932981605</v>
      </c>
      <c r="AQ280">
        <v>39.563849803874994</v>
      </c>
      <c r="AR280">
        <v>12.046189847683204</v>
      </c>
      <c r="AS280">
        <v>52.547169337822595</v>
      </c>
      <c r="AT280" t="e">
        <v>#DIV/0!</v>
      </c>
      <c r="AU280" t="e">
        <v>#DIV/0!</v>
      </c>
      <c r="AV280"/>
      <c r="AW280"/>
      <c r="FY280" s="210">
        <v>275</v>
      </c>
      <c r="FZ280">
        <v>0.27886497278940114</v>
      </c>
      <c r="GA280">
        <v>3.1232498716155037</v>
      </c>
      <c r="GB280">
        <v>3.0696176177758572</v>
      </c>
      <c r="GC280">
        <v>6.8400301220981454</v>
      </c>
      <c r="GD280">
        <v>5.2334555583398616</v>
      </c>
      <c r="GE280">
        <v>1.6032265662226315</v>
      </c>
      <c r="GF280">
        <v>0.5704949313633032</v>
      </c>
      <c r="GG280">
        <v>2.4282254375070265</v>
      </c>
      <c r="GH280">
        <v>2.6495207003364443</v>
      </c>
      <c r="GI280">
        <v>5.1731007525573158</v>
      </c>
      <c r="GJ280"/>
      <c r="GK280"/>
      <c r="GL280"/>
      <c r="GM280"/>
    </row>
    <row r="281" spans="1:195" s="7" customFormat="1">
      <c r="A281" s="1"/>
      <c r="B281">
        <v>6.6031822887014258E-2</v>
      </c>
      <c r="C281">
        <v>6</v>
      </c>
      <c r="D281">
        <v>39799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10.416666666666666</v>
      </c>
      <c r="K281">
        <v>10.416666666666666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10.521367521367521</v>
      </c>
      <c r="AO281">
        <v>15.083152346018021</v>
      </c>
      <c r="AP281">
        <v>38.747271770223264</v>
      </c>
      <c r="AQ281">
        <v>43.30072844135902</v>
      </c>
      <c r="AR281">
        <v>13.991792528773678</v>
      </c>
      <c r="AS281">
        <v>79.057278041374616</v>
      </c>
      <c r="AT281" t="e">
        <v>#DIV/0!</v>
      </c>
      <c r="AU281" t="e">
        <v>#DIV/0!</v>
      </c>
      <c r="AV281"/>
      <c r="AW281"/>
      <c r="FY281" s="210">
        <v>276</v>
      </c>
      <c r="FZ281">
        <v>0.55772994557880229</v>
      </c>
      <c r="GA281">
        <v>4.5406760127323542</v>
      </c>
      <c r="GB281">
        <v>2.4357904220971482</v>
      </c>
      <c r="GC281">
        <v>6.589846272375361</v>
      </c>
      <c r="GD281">
        <v>5.1326955245133918</v>
      </c>
      <c r="GE281">
        <v>1.3810661125034183</v>
      </c>
      <c r="GF281">
        <v>1.0712213032574254</v>
      </c>
      <c r="GG281">
        <v>0.64907444160511019</v>
      </c>
      <c r="GH281">
        <v>0.66238017508411107</v>
      </c>
      <c r="GI281">
        <v>4.539310487455869</v>
      </c>
      <c r="GJ281"/>
      <c r="GK281"/>
      <c r="GL281"/>
      <c r="GM281"/>
    </row>
    <row r="282" spans="1:195" s="7" customFormat="1">
      <c r="A282" s="1"/>
      <c r="B282">
        <v>0.21546517506941454</v>
      </c>
      <c r="C282">
        <v>8</v>
      </c>
      <c r="D282">
        <v>39799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6.7917048229548227</v>
      </c>
      <c r="AO282">
        <v>6.7156647478066231</v>
      </c>
      <c r="AP282">
        <v>24.633847896820939</v>
      </c>
      <c r="AQ282">
        <v>23.898007745975253</v>
      </c>
      <c r="AR282">
        <v>6.2297446640135634</v>
      </c>
      <c r="AS282">
        <v>31.630117416170641</v>
      </c>
      <c r="AT282" t="e">
        <v>#DIV/0!</v>
      </c>
      <c r="AU282" t="e">
        <v>#DIV/0!</v>
      </c>
      <c r="AV282"/>
      <c r="AW282"/>
      <c r="FY282" s="210">
        <v>277</v>
      </c>
      <c r="FZ282">
        <v>3.3183084785198033E-2</v>
      </c>
      <c r="GA282">
        <v>6.0977010818426329</v>
      </c>
      <c r="GB282">
        <v>2.8843290619139377</v>
      </c>
      <c r="GC282">
        <v>4.1471104953770563</v>
      </c>
      <c r="GD282">
        <v>4.0299992495042369</v>
      </c>
      <c r="GE282">
        <v>1.9536641714366936</v>
      </c>
      <c r="GF282">
        <v>0.38032995424220212</v>
      </c>
      <c r="GG282">
        <v>2.2601531085936126</v>
      </c>
      <c r="GH282">
        <v>2.6495207003364443</v>
      </c>
      <c r="GI282">
        <v>4.1052596317297185</v>
      </c>
      <c r="GJ282"/>
      <c r="GK282"/>
      <c r="GL282"/>
      <c r="GM282"/>
    </row>
    <row r="283" spans="1:195" s="7" customFormat="1">
      <c r="A283" s="1"/>
      <c r="B283">
        <v>0.13854057102504869</v>
      </c>
      <c r="C283">
        <v>8</v>
      </c>
      <c r="D283">
        <v>39799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6.9965277777777768</v>
      </c>
      <c r="AO283">
        <v>8.4229438812789894</v>
      </c>
      <c r="AP283">
        <v>24.892659197663885</v>
      </c>
      <c r="AQ283">
        <v>26.110395277153518</v>
      </c>
      <c r="AR283">
        <v>7.8134915410751304</v>
      </c>
      <c r="AS283">
        <v>36.885372460323573</v>
      </c>
      <c r="AT283" t="e">
        <v>#DIV/0!</v>
      </c>
      <c r="AU283" t="e">
        <v>#DIV/0!</v>
      </c>
      <c r="AV283"/>
      <c r="AW283"/>
      <c r="FY283" s="210">
        <v>278</v>
      </c>
      <c r="FZ283">
        <v>0.52454686079360424</v>
      </c>
      <c r="GA283">
        <v>4.6164678404933142</v>
      </c>
      <c r="GB283">
        <v>2.4736382761154245</v>
      </c>
      <c r="GC283">
        <v>8.1600755027916687</v>
      </c>
      <c r="GD283">
        <v>6.5293989756721649</v>
      </c>
      <c r="GE283">
        <v>2.0068276976856443</v>
      </c>
      <c r="GF283">
        <v>1.8318812117418297</v>
      </c>
      <c r="GG283">
        <v>0.84036164456706985</v>
      </c>
      <c r="GH283">
        <v>0</v>
      </c>
      <c r="GI283">
        <v>5.8148094341040544</v>
      </c>
      <c r="GJ283"/>
      <c r="GK283"/>
      <c r="GL283"/>
      <c r="GM283"/>
    </row>
    <row r="284" spans="1:195" s="7" customFormat="1">
      <c r="A284" s="1"/>
      <c r="B284">
        <v>0.58061228843258661</v>
      </c>
      <c r="C284">
        <v>2</v>
      </c>
      <c r="D284">
        <v>39799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10.718826312576311</v>
      </c>
      <c r="AO284">
        <v>12.470804102908911</v>
      </c>
      <c r="AP284">
        <v>39.055152689537024</v>
      </c>
      <c r="AQ284">
        <v>38.858906390045192</v>
      </c>
      <c r="AR284">
        <v>11.568463917355208</v>
      </c>
      <c r="AS284">
        <v>59.326480011093331</v>
      </c>
      <c r="AT284" t="e">
        <v>#DIV/0!</v>
      </c>
      <c r="AU284" t="e">
        <v>#DIV/0!</v>
      </c>
      <c r="AV284"/>
      <c r="AW284"/>
      <c r="FY284" s="210">
        <v>279</v>
      </c>
      <c r="FZ284">
        <v>0.52454686079360424</v>
      </c>
      <c r="GA284">
        <v>1.5924170764700607</v>
      </c>
      <c r="GB284">
        <v>1.6165823252019571</v>
      </c>
      <c r="GC284">
        <v>7.7217531412599651</v>
      </c>
      <c r="GD284">
        <v>6.0481435559453152</v>
      </c>
      <c r="GE284">
        <v>2.6232044443786373</v>
      </c>
      <c r="GF284">
        <v>2.3326075836359519</v>
      </c>
      <c r="GG284">
        <v>1.4662212121236342</v>
      </c>
      <c r="GH284">
        <v>1.3247603501682221</v>
      </c>
      <c r="GI284">
        <v>5.5629799779925415</v>
      </c>
      <c r="GJ284"/>
      <c r="GK284"/>
      <c r="GL284"/>
      <c r="GM284"/>
    </row>
    <row r="285" spans="1:195" s="7" customFormat="1">
      <c r="A285" s="1"/>
      <c r="B285">
        <v>0.11495678898980488</v>
      </c>
      <c r="C285">
        <v>7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5.0469131562881548</v>
      </c>
      <c r="AO285">
        <v>4.3512487640978019</v>
      </c>
      <c r="AP285">
        <v>24.360747670738913</v>
      </c>
      <c r="AQ285">
        <v>19.214575869777715</v>
      </c>
      <c r="AR285">
        <v>3.9835436524898751</v>
      </c>
      <c r="AS285">
        <v>15.843495914448383</v>
      </c>
      <c r="AT285" t="e">
        <v>#DIV/0!</v>
      </c>
      <c r="AU285" t="e">
        <v>#DIV/0!</v>
      </c>
      <c r="AV285"/>
      <c r="AW285"/>
      <c r="FY285" s="210">
        <v>280</v>
      </c>
      <c r="FZ285">
        <v>0</v>
      </c>
      <c r="GA285">
        <v>4.8449086309495453</v>
      </c>
      <c r="GB285">
        <v>2.3100912434873679</v>
      </c>
      <c r="GC285">
        <v>9.491393695508588</v>
      </c>
      <c r="GD285">
        <v>7.6946634350388088</v>
      </c>
      <c r="GE285">
        <v>2.0080934883297616</v>
      </c>
      <c r="GF285">
        <v>1.2613862803785265</v>
      </c>
      <c r="GG285">
        <v>0.3361446578268279</v>
      </c>
      <c r="GH285">
        <v>0</v>
      </c>
      <c r="GI285">
        <v>6.5153204436743604</v>
      </c>
      <c r="GJ285"/>
      <c r="GK285"/>
      <c r="GL285"/>
      <c r="GM285"/>
    </row>
    <row r="286" spans="1:195" s="7" customFormat="1">
      <c r="A286" s="1"/>
      <c r="B286">
        <v>1.8612360450843468E-2</v>
      </c>
      <c r="C286">
        <v>3</v>
      </c>
      <c r="D286">
        <v>39799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24.038461538461537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5.354166666666667</v>
      </c>
      <c r="AO286">
        <v>6.8981096183491104</v>
      </c>
      <c r="AP286">
        <v>23.369806589570114</v>
      </c>
      <c r="AQ286">
        <v>23.441987287689997</v>
      </c>
      <c r="AR286">
        <v>6.398988514238507</v>
      </c>
      <c r="AS286">
        <v>33.417803106826938</v>
      </c>
      <c r="AT286" t="e">
        <v>#DIV/0!</v>
      </c>
      <c r="AU286" t="e">
        <v>#DIV/0!</v>
      </c>
      <c r="AV286"/>
      <c r="AW286"/>
      <c r="FY286" s="210">
        <v>281</v>
      </c>
      <c r="FZ286">
        <v>3.3183084785198033E-2</v>
      </c>
      <c r="GA286">
        <v>3.9110263153745324</v>
      </c>
      <c r="GB286">
        <v>2.4097019494596168</v>
      </c>
      <c r="GC286">
        <v>13.184345653715043</v>
      </c>
      <c r="GD286">
        <v>9.9218438292748417</v>
      </c>
      <c r="GE286">
        <v>1.9235950245946309</v>
      </c>
      <c r="GF286">
        <v>1.7621126522726489</v>
      </c>
      <c r="GG286">
        <v>0.48100211269169618</v>
      </c>
      <c r="GH286">
        <v>0.66238017508411107</v>
      </c>
      <c r="GI286">
        <v>8.3589824450408781</v>
      </c>
      <c r="GJ286"/>
      <c r="GK286"/>
      <c r="GL286"/>
      <c r="GM286"/>
    </row>
    <row r="287" spans="1:195" s="7" customFormat="1">
      <c r="A287" s="1"/>
      <c r="B287">
        <v>0.64787824015587603</v>
      </c>
      <c r="C287">
        <v>6</v>
      </c>
      <c r="D287">
        <v>39799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10.416666666666666</v>
      </c>
      <c r="K287">
        <v>10.416666666666666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6.3686278998778985</v>
      </c>
      <c r="AO287">
        <v>8.1649002086622797</v>
      </c>
      <c r="AP287">
        <v>28.640052184836385</v>
      </c>
      <c r="AQ287">
        <v>26.379537910790319</v>
      </c>
      <c r="AR287">
        <v>7.5741189319687177</v>
      </c>
      <c r="AS287">
        <v>35.505989367927342</v>
      </c>
      <c r="AT287" t="e">
        <v>#DIV/0!</v>
      </c>
      <c r="AU287" t="e">
        <v>#DIV/0!</v>
      </c>
      <c r="AV287"/>
      <c r="AW287"/>
      <c r="FY287" s="210">
        <v>282</v>
      </c>
      <c r="FZ287">
        <v>0</v>
      </c>
      <c r="GA287">
        <v>2.9090166275956166</v>
      </c>
      <c r="GB287">
        <v>2.5354011280693975</v>
      </c>
      <c r="GC287">
        <v>2.2512783776593364</v>
      </c>
      <c r="GD287">
        <v>2.2034450706002318</v>
      </c>
      <c r="GE287">
        <v>2.4961930835279058</v>
      </c>
      <c r="GF287">
        <v>1.2613862803785265</v>
      </c>
      <c r="GG287">
        <v>1.2981488832102204</v>
      </c>
      <c r="GH287">
        <v>1.3247603501682221</v>
      </c>
      <c r="GI287">
        <v>2.7803878197768839</v>
      </c>
      <c r="GJ287"/>
      <c r="GK287"/>
      <c r="GL287"/>
      <c r="GM287"/>
    </row>
    <row r="288" spans="1:195" s="7" customFormat="1">
      <c r="A288" s="1"/>
      <c r="B288">
        <v>0.92011127181585461</v>
      </c>
      <c r="C288">
        <v>5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7.1927464896214888</v>
      </c>
      <c r="AO288">
        <v>7.4400942021036354</v>
      </c>
      <c r="AP288">
        <v>24.413199152712995</v>
      </c>
      <c r="AQ288">
        <v>24.862720832146511</v>
      </c>
      <c r="AR288">
        <v>6.8488919252225591</v>
      </c>
      <c r="AS288">
        <v>32.948573575515212</v>
      </c>
      <c r="AT288" t="e">
        <v>#DIV/0!</v>
      </c>
      <c r="AU288" t="e">
        <v>#DIV/0!</v>
      </c>
      <c r="AV288"/>
      <c r="AW288"/>
      <c r="FY288" s="210">
        <v>283</v>
      </c>
      <c r="FZ288">
        <v>0.59091303036400022</v>
      </c>
      <c r="GA288">
        <v>3.6067936971573422</v>
      </c>
      <c r="GB288">
        <v>1.9633367843446625</v>
      </c>
      <c r="GC288">
        <v>6.7319637568321742</v>
      </c>
      <c r="GD288">
        <v>4.9754691982032249</v>
      </c>
      <c r="GE288">
        <v>0.488099595198144</v>
      </c>
      <c r="GF288">
        <v>0.19016497712110106</v>
      </c>
      <c r="GG288">
        <v>0.64907444160511019</v>
      </c>
      <c r="GH288">
        <v>0.66238017508411107</v>
      </c>
      <c r="GI288">
        <v>4.4649639625681736</v>
      </c>
      <c r="GJ288"/>
      <c r="GK288"/>
      <c r="GL288"/>
      <c r="GM288"/>
    </row>
    <row r="289" spans="1:195" s="7" customFormat="1">
      <c r="A289" s="1"/>
      <c r="B289">
        <v>0.29703733619990147</v>
      </c>
      <c r="C289">
        <v>8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7.1295787545787537</v>
      </c>
      <c r="AO289">
        <v>8.044413575642519</v>
      </c>
      <c r="AP289">
        <v>33.771259295530712</v>
      </c>
      <c r="AQ289">
        <v>30.518577674223913</v>
      </c>
      <c r="AR289">
        <v>7.3566198165260559</v>
      </c>
      <c r="AS289">
        <v>39.38282245662112</v>
      </c>
      <c r="AT289" t="e">
        <v>#DIV/0!</v>
      </c>
      <c r="AU289" t="e">
        <v>#DIV/0!</v>
      </c>
      <c r="AV289"/>
      <c r="AW289"/>
      <c r="FY289" s="210">
        <v>284</v>
      </c>
      <c r="FZ289">
        <v>3.3183084785198033E-2</v>
      </c>
      <c r="GA289">
        <v>3.9110263153745324</v>
      </c>
      <c r="GB289">
        <v>2.9817662931843527</v>
      </c>
      <c r="GC289">
        <v>7.1377371802505776</v>
      </c>
      <c r="GD289">
        <v>5.3202494826302917</v>
      </c>
      <c r="GE289">
        <v>2.0612570145787128</v>
      </c>
      <c r="GF289">
        <v>2.3326075836359519</v>
      </c>
      <c r="GG289">
        <v>2.4282254375070265</v>
      </c>
      <c r="GH289">
        <v>2.6495207003364443</v>
      </c>
      <c r="GI289">
        <v>5.6282885655607346</v>
      </c>
      <c r="GJ289"/>
      <c r="GK289"/>
      <c r="GL289"/>
      <c r="GM289"/>
    </row>
    <row r="290" spans="1:195" s="7" customFormat="1">
      <c r="A290" s="1"/>
      <c r="B290">
        <v>6.0964924171591051E-2</v>
      </c>
      <c r="C290">
        <v>1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7.0196314102564106</v>
      </c>
      <c r="AO290">
        <v>8.714554959766911</v>
      </c>
      <c r="AP290">
        <v>20.638211876325453</v>
      </c>
      <c r="AQ290">
        <v>25.120812042593794</v>
      </c>
      <c r="AR290">
        <v>8.0311375260233699</v>
      </c>
      <c r="AS290">
        <v>42.789811402427354</v>
      </c>
      <c r="AT290" t="e">
        <v>#DIV/0!</v>
      </c>
      <c r="AU290" t="e">
        <v>#DIV/0!</v>
      </c>
      <c r="AV290"/>
      <c r="AW290"/>
      <c r="FY290" s="210">
        <v>285</v>
      </c>
      <c r="FZ290">
        <v>3.3183084785198033E-2</v>
      </c>
      <c r="GA290">
        <v>5.6064928007437373</v>
      </c>
      <c r="GB290">
        <v>3.2267365716529741</v>
      </c>
      <c r="GC290">
        <v>8.2978868511238009</v>
      </c>
      <c r="GD290">
        <v>6.4288436152758361</v>
      </c>
      <c r="GE290">
        <v>1.0500470249980682</v>
      </c>
      <c r="GF290">
        <v>0</v>
      </c>
      <c r="GG290">
        <v>0.96200422538339236</v>
      </c>
      <c r="GH290">
        <v>1.3247603501682221</v>
      </c>
      <c r="GI290">
        <v>5.754393361688388</v>
      </c>
      <c r="GJ290"/>
      <c r="GK290"/>
      <c r="GL290"/>
      <c r="GM290"/>
    </row>
    <row r="291" spans="1:195" s="7" customFormat="1">
      <c r="A291" s="1"/>
      <c r="B291">
        <v>0.23306020465406241</v>
      </c>
      <c r="C291">
        <v>2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6.7614850427350417</v>
      </c>
      <c r="AO291">
        <v>8.5264716320466523</v>
      </c>
      <c r="AP291">
        <v>34.352800076960143</v>
      </c>
      <c r="AQ291">
        <v>30.969786530605489</v>
      </c>
      <c r="AR291">
        <v>7.909528415627693</v>
      </c>
      <c r="AS291">
        <v>42.113382246132375</v>
      </c>
      <c r="AT291" t="e">
        <v>#DIV/0!</v>
      </c>
      <c r="AU291" t="e">
        <v>#DIV/0!</v>
      </c>
      <c r="AV291"/>
      <c r="AW291"/>
      <c r="FY291" s="210">
        <v>286</v>
      </c>
      <c r="FZ291">
        <v>0.27886497278940114</v>
      </c>
      <c r="GA291">
        <v>2.3905507653585385</v>
      </c>
      <c r="GB291">
        <v>1.5548194732479839</v>
      </c>
      <c r="GC291">
        <v>9.7508332436943146</v>
      </c>
      <c r="GD291">
        <v>8.1420191568749107</v>
      </c>
      <c r="GE291">
        <v>3.9304227222802757</v>
      </c>
      <c r="GF291">
        <v>3.0234989326511759</v>
      </c>
      <c r="GG291">
        <v>0.81714677051852402</v>
      </c>
      <c r="GH291">
        <v>0.66238017508411107</v>
      </c>
      <c r="GI291">
        <v>6.9402077711821653</v>
      </c>
      <c r="GJ291"/>
      <c r="GK291"/>
      <c r="GL291"/>
      <c r="GM291"/>
    </row>
    <row r="292" spans="1:195" s="7" customFormat="1">
      <c r="A292" s="1"/>
      <c r="B292">
        <v>0.56964912170137594</v>
      </c>
      <c r="C292">
        <v>5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8.4561011904761898</v>
      </c>
      <c r="AO292">
        <v>7.3299800462124791</v>
      </c>
      <c r="AP292">
        <v>28.789406121159498</v>
      </c>
      <c r="AQ292">
        <v>27.559790697202985</v>
      </c>
      <c r="AR292">
        <v>6.7467452128931011</v>
      </c>
      <c r="AS292">
        <v>32.505124015536694</v>
      </c>
      <c r="AT292" t="e">
        <v>#DIV/0!</v>
      </c>
      <c r="AU292" t="e">
        <v>#DIV/0!</v>
      </c>
      <c r="AV292"/>
      <c r="AW292"/>
      <c r="FY292" s="210">
        <v>287</v>
      </c>
      <c r="FZ292">
        <v>9.9549254355594113E-2</v>
      </c>
      <c r="GA292">
        <v>3.8744767962802484</v>
      </c>
      <c r="GB292">
        <v>2.371854095441341</v>
      </c>
      <c r="GC292">
        <v>4.1394498737990624</v>
      </c>
      <c r="GD292">
        <v>3.1184279252943958</v>
      </c>
      <c r="GE292">
        <v>1.0675524245902468</v>
      </c>
      <c r="GF292">
        <v>1.0712213032574254</v>
      </c>
      <c r="GG292">
        <v>0.64907444160511019</v>
      </c>
      <c r="GH292">
        <v>0.66238017508411107</v>
      </c>
      <c r="GI292">
        <v>3.1980934176712799</v>
      </c>
      <c r="GJ292"/>
      <c r="GK292"/>
      <c r="GL292"/>
      <c r="GM292"/>
    </row>
    <row r="293" spans="1:195" s="7" customFormat="1">
      <c r="A293" s="1"/>
      <c r="B293">
        <v>0.97067279987243449</v>
      </c>
      <c r="C293">
        <v>1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8.2212683150183139</v>
      </c>
      <c r="AO293">
        <v>6.7109135436342813</v>
      </c>
      <c r="AP293">
        <v>33.298025916397037</v>
      </c>
      <c r="AQ293">
        <v>28.541250539761734</v>
      </c>
      <c r="AR293">
        <v>6.2253372389928385</v>
      </c>
      <c r="AS293">
        <v>33.024472399702496</v>
      </c>
      <c r="AT293" t="e">
        <v>#DIV/0!</v>
      </c>
      <c r="AU293" t="e">
        <v>#DIV/0!</v>
      </c>
      <c r="AV293"/>
      <c r="AW293"/>
      <c r="FY293" s="210">
        <v>288</v>
      </c>
      <c r="FZ293">
        <v>0.77022874879780745</v>
      </c>
      <c r="GA293">
        <v>1.2854916686804776</v>
      </c>
      <c r="GB293">
        <v>1.3359376674168932</v>
      </c>
      <c r="GC293">
        <v>9.2992960204146264</v>
      </c>
      <c r="GD293">
        <v>6.6868669246821675</v>
      </c>
      <c r="GE293">
        <v>1.0675524245902468</v>
      </c>
      <c r="GF293">
        <v>1.4515512574996277</v>
      </c>
      <c r="GG293">
        <v>1.4662212121236342</v>
      </c>
      <c r="GH293">
        <v>1.3247603501682221</v>
      </c>
      <c r="GI293">
        <v>5.9433656646027329</v>
      </c>
      <c r="GJ293"/>
      <c r="GK293"/>
      <c r="GL293"/>
      <c r="GM293"/>
    </row>
    <row r="294" spans="1:195" s="7" customFormat="1">
      <c r="A294" s="1"/>
      <c r="B294">
        <v>0.32063221668648056</v>
      </c>
      <c r="C294">
        <v>1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9.6273466117216131</v>
      </c>
      <c r="AO294">
        <v>9.5709769636954629</v>
      </c>
      <c r="AP294">
        <v>33.887401053136387</v>
      </c>
      <c r="AQ294">
        <v>32.798007443964778</v>
      </c>
      <c r="AR294">
        <v>8.8255920751222128</v>
      </c>
      <c r="AS294">
        <v>42.328302790822065</v>
      </c>
      <c r="AT294" t="e">
        <v>#DIV/0!</v>
      </c>
      <c r="AU294" t="e">
        <v>#DIV/0!</v>
      </c>
      <c r="AV294"/>
      <c r="AW294"/>
      <c r="FY294" s="210">
        <v>289</v>
      </c>
      <c r="FZ294">
        <v>0.52454686079360424</v>
      </c>
      <c r="GA294">
        <v>5.338809701620832</v>
      </c>
      <c r="GB294">
        <v>2.2461549168315607</v>
      </c>
      <c r="GC294">
        <v>2.2911409645109915</v>
      </c>
      <c r="GD294">
        <v>2.3578600302029913</v>
      </c>
      <c r="GE294">
        <v>2.9542235318839873</v>
      </c>
      <c r="GF294">
        <v>2.6431689784089736</v>
      </c>
      <c r="GG294">
        <v>0</v>
      </c>
      <c r="GH294">
        <v>0</v>
      </c>
      <c r="GI294">
        <v>2.8215219431055987</v>
      </c>
      <c r="GJ294"/>
      <c r="GK294"/>
      <c r="GL294"/>
      <c r="GM294"/>
    </row>
    <row r="295" spans="1:195" s="7" customFormat="1">
      <c r="A295" s="1"/>
      <c r="B295">
        <v>0.10422897502074679</v>
      </c>
      <c r="C295">
        <v>5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7.9866452991452999</v>
      </c>
      <c r="AO295">
        <v>9.154212841195065</v>
      </c>
      <c r="AP295">
        <v>31.279758140461421</v>
      </c>
      <c r="AQ295">
        <v>30.813216527969889</v>
      </c>
      <c r="AR295">
        <v>8.386118207576656</v>
      </c>
      <c r="AS295">
        <v>35.259096280860348</v>
      </c>
      <c r="AT295" t="e">
        <v>#DIV/0!</v>
      </c>
      <c r="AU295" t="e">
        <v>#DIV/0!</v>
      </c>
      <c r="AV295"/>
      <c r="AW295"/>
      <c r="FY295" s="210">
        <v>290</v>
      </c>
      <c r="FZ295">
        <v>0.27886497278940114</v>
      </c>
      <c r="GA295">
        <v>3.238284008043141</v>
      </c>
      <c r="GB295">
        <v>1.3912724406199268</v>
      </c>
      <c r="GC295">
        <v>10.042345785921762</v>
      </c>
      <c r="GD295">
        <v>8.8240717771329713</v>
      </c>
      <c r="GE295">
        <v>3.4073123278977748</v>
      </c>
      <c r="GF295">
        <v>1.4515512574996277</v>
      </c>
      <c r="GG295">
        <v>0.50421698674024196</v>
      </c>
      <c r="GH295">
        <v>0</v>
      </c>
      <c r="GI295">
        <v>6.9759162274755004</v>
      </c>
      <c r="GJ295"/>
      <c r="GK295"/>
      <c r="GL295"/>
      <c r="GM295"/>
    </row>
    <row r="296" spans="1:195" s="7" customFormat="1">
      <c r="A296" s="1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 s="80"/>
      <c r="AK296" s="81"/>
      <c r="AL296" s="81"/>
      <c r="AM296" s="43">
        <v>280</v>
      </c>
      <c r="AN296">
        <v>10.354910714285714</v>
      </c>
      <c r="AO296">
        <v>10.799140397968241</v>
      </c>
      <c r="AP296">
        <v>34.386516283869142</v>
      </c>
      <c r="AQ296">
        <v>34.462001875193792</v>
      </c>
      <c r="AR296">
        <v>9.9648902516275744</v>
      </c>
      <c r="AS296">
        <v>41.400064848258808</v>
      </c>
      <c r="AT296" t="e">
        <v>#DIV/0!</v>
      </c>
      <c r="AU296" t="e">
        <v>#DIV/0!</v>
      </c>
      <c r="AV296"/>
      <c r="AW296"/>
      <c r="FY296" s="210">
        <v>291</v>
      </c>
      <c r="FZ296">
        <v>0.27886497278940114</v>
      </c>
      <c r="GA296">
        <v>7.1100680147509969</v>
      </c>
      <c r="GB296">
        <v>3.8009743900795443</v>
      </c>
      <c r="GC296">
        <v>6.7175400169220012</v>
      </c>
      <c r="GD296">
        <v>5.459803920298298</v>
      </c>
      <c r="GE296">
        <v>1.4286406589376592</v>
      </c>
      <c r="GF296">
        <v>0.19016497712110106</v>
      </c>
      <c r="GG296">
        <v>1.1300765542968063</v>
      </c>
      <c r="GH296">
        <v>1.3247603501682221</v>
      </c>
      <c r="GI296">
        <v>5.2302492373064347</v>
      </c>
      <c r="GJ296"/>
      <c r="GK296"/>
      <c r="GL296"/>
      <c r="GM296"/>
    </row>
    <row r="297" spans="1:195" s="7" customFormat="1">
      <c r="A297" s="1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 s="80"/>
      <c r="AK297" s="81"/>
      <c r="AL297" s="81"/>
      <c r="AM297" s="43">
        <v>281</v>
      </c>
      <c r="AN297">
        <v>11.113591269841271</v>
      </c>
      <c r="AO297">
        <v>13.844730135767884</v>
      </c>
      <c r="AP297">
        <v>41.601672490308218</v>
      </c>
      <c r="AQ297">
        <v>42.648173242293197</v>
      </c>
      <c r="AR297">
        <v>12.737247423321385</v>
      </c>
      <c r="AS297">
        <v>76.100793352933849</v>
      </c>
      <c r="AT297" t="e">
        <v>#DIV/0!</v>
      </c>
      <c r="AU297" t="e">
        <v>#DIV/0!</v>
      </c>
      <c r="AV297"/>
      <c r="AW297"/>
      <c r="FY297" s="210">
        <v>292</v>
      </c>
      <c r="FZ297">
        <v>0.55772994557880229</v>
      </c>
      <c r="GA297">
        <v>1.6316593851367374</v>
      </c>
      <c r="GB297">
        <v>1.0445179814772214</v>
      </c>
      <c r="GC297">
        <v>5.8548041012858567</v>
      </c>
      <c r="GD297">
        <v>4.8414412939826175</v>
      </c>
      <c r="GE297">
        <v>2.5862805270777471</v>
      </c>
      <c r="GF297">
        <v>1.95227762939375</v>
      </c>
      <c r="GG297">
        <v>1.1300765542968063</v>
      </c>
      <c r="GH297">
        <v>1.3247603501682221</v>
      </c>
      <c r="GI297">
        <v>4.4917204511280477</v>
      </c>
      <c r="GJ297"/>
      <c r="GK297"/>
      <c r="GL297"/>
      <c r="GM297"/>
    </row>
    <row r="298" spans="1:195" s="7" customFormat="1">
      <c r="A298" s="1"/>
      <c r="B298">
        <v>0.81515473400801763</v>
      </c>
      <c r="C298">
        <v>1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4.4739964896214897</v>
      </c>
      <c r="AO298">
        <v>4.6138105784299572</v>
      </c>
      <c r="AP298">
        <v>23.641297764369796</v>
      </c>
      <c r="AQ298">
        <v>19.060017620986343</v>
      </c>
      <c r="AR298">
        <v>4.2271074876774053</v>
      </c>
      <c r="AS298">
        <v>17.984068452510048</v>
      </c>
      <c r="AT298" t="e">
        <v>#DIV/0!</v>
      </c>
      <c r="AU298" t="e">
        <v>#DIV/0!</v>
      </c>
      <c r="AV298"/>
      <c r="AW298"/>
      <c r="FY298" s="210">
        <v>293</v>
      </c>
      <c r="FZ298">
        <v>0.27886497278940114</v>
      </c>
      <c r="GA298">
        <v>0.58005014356169593</v>
      </c>
      <c r="GB298">
        <v>1.8440656844858212</v>
      </c>
      <c r="GC298">
        <v>9.2865034328139355</v>
      </c>
      <c r="GD298">
        <v>7.5321678746333447</v>
      </c>
      <c r="GE298">
        <v>3.1958025033119122</v>
      </c>
      <c r="GF298">
        <v>1.0712213032574254</v>
      </c>
      <c r="GG298">
        <v>1.6110786669885027</v>
      </c>
      <c r="GH298">
        <v>1.9871405252523333</v>
      </c>
      <c r="GI298">
        <v>6.5754090834424659</v>
      </c>
      <c r="GJ298"/>
      <c r="GK298"/>
      <c r="GL298"/>
      <c r="GM298"/>
    </row>
    <row r="299" spans="1:195" s="7" customFormat="1">
      <c r="A299" s="1"/>
      <c r="B299">
        <v>0.31100143761928578</v>
      </c>
      <c r="C299">
        <v>2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10.416666666666666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6.9826770451770441</v>
      </c>
      <c r="AO299">
        <v>7.4328674371768599</v>
      </c>
      <c r="AP299">
        <v>25.307832510516931</v>
      </c>
      <c r="AQ299">
        <v>24.323159618478041</v>
      </c>
      <c r="AR299">
        <v>6.8950532812401297</v>
      </c>
      <c r="AS299">
        <v>27.412908432764638</v>
      </c>
      <c r="AT299" t="e">
        <v>#DIV/0!</v>
      </c>
      <c r="AU299" t="e">
        <v>#DIV/0!</v>
      </c>
      <c r="AV299"/>
      <c r="AW299"/>
      <c r="FY299" s="210">
        <v>294</v>
      </c>
      <c r="FZ299">
        <v>0.31204805757459919</v>
      </c>
      <c r="GA299">
        <v>2.4297930740252145</v>
      </c>
      <c r="GB299">
        <v>1.5548194732479839</v>
      </c>
      <c r="GC299">
        <v>1.3931058256386941</v>
      </c>
      <c r="GD299">
        <v>1.626131115485433</v>
      </c>
      <c r="GE299">
        <v>1.6770744008244118</v>
      </c>
      <c r="GF299">
        <v>0.5704949313633032</v>
      </c>
      <c r="GG299">
        <v>1.9472233248153306</v>
      </c>
      <c r="GH299">
        <v>1.9871405252523333</v>
      </c>
      <c r="GI299">
        <v>2.1418148718567833</v>
      </c>
      <c r="GJ299"/>
      <c r="GK299"/>
      <c r="GL299"/>
      <c r="GM299"/>
    </row>
    <row r="300" spans="1:195" s="7" customFormat="1">
      <c r="A300" s="1"/>
      <c r="B300">
        <v>0.55705141585786944</v>
      </c>
      <c r="C300">
        <v>9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8.8021596459096436</v>
      </c>
      <c r="AO300">
        <v>9.3298041234400646</v>
      </c>
      <c r="AP300">
        <v>39.640650064973578</v>
      </c>
      <c r="AQ300">
        <v>34.483861657843825</v>
      </c>
      <c r="AR300">
        <v>8.5490043692139466</v>
      </c>
      <c r="AS300">
        <v>34.610759150068645</v>
      </c>
      <c r="AT300" t="e">
        <v>#DIV/0!</v>
      </c>
      <c r="AU300" t="e">
        <v>#DIV/0!</v>
      </c>
      <c r="AV300"/>
      <c r="AW300"/>
      <c r="FY300" s="210">
        <v>295</v>
      </c>
      <c r="FZ300">
        <v>0.52454686079360424</v>
      </c>
      <c r="GA300">
        <v>4.0102254229667835</v>
      </c>
      <c r="GB300">
        <v>1.6340692443867142</v>
      </c>
      <c r="GC300">
        <v>10.497842172486493</v>
      </c>
      <c r="GD300">
        <v>8.8613717300065851</v>
      </c>
      <c r="GE300">
        <v>2.2659120687057479</v>
      </c>
      <c r="GF300">
        <v>0.19016497712110106</v>
      </c>
      <c r="GG300">
        <v>1.1300765542968063</v>
      </c>
      <c r="GH300">
        <v>1.3247603501682221</v>
      </c>
      <c r="GI300">
        <v>7.0802975521824205</v>
      </c>
      <c r="GJ300"/>
      <c r="GK300"/>
      <c r="GL300"/>
      <c r="GM300"/>
    </row>
    <row r="301" spans="1:195" s="7" customFormat="1">
      <c r="A301" s="1"/>
      <c r="B301">
        <v>0.31376046876629649</v>
      </c>
      <c r="C301">
        <v>10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8.2038690476190474</v>
      </c>
      <c r="AO301">
        <v>9.5249968838956196</v>
      </c>
      <c r="AP301">
        <v>35.099166585140708</v>
      </c>
      <c r="AQ301">
        <v>32.684347885819619</v>
      </c>
      <c r="AR301">
        <v>8.8358041594579007</v>
      </c>
      <c r="AS301">
        <v>47.839505937698178</v>
      </c>
      <c r="AT301" t="e">
        <v>#DIV/0!</v>
      </c>
      <c r="AU301" t="e">
        <v>#DIV/0!</v>
      </c>
      <c r="AV301"/>
      <c r="AW301"/>
      <c r="FY301" s="210">
        <v>296</v>
      </c>
      <c r="FZ301">
        <v>0.49136377600840619</v>
      </c>
      <c r="GA301">
        <v>3.3636753896002265</v>
      </c>
      <c r="GB301">
        <v>1.3273361139641193</v>
      </c>
      <c r="GC301">
        <v>14.656279149811231</v>
      </c>
      <c r="GD301">
        <v>11.10537398210896</v>
      </c>
      <c r="GE301">
        <v>0.62702737582634349</v>
      </c>
      <c r="GF301">
        <v>0.76065990848440423</v>
      </c>
      <c r="GG301">
        <v>2.1152956537287446</v>
      </c>
      <c r="GH301">
        <v>1.9871405252523333</v>
      </c>
      <c r="GI301">
        <v>8.9826755906754183</v>
      </c>
      <c r="GJ301"/>
      <c r="GK301"/>
      <c r="GL301"/>
      <c r="GM301"/>
    </row>
    <row r="302" spans="1:195" s="7" customFormat="1">
      <c r="A302" s="1"/>
      <c r="B302">
        <v>0.13679630897108019</v>
      </c>
      <c r="C302">
        <v>4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10.096592643467641</v>
      </c>
      <c r="AO302">
        <v>11.353053250689564</v>
      </c>
      <c r="AP302">
        <v>36.066705340666815</v>
      </c>
      <c r="AQ302">
        <v>37.490743983681398</v>
      </c>
      <c r="AR302">
        <v>10.372993627595939</v>
      </c>
      <c r="AS302">
        <v>57.357452780293436</v>
      </c>
      <c r="AT302" t="e">
        <v>#DIV/0!</v>
      </c>
      <c r="AU302" t="e">
        <v>#DIV/0!</v>
      </c>
      <c r="AV302"/>
      <c r="AW302"/>
      <c r="FY302" s="210">
        <v>297</v>
      </c>
      <c r="FZ302">
        <v>3.3183084785198033E-2</v>
      </c>
      <c r="GA302">
        <v>1.9751343120206046</v>
      </c>
      <c r="GB302">
        <v>1.4908831465921764</v>
      </c>
      <c r="GC302">
        <v>2.2834803429329975</v>
      </c>
      <c r="GD302">
        <v>2.2172139390593291</v>
      </c>
      <c r="GE302">
        <v>2.0080934883297616</v>
      </c>
      <c r="GF302">
        <v>1.4515512574996277</v>
      </c>
      <c r="GG302">
        <v>1.9472233248153306</v>
      </c>
      <c r="GH302">
        <v>1.9871405252523333</v>
      </c>
      <c r="GI302">
        <v>2.5560866248849328</v>
      </c>
      <c r="GJ302"/>
      <c r="GK302"/>
      <c r="GL302"/>
      <c r="GM302"/>
    </row>
    <row r="303" spans="1:195" s="7" customFormat="1">
      <c r="A303" s="1"/>
      <c r="B303">
        <v>0.28037162190315934</v>
      </c>
      <c r="C303">
        <v>4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5.0186011904761898</v>
      </c>
      <c r="AO303">
        <v>5.2532272957565187</v>
      </c>
      <c r="AP303">
        <v>23.428212890555209</v>
      </c>
      <c r="AQ303">
        <v>20.252079707378815</v>
      </c>
      <c r="AR303">
        <v>4.8202584313940653</v>
      </c>
      <c r="AS303">
        <v>29.578491000320945</v>
      </c>
      <c r="AT303" t="e">
        <v>#DIV/0!</v>
      </c>
      <c r="AU303" t="e">
        <v>#DIV/0!</v>
      </c>
      <c r="AV303"/>
      <c r="AW303"/>
      <c r="FY303" s="210">
        <v>298</v>
      </c>
      <c r="FZ303">
        <v>3.3183084785198033E-2</v>
      </c>
      <c r="GA303">
        <v>2.8332247998346558</v>
      </c>
      <c r="GB303">
        <v>1.3534245866016503</v>
      </c>
      <c r="GC303">
        <v>1.8777069195145941</v>
      </c>
      <c r="GD303">
        <v>2.0451523303737913</v>
      </c>
      <c r="GE303">
        <v>2.9542235318839873</v>
      </c>
      <c r="GF303">
        <v>3.213663909772277</v>
      </c>
      <c r="GG303">
        <v>0.98521909943193808</v>
      </c>
      <c r="GH303">
        <v>0.66238017508411107</v>
      </c>
      <c r="GI303">
        <v>2.5206606903936728</v>
      </c>
      <c r="GJ303"/>
      <c r="GK303"/>
      <c r="GL303"/>
      <c r="GM303"/>
    </row>
    <row r="304" spans="1:195" s="7" customFormat="1">
      <c r="A304" s="1"/>
      <c r="B304">
        <v>0.45788649335855824</v>
      </c>
      <c r="C304">
        <v>3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8.6579861111111107</v>
      </c>
      <c r="AO304">
        <v>9.8698896178304487</v>
      </c>
      <c r="AP304">
        <v>30.053161028064302</v>
      </c>
      <c r="AQ304">
        <v>30.631271938976436</v>
      </c>
      <c r="AR304">
        <v>9.1028765409246137</v>
      </c>
      <c r="AS304">
        <v>39.155003470605628</v>
      </c>
      <c r="AT304" t="e">
        <v>#DIV/0!</v>
      </c>
      <c r="AU304" t="e">
        <v>#DIV/0!</v>
      </c>
      <c r="AV304"/>
      <c r="AW304"/>
      <c r="FY304" s="210">
        <v>299</v>
      </c>
      <c r="FZ304">
        <v>0.27886497278940114</v>
      </c>
      <c r="GA304">
        <v>4.2010513871553812</v>
      </c>
      <c r="GB304">
        <v>1.8376376057348818</v>
      </c>
      <c r="GC304">
        <v>10.622438659070641</v>
      </c>
      <c r="GD304">
        <v>8.6620806901536085</v>
      </c>
      <c r="GE304">
        <v>2.3216071762429333</v>
      </c>
      <c r="GF304">
        <v>1.2613862803785265</v>
      </c>
      <c r="GG304">
        <v>0.3361446578268279</v>
      </c>
      <c r="GH304">
        <v>0</v>
      </c>
      <c r="GI304">
        <v>7.2098387286910146</v>
      </c>
      <c r="GJ304"/>
      <c r="GK304"/>
      <c r="GL304"/>
      <c r="GM304"/>
    </row>
    <row r="305" spans="1:195" s="7" customFormat="1">
      <c r="A305" s="1"/>
      <c r="B305">
        <v>1.2107141771249275E-3</v>
      </c>
      <c r="C305">
        <v>8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6.9457226800976795</v>
      </c>
      <c r="AO305">
        <v>4.5628307876263676</v>
      </c>
      <c r="AP305">
        <v>25.416903859119863</v>
      </c>
      <c r="AQ305">
        <v>21.177426927358539</v>
      </c>
      <c r="AR305">
        <v>4.0740859624167163</v>
      </c>
      <c r="AS305">
        <v>19.410096622726805</v>
      </c>
      <c r="AT305" t="e">
        <v>#DIV/0!</v>
      </c>
      <c r="AU305" t="e">
        <v>#DIV/0!</v>
      </c>
      <c r="AV305"/>
      <c r="AW305"/>
      <c r="FY305" s="210">
        <v>300</v>
      </c>
      <c r="FZ305">
        <v>0</v>
      </c>
      <c r="GA305">
        <v>3.0344080091527026</v>
      </c>
      <c r="GB305">
        <v>1.4552087672757343</v>
      </c>
      <c r="GC305">
        <v>5.8737912048115319</v>
      </c>
      <c r="GD305">
        <v>5.0334290586696619</v>
      </c>
      <c r="GE305">
        <v>1.501222702895322</v>
      </c>
      <c r="GF305">
        <v>0.38032995424220212</v>
      </c>
      <c r="GG305">
        <v>0.81714677051852402</v>
      </c>
      <c r="GH305">
        <v>0.66238017508411107</v>
      </c>
      <c r="GI305">
        <v>4.2975324396131001</v>
      </c>
      <c r="GJ305"/>
      <c r="GK305"/>
      <c r="GL305"/>
      <c r="GM305"/>
    </row>
    <row r="306" spans="1:195" s="7" customFormat="1">
      <c r="A306" s="1"/>
      <c r="B306">
        <v>0.98739956373352733</v>
      </c>
      <c r="C306">
        <v>6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10.328697344322343</v>
      </c>
      <c r="AO306">
        <v>11.428008522092252</v>
      </c>
      <c r="AP306">
        <v>32.709974590581488</v>
      </c>
      <c r="AQ306">
        <v>36.113835784120347</v>
      </c>
      <c r="AR306">
        <v>10.548255858421649</v>
      </c>
      <c r="AS306">
        <v>55.047797479741561</v>
      </c>
      <c r="AT306" t="e">
        <v>#DIV/0!</v>
      </c>
      <c r="AU306" t="e">
        <v>#DIV/0!</v>
      </c>
      <c r="AV306"/>
      <c r="AW306"/>
      <c r="FY306" s="210">
        <v>301</v>
      </c>
      <c r="FZ306">
        <v>3.3183084785198033E-2</v>
      </c>
      <c r="GA306">
        <v>1.0123669329083649</v>
      </c>
      <c r="GB306">
        <v>1.0445179814772214</v>
      </c>
      <c r="GC306">
        <v>5.7169927529537237</v>
      </c>
      <c r="GD306">
        <v>4.6508460561687865</v>
      </c>
      <c r="GE306">
        <v>1.8691657077015624</v>
      </c>
      <c r="GF306">
        <v>1.0712213032574254</v>
      </c>
      <c r="GG306">
        <v>1.6110786669885027</v>
      </c>
      <c r="GH306">
        <v>1.9871405252523333</v>
      </c>
      <c r="GI306">
        <v>4.2320873076752719</v>
      </c>
      <c r="GJ306"/>
      <c r="GK306"/>
      <c r="GL306"/>
      <c r="GM306"/>
    </row>
    <row r="307" spans="1:195" s="7" customFormat="1">
      <c r="A307" s="1"/>
      <c r="B307">
        <v>0.25358898486254189</v>
      </c>
      <c r="C307">
        <v>7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9.9018238705738675</v>
      </c>
      <c r="AO307">
        <v>8.6199420106923821</v>
      </c>
      <c r="AP307">
        <v>37.071716468580192</v>
      </c>
      <c r="AQ307">
        <v>32.671143092670462</v>
      </c>
      <c r="AR307">
        <v>7.9962356314400589</v>
      </c>
      <c r="AS307">
        <v>38.664984864278502</v>
      </c>
      <c r="AT307" t="e">
        <v>#DIV/0!</v>
      </c>
      <c r="AU307" t="e">
        <v>#DIV/0!</v>
      </c>
      <c r="AV307"/>
      <c r="AW307"/>
      <c r="FY307" s="210">
        <v>302</v>
      </c>
      <c r="FZ307">
        <v>0.2456818880042031</v>
      </c>
      <c r="GA307">
        <v>2.1108829387071388</v>
      </c>
      <c r="GB307">
        <v>1.4530352925739001</v>
      </c>
      <c r="GC307">
        <v>7.1699391455242392</v>
      </c>
      <c r="GD307">
        <v>5.7466243442589278</v>
      </c>
      <c r="GE307">
        <v>2.4116946197927751</v>
      </c>
      <c r="GF307">
        <v>2.522772560757053</v>
      </c>
      <c r="GG307">
        <v>1.634293541037048</v>
      </c>
      <c r="GH307">
        <v>1.3247603501682221</v>
      </c>
      <c r="GI307">
        <v>5.2522639915297411</v>
      </c>
      <c r="GJ307"/>
      <c r="GK307"/>
      <c r="GL307"/>
      <c r="GM307"/>
    </row>
    <row r="308" spans="1:195" s="7" customFormat="1">
      <c r="A308" s="1"/>
      <c r="B308">
        <v>0.37819426907899967</v>
      </c>
      <c r="C308">
        <v>3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6.1885683760683765</v>
      </c>
      <c r="AO308">
        <v>7.3975538881152136</v>
      </c>
      <c r="AP308">
        <v>25.738972488412536</v>
      </c>
      <c r="AQ308">
        <v>25.415268219525807</v>
      </c>
      <c r="AR308">
        <v>6.7565644477623215</v>
      </c>
      <c r="AS308">
        <v>35.486430727153639</v>
      </c>
      <c r="AT308" t="e">
        <v>#DIV/0!</v>
      </c>
      <c r="AU308" t="e">
        <v>#DIV/0!</v>
      </c>
      <c r="AV308"/>
      <c r="AW308"/>
      <c r="FY308" s="210">
        <v>303</v>
      </c>
      <c r="FZ308">
        <v>3.3183084785198033E-2</v>
      </c>
      <c r="GA308">
        <v>4.0364176969316183</v>
      </c>
      <c r="GB308">
        <v>2.4736382761154245</v>
      </c>
      <c r="GC308">
        <v>3.7087881338453528</v>
      </c>
      <c r="GD308">
        <v>3.1003847124632444</v>
      </c>
      <c r="GE308">
        <v>1.6576558831156998</v>
      </c>
      <c r="GF308">
        <v>1.4515512574996277</v>
      </c>
      <c r="GG308">
        <v>1.4662212121236342</v>
      </c>
      <c r="GH308">
        <v>1.3247603501682221</v>
      </c>
      <c r="GI308">
        <v>3.3321367435976752</v>
      </c>
      <c r="GJ308"/>
      <c r="GK308"/>
      <c r="GL308"/>
      <c r="GM308"/>
    </row>
    <row r="309" spans="1:195" s="7" customFormat="1">
      <c r="A309" s="1"/>
      <c r="B309">
        <v>0.29427777686818613</v>
      </c>
      <c r="C309">
        <v>7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8.1937767094017087</v>
      </c>
      <c r="AO309">
        <v>10.892877548681927</v>
      </c>
      <c r="AP309">
        <v>33.078572032692023</v>
      </c>
      <c r="AQ309">
        <v>33.962304190536841</v>
      </c>
      <c r="AR309">
        <v>10.051844936890735</v>
      </c>
      <c r="AS309">
        <v>43.56191098397975</v>
      </c>
      <c r="AT309" t="e">
        <v>#DIV/0!</v>
      </c>
      <c r="AU309" t="e">
        <v>#DIV/0!</v>
      </c>
      <c r="AV309"/>
      <c r="AW309"/>
      <c r="FY309" s="210">
        <v>304</v>
      </c>
      <c r="FZ309">
        <v>0.31204805757459919</v>
      </c>
      <c r="GA309">
        <v>2.5551844555823005</v>
      </c>
      <c r="GB309">
        <v>1.0466914561790557</v>
      </c>
      <c r="GC309">
        <v>1.1496850942480901</v>
      </c>
      <c r="GD309">
        <v>1.08730496668732</v>
      </c>
      <c r="GE309">
        <v>2.1156863314717813</v>
      </c>
      <c r="GF309">
        <v>2.8333339555300743</v>
      </c>
      <c r="GG309">
        <v>0.16807232891341395</v>
      </c>
      <c r="GH309">
        <v>0</v>
      </c>
      <c r="GI309">
        <v>1.6633550179257712</v>
      </c>
      <c r="GJ309"/>
      <c r="GK309"/>
      <c r="GL309"/>
      <c r="GM309"/>
    </row>
    <row r="310" spans="1:195" s="7" customFormat="1">
      <c r="A310" s="1"/>
      <c r="B310">
        <v>0.34616794329114353</v>
      </c>
      <c r="C310">
        <v>9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4.1904761904761898</v>
      </c>
      <c r="AO310">
        <v>3.5655315989323269</v>
      </c>
      <c r="AP310">
        <v>19.327948318554363</v>
      </c>
      <c r="AQ310">
        <v>15.639645600084087</v>
      </c>
      <c r="AR310">
        <v>3.3075432272099512</v>
      </c>
      <c r="AS310">
        <v>13.020042001734227</v>
      </c>
      <c r="AT310" t="e">
        <v>#DIV/0!</v>
      </c>
      <c r="AU310" t="e">
        <v>#DIV/0!</v>
      </c>
      <c r="AV310"/>
      <c r="AW310"/>
      <c r="FY310" s="210">
        <v>305</v>
      </c>
      <c r="FZ310">
        <v>0.2456818880042031</v>
      </c>
      <c r="GA310">
        <v>3.9213835605039815</v>
      </c>
      <c r="GB310">
        <v>1.7358534250607978</v>
      </c>
      <c r="GC310">
        <v>1.2874964425802224</v>
      </c>
      <c r="GD310">
        <v>1.4999109598568587</v>
      </c>
      <c r="GE310">
        <v>1.1151269710244875</v>
      </c>
      <c r="GF310">
        <v>0.38032995424220212</v>
      </c>
      <c r="GG310">
        <v>0.81714677051852402</v>
      </c>
      <c r="GH310">
        <v>0.66238017508411107</v>
      </c>
      <c r="GI310">
        <v>1.724023825987153</v>
      </c>
      <c r="GJ310"/>
      <c r="GK310"/>
      <c r="GL310"/>
      <c r="GM310"/>
    </row>
    <row r="311" spans="1:195" s="7" customFormat="1">
      <c r="A311" s="1"/>
      <c r="B311">
        <v>0.50012113930247226</v>
      </c>
      <c r="C311">
        <v>1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10.416666666666666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9.1688034188034173</v>
      </c>
      <c r="AO311">
        <v>11.609928398802285</v>
      </c>
      <c r="AP311">
        <v>34.745334258831846</v>
      </c>
      <c r="AQ311">
        <v>37.51926693311448</v>
      </c>
      <c r="AR311">
        <v>10.76987792096687</v>
      </c>
      <c r="AS311">
        <v>60.541961866467936</v>
      </c>
      <c r="AT311" t="e">
        <v>#DIV/0!</v>
      </c>
      <c r="AU311" t="e">
        <v>#DIV/0!</v>
      </c>
      <c r="AV311"/>
      <c r="AW311"/>
      <c r="FY311" s="210">
        <v>306</v>
      </c>
      <c r="FZ311">
        <v>0.52454686079360424</v>
      </c>
      <c r="GA311">
        <v>3.5283090798239893</v>
      </c>
      <c r="GB311">
        <v>1.9633367843446625</v>
      </c>
      <c r="GC311">
        <v>0.83053395036248268</v>
      </c>
      <c r="GD311">
        <v>1.0357333801544142</v>
      </c>
      <c r="GE311">
        <v>1.8322417904006723</v>
      </c>
      <c r="GF311">
        <v>1.0712213032574254</v>
      </c>
      <c r="GG311">
        <v>1.6110786669885027</v>
      </c>
      <c r="GH311">
        <v>1.9871405252523333</v>
      </c>
      <c r="GI311">
        <v>1.8935994652893766</v>
      </c>
      <c r="GJ311"/>
      <c r="GK311"/>
      <c r="GL311"/>
      <c r="GM311"/>
    </row>
    <row r="312" spans="1:195" s="7" customFormat="1">
      <c r="A312" s="1"/>
      <c r="B312">
        <v>0.38761204250309866</v>
      </c>
      <c r="C312">
        <v>7</v>
      </c>
      <c r="D312">
        <v>39949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11.812003968253968</v>
      </c>
      <c r="AO312">
        <v>14.839780867490649</v>
      </c>
      <c r="AP312">
        <v>42.09307441762882</v>
      </c>
      <c r="AQ312">
        <v>45.416827465460194</v>
      </c>
      <c r="AR312">
        <v>13.766030489323422</v>
      </c>
      <c r="AS312">
        <v>57.171392789959526</v>
      </c>
      <c r="AT312" t="e">
        <v>#DIV/0!</v>
      </c>
      <c r="AU312" t="e">
        <v>#DIV/0!</v>
      </c>
      <c r="AV312"/>
      <c r="AW312"/>
      <c r="FY312" s="210">
        <v>307</v>
      </c>
      <c r="FZ312">
        <v>3.3183084785198033E-2</v>
      </c>
      <c r="GA312">
        <v>2.2259170751347761</v>
      </c>
      <c r="GB312">
        <v>1.6187557999037911</v>
      </c>
      <c r="GC312">
        <v>5.1730610083635487</v>
      </c>
      <c r="GD312">
        <v>4.506582687709062</v>
      </c>
      <c r="GE312">
        <v>1.7778124735076037</v>
      </c>
      <c r="GF312">
        <v>0.76065990848440423</v>
      </c>
      <c r="GG312">
        <v>1.1532914283453519</v>
      </c>
      <c r="GH312">
        <v>0.66238017508411107</v>
      </c>
      <c r="GI312">
        <v>3.8357841357065818</v>
      </c>
      <c r="GJ312"/>
      <c r="GK312"/>
      <c r="GL312"/>
      <c r="GM312"/>
    </row>
    <row r="313" spans="1:195" s="7" customFormat="1">
      <c r="A313" s="1"/>
      <c r="B313">
        <v>0.96960521829415303</v>
      </c>
      <c r="C313">
        <v>7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4.7824900793650791</v>
      </c>
      <c r="AO313">
        <v>4.1647736132656927</v>
      </c>
      <c r="AP313">
        <v>21.187628939411724</v>
      </c>
      <c r="AQ313">
        <v>17.949990046172292</v>
      </c>
      <c r="AR313">
        <v>3.8105611378033188</v>
      </c>
      <c r="AS313">
        <v>16.300716908166805</v>
      </c>
      <c r="AT313" t="e">
        <v>#DIV/0!</v>
      </c>
      <c r="AU313" t="e">
        <v>#DIV/0!</v>
      </c>
      <c r="AV313"/>
      <c r="AW313"/>
      <c r="FY313" s="210">
        <v>308</v>
      </c>
      <c r="FZ313">
        <v>0.77022874879780745</v>
      </c>
      <c r="GA313">
        <v>2.7301753909355115</v>
      </c>
      <c r="GB313">
        <v>1.4530352925739001</v>
      </c>
      <c r="GC313">
        <v>6.7288664988696816</v>
      </c>
      <c r="GD313">
        <v>5.5154832004444092</v>
      </c>
      <c r="GE313">
        <v>2.1175994495883153</v>
      </c>
      <c r="GF313">
        <v>1.6417162346207288</v>
      </c>
      <c r="GG313">
        <v>1.1532914283453519</v>
      </c>
      <c r="GH313">
        <v>0.66238017508411107</v>
      </c>
      <c r="GI313">
        <v>4.9804533948353589</v>
      </c>
      <c r="GJ313"/>
      <c r="GK313"/>
      <c r="GL313"/>
      <c r="GM313"/>
    </row>
    <row r="314" spans="1:195" s="7" customFormat="1">
      <c r="A314" s="1"/>
      <c r="B314">
        <v>0.6457015806412949</v>
      </c>
      <c r="C314">
        <v>6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4.179353632478632</v>
      </c>
      <c r="AO314">
        <v>4.0641851791061523</v>
      </c>
      <c r="AP314">
        <v>21.711704165888094</v>
      </c>
      <c r="AQ314">
        <v>18.478839127675879</v>
      </c>
      <c r="AR314">
        <v>3.6115204628617867</v>
      </c>
      <c r="AS314">
        <v>17.970068273778736</v>
      </c>
      <c r="AT314" t="e">
        <v>#DIV/0!</v>
      </c>
      <c r="AU314" t="e">
        <v>#DIV/0!</v>
      </c>
      <c r="AV314"/>
      <c r="AW314"/>
      <c r="FY314" s="210">
        <v>309</v>
      </c>
      <c r="FZ314">
        <v>3.3183084785198033E-2</v>
      </c>
      <c r="GA314">
        <v>1.1377583144654506</v>
      </c>
      <c r="GB314">
        <v>0.53638996440829323</v>
      </c>
      <c r="GC314">
        <v>6.7641657221058349</v>
      </c>
      <c r="GD314">
        <v>5.9507585375423329</v>
      </c>
      <c r="GE314">
        <v>1.9536641714366936</v>
      </c>
      <c r="GF314">
        <v>0.38032995424220212</v>
      </c>
      <c r="GG314">
        <v>0.81714677051852402</v>
      </c>
      <c r="GH314">
        <v>0.66238017508411107</v>
      </c>
      <c r="GI314">
        <v>4.5857332857484172</v>
      </c>
      <c r="GJ314"/>
      <c r="GK314"/>
      <c r="GL314"/>
      <c r="GM314"/>
    </row>
    <row r="315" spans="1:195" s="7" customFormat="1">
      <c r="A315" s="1"/>
      <c r="B315">
        <v>0.49024740465951711</v>
      </c>
      <c r="C315">
        <v>9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10.361855158730156</v>
      </c>
      <c r="AO315">
        <v>11.993379118281766</v>
      </c>
      <c r="AP315">
        <v>35.330103852877933</v>
      </c>
      <c r="AQ315">
        <v>36.731050158043217</v>
      </c>
      <c r="AR315">
        <v>11.072718378077971</v>
      </c>
      <c r="AS315">
        <v>63.132270517006738</v>
      </c>
      <c r="AT315" t="e">
        <v>#DIV/0!</v>
      </c>
      <c r="AU315" t="e">
        <v>#DIV/0!</v>
      </c>
      <c r="AV315"/>
      <c r="AW315"/>
      <c r="FY315" s="210">
        <v>310</v>
      </c>
      <c r="FZ315">
        <v>0</v>
      </c>
      <c r="GA315">
        <v>1.9358920033539282</v>
      </c>
      <c r="GB315">
        <v>1.4908831465921764</v>
      </c>
      <c r="GC315">
        <v>12.743273007060484</v>
      </c>
      <c r="GD315">
        <v>9.5685902234449536</v>
      </c>
      <c r="GE315">
        <v>1.3810661125034183</v>
      </c>
      <c r="GF315">
        <v>1.2613862803785265</v>
      </c>
      <c r="GG315">
        <v>0.81714677051852402</v>
      </c>
      <c r="GH315">
        <v>0.66238017508411107</v>
      </c>
      <c r="GI315">
        <v>7.8510312369026547</v>
      </c>
      <c r="GJ315"/>
      <c r="GK315"/>
      <c r="GL315"/>
      <c r="GM315"/>
    </row>
    <row r="316" spans="1:195" s="7" customFormat="1">
      <c r="A316" s="1"/>
      <c r="B316">
        <v>0.2098634743829435</v>
      </c>
      <c r="C316">
        <v>5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6.1394612332112324</v>
      </c>
      <c r="AO316">
        <v>7.1420367448307207</v>
      </c>
      <c r="AP316">
        <v>23.058073873827457</v>
      </c>
      <c r="AQ316">
        <v>23.055449082262889</v>
      </c>
      <c r="AR316">
        <v>6.6252659970600387</v>
      </c>
      <c r="AS316">
        <v>30.084068186446679</v>
      </c>
      <c r="AT316" t="e">
        <v>#DIV/0!</v>
      </c>
      <c r="AU316" t="e">
        <v>#DIV/0!</v>
      </c>
      <c r="AV316"/>
      <c r="AW316"/>
      <c r="FY316" s="210">
        <v>311</v>
      </c>
      <c r="FZ316">
        <v>0.2456818880042031</v>
      </c>
      <c r="GA316">
        <v>0.54080783489501949</v>
      </c>
      <c r="GB316">
        <v>0.12787265331161465</v>
      </c>
      <c r="GC316">
        <v>3.3030147104269485</v>
      </c>
      <c r="GD316">
        <v>2.6014193814229416</v>
      </c>
      <c r="GE316">
        <v>0.85604260000438437</v>
      </c>
      <c r="GF316">
        <v>1.0712213032574254</v>
      </c>
      <c r="GG316">
        <v>1.1300765542968063</v>
      </c>
      <c r="GH316">
        <v>1.3247603501682221</v>
      </c>
      <c r="GI316">
        <v>2.336257104990402</v>
      </c>
      <c r="GJ316"/>
      <c r="GK316"/>
      <c r="GL316"/>
      <c r="GM316"/>
    </row>
    <row r="317" spans="1:195" s="7" customFormat="1">
      <c r="A317" s="1"/>
      <c r="B317">
        <v>0.86309320754523289</v>
      </c>
      <c r="C317">
        <v>4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4.950186965811965</v>
      </c>
      <c r="AO317">
        <v>7.0047832158574552</v>
      </c>
      <c r="AP317">
        <v>23.61566922838502</v>
      </c>
      <c r="AQ317">
        <v>23.22860031916839</v>
      </c>
      <c r="AR317">
        <v>6.4450783943819472</v>
      </c>
      <c r="AS317">
        <v>35.92362137749776</v>
      </c>
      <c r="AT317" t="e">
        <v>#DIV/0!</v>
      </c>
      <c r="AU317" t="e">
        <v>#DIV/0!</v>
      </c>
      <c r="AV317"/>
      <c r="AW317"/>
      <c r="FY317" s="210">
        <v>312</v>
      </c>
      <c r="FZ317">
        <v>0.31204805757459919</v>
      </c>
      <c r="GA317">
        <v>4.1252595593944204</v>
      </c>
      <c r="GB317">
        <v>2.371854095441341</v>
      </c>
      <c r="GC317">
        <v>6.8798927089498001</v>
      </c>
      <c r="GD317">
        <v>5.1652026955309234</v>
      </c>
      <c r="GE317">
        <v>0.52502351249903412</v>
      </c>
      <c r="GF317">
        <v>0.38032995424220212</v>
      </c>
      <c r="GG317">
        <v>1.2981488832102204</v>
      </c>
      <c r="GH317">
        <v>1.3247603501682221</v>
      </c>
      <c r="GI317">
        <v>4.5825141971392984</v>
      </c>
      <c r="GJ317"/>
      <c r="GK317"/>
      <c r="GL317"/>
      <c r="GM317"/>
    </row>
    <row r="318" spans="1:195" s="7" customFormat="1">
      <c r="A318" s="1"/>
      <c r="B318">
        <v>0.20369577997313137</v>
      </c>
      <c r="C318">
        <v>4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7.1463675213675213</v>
      </c>
      <c r="AO318">
        <v>8.6056831628210908</v>
      </c>
      <c r="AP318">
        <v>30.498620177349508</v>
      </c>
      <c r="AQ318">
        <v>29.871948672353252</v>
      </c>
      <c r="AR318">
        <v>7.8772780606620216</v>
      </c>
      <c r="AS318">
        <v>35.854856038438072</v>
      </c>
      <c r="AT318" t="e">
        <v>#DIV/0!</v>
      </c>
      <c r="AU318" t="e">
        <v>#DIV/0!</v>
      </c>
      <c r="AV318"/>
      <c r="AW318"/>
      <c r="FY318" s="210">
        <v>313</v>
      </c>
      <c r="FZ318">
        <v>3.3183084785198033E-2</v>
      </c>
      <c r="GA318">
        <v>4.8841509396162213</v>
      </c>
      <c r="GB318">
        <v>2.3100912434873679</v>
      </c>
      <c r="GC318">
        <v>4.2962483256568706</v>
      </c>
      <c r="GD318">
        <v>3.5688366365377426</v>
      </c>
      <c r="GE318">
        <v>2.4661239366858436</v>
      </c>
      <c r="GF318">
        <v>3.0234989326511759</v>
      </c>
      <c r="GG318">
        <v>1.2981488832102204</v>
      </c>
      <c r="GH318">
        <v>1.3247603501682221</v>
      </c>
      <c r="GI318">
        <v>4.0536348926600656</v>
      </c>
      <c r="GJ318"/>
      <c r="GK318"/>
      <c r="GL318"/>
      <c r="GM318"/>
    </row>
    <row r="319" spans="1:195" s="7" customFormat="1">
      <c r="A319" s="1"/>
      <c r="B319">
        <v>0.93407084778146654</v>
      </c>
      <c r="C319">
        <v>10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7.2894726800976795</v>
      </c>
      <c r="AO319">
        <v>5.4387895612687389</v>
      </c>
      <c r="AP319">
        <v>26.660629526318594</v>
      </c>
      <c r="AQ319">
        <v>22.5847373506457</v>
      </c>
      <c r="AR319">
        <v>4.9923941136874053</v>
      </c>
      <c r="AS319">
        <v>25.193482519651511</v>
      </c>
      <c r="AT319" t="e">
        <v>#DIV/0!</v>
      </c>
      <c r="AU319" t="e">
        <v>#DIV/0!</v>
      </c>
      <c r="AV319"/>
      <c r="AW319"/>
      <c r="FY319" s="210">
        <v>314</v>
      </c>
      <c r="FZ319">
        <v>0</v>
      </c>
      <c r="GA319">
        <v>0.25078276311417147</v>
      </c>
      <c r="GB319">
        <v>0.12787265331161465</v>
      </c>
      <c r="GC319">
        <v>6.7610684641433423</v>
      </c>
      <c r="GD319">
        <v>5.7839924759130703</v>
      </c>
      <c r="GE319">
        <v>2.6882843904050566</v>
      </c>
      <c r="GF319">
        <v>2.1424426065148507</v>
      </c>
      <c r="GG319">
        <v>0.81714677051852402</v>
      </c>
      <c r="GH319">
        <v>0.66238017508411107</v>
      </c>
      <c r="GI319">
        <v>4.6775003519575122</v>
      </c>
      <c r="GJ319"/>
      <c r="GK319"/>
      <c r="GL319"/>
      <c r="GM319"/>
    </row>
    <row r="320" spans="1:195" s="7" customFormat="1">
      <c r="A320" s="1"/>
      <c r="B320">
        <v>0.16139594822601921</v>
      </c>
      <c r="C320">
        <v>4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4.3976076007326004</v>
      </c>
      <c r="AO320">
        <v>2.6944176846870675</v>
      </c>
      <c r="AP320">
        <v>15.972886854936386</v>
      </c>
      <c r="AQ320">
        <v>12.931361664112405</v>
      </c>
      <c r="AR320">
        <v>2.3408641600611513</v>
      </c>
      <c r="AS320">
        <v>11.321499306695836</v>
      </c>
      <c r="AT320" t="e">
        <v>#DIV/0!</v>
      </c>
      <c r="AU320" t="e">
        <v>#DIV/0!</v>
      </c>
      <c r="AV320"/>
      <c r="AW320"/>
      <c r="FY320" s="210">
        <v>315</v>
      </c>
      <c r="FZ320">
        <v>3.3183084785198033E-2</v>
      </c>
      <c r="GA320">
        <v>4.8841509396162213</v>
      </c>
      <c r="GB320">
        <v>2.882155587212103</v>
      </c>
      <c r="GC320">
        <v>1.8556225580264258</v>
      </c>
      <c r="GD320">
        <v>1.6000391661867202</v>
      </c>
      <c r="GE320">
        <v>1.8866711072937405</v>
      </c>
      <c r="GF320">
        <v>2.1424426065148507</v>
      </c>
      <c r="GG320">
        <v>0.81714677051852402</v>
      </c>
      <c r="GH320">
        <v>0.66238017508411107</v>
      </c>
      <c r="GI320">
        <v>2.313446069015896</v>
      </c>
      <c r="GJ320"/>
      <c r="GK320"/>
      <c r="GL320"/>
      <c r="GM320"/>
    </row>
    <row r="321" spans="1:195" s="7" customFormat="1">
      <c r="A321" s="1"/>
      <c r="B321">
        <v>0.76659126435157976</v>
      </c>
      <c r="C321">
        <v>10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3.8819826007325999</v>
      </c>
      <c r="AO321">
        <v>2.8047387279055465</v>
      </c>
      <c r="AP321">
        <v>16.405897605145441</v>
      </c>
      <c r="AQ321">
        <v>13.389333972862541</v>
      </c>
      <c r="AR321">
        <v>2.601798448891973</v>
      </c>
      <c r="AS321">
        <v>13.118711187418912</v>
      </c>
      <c r="AT321" t="e">
        <v>#DIV/0!</v>
      </c>
      <c r="AU321" t="e">
        <v>#DIV/0!</v>
      </c>
      <c r="AV321"/>
      <c r="AW321"/>
      <c r="FY321" s="210">
        <v>316</v>
      </c>
      <c r="FZ321">
        <v>0.2456818880042031</v>
      </c>
      <c r="GA321">
        <v>2.1108829387071388</v>
      </c>
      <c r="GB321">
        <v>2.597163980023371</v>
      </c>
      <c r="GC321">
        <v>3.230950158301634</v>
      </c>
      <c r="GD321">
        <v>2.7459432531902856</v>
      </c>
      <c r="GE321">
        <v>2.0631701326952463</v>
      </c>
      <c r="GF321">
        <v>0.38032995424220212</v>
      </c>
      <c r="GG321">
        <v>1.2981488832102204</v>
      </c>
      <c r="GH321">
        <v>1.3247603501682221</v>
      </c>
      <c r="GI321">
        <v>3.1754182507403828</v>
      </c>
      <c r="GJ321"/>
      <c r="GK321"/>
      <c r="GL321"/>
      <c r="GM321"/>
    </row>
    <row r="322" spans="1:195" s="7" customFormat="1">
      <c r="A322" s="1"/>
      <c r="B322">
        <v>0.4833009715964578</v>
      </c>
      <c r="C322">
        <v>6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4.2036973443223431</v>
      </c>
      <c r="AO322">
        <v>3.1054489256498621</v>
      </c>
      <c r="AP322">
        <v>21.326304660961817</v>
      </c>
      <c r="AQ322">
        <v>16.277741806667464</v>
      </c>
      <c r="AR322">
        <v>2.8278851752654419</v>
      </c>
      <c r="AS322">
        <v>11.978505073039573</v>
      </c>
      <c r="AT322" t="e">
        <v>#DIV/0!</v>
      </c>
      <c r="AU322" t="e">
        <v>#DIV/0!</v>
      </c>
      <c r="AV322"/>
      <c r="AW322"/>
      <c r="FY322" s="210">
        <v>317</v>
      </c>
      <c r="FZ322">
        <v>0.49136377600840619</v>
      </c>
      <c r="GA322">
        <v>3.2486412531725897</v>
      </c>
      <c r="GB322">
        <v>1.8615526036705785</v>
      </c>
      <c r="GC322">
        <v>4.0202786561529669</v>
      </c>
      <c r="GD322">
        <v>3.2882647835370844</v>
      </c>
      <c r="GE322">
        <v>2.098180931879603</v>
      </c>
      <c r="GF322">
        <v>1.7621126522726489</v>
      </c>
      <c r="GG322">
        <v>0.96200422538339236</v>
      </c>
      <c r="GH322">
        <v>1.3247603501682221</v>
      </c>
      <c r="GI322">
        <v>3.4039639021565535</v>
      </c>
      <c r="GJ322"/>
      <c r="GK322"/>
      <c r="GL322"/>
      <c r="GM322"/>
    </row>
    <row r="323" spans="1:195" s="7" customFormat="1">
      <c r="A323" s="1"/>
      <c r="B323">
        <v>0.91063203951892313</v>
      </c>
      <c r="C323">
        <v>3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7.4281898656898644</v>
      </c>
      <c r="AO323">
        <v>6.2522532011737617</v>
      </c>
      <c r="AP323">
        <v>21.818006749573215</v>
      </c>
      <c r="AQ323">
        <v>21.747427777024427</v>
      </c>
      <c r="AR323">
        <v>5.7998638229812247</v>
      </c>
      <c r="AS323">
        <v>30.605323425736888</v>
      </c>
      <c r="AT323" t="e">
        <v>#DIV/0!</v>
      </c>
      <c r="AU323" t="e">
        <v>#DIV/0!</v>
      </c>
      <c r="AV323"/>
      <c r="AW323"/>
      <c r="FY323" s="210">
        <v>318</v>
      </c>
      <c r="FZ323">
        <v>0.27886497278940114</v>
      </c>
      <c r="GA323">
        <v>6.1473006356387572</v>
      </c>
      <c r="GB323">
        <v>2.7825448812398537</v>
      </c>
      <c r="GC323">
        <v>4.8833615446287491</v>
      </c>
      <c r="GD323">
        <v>4.1193735541109513</v>
      </c>
      <c r="GE323">
        <v>1.5925759370892807</v>
      </c>
      <c r="GF323">
        <v>0.88105632613632445</v>
      </c>
      <c r="GG323">
        <v>0</v>
      </c>
      <c r="GH323">
        <v>0</v>
      </c>
      <c r="GI323">
        <v>3.9109281094152997</v>
      </c>
      <c r="GJ323"/>
      <c r="GK323"/>
      <c r="GL323"/>
      <c r="GM323"/>
    </row>
    <row r="324" spans="1:195" s="7" customFormat="1">
      <c r="A324" s="1"/>
      <c r="B324">
        <v>0.84967299148880526</v>
      </c>
      <c r="C324">
        <v>5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7.2065972222222214</v>
      </c>
      <c r="AO324">
        <v>8.2214200144400813</v>
      </c>
      <c r="AP324">
        <v>27.962490717126652</v>
      </c>
      <c r="AQ324">
        <v>27.753229814095175</v>
      </c>
      <c r="AR324">
        <v>7.5736839589298377</v>
      </c>
      <c r="AS324">
        <v>32.537639245308966</v>
      </c>
      <c r="AT324" t="e">
        <v>#DIV/0!</v>
      </c>
      <c r="AU324" t="e">
        <v>#DIV/0!</v>
      </c>
      <c r="AV324"/>
      <c r="AW324"/>
      <c r="FY324" s="210">
        <v>319</v>
      </c>
      <c r="FZ324">
        <v>0.31204805757459919</v>
      </c>
      <c r="GA324">
        <v>2.8059672186964719</v>
      </c>
      <c r="GB324">
        <v>1.1745641094906705</v>
      </c>
      <c r="GC324">
        <v>6.901977070437967</v>
      </c>
      <c r="GD324">
        <v>5.2476590132186249</v>
      </c>
      <c r="GE324">
        <v>0.85604260000438437</v>
      </c>
      <c r="GF324">
        <v>1.4515512574996277</v>
      </c>
      <c r="GG324">
        <v>1.4662212121236342</v>
      </c>
      <c r="GH324">
        <v>1.3247603501682221</v>
      </c>
      <c r="GI324">
        <v>4.6439643335923506</v>
      </c>
      <c r="GJ324"/>
      <c r="GK324"/>
      <c r="GL324"/>
      <c r="GM324"/>
    </row>
    <row r="325" spans="1:195" s="7" customFormat="1">
      <c r="A325" s="1"/>
      <c r="B325">
        <v>0.63237781940270876</v>
      </c>
      <c r="C325">
        <v>3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6.0005341880341874</v>
      </c>
      <c r="AO325">
        <v>7.5300318963249024</v>
      </c>
      <c r="AP325">
        <v>19.767264393942874</v>
      </c>
      <c r="AQ325">
        <v>22.821509980337055</v>
      </c>
      <c r="AR325">
        <v>6.9851872878709678</v>
      </c>
      <c r="AS325">
        <v>30.323868573401807</v>
      </c>
      <c r="AT325" t="e">
        <v>#DIV/0!</v>
      </c>
      <c r="AU325" t="e">
        <v>#DIV/0!</v>
      </c>
      <c r="AV325"/>
      <c r="AW325"/>
      <c r="FY325" s="210">
        <v>320</v>
      </c>
      <c r="FZ325">
        <v>0.49136377600840619</v>
      </c>
      <c r="GA325">
        <v>1.67856614936047</v>
      </c>
      <c r="GB325">
        <v>1.6805186518577644</v>
      </c>
      <c r="GC325">
        <v>8.5658489262100712</v>
      </c>
      <c r="GD325">
        <v>6.3067311532604675</v>
      </c>
      <c r="GE325">
        <v>0.80161328311131574</v>
      </c>
      <c r="GF325">
        <v>0.38032995424220212</v>
      </c>
      <c r="GG325">
        <v>2.2601531085936126</v>
      </c>
      <c r="GH325">
        <v>2.6495207003364443</v>
      </c>
      <c r="GI325">
        <v>5.6128746397590383</v>
      </c>
      <c r="GJ325"/>
      <c r="GK325"/>
      <c r="GL325"/>
      <c r="GM325"/>
    </row>
    <row r="326" spans="1:195" s="7" customFormat="1">
      <c r="A326" s="1"/>
      <c r="B326">
        <v>0.78489468399717333</v>
      </c>
      <c r="C326">
        <v>6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9.1956845238095219</v>
      </c>
      <c r="AO326">
        <v>13.070514725702083</v>
      </c>
      <c r="AP326">
        <v>35.049500500409373</v>
      </c>
      <c r="AQ326">
        <v>37.711648955838776</v>
      </c>
      <c r="AR326">
        <v>12.07191652967381</v>
      </c>
      <c r="AS326">
        <v>73.77530658507365</v>
      </c>
      <c r="AT326" t="e">
        <v>#DIV/0!</v>
      </c>
      <c r="AU326" t="e">
        <v>#DIV/0!</v>
      </c>
      <c r="AV326"/>
      <c r="AW326"/>
      <c r="FY326" s="210">
        <v>321</v>
      </c>
      <c r="FZ326">
        <v>0.27886497278940114</v>
      </c>
      <c r="GA326">
        <v>3.4890667711573125</v>
      </c>
      <c r="GB326">
        <v>1.5191450939315414</v>
      </c>
      <c r="GC326">
        <v>7.1889262490499135</v>
      </c>
      <c r="GD326">
        <v>5.5260061157764335</v>
      </c>
      <c r="GE326">
        <v>1.5731574193805689</v>
      </c>
      <c r="GF326">
        <v>1.95227762939375</v>
      </c>
      <c r="GG326">
        <v>0.64907444160511019</v>
      </c>
      <c r="GH326">
        <v>0.66238017508411107</v>
      </c>
      <c r="GI326">
        <v>4.9886913348227964</v>
      </c>
      <c r="GJ326"/>
      <c r="GK326"/>
      <c r="GL326"/>
      <c r="GM326"/>
    </row>
    <row r="327" spans="1:195" s="7" customFormat="1">
      <c r="A327" s="1"/>
      <c r="B327">
        <v>0.74322994810181964</v>
      </c>
      <c r="C327">
        <v>1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4.1440972222222214</v>
      </c>
      <c r="AO327">
        <v>3.8032770514611336</v>
      </c>
      <c r="AP327">
        <v>13.329376026528571</v>
      </c>
      <c r="AQ327">
        <v>13.537154380777968</v>
      </c>
      <c r="AR327">
        <v>3.475221099023579</v>
      </c>
      <c r="AS327">
        <v>17.309816737215503</v>
      </c>
      <c r="AT327" t="e">
        <v>#DIV/0!</v>
      </c>
      <c r="AU327" t="e">
        <v>#DIV/0!</v>
      </c>
      <c r="AV327"/>
      <c r="AW327"/>
      <c r="FY327" s="210">
        <v>322</v>
      </c>
      <c r="FZ327">
        <v>0.34523114235979718</v>
      </c>
      <c r="GA327">
        <v>6.1003938714150241</v>
      </c>
      <c r="GB327">
        <v>3.2906728983087818</v>
      </c>
      <c r="GC327">
        <v>3.998834570419791</v>
      </c>
      <c r="GD327">
        <v>3.3913128300370792</v>
      </c>
      <c r="GE327">
        <v>1.8691657077015624</v>
      </c>
      <c r="GF327">
        <v>0.88105632613632445</v>
      </c>
      <c r="GG327">
        <v>0.96200422538339236</v>
      </c>
      <c r="GH327">
        <v>1.3247603501682221</v>
      </c>
      <c r="GI327">
        <v>3.789728656084201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7.67311507936508</v>
      </c>
      <c r="AO328">
        <v>7.4793889179997519</v>
      </c>
      <c r="AP328">
        <v>28.462571975190187</v>
      </c>
      <c r="AQ328">
        <v>26.965034014150064</v>
      </c>
      <c r="AR328">
        <v>6.9382086437845549</v>
      </c>
      <c r="AS328">
        <v>30.522250015487689</v>
      </c>
      <c r="AT328" t="e">
        <v>#DIV/0!</v>
      </c>
      <c r="AU328" t="e">
        <v>#DIV/0!</v>
      </c>
      <c r="AV328"/>
      <c r="AW328"/>
      <c r="FY328" s="210">
        <v>323</v>
      </c>
      <c r="FZ328">
        <v>0.27886497278940114</v>
      </c>
      <c r="GA328">
        <v>2.6413335284727095</v>
      </c>
      <c r="GB328">
        <v>2.8268208140090696</v>
      </c>
      <c r="GC328">
        <v>6.553080943486199</v>
      </c>
      <c r="GD328">
        <v>4.6646149246278839</v>
      </c>
      <c r="GE328">
        <v>1.3810661125034183</v>
      </c>
      <c r="GF328">
        <v>1.0712213032574254</v>
      </c>
      <c r="GG328">
        <v>1.1300765542968063</v>
      </c>
      <c r="GH328">
        <v>1.3247603501682221</v>
      </c>
      <c r="GI328">
        <v>4.5542639533677374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7.0319940476190466</v>
      </c>
      <c r="AO329">
        <v>6.6733594001193044</v>
      </c>
      <c r="AP329">
        <v>32.259053733700668</v>
      </c>
      <c r="AQ329">
        <v>27.258677225458932</v>
      </c>
      <c r="AR329">
        <v>6.0319047124101655</v>
      </c>
      <c r="AS329">
        <v>34.307257790461335</v>
      </c>
      <c r="AT329" t="e">
        <v>#DIV/0!</v>
      </c>
      <c r="AU329" t="e">
        <v>#DIV/0!</v>
      </c>
      <c r="AV329"/>
      <c r="AW329"/>
      <c r="FY329" s="210">
        <v>324</v>
      </c>
      <c r="FZ329">
        <v>0.31204805757459919</v>
      </c>
      <c r="GA329">
        <v>4.2402936958220572</v>
      </c>
      <c r="GB329">
        <v>2.9817662931843527</v>
      </c>
      <c r="GC329">
        <v>6.7067821373815137</v>
      </c>
      <c r="GD329">
        <v>5.5157056810807346</v>
      </c>
      <c r="GE329">
        <v>3.5799851170662134</v>
      </c>
      <c r="GF329">
        <v>3.213663909772277</v>
      </c>
      <c r="GG329">
        <v>0.98521909943193808</v>
      </c>
      <c r="GH329">
        <v>0.66238017508411107</v>
      </c>
      <c r="GI329">
        <v>5.5020640680917667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6.5323183760683747</v>
      </c>
      <c r="AO330">
        <v>7.6461841402731894</v>
      </c>
      <c r="AP330">
        <v>21.189494976139414</v>
      </c>
      <c r="AQ330">
        <v>23.911470650962251</v>
      </c>
      <c r="AR330">
        <v>6.9872047558866024</v>
      </c>
      <c r="AS330">
        <v>32.158743601939605</v>
      </c>
      <c r="AT330" t="e">
        <v>#DIV/0!</v>
      </c>
      <c r="AU330" t="e">
        <v>#DIV/0!</v>
      </c>
      <c r="AV330"/>
      <c r="AW330"/>
      <c r="FY330" s="210">
        <v>325</v>
      </c>
      <c r="FZ330">
        <v>0.55772994557880229</v>
      </c>
      <c r="GA330">
        <v>1.7570507666938231</v>
      </c>
      <c r="GB330">
        <v>1.6805186518577644</v>
      </c>
      <c r="GC330">
        <v>7.0100434357039383</v>
      </c>
      <c r="GD330">
        <v>5.5778086887004621</v>
      </c>
      <c r="GE330">
        <v>4.2877150979531651</v>
      </c>
      <c r="GF330">
        <v>4.405281630681622</v>
      </c>
      <c r="GG330">
        <v>0.96200422538339236</v>
      </c>
      <c r="GH330">
        <v>1.3247603501682221</v>
      </c>
      <c r="GI330">
        <v>5.5401416422937269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6.124542124542125</v>
      </c>
      <c r="AO331">
        <v>3.7029743357767115</v>
      </c>
      <c r="AP331">
        <v>24.782115764535988</v>
      </c>
      <c r="AQ331">
        <v>19.077238064253788</v>
      </c>
      <c r="AR331">
        <v>3.329310688635696</v>
      </c>
      <c r="AS331">
        <v>17.883734378879979</v>
      </c>
      <c r="AT331" t="e">
        <v>#DIV/0!</v>
      </c>
      <c r="AU331" t="e">
        <v>#DIV/0!</v>
      </c>
      <c r="AV331"/>
      <c r="AW331"/>
      <c r="FY331" s="210">
        <v>326</v>
      </c>
      <c r="FZ331">
        <v>0.49136377600840619</v>
      </c>
      <c r="GA331">
        <v>4.4518341502695522</v>
      </c>
      <c r="GB331">
        <v>2.4097019494596168</v>
      </c>
      <c r="GC331">
        <v>10.337946462666194</v>
      </c>
      <c r="GD331">
        <v>7.9709229209961201</v>
      </c>
      <c r="GE331">
        <v>1.5925759370892807</v>
      </c>
      <c r="GF331">
        <v>1.4515512574996277</v>
      </c>
      <c r="GG331">
        <v>1.4662212121236342</v>
      </c>
      <c r="GH331">
        <v>1.3247603501682221</v>
      </c>
      <c r="GI331">
        <v>6.8706612510132512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3.892895299145299</v>
      </c>
      <c r="AO332">
        <v>5.3555178995963999</v>
      </c>
      <c r="AP332">
        <v>22.925201408998188</v>
      </c>
      <c r="AQ332">
        <v>19.172449789282908</v>
      </c>
      <c r="AR332">
        <v>4.9680128938742119</v>
      </c>
      <c r="AS332">
        <v>20.705331503312767</v>
      </c>
      <c r="AT332" t="e">
        <v>#DIV/0!</v>
      </c>
      <c r="AU332" t="e">
        <v>#DIV/0!</v>
      </c>
      <c r="AV332"/>
      <c r="AW332"/>
      <c r="FY332" s="210">
        <v>327</v>
      </c>
      <c r="FZ332">
        <v>3.3183084785198033E-2</v>
      </c>
      <c r="GA332">
        <v>4.7587595580591353</v>
      </c>
      <c r="GB332">
        <v>2.2461549168315607</v>
      </c>
      <c r="GC332">
        <v>8.9042804765367087</v>
      </c>
      <c r="GD332">
        <v>7.0941773707954301</v>
      </c>
      <c r="GE332">
        <v>1.1520508883253777</v>
      </c>
      <c r="GF332">
        <v>0.19016497712110106</v>
      </c>
      <c r="GG332">
        <v>1.6110786669885027</v>
      </c>
      <c r="GH332">
        <v>1.9871405252523333</v>
      </c>
      <c r="GI332">
        <v>6.231092750679367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5.9553952991452981</v>
      </c>
      <c r="AO333">
        <v>5.5171775862501935</v>
      </c>
      <c r="AP333">
        <v>25.034948503651364</v>
      </c>
      <c r="AQ333">
        <v>22.461123134402047</v>
      </c>
      <c r="AR333">
        <v>5.0122450582771458</v>
      </c>
      <c r="AS333">
        <v>24.844762274225655</v>
      </c>
      <c r="AT333" t="e">
        <v>#DIV/0!</v>
      </c>
      <c r="AU333" t="e">
        <v>#DIV/0!</v>
      </c>
      <c r="AV333"/>
      <c r="AW333"/>
      <c r="FY333" s="210">
        <v>328</v>
      </c>
      <c r="FZ333">
        <v>3.3183084785198033E-2</v>
      </c>
      <c r="GA333">
        <v>2.8332247998346558</v>
      </c>
      <c r="GB333">
        <v>1.3534245866016503</v>
      </c>
      <c r="GC333">
        <v>3.1519885003468318</v>
      </c>
      <c r="GD333">
        <v>3.1922442708204275</v>
      </c>
      <c r="GE333">
        <v>2.3941892202005963</v>
      </c>
      <c r="GF333">
        <v>1.6417162346207288</v>
      </c>
      <c r="GG333">
        <v>1.634293541037048</v>
      </c>
      <c r="GH333">
        <v>1.3247603501682221</v>
      </c>
      <c r="GI333">
        <v>3.317148934801931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7.3757440476190466</v>
      </c>
      <c r="AO334">
        <v>6.4235004420599413</v>
      </c>
      <c r="AP334">
        <v>27.568107974901572</v>
      </c>
      <c r="AQ334">
        <v>24.596005961048615</v>
      </c>
      <c r="AR334">
        <v>5.9058550420651441</v>
      </c>
      <c r="AS334">
        <v>28.240769939239726</v>
      </c>
      <c r="AT334" t="e">
        <v>#DIV/0!</v>
      </c>
      <c r="AU334" t="e">
        <v>#DIV/0!</v>
      </c>
      <c r="AV334"/>
      <c r="AW334"/>
      <c r="FY334" s="210">
        <v>329</v>
      </c>
      <c r="FZ334">
        <v>0.52454686079360424</v>
      </c>
      <c r="GA334">
        <v>1.7178084580271467</v>
      </c>
      <c r="GB334">
        <v>1.6805186518577644</v>
      </c>
      <c r="GC334">
        <v>4.6915571724501417</v>
      </c>
      <c r="GD334">
        <v>3.4291155481108886</v>
      </c>
      <c r="GE334">
        <v>1.3441421952025283</v>
      </c>
      <c r="GF334">
        <v>0.88105632613632445</v>
      </c>
      <c r="GG334">
        <v>1.9240084507667847</v>
      </c>
      <c r="GH334">
        <v>2.6495207003364443</v>
      </c>
      <c r="GI334">
        <v>3.7131641602279011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7.8067956349206353</v>
      </c>
      <c r="AO335">
        <v>7.6246496844925575</v>
      </c>
      <c r="AP335">
        <v>26.509515877115163</v>
      </c>
      <c r="AQ335">
        <v>26.184755222806558</v>
      </c>
      <c r="AR335">
        <v>7.0200936714089437</v>
      </c>
      <c r="AS335">
        <v>29.475479889378093</v>
      </c>
      <c r="AT335" t="e">
        <v>#DIV/0!</v>
      </c>
      <c r="AU335" t="e">
        <v>#DIV/0!</v>
      </c>
      <c r="AV335"/>
      <c r="AW335"/>
      <c r="FY335" s="210">
        <v>330</v>
      </c>
      <c r="FZ335">
        <v>0.49136377600840619</v>
      </c>
      <c r="GA335">
        <v>3.6144581527143984</v>
      </c>
      <c r="GB335">
        <v>2.0272731110004698</v>
      </c>
      <c r="GC335">
        <v>10.037782422306263</v>
      </c>
      <c r="GD335">
        <v>8.3340069215619561</v>
      </c>
      <c r="GE335">
        <v>2.8453648980978503</v>
      </c>
      <c r="GF335">
        <v>1.2613862803785265</v>
      </c>
      <c r="GG335">
        <v>0.3361446578268279</v>
      </c>
      <c r="GH335">
        <v>0</v>
      </c>
      <c r="GI335">
        <v>6.8443104165707274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6.7331730769230758</v>
      </c>
      <c r="AO336">
        <v>9.2718293132870411</v>
      </c>
      <c r="AP336">
        <v>30.695978028236492</v>
      </c>
      <c r="AQ336">
        <v>30.427520342739797</v>
      </c>
      <c r="AR336">
        <v>8.6009548360733206</v>
      </c>
      <c r="AS336">
        <v>49.484450661995638</v>
      </c>
      <c r="AT336" t="e">
        <v>#DIV/0!</v>
      </c>
      <c r="AU336" t="e">
        <v>#DIV/0!</v>
      </c>
      <c r="AV336"/>
      <c r="AW336"/>
      <c r="FY336" s="210">
        <v>331</v>
      </c>
      <c r="FZ336">
        <v>0.31204805757459919</v>
      </c>
      <c r="GA336">
        <v>2.4297930740252145</v>
      </c>
      <c r="GB336">
        <v>0.98275512952324828</v>
      </c>
      <c r="GC336">
        <v>7.6124778978318037</v>
      </c>
      <c r="GD336">
        <v>6.6637211285145677</v>
      </c>
      <c r="GE336">
        <v>2.0262462153943566</v>
      </c>
      <c r="GF336">
        <v>0.19016497712110106</v>
      </c>
      <c r="GG336">
        <v>0.64907444160511019</v>
      </c>
      <c r="GH336">
        <v>0.66238017508411107</v>
      </c>
      <c r="GI336">
        <v>5.0165287302163044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7.8993437118437111</v>
      </c>
      <c r="AO337">
        <v>8.2334361389017285</v>
      </c>
      <c r="AP337">
        <v>28.550592575591573</v>
      </c>
      <c r="AQ337">
        <v>27.827590202990933</v>
      </c>
      <c r="AR337">
        <v>7.5319654225179011</v>
      </c>
      <c r="AS337">
        <v>31.36965348913153</v>
      </c>
      <c r="AT337" t="e">
        <v>#DIV/0!</v>
      </c>
      <c r="AU337" t="e">
        <v>#DIV/0!</v>
      </c>
      <c r="AV337"/>
      <c r="AW337"/>
      <c r="FY337" s="210">
        <v>332</v>
      </c>
      <c r="FZ337">
        <v>0.31204805757459919</v>
      </c>
      <c r="GA337">
        <v>9.2105937083286875</v>
      </c>
      <c r="GB337">
        <v>4.211665175878057</v>
      </c>
      <c r="GC337">
        <v>7.1889262490499135</v>
      </c>
      <c r="GD337">
        <v>5.7844270623327363</v>
      </c>
      <c r="GE337">
        <v>1.0131231076971783</v>
      </c>
      <c r="GF337">
        <v>0.19016497712110106</v>
      </c>
      <c r="GG337">
        <v>1.1300765542968063</v>
      </c>
      <c r="GH337">
        <v>1.3247603501682221</v>
      </c>
      <c r="GI337">
        <v>5.635905185433816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7.7096115689865687</v>
      </c>
      <c r="AO338">
        <v>6.2547992853565511</v>
      </c>
      <c r="AP338">
        <v>31.313056389311168</v>
      </c>
      <c r="AQ338">
        <v>25.953160578014177</v>
      </c>
      <c r="AR338">
        <v>5.7493604625629278</v>
      </c>
      <c r="AS338">
        <v>24.166799181025961</v>
      </c>
      <c r="AT338" t="e">
        <v>#DIV/0!</v>
      </c>
      <c r="AU338" t="e">
        <v>#DIV/0!</v>
      </c>
      <c r="AV338"/>
      <c r="AW338"/>
      <c r="FY338" s="210">
        <v>333</v>
      </c>
      <c r="FZ338">
        <v>0.2456818880042031</v>
      </c>
      <c r="GA338">
        <v>1.9854915571500533</v>
      </c>
      <c r="GB338">
        <v>1.3890989659180928</v>
      </c>
      <c r="GC338">
        <v>4.7265630927709417</v>
      </c>
      <c r="GD338">
        <v>3.7010374274654714</v>
      </c>
      <c r="GE338">
        <v>1.8866711072937405</v>
      </c>
      <c r="GF338">
        <v>2.1424426065148507</v>
      </c>
      <c r="GG338">
        <v>0.81714677051852402</v>
      </c>
      <c r="GH338">
        <v>0.66238017508411107</v>
      </c>
      <c r="GI338">
        <v>3.5327597764901464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7.1574900793650782</v>
      </c>
      <c r="AO339">
        <v>7.4923622305238995</v>
      </c>
      <c r="AP339">
        <v>29.13407112411419</v>
      </c>
      <c r="AQ339">
        <v>26.426103456978872</v>
      </c>
      <c r="AR339">
        <v>6.8973780369296698</v>
      </c>
      <c r="AS339">
        <v>28.334040444649318</v>
      </c>
      <c r="AT339" t="e">
        <v>#DIV/0!</v>
      </c>
      <c r="AU339" t="e">
        <v>#DIV/0!</v>
      </c>
      <c r="AV339"/>
      <c r="AW339"/>
      <c r="FY339" s="210">
        <v>334</v>
      </c>
      <c r="FZ339">
        <v>0.52454686079360424</v>
      </c>
      <c r="GA339">
        <v>1.5924170764700607</v>
      </c>
      <c r="GB339">
        <v>1.6165823252019571</v>
      </c>
      <c r="GC339">
        <v>3.5734337677207195</v>
      </c>
      <c r="GD339">
        <v>3.3221907943888098</v>
      </c>
      <c r="GE339">
        <v>2.0631701326952463</v>
      </c>
      <c r="GF339">
        <v>0.19016497712110106</v>
      </c>
      <c r="GG339">
        <v>0.64907444160511019</v>
      </c>
      <c r="GH339">
        <v>0.66238017508411107</v>
      </c>
      <c r="GI339">
        <v>2.7530776029829513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10.037603021978018</v>
      </c>
      <c r="AO340">
        <v>9.0088525437082048</v>
      </c>
      <c r="AP340">
        <v>37.226592069575524</v>
      </c>
      <c r="AQ340">
        <v>33.699908234489563</v>
      </c>
      <c r="AR340">
        <v>8.1984104114722243</v>
      </c>
      <c r="AS340">
        <v>40.628563550364092</v>
      </c>
      <c r="AT340" t="e">
        <v>#DIV/0!</v>
      </c>
      <c r="AU340" t="e">
        <v>#DIV/0!</v>
      </c>
      <c r="AV340"/>
      <c r="AW340"/>
      <c r="FY340" s="210">
        <v>335</v>
      </c>
      <c r="FZ340">
        <v>0</v>
      </c>
      <c r="GA340">
        <v>3.9971753882649419</v>
      </c>
      <c r="GB340">
        <v>3.0457026198401604</v>
      </c>
      <c r="GC340">
        <v>2.5269010743236011</v>
      </c>
      <c r="GD340">
        <v>2.3262145996715913</v>
      </c>
      <c r="GE340">
        <v>2.3203413855988164</v>
      </c>
      <c r="GF340">
        <v>1.4515512574996277</v>
      </c>
      <c r="GG340">
        <v>0.98521909943193808</v>
      </c>
      <c r="GH340">
        <v>0.66238017508411107</v>
      </c>
      <c r="GI340">
        <v>2.8953471624718321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8.3524305555555536</v>
      </c>
      <c r="AO341">
        <v>9.0160676190858009</v>
      </c>
      <c r="AP341">
        <v>34.825481116100711</v>
      </c>
      <c r="AQ341">
        <v>33.103054435014919</v>
      </c>
      <c r="AR341">
        <v>8.099372992131002</v>
      </c>
      <c r="AS341">
        <v>35.730400297611865</v>
      </c>
      <c r="AT341" t="e">
        <v>#DIV/0!</v>
      </c>
      <c r="AU341" t="e">
        <v>#DIV/0!</v>
      </c>
      <c r="AV341"/>
      <c r="AW341"/>
      <c r="FY341" s="210">
        <v>336</v>
      </c>
      <c r="FZ341">
        <v>0.27886497278940114</v>
      </c>
      <c r="GA341">
        <v>1.1770006231321273</v>
      </c>
      <c r="GB341">
        <v>0.98058165482141413</v>
      </c>
      <c r="GC341">
        <v>5.8548041012858567</v>
      </c>
      <c r="GD341">
        <v>4.9092670027250893</v>
      </c>
      <c r="GE341">
        <v>2.1826793956147341</v>
      </c>
      <c r="GF341">
        <v>1.2613862803785265</v>
      </c>
      <c r="GG341">
        <v>0.81714677051852402</v>
      </c>
      <c r="GH341">
        <v>0.66238017508411107</v>
      </c>
      <c r="GI341">
        <v>4.2470753744044796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11.202132936507937</v>
      </c>
      <c r="AO342">
        <v>11.253545530797791</v>
      </c>
      <c r="AP342">
        <v>38.709083947007514</v>
      </c>
      <c r="AQ342">
        <v>38.367539267293907</v>
      </c>
      <c r="AR342">
        <v>10.386416348872054</v>
      </c>
      <c r="AS342">
        <v>54.376518785552996</v>
      </c>
      <c r="AT342" t="e">
        <v>#DIV/0!</v>
      </c>
      <c r="AU342" t="e">
        <v>#DIV/0!</v>
      </c>
      <c r="AV342"/>
      <c r="AW342"/>
      <c r="FY342" s="210">
        <v>337</v>
      </c>
      <c r="FZ342">
        <v>0.27886497278940114</v>
      </c>
      <c r="GA342">
        <v>5.4249587745112411</v>
      </c>
      <c r="GB342">
        <v>3.5820925842484534</v>
      </c>
      <c r="GC342">
        <v>5.1439563010523806</v>
      </c>
      <c r="GD342">
        <v>3.8701210186847534</v>
      </c>
      <c r="GE342">
        <v>2.098180931879603</v>
      </c>
      <c r="GF342">
        <v>1.95227762939375</v>
      </c>
      <c r="GG342">
        <v>0.16807232891341395</v>
      </c>
      <c r="GH342">
        <v>0</v>
      </c>
      <c r="GI342">
        <v>4.2662174093910767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9.4955357142857117</v>
      </c>
      <c r="AO343">
        <v>10.370679377776401</v>
      </c>
      <c r="AP343">
        <v>35.47852688768377</v>
      </c>
      <c r="AQ343">
        <v>34.208083215374714</v>
      </c>
      <c r="AR343">
        <v>9.6202962688092786</v>
      </c>
      <c r="AS343">
        <v>38.586717002922903</v>
      </c>
      <c r="AT343" t="e">
        <v>#DIV/0!</v>
      </c>
      <c r="AU343" t="e">
        <v>#DIV/0!</v>
      </c>
      <c r="AV343"/>
      <c r="AW343"/>
      <c r="FY343" s="210">
        <v>338</v>
      </c>
      <c r="FZ343">
        <v>0.49136377600840619</v>
      </c>
      <c r="GA343">
        <v>2.7667249100297955</v>
      </c>
      <c r="GB343">
        <v>2.7628844873532623</v>
      </c>
      <c r="GC343">
        <v>6.9778414704302776</v>
      </c>
      <c r="GD343">
        <v>5.6824717427099953</v>
      </c>
      <c r="GE343">
        <v>2.8453648980978503</v>
      </c>
      <c r="GF343">
        <v>1.2613862803785265</v>
      </c>
      <c r="GG343">
        <v>0.81714677051852402</v>
      </c>
      <c r="GH343">
        <v>0.66238017508411107</v>
      </c>
      <c r="GI343">
        <v>5.2335291170098506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4.752270299145299</v>
      </c>
      <c r="AO344">
        <v>5.5054730821010747</v>
      </c>
      <c r="AP344">
        <v>23.290799861716906</v>
      </c>
      <c r="AQ344">
        <v>20.876173523217293</v>
      </c>
      <c r="AR344">
        <v>5.0542526673352128</v>
      </c>
      <c r="AS344">
        <v>22.661408584205034</v>
      </c>
      <c r="AT344" t="e">
        <v>#DIV/0!</v>
      </c>
      <c r="AU344" t="e">
        <v>#DIV/0!</v>
      </c>
      <c r="AV344"/>
      <c r="AW344"/>
      <c r="FY344" s="210">
        <v>339</v>
      </c>
      <c r="FZ344">
        <v>0.27886497278940114</v>
      </c>
      <c r="GA344">
        <v>4.6933249754276236</v>
      </c>
      <c r="GB344">
        <v>2.1065228821391999</v>
      </c>
      <c r="GC344">
        <v>8.6142340399622679</v>
      </c>
      <c r="GD344">
        <v>6.8575360064944917</v>
      </c>
      <c r="GE344">
        <v>1.5925759370892807</v>
      </c>
      <c r="GF344">
        <v>1.4515512574996277</v>
      </c>
      <c r="GG344">
        <v>2.4282254375070265</v>
      </c>
      <c r="GH344">
        <v>2.6495207003364443</v>
      </c>
      <c r="GI344">
        <v>6.2987821434600146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5.5161591880341891</v>
      </c>
      <c r="AO345">
        <v>6.1763844945130773</v>
      </c>
      <c r="AP345">
        <v>25.473128845739438</v>
      </c>
      <c r="AQ345">
        <v>22.55543852390953</v>
      </c>
      <c r="AR345">
        <v>5.6766194692016345</v>
      </c>
      <c r="AS345">
        <v>24.671241281108827</v>
      </c>
      <c r="AT345" t="e">
        <v>#DIV/0!</v>
      </c>
      <c r="AU345" t="e">
        <v>#DIV/0!</v>
      </c>
      <c r="AV345"/>
      <c r="AW345"/>
      <c r="FY345" s="210">
        <v>340</v>
      </c>
      <c r="FZ345">
        <v>9.9549254355594113E-2</v>
      </c>
      <c r="GA345">
        <v>0.96546016868463225</v>
      </c>
      <c r="GB345">
        <v>0.98058165482141413</v>
      </c>
      <c r="GC345">
        <v>4.9889709276872205</v>
      </c>
      <c r="GD345">
        <v>4.1234812477241576</v>
      </c>
      <c r="GE345">
        <v>1.3635607129112401</v>
      </c>
      <c r="GF345">
        <v>0.5704949313633032</v>
      </c>
      <c r="GG345">
        <v>1.9472233248153306</v>
      </c>
      <c r="GH345">
        <v>1.9871405252523333</v>
      </c>
      <c r="GI345">
        <v>3.7756234872220422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9.9820093101343108</v>
      </c>
      <c r="AO346">
        <v>11.253058999273859</v>
      </c>
      <c r="AP346">
        <v>33.814189915053987</v>
      </c>
      <c r="AQ346">
        <v>35.792090636465424</v>
      </c>
      <c r="AR346">
        <v>10.385965020927776</v>
      </c>
      <c r="AS346">
        <v>55.446967888765869</v>
      </c>
      <c r="AT346" t="e">
        <v>#DIV/0!</v>
      </c>
      <c r="AU346" t="e">
        <v>#DIV/0!</v>
      </c>
      <c r="AV346"/>
      <c r="AW346"/>
      <c r="FY346" s="210">
        <v>341</v>
      </c>
      <c r="FZ346">
        <v>0.55772994557880229</v>
      </c>
      <c r="GA346">
        <v>2.7198181458060624</v>
      </c>
      <c r="GB346">
        <v>0.98275512952324828</v>
      </c>
      <c r="GC346">
        <v>12.216293657935779</v>
      </c>
      <c r="GD346">
        <v>9.4984800912338976</v>
      </c>
      <c r="GE346">
        <v>1.5925759370892807</v>
      </c>
      <c r="GF346">
        <v>1.2613862803785265</v>
      </c>
      <c r="GG346">
        <v>1.7791509959019165</v>
      </c>
      <c r="GH346">
        <v>1.9871405252523333</v>
      </c>
      <c r="GI346">
        <v>7.8824268753825724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8.8894612332112306</v>
      </c>
      <c r="AO347">
        <v>8.1126381799638096</v>
      </c>
      <c r="AP347">
        <v>23.252792899427938</v>
      </c>
      <c r="AQ347">
        <v>26.545189826890411</v>
      </c>
      <c r="AR347">
        <v>7.5256383858662428</v>
      </c>
      <c r="AS347">
        <v>40.087219981785033</v>
      </c>
      <c r="AT347" t="e">
        <v>#DIV/0!</v>
      </c>
      <c r="AU347" t="e">
        <v>#DIV/0!</v>
      </c>
      <c r="AV347"/>
      <c r="AW347"/>
      <c r="FY347" s="210">
        <v>342</v>
      </c>
      <c r="FZ347">
        <v>0.77022874879780745</v>
      </c>
      <c r="GA347">
        <v>8.5378514009972974</v>
      </c>
      <c r="GB347">
        <v>4.2094917011762227</v>
      </c>
      <c r="GC347">
        <v>10.762706989610273</v>
      </c>
      <c r="GD347">
        <v>8.145034123610861</v>
      </c>
      <c r="GE347">
        <v>1.3441421952025283</v>
      </c>
      <c r="GF347">
        <v>2.2122111659840318</v>
      </c>
      <c r="GG347">
        <v>3.1005147531606827</v>
      </c>
      <c r="GH347">
        <v>2.6495207003364443</v>
      </c>
      <c r="GI347">
        <v>7.9351107189769623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11.647855616605614</v>
      </c>
      <c r="AO348">
        <v>9.3170112909650395</v>
      </c>
      <c r="AP348">
        <v>41.567892047981275</v>
      </c>
      <c r="AQ348">
        <v>36.001690427881115</v>
      </c>
      <c r="AR348">
        <v>8.6428676168506851</v>
      </c>
      <c r="AS348">
        <v>36.634686348270129</v>
      </c>
      <c r="AT348" t="e">
        <v>#DIV/0!</v>
      </c>
      <c r="AU348" t="e">
        <v>#DIV/0!</v>
      </c>
      <c r="AV348"/>
      <c r="AW348"/>
      <c r="FY348" s="210">
        <v>343</v>
      </c>
      <c r="FZ348">
        <v>0.49136377600840619</v>
      </c>
      <c r="GA348">
        <v>2.2755166289309012</v>
      </c>
      <c r="GB348">
        <v>0.8170346221933571</v>
      </c>
      <c r="GC348">
        <v>11.901412574750319</v>
      </c>
      <c r="GD348">
        <v>8.7720087009013241</v>
      </c>
      <c r="GE348">
        <v>0.54252891209121246</v>
      </c>
      <c r="GF348">
        <v>1.2613862803785265</v>
      </c>
      <c r="GG348">
        <v>0.81714677051852402</v>
      </c>
      <c r="GH348">
        <v>0.66238017508411107</v>
      </c>
      <c r="GI348">
        <v>7.0290137852898802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4.8165064102564106</v>
      </c>
      <c r="AO349">
        <v>5.7505022703160327</v>
      </c>
      <c r="AP349">
        <v>22.307239161292024</v>
      </c>
      <c r="AQ349">
        <v>21.089273367210133</v>
      </c>
      <c r="AR349">
        <v>5.2286872512881271</v>
      </c>
      <c r="AS349">
        <v>32.842961481452562</v>
      </c>
      <c r="AT349" t="e">
        <v>#DIV/0!</v>
      </c>
      <c r="AU349" t="e">
        <v>#DIV/0!</v>
      </c>
      <c r="AV349"/>
      <c r="AW349"/>
      <c r="FY349" s="210">
        <v>344</v>
      </c>
      <c r="FZ349">
        <v>0.52454686079360424</v>
      </c>
      <c r="GA349">
        <v>2.6805758371393864</v>
      </c>
      <c r="GB349">
        <v>2.1268838169727191</v>
      </c>
      <c r="GC349">
        <v>11.171577670991169</v>
      </c>
      <c r="GD349">
        <v>8.0897894298844157</v>
      </c>
      <c r="GE349">
        <v>1.0306285072893564</v>
      </c>
      <c r="GF349">
        <v>1.2613862803785265</v>
      </c>
      <c r="GG349">
        <v>0.81714677051852402</v>
      </c>
      <c r="GH349">
        <v>0.66238017508411107</v>
      </c>
      <c r="GI349">
        <v>6.8373508899484152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5.7644230769230766</v>
      </c>
      <c r="AO350">
        <v>4.3513002096882536</v>
      </c>
      <c r="AP350">
        <v>16.612707708059681</v>
      </c>
      <c r="AQ350">
        <v>16.947038154063673</v>
      </c>
      <c r="AR350">
        <v>4.0364565952581204</v>
      </c>
      <c r="AS350">
        <v>23.290286857305805</v>
      </c>
      <c r="AT350" t="e">
        <v>#DIV/0!</v>
      </c>
      <c r="AU350" t="e">
        <v>#DIV/0!</v>
      </c>
      <c r="AV350"/>
      <c r="AW350"/>
      <c r="FY350" s="210">
        <v>345</v>
      </c>
      <c r="FZ350">
        <v>0</v>
      </c>
      <c r="GA350">
        <v>4.9703000125066303</v>
      </c>
      <c r="GB350">
        <v>2.9460919138679103</v>
      </c>
      <c r="GC350">
        <v>9.3128578550022514</v>
      </c>
      <c r="GD350">
        <v>6.9076518039235113</v>
      </c>
      <c r="GE350">
        <v>1.6100813366814588</v>
      </c>
      <c r="GF350">
        <v>2.1424426065148507</v>
      </c>
      <c r="GG350">
        <v>0.3361446578268279</v>
      </c>
      <c r="GH350">
        <v>0</v>
      </c>
      <c r="GI350">
        <v>6.2919861893229294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5.9849855006105006</v>
      </c>
      <c r="AO351">
        <v>4.7811601757787576</v>
      </c>
      <c r="AP351">
        <v>25.35778562649692</v>
      </c>
      <c r="AQ351">
        <v>20.210832762186616</v>
      </c>
      <c r="AR351">
        <v>4.3823483015445666</v>
      </c>
      <c r="AS351">
        <v>21.908330761060238</v>
      </c>
      <c r="AT351" t="e">
        <v>#DIV/0!</v>
      </c>
      <c r="AU351" t="e">
        <v>#DIV/0!</v>
      </c>
      <c r="AV351"/>
      <c r="AW351"/>
      <c r="FY351" s="210">
        <v>346</v>
      </c>
      <c r="FZ351">
        <v>0.27886497278940114</v>
      </c>
      <c r="GA351">
        <v>3.3636753896002265</v>
      </c>
      <c r="GB351">
        <v>1.4552087672757343</v>
      </c>
      <c r="GC351">
        <v>4.317985714305399</v>
      </c>
      <c r="GD351">
        <v>3.9597263096825905</v>
      </c>
      <c r="GE351">
        <v>2.6601283616795275</v>
      </c>
      <c r="GF351">
        <v>2.1424426065148507</v>
      </c>
      <c r="GG351">
        <v>1.2981488832102204</v>
      </c>
      <c r="GH351">
        <v>1.3247603501682221</v>
      </c>
      <c r="GI351">
        <v>3.8960083105470402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5.2939369658119659</v>
      </c>
      <c r="AO352">
        <v>7.0183000195386551</v>
      </c>
      <c r="AP352">
        <v>21.639634992431382</v>
      </c>
      <c r="AQ352">
        <v>22.371186350754257</v>
      </c>
      <c r="AR352">
        <v>6.4576171733069936</v>
      </c>
      <c r="AS352">
        <v>34.156896970789688</v>
      </c>
      <c r="AT352" t="e">
        <v>#DIV/0!</v>
      </c>
      <c r="AU352" t="e">
        <v>#DIV/0!</v>
      </c>
      <c r="AV352"/>
      <c r="AW352"/>
      <c r="FY352" s="210">
        <v>347</v>
      </c>
      <c r="FZ352">
        <v>0.2456818880042031</v>
      </c>
      <c r="GA352">
        <v>1.2631496960225364</v>
      </c>
      <c r="GB352">
        <v>1.0445179814772214</v>
      </c>
      <c r="GC352">
        <v>8.5789348167261146</v>
      </c>
      <c r="GD352">
        <v>6.5042824006646036</v>
      </c>
      <c r="GE352">
        <v>2.4661239366858436</v>
      </c>
      <c r="GF352">
        <v>3.213663909772277</v>
      </c>
      <c r="GG352">
        <v>1.9472233248153306</v>
      </c>
      <c r="GH352">
        <v>1.9871405252523333</v>
      </c>
      <c r="GI352">
        <v>6.121546574070039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8.3016254578754562</v>
      </c>
      <c r="AO353">
        <v>7.0812605176758057</v>
      </c>
      <c r="AP353">
        <v>31.905962623359869</v>
      </c>
      <c r="AQ353">
        <v>26.784741950864074</v>
      </c>
      <c r="AR353">
        <v>6.4631568685049858</v>
      </c>
      <c r="AS353">
        <v>30.087308450226534</v>
      </c>
      <c r="AT353" t="e">
        <v>#DIV/0!</v>
      </c>
      <c r="AU353" t="e">
        <v>#DIV/0!</v>
      </c>
      <c r="AV353"/>
      <c r="AW353"/>
      <c r="FY353" s="210">
        <v>348</v>
      </c>
      <c r="FZ353">
        <v>0</v>
      </c>
      <c r="GA353">
        <v>0.97312462424168844</v>
      </c>
      <c r="GB353">
        <v>0.47245363775248589</v>
      </c>
      <c r="GC353">
        <v>9.9076316955521246</v>
      </c>
      <c r="GD353">
        <v>7.4581887214967191</v>
      </c>
      <c r="GE353">
        <v>0.31351368791317175</v>
      </c>
      <c r="GF353">
        <v>0.19016497712110106</v>
      </c>
      <c r="GG353">
        <v>0.16807232891341395</v>
      </c>
      <c r="GH353">
        <v>0</v>
      </c>
      <c r="GI353">
        <v>5.5768014031654705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8.2945093101343108</v>
      </c>
      <c r="AO354">
        <v>8.6094743588248139</v>
      </c>
      <c r="AP354">
        <v>30.878599457410626</v>
      </c>
      <c r="AQ354">
        <v>29.501093627620598</v>
      </c>
      <c r="AR354">
        <v>7.9336601596577907</v>
      </c>
      <c r="AS354">
        <v>34.63116954306043</v>
      </c>
      <c r="AT354" t="e">
        <v>#DIV/0!</v>
      </c>
      <c r="AU354" t="e">
        <v>#DIV/0!</v>
      </c>
      <c r="AV354"/>
      <c r="AW354"/>
      <c r="FY354" s="210">
        <v>349</v>
      </c>
      <c r="FZ354">
        <v>0.52454686079360424</v>
      </c>
      <c r="GA354">
        <v>2.5655417007117491</v>
      </c>
      <c r="GB354">
        <v>0.94490727550497178</v>
      </c>
      <c r="GC354">
        <v>7.8921134277053966</v>
      </c>
      <c r="GD354">
        <v>6.3566802999306367</v>
      </c>
      <c r="GE354">
        <v>2.7427137072981251</v>
      </c>
      <c r="GF354">
        <v>3.0234989326511759</v>
      </c>
      <c r="GG354">
        <v>0.81714677051852402</v>
      </c>
      <c r="GH354">
        <v>0.66238017508411107</v>
      </c>
      <c r="GI354">
        <v>5.6644295670591882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8.543402777777775</v>
      </c>
      <c r="AO355">
        <v>10.369311493857388</v>
      </c>
      <c r="AP355">
        <v>38.861625010310469</v>
      </c>
      <c r="AQ355">
        <v>36.971138352705381</v>
      </c>
      <c r="AR355">
        <v>9.5661621402074868</v>
      </c>
      <c r="AS355">
        <v>41.462332466120117</v>
      </c>
      <c r="AT355" t="e">
        <v>#DIV/0!</v>
      </c>
      <c r="AU355" t="e">
        <v>#DIV/0!</v>
      </c>
      <c r="AV355"/>
      <c r="AW355"/>
      <c r="FY355" s="210">
        <v>350</v>
      </c>
      <c r="FZ355">
        <v>0.52454686079360424</v>
      </c>
      <c r="GA355">
        <v>1.7178084580271467</v>
      </c>
      <c r="GB355">
        <v>0.53638996440829323</v>
      </c>
      <c r="GC355">
        <v>8.4679001647295937</v>
      </c>
      <c r="GD355">
        <v>6.7873927681620003</v>
      </c>
      <c r="GE355">
        <v>2.1351048491804936</v>
      </c>
      <c r="GF355">
        <v>2.1424426065148507</v>
      </c>
      <c r="GG355">
        <v>1.7791509959019165</v>
      </c>
      <c r="GH355">
        <v>1.9871405252523333</v>
      </c>
      <c r="GI355">
        <v>5.7652055426323745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4.4375</v>
      </c>
      <c r="AO356">
        <v>6.2754594560300827</v>
      </c>
      <c r="AP356">
        <v>21.3849067548134</v>
      </c>
      <c r="AQ356">
        <v>20.802086234837269</v>
      </c>
      <c r="AR356">
        <v>5.8213909610668653</v>
      </c>
      <c r="AS356">
        <v>33.578055387631395</v>
      </c>
      <c r="AT356" t="e">
        <v>#DIV/0!</v>
      </c>
      <c r="AU356" t="e">
        <v>#DIV/0!</v>
      </c>
      <c r="AV356"/>
      <c r="AW356"/>
      <c r="FY356" s="210">
        <v>351</v>
      </c>
      <c r="FZ356">
        <v>0.49136377600840619</v>
      </c>
      <c r="GA356">
        <v>2.2755166289309012</v>
      </c>
      <c r="GB356">
        <v>0.8170346221933571</v>
      </c>
      <c r="GC356">
        <v>2.4402787947908049</v>
      </c>
      <c r="GD356">
        <v>2.1871909483906662</v>
      </c>
      <c r="GE356">
        <v>1.8866711072937405</v>
      </c>
      <c r="GF356">
        <v>1.95227762939375</v>
      </c>
      <c r="GG356">
        <v>0.16807232891341395</v>
      </c>
      <c r="GH356">
        <v>0</v>
      </c>
      <c r="GI356">
        <v>2.2658541941992025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10.907490079365079</v>
      </c>
      <c r="AO357">
        <v>13.043643771967604</v>
      </c>
      <c r="AP357">
        <v>37.990024375939356</v>
      </c>
      <c r="AQ357">
        <v>40.477757584082418</v>
      </c>
      <c r="AR357">
        <v>12.046989856450731</v>
      </c>
      <c r="AS357">
        <v>49.473846539720789</v>
      </c>
      <c r="AT357" t="e">
        <v>#DIV/0!</v>
      </c>
      <c r="AU357" t="e">
        <v>#DIV/0!</v>
      </c>
      <c r="AV357"/>
      <c r="AW357"/>
      <c r="FY357" s="210">
        <v>352</v>
      </c>
      <c r="FZ357">
        <v>0.27886497278940114</v>
      </c>
      <c r="GA357">
        <v>4.0860172507277435</v>
      </c>
      <c r="GB357">
        <v>2.943918439166076</v>
      </c>
      <c r="GC357">
        <v>3.1385556369911471</v>
      </c>
      <c r="GD357">
        <v>2.7677508566325382</v>
      </c>
      <c r="GE357">
        <v>2.7621322250068365</v>
      </c>
      <c r="GF357">
        <v>2.1424426065148507</v>
      </c>
      <c r="GG357">
        <v>0.81714677051852402</v>
      </c>
      <c r="GH357">
        <v>0.66238017508411107</v>
      </c>
      <c r="GI357">
        <v>3.2480347775416223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14.167448870573869</v>
      </c>
      <c r="AO358">
        <v>13.016527635037008</v>
      </c>
      <c r="AP358">
        <v>55.340196901045061</v>
      </c>
      <c r="AQ358">
        <v>49.666812497853115</v>
      </c>
      <c r="AR358">
        <v>12.02183574055964</v>
      </c>
      <c r="AS358">
        <v>51.118875227206551</v>
      </c>
      <c r="AT358" t="e">
        <v>#DIV/0!</v>
      </c>
      <c r="AU358" t="e">
        <v>#DIV/0!</v>
      </c>
      <c r="AV358"/>
      <c r="AW358"/>
      <c r="FY358" s="210">
        <v>353</v>
      </c>
      <c r="FZ358">
        <v>0</v>
      </c>
      <c r="GA358">
        <v>4.6044831129648216</v>
      </c>
      <c r="GB358">
        <v>2.2083070628132839</v>
      </c>
      <c r="GC358">
        <v>9.9324663421631438</v>
      </c>
      <c r="GD358">
        <v>8.2884614253526969</v>
      </c>
      <c r="GE358">
        <v>2.4961930835279058</v>
      </c>
      <c r="GF358">
        <v>1.0712213032574254</v>
      </c>
      <c r="GG358">
        <v>0.16807232891341395</v>
      </c>
      <c r="GH358">
        <v>0</v>
      </c>
      <c r="GI358">
        <v>6.7520614481663781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8.0989583333333321</v>
      </c>
      <c r="AO359">
        <v>11.599713176289747</v>
      </c>
      <c r="AP359">
        <v>31.129157465314137</v>
      </c>
      <c r="AQ359">
        <v>34.569792226146561</v>
      </c>
      <c r="AR359">
        <v>10.707536613706894</v>
      </c>
      <c r="AS359">
        <v>67.935332192362679</v>
      </c>
      <c r="AT359" t="e">
        <v>#DIV/0!</v>
      </c>
      <c r="AU359" t="e">
        <v>#DIV/0!</v>
      </c>
      <c r="AV359"/>
      <c r="AW359"/>
      <c r="FY359" s="210">
        <v>354</v>
      </c>
      <c r="FZ359">
        <v>0.55772994557880229</v>
      </c>
      <c r="GA359">
        <v>0.78392614245213466</v>
      </c>
      <c r="GB359">
        <v>0.63600067038054287</v>
      </c>
      <c r="GC359">
        <v>10.451216467302659</v>
      </c>
      <c r="GD359">
        <v>8.4240467989794592</v>
      </c>
      <c r="GE359">
        <v>2.3941892202005963</v>
      </c>
      <c r="GF359">
        <v>1.4515512574996277</v>
      </c>
      <c r="GG359">
        <v>0.50421698674024196</v>
      </c>
      <c r="GH359">
        <v>0</v>
      </c>
      <c r="GI359">
        <v>6.5885836614176192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9.873302045177045</v>
      </c>
      <c r="AO360">
        <v>11.269037404472337</v>
      </c>
      <c r="AP360">
        <v>34.145516975164838</v>
      </c>
      <c r="AQ360">
        <v>35.202266239000231</v>
      </c>
      <c r="AR360">
        <v>10.400787289200947</v>
      </c>
      <c r="AS360">
        <v>42.801968898013598</v>
      </c>
      <c r="AT360" t="e">
        <v>#DIV/0!</v>
      </c>
      <c r="AU360" t="e">
        <v>#DIV/0!</v>
      </c>
      <c r="AV360"/>
      <c r="AW360"/>
      <c r="FY360" s="210">
        <v>355</v>
      </c>
      <c r="FZ360">
        <v>0</v>
      </c>
      <c r="GA360">
        <v>4.6044831129648216</v>
      </c>
      <c r="GB360">
        <v>3.3524357502627549</v>
      </c>
      <c r="GC360">
        <v>2.5483451600567757</v>
      </c>
      <c r="GD360">
        <v>2.2231665531715961</v>
      </c>
      <c r="GE360">
        <v>2.0068276976856443</v>
      </c>
      <c r="GF360">
        <v>1.2613862803785265</v>
      </c>
      <c r="GG360">
        <v>2.2601531085936126</v>
      </c>
      <c r="GH360">
        <v>2.6495207003364443</v>
      </c>
      <c r="GI360">
        <v>3.054256021656653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9.196924603174601</v>
      </c>
      <c r="AO361">
        <v>10.426060815364448</v>
      </c>
      <c r="AP361">
        <v>36.573604329392367</v>
      </c>
      <c r="AQ361">
        <v>34.517556375646372</v>
      </c>
      <c r="AR361">
        <v>9.5659400760083635</v>
      </c>
      <c r="AS361">
        <v>54.99861574664525</v>
      </c>
      <c r="AT361" t="e">
        <v>#DIV/0!</v>
      </c>
      <c r="AU361" t="e">
        <v>#DIV/0!</v>
      </c>
      <c r="AV361"/>
      <c r="AW361"/>
      <c r="FY361" s="210">
        <v>356</v>
      </c>
      <c r="FZ361">
        <v>6.6366169570396066E-2</v>
      </c>
      <c r="GA361">
        <v>4.9233932482828973</v>
      </c>
      <c r="GB361">
        <v>2.3100912434873679</v>
      </c>
      <c r="GC361">
        <v>2.7404428351507373</v>
      </c>
      <c r="GD361">
        <v>2.4593807634060663</v>
      </c>
      <c r="GE361">
        <v>1.3810661125034183</v>
      </c>
      <c r="GF361">
        <v>1.2613862803785265</v>
      </c>
      <c r="GG361">
        <v>0.81714677051852402</v>
      </c>
      <c r="GH361">
        <v>0.66238017508411107</v>
      </c>
      <c r="GI361">
        <v>2.6470477099878642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7.3224206349206344</v>
      </c>
      <c r="AO362">
        <v>6.3684261727226303</v>
      </c>
      <c r="AP362">
        <v>26.779307771465369</v>
      </c>
      <c r="AQ362">
        <v>24.696949665773214</v>
      </c>
      <c r="AR362">
        <v>5.8019005188267156</v>
      </c>
      <c r="AS362">
        <v>28.833525670641638</v>
      </c>
      <c r="AT362" t="e">
        <v>#DIV/0!</v>
      </c>
      <c r="AU362" t="e">
        <v>#DIV/0!</v>
      </c>
      <c r="AV362"/>
      <c r="AW362"/>
      <c r="FY362" s="210">
        <v>357</v>
      </c>
      <c r="FZ362">
        <v>0.27886497278940114</v>
      </c>
      <c r="GA362">
        <v>3.9606258691706584</v>
      </c>
      <c r="GB362">
        <v>1.7358534250607978</v>
      </c>
      <c r="GC362">
        <v>2.4433760527532979</v>
      </c>
      <c r="GD362">
        <v>2.7166138565192979</v>
      </c>
      <c r="GE362">
        <v>2.4311131375014865</v>
      </c>
      <c r="GF362">
        <v>1.0712213032574254</v>
      </c>
      <c r="GG362">
        <v>1.1300765542968063</v>
      </c>
      <c r="GH362">
        <v>1.3247603501682221</v>
      </c>
      <c r="GI362">
        <v>2.906500376244666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8.1232638888888875</v>
      </c>
      <c r="AO363">
        <v>10.14988878618365</v>
      </c>
      <c r="AP363">
        <v>34.136880685884002</v>
      </c>
      <c r="AQ363">
        <v>33.372265053490501</v>
      </c>
      <c r="AR363">
        <v>9.2568855900208771</v>
      </c>
      <c r="AS363">
        <v>39.415368272706409</v>
      </c>
      <c r="AT363" t="e">
        <v>#DIV/0!</v>
      </c>
      <c r="AU363" t="e">
        <v>#DIV/0!</v>
      </c>
      <c r="AV363"/>
      <c r="AW363"/>
      <c r="FY363" s="210">
        <v>358</v>
      </c>
      <c r="FZ363">
        <v>0.80341183358300561</v>
      </c>
      <c r="GA363">
        <v>9.0590100528067676</v>
      </c>
      <c r="GB363">
        <v>4.4522885049430094</v>
      </c>
      <c r="GC363">
        <v>1.1306979907224146</v>
      </c>
      <c r="GD363">
        <v>1.5663441417261166</v>
      </c>
      <c r="GE363">
        <v>2.3941892202005963</v>
      </c>
      <c r="GF363">
        <v>1.0712213032574254</v>
      </c>
      <c r="GG363">
        <v>2.0920807796801988</v>
      </c>
      <c r="GH363">
        <v>2.6495207003364443</v>
      </c>
      <c r="GI363">
        <v>2.9534759894313329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6.4305555555555554</v>
      </c>
      <c r="AO364">
        <v>9.2186624064629274</v>
      </c>
      <c r="AP364">
        <v>20.510180468769466</v>
      </c>
      <c r="AQ364">
        <v>25.059951076156175</v>
      </c>
      <c r="AR364">
        <v>8.5516348854016009</v>
      </c>
      <c r="AS364">
        <v>47.85030628810518</v>
      </c>
      <c r="AT364" t="e">
        <v>#DIV/0!</v>
      </c>
      <c r="AU364" t="e">
        <v>#DIV/0!</v>
      </c>
      <c r="AV364"/>
      <c r="AW364"/>
      <c r="FY364" s="210">
        <v>359</v>
      </c>
      <c r="FZ364">
        <v>0.77022874879780745</v>
      </c>
      <c r="GA364">
        <v>1.0347089055663061</v>
      </c>
      <c r="GB364">
        <v>1.7801293578300139</v>
      </c>
      <c r="GC364">
        <v>5.2596832878963449</v>
      </c>
      <c r="GD364">
        <v>4.0639622096256574</v>
      </c>
      <c r="GE364">
        <v>1.5750705374971026</v>
      </c>
      <c r="GF364">
        <v>0.19016497712110106</v>
      </c>
      <c r="GG364">
        <v>0.16807232891341395</v>
      </c>
      <c r="GH364">
        <v>0</v>
      </c>
      <c r="GI364">
        <v>3.5336404323808677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7.2487980769230749</v>
      </c>
      <c r="AO365">
        <v>9.3140097174234526</v>
      </c>
      <c r="AP365">
        <v>30.695221474742223</v>
      </c>
      <c r="AQ365">
        <v>31.19395871725748</v>
      </c>
      <c r="AR365">
        <v>8.4814875670522358</v>
      </c>
      <c r="AS365">
        <v>53.738485745318194</v>
      </c>
      <c r="AT365" t="e">
        <v>#DIV/0!</v>
      </c>
      <c r="AU365" t="e">
        <v>#DIV/0!</v>
      </c>
      <c r="AV365"/>
      <c r="AW365"/>
      <c r="FY365" s="210">
        <v>360</v>
      </c>
      <c r="FZ365">
        <v>0</v>
      </c>
      <c r="GA365">
        <v>1.6954664853692054</v>
      </c>
      <c r="GB365">
        <v>1.3890989659180928</v>
      </c>
      <c r="GC365">
        <v>4.2772612221311954</v>
      </c>
      <c r="GD365">
        <v>3.721629156277765</v>
      </c>
      <c r="GE365">
        <v>2.0806755322874251</v>
      </c>
      <c r="GF365">
        <v>2.0220461888629302</v>
      </c>
      <c r="GG365">
        <v>1.9704381988638762</v>
      </c>
      <c r="GH365">
        <v>1.3247603501682221</v>
      </c>
      <c r="GI365">
        <v>3.5981078655719161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7.84375</v>
      </c>
      <c r="AO366">
        <v>9.3989737017788375</v>
      </c>
      <c r="AP366">
        <v>30.237352250933156</v>
      </c>
      <c r="AQ366">
        <v>31.843082735602607</v>
      </c>
      <c r="AR366">
        <v>8.6131690986562219</v>
      </c>
      <c r="AS366">
        <v>54.341456083561198</v>
      </c>
      <c r="AT366" t="e">
        <v>#DIV/0!</v>
      </c>
      <c r="AU366" t="e">
        <v>#DIV/0!</v>
      </c>
      <c r="AV366"/>
      <c r="AW366"/>
      <c r="FY366" s="210">
        <v>361</v>
      </c>
      <c r="FZ366">
        <v>0.77022874879780745</v>
      </c>
      <c r="GA366">
        <v>2.8452095273631484</v>
      </c>
      <c r="GB366">
        <v>1.4908831465921764</v>
      </c>
      <c r="GC366">
        <v>4.2989986107797238</v>
      </c>
      <c r="GD366">
        <v>3.7134517917226484</v>
      </c>
      <c r="GE366">
        <v>1.4655645762385494</v>
      </c>
      <c r="GF366">
        <v>0.19016497712110106</v>
      </c>
      <c r="GG366">
        <v>1.6110786669885027</v>
      </c>
      <c r="GH366">
        <v>1.9871405252523333</v>
      </c>
      <c r="GI366">
        <v>3.4649773714335392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3.8928952991452994</v>
      </c>
      <c r="AO367">
        <v>3.7057774863152546</v>
      </c>
      <c r="AP367">
        <v>15.717555676455568</v>
      </c>
      <c r="AQ367">
        <v>14.484260030114243</v>
      </c>
      <c r="AR367">
        <v>3.3319110138105978</v>
      </c>
      <c r="AS367">
        <v>15.009386449072311</v>
      </c>
      <c r="AT367" t="e">
        <v>#DIV/0!</v>
      </c>
      <c r="AU367" t="e">
        <v>#DIV/0!</v>
      </c>
      <c r="AV367"/>
      <c r="AW367"/>
      <c r="FY367" s="210">
        <v>362</v>
      </c>
      <c r="FZ367">
        <v>0.77022874879780745</v>
      </c>
      <c r="GA367">
        <v>4.781101530717077</v>
      </c>
      <c r="GB367">
        <v>2.4097019494596168</v>
      </c>
      <c r="GC367">
        <v>6.4419173202577351</v>
      </c>
      <c r="GD367">
        <v>4.8066535426447592</v>
      </c>
      <c r="GE367">
        <v>1.6100813366814588</v>
      </c>
      <c r="GF367">
        <v>1.7621126522726489</v>
      </c>
      <c r="GG367">
        <v>0.48100211269169618</v>
      </c>
      <c r="GH367">
        <v>0.66238017508411107</v>
      </c>
      <c r="GI367">
        <v>4.7173590443636204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6.3293650793650791</v>
      </c>
      <c r="AO368">
        <v>5.2692810278217026</v>
      </c>
      <c r="AP368">
        <v>27.470682285845797</v>
      </c>
      <c r="AQ368">
        <v>22.847243710972851</v>
      </c>
      <c r="AR368">
        <v>4.7822853565809567</v>
      </c>
      <c r="AS368">
        <v>23.969177217467429</v>
      </c>
      <c r="AT368" t="e">
        <v>#DIV/0!</v>
      </c>
      <c r="AU368" t="e">
        <v>#DIV/0!</v>
      </c>
      <c r="AV368"/>
      <c r="AW368"/>
      <c r="FY368" s="210">
        <v>363</v>
      </c>
      <c r="FZ368">
        <v>0.31204805757459919</v>
      </c>
      <c r="GA368">
        <v>3.1521349351527315</v>
      </c>
      <c r="GB368">
        <v>1.899400457688855</v>
      </c>
      <c r="GC368">
        <v>5.4300435743417772</v>
      </c>
      <c r="GD368">
        <v>4.2867966827962034</v>
      </c>
      <c r="GE368">
        <v>3.1463148387611377</v>
      </c>
      <c r="GF368">
        <v>3.9045552587875001</v>
      </c>
      <c r="GG368">
        <v>2.7411552212853092</v>
      </c>
      <c r="GH368">
        <v>3.3119008754205557</v>
      </c>
      <c r="GI368">
        <v>4.9454079555896193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9.828163156288154</v>
      </c>
      <c r="AO369">
        <v>11.107651465783842</v>
      </c>
      <c r="AP369">
        <v>34.053037423476816</v>
      </c>
      <c r="AQ369">
        <v>35.521266107159072</v>
      </c>
      <c r="AR369">
        <v>10.251078626224604</v>
      </c>
      <c r="AS369">
        <v>46.89513377182471</v>
      </c>
      <c r="AT369" t="e">
        <v>#DIV/0!</v>
      </c>
      <c r="AU369" t="e">
        <v>#DIV/0!</v>
      </c>
      <c r="AV369"/>
      <c r="AW369"/>
      <c r="FY369" s="210">
        <v>364</v>
      </c>
      <c r="FZ369">
        <v>0.31204805757459919</v>
      </c>
      <c r="GA369">
        <v>5.0880269385066601</v>
      </c>
      <c r="GB369">
        <v>2.2461549168315607</v>
      </c>
      <c r="GC369">
        <v>6.8887622086899816</v>
      </c>
      <c r="GD369">
        <v>5.0311484783493352</v>
      </c>
      <c r="GE369">
        <v>1.6275867362736374</v>
      </c>
      <c r="GF369">
        <v>2.8333339555300743</v>
      </c>
      <c r="GG369">
        <v>2.5730828923718949</v>
      </c>
      <c r="GH369">
        <v>3.3119008754205557</v>
      </c>
      <c r="GI369">
        <v>5.5851207938448431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8.8147702991452981</v>
      </c>
      <c r="AO370">
        <v>10.828535916889908</v>
      </c>
      <c r="AP370">
        <v>27.162797725072469</v>
      </c>
      <c r="AQ370">
        <v>31.79146115055168</v>
      </c>
      <c r="AR370">
        <v>9.9921588220558366</v>
      </c>
      <c r="AS370">
        <v>54.545947474043224</v>
      </c>
      <c r="AT370" t="e">
        <v>#DIV/0!</v>
      </c>
      <c r="AU370" t="e">
        <v>#DIV/0!</v>
      </c>
      <c r="AV370"/>
      <c r="AW370"/>
      <c r="FY370" s="210">
        <v>365</v>
      </c>
      <c r="FZ370">
        <v>0</v>
      </c>
      <c r="GA370">
        <v>1.8208578669262911</v>
      </c>
      <c r="GB370">
        <v>0.88097094884916438</v>
      </c>
      <c r="GC370">
        <v>4.5831975042688171</v>
      </c>
      <c r="GD370">
        <v>3.7608244012247871</v>
      </c>
      <c r="GE370">
        <v>1.3810661125034183</v>
      </c>
      <c r="GF370">
        <v>1.4515512574996277</v>
      </c>
      <c r="GG370">
        <v>1.4662212121236342</v>
      </c>
      <c r="GH370">
        <v>1.3247603501682221</v>
      </c>
      <c r="GI370">
        <v>3.5585176992042045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5.7285370879120876</v>
      </c>
      <c r="AO371">
        <v>4.9485231206005871</v>
      </c>
      <c r="AP371">
        <v>30.584279846623048</v>
      </c>
      <c r="AQ371">
        <v>23.960574385106831</v>
      </c>
      <c r="AR371">
        <v>4.537601497112127</v>
      </c>
      <c r="AS371">
        <v>24.473061284864535</v>
      </c>
      <c r="AT371" t="e">
        <v>#DIV/0!</v>
      </c>
      <c r="AU371" t="e">
        <v>#DIV/0!</v>
      </c>
      <c r="AV371"/>
      <c r="AW371"/>
      <c r="FY371" s="210">
        <v>366</v>
      </c>
      <c r="FZ371">
        <v>0.52454686079360424</v>
      </c>
      <c r="GA371">
        <v>2.3147589375975777</v>
      </c>
      <c r="GB371">
        <v>1.3890989659180928</v>
      </c>
      <c r="GC371">
        <v>5.4517809629903056</v>
      </c>
      <c r="GD371">
        <v>5.2266008336515233</v>
      </c>
      <c r="GE371">
        <v>4.4554462347793091</v>
      </c>
      <c r="GF371">
        <v>3.0234989326511759</v>
      </c>
      <c r="GG371">
        <v>1.7791509959019165</v>
      </c>
      <c r="GH371">
        <v>1.9871405252523333</v>
      </c>
      <c r="GI371">
        <v>5.026133683361719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1.1608071543304673E-3</v>
      </c>
      <c r="H372" s="59">
        <f t="shared" ref="H372:AK372" si="355">+H36</f>
        <v>8.5927999999999994E-3</v>
      </c>
      <c r="I372" s="59">
        <f t="shared" si="355"/>
        <v>6.3607647113949228E-2</v>
      </c>
      <c r="J372" s="59">
        <f t="shared" si="355"/>
        <v>0.20514497677644863</v>
      </c>
      <c r="K372" s="59">
        <f t="shared" si="355"/>
        <v>0.47085150025285061</v>
      </c>
      <c r="L372" s="59">
        <f t="shared" si="355"/>
        <v>0.89693315119134265</v>
      </c>
      <c r="M372" s="59">
        <f t="shared" si="355"/>
        <v>1.5185724432077621</v>
      </c>
      <c r="N372" s="59">
        <f t="shared" si="355"/>
        <v>2.3701609750235364</v>
      </c>
      <c r="O372" s="59">
        <f t="shared" si="355"/>
        <v>3.4854478250578267</v>
      </c>
      <c r="P372" s="59">
        <f t="shared" si="355"/>
        <v>4.8976423862547316</v>
      </c>
      <c r="Q372" s="59">
        <f t="shared" si="355"/>
        <v>6.6394897316103521</v>
      </c>
      <c r="R372" s="59">
        <f t="shared" si="355"/>
        <v>8.7433281481061513</v>
      </c>
      <c r="S372" s="59">
        <f t="shared" si="355"/>
        <v>11.241134447971211</v>
      </c>
      <c r="T372" s="59">
        <f t="shared" si="355"/>
        <v>14.164560543159729</v>
      </c>
      <c r="U372" s="59">
        <f t="shared" si="355"/>
        <v>17.544963562814321</v>
      </c>
      <c r="V372" s="59">
        <f t="shared" si="355"/>
        <v>21.413431066843735</v>
      </c>
      <c r="W372" s="59">
        <f t="shared" si="355"/>
        <v>25.800802449767275</v>
      </c>
      <c r="X372" s="59">
        <f t="shared" si="355"/>
        <v>30.737687327547523</v>
      </c>
      <c r="Y372" s="59">
        <f t="shared" si="355"/>
        <v>36.254481495578958</v>
      </c>
      <c r="Z372" s="59">
        <f t="shared" si="355"/>
        <v>42.381380903263434</v>
      </c>
      <c r="AA372" s="59">
        <f t="shared" si="355"/>
        <v>49.1483939885672</v>
      </c>
      <c r="AB372" s="59">
        <f t="shared" si="355"/>
        <v>56.585352641472866</v>
      </c>
      <c r="AC372" s="59">
        <f t="shared" si="355"/>
        <v>64.721922009844903</v>
      </c>
      <c r="AD372" s="59">
        <f t="shared" si="355"/>
        <v>73.58760931935818</v>
      </c>
      <c r="AE372" s="59">
        <f t="shared" si="355"/>
        <v>83.211771847012812</v>
      </c>
      <c r="AF372" s="59">
        <f t="shared" si="355"/>
        <v>93.623624162791188</v>
      </c>
      <c r="AG372" s="59">
        <f t="shared" si="355"/>
        <v>104.85224473436747</v>
      </c>
      <c r="AH372" s="59">
        <f t="shared" si="355"/>
        <v>116.92658197416165</v>
      </c>
      <c r="AI372" s="59">
        <f t="shared" si="355"/>
        <v>129.87545979547883</v>
      </c>
      <c r="AJ372" s="59">
        <f t="shared" si="355"/>
        <v>143.72758273431248</v>
      </c>
      <c r="AK372" s="59">
        <f t="shared" si="355"/>
        <v>158.51154068507043</v>
      </c>
      <c r="AL372" s="78"/>
      <c r="AM372" s="43">
        <v>356</v>
      </c>
      <c r="AN372">
        <v>6.5667162698412698</v>
      </c>
      <c r="AO372">
        <v>4.2784540239735751</v>
      </c>
      <c r="AP372">
        <v>23.086872258804846</v>
      </c>
      <c r="AQ372">
        <v>19.268701308369909</v>
      </c>
      <c r="AR372">
        <v>3.9160160642484776</v>
      </c>
      <c r="AS372">
        <v>19.839951735701462</v>
      </c>
      <c r="AT372" t="e">
        <v>#DIV/0!</v>
      </c>
      <c r="AU372" t="e">
        <v>#DIV/0!</v>
      </c>
      <c r="AV372"/>
      <c r="AW372"/>
      <c r="FY372" s="210">
        <v>367</v>
      </c>
      <c r="FZ372">
        <v>3.3183084785198033E-2</v>
      </c>
      <c r="GA372">
        <v>2.1005256935776906</v>
      </c>
      <c r="GB372">
        <v>2.1268838169727191</v>
      </c>
      <c r="GC372">
        <v>9.7186312784206557</v>
      </c>
      <c r="GD372">
        <v>7.8192231281333511</v>
      </c>
      <c r="GE372">
        <v>2.7077029081137685</v>
      </c>
      <c r="GF372">
        <v>1.4515512574996277</v>
      </c>
      <c r="GG372">
        <v>1.9472233248153306</v>
      </c>
      <c r="GH372">
        <v>1.9871405252523333</v>
      </c>
      <c r="GI372">
        <v>6.8700526713403622</v>
      </c>
      <c r="GJ372"/>
      <c r="GK372"/>
      <c r="GL372"/>
      <c r="GM372"/>
    </row>
    <row r="373" spans="1:195" s="7" customFormat="1">
      <c r="A373" s="95"/>
      <c r="B373" s="71">
        <f t="shared" ref="B373:B378" si="356">+C4</f>
        <v>39646</v>
      </c>
      <c r="C373" s="18">
        <f t="shared" ref="C373:C382" si="357">+D70</f>
        <v>0</v>
      </c>
      <c r="D373" s="18">
        <f t="shared" ref="D373:D382" si="358">SUM(G373:AK373)</f>
        <v>0</v>
      </c>
      <c r="E373" s="19">
        <f t="shared" ref="E373:E382" si="359">IF(C373&lt;1, 0.000001, D373/C373)</f>
        <v>9.9999999999999995E-7</v>
      </c>
      <c r="F373" s="19"/>
      <c r="G373" s="18">
        <f>AVERAGE(E228:E237)*G$372</f>
        <v>0</v>
      </c>
      <c r="H373" s="18">
        <f t="shared" ref="H373:AK373" si="360">AVERAGE(F228:F237)*H$372</f>
        <v>0</v>
      </c>
      <c r="I373" s="18">
        <f t="shared" si="360"/>
        <v>0</v>
      </c>
      <c r="J373" s="18">
        <f t="shared" si="360"/>
        <v>0</v>
      </c>
      <c r="K373" s="18">
        <f t="shared" si="360"/>
        <v>0</v>
      </c>
      <c r="L373" s="18">
        <f t="shared" si="360"/>
        <v>0</v>
      </c>
      <c r="M373" s="18">
        <f t="shared" si="360"/>
        <v>0</v>
      </c>
      <c r="N373" s="18">
        <f t="shared" si="360"/>
        <v>0</v>
      </c>
      <c r="O373" s="18">
        <f t="shared" si="360"/>
        <v>0</v>
      </c>
      <c r="P373" s="18">
        <f t="shared" si="360"/>
        <v>0</v>
      </c>
      <c r="Q373" s="18">
        <f t="shared" si="360"/>
        <v>0</v>
      </c>
      <c r="R373" s="18">
        <f t="shared" si="360"/>
        <v>0</v>
      </c>
      <c r="S373" s="18">
        <f t="shared" si="360"/>
        <v>0</v>
      </c>
      <c r="T373" s="18">
        <f t="shared" si="360"/>
        <v>0</v>
      </c>
      <c r="U373" s="18">
        <f t="shared" si="360"/>
        <v>0</v>
      </c>
      <c r="V373" s="18">
        <f t="shared" si="360"/>
        <v>0</v>
      </c>
      <c r="W373" s="18">
        <f t="shared" si="360"/>
        <v>0</v>
      </c>
      <c r="X373" s="18">
        <f t="shared" si="360"/>
        <v>0</v>
      </c>
      <c r="Y373" s="18">
        <f t="shared" si="360"/>
        <v>0</v>
      </c>
      <c r="Z373" s="18">
        <f t="shared" si="360"/>
        <v>0</v>
      </c>
      <c r="AA373" s="18">
        <f t="shared" si="360"/>
        <v>0</v>
      </c>
      <c r="AB373" s="18">
        <f t="shared" si="360"/>
        <v>0</v>
      </c>
      <c r="AC373" s="18">
        <f t="shared" si="360"/>
        <v>0</v>
      </c>
      <c r="AD373" s="18">
        <f t="shared" si="360"/>
        <v>0</v>
      </c>
      <c r="AE373" s="18">
        <f t="shared" si="360"/>
        <v>0</v>
      </c>
      <c r="AF373" s="18">
        <f t="shared" si="360"/>
        <v>0</v>
      </c>
      <c r="AG373" s="18">
        <f t="shared" si="360"/>
        <v>0</v>
      </c>
      <c r="AH373" s="18">
        <f t="shared" si="360"/>
        <v>0</v>
      </c>
      <c r="AI373" s="18">
        <f t="shared" si="360"/>
        <v>0</v>
      </c>
      <c r="AJ373" s="18">
        <f t="shared" si="360"/>
        <v>0</v>
      </c>
      <c r="AK373" s="18">
        <f t="shared" si="360"/>
        <v>0</v>
      </c>
      <c r="AL373" s="78"/>
      <c r="AM373" s="43">
        <v>357</v>
      </c>
      <c r="AN373">
        <v>5.0880456349206344</v>
      </c>
      <c r="AO373">
        <v>4.7801214622695447</v>
      </c>
      <c r="AP373">
        <v>23.071721892226055</v>
      </c>
      <c r="AQ373">
        <v>19.999005897762061</v>
      </c>
      <c r="AR373">
        <v>4.3813847454135706</v>
      </c>
      <c r="AS373">
        <v>19.035906973839403</v>
      </c>
      <c r="AT373" t="e">
        <v>#DIV/0!</v>
      </c>
      <c r="AU373" t="e">
        <v>#DIV/0!</v>
      </c>
      <c r="AV373"/>
      <c r="AW373"/>
      <c r="FY373" s="210">
        <v>368</v>
      </c>
      <c r="FZ373">
        <v>0.27886497278940114</v>
      </c>
      <c r="GA373">
        <v>5.1741760113970692</v>
      </c>
      <c r="GB373">
        <v>2.882155587212103</v>
      </c>
      <c r="GC373">
        <v>8.6197882801322603</v>
      </c>
      <c r="GD373">
        <v>6.5892772328490423</v>
      </c>
      <c r="GE373">
        <v>1.3441421952025283</v>
      </c>
      <c r="GF373">
        <v>1.0712213032574254</v>
      </c>
      <c r="GG373">
        <v>1.6110786669885027</v>
      </c>
      <c r="GH373">
        <v>1.9871405252523333</v>
      </c>
      <c r="GI373">
        <v>5.9684688468490457</v>
      </c>
      <c r="GJ373"/>
      <c r="GK373"/>
      <c r="GL373"/>
      <c r="GM373"/>
    </row>
    <row r="374" spans="1:195" s="7" customFormat="1">
      <c r="A374" s="95"/>
      <c r="B374" s="71">
        <f t="shared" si="356"/>
        <v>39673</v>
      </c>
      <c r="C374" s="18">
        <f t="shared" si="357"/>
        <v>5.208333333333333</v>
      </c>
      <c r="D374" s="18">
        <f t="shared" si="358"/>
        <v>0.62615926551535928</v>
      </c>
      <c r="E374" s="19">
        <f t="shared" si="359"/>
        <v>0.12022257897894899</v>
      </c>
      <c r="F374" s="19">
        <f>IF(F388&lt;0,0,F388)</f>
        <v>0.43322593068612358</v>
      </c>
      <c r="G374" s="18">
        <f>AVERAGE(E238:E247)*G$372</f>
        <v>0</v>
      </c>
      <c r="H374" s="18">
        <f t="shared" ref="H374:AK374" si="361">AVERAGE(F238:F247)*H$372</f>
        <v>0</v>
      </c>
      <c r="I374" s="18">
        <f t="shared" si="361"/>
        <v>0.19877389723109135</v>
      </c>
      <c r="J374" s="18">
        <f t="shared" si="361"/>
        <v>0.42738536828426793</v>
      </c>
      <c r="K374" s="18">
        <f t="shared" si="361"/>
        <v>0</v>
      </c>
      <c r="L374" s="18">
        <f t="shared" si="361"/>
        <v>0</v>
      </c>
      <c r="M374" s="18">
        <f t="shared" si="361"/>
        <v>0</v>
      </c>
      <c r="N374" s="18">
        <f t="shared" si="361"/>
        <v>0</v>
      </c>
      <c r="O374" s="18">
        <f t="shared" si="361"/>
        <v>0</v>
      </c>
      <c r="P374" s="18">
        <f t="shared" si="361"/>
        <v>0</v>
      </c>
      <c r="Q374" s="18">
        <f t="shared" si="361"/>
        <v>0</v>
      </c>
      <c r="R374" s="18">
        <f t="shared" si="361"/>
        <v>0</v>
      </c>
      <c r="S374" s="18">
        <f t="shared" si="361"/>
        <v>0</v>
      </c>
      <c r="T374" s="18">
        <f t="shared" si="361"/>
        <v>0</v>
      </c>
      <c r="U374" s="18">
        <f t="shared" si="361"/>
        <v>0</v>
      </c>
      <c r="V374" s="18">
        <f t="shared" si="361"/>
        <v>0</v>
      </c>
      <c r="W374" s="18">
        <f t="shared" si="361"/>
        <v>0</v>
      </c>
      <c r="X374" s="18">
        <f t="shared" si="361"/>
        <v>0</v>
      </c>
      <c r="Y374" s="18">
        <f t="shared" si="361"/>
        <v>0</v>
      </c>
      <c r="Z374" s="18">
        <f t="shared" si="361"/>
        <v>0</v>
      </c>
      <c r="AA374" s="18">
        <f t="shared" si="361"/>
        <v>0</v>
      </c>
      <c r="AB374" s="18">
        <f t="shared" si="361"/>
        <v>0</v>
      </c>
      <c r="AC374" s="18">
        <f t="shared" si="361"/>
        <v>0</v>
      </c>
      <c r="AD374" s="18">
        <f t="shared" si="361"/>
        <v>0</v>
      </c>
      <c r="AE374" s="18">
        <f t="shared" si="361"/>
        <v>0</v>
      </c>
      <c r="AF374" s="18">
        <f t="shared" si="361"/>
        <v>0</v>
      </c>
      <c r="AG374" s="18">
        <f t="shared" si="361"/>
        <v>0</v>
      </c>
      <c r="AH374" s="18">
        <f t="shared" si="361"/>
        <v>0</v>
      </c>
      <c r="AI374" s="18">
        <f t="shared" si="361"/>
        <v>0</v>
      </c>
      <c r="AJ374" s="18">
        <f t="shared" si="361"/>
        <v>0</v>
      </c>
      <c r="AK374" s="18">
        <f t="shared" si="361"/>
        <v>0</v>
      </c>
      <c r="AL374" s="78"/>
      <c r="AM374" s="43">
        <v>358</v>
      </c>
      <c r="AN374">
        <v>7.2130837912087902</v>
      </c>
      <c r="AO374">
        <v>4.7582108532110015</v>
      </c>
      <c r="AP374">
        <v>37.967999276900038</v>
      </c>
      <c r="AQ374">
        <v>28.172240516687314</v>
      </c>
      <c r="AR374">
        <v>4.361059505099524</v>
      </c>
      <c r="AS374">
        <v>21.167573297529408</v>
      </c>
      <c r="AT374" t="e">
        <v>#DIV/0!</v>
      </c>
      <c r="AU374" t="e">
        <v>#DIV/0!</v>
      </c>
      <c r="AV374"/>
      <c r="AW374"/>
      <c r="FY374" s="210">
        <v>369</v>
      </c>
      <c r="FZ374">
        <v>0.31204805757459919</v>
      </c>
      <c r="GA374">
        <v>2.304401692468129</v>
      </c>
      <c r="GB374">
        <v>0.91881880286744089</v>
      </c>
      <c r="GC374">
        <v>12.350714445390066</v>
      </c>
      <c r="GD374">
        <v>9.5088032496856361</v>
      </c>
      <c r="GE374">
        <v>0.80161328311131574</v>
      </c>
      <c r="GF374">
        <v>0</v>
      </c>
      <c r="GG374">
        <v>1.4430063380750886</v>
      </c>
      <c r="GH374">
        <v>1.9871405252523333</v>
      </c>
      <c r="GI374">
        <v>7.4650000845890414</v>
      </c>
      <c r="GJ374"/>
      <c r="GK374"/>
      <c r="GL374"/>
      <c r="GM374"/>
    </row>
    <row r="375" spans="1:195" s="7" customFormat="1">
      <c r="A375" s="95"/>
      <c r="B375" s="71">
        <f t="shared" si="356"/>
        <v>39714</v>
      </c>
      <c r="C375" s="18">
        <f t="shared" si="357"/>
        <v>1.0416666666666665</v>
      </c>
      <c r="D375" s="18">
        <f t="shared" si="358"/>
        <v>1.5818462950080854</v>
      </c>
      <c r="E375" s="19">
        <f t="shared" si="359"/>
        <v>1.5185724432077621</v>
      </c>
      <c r="F375" s="19">
        <f>IF(F389&lt;0,0,F389)</f>
        <v>6.1858076607051803E-2</v>
      </c>
      <c r="G375" s="18">
        <f>AVERAGE(E248:E257)*G$372</f>
        <v>0</v>
      </c>
      <c r="H375" s="18">
        <f t="shared" ref="H375:AK375" si="362">AVERAGE(F248:F257)*H$372</f>
        <v>0</v>
      </c>
      <c r="I375" s="18">
        <f t="shared" si="362"/>
        <v>0</v>
      </c>
      <c r="J375" s="18">
        <f t="shared" si="362"/>
        <v>0</v>
      </c>
      <c r="K375" s="18">
        <f t="shared" si="362"/>
        <v>0</v>
      </c>
      <c r="L375" s="18">
        <f t="shared" si="362"/>
        <v>0</v>
      </c>
      <c r="M375" s="18">
        <f t="shared" si="362"/>
        <v>1.5818462950080854</v>
      </c>
      <c r="N375" s="18">
        <f t="shared" si="362"/>
        <v>0</v>
      </c>
      <c r="O375" s="18">
        <f t="shared" si="362"/>
        <v>0</v>
      </c>
      <c r="P375" s="18">
        <f t="shared" si="362"/>
        <v>0</v>
      </c>
      <c r="Q375" s="18">
        <f t="shared" si="362"/>
        <v>0</v>
      </c>
      <c r="R375" s="18">
        <f t="shared" si="362"/>
        <v>0</v>
      </c>
      <c r="S375" s="18">
        <f t="shared" si="362"/>
        <v>0</v>
      </c>
      <c r="T375" s="18">
        <f t="shared" si="362"/>
        <v>0</v>
      </c>
      <c r="U375" s="18">
        <f t="shared" si="362"/>
        <v>0</v>
      </c>
      <c r="V375" s="18">
        <f t="shared" si="362"/>
        <v>0</v>
      </c>
      <c r="W375" s="18">
        <f t="shared" si="362"/>
        <v>0</v>
      </c>
      <c r="X375" s="18">
        <f t="shared" si="362"/>
        <v>0</v>
      </c>
      <c r="Y375" s="18">
        <f t="shared" si="362"/>
        <v>0</v>
      </c>
      <c r="Z375" s="18">
        <f t="shared" si="362"/>
        <v>0</v>
      </c>
      <c r="AA375" s="18">
        <f t="shared" si="362"/>
        <v>0</v>
      </c>
      <c r="AB375" s="18">
        <f t="shared" si="362"/>
        <v>0</v>
      </c>
      <c r="AC375" s="18">
        <f t="shared" si="362"/>
        <v>0</v>
      </c>
      <c r="AD375" s="18">
        <f t="shared" si="362"/>
        <v>0</v>
      </c>
      <c r="AE375" s="18">
        <f t="shared" si="362"/>
        <v>0</v>
      </c>
      <c r="AF375" s="18">
        <f t="shared" si="362"/>
        <v>0</v>
      </c>
      <c r="AG375" s="18">
        <f t="shared" si="362"/>
        <v>0</v>
      </c>
      <c r="AH375" s="18">
        <f t="shared" si="362"/>
        <v>0</v>
      </c>
      <c r="AI375" s="18">
        <f t="shared" si="362"/>
        <v>0</v>
      </c>
      <c r="AJ375" s="18">
        <f t="shared" si="362"/>
        <v>0</v>
      </c>
      <c r="AK375" s="18">
        <f t="shared" si="362"/>
        <v>0</v>
      </c>
      <c r="AL375" s="78"/>
      <c r="AM375" s="43">
        <v>359</v>
      </c>
      <c r="AN375">
        <v>5.9965277777777768</v>
      </c>
      <c r="AO375">
        <v>5.818889769770422</v>
      </c>
      <c r="AP375">
        <v>17.986911652306944</v>
      </c>
      <c r="AQ375">
        <v>18.375660785628618</v>
      </c>
      <c r="AR375">
        <v>5.3978569292861058</v>
      </c>
      <c r="AS375">
        <v>25.793871771622019</v>
      </c>
      <c r="AT375" t="e">
        <v>#DIV/0!</v>
      </c>
      <c r="AU375" t="e">
        <v>#DIV/0!</v>
      </c>
      <c r="AV375"/>
      <c r="AW375"/>
      <c r="FY375" s="210">
        <v>370</v>
      </c>
      <c r="FZ375">
        <v>0.2456818880042031</v>
      </c>
      <c r="GA375">
        <v>3.9213835605039815</v>
      </c>
      <c r="GB375">
        <v>2.8799821125102687</v>
      </c>
      <c r="GC375">
        <v>1.3986600658086861</v>
      </c>
      <c r="GD375">
        <v>1.1537381485565781</v>
      </c>
      <c r="GE375">
        <v>1.5556520197883907</v>
      </c>
      <c r="GF375">
        <v>1.2613862803785265</v>
      </c>
      <c r="GG375">
        <v>1.2981488832102204</v>
      </c>
      <c r="GH375">
        <v>1.3247603501682221</v>
      </c>
      <c r="GI375">
        <v>2.0039778523739327</v>
      </c>
      <c r="GJ375"/>
      <c r="GK375"/>
      <c r="GL375"/>
      <c r="GM375"/>
    </row>
    <row r="376" spans="1:195" s="7" customFormat="1">
      <c r="A376" s="95"/>
      <c r="B376" s="71">
        <f t="shared" si="356"/>
        <v>39747</v>
      </c>
      <c r="C376" s="18">
        <f t="shared" si="357"/>
        <v>2.083333333333333</v>
      </c>
      <c r="D376" s="18">
        <f t="shared" si="358"/>
        <v>4.9378353646323667</v>
      </c>
      <c r="E376" s="19">
        <f t="shared" si="359"/>
        <v>2.3701609750235364</v>
      </c>
      <c r="F376" s="19">
        <f>IF(F390&lt;0,0,F390)</f>
        <v>1.3490520101246115E-2</v>
      </c>
      <c r="G376" s="18">
        <f>AVERAGE(E258:E267)*G$372</f>
        <v>0</v>
      </c>
      <c r="H376" s="18">
        <f t="shared" ref="H376:AK376" si="363">AVERAGE(F258:F267)*H$372</f>
        <v>0</v>
      </c>
      <c r="I376" s="18">
        <f t="shared" si="363"/>
        <v>0</v>
      </c>
      <c r="J376" s="18">
        <f t="shared" si="363"/>
        <v>0</v>
      </c>
      <c r="K376" s="18">
        <f t="shared" si="363"/>
        <v>0</v>
      </c>
      <c r="L376" s="18">
        <f t="shared" si="363"/>
        <v>0</v>
      </c>
      <c r="M376" s="18">
        <f t="shared" si="363"/>
        <v>0</v>
      </c>
      <c r="N376" s="18">
        <f t="shared" si="363"/>
        <v>4.9378353646323667</v>
      </c>
      <c r="O376" s="18">
        <f t="shared" si="363"/>
        <v>0</v>
      </c>
      <c r="P376" s="18">
        <f t="shared" si="363"/>
        <v>0</v>
      </c>
      <c r="Q376" s="18">
        <f t="shared" si="363"/>
        <v>0</v>
      </c>
      <c r="R376" s="18">
        <f t="shared" si="363"/>
        <v>0</v>
      </c>
      <c r="S376" s="18">
        <f t="shared" si="363"/>
        <v>0</v>
      </c>
      <c r="T376" s="18">
        <f t="shared" si="363"/>
        <v>0</v>
      </c>
      <c r="U376" s="18">
        <f t="shared" si="363"/>
        <v>0</v>
      </c>
      <c r="V376" s="18">
        <f t="shared" si="363"/>
        <v>0</v>
      </c>
      <c r="W376" s="18">
        <f t="shared" si="363"/>
        <v>0</v>
      </c>
      <c r="X376" s="18">
        <f t="shared" si="363"/>
        <v>0</v>
      </c>
      <c r="Y376" s="18">
        <f t="shared" si="363"/>
        <v>0</v>
      </c>
      <c r="Z376" s="18">
        <f t="shared" si="363"/>
        <v>0</v>
      </c>
      <c r="AA376" s="18">
        <f t="shared" si="363"/>
        <v>0</v>
      </c>
      <c r="AB376" s="18">
        <f t="shared" si="363"/>
        <v>0</v>
      </c>
      <c r="AC376" s="18">
        <f t="shared" si="363"/>
        <v>0</v>
      </c>
      <c r="AD376" s="18">
        <f t="shared" si="363"/>
        <v>0</v>
      </c>
      <c r="AE376" s="18">
        <f t="shared" si="363"/>
        <v>0</v>
      </c>
      <c r="AF376" s="18">
        <f t="shared" si="363"/>
        <v>0</v>
      </c>
      <c r="AG376" s="18">
        <f t="shared" si="363"/>
        <v>0</v>
      </c>
      <c r="AH376" s="18">
        <f t="shared" si="363"/>
        <v>0</v>
      </c>
      <c r="AI376" s="18">
        <f t="shared" si="363"/>
        <v>0</v>
      </c>
      <c r="AJ376" s="18">
        <f t="shared" si="363"/>
        <v>0</v>
      </c>
      <c r="AK376" s="18">
        <f t="shared" si="363"/>
        <v>0</v>
      </c>
      <c r="AL376" s="78"/>
      <c r="AM376" s="43">
        <v>360</v>
      </c>
      <c r="AN376">
        <v>4.5300480769230766</v>
      </c>
      <c r="AO376">
        <v>5.8620377451468331</v>
      </c>
      <c r="AP376">
        <v>23.700548687939833</v>
      </c>
      <c r="AQ376">
        <v>22.079483965450628</v>
      </c>
      <c r="AR376">
        <v>5.3850176608841531</v>
      </c>
      <c r="AS376">
        <v>30.051968931600634</v>
      </c>
      <c r="AT376" t="e">
        <v>#DIV/0!</v>
      </c>
      <c r="AU376" t="e">
        <v>#DIV/0!</v>
      </c>
      <c r="AV376"/>
      <c r="AW376"/>
      <c r="FY376" s="210">
        <v>371</v>
      </c>
      <c r="FZ376">
        <v>3.3183084785198033E-2</v>
      </c>
      <c r="GA376">
        <v>4.8841509396162213</v>
      </c>
      <c r="GB376">
        <v>3.4542199309368389</v>
      </c>
      <c r="GC376">
        <v>8.7499390068864003</v>
      </c>
      <c r="GD376">
        <v>6.8298216173330424</v>
      </c>
      <c r="GE376">
        <v>1.501222702895322</v>
      </c>
      <c r="GF376">
        <v>0.19016497712110106</v>
      </c>
      <c r="GG376">
        <v>1.6110786669885027</v>
      </c>
      <c r="GH376">
        <v>1.9871405252523333</v>
      </c>
      <c r="GI376">
        <v>6.0633874620521038</v>
      </c>
      <c r="GJ376"/>
      <c r="GK376"/>
      <c r="GL376"/>
      <c r="GM376"/>
    </row>
    <row r="377" spans="1:195" s="7" customFormat="1">
      <c r="A377" s="95"/>
      <c r="B377" s="71">
        <f t="shared" si="356"/>
        <v>39775</v>
      </c>
      <c r="C377" s="18">
        <f t="shared" si="357"/>
        <v>50.473484848484851</v>
      </c>
      <c r="D377" s="18">
        <f t="shared" si="358"/>
        <v>78.269194641110232</v>
      </c>
      <c r="E377" s="19">
        <f t="shared" si="359"/>
        <v>1.5506992409195572</v>
      </c>
      <c r="F377" s="19">
        <f>IF(F391&lt;0,0,F391)</f>
        <v>0</v>
      </c>
      <c r="G377" s="18">
        <f>AVERAGE(E268:E277)*G$372</f>
        <v>0</v>
      </c>
      <c r="H377" s="18">
        <f t="shared" ref="H377:AK377" si="364">AVERAGE(F268:F277)*H$372</f>
        <v>0</v>
      </c>
      <c r="I377" s="18">
        <f t="shared" si="364"/>
        <v>0</v>
      </c>
      <c r="J377" s="18">
        <f t="shared" si="364"/>
        <v>0</v>
      </c>
      <c r="K377" s="18">
        <f t="shared" si="364"/>
        <v>1.9618812510535439</v>
      </c>
      <c r="L377" s="18">
        <f t="shared" si="364"/>
        <v>10.702043281260337</v>
      </c>
      <c r="M377" s="18">
        <f t="shared" si="364"/>
        <v>34.513010072903683</v>
      </c>
      <c r="N377" s="18">
        <f t="shared" si="364"/>
        <v>20.200235582586956</v>
      </c>
      <c r="O377" s="18">
        <f t="shared" si="364"/>
        <v>10.892024453305709</v>
      </c>
      <c r="P377" s="18">
        <f t="shared" si="364"/>
        <v>0</v>
      </c>
      <c r="Q377" s="18">
        <f t="shared" si="364"/>
        <v>0</v>
      </c>
      <c r="R377" s="18">
        <f t="shared" si="364"/>
        <v>0</v>
      </c>
      <c r="S377" s="18">
        <f t="shared" si="364"/>
        <v>0</v>
      </c>
      <c r="T377" s="18">
        <f t="shared" si="364"/>
        <v>0</v>
      </c>
      <c r="U377" s="18">
        <f t="shared" si="364"/>
        <v>0</v>
      </c>
      <c r="V377" s="18">
        <f t="shared" si="364"/>
        <v>0</v>
      </c>
      <c r="W377" s="18">
        <f t="shared" si="364"/>
        <v>0</v>
      </c>
      <c r="X377" s="18">
        <f t="shared" si="364"/>
        <v>0</v>
      </c>
      <c r="Y377" s="18">
        <f t="shared" si="364"/>
        <v>0</v>
      </c>
      <c r="Z377" s="18">
        <f t="shared" si="364"/>
        <v>0</v>
      </c>
      <c r="AA377" s="18">
        <f t="shared" si="364"/>
        <v>0</v>
      </c>
      <c r="AB377" s="18">
        <f t="shared" si="364"/>
        <v>0</v>
      </c>
      <c r="AC377" s="18">
        <f t="shared" si="364"/>
        <v>0</v>
      </c>
      <c r="AD377" s="18">
        <f t="shared" si="364"/>
        <v>0</v>
      </c>
      <c r="AE377" s="18">
        <f t="shared" si="364"/>
        <v>0</v>
      </c>
      <c r="AF377" s="18">
        <f t="shared" si="364"/>
        <v>0</v>
      </c>
      <c r="AG377" s="18">
        <f t="shared" si="364"/>
        <v>0</v>
      </c>
      <c r="AH377" s="18">
        <f t="shared" si="364"/>
        <v>0</v>
      </c>
      <c r="AI377" s="18">
        <f t="shared" si="364"/>
        <v>0</v>
      </c>
      <c r="AJ377" s="18">
        <f t="shared" si="364"/>
        <v>0</v>
      </c>
      <c r="AK377" s="18">
        <f t="shared" si="364"/>
        <v>0</v>
      </c>
      <c r="AL377" s="78"/>
      <c r="AM377" s="43">
        <v>361</v>
      </c>
      <c r="AN377">
        <v>6.9786706349206344</v>
      </c>
      <c r="AO377">
        <v>5.6468391412261632</v>
      </c>
      <c r="AP377">
        <v>23.216463507452222</v>
      </c>
      <c r="AQ377">
        <v>21.83769794228953</v>
      </c>
      <c r="AR377">
        <v>5.2382552330483882</v>
      </c>
      <c r="AS377">
        <v>24.406708382729082</v>
      </c>
      <c r="AT377" t="e">
        <v>#DIV/0!</v>
      </c>
      <c r="AU377" t="e">
        <v>#DIV/0!</v>
      </c>
      <c r="AV377"/>
      <c r="AW377"/>
      <c r="FY377" s="210">
        <v>372</v>
      </c>
      <c r="FZ377">
        <v>0.31204805757459919</v>
      </c>
      <c r="GA377">
        <v>1.3416343133558895</v>
      </c>
      <c r="GB377">
        <v>2.1886466689266926</v>
      </c>
      <c r="GC377">
        <v>2.6815931447734078</v>
      </c>
      <c r="GD377">
        <v>1.7867313838174885</v>
      </c>
      <c r="GE377">
        <v>0.80161328311131574</v>
      </c>
      <c r="GF377">
        <v>0.19016497712110106</v>
      </c>
      <c r="GG377">
        <v>0.64907444160511019</v>
      </c>
      <c r="GH377">
        <v>0.66238017508411107</v>
      </c>
      <c r="GI377">
        <v>2.0262403407054124</v>
      </c>
      <c r="GJ377"/>
      <c r="GK377"/>
      <c r="GL377"/>
      <c r="GM377"/>
    </row>
    <row r="378" spans="1:195" s="7" customFormat="1">
      <c r="A378" s="95"/>
      <c r="B378" s="71">
        <f t="shared" si="356"/>
        <v>39799</v>
      </c>
      <c r="C378" s="18">
        <f t="shared" si="357"/>
        <v>8.6538461538461533</v>
      </c>
      <c r="D378" s="18">
        <f t="shared" si="358"/>
        <v>9.7045442882456214</v>
      </c>
      <c r="E378" s="19">
        <f t="shared" si="359"/>
        <v>1.1214140066417164</v>
      </c>
      <c r="F378" s="19">
        <f t="shared" ref="F378:F382" si="365">IF(F392&lt;0,0,F392)</f>
        <v>0</v>
      </c>
      <c r="G378" s="18">
        <f>AVERAGE(E278:E287)*G$372</f>
        <v>0</v>
      </c>
      <c r="H378" s="18">
        <f t="shared" ref="H378:AK378" si="366">AVERAGE(F278:F287)*H$372</f>
        <v>0</v>
      </c>
      <c r="I378" s="18">
        <f t="shared" si="366"/>
        <v>0</v>
      </c>
      <c r="J378" s="18">
        <f t="shared" si="366"/>
        <v>0</v>
      </c>
      <c r="K378" s="18">
        <f t="shared" si="366"/>
        <v>0</v>
      </c>
      <c r="L378" s="18">
        <f t="shared" si="366"/>
        <v>4.9590054032213651</v>
      </c>
      <c r="M378" s="18">
        <f t="shared" si="366"/>
        <v>4.7455388850242564</v>
      </c>
      <c r="N378" s="18">
        <f t="shared" si="366"/>
        <v>0</v>
      </c>
      <c r="O378" s="18">
        <f t="shared" si="366"/>
        <v>0</v>
      </c>
      <c r="P378" s="18">
        <f t="shared" si="366"/>
        <v>0</v>
      </c>
      <c r="Q378" s="18">
        <f t="shared" si="366"/>
        <v>0</v>
      </c>
      <c r="R378" s="18">
        <f t="shared" si="366"/>
        <v>0</v>
      </c>
      <c r="S378" s="18">
        <f t="shared" si="366"/>
        <v>0</v>
      </c>
      <c r="T378" s="18">
        <f t="shared" si="366"/>
        <v>0</v>
      </c>
      <c r="U378" s="18">
        <f t="shared" si="366"/>
        <v>0</v>
      </c>
      <c r="V378" s="18">
        <f t="shared" si="366"/>
        <v>0</v>
      </c>
      <c r="W378" s="18">
        <f t="shared" si="366"/>
        <v>0</v>
      </c>
      <c r="X378" s="18">
        <f t="shared" si="366"/>
        <v>0</v>
      </c>
      <c r="Y378" s="18">
        <f t="shared" si="366"/>
        <v>0</v>
      </c>
      <c r="Z378" s="18">
        <f t="shared" si="366"/>
        <v>0</v>
      </c>
      <c r="AA378" s="18">
        <f t="shared" si="366"/>
        <v>0</v>
      </c>
      <c r="AB378" s="18">
        <f t="shared" si="366"/>
        <v>0</v>
      </c>
      <c r="AC378" s="18">
        <f t="shared" si="366"/>
        <v>0</v>
      </c>
      <c r="AD378" s="18">
        <f t="shared" si="366"/>
        <v>0</v>
      </c>
      <c r="AE378" s="18">
        <f t="shared" si="366"/>
        <v>0</v>
      </c>
      <c r="AF378" s="18">
        <f t="shared" si="366"/>
        <v>0</v>
      </c>
      <c r="AG378" s="18">
        <f t="shared" si="366"/>
        <v>0</v>
      </c>
      <c r="AH378" s="18">
        <f t="shared" si="366"/>
        <v>0</v>
      </c>
      <c r="AI378" s="18">
        <f t="shared" si="366"/>
        <v>0</v>
      </c>
      <c r="AJ378" s="18">
        <f t="shared" si="366"/>
        <v>0</v>
      </c>
      <c r="AK378" s="18">
        <f t="shared" si="366"/>
        <v>0</v>
      </c>
      <c r="AL378" s="78"/>
      <c r="AM378" s="43">
        <v>362</v>
      </c>
      <c r="AN378">
        <v>8.7698412698412671</v>
      </c>
      <c r="AO378">
        <v>7.7787168102855784</v>
      </c>
      <c r="AP378">
        <v>31.323191596651267</v>
      </c>
      <c r="AQ378">
        <v>28.442538412970528</v>
      </c>
      <c r="AR378">
        <v>7.1101478635047739</v>
      </c>
      <c r="AS378">
        <v>33.697042751629766</v>
      </c>
      <c r="AT378" t="e">
        <v>#DIV/0!</v>
      </c>
      <c r="AU378" t="e">
        <v>#DIV/0!</v>
      </c>
      <c r="AV378"/>
      <c r="AW378"/>
      <c r="FY378" s="210">
        <v>373</v>
      </c>
      <c r="FZ378">
        <v>0.27886497278940114</v>
      </c>
      <c r="GA378">
        <v>2.3905507653585385</v>
      </c>
      <c r="GB378">
        <v>2.1268838169727191</v>
      </c>
      <c r="GC378">
        <v>7.5971566546758176</v>
      </c>
      <c r="GD378">
        <v>6.2967266754124704</v>
      </c>
      <c r="GE378">
        <v>2.1282500787216656</v>
      </c>
      <c r="GF378">
        <v>0.95082488560550527</v>
      </c>
      <c r="GG378">
        <v>0.84036164456706985</v>
      </c>
      <c r="GH378">
        <v>0</v>
      </c>
      <c r="GI378">
        <v>5.1394646015984309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67">+C10</f>
        <v>39847</v>
      </c>
      <c r="C379" s="18">
        <f t="shared" si="357"/>
        <v>0</v>
      </c>
      <c r="D379" s="18">
        <f t="shared" si="358"/>
        <v>0</v>
      </c>
      <c r="E379" s="19">
        <f t="shared" si="359"/>
        <v>9.9999999999999995E-7</v>
      </c>
      <c r="F379" s="19">
        <f t="shared" si="365"/>
        <v>0</v>
      </c>
      <c r="G379" s="18">
        <f>AVERAGE(E288:E297)*G$372</f>
        <v>0</v>
      </c>
      <c r="H379" s="18">
        <f t="shared" ref="H379:AK379" si="368">AVERAGE(F288:F297)*H$372</f>
        <v>0</v>
      </c>
      <c r="I379" s="18">
        <f t="shared" si="368"/>
        <v>0</v>
      </c>
      <c r="J379" s="18">
        <f t="shared" si="368"/>
        <v>0</v>
      </c>
      <c r="K379" s="18">
        <f t="shared" si="368"/>
        <v>0</v>
      </c>
      <c r="L379" s="18">
        <f t="shared" si="368"/>
        <v>0</v>
      </c>
      <c r="M379" s="18">
        <f t="shared" si="368"/>
        <v>0</v>
      </c>
      <c r="N379" s="18">
        <f t="shared" si="368"/>
        <v>0</v>
      </c>
      <c r="O379" s="18">
        <f t="shared" si="368"/>
        <v>0</v>
      </c>
      <c r="P379" s="18">
        <f t="shared" si="368"/>
        <v>0</v>
      </c>
      <c r="Q379" s="18">
        <f t="shared" si="368"/>
        <v>0</v>
      </c>
      <c r="R379" s="18">
        <f t="shared" si="368"/>
        <v>0</v>
      </c>
      <c r="S379" s="18">
        <f t="shared" si="368"/>
        <v>0</v>
      </c>
      <c r="T379" s="18">
        <f t="shared" si="368"/>
        <v>0</v>
      </c>
      <c r="U379" s="18">
        <f t="shared" si="368"/>
        <v>0</v>
      </c>
      <c r="V379" s="18">
        <f t="shared" si="368"/>
        <v>0</v>
      </c>
      <c r="W379" s="18">
        <f t="shared" si="368"/>
        <v>0</v>
      </c>
      <c r="X379" s="18">
        <f t="shared" si="368"/>
        <v>0</v>
      </c>
      <c r="Y379" s="18">
        <f t="shared" si="368"/>
        <v>0</v>
      </c>
      <c r="Z379" s="18">
        <f t="shared" si="368"/>
        <v>0</v>
      </c>
      <c r="AA379" s="18">
        <f t="shared" si="368"/>
        <v>0</v>
      </c>
      <c r="AB379" s="18">
        <f t="shared" si="368"/>
        <v>0</v>
      </c>
      <c r="AC379" s="18">
        <f t="shared" si="368"/>
        <v>0</v>
      </c>
      <c r="AD379" s="18">
        <f t="shared" si="368"/>
        <v>0</v>
      </c>
      <c r="AE379" s="18">
        <f t="shared" si="368"/>
        <v>0</v>
      </c>
      <c r="AF379" s="18">
        <f t="shared" si="368"/>
        <v>0</v>
      </c>
      <c r="AG379" s="18">
        <f t="shared" si="368"/>
        <v>0</v>
      </c>
      <c r="AH379" s="18">
        <f t="shared" si="368"/>
        <v>0</v>
      </c>
      <c r="AI379" s="18">
        <f t="shared" si="368"/>
        <v>0</v>
      </c>
      <c r="AJ379" s="18">
        <f t="shared" si="368"/>
        <v>0</v>
      </c>
      <c r="AK379" s="18">
        <f t="shared" si="368"/>
        <v>0</v>
      </c>
      <c r="AL379" s="78"/>
      <c r="AM379" s="43">
        <v>363</v>
      </c>
      <c r="AN379">
        <v>7.6290445665445663</v>
      </c>
      <c r="AO379">
        <v>8.0929705898174653</v>
      </c>
      <c r="AP379">
        <v>38.251884342511048</v>
      </c>
      <c r="AQ379">
        <v>33.129757857398289</v>
      </c>
      <c r="AR379">
        <v>7.2959329897612255</v>
      </c>
      <c r="AS379">
        <v>39.97598516543664</v>
      </c>
      <c r="AT379" t="e">
        <v>#DIV/0!</v>
      </c>
      <c r="AU379" t="e">
        <v>#DIV/0!</v>
      </c>
      <c r="AV379"/>
      <c r="AW379"/>
      <c r="FY379" s="210">
        <v>374</v>
      </c>
      <c r="FZ379">
        <v>9.9549254355594113E-2</v>
      </c>
      <c r="GA379">
        <v>0.2431183075571153</v>
      </c>
      <c r="GB379">
        <v>6.3936326655807327E-2</v>
      </c>
      <c r="GC379">
        <v>1.4120929291643693</v>
      </c>
      <c r="GD379">
        <v>0.99290689383340081</v>
      </c>
      <c r="GE379">
        <v>1.0850578241824249</v>
      </c>
      <c r="GF379">
        <v>1.95227762939375</v>
      </c>
      <c r="GG379">
        <v>1.6110786669885027</v>
      </c>
      <c r="GH379">
        <v>1.9871405252523333</v>
      </c>
      <c r="GI379">
        <v>1.6467848231135398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67"/>
        <v>39910</v>
      </c>
      <c r="C380" s="18">
        <f t="shared" si="357"/>
        <v>1.0416666666666665</v>
      </c>
      <c r="D380" s="18">
        <f t="shared" si="358"/>
        <v>0.49047031276338598</v>
      </c>
      <c r="E380" s="19">
        <f t="shared" si="359"/>
        <v>0.47085150025285061</v>
      </c>
      <c r="F380" s="19">
        <f t="shared" si="365"/>
        <v>0.20733806408250924</v>
      </c>
      <c r="G380" s="18">
        <f>AVERAGE(E298:E307)*G$372</f>
        <v>0</v>
      </c>
      <c r="H380" s="18">
        <f t="shared" ref="H380:AK380" si="369">AVERAGE(F298:F307)*H$372</f>
        <v>0</v>
      </c>
      <c r="I380" s="18">
        <f t="shared" si="369"/>
        <v>0</v>
      </c>
      <c r="J380" s="18">
        <f t="shared" si="369"/>
        <v>0</v>
      </c>
      <c r="K380" s="18">
        <f t="shared" si="369"/>
        <v>0.49047031276338598</v>
      </c>
      <c r="L380" s="18">
        <f t="shared" si="369"/>
        <v>0</v>
      </c>
      <c r="M380" s="18">
        <f t="shared" si="369"/>
        <v>0</v>
      </c>
      <c r="N380" s="18">
        <f t="shared" si="369"/>
        <v>0</v>
      </c>
      <c r="O380" s="18">
        <f t="shared" si="369"/>
        <v>0</v>
      </c>
      <c r="P380" s="18">
        <f t="shared" si="369"/>
        <v>0</v>
      </c>
      <c r="Q380" s="18">
        <f t="shared" si="369"/>
        <v>0</v>
      </c>
      <c r="R380" s="18">
        <f t="shared" si="369"/>
        <v>0</v>
      </c>
      <c r="S380" s="18">
        <f t="shared" si="369"/>
        <v>0</v>
      </c>
      <c r="T380" s="18">
        <f t="shared" si="369"/>
        <v>0</v>
      </c>
      <c r="U380" s="18">
        <f t="shared" si="369"/>
        <v>0</v>
      </c>
      <c r="V380" s="18">
        <f t="shared" si="369"/>
        <v>0</v>
      </c>
      <c r="W380" s="18">
        <f t="shared" si="369"/>
        <v>0</v>
      </c>
      <c r="X380" s="18">
        <f t="shared" si="369"/>
        <v>0</v>
      </c>
      <c r="Y380" s="18">
        <f t="shared" si="369"/>
        <v>0</v>
      </c>
      <c r="Z380" s="18">
        <f t="shared" si="369"/>
        <v>0</v>
      </c>
      <c r="AA380" s="18">
        <f t="shared" si="369"/>
        <v>0</v>
      </c>
      <c r="AB380" s="18">
        <f t="shared" si="369"/>
        <v>0</v>
      </c>
      <c r="AC380" s="18">
        <f t="shared" si="369"/>
        <v>0</v>
      </c>
      <c r="AD380" s="18">
        <f t="shared" si="369"/>
        <v>0</v>
      </c>
      <c r="AE380" s="18">
        <f t="shared" si="369"/>
        <v>0</v>
      </c>
      <c r="AF380" s="18">
        <f t="shared" si="369"/>
        <v>0</v>
      </c>
      <c r="AG380" s="18">
        <f t="shared" si="369"/>
        <v>0</v>
      </c>
      <c r="AH380" s="18">
        <f t="shared" si="369"/>
        <v>0</v>
      </c>
      <c r="AI380" s="18">
        <f t="shared" si="369"/>
        <v>0</v>
      </c>
      <c r="AJ380" s="18">
        <f t="shared" si="369"/>
        <v>0</v>
      </c>
      <c r="AK380" s="18">
        <f t="shared" si="369"/>
        <v>0</v>
      </c>
      <c r="AL380" s="78"/>
      <c r="AM380" s="43">
        <v>364</v>
      </c>
      <c r="AN380">
        <v>8.903521825396826</v>
      </c>
      <c r="AO380">
        <v>9.2983122086576895</v>
      </c>
      <c r="AP380">
        <v>41.291333594756857</v>
      </c>
      <c r="AQ380">
        <v>35.497165853393142</v>
      </c>
      <c r="AR380">
        <v>8.4669258706090371</v>
      </c>
      <c r="AS380">
        <v>34.419895762060214</v>
      </c>
      <c r="AT380" t="e">
        <v>#DIV/0!</v>
      </c>
      <c r="AU380" t="e">
        <v>#DIV/0!</v>
      </c>
      <c r="AV380"/>
      <c r="AW380"/>
      <c r="FY380" s="210">
        <v>375</v>
      </c>
      <c r="FZ380">
        <v>6.6366169570396066E-2</v>
      </c>
      <c r="GA380">
        <v>3.8352344876135724</v>
      </c>
      <c r="GB380">
        <v>1.7997897517166055</v>
      </c>
      <c r="GC380">
        <v>2.3125850502441661</v>
      </c>
      <c r="GD380">
        <v>2.2184017925024007</v>
      </c>
      <c r="GE380">
        <v>2.02559888792194</v>
      </c>
      <c r="GF380">
        <v>1.95227762939375</v>
      </c>
      <c r="GG380">
        <v>0.64907444160511019</v>
      </c>
      <c r="GH380">
        <v>0.66238017508411107</v>
      </c>
      <c r="GI380">
        <v>2.3892635486882638</v>
      </c>
      <c r="GJ380"/>
      <c r="GK380"/>
      <c r="GL380"/>
      <c r="GM380"/>
    </row>
    <row r="381" spans="1:195" s="7" customFormat="1">
      <c r="A381" s="1"/>
      <c r="B381" s="71">
        <f t="shared" si="367"/>
        <v>39949</v>
      </c>
      <c r="C381" s="18">
        <f t="shared" si="357"/>
        <v>1.0416666666666665</v>
      </c>
      <c r="D381" s="18">
        <f t="shared" si="358"/>
        <v>1.5818462950080854</v>
      </c>
      <c r="E381" s="19">
        <f t="shared" si="359"/>
        <v>1.5185724432077621</v>
      </c>
      <c r="F381" s="19">
        <f t="shared" si="365"/>
        <v>3.0025211082471259E-2</v>
      </c>
      <c r="G381" s="18">
        <f>AVERAGE(E308:E317)*G$372</f>
        <v>0</v>
      </c>
      <c r="H381" s="18">
        <f t="shared" ref="H381:AK381" si="370">AVERAGE(F308:F317)*H$372</f>
        <v>0</v>
      </c>
      <c r="I381" s="18">
        <f t="shared" si="370"/>
        <v>0</v>
      </c>
      <c r="J381" s="18">
        <f t="shared" si="370"/>
        <v>0</v>
      </c>
      <c r="K381" s="18">
        <f t="shared" si="370"/>
        <v>0</v>
      </c>
      <c r="L381" s="18">
        <f t="shared" si="370"/>
        <v>0</v>
      </c>
      <c r="M381" s="18">
        <f t="shared" si="370"/>
        <v>1.5818462950080854</v>
      </c>
      <c r="N381" s="18">
        <f t="shared" si="370"/>
        <v>0</v>
      </c>
      <c r="O381" s="18">
        <f t="shared" si="370"/>
        <v>0</v>
      </c>
      <c r="P381" s="18">
        <f t="shared" si="370"/>
        <v>0</v>
      </c>
      <c r="Q381" s="18">
        <f t="shared" si="370"/>
        <v>0</v>
      </c>
      <c r="R381" s="18">
        <f t="shared" si="370"/>
        <v>0</v>
      </c>
      <c r="S381" s="18">
        <f t="shared" si="370"/>
        <v>0</v>
      </c>
      <c r="T381" s="18">
        <f t="shared" si="370"/>
        <v>0</v>
      </c>
      <c r="U381" s="18">
        <f t="shared" si="370"/>
        <v>0</v>
      </c>
      <c r="V381" s="18">
        <f t="shared" si="370"/>
        <v>0</v>
      </c>
      <c r="W381" s="18">
        <f t="shared" si="370"/>
        <v>0</v>
      </c>
      <c r="X381" s="18">
        <f t="shared" si="370"/>
        <v>0</v>
      </c>
      <c r="Y381" s="18">
        <f t="shared" si="370"/>
        <v>0</v>
      </c>
      <c r="Z381" s="18">
        <f t="shared" si="370"/>
        <v>0</v>
      </c>
      <c r="AA381" s="18">
        <f t="shared" si="370"/>
        <v>0</v>
      </c>
      <c r="AB381" s="18">
        <f t="shared" si="370"/>
        <v>0</v>
      </c>
      <c r="AC381" s="18">
        <f t="shared" si="370"/>
        <v>0</v>
      </c>
      <c r="AD381" s="18">
        <f t="shared" si="370"/>
        <v>0</v>
      </c>
      <c r="AE381" s="18">
        <f t="shared" si="370"/>
        <v>0</v>
      </c>
      <c r="AF381" s="18">
        <f t="shared" si="370"/>
        <v>0</v>
      </c>
      <c r="AG381" s="18">
        <f t="shared" si="370"/>
        <v>0</v>
      </c>
      <c r="AH381" s="18">
        <f t="shared" si="370"/>
        <v>0</v>
      </c>
      <c r="AI381" s="18">
        <f t="shared" si="370"/>
        <v>0</v>
      </c>
      <c r="AJ381" s="18">
        <f t="shared" si="370"/>
        <v>0</v>
      </c>
      <c r="AK381" s="18">
        <f t="shared" si="370"/>
        <v>0</v>
      </c>
      <c r="AL381" s="78"/>
      <c r="AM381" s="43">
        <v>365</v>
      </c>
      <c r="AN381">
        <v>4.036458333333333</v>
      </c>
      <c r="AO381">
        <v>5.9109128381718543</v>
      </c>
      <c r="AP381">
        <v>21.277688756491077</v>
      </c>
      <c r="AQ381">
        <v>20.227967352768168</v>
      </c>
      <c r="AR381">
        <v>5.4303563371596839</v>
      </c>
      <c r="AS381">
        <v>34.316858937079033</v>
      </c>
      <c r="AT381" t="e">
        <v>#DIV/0!</v>
      </c>
      <c r="AU381" t="e">
        <v>#DIV/0!</v>
      </c>
      <c r="AV381"/>
      <c r="AW381"/>
      <c r="FY381" s="210">
        <v>376</v>
      </c>
      <c r="FZ381">
        <v>0.59091303036400022</v>
      </c>
      <c r="GA381">
        <v>2.7590604544727393</v>
      </c>
      <c r="GB381">
        <v>2.1268838169727191</v>
      </c>
      <c r="GC381">
        <v>7.4348039626480169</v>
      </c>
      <c r="GD381">
        <v>6.0967001757422707</v>
      </c>
      <c r="GE381">
        <v>3.6538329516679942</v>
      </c>
      <c r="GF381">
        <v>2.8333339555300743</v>
      </c>
      <c r="GG381">
        <v>1.6110786669885027</v>
      </c>
      <c r="GH381">
        <v>1.9871405252523333</v>
      </c>
      <c r="GI381">
        <v>5.8634848344421497</v>
      </c>
      <c r="GJ381"/>
      <c r="GK381"/>
      <c r="GL381"/>
      <c r="GM381"/>
    </row>
    <row r="382" spans="1:195" s="7" customFormat="1">
      <c r="A382" s="1"/>
      <c r="B382" s="71">
        <f t="shared" si="367"/>
        <v>39987</v>
      </c>
      <c r="C382" s="18">
        <f t="shared" si="357"/>
        <v>0</v>
      </c>
      <c r="D382" s="18">
        <f t="shared" si="358"/>
        <v>0</v>
      </c>
      <c r="E382" s="19">
        <f t="shared" si="359"/>
        <v>9.9999999999999995E-7</v>
      </c>
      <c r="F382" s="19">
        <f t="shared" si="365"/>
        <v>0</v>
      </c>
      <c r="G382" s="18">
        <f>AVERAGE(E318:E327)*G$372</f>
        <v>0</v>
      </c>
      <c r="H382" s="18">
        <f t="shared" ref="H382:AK382" si="371">AVERAGE(F318:F327)*H$372</f>
        <v>0</v>
      </c>
      <c r="I382" s="18">
        <f t="shared" si="371"/>
        <v>0</v>
      </c>
      <c r="J382" s="18">
        <f t="shared" si="371"/>
        <v>0</v>
      </c>
      <c r="K382" s="18">
        <f t="shared" si="371"/>
        <v>0</v>
      </c>
      <c r="L382" s="18">
        <f t="shared" si="371"/>
        <v>0</v>
      </c>
      <c r="M382" s="18">
        <f t="shared" si="371"/>
        <v>0</v>
      </c>
      <c r="N382" s="18">
        <f t="shared" si="371"/>
        <v>0</v>
      </c>
      <c r="O382" s="18">
        <f t="shared" si="371"/>
        <v>0</v>
      </c>
      <c r="P382" s="18">
        <f t="shared" si="371"/>
        <v>0</v>
      </c>
      <c r="Q382" s="18">
        <f t="shared" si="371"/>
        <v>0</v>
      </c>
      <c r="R382" s="18">
        <f t="shared" si="371"/>
        <v>0</v>
      </c>
      <c r="S382" s="18">
        <f t="shared" si="371"/>
        <v>0</v>
      </c>
      <c r="T382" s="18">
        <f t="shared" si="371"/>
        <v>0</v>
      </c>
      <c r="U382" s="18">
        <f t="shared" si="371"/>
        <v>0</v>
      </c>
      <c r="V382" s="18">
        <f t="shared" si="371"/>
        <v>0</v>
      </c>
      <c r="W382" s="18">
        <f t="shared" si="371"/>
        <v>0</v>
      </c>
      <c r="X382" s="18">
        <f t="shared" si="371"/>
        <v>0</v>
      </c>
      <c r="Y382" s="18">
        <f t="shared" si="371"/>
        <v>0</v>
      </c>
      <c r="Z382" s="18">
        <f t="shared" si="371"/>
        <v>0</v>
      </c>
      <c r="AA382" s="18">
        <f t="shared" si="371"/>
        <v>0</v>
      </c>
      <c r="AB382" s="18">
        <f t="shared" si="371"/>
        <v>0</v>
      </c>
      <c r="AC382" s="18">
        <f t="shared" si="371"/>
        <v>0</v>
      </c>
      <c r="AD382" s="18">
        <f t="shared" si="371"/>
        <v>0</v>
      </c>
      <c r="AE382" s="18">
        <f t="shared" si="371"/>
        <v>0</v>
      </c>
      <c r="AF382" s="18">
        <f t="shared" si="371"/>
        <v>0</v>
      </c>
      <c r="AG382" s="18">
        <f t="shared" si="371"/>
        <v>0</v>
      </c>
      <c r="AH382" s="18">
        <f t="shared" si="371"/>
        <v>0</v>
      </c>
      <c r="AI382" s="18">
        <f t="shared" si="371"/>
        <v>0</v>
      </c>
      <c r="AJ382" s="18">
        <f t="shared" si="371"/>
        <v>0</v>
      </c>
      <c r="AK382" s="18">
        <f t="shared" si="371"/>
        <v>0</v>
      </c>
      <c r="AL382" s="78"/>
      <c r="AM382" s="43">
        <v>366</v>
      </c>
      <c r="AN382">
        <v>8.0693108974358978</v>
      </c>
      <c r="AO382">
        <v>8.1684157070165604</v>
      </c>
      <c r="AP382">
        <v>32.47768946964333</v>
      </c>
      <c r="AQ382">
        <v>31.178156932897558</v>
      </c>
      <c r="AR382">
        <v>7.4187844034094788</v>
      </c>
      <c r="AS382">
        <v>37.171206206415754</v>
      </c>
      <c r="AT382" t="e">
        <v>#DIV/0!</v>
      </c>
      <c r="AU382" t="e">
        <v>#DIV/0!</v>
      </c>
      <c r="AV382"/>
      <c r="AW382"/>
      <c r="FY382" s="210">
        <v>377</v>
      </c>
      <c r="FZ382">
        <v>0.27886497278940114</v>
      </c>
      <c r="GA382">
        <v>5.0487846298399841</v>
      </c>
      <c r="GB382">
        <v>2.8182192605562957</v>
      </c>
      <c r="GC382">
        <v>9.4506692033343835</v>
      </c>
      <c r="GD382">
        <v>7.5108530349068792</v>
      </c>
      <c r="GE382">
        <v>1.5381466201962124</v>
      </c>
      <c r="GF382">
        <v>0</v>
      </c>
      <c r="GG382">
        <v>1.9240084507667847</v>
      </c>
      <c r="GH382">
        <v>2.6495207003364443</v>
      </c>
      <c r="GI382">
        <v>6.6932623379052441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8.8802464896214879</v>
      </c>
      <c r="AO383">
        <v>11.356864520904971</v>
      </c>
      <c r="AP383">
        <v>36.892331491434184</v>
      </c>
      <c r="AQ383">
        <v>36.762117688911033</v>
      </c>
      <c r="AR383">
        <v>10.482259567895415</v>
      </c>
      <c r="AS383">
        <v>59.476882140032814</v>
      </c>
      <c r="AT383" t="e">
        <v>#DIV/0!</v>
      </c>
      <c r="AU383" t="e">
        <v>#DIV/0!</v>
      </c>
      <c r="AV383"/>
      <c r="AW383"/>
      <c r="FY383" s="210">
        <v>378</v>
      </c>
      <c r="FZ383">
        <v>0.31204805757459919</v>
      </c>
      <c r="GA383">
        <v>4.3656850773791431</v>
      </c>
      <c r="GB383">
        <v>1.9015739323906893</v>
      </c>
      <c r="GC383">
        <v>5.7359798564793989</v>
      </c>
      <c r="GD383">
        <v>4.602289436371831</v>
      </c>
      <c r="GE383">
        <v>0.83853720041220592</v>
      </c>
      <c r="GF383">
        <v>0.38032995424220212</v>
      </c>
      <c r="GG383">
        <v>2.2601531085936126</v>
      </c>
      <c r="GH383">
        <v>2.6495207003364443</v>
      </c>
      <c r="GI383">
        <v>4.5241693856636767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10.657528235653235</v>
      </c>
      <c r="AO384">
        <v>9.7502517116445624</v>
      </c>
      <c r="AP384">
        <v>37.858513530858104</v>
      </c>
      <c r="AQ384">
        <v>35.52631362192971</v>
      </c>
      <c r="AR384">
        <v>8.9918951808263881</v>
      </c>
      <c r="AS384">
        <v>39.600100214949819</v>
      </c>
      <c r="AT384" t="e">
        <v>#DIV/0!</v>
      </c>
      <c r="AU384" t="e">
        <v>#DIV/0!</v>
      </c>
      <c r="AV384"/>
      <c r="AW384"/>
      <c r="FY384" s="210">
        <v>379</v>
      </c>
      <c r="FZ384">
        <v>0</v>
      </c>
      <c r="GA384">
        <v>1.2239073873558599</v>
      </c>
      <c r="GB384">
        <v>0.60032629106410051</v>
      </c>
      <c r="GC384">
        <v>10.197678132126564</v>
      </c>
      <c r="GD384">
        <v>8.4528734304502535</v>
      </c>
      <c r="GE384">
        <v>3.0374562049750011</v>
      </c>
      <c r="GF384">
        <v>1.95227762939375</v>
      </c>
      <c r="GG384">
        <v>1.1300765542968063</v>
      </c>
      <c r="GH384">
        <v>1.3247603501682221</v>
      </c>
      <c r="GI384">
        <v>6.9175568752820045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9.7465659340659325</v>
      </c>
      <c r="AO385">
        <v>12.303195691267486</v>
      </c>
      <c r="AP385">
        <v>33.24896123841193</v>
      </c>
      <c r="AQ385">
        <v>37.091546479013651</v>
      </c>
      <c r="AR385">
        <v>11.41298301601808</v>
      </c>
      <c r="AS385">
        <v>68.540871753889249</v>
      </c>
      <c r="AT385" t="e">
        <v>#DIV/0!</v>
      </c>
      <c r="AU385" t="e">
        <v>#DIV/0!</v>
      </c>
      <c r="AV385"/>
      <c r="AW385"/>
      <c r="FY385" s="210">
        <v>380</v>
      </c>
      <c r="FZ385">
        <v>0</v>
      </c>
      <c r="GA385">
        <v>2.0612833849110137</v>
      </c>
      <c r="GB385">
        <v>1.5548194732479839</v>
      </c>
      <c r="GC385">
        <v>1.6932698659986263</v>
      </c>
      <c r="GD385">
        <v>1.2957767665734536</v>
      </c>
      <c r="GE385">
        <v>1.0306285072893564</v>
      </c>
      <c r="GF385">
        <v>1.2613862803785265</v>
      </c>
      <c r="GG385">
        <v>1.2981488832102204</v>
      </c>
      <c r="GH385">
        <v>1.3247603501682221</v>
      </c>
      <c r="GI385">
        <v>1.7838352799962316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4.2830242673992664</v>
      </c>
      <c r="AO386">
        <v>3.2334699216291414</v>
      </c>
      <c r="AP386">
        <v>22.825592067198727</v>
      </c>
      <c r="AQ386">
        <v>17.043371161303011</v>
      </c>
      <c r="AR386">
        <v>2.9466430565078165</v>
      </c>
      <c r="AS386">
        <v>13.991255648968435</v>
      </c>
      <c r="AT386" t="e">
        <v>#DIV/0!</v>
      </c>
      <c r="AU386" t="e">
        <v>#DIV/0!</v>
      </c>
      <c r="AV386"/>
      <c r="AW386"/>
      <c r="FY386" s="210">
        <v>381</v>
      </c>
      <c r="FZ386">
        <v>0.49136377600840619</v>
      </c>
      <c r="GA386">
        <v>5.4249587745112411</v>
      </c>
      <c r="GB386">
        <v>4.0262842746615739</v>
      </c>
      <c r="GC386">
        <v>9.1339750416562744</v>
      </c>
      <c r="GD386">
        <v>7.0778862993161704</v>
      </c>
      <c r="GE386">
        <v>3.4792470443830217</v>
      </c>
      <c r="GF386">
        <v>3.4038288868933777</v>
      </c>
      <c r="GG386">
        <v>2.1152956537287446</v>
      </c>
      <c r="GH386">
        <v>1.9871405252523333</v>
      </c>
      <c r="GI386">
        <v>7.1491661746404986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10.40632631257631</v>
      </c>
      <c r="AO387">
        <v>9.9197581800200147</v>
      </c>
      <c r="AP387">
        <v>37.529604276685468</v>
      </c>
      <c r="AQ387">
        <v>35.304308913867061</v>
      </c>
      <c r="AR387">
        <v>9.2020020222820165</v>
      </c>
      <c r="AS387">
        <v>37.998024444850152</v>
      </c>
      <c r="AT387" t="e">
        <v>#DIV/0!</v>
      </c>
      <c r="AU387" t="e">
        <v>#DIV/0!</v>
      </c>
      <c r="AV387"/>
      <c r="AW387"/>
      <c r="FY387" s="210">
        <v>382</v>
      </c>
      <c r="FZ387">
        <v>0.2456818880042031</v>
      </c>
      <c r="GA387">
        <v>5.9826669454149952</v>
      </c>
      <c r="GB387">
        <v>3.2906728983087818</v>
      </c>
      <c r="GC387">
        <v>10.635013245063634</v>
      </c>
      <c r="GD387">
        <v>8.0220599211093599</v>
      </c>
      <c r="GE387">
        <v>1.7120852000087687</v>
      </c>
      <c r="GF387">
        <v>2.1424426065148507</v>
      </c>
      <c r="GG387">
        <v>1.2981488832102204</v>
      </c>
      <c r="GH387">
        <v>1.3247603501682221</v>
      </c>
      <c r="GI387">
        <v>7.1108303842012779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372">IF(C374&lt;1,0,LN(E374/E373)/E21)</f>
        <v>0.43322593068612358</v>
      </c>
      <c r="G388" s="13"/>
      <c r="H388" s="19">
        <f>IF(G406&lt;0,0,G406)</f>
        <v>4.8168125859934782E-2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3.3199786324786325</v>
      </c>
      <c r="AO388">
        <v>3.3294940248827212</v>
      </c>
      <c r="AP388">
        <v>15.176845359355921</v>
      </c>
      <c r="AQ388">
        <v>12.640126786075129</v>
      </c>
      <c r="AR388">
        <v>3.0885844386667172</v>
      </c>
      <c r="AS388">
        <v>13.396797418895632</v>
      </c>
      <c r="AT388" t="e">
        <v>#DIV/0!</v>
      </c>
      <c r="AU388" t="e">
        <v>#DIV/0!</v>
      </c>
      <c r="AV388"/>
      <c r="AW388"/>
      <c r="FY388" s="210">
        <v>383</v>
      </c>
      <c r="FZ388">
        <v>0</v>
      </c>
      <c r="GA388">
        <v>4.1225667698220274</v>
      </c>
      <c r="GB388">
        <v>2.5375746027712318</v>
      </c>
      <c r="GC388">
        <v>8.0109376725118544</v>
      </c>
      <c r="GD388">
        <v>6.3731643351297258</v>
      </c>
      <c r="GE388">
        <v>2.4116946197927751</v>
      </c>
      <c r="GF388">
        <v>2.1424426065148507</v>
      </c>
      <c r="GG388">
        <v>1.2981488832102204</v>
      </c>
      <c r="GH388">
        <v>1.3247603501682221</v>
      </c>
      <c r="GI388">
        <v>5.8671111739232833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372"/>
        <v>6.1858076607051803E-2</v>
      </c>
      <c r="G389" s="13"/>
      <c r="H389" s="19">
        <f t="shared" ref="H389:H398" si="373">IF(G407&lt;0,0,G407)</f>
        <v>0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8.8894612332112324</v>
      </c>
      <c r="AO389">
        <v>8.3504506802540792</v>
      </c>
      <c r="AP389">
        <v>26.629141186452465</v>
      </c>
      <c r="AQ389">
        <v>27.749084095701622</v>
      </c>
      <c r="AR389">
        <v>7.7462436737050826</v>
      </c>
      <c r="AS389">
        <v>35.033124299509623</v>
      </c>
      <c r="AT389" t="e">
        <v>#DIV/0!</v>
      </c>
      <c r="AU389" t="e">
        <v>#DIV/0!</v>
      </c>
      <c r="AV389"/>
      <c r="AW389"/>
      <c r="FY389" s="210">
        <v>384</v>
      </c>
      <c r="FZ389">
        <v>0.27886497278940114</v>
      </c>
      <c r="GA389">
        <v>0.32926738044752452</v>
      </c>
      <c r="GB389">
        <v>0.57206434372473558</v>
      </c>
      <c r="GC389">
        <v>12.331727341864392</v>
      </c>
      <c r="GD389">
        <v>9.3168154849985907</v>
      </c>
      <c r="GE389">
        <v>1.3441421952025283</v>
      </c>
      <c r="GF389">
        <v>1.2613862803785265</v>
      </c>
      <c r="GG389">
        <v>0.3361446578268279</v>
      </c>
      <c r="GH389">
        <v>0</v>
      </c>
      <c r="GI389">
        <v>7.0876079583161138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372"/>
        <v>1.3490520101246115E-2</v>
      </c>
      <c r="G390" s="13"/>
      <c r="H390" s="19">
        <f t="shared" si="373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2.2916666666666665</v>
      </c>
      <c r="AO390">
        <v>2.800436453671177</v>
      </c>
      <c r="AP390">
        <v>13.727468652981388</v>
      </c>
      <c r="AQ390">
        <v>11.093943180496838</v>
      </c>
      <c r="AR390">
        <v>2.4920770317659979</v>
      </c>
      <c r="AS390">
        <v>10.569893067099521</v>
      </c>
      <c r="AT390" t="e">
        <v>#DIV/0!</v>
      </c>
      <c r="AU390" t="e">
        <v>#DIV/0!</v>
      </c>
      <c r="AV390"/>
      <c r="AW390"/>
      <c r="FY390" s="210">
        <v>385</v>
      </c>
      <c r="FZ390">
        <v>6.6366169570396066E-2</v>
      </c>
      <c r="GA390">
        <v>2.0143766206872811</v>
      </c>
      <c r="GB390">
        <v>2.0629474903169118</v>
      </c>
      <c r="GC390">
        <v>5.5601943010959172</v>
      </c>
      <c r="GD390">
        <v>4.2682630536679111</v>
      </c>
      <c r="GE390">
        <v>1.1520508883253777</v>
      </c>
      <c r="GF390">
        <v>0.19016497712110106</v>
      </c>
      <c r="GG390">
        <v>0.16807232891341395</v>
      </c>
      <c r="GH390">
        <v>0</v>
      </c>
      <c r="GI390">
        <v>3.6932184678565321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372"/>
        <v>-1.5151854371846822E-2</v>
      </c>
      <c r="G391" s="13"/>
      <c r="H391" s="19">
        <f t="shared" si="373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5.5654761904761907</v>
      </c>
      <c r="AO391">
        <v>3.7873971069140753</v>
      </c>
      <c r="AP391">
        <v>20.895586624941558</v>
      </c>
      <c r="AQ391">
        <v>17.910971934340317</v>
      </c>
      <c r="AR391">
        <v>3.4076249475757359</v>
      </c>
      <c r="AS391">
        <v>15.6693315906082</v>
      </c>
      <c r="AT391" t="e">
        <v>#DIV/0!</v>
      </c>
      <c r="AU391" t="e">
        <v>#DIV/0!</v>
      </c>
      <c r="AV391"/>
      <c r="AW391"/>
      <c r="FY391" s="210">
        <v>386</v>
      </c>
      <c r="FZ391">
        <v>0.49136377600840619</v>
      </c>
      <c r="GA391">
        <v>1.67856614936047</v>
      </c>
      <c r="GB391">
        <v>1.1084543081330289</v>
      </c>
      <c r="GC391">
        <v>9.0228114184278123</v>
      </c>
      <c r="GD391">
        <v>7.3376997727456859</v>
      </c>
      <c r="GE391">
        <v>2.864136088334146</v>
      </c>
      <c r="GF391">
        <v>2.3326075836359519</v>
      </c>
      <c r="GG391">
        <v>1.4662212121236342</v>
      </c>
      <c r="GH391">
        <v>1.3247603501682221</v>
      </c>
      <c r="GI391">
        <v>6.3148366600062698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372"/>
        <v>-1.3504814893039898E-2</v>
      </c>
      <c r="G392" s="13"/>
      <c r="H392" s="19">
        <f t="shared" si="373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9.7488362332112306</v>
      </c>
      <c r="AO392">
        <v>9.5899253397910424</v>
      </c>
      <c r="AP392">
        <v>36.935034244409117</v>
      </c>
      <c r="AQ392">
        <v>34.957232374080803</v>
      </c>
      <c r="AR392">
        <v>8.737438979267063</v>
      </c>
      <c r="AS392">
        <v>42.278645209212677</v>
      </c>
      <c r="AT392" t="e">
        <v>#DIV/0!</v>
      </c>
      <c r="AU392" t="e">
        <v>#DIV/0!</v>
      </c>
      <c r="AV392"/>
      <c r="AW392"/>
      <c r="FY392" s="210">
        <v>387</v>
      </c>
      <c r="FZ392">
        <v>0.52454686079360424</v>
      </c>
      <c r="GA392">
        <v>0.61929245222837248</v>
      </c>
      <c r="GB392">
        <v>0.57206434372473558</v>
      </c>
      <c r="GC392">
        <v>7.4568883241361856</v>
      </c>
      <c r="GD392">
        <v>5.5438826778487362</v>
      </c>
      <c r="GE392">
        <v>0.52502351249903412</v>
      </c>
      <c r="GF392">
        <v>0.38032995424220212</v>
      </c>
      <c r="GG392">
        <v>1.7791509959019165</v>
      </c>
      <c r="GH392">
        <v>1.9871405252523333</v>
      </c>
      <c r="GI392">
        <v>4.697667052632065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372"/>
        <v>0</v>
      </c>
      <c r="G393" s="13"/>
      <c r="H393" s="19" t="e">
        <f t="shared" si="373"/>
        <v>#DIV/0!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9.6905143467643455</v>
      </c>
      <c r="AO393">
        <v>11.075579498251081</v>
      </c>
      <c r="AP393">
        <v>39.740569208986784</v>
      </c>
      <c r="AQ393">
        <v>37.912329210631633</v>
      </c>
      <c r="AR393">
        <v>10.274192484462974</v>
      </c>
      <c r="AS393">
        <v>54.946876343218683</v>
      </c>
      <c r="AT393" t="e">
        <v>#DIV/0!</v>
      </c>
      <c r="AU393" t="e">
        <v>#DIV/0!</v>
      </c>
      <c r="AV393"/>
      <c r="AW393"/>
      <c r="FY393" s="210">
        <v>388</v>
      </c>
      <c r="FZ393">
        <v>3.3183084785198033E-2</v>
      </c>
      <c r="GA393">
        <v>1.9751343120206046</v>
      </c>
      <c r="GB393">
        <v>2.0629474903169118</v>
      </c>
      <c r="GC393">
        <v>3.4040607298699195</v>
      </c>
      <c r="GD393">
        <v>2.7544165745931064</v>
      </c>
      <c r="GE393">
        <v>1.9060896250024524</v>
      </c>
      <c r="GF393">
        <v>0.88105632613632445</v>
      </c>
      <c r="GG393">
        <v>1.4430063380750886</v>
      </c>
      <c r="GH393">
        <v>1.9871405252523333</v>
      </c>
      <c r="GI393">
        <v>3.1488681874584024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372"/>
        <v>0.20733806408250924</v>
      </c>
      <c r="G394" s="13"/>
      <c r="H394" s="19">
        <f t="shared" si="373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7.624007936507935</v>
      </c>
      <c r="AO394">
        <v>7.5386041963230621</v>
      </c>
      <c r="AP394">
        <v>30.75539005352427</v>
      </c>
      <c r="AQ394">
        <v>27.570286709443803</v>
      </c>
      <c r="AR394">
        <v>6.9931393286855883</v>
      </c>
      <c r="AS394">
        <v>37.719582036905479</v>
      </c>
      <c r="AT394" t="e">
        <v>#DIV/0!</v>
      </c>
      <c r="AU394" t="e">
        <v>#DIV/0!</v>
      </c>
      <c r="AV394"/>
      <c r="AW394"/>
      <c r="FY394" s="210">
        <v>389</v>
      </c>
      <c r="FZ394">
        <v>0</v>
      </c>
      <c r="GA394">
        <v>1.9358920033539282</v>
      </c>
      <c r="GB394">
        <v>1.4908831465921764</v>
      </c>
      <c r="GC394">
        <v>6.304105971925603</v>
      </c>
      <c r="GD394">
        <v>4.8566026893149283</v>
      </c>
      <c r="GE394">
        <v>2.4661239366858436</v>
      </c>
      <c r="GF394">
        <v>3.0234989326511759</v>
      </c>
      <c r="GG394">
        <v>0.81714677051852402</v>
      </c>
      <c r="GH394">
        <v>0.66238017508411107</v>
      </c>
      <c r="GI394">
        <v>4.648865695431903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372"/>
        <v>3.0025211082471259E-2</v>
      </c>
      <c r="G395" s="13"/>
      <c r="H395" s="19">
        <f t="shared" si="373"/>
        <v>0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8.252136752136753</v>
      </c>
      <c r="AO395">
        <v>11.416451884042132</v>
      </c>
      <c r="AP395">
        <v>31.614970738456513</v>
      </c>
      <c r="AQ395">
        <v>34.836912855112566</v>
      </c>
      <c r="AR395">
        <v>10.484670195375418</v>
      </c>
      <c r="AS395">
        <v>59.514935821024281</v>
      </c>
      <c r="AT395" t="e">
        <v>#DIV/0!</v>
      </c>
      <c r="AU395" t="e">
        <v>#DIV/0!</v>
      </c>
      <c r="AV395"/>
      <c r="AW395"/>
      <c r="FY395" s="210">
        <v>390</v>
      </c>
      <c r="FZ395">
        <v>0.52454686079360424</v>
      </c>
      <c r="GA395">
        <v>1.5924170764700607</v>
      </c>
      <c r="GB395">
        <v>1.0445179814772214</v>
      </c>
      <c r="GC395">
        <v>3.7232118737555262</v>
      </c>
      <c r="GD395">
        <v>3.2327901768211147</v>
      </c>
      <c r="GE395">
        <v>2.5136984831200841</v>
      </c>
      <c r="GF395">
        <v>2.522772560757053</v>
      </c>
      <c r="GG395">
        <v>0.67228931565365579</v>
      </c>
      <c r="GH395">
        <v>0</v>
      </c>
      <c r="GI395">
        <v>3.2352477004979208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372"/>
        <v>0</v>
      </c>
      <c r="G396" s="13"/>
      <c r="H396" s="19" t="e">
        <f t="shared" si="373"/>
        <v>#DIV/0!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3.8246909340659334</v>
      </c>
      <c r="AO396">
        <v>2.9112329479294692</v>
      </c>
      <c r="AP396">
        <v>16.834589263160481</v>
      </c>
      <c r="AQ396">
        <v>13.303908791773637</v>
      </c>
      <c r="AR396">
        <v>2.6477219306268589</v>
      </c>
      <c r="AS396">
        <v>13.504001635868429</v>
      </c>
      <c r="AT396" t="e">
        <v>#DIV/0!</v>
      </c>
      <c r="AU396" t="e">
        <v>#DIV/0!</v>
      </c>
      <c r="AV396"/>
      <c r="AW396"/>
      <c r="FY396" s="210">
        <v>391</v>
      </c>
      <c r="FZ396">
        <v>0</v>
      </c>
      <c r="GA396">
        <v>0.97312462424168844</v>
      </c>
      <c r="GB396">
        <v>0.47245363775248589</v>
      </c>
      <c r="GC396">
        <v>2.4371815368283127</v>
      </c>
      <c r="GD396">
        <v>2.5551433419463123</v>
      </c>
      <c r="GE396">
        <v>2.0806755322874251</v>
      </c>
      <c r="GF396">
        <v>1.0712213032574254</v>
      </c>
      <c r="GG396">
        <v>1.1300765542968063</v>
      </c>
      <c r="GH396">
        <v>1.3247603501682221</v>
      </c>
      <c r="GI396">
        <v>2.3516980288496967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72"/>
        <v>0</v>
      </c>
      <c r="G397" s="13"/>
      <c r="H397" s="19">
        <f t="shared" si="373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11.390167124542122</v>
      </c>
      <c r="AO397">
        <v>11.696768469062693</v>
      </c>
      <c r="AP397">
        <v>49.464722226914674</v>
      </c>
      <c r="AQ397">
        <v>44.289146451051643</v>
      </c>
      <c r="AR397">
        <v>10.691838913656351</v>
      </c>
      <c r="AS397">
        <v>59.717158094495218</v>
      </c>
      <c r="AT397" t="e">
        <v>#DIV/0!</v>
      </c>
      <c r="AU397" t="e">
        <v>#DIV/0!</v>
      </c>
      <c r="AV397"/>
      <c r="AW397"/>
      <c r="FY397" s="210">
        <v>392</v>
      </c>
      <c r="FZ397">
        <v>0.73704566401260951</v>
      </c>
      <c r="GA397">
        <v>5.714983846292089</v>
      </c>
      <c r="GB397">
        <v>2.3100912434873679</v>
      </c>
      <c r="GC397">
        <v>5.7491947182273844</v>
      </c>
      <c r="GD397">
        <v>5.2499395935389508</v>
      </c>
      <c r="GE397">
        <v>2.0262462153943566</v>
      </c>
      <c r="GF397">
        <v>0.19016497712110106</v>
      </c>
      <c r="GG397">
        <v>0.16807232891341395</v>
      </c>
      <c r="GH397">
        <v>0</v>
      </c>
      <c r="GI397">
        <v>4.447463291250136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72"/>
        <v>0</v>
      </c>
      <c r="G398" s="13"/>
      <c r="H398" s="19">
        <f t="shared" si="373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11.985119047619046</v>
      </c>
      <c r="AO398">
        <v>11.559348248042037</v>
      </c>
      <c r="AP398">
        <v>43.719524112014199</v>
      </c>
      <c r="AQ398">
        <v>41.76436232200431</v>
      </c>
      <c r="AR398">
        <v>10.61722711930854</v>
      </c>
      <c r="AS398">
        <v>46.892711589336621</v>
      </c>
      <c r="AT398" t="e">
        <v>#DIV/0!</v>
      </c>
      <c r="AU398" t="e">
        <v>#DIV/0!</v>
      </c>
      <c r="AV398"/>
      <c r="AW398"/>
      <c r="FY398" s="210">
        <v>393</v>
      </c>
      <c r="FZ398">
        <v>0</v>
      </c>
      <c r="GA398">
        <v>5.9434246367483183</v>
      </c>
      <c r="GB398">
        <v>3.4185455516203964</v>
      </c>
      <c r="GC398">
        <v>3.2575978834053023</v>
      </c>
      <c r="GD398">
        <v>3.1285262556911615</v>
      </c>
      <c r="GE398">
        <v>2.5687751274855688</v>
      </c>
      <c r="GF398">
        <v>1.2613862803785265</v>
      </c>
      <c r="GG398">
        <v>2.2601531085936126</v>
      </c>
      <c r="GH398">
        <v>2.6495207003364443</v>
      </c>
      <c r="GI398">
        <v>4.0614420233713719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8.9266254578754562</v>
      </c>
      <c r="AO399">
        <v>9.6295272526555102</v>
      </c>
      <c r="AP399">
        <v>36.193969893295382</v>
      </c>
      <c r="AQ399">
        <v>34.088401013844191</v>
      </c>
      <c r="AR399">
        <v>8.8270406671874575</v>
      </c>
      <c r="AS399">
        <v>47.420023874584942</v>
      </c>
      <c r="AT399" t="e">
        <v>#DIV/0!</v>
      </c>
      <c r="AU399" t="e">
        <v>#DIV/0!</v>
      </c>
      <c r="AV399"/>
      <c r="AW399"/>
      <c r="FY399" s="210">
        <v>394</v>
      </c>
      <c r="FZ399">
        <v>0.27886497278940114</v>
      </c>
      <c r="GA399">
        <v>0.32926738044752452</v>
      </c>
      <c r="GB399">
        <v>0.57206434372473558</v>
      </c>
      <c r="GC399">
        <v>13.343601087780348</v>
      </c>
      <c r="GD399">
        <v>10.335637675887451</v>
      </c>
      <c r="GE399">
        <v>2.4486185370936648</v>
      </c>
      <c r="GF399">
        <v>2.1424426065148507</v>
      </c>
      <c r="GG399">
        <v>1.7791509959019165</v>
      </c>
      <c r="GH399">
        <v>1.9871405252523333</v>
      </c>
      <c r="GI399">
        <v>8.3336365793757992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8.4779647435897427</v>
      </c>
      <c r="AO400">
        <v>11.632651667465829</v>
      </c>
      <c r="AP400">
        <v>27.192101661232577</v>
      </c>
      <c r="AQ400">
        <v>32.858020615548647</v>
      </c>
      <c r="AR400">
        <v>10.738091800326636</v>
      </c>
      <c r="AS400">
        <v>64.616490054894243</v>
      </c>
      <c r="AT400" t="e">
        <v>#DIV/0!</v>
      </c>
      <c r="AU400" t="e">
        <v>#DIV/0!</v>
      </c>
      <c r="AV400"/>
      <c r="AW400"/>
      <c r="FY400" s="210">
        <v>395</v>
      </c>
      <c r="FZ400">
        <v>0.13273233914079213</v>
      </c>
      <c r="GA400">
        <v>3.3167686253764943</v>
      </c>
      <c r="GB400">
        <v>3.235338125105748</v>
      </c>
      <c r="GC400">
        <v>13.579361197592959</v>
      </c>
      <c r="GD400">
        <v>10.199756345412984</v>
      </c>
      <c r="GE400">
        <v>2.1457554783138439</v>
      </c>
      <c r="GF400">
        <v>0.88105632613632445</v>
      </c>
      <c r="GG400">
        <v>1.9240084507667847</v>
      </c>
      <c r="GH400">
        <v>2.6495207003364443</v>
      </c>
      <c r="GI400">
        <v>8.8886419974654576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5.26686507936508</v>
      </c>
      <c r="AO401">
        <v>6.1201759748335665</v>
      </c>
      <c r="AP401">
        <v>19.637995535784579</v>
      </c>
      <c r="AQ401">
        <v>19.175654297554843</v>
      </c>
      <c r="AR401">
        <v>5.6773432048548846</v>
      </c>
      <c r="AS401">
        <v>30.513897353258329</v>
      </c>
      <c r="AT401" t="e">
        <v>#DIV/0!</v>
      </c>
      <c r="AU401" t="e">
        <v>#DIV/0!</v>
      </c>
      <c r="AV401"/>
      <c r="AW401"/>
      <c r="FY401" s="210">
        <v>396</v>
      </c>
      <c r="FZ401">
        <v>0.2456818880042031</v>
      </c>
      <c r="GA401">
        <v>3.1990416993764645</v>
      </c>
      <c r="GB401">
        <v>2.5354011280693975</v>
      </c>
      <c r="GC401">
        <v>3.7042247702298514</v>
      </c>
      <c r="GD401">
        <v>2.8187916567783633</v>
      </c>
      <c r="GE401">
        <v>0.976199190396288</v>
      </c>
      <c r="GF401">
        <v>0</v>
      </c>
      <c r="GG401">
        <v>0.48100211269169618</v>
      </c>
      <c r="GH401">
        <v>0.66238017508411107</v>
      </c>
      <c r="GI401">
        <v>2.8224499256666427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8.1875</v>
      </c>
      <c r="AO402">
        <v>10.36182482962143</v>
      </c>
      <c r="AP402">
        <v>32.573296431340388</v>
      </c>
      <c r="AQ402">
        <v>33.941457318943627</v>
      </c>
      <c r="AR402">
        <v>9.506351963074211</v>
      </c>
      <c r="AS402">
        <v>60.24513209071997</v>
      </c>
      <c r="AT402" t="e">
        <v>#DIV/0!</v>
      </c>
      <c r="AU402" t="e">
        <v>#DIV/0!</v>
      </c>
      <c r="AV402"/>
      <c r="AW402"/>
      <c r="FY402" s="210">
        <v>397</v>
      </c>
      <c r="FZ402">
        <v>0.27886497278940114</v>
      </c>
      <c r="GA402">
        <v>7.3608507778651688</v>
      </c>
      <c r="GB402">
        <v>3.9288470433911593</v>
      </c>
      <c r="GC402">
        <v>10.175593770638395</v>
      </c>
      <c r="GD402">
        <v>7.8529181525939551</v>
      </c>
      <c r="GE402">
        <v>1.1151269710244875</v>
      </c>
      <c r="GF402">
        <v>0.38032995424220212</v>
      </c>
      <c r="GG402">
        <v>1.2981488832102204</v>
      </c>
      <c r="GH402">
        <v>1.3247603501682221</v>
      </c>
      <c r="GI402">
        <v>7.0501755994500153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6.3090277777777759</v>
      </c>
      <c r="AO403">
        <v>7.7801737960156787</v>
      </c>
      <c r="AP403">
        <v>22.780969373798431</v>
      </c>
      <c r="AQ403">
        <v>24.08598669925918</v>
      </c>
      <c r="AR403">
        <v>7.217229866433839</v>
      </c>
      <c r="AS403">
        <v>28.907159128279154</v>
      </c>
      <c r="AT403" t="e">
        <v>#DIV/0!</v>
      </c>
      <c r="AU403" t="e">
        <v>#DIV/0!</v>
      </c>
      <c r="AV403"/>
      <c r="AW403"/>
      <c r="FY403" s="210">
        <v>398</v>
      </c>
      <c r="FZ403">
        <v>0.13273233914079213</v>
      </c>
      <c r="GA403">
        <v>1.0047024773513087</v>
      </c>
      <c r="GB403">
        <v>0.98058165482141413</v>
      </c>
      <c r="GC403">
        <v>11.894045256087681</v>
      </c>
      <c r="GD403">
        <v>9.1074237673302036</v>
      </c>
      <c r="GE403">
        <v>1.69457980041659</v>
      </c>
      <c r="GF403">
        <v>1.0712213032574254</v>
      </c>
      <c r="GG403">
        <v>1.1300765542968063</v>
      </c>
      <c r="GH403">
        <v>1.3247603501682221</v>
      </c>
      <c r="GI403">
        <v>7.4236456948349563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4.7442956349206353</v>
      </c>
      <c r="AO404">
        <v>5.2663988962848212</v>
      </c>
      <c r="AP404">
        <v>23.314501199249769</v>
      </c>
      <c r="AQ404">
        <v>19.595903193510338</v>
      </c>
      <c r="AR404">
        <v>4.8324769847598379</v>
      </c>
      <c r="AS404">
        <v>21.691187724333119</v>
      </c>
      <c r="AT404" t="e">
        <v>#DIV/0!</v>
      </c>
      <c r="AU404" t="e">
        <v>#DIV/0!</v>
      </c>
      <c r="AV404"/>
      <c r="AW404"/>
      <c r="FY404" s="210">
        <v>399</v>
      </c>
      <c r="FZ404">
        <v>0.31204805757459919</v>
      </c>
      <c r="GA404">
        <v>3.9998681778373344</v>
      </c>
      <c r="GB404">
        <v>1.7358534250607978</v>
      </c>
      <c r="GC404">
        <v>4.8833615446287491</v>
      </c>
      <c r="GD404">
        <v>4.2556820386518845</v>
      </c>
      <c r="GE404">
        <v>2.9542235318839873</v>
      </c>
      <c r="GF404">
        <v>3.0234989326511759</v>
      </c>
      <c r="GG404">
        <v>0.81714677051852402</v>
      </c>
      <c r="GH404">
        <v>0.66238017508411107</v>
      </c>
      <c r="GI404">
        <v>4.2601268790488351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374">+C4</f>
        <v>39646</v>
      </c>
      <c r="C405" s="61">
        <v>0</v>
      </c>
      <c r="D405" s="61" t="e">
        <f t="shared" ref="D405:D414" si="375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#DIV/0!</v>
      </c>
      <c r="E405" s="108" t="e">
        <f t="shared" ref="E405:E414" si="376">IF(D405=0,0.00000001,(1-$A$43/100)*($A$39*(D405^($A$41))))</f>
        <v>#DIV/0!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6.8137400793650782</v>
      </c>
      <c r="AO405">
        <v>7.666302550717333</v>
      </c>
      <c r="AP405">
        <v>27.719606337409662</v>
      </c>
      <c r="AQ405">
        <v>26.205499321558193</v>
      </c>
      <c r="AR405">
        <v>6.9530022547088937</v>
      </c>
      <c r="AS405">
        <v>31.098408540297537</v>
      </c>
      <c r="AT405" t="e">
        <v>#DIV/0!</v>
      </c>
      <c r="AU405" t="e">
        <v>#DIV/0!</v>
      </c>
      <c r="AV405"/>
      <c r="AW405"/>
      <c r="FY405" s="210">
        <v>400</v>
      </c>
      <c r="FZ405">
        <v>6.6366169570396066E-2</v>
      </c>
      <c r="GA405">
        <v>4.0756600055982943</v>
      </c>
      <c r="GB405">
        <v>1.9015739323906893</v>
      </c>
      <c r="GC405">
        <v>2.868136579697377</v>
      </c>
      <c r="GD405">
        <v>2.8907250591340397</v>
      </c>
      <c r="GE405">
        <v>2.7252083077059464</v>
      </c>
      <c r="GF405">
        <v>2.3326075836359519</v>
      </c>
      <c r="GG405">
        <v>1.4662212121236342</v>
      </c>
      <c r="GH405">
        <v>1.3247603501682221</v>
      </c>
      <c r="GI405">
        <v>3.3631223634337637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374"/>
        <v>39673</v>
      </c>
      <c r="C406" s="61">
        <f>B406-B405</f>
        <v>27</v>
      </c>
      <c r="D406" s="61">
        <f t="shared" si="375"/>
        <v>2.4000000000000004</v>
      </c>
      <c r="E406" s="108">
        <f t="shared" si="376"/>
        <v>0.10769232908408907</v>
      </c>
      <c r="F406" s="19" t="e">
        <f t="shared" ref="F406:F414" si="377">IF(C374&lt;1,0,LN(E406/E405)/E21)</f>
        <v>#DIV/0!</v>
      </c>
      <c r="G406" s="19">
        <f t="shared" ref="G406:G414" si="378">IF(D406=0, 0, 0.051-(0.068*LN(D406))+(0.006*A406))</f>
        <v>4.8168125859934782E-2</v>
      </c>
      <c r="H406" s="19">
        <f t="shared" ref="H406:H414" si="379">+IF((G406&gt;0),G406,0)</f>
        <v>4.8168125859934782E-2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5.3442841880341883</v>
      </c>
      <c r="AO406">
        <v>5.3263466398087838</v>
      </c>
      <c r="AP406">
        <v>20.136226849646132</v>
      </c>
      <c r="AQ406">
        <v>19.06149202934624</v>
      </c>
      <c r="AR406">
        <v>4.8352219168658195</v>
      </c>
      <c r="AS406">
        <v>22.573453698552228</v>
      </c>
      <c r="AT406" t="e">
        <v>#DIV/0!</v>
      </c>
      <c r="AU406" t="e">
        <v>#DIV/0!</v>
      </c>
      <c r="AV406"/>
      <c r="AW406"/>
      <c r="FY406" s="210">
        <v>401</v>
      </c>
      <c r="FZ406">
        <v>0.49136377600840619</v>
      </c>
      <c r="GA406">
        <v>3.1232498716155037</v>
      </c>
      <c r="GB406">
        <v>1.2255519332900358</v>
      </c>
      <c r="GC406">
        <v>3.4552497986692554</v>
      </c>
      <c r="GD406">
        <v>2.9244200835946437</v>
      </c>
      <c r="GE406">
        <v>1.3441421952025283</v>
      </c>
      <c r="GF406">
        <v>1.0712213032574254</v>
      </c>
      <c r="GG406">
        <v>2.5730828923718949</v>
      </c>
      <c r="GH406">
        <v>3.3119008754205557</v>
      </c>
      <c r="GI406">
        <v>3.3075023797692729</v>
      </c>
      <c r="GJ406"/>
      <c r="GK406"/>
      <c r="GL406"/>
      <c r="GM406"/>
    </row>
    <row r="407" spans="1:195" s="7" customFormat="1">
      <c r="A407" s="189">
        <v>4.03</v>
      </c>
      <c r="B407" s="71">
        <f t="shared" si="374"/>
        <v>39714</v>
      </c>
      <c r="C407" s="61">
        <f>B407-$B$405</f>
        <v>68</v>
      </c>
      <c r="D407" s="61">
        <f t="shared" si="375"/>
        <v>6</v>
      </c>
      <c r="E407" s="108">
        <f t="shared" si="376"/>
        <v>1.5185724432077621</v>
      </c>
      <c r="F407" s="19">
        <f t="shared" si="377"/>
        <v>6.4542625211038041E-2</v>
      </c>
      <c r="G407" s="19">
        <f t="shared" si="378"/>
        <v>-4.6659643907507736E-2</v>
      </c>
      <c r="H407" s="19">
        <f t="shared" si="379"/>
        <v>0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3.7592147435897423</v>
      </c>
      <c r="AO407">
        <v>3.8304585769032444</v>
      </c>
      <c r="AP407">
        <v>14.701701938874347</v>
      </c>
      <c r="AQ407">
        <v>14.396334909628377</v>
      </c>
      <c r="AR407">
        <v>3.5004358721609727</v>
      </c>
      <c r="AS407">
        <v>18.928532212776705</v>
      </c>
      <c r="AT407" t="e">
        <v>#DIV/0!</v>
      </c>
      <c r="AU407" t="e">
        <v>#DIV/0!</v>
      </c>
      <c r="AV407"/>
      <c r="AW407"/>
      <c r="FY407" s="210">
        <v>402</v>
      </c>
      <c r="FZ407">
        <v>0.2456818880042031</v>
      </c>
      <c r="GA407">
        <v>5.0095423211733063</v>
      </c>
      <c r="GB407">
        <v>2.8182192605562957</v>
      </c>
      <c r="GC407">
        <v>3.2708127451532882</v>
      </c>
      <c r="GD407">
        <v>3.1044924060764494</v>
      </c>
      <c r="GE407">
        <v>2.3941892202005963</v>
      </c>
      <c r="GF407">
        <v>1.0712213032574254</v>
      </c>
      <c r="GG407">
        <v>1.1300765542968063</v>
      </c>
      <c r="GH407">
        <v>1.3247603501682221</v>
      </c>
      <c r="GI407">
        <v>3.4962701113098786</v>
      </c>
      <c r="GJ407"/>
      <c r="GK407"/>
      <c r="GL407"/>
      <c r="GM407"/>
    </row>
    <row r="408" spans="1:195" s="7" customFormat="1">
      <c r="A408" s="189">
        <v>0.78</v>
      </c>
      <c r="B408" s="71">
        <f t="shared" si="374"/>
        <v>39747</v>
      </c>
      <c r="C408" s="61">
        <f t="shared" ref="C408:C414" si="380">B408-$B$405</f>
        <v>101</v>
      </c>
      <c r="D408" s="61">
        <f t="shared" si="375"/>
        <v>7</v>
      </c>
      <c r="E408" s="108">
        <f t="shared" si="376"/>
        <v>2.3701609750235364</v>
      </c>
      <c r="F408" s="19">
        <f t="shared" si="377"/>
        <v>1.3490520101246115E-2</v>
      </c>
      <c r="G408" s="19">
        <f t="shared" si="378"/>
        <v>-7.6641890135761323E-2</v>
      </c>
      <c r="H408" s="19">
        <f t="shared" si="379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8.7257707570207561</v>
      </c>
      <c r="AO408">
        <v>7.2563868612824418</v>
      </c>
      <c r="AP408">
        <v>27.176105171482128</v>
      </c>
      <c r="AQ408">
        <v>26.593201878237409</v>
      </c>
      <c r="AR408">
        <v>6.7313421718761068</v>
      </c>
      <c r="AS408">
        <v>27.260444898435967</v>
      </c>
      <c r="AT408" t="e">
        <v>#DIV/0!</v>
      </c>
      <c r="AU408" t="e">
        <v>#DIV/0!</v>
      </c>
      <c r="AV408"/>
      <c r="AW408"/>
      <c r="FY408" s="210">
        <v>403</v>
      </c>
      <c r="FZ408">
        <v>0.73704566401260951</v>
      </c>
      <c r="GA408">
        <v>7.5254844680889317</v>
      </c>
      <c r="GB408">
        <v>4.3091024071484725</v>
      </c>
      <c r="GC408">
        <v>14.467278732679764</v>
      </c>
      <c r="GD408">
        <v>10.899617348962819</v>
      </c>
      <c r="GE408">
        <v>2.4116946197927751</v>
      </c>
      <c r="GF408">
        <v>2.522772560757053</v>
      </c>
      <c r="GG408">
        <v>2.1152956537287446</v>
      </c>
      <c r="GH408">
        <v>1.9871405252523333</v>
      </c>
      <c r="GI408">
        <v>10.058343845503508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374"/>
        <v>39775</v>
      </c>
      <c r="C409" s="61">
        <f t="shared" si="380"/>
        <v>129</v>
      </c>
      <c r="D409" s="61">
        <f t="shared" si="375"/>
        <v>5.8911819887429635</v>
      </c>
      <c r="E409" s="108">
        <f t="shared" si="376"/>
        <v>1.4403875123707317</v>
      </c>
      <c r="F409" s="19">
        <f t="shared" si="377"/>
        <v>-1.7787346128316606E-2</v>
      </c>
      <c r="G409" s="19">
        <f t="shared" si="378"/>
        <v>-6.8755052522078905E-2</v>
      </c>
      <c r="H409" s="19">
        <f t="shared" si="379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7.0955624236874213</v>
      </c>
      <c r="AO409">
        <v>6.8159320784899347</v>
      </c>
      <c r="AP409">
        <v>35.967874219861521</v>
      </c>
      <c r="AQ409">
        <v>28.549371567630708</v>
      </c>
      <c r="AR409">
        <v>6.269891810553081</v>
      </c>
      <c r="AS409">
        <v>27.809537730042436</v>
      </c>
      <c r="AT409" t="e">
        <v>#DIV/0!</v>
      </c>
      <c r="AU409" t="e">
        <v>#DIV/0!</v>
      </c>
      <c r="AV409"/>
      <c r="AW409"/>
      <c r="FY409" s="210">
        <v>404</v>
      </c>
      <c r="FZ409">
        <v>0.34523114235979718</v>
      </c>
      <c r="GA409">
        <v>1.2554852404654802</v>
      </c>
      <c r="GB409">
        <v>0.98058165482141413</v>
      </c>
      <c r="GC409">
        <v>6.6042700122855358</v>
      </c>
      <c r="GD409">
        <v>5.4199431025404881</v>
      </c>
      <c r="GE409">
        <v>2.0068276976856443</v>
      </c>
      <c r="GF409">
        <v>1.0712213032574254</v>
      </c>
      <c r="GG409">
        <v>0.16807232891341395</v>
      </c>
      <c r="GH409">
        <v>0</v>
      </c>
      <c r="GI409">
        <v>4.2997533722333596</v>
      </c>
      <c r="GJ409"/>
      <c r="GK409"/>
      <c r="GL409"/>
      <c r="GM409"/>
    </row>
    <row r="410" spans="1:195" s="7" customFormat="1">
      <c r="A410" s="189">
        <v>0.21</v>
      </c>
      <c r="B410" s="71">
        <f t="shared" si="374"/>
        <v>39799</v>
      </c>
      <c r="C410" s="61">
        <f t="shared" si="380"/>
        <v>153</v>
      </c>
      <c r="D410" s="61">
        <f t="shared" si="375"/>
        <v>5.3611111111111107</v>
      </c>
      <c r="E410" s="108">
        <f t="shared" si="376"/>
        <v>1.0970403202327859</v>
      </c>
      <c r="F410" s="19">
        <f t="shared" si="377"/>
        <v>-1.1345676982617348E-2</v>
      </c>
      <c r="G410" s="19">
        <f t="shared" si="378"/>
        <v>-6.1923645030516741E-2</v>
      </c>
      <c r="H410" s="19">
        <f t="shared" si="379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10.21875</v>
      </c>
      <c r="AO410">
        <v>13.679489958430329</v>
      </c>
      <c r="AP410">
        <v>37.112554152945066</v>
      </c>
      <c r="AQ410">
        <v>41.550424704768027</v>
      </c>
      <c r="AR410">
        <v>12.583963399817163</v>
      </c>
      <c r="AS410">
        <v>75.195620429899961</v>
      </c>
      <c r="AT410" t="e">
        <v>#DIV/0!</v>
      </c>
      <c r="AU410" t="e">
        <v>#DIV/0!</v>
      </c>
      <c r="AV410"/>
      <c r="AW410"/>
      <c r="FY410" s="210">
        <v>405</v>
      </c>
      <c r="FZ410">
        <v>0.52454686079360424</v>
      </c>
      <c r="GA410">
        <v>4.6268250856227633</v>
      </c>
      <c r="GB410">
        <v>3.0717910924776906</v>
      </c>
      <c r="GC410">
        <v>14.177232296105323</v>
      </c>
      <c r="GD410">
        <v>10.712925131332049</v>
      </c>
      <c r="GE410">
        <v>2.9542235318839873</v>
      </c>
      <c r="GF410">
        <v>3.213663909772277</v>
      </c>
      <c r="GG410">
        <v>1.4662212121236342</v>
      </c>
      <c r="GH410">
        <v>1.3247603501682221</v>
      </c>
      <c r="GI410">
        <v>9.4890990060053095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380"/>
        <v>201</v>
      </c>
      <c r="D411" s="61" t="e">
        <f t="shared" si="375"/>
        <v>#DIV/0!</v>
      </c>
      <c r="E411" s="108" t="e">
        <f t="shared" si="376"/>
        <v>#DIV/0!</v>
      </c>
      <c r="F411" s="19">
        <f t="shared" si="377"/>
        <v>0</v>
      </c>
      <c r="G411" s="19" t="e">
        <f t="shared" si="378"/>
        <v>#DIV/0!</v>
      </c>
      <c r="H411" s="19" t="e">
        <f t="shared" si="379"/>
        <v>#DIV/0!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11.443280677655675</v>
      </c>
      <c r="AO411">
        <v>14.69500355266806</v>
      </c>
      <c r="AP411">
        <v>47.184831279216489</v>
      </c>
      <c r="AQ411">
        <v>46.952939585647833</v>
      </c>
      <c r="AR411">
        <v>13.578863493464144</v>
      </c>
      <c r="AS411">
        <v>82.792737911742051</v>
      </c>
      <c r="AT411" t="e">
        <v>#DIV/0!</v>
      </c>
      <c r="AU411" t="e">
        <v>#DIV/0!</v>
      </c>
      <c r="AV411"/>
      <c r="AW411"/>
      <c r="FY411" s="210">
        <v>406</v>
      </c>
      <c r="FZ411">
        <v>0.52454686079360424</v>
      </c>
      <c r="GA411">
        <v>2.3147589375975777</v>
      </c>
      <c r="GB411">
        <v>0.8170346221933571</v>
      </c>
      <c r="GC411">
        <v>6.7641657221058349</v>
      </c>
      <c r="GD411">
        <v>5.2476590132186249</v>
      </c>
      <c r="GE411">
        <v>1.0675524245902468</v>
      </c>
      <c r="GF411">
        <v>1.2613862803785265</v>
      </c>
      <c r="GG411">
        <v>1.2981488832102204</v>
      </c>
      <c r="GH411">
        <v>1.3247603501682221</v>
      </c>
      <c r="GI411">
        <v>4.5462254433057092</v>
      </c>
      <c r="GJ411"/>
      <c r="GK411"/>
      <c r="GL411"/>
      <c r="GM411"/>
    </row>
    <row r="412" spans="1:195" s="7" customFormat="1">
      <c r="A412" s="189">
        <v>4</v>
      </c>
      <c r="B412" s="71">
        <f t="shared" si="374"/>
        <v>39910</v>
      </c>
      <c r="C412" s="61">
        <f t="shared" si="380"/>
        <v>264</v>
      </c>
      <c r="D412" s="61">
        <f t="shared" si="375"/>
        <v>4</v>
      </c>
      <c r="E412" s="108">
        <f t="shared" si="376"/>
        <v>0.47085150025285061</v>
      </c>
      <c r="F412" s="19" t="e">
        <f t="shared" si="377"/>
        <v>#DIV/0!</v>
      </c>
      <c r="G412" s="19">
        <f t="shared" si="378"/>
        <v>-1.9268016556152567E-2</v>
      </c>
      <c r="H412" s="19">
        <f t="shared" si="379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5.2158501221001217</v>
      </c>
      <c r="AO412">
        <v>4.6467339336055886</v>
      </c>
      <c r="AP412">
        <v>20.126857816311244</v>
      </c>
      <c r="AQ412">
        <v>17.445172546297016</v>
      </c>
      <c r="AR412">
        <v>4.3105138530664089</v>
      </c>
      <c r="AS412">
        <v>19.306932421119452</v>
      </c>
      <c r="AT412" t="e">
        <v>#DIV/0!</v>
      </c>
      <c r="AU412" t="e">
        <v>#DIV/0!</v>
      </c>
      <c r="AV412"/>
      <c r="AW412"/>
      <c r="FY412" s="210">
        <v>407</v>
      </c>
      <c r="FZ412">
        <v>0.49136377600840619</v>
      </c>
      <c r="GA412">
        <v>2.6413335284727095</v>
      </c>
      <c r="GB412">
        <v>1.5548194732479839</v>
      </c>
      <c r="GC412">
        <v>4.1448751427371135</v>
      </c>
      <c r="GD412">
        <v>3.7249046263213339</v>
      </c>
      <c r="GE412">
        <v>1.8147363908084939</v>
      </c>
      <c r="GF412">
        <v>0.5704949313633032</v>
      </c>
      <c r="GG412">
        <v>2.909227550198723</v>
      </c>
      <c r="GH412">
        <v>3.3119008754205557</v>
      </c>
      <c r="GI412">
        <v>3.8766218161728379</v>
      </c>
      <c r="GJ412"/>
      <c r="GK412"/>
      <c r="GL412"/>
      <c r="GM412"/>
    </row>
    <row r="413" spans="1:195" s="7" customFormat="1">
      <c r="A413" s="190">
        <v>7.33</v>
      </c>
      <c r="B413" s="71">
        <f t="shared" si="374"/>
        <v>39949</v>
      </c>
      <c r="C413" s="61">
        <f t="shared" si="380"/>
        <v>303</v>
      </c>
      <c r="D413" s="61">
        <f t="shared" si="375"/>
        <v>6</v>
      </c>
      <c r="E413" s="108">
        <f t="shared" si="376"/>
        <v>1.5185724432077621</v>
      </c>
      <c r="F413" s="19">
        <f t="shared" si="377"/>
        <v>3.0025211082471259E-2</v>
      </c>
      <c r="G413" s="19">
        <f t="shared" si="378"/>
        <v>-2.6859643907507745E-2</v>
      </c>
      <c r="H413" s="19">
        <f t="shared" si="379"/>
        <v>0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11.933073870573869</v>
      </c>
      <c r="AO413">
        <v>11.630875983474663</v>
      </c>
      <c r="AP413">
        <v>43.773819096782027</v>
      </c>
      <c r="AQ413">
        <v>40.765616475373221</v>
      </c>
      <c r="AR413">
        <v>10.789309817694496</v>
      </c>
      <c r="AS413">
        <v>57.294189272824397</v>
      </c>
      <c r="AT413" t="e">
        <v>#DIV/0!</v>
      </c>
      <c r="AU413" t="e">
        <v>#DIV/0!</v>
      </c>
      <c r="AV413"/>
      <c r="AW413"/>
      <c r="FY413" s="210">
        <v>408</v>
      </c>
      <c r="FZ413">
        <v>6.6366169570396066E-2</v>
      </c>
      <c r="GA413">
        <v>0.9262178600179557</v>
      </c>
      <c r="GB413">
        <v>0.98058165482141413</v>
      </c>
      <c r="GC413">
        <v>6.0039419315656701</v>
      </c>
      <c r="GD413">
        <v>4.6886487742425951</v>
      </c>
      <c r="GE413">
        <v>1.5556520197883907</v>
      </c>
      <c r="GF413">
        <v>1.4515512574996277</v>
      </c>
      <c r="GG413">
        <v>0.50421698674024196</v>
      </c>
      <c r="GH413">
        <v>0</v>
      </c>
      <c r="GI413">
        <v>4.0774581739625662</v>
      </c>
      <c r="GJ413"/>
      <c r="GK413"/>
      <c r="GL413"/>
      <c r="GM413"/>
    </row>
    <row r="414" spans="1:195" s="7" customFormat="1">
      <c r="A414" s="189">
        <v>10.51</v>
      </c>
      <c r="B414" s="71">
        <f t="shared" si="374"/>
        <v>39987</v>
      </c>
      <c r="C414" s="61">
        <f t="shared" si="380"/>
        <v>341</v>
      </c>
      <c r="D414" s="61" t="e">
        <f t="shared" si="375"/>
        <v>#DIV/0!</v>
      </c>
      <c r="E414" s="108" t="e">
        <f t="shared" si="376"/>
        <v>#DIV/0!</v>
      </c>
      <c r="F414" s="19">
        <f t="shared" si="377"/>
        <v>0</v>
      </c>
      <c r="G414" s="19" t="e">
        <f t="shared" si="378"/>
        <v>#DIV/0!</v>
      </c>
      <c r="H414" s="19" t="e">
        <f t="shared" si="379"/>
        <v>#DIV/0!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8.5885416666666696</v>
      </c>
      <c r="AO414">
        <v>12.328483899763219</v>
      </c>
      <c r="AP414">
        <v>32.512362266308514</v>
      </c>
      <c r="AQ414">
        <v>35.7637691977054</v>
      </c>
      <c r="AR414">
        <v>11.383576245871527</v>
      </c>
      <c r="AS414">
        <v>44.243978075756459</v>
      </c>
      <c r="AT414" t="e">
        <v>#DIV/0!</v>
      </c>
      <c r="AU414" t="e">
        <v>#DIV/0!</v>
      </c>
      <c r="AV414"/>
      <c r="AW414"/>
      <c r="FY414" s="210">
        <v>409</v>
      </c>
      <c r="FZ414">
        <v>0.55772994557880229</v>
      </c>
      <c r="GA414">
        <v>4.9064929122741621</v>
      </c>
      <c r="GB414">
        <v>2.0294465857023036</v>
      </c>
      <c r="GC414">
        <v>4.5964123660168026</v>
      </c>
      <c r="GD414">
        <v>4.0458177118925382</v>
      </c>
      <c r="GE414">
        <v>2.3747707024918845</v>
      </c>
      <c r="GF414">
        <v>1.7621126522726489</v>
      </c>
      <c r="GG414">
        <v>0.48100211269169618</v>
      </c>
      <c r="GH414">
        <v>0.66238017508411107</v>
      </c>
      <c r="GI414">
        <v>3.8910280469330409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7.0017742673992656</v>
      </c>
      <c r="AO415">
        <v>6.9636662018741733</v>
      </c>
      <c r="AP415">
        <v>29.46257809981816</v>
      </c>
      <c r="AQ415">
        <v>26.904189532939995</v>
      </c>
      <c r="AR415">
        <v>6.3012060127393541</v>
      </c>
      <c r="AS415">
        <v>32.720434140594186</v>
      </c>
      <c r="AT415" t="e">
        <v>#DIV/0!</v>
      </c>
      <c r="AU415" t="e">
        <v>#DIV/0!</v>
      </c>
      <c r="AV415"/>
      <c r="AW415"/>
      <c r="FY415" s="210">
        <v>410</v>
      </c>
      <c r="FZ415">
        <v>0.27886497278940114</v>
      </c>
      <c r="GA415">
        <v>3.9606258691706584</v>
      </c>
      <c r="GB415">
        <v>2.3079177687855337</v>
      </c>
      <c r="GC415">
        <v>7.0538651858406354</v>
      </c>
      <c r="GD415">
        <v>6.0154015553884079</v>
      </c>
      <c r="GE415">
        <v>2.0262462153943566</v>
      </c>
      <c r="GF415">
        <v>0</v>
      </c>
      <c r="GG415">
        <v>0.48100211269169618</v>
      </c>
      <c r="GH415">
        <v>0.66238017508411107</v>
      </c>
      <c r="GI415">
        <v>5.0072933217582456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6.7356532356532357</v>
      </c>
      <c r="AO416">
        <v>5.567523543077904</v>
      </c>
      <c r="AP416">
        <v>27.387821998145803</v>
      </c>
      <c r="AQ416">
        <v>23.014381563458315</v>
      </c>
      <c r="AR416">
        <v>5.0589481722175078</v>
      </c>
      <c r="AS416">
        <v>22.303037708934493</v>
      </c>
      <c r="AT416" t="e">
        <v>#DIV/0!</v>
      </c>
      <c r="AU416" t="e">
        <v>#DIV/0!</v>
      </c>
      <c r="AV416"/>
      <c r="AW416"/>
      <c r="FY416" s="210">
        <v>411</v>
      </c>
      <c r="FZ416">
        <v>0.52454686079360424</v>
      </c>
      <c r="GA416">
        <v>5.5895924647350022</v>
      </c>
      <c r="GB416">
        <v>2.3740275701431752</v>
      </c>
      <c r="GC416">
        <v>7.1889262490499135</v>
      </c>
      <c r="GD416">
        <v>5.8522527710752081</v>
      </c>
      <c r="GE416">
        <v>1.69457980041659</v>
      </c>
      <c r="GF416">
        <v>1.6417162346207288</v>
      </c>
      <c r="GG416">
        <v>1.1532914283453519</v>
      </c>
      <c r="GH416">
        <v>0.66238017508411107</v>
      </c>
      <c r="GI416">
        <v>5.4175247785477998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4.9432425213675213</v>
      </c>
      <c r="AO417">
        <v>5.4471878487405148</v>
      </c>
      <c r="AP417">
        <v>26.336802307666261</v>
      </c>
      <c r="AQ417">
        <v>22.827685109199518</v>
      </c>
      <c r="AR417">
        <v>5.0001847328634508</v>
      </c>
      <c r="AS417">
        <v>22.222591164706248</v>
      </c>
      <c r="AT417" t="e">
        <v>#DIV/0!</v>
      </c>
      <c r="AU417" t="e">
        <v>#DIV/0!</v>
      </c>
      <c r="AV417"/>
      <c r="AW417"/>
      <c r="FY417" s="210">
        <v>412</v>
      </c>
      <c r="FZ417">
        <v>0.2456818880042031</v>
      </c>
      <c r="GA417">
        <v>5.2603250842874782</v>
      </c>
      <c r="GB417">
        <v>2.9460919138679103</v>
      </c>
      <c r="GC417">
        <v>10.765804247572765</v>
      </c>
      <c r="GD417">
        <v>8.3981595231108876</v>
      </c>
      <c r="GE417">
        <v>1.32663679561035</v>
      </c>
      <c r="GF417">
        <v>0.19016497712110106</v>
      </c>
      <c r="GG417">
        <v>1.1300765542968063</v>
      </c>
      <c r="GH417">
        <v>1.3247603501682221</v>
      </c>
      <c r="GI417">
        <v>7.1135131099886175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6.9457226800976795</v>
      </c>
      <c r="AO418">
        <v>5.7831921747161843</v>
      </c>
      <c r="AP418">
        <v>28.674125379460399</v>
      </c>
      <c r="AQ418">
        <v>23.86526616019647</v>
      </c>
      <c r="AR418">
        <v>5.311877057516206</v>
      </c>
      <c r="AS418">
        <v>24.718741174995841</v>
      </c>
      <c r="AT418" t="e">
        <v>#DIV/0!</v>
      </c>
      <c r="AU418" t="e">
        <v>#DIV/0!</v>
      </c>
      <c r="AV418"/>
      <c r="AW418"/>
      <c r="FY418" s="210">
        <v>413</v>
      </c>
      <c r="FZ418">
        <v>0.52454686079360424</v>
      </c>
      <c r="GA418">
        <v>2.4401503191546636</v>
      </c>
      <c r="GB418">
        <v>2.597163980023371</v>
      </c>
      <c r="GC418">
        <v>5.6872477698875628</v>
      </c>
      <c r="GD418">
        <v>4.1693227007811213</v>
      </c>
      <c r="GE418">
        <v>1.69457980041659</v>
      </c>
      <c r="GF418">
        <v>1.2613862803785265</v>
      </c>
      <c r="GG418">
        <v>1.2981488832102204</v>
      </c>
      <c r="GH418">
        <v>1.3247603501682221</v>
      </c>
      <c r="GI418">
        <v>4.2407916794347633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15.186546092796096</v>
      </c>
      <c r="AO419">
        <v>16.635546472403419</v>
      </c>
      <c r="AP419">
        <v>60.57760303004445</v>
      </c>
      <c r="AQ419">
        <v>57.033775825927016</v>
      </c>
      <c r="AR419">
        <v>15.326130852482365</v>
      </c>
      <c r="AS419">
        <v>86.525318340816881</v>
      </c>
      <c r="AT419" t="e">
        <v>#DIV/0!</v>
      </c>
      <c r="AU419" t="e">
        <v>#DIV/0!</v>
      </c>
      <c r="AV419"/>
      <c r="AW419"/>
      <c r="FY419" s="210">
        <v>414</v>
      </c>
      <c r="FZ419">
        <v>0.31204805757459919</v>
      </c>
      <c r="GA419">
        <v>2.0639761744834066</v>
      </c>
      <c r="GB419">
        <v>0.8170346221933571</v>
      </c>
      <c r="GC419">
        <v>1.56621639720698</v>
      </c>
      <c r="GD419">
        <v>1.8936824505005467</v>
      </c>
      <c r="GE419">
        <v>1.501222702895322</v>
      </c>
      <c r="GF419">
        <v>0</v>
      </c>
      <c r="GG419">
        <v>0.96200422538339236</v>
      </c>
      <c r="GH419">
        <v>1.3247603501682221</v>
      </c>
      <c r="GI419">
        <v>1.7922353217997777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6.5102831196581192</v>
      </c>
      <c r="AO420">
        <v>6.9950391408179771</v>
      </c>
      <c r="AP420">
        <v>19.836244141998847</v>
      </c>
      <c r="AQ420">
        <v>22.151385854562555</v>
      </c>
      <c r="AR420">
        <v>6.4360393637330819</v>
      </c>
      <c r="AS420">
        <v>26.650509601073598</v>
      </c>
      <c r="AT420" t="e">
        <v>#DIV/0!</v>
      </c>
      <c r="AU420" t="e">
        <v>#DIV/0!</v>
      </c>
      <c r="AV420"/>
      <c r="AW420"/>
      <c r="FY420" s="210">
        <v>415</v>
      </c>
      <c r="FZ420">
        <v>0.37841422714499523</v>
      </c>
      <c r="GA420">
        <v>3.2306195524860848</v>
      </c>
      <c r="GB420">
        <v>1.899400457688855</v>
      </c>
      <c r="GC420">
        <v>4.4551567868825384</v>
      </c>
      <c r="GD420">
        <v>3.5478735835364583</v>
      </c>
      <c r="GE420">
        <v>1.8866711072937405</v>
      </c>
      <c r="GF420">
        <v>2.1424426065148507</v>
      </c>
      <c r="GG420">
        <v>0.3361446578268279</v>
      </c>
      <c r="GH420">
        <v>0</v>
      </c>
      <c r="GI420">
        <v>3.2950327671472111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12.97399648962149</v>
      </c>
      <c r="AO421">
        <v>15.619236658485175</v>
      </c>
      <c r="AP421">
        <v>51.959225016246208</v>
      </c>
      <c r="AQ421">
        <v>51.561288476284865</v>
      </c>
      <c r="AR421">
        <v>14.330492150597433</v>
      </c>
      <c r="AS421">
        <v>87.713267843768222</v>
      </c>
      <c r="AT421" t="e">
        <v>#DIV/0!</v>
      </c>
      <c r="AU421" t="e">
        <v>#DIV/0!</v>
      </c>
      <c r="AV421"/>
      <c r="AW421"/>
      <c r="FY421" s="210">
        <v>416</v>
      </c>
      <c r="FZ421">
        <v>0.2456818880042031</v>
      </c>
      <c r="GA421">
        <v>2.2259170751347761</v>
      </c>
      <c r="GB421">
        <v>2.0629474903169118</v>
      </c>
      <c r="GC421">
        <v>5.6949083914655558</v>
      </c>
      <c r="GD421">
        <v>4.9809957316506237</v>
      </c>
      <c r="GE421">
        <v>4.004270556882056</v>
      </c>
      <c r="GF421">
        <v>3.4038288868933777</v>
      </c>
      <c r="GG421">
        <v>2.1152956537287446</v>
      </c>
      <c r="GH421">
        <v>1.9871405252523333</v>
      </c>
      <c r="GI421">
        <v>5.1138582329257698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1.1608071543304673E-3</v>
      </c>
      <c r="H422" s="44">
        <f t="shared" ref="H422:AK422" si="381">H372</f>
        <v>8.5927999999999994E-3</v>
      </c>
      <c r="I422" s="44">
        <f t="shared" si="381"/>
        <v>6.3607647113949228E-2</v>
      </c>
      <c r="J422" s="44">
        <f t="shared" si="381"/>
        <v>0.20514497677644863</v>
      </c>
      <c r="K422" s="44">
        <f t="shared" si="381"/>
        <v>0.47085150025285061</v>
      </c>
      <c r="L422" s="44">
        <f t="shared" si="381"/>
        <v>0.89693315119134265</v>
      </c>
      <c r="M422" s="44">
        <f t="shared" si="381"/>
        <v>1.5185724432077621</v>
      </c>
      <c r="N422" s="44">
        <f t="shared" si="381"/>
        <v>2.3701609750235364</v>
      </c>
      <c r="O422" s="44">
        <f t="shared" si="381"/>
        <v>3.4854478250578267</v>
      </c>
      <c r="P422" s="44">
        <f t="shared" si="381"/>
        <v>4.8976423862547316</v>
      </c>
      <c r="Q422" s="44">
        <f t="shared" si="381"/>
        <v>6.6394897316103521</v>
      </c>
      <c r="R422" s="44">
        <f t="shared" si="381"/>
        <v>8.7433281481061513</v>
      </c>
      <c r="S422" s="44">
        <f t="shared" si="381"/>
        <v>11.241134447971211</v>
      </c>
      <c r="T422" s="44">
        <f t="shared" si="381"/>
        <v>14.164560543159729</v>
      </c>
      <c r="U422" s="44">
        <f t="shared" si="381"/>
        <v>17.544963562814321</v>
      </c>
      <c r="V422" s="44">
        <f t="shared" si="381"/>
        <v>21.413431066843735</v>
      </c>
      <c r="W422" s="44">
        <f t="shared" si="381"/>
        <v>25.800802449767275</v>
      </c>
      <c r="X422" s="44">
        <f t="shared" si="381"/>
        <v>30.737687327547523</v>
      </c>
      <c r="Y422" s="44">
        <f t="shared" si="381"/>
        <v>36.254481495578958</v>
      </c>
      <c r="Z422" s="44">
        <f t="shared" si="381"/>
        <v>42.381380903263434</v>
      </c>
      <c r="AA422" s="44">
        <f t="shared" si="381"/>
        <v>49.1483939885672</v>
      </c>
      <c r="AB422" s="44">
        <f t="shared" si="381"/>
        <v>56.585352641472866</v>
      </c>
      <c r="AC422" s="44">
        <f t="shared" si="381"/>
        <v>64.721922009844903</v>
      </c>
      <c r="AD422" s="44">
        <f t="shared" si="381"/>
        <v>73.58760931935818</v>
      </c>
      <c r="AE422" s="44">
        <f t="shared" si="381"/>
        <v>83.211771847012812</v>
      </c>
      <c r="AF422" s="44">
        <f t="shared" si="381"/>
        <v>93.623624162791188</v>
      </c>
      <c r="AG422" s="44">
        <f t="shared" si="381"/>
        <v>104.85224473436747</v>
      </c>
      <c r="AH422" s="44">
        <f t="shared" si="381"/>
        <v>116.92658197416165</v>
      </c>
      <c r="AI422" s="44">
        <f t="shared" si="381"/>
        <v>129.87545979547883</v>
      </c>
      <c r="AJ422" s="44">
        <f t="shared" si="381"/>
        <v>143.72758273431248</v>
      </c>
      <c r="AK422" s="44">
        <f t="shared" si="381"/>
        <v>158.51154068507043</v>
      </c>
      <c r="AL422" s="4"/>
      <c r="AM422" s="43">
        <v>406</v>
      </c>
      <c r="AN422">
        <v>6.3663194444444446</v>
      </c>
      <c r="AO422">
        <v>7.4653916567851493</v>
      </c>
      <c r="AP422">
        <v>24.684405805175093</v>
      </c>
      <c r="AQ422">
        <v>25.166238537561927</v>
      </c>
      <c r="AR422">
        <v>6.8723589518287866</v>
      </c>
      <c r="AS422">
        <v>29.880170284816863</v>
      </c>
      <c r="AT422" t="e">
        <v>#DIV/0!</v>
      </c>
      <c r="AU422" t="e">
        <v>#DIV/0!</v>
      </c>
      <c r="AV422"/>
      <c r="AW422"/>
      <c r="FY422" s="210">
        <v>417</v>
      </c>
      <c r="FZ422">
        <v>0.31204805757459919</v>
      </c>
      <c r="GA422">
        <v>7.0239189418605879</v>
      </c>
      <c r="GB422">
        <v>3.1649737196990015</v>
      </c>
      <c r="GC422">
        <v>8.4764226916301375</v>
      </c>
      <c r="GD422">
        <v>6.8717320290200554</v>
      </c>
      <c r="GE422">
        <v>1.8322417904006723</v>
      </c>
      <c r="GF422">
        <v>1.4515512574996277</v>
      </c>
      <c r="GG422">
        <v>1.9472233248153306</v>
      </c>
      <c r="GH422">
        <v>1.9871405252523333</v>
      </c>
      <c r="GI422">
        <v>6.486619259037254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382">SUM(G423:AK423)</f>
        <v>0.31204805757459919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383">(($A$453+$A$455*(H$422)+($A$457*$D423))*($E21*H37))</f>
        <v>0</v>
      </c>
      <c r="I423" s="107">
        <f t="shared" si="383"/>
        <v>9.9549254355594113E-2</v>
      </c>
      <c r="J423" s="107">
        <f t="shared" si="383"/>
        <v>0.21249880321900505</v>
      </c>
      <c r="K423" s="107">
        <f t="shared" si="383"/>
        <v>0</v>
      </c>
      <c r="L423" s="107">
        <f t="shared" si="383"/>
        <v>0</v>
      </c>
      <c r="M423" s="107">
        <f t="shared" si="383"/>
        <v>0</v>
      </c>
      <c r="N423" s="107">
        <f t="shared" si="383"/>
        <v>0</v>
      </c>
      <c r="O423" s="107">
        <f t="shared" si="383"/>
        <v>0</v>
      </c>
      <c r="P423" s="107">
        <f t="shared" si="383"/>
        <v>0</v>
      </c>
      <c r="Q423" s="107">
        <f t="shared" si="383"/>
        <v>0</v>
      </c>
      <c r="R423" s="107">
        <f t="shared" si="383"/>
        <v>0</v>
      </c>
      <c r="S423" s="107">
        <f t="shared" si="383"/>
        <v>0</v>
      </c>
      <c r="T423" s="107">
        <f t="shared" si="383"/>
        <v>0</v>
      </c>
      <c r="U423" s="107">
        <f t="shared" si="383"/>
        <v>0</v>
      </c>
      <c r="V423" s="107">
        <f t="shared" si="383"/>
        <v>0</v>
      </c>
      <c r="W423" s="107">
        <f t="shared" si="383"/>
        <v>0</v>
      </c>
      <c r="X423" s="107">
        <f t="shared" si="383"/>
        <v>0</v>
      </c>
      <c r="Y423" s="107">
        <f t="shared" si="383"/>
        <v>0</v>
      </c>
      <c r="Z423" s="107">
        <f t="shared" si="383"/>
        <v>0</v>
      </c>
      <c r="AA423" s="107">
        <f t="shared" si="383"/>
        <v>0</v>
      </c>
      <c r="AB423" s="107">
        <f t="shared" si="383"/>
        <v>0</v>
      </c>
      <c r="AC423" s="107">
        <f t="shared" si="383"/>
        <v>0</v>
      </c>
      <c r="AD423" s="107">
        <f t="shared" si="383"/>
        <v>0</v>
      </c>
      <c r="AE423" s="107">
        <f t="shared" si="383"/>
        <v>0</v>
      </c>
      <c r="AF423" s="107">
        <f t="shared" si="383"/>
        <v>0</v>
      </c>
      <c r="AG423" s="107">
        <f t="shared" si="383"/>
        <v>0</v>
      </c>
      <c r="AH423" s="107">
        <f t="shared" si="383"/>
        <v>0</v>
      </c>
      <c r="AI423" s="107">
        <f t="shared" si="383"/>
        <v>0</v>
      </c>
      <c r="AJ423" s="107">
        <f t="shared" si="383"/>
        <v>0</v>
      </c>
      <c r="AK423" s="107">
        <f t="shared" si="383"/>
        <v>0</v>
      </c>
      <c r="AL423" s="4"/>
      <c r="AM423" s="43">
        <v>407</v>
      </c>
      <c r="AN423">
        <v>7.0873778998779002</v>
      </c>
      <c r="AO423">
        <v>6.4067866581546395</v>
      </c>
      <c r="AP423">
        <v>28.058605355439383</v>
      </c>
      <c r="AQ423">
        <v>25.040278110751458</v>
      </c>
      <c r="AR423">
        <v>5.9432158238911317</v>
      </c>
      <c r="AS423">
        <v>27.922312588520395</v>
      </c>
      <c r="AT423" t="e">
        <v>#DIV/0!</v>
      </c>
      <c r="AU423" t="e">
        <v>#DIV/0!</v>
      </c>
      <c r="AV423"/>
      <c r="AW423"/>
      <c r="FY423" s="210">
        <v>418</v>
      </c>
      <c r="FZ423">
        <v>0.34523114235979718</v>
      </c>
      <c r="GA423">
        <v>1.6316593851367376</v>
      </c>
      <c r="GB423">
        <v>0.60032629106410051</v>
      </c>
      <c r="GC423">
        <v>6.0248174148916505</v>
      </c>
      <c r="GD423">
        <v>5.2678161556112535</v>
      </c>
      <c r="GE423">
        <v>2.1826793956147341</v>
      </c>
      <c r="GF423">
        <v>1.2613862803785265</v>
      </c>
      <c r="GG423">
        <v>1.2981488832102204</v>
      </c>
      <c r="GH423">
        <v>1.3247603501682221</v>
      </c>
      <c r="GI423">
        <v>4.3799638570970973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382"/>
        <v>1.2162429317988037</v>
      </c>
      <c r="D424" s="191">
        <f>$A$406</f>
        <v>9.4499999999999993</v>
      </c>
      <c r="E424" s="8"/>
      <c r="F424" s="124"/>
      <c r="G424" s="107">
        <f t="shared" ref="G424:V432" si="384">(($A$453+$A$455*(G$422)+($A$457*$D424))*($E22*G38))</f>
        <v>0</v>
      </c>
      <c r="H424" s="107">
        <f t="shared" si="384"/>
        <v>0</v>
      </c>
      <c r="I424" s="107">
        <f t="shared" si="384"/>
        <v>0.11772692600002957</v>
      </c>
      <c r="J424" s="107">
        <f t="shared" si="384"/>
        <v>0.25078276311417147</v>
      </c>
      <c r="K424" s="107">
        <f t="shared" si="384"/>
        <v>0</v>
      </c>
      <c r="L424" s="107">
        <f t="shared" si="384"/>
        <v>0</v>
      </c>
      <c r="M424" s="107">
        <f t="shared" si="384"/>
        <v>0.84773324268460271</v>
      </c>
      <c r="N424" s="107">
        <f t="shared" si="384"/>
        <v>0</v>
      </c>
      <c r="O424" s="107">
        <f t="shared" si="384"/>
        <v>0</v>
      </c>
      <c r="P424" s="107">
        <f t="shared" si="384"/>
        <v>0</v>
      </c>
      <c r="Q424" s="107">
        <f t="shared" si="384"/>
        <v>0</v>
      </c>
      <c r="R424" s="107">
        <f t="shared" si="384"/>
        <v>0</v>
      </c>
      <c r="S424" s="107">
        <f t="shared" si="384"/>
        <v>0</v>
      </c>
      <c r="T424" s="107">
        <f t="shared" si="384"/>
        <v>0</v>
      </c>
      <c r="U424" s="107">
        <f t="shared" si="384"/>
        <v>0</v>
      </c>
      <c r="V424" s="107">
        <f t="shared" si="384"/>
        <v>0</v>
      </c>
      <c r="W424" s="107">
        <f t="shared" si="383"/>
        <v>0</v>
      </c>
      <c r="X424" s="107">
        <f t="shared" si="383"/>
        <v>0</v>
      </c>
      <c r="Y424" s="107">
        <f t="shared" si="383"/>
        <v>0</v>
      </c>
      <c r="Z424" s="107">
        <f t="shared" si="383"/>
        <v>0</v>
      </c>
      <c r="AA424" s="107">
        <f t="shared" si="383"/>
        <v>0</v>
      </c>
      <c r="AB424" s="107">
        <f t="shared" si="383"/>
        <v>0</v>
      </c>
      <c r="AC424" s="107">
        <f t="shared" si="383"/>
        <v>0</v>
      </c>
      <c r="AD424" s="107">
        <f t="shared" si="383"/>
        <v>0</v>
      </c>
      <c r="AE424" s="107">
        <f t="shared" si="383"/>
        <v>0</v>
      </c>
      <c r="AF424" s="107">
        <f t="shared" si="383"/>
        <v>0</v>
      </c>
      <c r="AG424" s="107">
        <f t="shared" si="383"/>
        <v>0</v>
      </c>
      <c r="AH424" s="107">
        <f t="shared" si="383"/>
        <v>0</v>
      </c>
      <c r="AI424" s="107">
        <f t="shared" si="383"/>
        <v>0</v>
      </c>
      <c r="AJ424" s="107">
        <f t="shared" si="383"/>
        <v>0</v>
      </c>
      <c r="AK424" s="107">
        <f t="shared" si="383"/>
        <v>0</v>
      </c>
      <c r="AL424" s="4"/>
      <c r="AM424" s="43">
        <v>408</v>
      </c>
      <c r="AN424">
        <v>4.835603632478632</v>
      </c>
      <c r="AO424">
        <v>6.7998307257925577</v>
      </c>
      <c r="AP424">
        <v>19.625431635151934</v>
      </c>
      <c r="AQ424">
        <v>20.254634828208857</v>
      </c>
      <c r="AR424">
        <v>6.2549554907967</v>
      </c>
      <c r="AS424">
        <v>30.229120119842545</v>
      </c>
      <c r="AT424" t="e">
        <v>#DIV/0!</v>
      </c>
      <c r="AU424" t="e">
        <v>#DIV/0!</v>
      </c>
      <c r="AV424"/>
      <c r="AW424"/>
      <c r="FY424" s="210">
        <v>419</v>
      </c>
      <c r="FZ424">
        <v>0.31204805757459919</v>
      </c>
      <c r="GA424">
        <v>2.4297930740252145</v>
      </c>
      <c r="GB424">
        <v>0.98275512952324828</v>
      </c>
      <c r="GC424">
        <v>5.6082861119327605</v>
      </c>
      <c r="GD424">
        <v>4.4614386717980272</v>
      </c>
      <c r="GE424">
        <v>1.1695562879175558</v>
      </c>
      <c r="GF424">
        <v>1.2613862803785265</v>
      </c>
      <c r="GG424">
        <v>2.7411552212853092</v>
      </c>
      <c r="GH424">
        <v>3.3119008754205557</v>
      </c>
      <c r="GI424">
        <v>4.2553552927987903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382"/>
        <v>1.5526459985461498</v>
      </c>
      <c r="D425" s="191">
        <f>A$407</f>
        <v>4.03</v>
      </c>
      <c r="E425" s="8"/>
      <c r="F425" s="124"/>
      <c r="G425" s="107">
        <f t="shared" si="384"/>
        <v>0</v>
      </c>
      <c r="H425" s="107">
        <f t="shared" si="383"/>
        <v>0</v>
      </c>
      <c r="I425" s="107">
        <f t="shared" si="383"/>
        <v>0</v>
      </c>
      <c r="J425" s="107">
        <f t="shared" si="383"/>
        <v>0</v>
      </c>
      <c r="K425" s="107">
        <f t="shared" si="383"/>
        <v>0</v>
      </c>
      <c r="L425" s="107">
        <f t="shared" si="383"/>
        <v>0</v>
      </c>
      <c r="M425" s="107">
        <f t="shared" si="383"/>
        <v>0.40851731109667855</v>
      </c>
      <c r="N425" s="107">
        <f t="shared" si="383"/>
        <v>1.1441286874494712</v>
      </c>
      <c r="O425" s="107">
        <f t="shared" si="383"/>
        <v>0</v>
      </c>
      <c r="P425" s="107">
        <f t="shared" si="383"/>
        <v>0</v>
      </c>
      <c r="Q425" s="107">
        <f t="shared" si="383"/>
        <v>0</v>
      </c>
      <c r="R425" s="107">
        <f t="shared" si="383"/>
        <v>0</v>
      </c>
      <c r="S425" s="107">
        <f t="shared" si="383"/>
        <v>0</v>
      </c>
      <c r="T425" s="107">
        <f t="shared" si="383"/>
        <v>0</v>
      </c>
      <c r="U425" s="107">
        <f t="shared" si="383"/>
        <v>0</v>
      </c>
      <c r="V425" s="107">
        <f t="shared" si="383"/>
        <v>0</v>
      </c>
      <c r="W425" s="107">
        <f t="shared" si="383"/>
        <v>0</v>
      </c>
      <c r="X425" s="107">
        <f t="shared" si="383"/>
        <v>0</v>
      </c>
      <c r="Y425" s="107">
        <f t="shared" si="383"/>
        <v>0</v>
      </c>
      <c r="Z425" s="107">
        <f t="shared" si="383"/>
        <v>0</v>
      </c>
      <c r="AA425" s="107">
        <f t="shared" si="383"/>
        <v>0</v>
      </c>
      <c r="AB425" s="107">
        <f t="shared" si="383"/>
        <v>0</v>
      </c>
      <c r="AC425" s="107">
        <f t="shared" si="383"/>
        <v>0</v>
      </c>
      <c r="AD425" s="107">
        <f t="shared" si="383"/>
        <v>0</v>
      </c>
      <c r="AE425" s="107">
        <f t="shared" si="383"/>
        <v>0</v>
      </c>
      <c r="AF425" s="107">
        <f t="shared" si="383"/>
        <v>0</v>
      </c>
      <c r="AG425" s="107">
        <f t="shared" si="383"/>
        <v>0</v>
      </c>
      <c r="AH425" s="107">
        <f t="shared" si="383"/>
        <v>0</v>
      </c>
      <c r="AI425" s="107">
        <f t="shared" si="383"/>
        <v>0</v>
      </c>
      <c r="AJ425" s="107">
        <f t="shared" si="383"/>
        <v>0</v>
      </c>
      <c r="AK425" s="107">
        <f t="shared" si="383"/>
        <v>0</v>
      </c>
      <c r="AL425" s="4"/>
      <c r="AM425" s="43">
        <v>409</v>
      </c>
      <c r="AN425">
        <v>8.1910485347985329</v>
      </c>
      <c r="AO425">
        <v>6.3149513657860172</v>
      </c>
      <c r="AP425">
        <v>27.606617752042382</v>
      </c>
      <c r="AQ425">
        <v>25.307193210937989</v>
      </c>
      <c r="AR425">
        <v>5.7522949465293012</v>
      </c>
      <c r="AS425">
        <v>26.845382213981612</v>
      </c>
      <c r="AT425" t="e">
        <v>#DIV/0!</v>
      </c>
      <c r="AU425" t="e">
        <v>#DIV/0!</v>
      </c>
      <c r="AV425"/>
      <c r="AW425"/>
      <c r="FY425" s="210">
        <v>420</v>
      </c>
      <c r="FZ425">
        <v>3.3183084785198033E-2</v>
      </c>
      <c r="GA425">
        <v>2.7078334182775703</v>
      </c>
      <c r="GB425">
        <v>1.289488259945843</v>
      </c>
      <c r="GC425">
        <v>3.0129682738525094</v>
      </c>
      <c r="GD425">
        <v>2.6552715482761742</v>
      </c>
      <c r="GE425">
        <v>0.80161328311131574</v>
      </c>
      <c r="GF425">
        <v>0</v>
      </c>
      <c r="GG425">
        <v>0.48100211269169618</v>
      </c>
      <c r="GH425">
        <v>0.66238017508411107</v>
      </c>
      <c r="GI425">
        <v>2.2033968889280584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382"/>
        <v>10.002483199070108</v>
      </c>
      <c r="D426" s="191">
        <f>A$408</f>
        <v>0.78</v>
      </c>
      <c r="E426" s="8"/>
      <c r="F426" s="124"/>
      <c r="G426" s="107">
        <f t="shared" si="384"/>
        <v>0</v>
      </c>
      <c r="H426" s="107">
        <f t="shared" si="383"/>
        <v>0</v>
      </c>
      <c r="I426" s="107">
        <f t="shared" si="383"/>
        <v>0</v>
      </c>
      <c r="J426" s="107">
        <f t="shared" si="383"/>
        <v>0</v>
      </c>
      <c r="K426" s="107">
        <f t="shared" si="383"/>
        <v>0.31149052230761398</v>
      </c>
      <c r="L426" s="107">
        <f t="shared" si="383"/>
        <v>1.5785663536226073</v>
      </c>
      <c r="M426" s="107">
        <f t="shared" si="383"/>
        <v>4.5232376591529224</v>
      </c>
      <c r="N426" s="107">
        <f t="shared" si="383"/>
        <v>2.7283411281511256</v>
      </c>
      <c r="O426" s="107">
        <f t="shared" si="383"/>
        <v>0.86084753583584006</v>
      </c>
      <c r="P426" s="107">
        <f t="shared" si="383"/>
        <v>0</v>
      </c>
      <c r="Q426" s="107">
        <f t="shared" si="383"/>
        <v>0</v>
      </c>
      <c r="R426" s="107">
        <f t="shared" si="383"/>
        <v>0</v>
      </c>
      <c r="S426" s="107">
        <f t="shared" si="383"/>
        <v>0</v>
      </c>
      <c r="T426" s="107">
        <f t="shared" si="383"/>
        <v>0</v>
      </c>
      <c r="U426" s="107">
        <f t="shared" si="383"/>
        <v>0</v>
      </c>
      <c r="V426" s="107">
        <f t="shared" si="383"/>
        <v>0</v>
      </c>
      <c r="W426" s="107">
        <f t="shared" si="383"/>
        <v>0</v>
      </c>
      <c r="X426" s="107">
        <f t="shared" si="383"/>
        <v>0</v>
      </c>
      <c r="Y426" s="107">
        <f t="shared" si="383"/>
        <v>0</v>
      </c>
      <c r="Z426" s="107">
        <f t="shared" si="383"/>
        <v>0</v>
      </c>
      <c r="AA426" s="107">
        <f t="shared" si="383"/>
        <v>0</v>
      </c>
      <c r="AB426" s="107">
        <f t="shared" si="383"/>
        <v>0</v>
      </c>
      <c r="AC426" s="107">
        <f t="shared" si="383"/>
        <v>0</v>
      </c>
      <c r="AD426" s="107">
        <f t="shared" si="383"/>
        <v>0</v>
      </c>
      <c r="AE426" s="107">
        <f t="shared" si="383"/>
        <v>0</v>
      </c>
      <c r="AF426" s="107">
        <f t="shared" si="383"/>
        <v>0</v>
      </c>
      <c r="AG426" s="107">
        <f t="shared" si="383"/>
        <v>0</v>
      </c>
      <c r="AH426" s="107">
        <f t="shared" si="383"/>
        <v>0</v>
      </c>
      <c r="AI426" s="107">
        <f t="shared" si="383"/>
        <v>0</v>
      </c>
      <c r="AJ426" s="107">
        <f t="shared" si="383"/>
        <v>0</v>
      </c>
      <c r="AK426" s="107">
        <f t="shared" si="383"/>
        <v>0</v>
      </c>
      <c r="AL426" s="4"/>
      <c r="AM426" s="43">
        <v>410</v>
      </c>
      <c r="AN426">
        <v>8.6915445665445681</v>
      </c>
      <c r="AO426">
        <v>8.2021913168545044</v>
      </c>
      <c r="AP426">
        <v>27.627554712629291</v>
      </c>
      <c r="AQ426">
        <v>27.793597176903042</v>
      </c>
      <c r="AR426">
        <v>7.6087117967110416</v>
      </c>
      <c r="AS426">
        <v>37.252663866060928</v>
      </c>
      <c r="AT426" t="e">
        <v>#DIV/0!</v>
      </c>
      <c r="AU426" t="e">
        <v>#DIV/0!</v>
      </c>
      <c r="AV426"/>
      <c r="AW426"/>
      <c r="FY426" s="210">
        <v>421</v>
      </c>
      <c r="FZ426">
        <v>0.27886497278940114</v>
      </c>
      <c r="GA426">
        <v>4.2114086322848294</v>
      </c>
      <c r="GB426">
        <v>1.8637260783724128</v>
      </c>
      <c r="GC426">
        <v>5.7215561165692259</v>
      </c>
      <c r="GD426">
        <v>4.6740181652973654</v>
      </c>
      <c r="GE426">
        <v>2.5681278000131527</v>
      </c>
      <c r="GF426">
        <v>3.4038288868933777</v>
      </c>
      <c r="GG426">
        <v>0.67228931565365579</v>
      </c>
      <c r="GH426">
        <v>0</v>
      </c>
      <c r="GI426">
        <v>4.6165868576938633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382"/>
        <v>7.9665572932065043</v>
      </c>
      <c r="D427" s="191">
        <f>A$409</f>
        <v>0.14000000000000001</v>
      </c>
      <c r="E427" s="8"/>
      <c r="F427" s="124"/>
      <c r="G427" s="107">
        <f t="shared" si="384"/>
        <v>0</v>
      </c>
      <c r="H427" s="107">
        <f t="shared" si="383"/>
        <v>0</v>
      </c>
      <c r="I427" s="107">
        <f t="shared" si="383"/>
        <v>0</v>
      </c>
      <c r="J427" s="107">
        <f t="shared" si="383"/>
        <v>0</v>
      </c>
      <c r="K427" s="107">
        <f t="shared" si="383"/>
        <v>0.23782921774400859</v>
      </c>
      <c r="L427" s="107">
        <f t="shared" si="383"/>
        <v>1.7472269382065102</v>
      </c>
      <c r="M427" s="107">
        <f t="shared" si="383"/>
        <v>3.8265925204921261</v>
      </c>
      <c r="N427" s="107">
        <f t="shared" si="383"/>
        <v>1.5789453227027257</v>
      </c>
      <c r="O427" s="107">
        <f t="shared" si="383"/>
        <v>0.57596329406113389</v>
      </c>
      <c r="P427" s="107">
        <f t="shared" si="383"/>
        <v>0</v>
      </c>
      <c r="Q427" s="107">
        <f t="shared" si="383"/>
        <v>0</v>
      </c>
      <c r="R427" s="107">
        <f t="shared" si="383"/>
        <v>0</v>
      </c>
      <c r="S427" s="107">
        <f t="shared" si="383"/>
        <v>0</v>
      </c>
      <c r="T427" s="107">
        <f t="shared" si="383"/>
        <v>0</v>
      </c>
      <c r="U427" s="107">
        <f t="shared" si="383"/>
        <v>0</v>
      </c>
      <c r="V427" s="107">
        <f t="shared" si="383"/>
        <v>0</v>
      </c>
      <c r="W427" s="107">
        <f t="shared" si="383"/>
        <v>0</v>
      </c>
      <c r="X427" s="107">
        <f t="shared" si="383"/>
        <v>0</v>
      </c>
      <c r="Y427" s="107">
        <f t="shared" si="383"/>
        <v>0</v>
      </c>
      <c r="Z427" s="107">
        <f t="shared" si="383"/>
        <v>0</v>
      </c>
      <c r="AA427" s="107">
        <f t="shared" si="383"/>
        <v>0</v>
      </c>
      <c r="AB427" s="107">
        <f t="shared" si="383"/>
        <v>0</v>
      </c>
      <c r="AC427" s="107">
        <f t="shared" si="383"/>
        <v>0</v>
      </c>
      <c r="AD427" s="107">
        <f t="shared" si="383"/>
        <v>0</v>
      </c>
      <c r="AE427" s="107">
        <f t="shared" si="383"/>
        <v>0</v>
      </c>
      <c r="AF427" s="107">
        <f t="shared" si="383"/>
        <v>0</v>
      </c>
      <c r="AG427" s="107">
        <f t="shared" si="383"/>
        <v>0</v>
      </c>
      <c r="AH427" s="107">
        <f t="shared" si="383"/>
        <v>0</v>
      </c>
      <c r="AI427" s="107">
        <f t="shared" si="383"/>
        <v>0</v>
      </c>
      <c r="AJ427" s="107">
        <f t="shared" si="383"/>
        <v>0</v>
      </c>
      <c r="AK427" s="107">
        <f t="shared" si="383"/>
        <v>0</v>
      </c>
      <c r="AL427" s="4"/>
      <c r="AM427" s="43">
        <v>411</v>
      </c>
      <c r="AN427">
        <v>9.7056051587301582</v>
      </c>
      <c r="AO427">
        <v>8.935055511687473</v>
      </c>
      <c r="AP427">
        <v>34.331387621112718</v>
      </c>
      <c r="AQ427">
        <v>32.098838332811482</v>
      </c>
      <c r="AR427">
        <v>8.2356834925545055</v>
      </c>
      <c r="AS427">
        <v>34.714723343307803</v>
      </c>
      <c r="AT427" t="e">
        <v>#DIV/0!</v>
      </c>
      <c r="AU427" t="e">
        <v>#DIV/0!</v>
      </c>
      <c r="AV427"/>
      <c r="AW427"/>
      <c r="FY427" s="210">
        <v>422</v>
      </c>
      <c r="FZ427">
        <v>0.31204805757459919</v>
      </c>
      <c r="GA427">
        <v>5.0880269385066601</v>
      </c>
      <c r="GB427">
        <v>3.3902836042810316</v>
      </c>
      <c r="GC427">
        <v>10.305744497392533</v>
      </c>
      <c r="GD427">
        <v>7.8350415905216524</v>
      </c>
      <c r="GE427">
        <v>1.8322417904006723</v>
      </c>
      <c r="GF427">
        <v>1.4515512574996277</v>
      </c>
      <c r="GG427">
        <v>1.9472233248153306</v>
      </c>
      <c r="GH427">
        <v>1.9871405252523333</v>
      </c>
      <c r="GI427">
        <v>7.2204229034479646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382"/>
        <v>2.0631701326952463</v>
      </c>
      <c r="D428" s="191">
        <f>A$410</f>
        <v>0.21</v>
      </c>
      <c r="E428" s="8"/>
      <c r="F428" s="124"/>
      <c r="G428" s="107">
        <f t="shared" si="384"/>
        <v>0</v>
      </c>
      <c r="H428" s="107">
        <f t="shared" si="383"/>
        <v>0</v>
      </c>
      <c r="I428" s="107">
        <f t="shared" si="383"/>
        <v>0</v>
      </c>
      <c r="J428" s="107">
        <f t="shared" si="383"/>
        <v>0</v>
      </c>
      <c r="K428" s="107">
        <f t="shared" si="383"/>
        <v>0</v>
      </c>
      <c r="L428" s="107">
        <f t="shared" si="383"/>
        <v>1.1226290689557312</v>
      </c>
      <c r="M428" s="107">
        <f t="shared" si="383"/>
        <v>0.94054106373951529</v>
      </c>
      <c r="N428" s="107">
        <f t="shared" si="383"/>
        <v>0</v>
      </c>
      <c r="O428" s="107">
        <f t="shared" si="383"/>
        <v>0</v>
      </c>
      <c r="P428" s="107">
        <f t="shared" si="383"/>
        <v>0</v>
      </c>
      <c r="Q428" s="107">
        <f t="shared" si="383"/>
        <v>0</v>
      </c>
      <c r="R428" s="107">
        <f t="shared" si="383"/>
        <v>0</v>
      </c>
      <c r="S428" s="107">
        <f t="shared" si="383"/>
        <v>0</v>
      </c>
      <c r="T428" s="107">
        <f t="shared" si="383"/>
        <v>0</v>
      </c>
      <c r="U428" s="107">
        <f t="shared" si="383"/>
        <v>0</v>
      </c>
      <c r="V428" s="107">
        <f t="shared" si="383"/>
        <v>0</v>
      </c>
      <c r="W428" s="107">
        <f t="shared" si="383"/>
        <v>0</v>
      </c>
      <c r="X428" s="107">
        <f t="shared" si="383"/>
        <v>0</v>
      </c>
      <c r="Y428" s="107">
        <f t="shared" si="383"/>
        <v>0</v>
      </c>
      <c r="Z428" s="107">
        <f t="shared" si="383"/>
        <v>0</v>
      </c>
      <c r="AA428" s="107">
        <f t="shared" si="383"/>
        <v>0</v>
      </c>
      <c r="AB428" s="107">
        <f t="shared" si="383"/>
        <v>0</v>
      </c>
      <c r="AC428" s="107">
        <f t="shared" si="383"/>
        <v>0</v>
      </c>
      <c r="AD428" s="107">
        <f t="shared" si="383"/>
        <v>0</v>
      </c>
      <c r="AE428" s="107">
        <f t="shared" si="383"/>
        <v>0</v>
      </c>
      <c r="AF428" s="107">
        <f t="shared" si="383"/>
        <v>0</v>
      </c>
      <c r="AG428" s="107">
        <f t="shared" si="383"/>
        <v>0</v>
      </c>
      <c r="AH428" s="107">
        <f t="shared" si="383"/>
        <v>0</v>
      </c>
      <c r="AI428" s="107">
        <f t="shared" si="383"/>
        <v>0</v>
      </c>
      <c r="AJ428" s="107">
        <f t="shared" si="383"/>
        <v>0</v>
      </c>
      <c r="AK428" s="107">
        <f t="shared" si="383"/>
        <v>0</v>
      </c>
      <c r="AL428" s="4"/>
      <c r="AM428" s="43">
        <v>412</v>
      </c>
      <c r="AN428">
        <v>10.798153235653235</v>
      </c>
      <c r="AO428">
        <v>11.722790701223264</v>
      </c>
      <c r="AP428">
        <v>39.003047179203961</v>
      </c>
      <c r="AQ428">
        <v>38.701214444028345</v>
      </c>
      <c r="AR428">
        <v>10.874573934344401</v>
      </c>
      <c r="AS428">
        <v>56.658494580564984</v>
      </c>
      <c r="AT428" t="e">
        <v>#DIV/0!</v>
      </c>
      <c r="AU428" t="e">
        <v>#DIV/0!</v>
      </c>
      <c r="AV428"/>
      <c r="AW428"/>
      <c r="FY428" s="210">
        <v>423</v>
      </c>
      <c r="FZ428">
        <v>0.49136377600840619</v>
      </c>
      <c r="GA428">
        <v>4.2114086322848294</v>
      </c>
      <c r="GB428">
        <v>1.7358534250607978</v>
      </c>
      <c r="GC428">
        <v>4.7210088526009493</v>
      </c>
      <c r="GD428">
        <v>3.8650603011678539</v>
      </c>
      <c r="GE428">
        <v>1.3810661125034183</v>
      </c>
      <c r="GF428">
        <v>1.4515512574996277</v>
      </c>
      <c r="GG428">
        <v>1.4662212121236342</v>
      </c>
      <c r="GH428">
        <v>1.3247603501682221</v>
      </c>
      <c r="GI428">
        <v>3.9262366560377902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382"/>
        <v>0.19016497712110106</v>
      </c>
      <c r="D429" s="191">
        <f>A$411</f>
        <v>1.28</v>
      </c>
      <c r="E429" s="8"/>
      <c r="F429" s="124"/>
      <c r="G429" s="107">
        <f t="shared" si="384"/>
        <v>0</v>
      </c>
      <c r="H429" s="107">
        <f t="shared" si="383"/>
        <v>0</v>
      </c>
      <c r="I429" s="107">
        <f t="shared" si="383"/>
        <v>0</v>
      </c>
      <c r="J429" s="107">
        <f t="shared" si="383"/>
        <v>0</v>
      </c>
      <c r="K429" s="107">
        <f t="shared" si="383"/>
        <v>0.19016497712110106</v>
      </c>
      <c r="L429" s="107">
        <f t="shared" si="383"/>
        <v>0</v>
      </c>
      <c r="M429" s="107">
        <f t="shared" si="383"/>
        <v>0</v>
      </c>
      <c r="N429" s="107">
        <f t="shared" si="383"/>
        <v>0</v>
      </c>
      <c r="O429" s="107">
        <f t="shared" si="383"/>
        <v>0</v>
      </c>
      <c r="P429" s="107">
        <f t="shared" si="383"/>
        <v>0</v>
      </c>
      <c r="Q429" s="107">
        <f t="shared" si="383"/>
        <v>0</v>
      </c>
      <c r="R429" s="107">
        <f t="shared" si="383"/>
        <v>0</v>
      </c>
      <c r="S429" s="107">
        <f t="shared" si="383"/>
        <v>0</v>
      </c>
      <c r="T429" s="107">
        <f t="shared" si="383"/>
        <v>0</v>
      </c>
      <c r="U429" s="107">
        <f t="shared" si="383"/>
        <v>0</v>
      </c>
      <c r="V429" s="107">
        <f t="shared" si="383"/>
        <v>0</v>
      </c>
      <c r="W429" s="107">
        <f t="shared" si="383"/>
        <v>0</v>
      </c>
      <c r="X429" s="107">
        <f t="shared" si="383"/>
        <v>0</v>
      </c>
      <c r="Y429" s="107">
        <f t="shared" si="383"/>
        <v>0</v>
      </c>
      <c r="Z429" s="107">
        <f t="shared" si="383"/>
        <v>0</v>
      </c>
      <c r="AA429" s="107">
        <f t="shared" si="383"/>
        <v>0</v>
      </c>
      <c r="AB429" s="107">
        <f t="shared" si="383"/>
        <v>0</v>
      </c>
      <c r="AC429" s="107">
        <f t="shared" si="383"/>
        <v>0</v>
      </c>
      <c r="AD429" s="107">
        <f t="shared" si="383"/>
        <v>0</v>
      </c>
      <c r="AE429" s="107">
        <f t="shared" si="383"/>
        <v>0</v>
      </c>
      <c r="AF429" s="107">
        <f t="shared" si="383"/>
        <v>0</v>
      </c>
      <c r="AG429" s="107">
        <f t="shared" si="383"/>
        <v>0</v>
      </c>
      <c r="AH429" s="107">
        <f t="shared" si="383"/>
        <v>0</v>
      </c>
      <c r="AI429" s="107">
        <f t="shared" si="383"/>
        <v>0</v>
      </c>
      <c r="AJ429" s="107">
        <f t="shared" si="383"/>
        <v>0</v>
      </c>
      <c r="AK429" s="107">
        <f t="shared" si="383"/>
        <v>0</v>
      </c>
      <c r="AL429" s="4"/>
      <c r="AM429" s="43">
        <v>413</v>
      </c>
      <c r="AN429">
        <v>5.7552083333333339</v>
      </c>
      <c r="AO429">
        <v>6.9835768292437681</v>
      </c>
      <c r="AP429">
        <v>28.088744281002715</v>
      </c>
      <c r="AQ429">
        <v>25.238098624248646</v>
      </c>
      <c r="AR429">
        <v>6.4254064216419771</v>
      </c>
      <c r="AS429">
        <v>37.195758522052024</v>
      </c>
      <c r="AT429" t="e">
        <v>#DIV/0!</v>
      </c>
      <c r="AU429" t="e">
        <v>#DIV/0!</v>
      </c>
      <c r="AV429"/>
      <c r="AW429"/>
      <c r="FY429" s="210">
        <v>424</v>
      </c>
      <c r="FZ429">
        <v>3.3183084785198033E-2</v>
      </c>
      <c r="GA429">
        <v>4.1618090784887043</v>
      </c>
      <c r="GB429">
        <v>3.1096389464959677</v>
      </c>
      <c r="GC429">
        <v>9.6126749225225439</v>
      </c>
      <c r="GD429">
        <v>7.1576907124945546</v>
      </c>
      <c r="GE429">
        <v>2.4661239366858436</v>
      </c>
      <c r="GF429">
        <v>3.0234989326511759</v>
      </c>
      <c r="GG429">
        <v>1.7791509959019165</v>
      </c>
      <c r="GH429">
        <v>1.9871405252523333</v>
      </c>
      <c r="GI429">
        <v>6.7507588323387191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382"/>
        <v>0.64907444160511019</v>
      </c>
      <c r="D430" s="191">
        <f>A$412</f>
        <v>4</v>
      </c>
      <c r="E430" s="8"/>
      <c r="F430" s="124"/>
      <c r="G430" s="107">
        <f t="shared" si="384"/>
        <v>0</v>
      </c>
      <c r="H430" s="107">
        <f t="shared" si="383"/>
        <v>0</v>
      </c>
      <c r="I430" s="107">
        <f t="shared" si="383"/>
        <v>0</v>
      </c>
      <c r="J430" s="107">
        <f t="shared" si="383"/>
        <v>0</v>
      </c>
      <c r="K430" s="107">
        <f t="shared" si="383"/>
        <v>0.16807232891341395</v>
      </c>
      <c r="L430" s="107">
        <f t="shared" si="383"/>
        <v>0</v>
      </c>
      <c r="M430" s="107">
        <f t="shared" si="383"/>
        <v>0.48100211269169618</v>
      </c>
      <c r="N430" s="107">
        <f t="shared" si="383"/>
        <v>0</v>
      </c>
      <c r="O430" s="107">
        <f t="shared" si="383"/>
        <v>0</v>
      </c>
      <c r="P430" s="107">
        <f t="shared" si="383"/>
        <v>0</v>
      </c>
      <c r="Q430" s="107">
        <f t="shared" si="383"/>
        <v>0</v>
      </c>
      <c r="R430" s="107">
        <f t="shared" si="383"/>
        <v>0</v>
      </c>
      <c r="S430" s="107">
        <f t="shared" si="383"/>
        <v>0</v>
      </c>
      <c r="T430" s="107">
        <f t="shared" si="383"/>
        <v>0</v>
      </c>
      <c r="U430" s="107">
        <f t="shared" si="383"/>
        <v>0</v>
      </c>
      <c r="V430" s="107">
        <f t="shared" si="383"/>
        <v>0</v>
      </c>
      <c r="W430" s="107">
        <f t="shared" si="383"/>
        <v>0</v>
      </c>
      <c r="X430" s="107">
        <f t="shared" si="383"/>
        <v>0</v>
      </c>
      <c r="Y430" s="107">
        <f t="shared" si="383"/>
        <v>0</v>
      </c>
      <c r="Z430" s="107">
        <f t="shared" si="383"/>
        <v>0</v>
      </c>
      <c r="AA430" s="107">
        <f t="shared" si="383"/>
        <v>0</v>
      </c>
      <c r="AB430" s="107">
        <f t="shared" si="383"/>
        <v>0</v>
      </c>
      <c r="AC430" s="107">
        <f t="shared" si="383"/>
        <v>0</v>
      </c>
      <c r="AD430" s="107">
        <f t="shared" si="383"/>
        <v>0</v>
      </c>
      <c r="AE430" s="107">
        <f t="shared" si="383"/>
        <v>0</v>
      </c>
      <c r="AF430" s="107">
        <f t="shared" si="383"/>
        <v>0</v>
      </c>
      <c r="AG430" s="107">
        <f t="shared" si="383"/>
        <v>0</v>
      </c>
      <c r="AH430" s="107">
        <f t="shared" si="383"/>
        <v>0</v>
      </c>
      <c r="AI430" s="107">
        <f t="shared" si="383"/>
        <v>0</v>
      </c>
      <c r="AJ430" s="107">
        <f t="shared" si="383"/>
        <v>0</v>
      </c>
      <c r="AK430" s="107">
        <f t="shared" si="383"/>
        <v>0</v>
      </c>
      <c r="AL430" s="4"/>
      <c r="AM430" s="43">
        <v>414</v>
      </c>
      <c r="AN430">
        <v>2.8969017094017095</v>
      </c>
      <c r="AO430">
        <v>2.9094359212176633</v>
      </c>
      <c r="AP430">
        <v>13.118131434752158</v>
      </c>
      <c r="AQ430">
        <v>12.233180302205605</v>
      </c>
      <c r="AR430">
        <v>2.698920149552563</v>
      </c>
      <c r="AS430">
        <v>13.489678545718158</v>
      </c>
      <c r="AT430" t="e">
        <v>#DIV/0!</v>
      </c>
      <c r="AU430" t="e">
        <v>#DIV/0!</v>
      </c>
      <c r="AV430"/>
      <c r="AW430"/>
      <c r="FY430" s="210">
        <v>425</v>
      </c>
      <c r="FZ430">
        <v>0.52454686079360424</v>
      </c>
      <c r="GA430">
        <v>4.5014337040656773</v>
      </c>
      <c r="GB430">
        <v>3.0078547658218833</v>
      </c>
      <c r="GC430">
        <v>2.1235846331126971</v>
      </c>
      <c r="GD430">
        <v>1.6678648749291916</v>
      </c>
      <c r="GE430">
        <v>2.5681278000131527</v>
      </c>
      <c r="GF430">
        <v>3.213663909772277</v>
      </c>
      <c r="GG430">
        <v>1.4662212121236342</v>
      </c>
      <c r="GH430">
        <v>1.3247603501682221</v>
      </c>
      <c r="GI430">
        <v>2.8045287964638779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382"/>
        <v>0.66238017508411107</v>
      </c>
      <c r="D431" s="191">
        <f>A$413</f>
        <v>7.33</v>
      </c>
      <c r="E431" s="8"/>
      <c r="F431" s="124"/>
      <c r="G431" s="107">
        <f t="shared" si="384"/>
        <v>0</v>
      </c>
      <c r="H431" s="107">
        <f t="shared" si="383"/>
        <v>0</v>
      </c>
      <c r="I431" s="107">
        <f t="shared" si="383"/>
        <v>0</v>
      </c>
      <c r="J431" s="107">
        <f t="shared" si="383"/>
        <v>0</v>
      </c>
      <c r="K431" s="107">
        <f t="shared" si="383"/>
        <v>0</v>
      </c>
      <c r="L431" s="107">
        <f t="shared" si="383"/>
        <v>0</v>
      </c>
      <c r="M431" s="107">
        <f t="shared" si="383"/>
        <v>0.66238017508411107</v>
      </c>
      <c r="N431" s="107">
        <f t="shared" si="383"/>
        <v>0</v>
      </c>
      <c r="O431" s="107">
        <f t="shared" si="383"/>
        <v>0</v>
      </c>
      <c r="P431" s="107">
        <f t="shared" si="383"/>
        <v>0</v>
      </c>
      <c r="Q431" s="107">
        <f t="shared" si="383"/>
        <v>0</v>
      </c>
      <c r="R431" s="107">
        <f t="shared" si="383"/>
        <v>0</v>
      </c>
      <c r="S431" s="107">
        <f t="shared" si="383"/>
        <v>0</v>
      </c>
      <c r="T431" s="107">
        <f t="shared" si="383"/>
        <v>0</v>
      </c>
      <c r="U431" s="107">
        <f t="shared" si="383"/>
        <v>0</v>
      </c>
      <c r="V431" s="107">
        <f t="shared" si="383"/>
        <v>0</v>
      </c>
      <c r="W431" s="107">
        <f t="shared" si="383"/>
        <v>0</v>
      </c>
      <c r="X431" s="107">
        <f t="shared" si="383"/>
        <v>0</v>
      </c>
      <c r="Y431" s="107">
        <f t="shared" si="383"/>
        <v>0</v>
      </c>
      <c r="Z431" s="107">
        <f t="shared" si="383"/>
        <v>0</v>
      </c>
      <c r="AA431" s="107">
        <f t="shared" si="383"/>
        <v>0</v>
      </c>
      <c r="AB431" s="107">
        <f t="shared" si="383"/>
        <v>0</v>
      </c>
      <c r="AC431" s="107">
        <f t="shared" si="383"/>
        <v>0</v>
      </c>
      <c r="AD431" s="107">
        <f t="shared" si="383"/>
        <v>0</v>
      </c>
      <c r="AE431" s="107">
        <f t="shared" si="383"/>
        <v>0</v>
      </c>
      <c r="AF431" s="107">
        <f t="shared" si="383"/>
        <v>0</v>
      </c>
      <c r="AG431" s="107">
        <f t="shared" si="383"/>
        <v>0</v>
      </c>
      <c r="AH431" s="107">
        <f t="shared" si="383"/>
        <v>0</v>
      </c>
      <c r="AI431" s="107">
        <f t="shared" si="383"/>
        <v>0</v>
      </c>
      <c r="AJ431" s="107">
        <f t="shared" si="383"/>
        <v>0</v>
      </c>
      <c r="AK431" s="107">
        <f t="shared" si="383"/>
        <v>0</v>
      </c>
      <c r="AL431" s="4"/>
      <c r="AM431" s="43">
        <v>415</v>
      </c>
      <c r="AN431">
        <v>7.8923992673992656</v>
      </c>
      <c r="AO431">
        <v>5.2498618010236955</v>
      </c>
      <c r="AP431">
        <v>22.647050957902668</v>
      </c>
      <c r="AQ431">
        <v>21.171755746521562</v>
      </c>
      <c r="AR431">
        <v>4.7642712315364237</v>
      </c>
      <c r="AS431">
        <v>21.688587803044864</v>
      </c>
      <c r="AT431" t="e">
        <v>#DIV/0!</v>
      </c>
      <c r="AU431" t="e">
        <v>#DIV/0!</v>
      </c>
      <c r="AV431"/>
      <c r="AW431"/>
      <c r="FY431" s="210">
        <v>426</v>
      </c>
      <c r="FZ431">
        <v>3.3183084785198033E-2</v>
      </c>
      <c r="GA431">
        <v>2.8228675547052076</v>
      </c>
      <c r="GB431">
        <v>1.3273361139641193</v>
      </c>
      <c r="GC431">
        <v>3.4552497986692554</v>
      </c>
      <c r="GD431">
        <v>3.0786051302078792</v>
      </c>
      <c r="GE431">
        <v>2.2001847952069129</v>
      </c>
      <c r="GF431">
        <v>2.3326075836359519</v>
      </c>
      <c r="GG431">
        <v>1.9472233248153306</v>
      </c>
      <c r="GH431">
        <v>1.9871405252523333</v>
      </c>
      <c r="GI431">
        <v>3.4126016839002848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382"/>
        <v>6.4419370458504117</v>
      </c>
      <c r="D432" s="191">
        <f>A$414</f>
        <v>10.51</v>
      </c>
      <c r="E432" s="8"/>
      <c r="F432" s="124"/>
      <c r="G432" s="107">
        <f t="shared" si="384"/>
        <v>0</v>
      </c>
      <c r="H432" s="107">
        <f t="shared" ref="H432:AK432" si="385">(($A$453+$A$455*(H$422)+($A$457*$D432))*($E30*H46))</f>
        <v>0</v>
      </c>
      <c r="I432" s="107">
        <f t="shared" si="385"/>
        <v>1.4761409685183474E-2</v>
      </c>
      <c r="J432" s="107">
        <f t="shared" si="385"/>
        <v>3.1464341186154036E-2</v>
      </c>
      <c r="K432" s="107">
        <f t="shared" si="385"/>
        <v>0.17758885476759587</v>
      </c>
      <c r="L432" s="107">
        <f t="shared" si="385"/>
        <v>1.103849441372033</v>
      </c>
      <c r="M432" s="107">
        <f t="shared" si="385"/>
        <v>2.8705026118110681</v>
      </c>
      <c r="N432" s="107">
        <f t="shared" si="385"/>
        <v>1.6039010244747103</v>
      </c>
      <c r="O432" s="107">
        <f t="shared" si="385"/>
        <v>0.639869362553667</v>
      </c>
      <c r="P432" s="107">
        <f t="shared" si="385"/>
        <v>0</v>
      </c>
      <c r="Q432" s="107">
        <f t="shared" si="385"/>
        <v>0</v>
      </c>
      <c r="R432" s="107">
        <f t="shared" si="385"/>
        <v>0</v>
      </c>
      <c r="S432" s="107">
        <f t="shared" si="385"/>
        <v>0</v>
      </c>
      <c r="T432" s="107">
        <f t="shared" si="385"/>
        <v>0</v>
      </c>
      <c r="U432" s="107">
        <f t="shared" si="385"/>
        <v>0</v>
      </c>
      <c r="V432" s="107">
        <f t="shared" si="385"/>
        <v>0</v>
      </c>
      <c r="W432" s="107">
        <f t="shared" si="385"/>
        <v>0</v>
      </c>
      <c r="X432" s="107">
        <f t="shared" si="385"/>
        <v>0</v>
      </c>
      <c r="Y432" s="107">
        <f t="shared" si="385"/>
        <v>0</v>
      </c>
      <c r="Z432" s="107">
        <f t="shared" si="385"/>
        <v>0</v>
      </c>
      <c r="AA432" s="107">
        <f t="shared" si="385"/>
        <v>0</v>
      </c>
      <c r="AB432" s="107">
        <f t="shared" si="385"/>
        <v>0</v>
      </c>
      <c r="AC432" s="107">
        <f t="shared" si="385"/>
        <v>0</v>
      </c>
      <c r="AD432" s="107">
        <f t="shared" si="385"/>
        <v>0</v>
      </c>
      <c r="AE432" s="107">
        <f t="shared" si="385"/>
        <v>0</v>
      </c>
      <c r="AF432" s="107">
        <f t="shared" si="385"/>
        <v>0</v>
      </c>
      <c r="AG432" s="107">
        <f t="shared" si="385"/>
        <v>0</v>
      </c>
      <c r="AH432" s="107">
        <f t="shared" si="385"/>
        <v>0</v>
      </c>
      <c r="AI432" s="107">
        <f t="shared" si="385"/>
        <v>0</v>
      </c>
      <c r="AJ432" s="107">
        <f t="shared" si="385"/>
        <v>0</v>
      </c>
      <c r="AK432" s="107">
        <f t="shared" si="385"/>
        <v>0</v>
      </c>
      <c r="AL432" s="4"/>
      <c r="AM432" s="43">
        <v>416</v>
      </c>
      <c r="AN432">
        <v>7.9184409340659325</v>
      </c>
      <c r="AO432">
        <v>8.3592553541925394</v>
      </c>
      <c r="AP432">
        <v>34.939824576334679</v>
      </c>
      <c r="AQ432">
        <v>31.83484443225435</v>
      </c>
      <c r="AR432">
        <v>7.595815616003148</v>
      </c>
      <c r="AS432">
        <v>42.934182424102083</v>
      </c>
      <c r="AT432" t="e">
        <v>#DIV/0!</v>
      </c>
      <c r="AU432" t="e">
        <v>#DIV/0!</v>
      </c>
      <c r="AV432"/>
      <c r="AW432"/>
      <c r="FY432" s="210">
        <v>427</v>
      </c>
      <c r="FZ432">
        <v>0.52454686079360424</v>
      </c>
      <c r="GA432">
        <v>8.0074008112317259</v>
      </c>
      <c r="GB432">
        <v>4.6797718642268746</v>
      </c>
      <c r="GC432">
        <v>13.578792595185764</v>
      </c>
      <c r="GD432">
        <v>10.024687202344692</v>
      </c>
      <c r="GE432">
        <v>0.80161328311131574</v>
      </c>
      <c r="GF432">
        <v>0.38032995424220212</v>
      </c>
      <c r="GG432">
        <v>0.81714677051852402</v>
      </c>
      <c r="GH432">
        <v>0.66238017508411107</v>
      </c>
      <c r="GI432">
        <v>8.7111553551401535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12.018677503052503</v>
      </c>
      <c r="AO433">
        <v>10.693994259752692</v>
      </c>
      <c r="AP433">
        <v>43.426810326199366</v>
      </c>
      <c r="AQ433">
        <v>39.553871596789598</v>
      </c>
      <c r="AR433">
        <v>9.8673520900176026</v>
      </c>
      <c r="AS433">
        <v>43.888121302554161</v>
      </c>
      <c r="AT433" t="e">
        <v>#DIV/0!</v>
      </c>
      <c r="AU433" t="e">
        <v>#DIV/0!</v>
      </c>
      <c r="AV433"/>
      <c r="AW433"/>
      <c r="FY433" s="210">
        <v>428</v>
      </c>
      <c r="FZ433">
        <v>0.2456818880042031</v>
      </c>
      <c r="GA433">
        <v>2.4766998382489476</v>
      </c>
      <c r="GB433">
        <v>1.6187557999037911</v>
      </c>
      <c r="GC433">
        <v>5.4269463163792846</v>
      </c>
      <c r="GD433">
        <v>4.1193735541109513</v>
      </c>
      <c r="GE433">
        <v>0.62702737582634349</v>
      </c>
      <c r="GF433">
        <v>0.19016497712110106</v>
      </c>
      <c r="GG433">
        <v>2.5730828923718949</v>
      </c>
      <c r="GH433">
        <v>3.3119008754205557</v>
      </c>
      <c r="GI433">
        <v>3.9971384894576087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6.554353632478632</v>
      </c>
      <c r="AO434">
        <v>7.1305709835486528</v>
      </c>
      <c r="AP434">
        <v>22.826771568899375</v>
      </c>
      <c r="AQ434">
        <v>24.316789155532341</v>
      </c>
      <c r="AR434">
        <v>6.5617646352828727</v>
      </c>
      <c r="AS434">
        <v>34.292914120762021</v>
      </c>
      <c r="AT434" t="e">
        <v>#DIV/0!</v>
      </c>
      <c r="AU434" t="e">
        <v>#DIV/0!</v>
      </c>
      <c r="AV434"/>
      <c r="AW434"/>
      <c r="FY434" s="210">
        <v>429</v>
      </c>
      <c r="FZ434">
        <v>0.2456818880042031</v>
      </c>
      <c r="GA434">
        <v>2.1108829387071388</v>
      </c>
      <c r="GB434">
        <v>0.88097094884916438</v>
      </c>
      <c r="GC434">
        <v>5.7460974602648927</v>
      </c>
      <c r="GD434">
        <v>5.2373585785229251</v>
      </c>
      <c r="GE434">
        <v>1.9893222980934662</v>
      </c>
      <c r="GF434">
        <v>0.38032995424220212</v>
      </c>
      <c r="GG434">
        <v>1.2981488832102204</v>
      </c>
      <c r="GH434">
        <v>1.3247603501682221</v>
      </c>
      <c r="GI434">
        <v>4.1960374565527907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31.056704252552141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7.1956845238095237</v>
      </c>
      <c r="AO435">
        <v>6.9494758093593436</v>
      </c>
      <c r="AP435">
        <v>28.308567833248119</v>
      </c>
      <c r="AQ435">
        <v>26.533675002654583</v>
      </c>
      <c r="AR435">
        <v>6.3937728224913055</v>
      </c>
      <c r="AS435">
        <v>28.730108361102626</v>
      </c>
      <c r="AT435" t="e">
        <v>#DIV/0!</v>
      </c>
      <c r="AU435" t="e">
        <v>#DIV/0!</v>
      </c>
      <c r="AV435"/>
      <c r="AW435"/>
      <c r="FY435" s="210">
        <v>430</v>
      </c>
      <c r="FZ435">
        <v>0.73704566401260951</v>
      </c>
      <c r="GA435">
        <v>3.6537004613810744</v>
      </c>
      <c r="GB435">
        <v>1.3273361139641193</v>
      </c>
      <c r="GC435">
        <v>3.4307084549735882</v>
      </c>
      <c r="GD435">
        <v>3.0006910925530486</v>
      </c>
      <c r="GE435">
        <v>1.0500470249980682</v>
      </c>
      <c r="GF435">
        <v>0.5704949313633032</v>
      </c>
      <c r="GG435">
        <v>0.98521909943193808</v>
      </c>
      <c r="GH435">
        <v>0.66238017508411107</v>
      </c>
      <c r="GI435">
        <v>2.9973367478558663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4.0456730769230775</v>
      </c>
      <c r="AO436">
        <v>3.5208315733051982</v>
      </c>
      <c r="AP436">
        <v>14.210984895719481</v>
      </c>
      <c r="AQ436">
        <v>13.847137044952476</v>
      </c>
      <c r="AR436">
        <v>3.2660775262571411</v>
      </c>
      <c r="AS436">
        <v>17.132274968828401</v>
      </c>
      <c r="AT436" t="e">
        <v>#DIV/0!</v>
      </c>
      <c r="AU436" t="e">
        <v>#DIV/0!</v>
      </c>
      <c r="AV436"/>
      <c r="AW436"/>
      <c r="FY436" s="210">
        <v>431</v>
      </c>
      <c r="FZ436">
        <v>0.2456818880042031</v>
      </c>
      <c r="GA436">
        <v>0.29002507178084797</v>
      </c>
      <c r="GB436">
        <v>0</v>
      </c>
      <c r="GC436">
        <v>15.659630368826647</v>
      </c>
      <c r="GD436">
        <v>12.380956657020091</v>
      </c>
      <c r="GE436">
        <v>1.6401504835235219</v>
      </c>
      <c r="GF436">
        <v>0.5704949313633032</v>
      </c>
      <c r="GG436">
        <v>0.98521909943193808</v>
      </c>
      <c r="GH436">
        <v>0.66238017508411107</v>
      </c>
      <c r="GI436">
        <v>9.0952811431835325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7.5394345238095228</v>
      </c>
      <c r="AO437">
        <v>7.5818188620058198</v>
      </c>
      <c r="AP437">
        <v>30.472894833267159</v>
      </c>
      <c r="AQ437">
        <v>28.010406825567287</v>
      </c>
      <c r="AR437">
        <v>6.8746314859598074</v>
      </c>
      <c r="AS437">
        <v>36.66460648594169</v>
      </c>
      <c r="AT437" t="e">
        <v>#DIV/0!</v>
      </c>
      <c r="AU437" t="e">
        <v>#DIV/0!</v>
      </c>
      <c r="AV437"/>
      <c r="AW437"/>
      <c r="FY437" s="210">
        <v>432</v>
      </c>
      <c r="FZ437">
        <v>6.6366169570396066E-2</v>
      </c>
      <c r="GA437">
        <v>1.0516092415750415</v>
      </c>
      <c r="GB437">
        <v>1.0445179814772214</v>
      </c>
      <c r="GC437">
        <v>2.8705935619048764</v>
      </c>
      <c r="GD437">
        <v>2.6999251478900663</v>
      </c>
      <c r="GE437">
        <v>1.5381466201962124</v>
      </c>
      <c r="GF437">
        <v>0.38032995424220212</v>
      </c>
      <c r="GG437">
        <v>1.7791509959019165</v>
      </c>
      <c r="GH437">
        <v>1.9871405252523333</v>
      </c>
      <c r="GI437">
        <v>2.5027661987583936</v>
      </c>
      <c r="GJ437"/>
      <c r="GK437"/>
      <c r="GL437"/>
      <c r="GM437"/>
    </row>
    <row r="438" spans="1:195" s="7" customFormat="1">
      <c r="A438" s="1">
        <f>SUM(E4:E15)</f>
        <v>98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11.043479090354088</v>
      </c>
      <c r="AO438">
        <v>11.906218132664602</v>
      </c>
      <c r="AP438">
        <v>44.163569500809359</v>
      </c>
      <c r="AQ438">
        <v>41.369724489692402</v>
      </c>
      <c r="AR438">
        <v>10.99186403149433</v>
      </c>
      <c r="AS438">
        <v>57.717230563926293</v>
      </c>
      <c r="AT438" t="e">
        <v>#DIV/0!</v>
      </c>
      <c r="AU438" t="e">
        <v>#DIV/0!</v>
      </c>
      <c r="AV438"/>
      <c r="AW438"/>
      <c r="FY438" s="210">
        <v>433</v>
      </c>
      <c r="FZ438">
        <v>0.34523114235979718</v>
      </c>
      <c r="GA438">
        <v>0.40775199778087756</v>
      </c>
      <c r="GB438">
        <v>0.57206434372473558</v>
      </c>
      <c r="GC438">
        <v>9.0476460650388333</v>
      </c>
      <c r="GD438">
        <v>7.7060744038179454</v>
      </c>
      <c r="GE438">
        <v>3.5624797174740346</v>
      </c>
      <c r="GF438">
        <v>2.1424426065148507</v>
      </c>
      <c r="GG438">
        <v>2.7411552212853092</v>
      </c>
      <c r="GH438">
        <v>3.3119008754205557</v>
      </c>
      <c r="GI438">
        <v>6.6192758042737072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6.0498511904761898</v>
      </c>
      <c r="AO439">
        <v>6.5050818543369946</v>
      </c>
      <c r="AP439">
        <v>27.502539779255212</v>
      </c>
      <c r="AQ439">
        <v>24.57453057545553</v>
      </c>
      <c r="AR439">
        <v>5.9815335321180685</v>
      </c>
      <c r="AS439">
        <v>32.211601800952081</v>
      </c>
      <c r="AT439" t="e">
        <v>#DIV/0!</v>
      </c>
      <c r="AU439" t="e">
        <v>#DIV/0!</v>
      </c>
      <c r="AV439"/>
      <c r="AW439"/>
      <c r="FY439" s="210">
        <v>434</v>
      </c>
      <c r="FZ439">
        <v>0</v>
      </c>
      <c r="GA439">
        <v>3.0344080091527026</v>
      </c>
      <c r="GB439">
        <v>2.5993374547252053</v>
      </c>
      <c r="GC439">
        <v>9.1529621451819505</v>
      </c>
      <c r="GD439">
        <v>6.7709087329629121</v>
      </c>
      <c r="GE439">
        <v>1.3810661125034183</v>
      </c>
      <c r="GF439">
        <v>1.0712213032574254</v>
      </c>
      <c r="GG439">
        <v>0.16807232891341395</v>
      </c>
      <c r="GH439">
        <v>0</v>
      </c>
      <c r="GI439">
        <v>5.7941620228775168</v>
      </c>
      <c r="GJ439"/>
      <c r="GK439"/>
      <c r="GL439"/>
      <c r="GM439"/>
    </row>
    <row r="440" spans="1:195" s="7" customFormat="1">
      <c r="A440" s="1">
        <v>8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11.882688492063492</v>
      </c>
      <c r="AO440">
        <v>11.004608361699287</v>
      </c>
      <c r="AP440">
        <v>43.138378970878506</v>
      </c>
      <c r="AQ440">
        <v>40.081669967616961</v>
      </c>
      <c r="AR440">
        <v>10.049760891983434</v>
      </c>
      <c r="AS440">
        <v>47.654603877357083</v>
      </c>
      <c r="AT440" t="e">
        <v>#DIV/0!</v>
      </c>
      <c r="AU440" t="e">
        <v>#DIV/0!</v>
      </c>
      <c r="AV440"/>
      <c r="AW440"/>
      <c r="FY440" s="210">
        <v>435</v>
      </c>
      <c r="FZ440">
        <v>0.55772994557880229</v>
      </c>
      <c r="GA440">
        <v>0.65853476089504903</v>
      </c>
      <c r="GB440">
        <v>0.57206434372473558</v>
      </c>
      <c r="GC440">
        <v>5.1513236197150203</v>
      </c>
      <c r="GD440">
        <v>4.8403496405069619</v>
      </c>
      <c r="GE440">
        <v>3.0581405133278299</v>
      </c>
      <c r="GF440">
        <v>1.2613862803785265</v>
      </c>
      <c r="GG440">
        <v>1.7791509959019165</v>
      </c>
      <c r="GH440">
        <v>1.9871405252523333</v>
      </c>
      <c r="GI440">
        <v>4.2607060648010782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386">SUM(G441:AK441)</f>
        <v>0.31204805757459919</v>
      </c>
      <c r="D441" s="191">
        <f>$A$405</f>
        <v>13.69</v>
      </c>
      <c r="E441" s="8"/>
      <c r="F441" s="124"/>
      <c r="G441" s="107" t="str">
        <f t="shared" ref="G441:G450" si="387">IF(G423&lt;=0, "0.000", G423)</f>
        <v>0.000</v>
      </c>
      <c r="H441" s="107" t="str">
        <f t="shared" ref="H441:AK441" si="388">IF(H423&lt;=0, "0.000", H423)</f>
        <v>0.000</v>
      </c>
      <c r="I441" s="107">
        <f t="shared" si="388"/>
        <v>9.9549254355594113E-2</v>
      </c>
      <c r="J441" s="107">
        <f t="shared" si="388"/>
        <v>0.21249880321900505</v>
      </c>
      <c r="K441" s="107" t="str">
        <f t="shared" si="388"/>
        <v>0.000</v>
      </c>
      <c r="L441" s="107" t="str">
        <f t="shared" si="388"/>
        <v>0.000</v>
      </c>
      <c r="M441" s="107" t="str">
        <f t="shared" si="388"/>
        <v>0.000</v>
      </c>
      <c r="N441" s="107" t="str">
        <f t="shared" si="388"/>
        <v>0.000</v>
      </c>
      <c r="O441" s="107" t="str">
        <f t="shared" si="388"/>
        <v>0.000</v>
      </c>
      <c r="P441" s="107" t="str">
        <f t="shared" si="388"/>
        <v>0.000</v>
      </c>
      <c r="Q441" s="107" t="str">
        <f t="shared" si="388"/>
        <v>0.000</v>
      </c>
      <c r="R441" s="107" t="str">
        <f t="shared" si="388"/>
        <v>0.000</v>
      </c>
      <c r="S441" s="107" t="str">
        <f t="shared" si="388"/>
        <v>0.000</v>
      </c>
      <c r="T441" s="107" t="str">
        <f t="shared" si="388"/>
        <v>0.000</v>
      </c>
      <c r="U441" s="107" t="str">
        <f t="shared" si="388"/>
        <v>0.000</v>
      </c>
      <c r="V441" s="107" t="str">
        <f t="shared" si="388"/>
        <v>0.000</v>
      </c>
      <c r="W441" s="107" t="str">
        <f t="shared" si="388"/>
        <v>0.000</v>
      </c>
      <c r="X441" s="107" t="str">
        <f t="shared" si="388"/>
        <v>0.000</v>
      </c>
      <c r="Y441" s="107" t="str">
        <f t="shared" si="388"/>
        <v>0.000</v>
      </c>
      <c r="Z441" s="107" t="str">
        <f t="shared" si="388"/>
        <v>0.000</v>
      </c>
      <c r="AA441" s="107" t="str">
        <f t="shared" si="388"/>
        <v>0.000</v>
      </c>
      <c r="AB441" s="107" t="str">
        <f t="shared" si="388"/>
        <v>0.000</v>
      </c>
      <c r="AC441" s="107" t="str">
        <f t="shared" si="388"/>
        <v>0.000</v>
      </c>
      <c r="AD441" s="107" t="str">
        <f t="shared" si="388"/>
        <v>0.000</v>
      </c>
      <c r="AE441" s="107" t="str">
        <f t="shared" si="388"/>
        <v>0.000</v>
      </c>
      <c r="AF441" s="107" t="str">
        <f t="shared" si="388"/>
        <v>0.000</v>
      </c>
      <c r="AG441" s="107" t="str">
        <f t="shared" si="388"/>
        <v>0.000</v>
      </c>
      <c r="AH441" s="107" t="str">
        <f t="shared" si="388"/>
        <v>0.000</v>
      </c>
      <c r="AI441" s="107" t="str">
        <f t="shared" si="388"/>
        <v>0.000</v>
      </c>
      <c r="AJ441" s="107" t="str">
        <f t="shared" si="388"/>
        <v>0.000</v>
      </c>
      <c r="AK441" s="107" t="str">
        <f t="shared" si="388"/>
        <v>0.000</v>
      </c>
      <c r="AL441" s="4"/>
      <c r="AM441" s="43">
        <v>425</v>
      </c>
      <c r="AN441">
        <v>6.3102678571428568</v>
      </c>
      <c r="AO441">
        <v>4.4981007360231136</v>
      </c>
      <c r="AP441">
        <v>30.00243920648159</v>
      </c>
      <c r="AQ441">
        <v>23.202586907264219</v>
      </c>
      <c r="AR441">
        <v>4.0140395323580407</v>
      </c>
      <c r="AS441">
        <v>19.038535093882452</v>
      </c>
      <c r="AT441" t="e">
        <v>#DIV/0!</v>
      </c>
      <c r="AU441" t="e">
        <v>#DIV/0!</v>
      </c>
      <c r="AV441"/>
      <c r="AW441"/>
      <c r="FY441" s="210">
        <v>436</v>
      </c>
      <c r="FZ441">
        <v>0.2456818880042031</v>
      </c>
      <c r="GA441">
        <v>1.9854915571500533</v>
      </c>
      <c r="GB441">
        <v>1.3890989659180928</v>
      </c>
      <c r="GC441">
        <v>4.5859477893916702</v>
      </c>
      <c r="GD441">
        <v>3.837613847667221</v>
      </c>
      <c r="GE441">
        <v>1.8691657077015624</v>
      </c>
      <c r="GF441">
        <v>0.88105632613632445</v>
      </c>
      <c r="GG441">
        <v>1.4430063380750886</v>
      </c>
      <c r="GH441">
        <v>1.9871405252523333</v>
      </c>
      <c r="GI441">
        <v>3.6503922232912784</v>
      </c>
      <c r="GJ441"/>
      <c r="GK441"/>
      <c r="GL441"/>
      <c r="GM441"/>
    </row>
    <row r="442" spans="1:195" s="7" customFormat="1">
      <c r="A442" s="1">
        <v>385</v>
      </c>
      <c r="B442" s="48" t="s">
        <v>39</v>
      </c>
      <c r="C442" s="107">
        <f t="shared" si="386"/>
        <v>1.2162429317988037</v>
      </c>
      <c r="D442" s="191">
        <f>$A$406</f>
        <v>9.4499999999999993</v>
      </c>
      <c r="E442" s="8"/>
      <c r="F442" s="124"/>
      <c r="G442" s="173" t="str">
        <f t="shared" si="387"/>
        <v>0.000</v>
      </c>
      <c r="H442" s="173" t="str">
        <f t="shared" ref="H442:V442" si="389">IF(H424&lt;=0, "0.000", H424)</f>
        <v>0.000</v>
      </c>
      <c r="I442" s="173">
        <f t="shared" si="389"/>
        <v>0.11772692600002957</v>
      </c>
      <c r="J442" s="173">
        <f t="shared" si="389"/>
        <v>0.25078276311417147</v>
      </c>
      <c r="K442" s="173" t="str">
        <f t="shared" si="389"/>
        <v>0.000</v>
      </c>
      <c r="L442" s="173" t="str">
        <f t="shared" si="389"/>
        <v>0.000</v>
      </c>
      <c r="M442" s="173">
        <f t="shared" si="389"/>
        <v>0.84773324268460271</v>
      </c>
      <c r="N442" s="173" t="str">
        <f t="shared" si="389"/>
        <v>0.000</v>
      </c>
      <c r="O442" s="173" t="str">
        <f t="shared" si="389"/>
        <v>0.000</v>
      </c>
      <c r="P442" s="173" t="str">
        <f t="shared" si="389"/>
        <v>0.000</v>
      </c>
      <c r="Q442" s="173" t="str">
        <f t="shared" si="389"/>
        <v>0.000</v>
      </c>
      <c r="R442" s="173" t="str">
        <f t="shared" si="389"/>
        <v>0.000</v>
      </c>
      <c r="S442" s="173" t="str">
        <f t="shared" si="389"/>
        <v>0.000</v>
      </c>
      <c r="T442" s="173" t="str">
        <f t="shared" si="389"/>
        <v>0.000</v>
      </c>
      <c r="U442" s="173" t="str">
        <f t="shared" si="389"/>
        <v>0.000</v>
      </c>
      <c r="V442" s="173" t="str">
        <f t="shared" si="389"/>
        <v>0.000</v>
      </c>
      <c r="W442" s="173" t="str">
        <f t="shared" ref="W442:AK442" si="390">IF(W424&lt;=0, "0.000", W424)</f>
        <v>0.000</v>
      </c>
      <c r="X442" s="173" t="str">
        <f t="shared" si="390"/>
        <v>0.000</v>
      </c>
      <c r="Y442" s="173" t="str">
        <f t="shared" si="390"/>
        <v>0.000</v>
      </c>
      <c r="Z442" s="173" t="str">
        <f t="shared" si="390"/>
        <v>0.000</v>
      </c>
      <c r="AA442" s="173" t="str">
        <f t="shared" si="390"/>
        <v>0.000</v>
      </c>
      <c r="AB442" s="173" t="str">
        <f t="shared" si="390"/>
        <v>0.000</v>
      </c>
      <c r="AC442" s="173" t="str">
        <f t="shared" si="390"/>
        <v>0.000</v>
      </c>
      <c r="AD442" s="173" t="str">
        <f t="shared" si="390"/>
        <v>0.000</v>
      </c>
      <c r="AE442" s="173" t="str">
        <f t="shared" si="390"/>
        <v>0.000</v>
      </c>
      <c r="AF442" s="173" t="str">
        <f t="shared" si="390"/>
        <v>0.000</v>
      </c>
      <c r="AG442" s="173" t="str">
        <f t="shared" si="390"/>
        <v>0.000</v>
      </c>
      <c r="AH442" s="173" t="str">
        <f t="shared" si="390"/>
        <v>0.000</v>
      </c>
      <c r="AI442" s="173" t="str">
        <f t="shared" si="390"/>
        <v>0.000</v>
      </c>
      <c r="AJ442" s="173" t="str">
        <f t="shared" si="390"/>
        <v>0.000</v>
      </c>
      <c r="AK442" s="173" t="str">
        <f t="shared" si="390"/>
        <v>0.000</v>
      </c>
      <c r="AL442" s="4"/>
      <c r="AM442" s="43">
        <v>426</v>
      </c>
      <c r="AN442">
        <v>5.8680937118437111</v>
      </c>
      <c r="AO442">
        <v>5.6230125042039703</v>
      </c>
      <c r="AP442">
        <v>26.025479236244337</v>
      </c>
      <c r="AQ442">
        <v>22.596999595142471</v>
      </c>
      <c r="AR442">
        <v>5.1104221621303703</v>
      </c>
      <c r="AS442">
        <v>20.467789221994014</v>
      </c>
      <c r="AT442" t="e">
        <v>#DIV/0!</v>
      </c>
      <c r="AU442" t="e">
        <v>#DIV/0!</v>
      </c>
      <c r="AV442"/>
      <c r="AW442"/>
      <c r="FY442" s="210">
        <v>437</v>
      </c>
      <c r="FZ442">
        <v>0.34523114235979718</v>
      </c>
      <c r="GA442">
        <v>3.3167686253764943</v>
      </c>
      <c r="GB442">
        <v>2.5354011280693975</v>
      </c>
      <c r="GC442">
        <v>3.1385556369911471</v>
      </c>
      <c r="GD442">
        <v>2.8541101945033023</v>
      </c>
      <c r="GE442">
        <v>1.8516603081093841</v>
      </c>
      <c r="GF442">
        <v>0.19016497712110106</v>
      </c>
      <c r="GG442">
        <v>0.64907444160511019</v>
      </c>
      <c r="GH442">
        <v>0.66238017508411107</v>
      </c>
      <c r="GI442">
        <v>2.8038721710132175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386"/>
        <v>1.5526459985461498</v>
      </c>
      <c r="D443" s="191">
        <f>A$407</f>
        <v>4.03</v>
      </c>
      <c r="E443" s="8"/>
      <c r="F443" s="124"/>
      <c r="G443" s="173" t="str">
        <f t="shared" si="387"/>
        <v>0.000</v>
      </c>
      <c r="H443" s="173" t="str">
        <f t="shared" ref="H443:V443" si="391">IF(H425&lt;=0, "0.000", H425)</f>
        <v>0.000</v>
      </c>
      <c r="I443" s="173" t="str">
        <f t="shared" si="391"/>
        <v>0.000</v>
      </c>
      <c r="J443" s="173" t="str">
        <f t="shared" si="391"/>
        <v>0.000</v>
      </c>
      <c r="K443" s="173" t="str">
        <f t="shared" si="391"/>
        <v>0.000</v>
      </c>
      <c r="L443" s="173" t="str">
        <f t="shared" si="391"/>
        <v>0.000</v>
      </c>
      <c r="M443" s="173">
        <f t="shared" si="391"/>
        <v>0.40851731109667855</v>
      </c>
      <c r="N443" s="173">
        <f t="shared" si="391"/>
        <v>1.1441286874494712</v>
      </c>
      <c r="O443" s="173" t="str">
        <f t="shared" si="391"/>
        <v>0.000</v>
      </c>
      <c r="P443" s="173" t="str">
        <f t="shared" si="391"/>
        <v>0.000</v>
      </c>
      <c r="Q443" s="173" t="str">
        <f t="shared" si="391"/>
        <v>0.000</v>
      </c>
      <c r="R443" s="173" t="str">
        <f t="shared" si="391"/>
        <v>0.000</v>
      </c>
      <c r="S443" s="173" t="str">
        <f t="shared" si="391"/>
        <v>0.000</v>
      </c>
      <c r="T443" s="173" t="str">
        <f t="shared" si="391"/>
        <v>0.000</v>
      </c>
      <c r="U443" s="173" t="str">
        <f t="shared" si="391"/>
        <v>0.000</v>
      </c>
      <c r="V443" s="173" t="str">
        <f t="shared" si="391"/>
        <v>0.000</v>
      </c>
      <c r="W443" s="173" t="str">
        <f t="shared" ref="W443:AK443" si="392">IF(W425&lt;=0, "0.000", W425)</f>
        <v>0.000</v>
      </c>
      <c r="X443" s="173" t="str">
        <f t="shared" si="392"/>
        <v>0.000</v>
      </c>
      <c r="Y443" s="173" t="str">
        <f t="shared" si="392"/>
        <v>0.000</v>
      </c>
      <c r="Z443" s="173" t="str">
        <f t="shared" si="392"/>
        <v>0.000</v>
      </c>
      <c r="AA443" s="173" t="str">
        <f t="shared" si="392"/>
        <v>0.000</v>
      </c>
      <c r="AB443" s="173" t="str">
        <f t="shared" si="392"/>
        <v>0.000</v>
      </c>
      <c r="AC443" s="173" t="str">
        <f t="shared" si="392"/>
        <v>0.000</v>
      </c>
      <c r="AD443" s="173" t="str">
        <f t="shared" si="392"/>
        <v>0.000</v>
      </c>
      <c r="AE443" s="173" t="str">
        <f t="shared" si="392"/>
        <v>0.000</v>
      </c>
      <c r="AF443" s="173" t="str">
        <f t="shared" si="392"/>
        <v>0.000</v>
      </c>
      <c r="AG443" s="173" t="str">
        <f t="shared" si="392"/>
        <v>0.000</v>
      </c>
      <c r="AH443" s="173" t="str">
        <f t="shared" si="392"/>
        <v>0.000</v>
      </c>
      <c r="AI443" s="173" t="str">
        <f t="shared" si="392"/>
        <v>0.000</v>
      </c>
      <c r="AJ443" s="173" t="str">
        <f t="shared" si="392"/>
        <v>0.000</v>
      </c>
      <c r="AK443" s="173" t="str">
        <f t="shared" si="392"/>
        <v>0.000</v>
      </c>
      <c r="AL443" s="4"/>
      <c r="AM443" s="43">
        <v>427</v>
      </c>
      <c r="AN443">
        <v>12.409264346764347</v>
      </c>
      <c r="AO443">
        <v>14.351787262747042</v>
      </c>
      <c r="AP443">
        <v>50.151789307437902</v>
      </c>
      <c r="AQ443">
        <v>48.187824871878959</v>
      </c>
      <c r="AR443">
        <v>13.313346254867387</v>
      </c>
      <c r="AS443">
        <v>72.639002423100521</v>
      </c>
      <c r="AT443" t="e">
        <v>#DIV/0!</v>
      </c>
      <c r="AU443" t="e">
        <v>#DIV/0!</v>
      </c>
      <c r="AV443"/>
      <c r="AW443"/>
      <c r="FY443" s="210">
        <v>438</v>
      </c>
      <c r="FZ443">
        <v>0.2456818880042031</v>
      </c>
      <c r="GA443">
        <v>3.1990416993764645</v>
      </c>
      <c r="GB443">
        <v>1.3912724406199268</v>
      </c>
      <c r="GC443">
        <v>5.7491947182273844</v>
      </c>
      <c r="GD443">
        <v>4.9051593091118839</v>
      </c>
      <c r="GE443">
        <v>1.8691657077015624</v>
      </c>
      <c r="GF443">
        <v>1.2613862803785265</v>
      </c>
      <c r="GG443">
        <v>0.3361446578268279</v>
      </c>
      <c r="GH443">
        <v>0</v>
      </c>
      <c r="GI443">
        <v>4.1257525019679129</v>
      </c>
      <c r="GJ443"/>
      <c r="GK443"/>
      <c r="GL443"/>
      <c r="GM443"/>
    </row>
    <row r="444" spans="1:195" s="7" customFormat="1">
      <c r="A444" s="1">
        <v>345</v>
      </c>
      <c r="B444" s="48" t="s">
        <v>41</v>
      </c>
      <c r="C444" s="107">
        <f t="shared" si="386"/>
        <v>10.002483199070108</v>
      </c>
      <c r="D444" s="191">
        <f>A$408</f>
        <v>0.78</v>
      </c>
      <c r="E444" s="8"/>
      <c r="F444" s="124"/>
      <c r="G444" s="173" t="str">
        <f t="shared" si="387"/>
        <v>0.000</v>
      </c>
      <c r="H444" s="173" t="str">
        <f t="shared" ref="H444:V444" si="393">IF(H426&lt;=0, "0.000", H426)</f>
        <v>0.000</v>
      </c>
      <c r="I444" s="173" t="str">
        <f t="shared" si="393"/>
        <v>0.000</v>
      </c>
      <c r="J444" s="173" t="str">
        <f t="shared" si="393"/>
        <v>0.000</v>
      </c>
      <c r="K444" s="173">
        <f t="shared" si="393"/>
        <v>0.31149052230761398</v>
      </c>
      <c r="L444" s="173">
        <f t="shared" si="393"/>
        <v>1.5785663536226073</v>
      </c>
      <c r="M444" s="173">
        <f t="shared" si="393"/>
        <v>4.5232376591529224</v>
      </c>
      <c r="N444" s="173">
        <f t="shared" si="393"/>
        <v>2.7283411281511256</v>
      </c>
      <c r="O444" s="173">
        <f t="shared" si="393"/>
        <v>0.86084753583584006</v>
      </c>
      <c r="P444" s="173" t="str">
        <f t="shared" si="393"/>
        <v>0.000</v>
      </c>
      <c r="Q444" s="173" t="str">
        <f t="shared" si="393"/>
        <v>0.000</v>
      </c>
      <c r="R444" s="173" t="str">
        <f t="shared" si="393"/>
        <v>0.000</v>
      </c>
      <c r="S444" s="173" t="str">
        <f t="shared" si="393"/>
        <v>0.000</v>
      </c>
      <c r="T444" s="173" t="str">
        <f t="shared" si="393"/>
        <v>0.000</v>
      </c>
      <c r="U444" s="173" t="str">
        <f t="shared" si="393"/>
        <v>0.000</v>
      </c>
      <c r="V444" s="173" t="str">
        <f t="shared" si="393"/>
        <v>0.000</v>
      </c>
      <c r="W444" s="173" t="str">
        <f t="shared" ref="W444:AK444" si="394">IF(W426&lt;=0, "0.000", W426)</f>
        <v>0.000</v>
      </c>
      <c r="X444" s="173" t="str">
        <f t="shared" si="394"/>
        <v>0.000</v>
      </c>
      <c r="Y444" s="173" t="str">
        <f t="shared" si="394"/>
        <v>0.000</v>
      </c>
      <c r="Z444" s="173" t="str">
        <f t="shared" si="394"/>
        <v>0.000</v>
      </c>
      <c r="AA444" s="173" t="str">
        <f t="shared" si="394"/>
        <v>0.000</v>
      </c>
      <c r="AB444" s="173" t="str">
        <f t="shared" si="394"/>
        <v>0.000</v>
      </c>
      <c r="AC444" s="173" t="str">
        <f t="shared" si="394"/>
        <v>0.000</v>
      </c>
      <c r="AD444" s="173" t="str">
        <f t="shared" si="394"/>
        <v>0.000</v>
      </c>
      <c r="AE444" s="173" t="str">
        <f t="shared" si="394"/>
        <v>0.000</v>
      </c>
      <c r="AF444" s="173" t="str">
        <f t="shared" si="394"/>
        <v>0.000</v>
      </c>
      <c r="AG444" s="173" t="str">
        <f t="shared" si="394"/>
        <v>0.000</v>
      </c>
      <c r="AH444" s="173" t="str">
        <f t="shared" si="394"/>
        <v>0.000</v>
      </c>
      <c r="AI444" s="173" t="str">
        <f t="shared" si="394"/>
        <v>0.000</v>
      </c>
      <c r="AJ444" s="173" t="str">
        <f t="shared" si="394"/>
        <v>0.000</v>
      </c>
      <c r="AK444" s="173" t="str">
        <f t="shared" si="394"/>
        <v>0.000</v>
      </c>
      <c r="AL444" s="4"/>
      <c r="AM444" s="43">
        <v>428</v>
      </c>
      <c r="AN444">
        <v>6.2217261904761907</v>
      </c>
      <c r="AO444">
        <v>6.5725104013770306</v>
      </c>
      <c r="AP444">
        <v>26.966117907546227</v>
      </c>
      <c r="AQ444">
        <v>24.586772006844683</v>
      </c>
      <c r="AR444">
        <v>6.0969484242829601</v>
      </c>
      <c r="AS444">
        <v>31.971610646624271</v>
      </c>
      <c r="AT444" t="e">
        <v>#DIV/0!</v>
      </c>
      <c r="AU444" t="e">
        <v>#DIV/0!</v>
      </c>
      <c r="AV444"/>
      <c r="AW444"/>
      <c r="FY444" s="210">
        <v>439</v>
      </c>
      <c r="FZ444">
        <v>0.49136377600840619</v>
      </c>
      <c r="GA444">
        <v>4.2114086322848294</v>
      </c>
      <c r="GB444">
        <v>2.3079177687855337</v>
      </c>
      <c r="GC444">
        <v>8.435698199455933</v>
      </c>
      <c r="GD444">
        <v>6.5152029531466003</v>
      </c>
      <c r="GE444">
        <v>1.5556520197883907</v>
      </c>
      <c r="GF444">
        <v>1.6417162346207288</v>
      </c>
      <c r="GG444">
        <v>2.1152956537287446</v>
      </c>
      <c r="GH444">
        <v>1.9871405252523333</v>
      </c>
      <c r="GI444">
        <v>6.0496465251206946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386"/>
        <v>7.9665572932065043</v>
      </c>
      <c r="D445" s="191">
        <f>A$409</f>
        <v>0.14000000000000001</v>
      </c>
      <c r="E445" s="8"/>
      <c r="F445" s="124"/>
      <c r="G445" s="173" t="str">
        <f t="shared" si="387"/>
        <v>0.000</v>
      </c>
      <c r="H445" s="173" t="str">
        <f t="shared" ref="H445:V445" si="395">IF(H427&lt;=0, "0.000", H427)</f>
        <v>0.000</v>
      </c>
      <c r="I445" s="173" t="str">
        <f t="shared" si="395"/>
        <v>0.000</v>
      </c>
      <c r="J445" s="173" t="str">
        <f t="shared" si="395"/>
        <v>0.000</v>
      </c>
      <c r="K445" s="173">
        <f t="shared" si="395"/>
        <v>0.23782921774400859</v>
      </c>
      <c r="L445" s="173">
        <f t="shared" si="395"/>
        <v>1.7472269382065102</v>
      </c>
      <c r="M445" s="173">
        <f t="shared" si="395"/>
        <v>3.8265925204921261</v>
      </c>
      <c r="N445" s="173">
        <f t="shared" si="395"/>
        <v>1.5789453227027257</v>
      </c>
      <c r="O445" s="173">
        <f t="shared" si="395"/>
        <v>0.57596329406113389</v>
      </c>
      <c r="P445" s="173" t="str">
        <f t="shared" si="395"/>
        <v>0.000</v>
      </c>
      <c r="Q445" s="173" t="str">
        <f t="shared" si="395"/>
        <v>0.000</v>
      </c>
      <c r="R445" s="173" t="str">
        <f t="shared" si="395"/>
        <v>0.000</v>
      </c>
      <c r="S445" s="173" t="str">
        <f t="shared" si="395"/>
        <v>0.000</v>
      </c>
      <c r="T445" s="173" t="str">
        <f t="shared" si="395"/>
        <v>0.000</v>
      </c>
      <c r="U445" s="173" t="str">
        <f t="shared" si="395"/>
        <v>0.000</v>
      </c>
      <c r="V445" s="173" t="str">
        <f t="shared" si="395"/>
        <v>0.000</v>
      </c>
      <c r="W445" s="173" t="str">
        <f t="shared" ref="W445:AK445" si="396">IF(W427&lt;=0, "0.000", W427)</f>
        <v>0.000</v>
      </c>
      <c r="X445" s="173" t="str">
        <f t="shared" si="396"/>
        <v>0.000</v>
      </c>
      <c r="Y445" s="173" t="str">
        <f t="shared" si="396"/>
        <v>0.000</v>
      </c>
      <c r="Z445" s="173" t="str">
        <f t="shared" si="396"/>
        <v>0.000</v>
      </c>
      <c r="AA445" s="173" t="str">
        <f t="shared" si="396"/>
        <v>0.000</v>
      </c>
      <c r="AB445" s="173" t="str">
        <f t="shared" si="396"/>
        <v>0.000</v>
      </c>
      <c r="AC445" s="173" t="str">
        <f t="shared" si="396"/>
        <v>0.000</v>
      </c>
      <c r="AD445" s="173" t="str">
        <f t="shared" si="396"/>
        <v>0.000</v>
      </c>
      <c r="AE445" s="173" t="str">
        <f t="shared" si="396"/>
        <v>0.000</v>
      </c>
      <c r="AF445" s="173" t="str">
        <f t="shared" si="396"/>
        <v>0.000</v>
      </c>
      <c r="AG445" s="173" t="str">
        <f t="shared" si="396"/>
        <v>0.000</v>
      </c>
      <c r="AH445" s="173" t="str">
        <f t="shared" si="396"/>
        <v>0.000</v>
      </c>
      <c r="AI445" s="173" t="str">
        <f t="shared" si="396"/>
        <v>0.000</v>
      </c>
      <c r="AJ445" s="173" t="str">
        <f t="shared" si="396"/>
        <v>0.000</v>
      </c>
      <c r="AK445" s="173" t="str">
        <f t="shared" si="396"/>
        <v>0.000</v>
      </c>
      <c r="AL445" s="4"/>
      <c r="AM445" s="43">
        <v>429</v>
      </c>
      <c r="AN445">
        <v>6.1474358974358969</v>
      </c>
      <c r="AO445">
        <v>6.8127059021097569</v>
      </c>
      <c r="AP445">
        <v>21.786279463891361</v>
      </c>
      <c r="AQ445">
        <v>23.409590756615227</v>
      </c>
      <c r="AR445">
        <v>6.3197642876713873</v>
      </c>
      <c r="AS445">
        <v>33.713326258788477</v>
      </c>
      <c r="AT445" t="e">
        <v>#DIV/0!</v>
      </c>
      <c r="AU445" t="e">
        <v>#DIV/0!</v>
      </c>
      <c r="AV445"/>
      <c r="AW445"/>
      <c r="FY445" s="210">
        <v>440</v>
      </c>
      <c r="FZ445">
        <v>0.52454686079360424</v>
      </c>
      <c r="GA445">
        <v>4.2506509409515063</v>
      </c>
      <c r="GB445">
        <v>1.7358534250607978</v>
      </c>
      <c r="GC445">
        <v>11.485174574706784</v>
      </c>
      <c r="GD445">
        <v>9.3853362834683463</v>
      </c>
      <c r="GE445">
        <v>1.9167402541358034</v>
      </c>
      <c r="GF445">
        <v>0.38032995424220212</v>
      </c>
      <c r="GG445">
        <v>3.7031594466687006</v>
      </c>
      <c r="GH445">
        <v>4.6366612255887771</v>
      </c>
      <c r="GI445">
        <v>8.2160230287536642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386"/>
        <v>2.0631701326952463</v>
      </c>
      <c r="D446" s="191">
        <f>A$410</f>
        <v>0.21</v>
      </c>
      <c r="E446" s="8"/>
      <c r="F446" s="124"/>
      <c r="G446" s="173" t="str">
        <f t="shared" si="387"/>
        <v>0.000</v>
      </c>
      <c r="H446" s="173" t="str">
        <f t="shared" ref="H446:V446" si="397">IF(H428&lt;=0, "0.000", H428)</f>
        <v>0.000</v>
      </c>
      <c r="I446" s="173" t="str">
        <f t="shared" si="397"/>
        <v>0.000</v>
      </c>
      <c r="J446" s="173" t="str">
        <f t="shared" si="397"/>
        <v>0.000</v>
      </c>
      <c r="K446" s="173" t="str">
        <f t="shared" si="397"/>
        <v>0.000</v>
      </c>
      <c r="L446" s="173">
        <f t="shared" si="397"/>
        <v>1.1226290689557312</v>
      </c>
      <c r="M446" s="173">
        <f t="shared" si="397"/>
        <v>0.94054106373951529</v>
      </c>
      <c r="N446" s="173" t="str">
        <f t="shared" si="397"/>
        <v>0.000</v>
      </c>
      <c r="O446" s="173" t="str">
        <f t="shared" si="397"/>
        <v>0.000</v>
      </c>
      <c r="P446" s="173" t="str">
        <f t="shared" si="397"/>
        <v>0.000</v>
      </c>
      <c r="Q446" s="173" t="str">
        <f t="shared" si="397"/>
        <v>0.000</v>
      </c>
      <c r="R446" s="173" t="str">
        <f t="shared" si="397"/>
        <v>0.000</v>
      </c>
      <c r="S446" s="173" t="str">
        <f t="shared" si="397"/>
        <v>0.000</v>
      </c>
      <c r="T446" s="173" t="str">
        <f t="shared" si="397"/>
        <v>0.000</v>
      </c>
      <c r="U446" s="173" t="str">
        <f t="shared" si="397"/>
        <v>0.000</v>
      </c>
      <c r="V446" s="173" t="str">
        <f t="shared" si="397"/>
        <v>0.000</v>
      </c>
      <c r="W446" s="173" t="str">
        <f t="shared" ref="W446:AK446" si="398">IF(W428&lt;=0, "0.000", W428)</f>
        <v>0.000</v>
      </c>
      <c r="X446" s="173" t="str">
        <f t="shared" si="398"/>
        <v>0.000</v>
      </c>
      <c r="Y446" s="173" t="str">
        <f t="shared" si="398"/>
        <v>0.000</v>
      </c>
      <c r="Z446" s="173" t="str">
        <f t="shared" si="398"/>
        <v>0.000</v>
      </c>
      <c r="AA446" s="173" t="str">
        <f t="shared" si="398"/>
        <v>0.000</v>
      </c>
      <c r="AB446" s="173" t="str">
        <f t="shared" si="398"/>
        <v>0.000</v>
      </c>
      <c r="AC446" s="173" t="str">
        <f t="shared" si="398"/>
        <v>0.000</v>
      </c>
      <c r="AD446" s="173" t="str">
        <f t="shared" si="398"/>
        <v>0.000</v>
      </c>
      <c r="AE446" s="173" t="str">
        <f t="shared" si="398"/>
        <v>0.000</v>
      </c>
      <c r="AF446" s="173" t="str">
        <f t="shared" si="398"/>
        <v>0.000</v>
      </c>
      <c r="AG446" s="173" t="str">
        <f t="shared" si="398"/>
        <v>0.000</v>
      </c>
      <c r="AH446" s="173" t="str">
        <f t="shared" si="398"/>
        <v>0.000</v>
      </c>
      <c r="AI446" s="173" t="str">
        <f t="shared" si="398"/>
        <v>0.000</v>
      </c>
      <c r="AJ446" s="173" t="str">
        <f t="shared" si="398"/>
        <v>0.000</v>
      </c>
      <c r="AK446" s="173" t="str">
        <f t="shared" si="398"/>
        <v>0.000</v>
      </c>
      <c r="AL446" s="4"/>
      <c r="AM446" s="43">
        <v>430</v>
      </c>
      <c r="AN446">
        <v>5.6036706349206353</v>
      </c>
      <c r="AO446">
        <v>5.012677825350135</v>
      </c>
      <c r="AP446">
        <v>20.368250075107923</v>
      </c>
      <c r="AQ446">
        <v>18.414959765617727</v>
      </c>
      <c r="AR446">
        <v>4.6499794298238726</v>
      </c>
      <c r="AS446">
        <v>18.924779817177171</v>
      </c>
      <c r="AT446" t="e">
        <v>#DIV/0!</v>
      </c>
      <c r="AU446" t="e">
        <v>#DIV/0!</v>
      </c>
      <c r="AV446"/>
      <c r="AW446"/>
      <c r="FY446" s="210">
        <v>441</v>
      </c>
      <c r="FZ446">
        <v>0.2456818880042031</v>
      </c>
      <c r="GA446">
        <v>0.54080783489501949</v>
      </c>
      <c r="GB446">
        <v>0.12787265331161465</v>
      </c>
      <c r="GC446">
        <v>9.9076316955521246</v>
      </c>
      <c r="GD446">
        <v>8.1976984370210229</v>
      </c>
      <c r="GE446">
        <v>1.8147363908084939</v>
      </c>
      <c r="GF446">
        <v>0.38032995424220212</v>
      </c>
      <c r="GG446">
        <v>1.2981488832102204</v>
      </c>
      <c r="GH446">
        <v>1.3247603501682221</v>
      </c>
      <c r="GI446">
        <v>6.2482994024372625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386"/>
        <v>0.19016497712110106</v>
      </c>
      <c r="D447" s="191">
        <f>A$411</f>
        <v>1.28</v>
      </c>
      <c r="E447" s="8"/>
      <c r="F447" s="124"/>
      <c r="G447" s="173" t="str">
        <f t="shared" si="387"/>
        <v>0.000</v>
      </c>
      <c r="H447" s="173" t="str">
        <f t="shared" ref="H447:V447" si="399">IF(H429&lt;=0, "0.000", H429)</f>
        <v>0.000</v>
      </c>
      <c r="I447" s="173" t="str">
        <f t="shared" si="399"/>
        <v>0.000</v>
      </c>
      <c r="J447" s="173" t="str">
        <f t="shared" si="399"/>
        <v>0.000</v>
      </c>
      <c r="K447" s="173">
        <f t="shared" si="399"/>
        <v>0.19016497712110106</v>
      </c>
      <c r="L447" s="173" t="str">
        <f t="shared" si="399"/>
        <v>0.000</v>
      </c>
      <c r="M447" s="173" t="str">
        <f t="shared" si="399"/>
        <v>0.000</v>
      </c>
      <c r="N447" s="173" t="str">
        <f t="shared" si="399"/>
        <v>0.000</v>
      </c>
      <c r="O447" s="173" t="str">
        <f t="shared" si="399"/>
        <v>0.000</v>
      </c>
      <c r="P447" s="173" t="str">
        <f t="shared" si="399"/>
        <v>0.000</v>
      </c>
      <c r="Q447" s="173" t="str">
        <f t="shared" si="399"/>
        <v>0.000</v>
      </c>
      <c r="R447" s="173" t="str">
        <f t="shared" si="399"/>
        <v>0.000</v>
      </c>
      <c r="S447" s="173" t="str">
        <f t="shared" si="399"/>
        <v>0.000</v>
      </c>
      <c r="T447" s="173" t="str">
        <f t="shared" si="399"/>
        <v>0.000</v>
      </c>
      <c r="U447" s="173" t="str">
        <f t="shared" si="399"/>
        <v>0.000</v>
      </c>
      <c r="V447" s="173" t="str">
        <f t="shared" si="399"/>
        <v>0.000</v>
      </c>
      <c r="W447" s="173" t="str">
        <f t="shared" ref="W447:AK447" si="400">IF(W429&lt;=0, "0.000", W429)</f>
        <v>0.000</v>
      </c>
      <c r="X447" s="173" t="str">
        <f t="shared" si="400"/>
        <v>0.000</v>
      </c>
      <c r="Y447" s="173" t="str">
        <f t="shared" si="400"/>
        <v>0.000</v>
      </c>
      <c r="Z447" s="173" t="str">
        <f t="shared" si="400"/>
        <v>0.000</v>
      </c>
      <c r="AA447" s="173" t="str">
        <f t="shared" si="400"/>
        <v>0.000</v>
      </c>
      <c r="AB447" s="173" t="str">
        <f t="shared" si="400"/>
        <v>0.000</v>
      </c>
      <c r="AC447" s="173" t="str">
        <f t="shared" si="400"/>
        <v>0.000</v>
      </c>
      <c r="AD447" s="173" t="str">
        <f t="shared" si="400"/>
        <v>0.000</v>
      </c>
      <c r="AE447" s="173" t="str">
        <f t="shared" si="400"/>
        <v>0.000</v>
      </c>
      <c r="AF447" s="173" t="str">
        <f t="shared" si="400"/>
        <v>0.000</v>
      </c>
      <c r="AG447" s="173" t="str">
        <f t="shared" si="400"/>
        <v>0.000</v>
      </c>
      <c r="AH447" s="173" t="str">
        <f t="shared" si="400"/>
        <v>0.000</v>
      </c>
      <c r="AI447" s="173" t="str">
        <f t="shared" si="400"/>
        <v>0.000</v>
      </c>
      <c r="AJ447" s="173" t="str">
        <f t="shared" si="400"/>
        <v>0.000</v>
      </c>
      <c r="AK447" s="173" t="str">
        <f t="shared" si="400"/>
        <v>0.000</v>
      </c>
      <c r="AL447" s="4"/>
      <c r="AM447" s="43">
        <v>431</v>
      </c>
      <c r="AN447">
        <v>10.451923076923077</v>
      </c>
      <c r="AO447">
        <v>14.934319945166587</v>
      </c>
      <c r="AP447">
        <v>32.677185504982468</v>
      </c>
      <c r="AQ447">
        <v>41.529819818218201</v>
      </c>
      <c r="AR447">
        <v>13.853729077148968</v>
      </c>
      <c r="AS447">
        <v>89.3038233588385</v>
      </c>
      <c r="AT447" t="e">
        <v>#DIV/0!</v>
      </c>
      <c r="AU447" t="e">
        <v>#DIV/0!</v>
      </c>
      <c r="AV447"/>
      <c r="AW447"/>
      <c r="FY447" s="210">
        <v>442</v>
      </c>
      <c r="FZ447">
        <v>0.2456818880042031</v>
      </c>
      <c r="GA447">
        <v>3.3244330809335505</v>
      </c>
      <c r="GB447">
        <v>1.4552087672757343</v>
      </c>
      <c r="GC447">
        <v>3.1652033620948163</v>
      </c>
      <c r="GD447">
        <v>3.5814734814312446</v>
      </c>
      <c r="GE447">
        <v>3.056874722683713</v>
      </c>
      <c r="GF447">
        <v>1.0712213032574254</v>
      </c>
      <c r="GG447">
        <v>1.6110786669885027</v>
      </c>
      <c r="GH447">
        <v>1.9871405252523333</v>
      </c>
      <c r="GI447">
        <v>3.4239534613744231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386"/>
        <v>0.64907444160511019</v>
      </c>
      <c r="D448" s="191">
        <f>A$412</f>
        <v>4</v>
      </c>
      <c r="E448" s="8"/>
      <c r="F448" s="124"/>
      <c r="G448" s="173" t="str">
        <f t="shared" si="387"/>
        <v>0.000</v>
      </c>
      <c r="H448" s="173" t="str">
        <f t="shared" ref="H448:V448" si="401">IF(H430&lt;=0, "0.000", H430)</f>
        <v>0.000</v>
      </c>
      <c r="I448" s="173" t="str">
        <f t="shared" si="401"/>
        <v>0.000</v>
      </c>
      <c r="J448" s="173" t="str">
        <f t="shared" si="401"/>
        <v>0.000</v>
      </c>
      <c r="K448" s="173">
        <f t="shared" si="401"/>
        <v>0.16807232891341395</v>
      </c>
      <c r="L448" s="173" t="str">
        <f t="shared" si="401"/>
        <v>0.000</v>
      </c>
      <c r="M448" s="173">
        <f t="shared" si="401"/>
        <v>0.48100211269169618</v>
      </c>
      <c r="N448" s="173" t="str">
        <f t="shared" si="401"/>
        <v>0.000</v>
      </c>
      <c r="O448" s="173" t="str">
        <f t="shared" si="401"/>
        <v>0.000</v>
      </c>
      <c r="P448" s="173" t="str">
        <f t="shared" si="401"/>
        <v>0.000</v>
      </c>
      <c r="Q448" s="173" t="str">
        <f t="shared" si="401"/>
        <v>0.000</v>
      </c>
      <c r="R448" s="173" t="str">
        <f t="shared" si="401"/>
        <v>0.000</v>
      </c>
      <c r="S448" s="173" t="str">
        <f t="shared" si="401"/>
        <v>0.000</v>
      </c>
      <c r="T448" s="173" t="str">
        <f t="shared" si="401"/>
        <v>0.000</v>
      </c>
      <c r="U448" s="173" t="str">
        <f t="shared" si="401"/>
        <v>0.000</v>
      </c>
      <c r="V448" s="173" t="str">
        <f t="shared" si="401"/>
        <v>0.000</v>
      </c>
      <c r="W448" s="173" t="str">
        <f t="shared" ref="W448:AK448" si="402">IF(W430&lt;=0, "0.000", W430)</f>
        <v>0.000</v>
      </c>
      <c r="X448" s="173" t="str">
        <f t="shared" si="402"/>
        <v>0.000</v>
      </c>
      <c r="Y448" s="173" t="str">
        <f t="shared" si="402"/>
        <v>0.000</v>
      </c>
      <c r="Z448" s="173" t="str">
        <f t="shared" si="402"/>
        <v>0.000</v>
      </c>
      <c r="AA448" s="173" t="str">
        <f t="shared" si="402"/>
        <v>0.000</v>
      </c>
      <c r="AB448" s="173" t="str">
        <f t="shared" si="402"/>
        <v>0.000</v>
      </c>
      <c r="AC448" s="173" t="str">
        <f t="shared" si="402"/>
        <v>0.000</v>
      </c>
      <c r="AD448" s="173" t="str">
        <f t="shared" si="402"/>
        <v>0.000</v>
      </c>
      <c r="AE448" s="173" t="str">
        <f t="shared" si="402"/>
        <v>0.000</v>
      </c>
      <c r="AF448" s="173" t="str">
        <f t="shared" si="402"/>
        <v>0.000</v>
      </c>
      <c r="AG448" s="173" t="str">
        <f t="shared" si="402"/>
        <v>0.000</v>
      </c>
      <c r="AH448" s="173" t="str">
        <f t="shared" si="402"/>
        <v>0.000</v>
      </c>
      <c r="AI448" s="173" t="str">
        <f t="shared" si="402"/>
        <v>0.000</v>
      </c>
      <c r="AJ448" s="173" t="str">
        <f t="shared" si="402"/>
        <v>0.000</v>
      </c>
      <c r="AK448" s="173" t="str">
        <f t="shared" si="402"/>
        <v>0.000</v>
      </c>
      <c r="AL448" s="4"/>
      <c r="AM448" s="43">
        <v>432</v>
      </c>
      <c r="AN448">
        <v>4.2366452991452981</v>
      </c>
      <c r="AO448">
        <v>4.0376672686059889</v>
      </c>
      <c r="AP448">
        <v>16.801953842000444</v>
      </c>
      <c r="AQ448">
        <v>15.92054639676866</v>
      </c>
      <c r="AR448">
        <v>3.7455169467588019</v>
      </c>
      <c r="AS448">
        <v>15.968550052723849</v>
      </c>
      <c r="AT448" t="e">
        <v>#DIV/0!</v>
      </c>
      <c r="AU448" t="e">
        <v>#DIV/0!</v>
      </c>
      <c r="AV448"/>
      <c r="AW448"/>
      <c r="FY448" s="210">
        <v>443</v>
      </c>
      <c r="FZ448">
        <v>6.6366169570396066E-2</v>
      </c>
      <c r="GA448">
        <v>1.0516092415750415</v>
      </c>
      <c r="GB448">
        <v>1.0445179814772214</v>
      </c>
      <c r="GC448">
        <v>5.002185789435206</v>
      </c>
      <c r="GD448">
        <v>3.909509227351605</v>
      </c>
      <c r="GE448">
        <v>0.80161328311131574</v>
      </c>
      <c r="GF448">
        <v>0.5704949313633032</v>
      </c>
      <c r="GG448">
        <v>0.98521909943193808</v>
      </c>
      <c r="GH448">
        <v>0.66238017508411107</v>
      </c>
      <c r="GI448">
        <v>3.2257531940220989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386"/>
        <v>0.66238017508411107</v>
      </c>
      <c r="D449" s="191">
        <f>A$413</f>
        <v>7.33</v>
      </c>
      <c r="E449" s="8"/>
      <c r="F449" s="124"/>
      <c r="G449" s="173" t="str">
        <f t="shared" si="387"/>
        <v>0.000</v>
      </c>
      <c r="H449" s="173" t="str">
        <f t="shared" ref="H449:V449" si="403">IF(H431&lt;=0, "0.000", H431)</f>
        <v>0.000</v>
      </c>
      <c r="I449" s="173" t="str">
        <f t="shared" si="403"/>
        <v>0.000</v>
      </c>
      <c r="J449" s="173" t="str">
        <f t="shared" si="403"/>
        <v>0.000</v>
      </c>
      <c r="K449" s="173" t="str">
        <f t="shared" si="403"/>
        <v>0.000</v>
      </c>
      <c r="L449" s="173" t="str">
        <f t="shared" si="403"/>
        <v>0.000</v>
      </c>
      <c r="M449" s="173">
        <f t="shared" si="403"/>
        <v>0.66238017508411107</v>
      </c>
      <c r="N449" s="173" t="str">
        <f t="shared" si="403"/>
        <v>0.000</v>
      </c>
      <c r="O449" s="173" t="str">
        <f t="shared" si="403"/>
        <v>0.000</v>
      </c>
      <c r="P449" s="173" t="str">
        <f t="shared" si="403"/>
        <v>0.000</v>
      </c>
      <c r="Q449" s="173" t="str">
        <f t="shared" si="403"/>
        <v>0.000</v>
      </c>
      <c r="R449" s="173" t="str">
        <f t="shared" si="403"/>
        <v>0.000</v>
      </c>
      <c r="S449" s="173" t="str">
        <f t="shared" si="403"/>
        <v>0.000</v>
      </c>
      <c r="T449" s="173" t="str">
        <f t="shared" si="403"/>
        <v>0.000</v>
      </c>
      <c r="U449" s="173" t="str">
        <f t="shared" si="403"/>
        <v>0.000</v>
      </c>
      <c r="V449" s="173" t="str">
        <f t="shared" si="403"/>
        <v>0.000</v>
      </c>
      <c r="W449" s="173" t="str">
        <f t="shared" ref="W449:AK449" si="404">IF(W431&lt;=0, "0.000", W431)</f>
        <v>0.000</v>
      </c>
      <c r="X449" s="173" t="str">
        <f t="shared" si="404"/>
        <v>0.000</v>
      </c>
      <c r="Y449" s="173" t="str">
        <f t="shared" si="404"/>
        <v>0.000</v>
      </c>
      <c r="Z449" s="173" t="str">
        <f t="shared" si="404"/>
        <v>0.000</v>
      </c>
      <c r="AA449" s="173" t="str">
        <f t="shared" si="404"/>
        <v>0.000</v>
      </c>
      <c r="AB449" s="173" t="str">
        <f t="shared" si="404"/>
        <v>0.000</v>
      </c>
      <c r="AC449" s="173" t="str">
        <f t="shared" si="404"/>
        <v>0.000</v>
      </c>
      <c r="AD449" s="173" t="str">
        <f t="shared" si="404"/>
        <v>0.000</v>
      </c>
      <c r="AE449" s="173" t="str">
        <f t="shared" si="404"/>
        <v>0.000</v>
      </c>
      <c r="AF449" s="173" t="str">
        <f t="shared" si="404"/>
        <v>0.000</v>
      </c>
      <c r="AG449" s="173" t="str">
        <f t="shared" si="404"/>
        <v>0.000</v>
      </c>
      <c r="AH449" s="173" t="str">
        <f t="shared" si="404"/>
        <v>0.000</v>
      </c>
      <c r="AI449" s="173" t="str">
        <f t="shared" si="404"/>
        <v>0.000</v>
      </c>
      <c r="AJ449" s="173" t="str">
        <f t="shared" si="404"/>
        <v>0.000</v>
      </c>
      <c r="AK449" s="173" t="str">
        <f t="shared" si="404"/>
        <v>0.000</v>
      </c>
      <c r="AL449" s="4"/>
      <c r="AM449" s="43">
        <v>433</v>
      </c>
      <c r="AN449">
        <v>9.5056089743589727</v>
      </c>
      <c r="AO449">
        <v>10.816884738217002</v>
      </c>
      <c r="AP449">
        <v>34.714954477416995</v>
      </c>
      <c r="AQ449">
        <v>36.456022177690642</v>
      </c>
      <c r="AR449">
        <v>9.9284854589884688</v>
      </c>
      <c r="AS449">
        <v>40.693513392596138</v>
      </c>
      <c r="AT449" t="e">
        <v>#DIV/0!</v>
      </c>
      <c r="AU449" t="e">
        <v>#DIV/0!</v>
      </c>
      <c r="AV449"/>
      <c r="AW449"/>
      <c r="FY449" s="210">
        <v>444</v>
      </c>
      <c r="FZ449">
        <v>6.6366169570396066E-2</v>
      </c>
      <c r="GA449">
        <v>1.1770006231321273</v>
      </c>
      <c r="GB449">
        <v>0.53638996440829323</v>
      </c>
      <c r="GC449">
        <v>9.8944168338041383</v>
      </c>
      <c r="GD449">
        <v>7.654284179796969</v>
      </c>
      <c r="GE449">
        <v>0.83853720041220592</v>
      </c>
      <c r="GF449">
        <v>0.76065990848440423</v>
      </c>
      <c r="GG449">
        <v>2.1152956537287446</v>
      </c>
      <c r="GH449">
        <v>1.9871405252523333</v>
      </c>
      <c r="GI449">
        <v>6.3557257341730899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386"/>
        <v>6.4419370458504117</v>
      </c>
      <c r="D450" s="191">
        <f>A$414</f>
        <v>10.51</v>
      </c>
      <c r="E450" s="8"/>
      <c r="F450" s="124"/>
      <c r="G450" s="173" t="str">
        <f t="shared" si="387"/>
        <v>0.000</v>
      </c>
      <c r="H450" s="173" t="str">
        <f t="shared" ref="H450:V450" si="405">IF(H432&lt;=0, "0.000", H432)</f>
        <v>0.000</v>
      </c>
      <c r="I450" s="173">
        <f t="shared" si="405"/>
        <v>1.4761409685183474E-2</v>
      </c>
      <c r="J450" s="173">
        <f t="shared" si="405"/>
        <v>3.1464341186154036E-2</v>
      </c>
      <c r="K450" s="173">
        <f t="shared" si="405"/>
        <v>0.17758885476759587</v>
      </c>
      <c r="L450" s="173">
        <f t="shared" si="405"/>
        <v>1.103849441372033</v>
      </c>
      <c r="M450" s="173">
        <f t="shared" si="405"/>
        <v>2.8705026118110681</v>
      </c>
      <c r="N450" s="173">
        <f t="shared" si="405"/>
        <v>1.6039010244747103</v>
      </c>
      <c r="O450" s="173">
        <f t="shared" si="405"/>
        <v>0.639869362553667</v>
      </c>
      <c r="P450" s="173" t="str">
        <f t="shared" si="405"/>
        <v>0.000</v>
      </c>
      <c r="Q450" s="173" t="str">
        <f t="shared" si="405"/>
        <v>0.000</v>
      </c>
      <c r="R450" s="173" t="str">
        <f t="shared" si="405"/>
        <v>0.000</v>
      </c>
      <c r="S450" s="173" t="str">
        <f t="shared" si="405"/>
        <v>0.000</v>
      </c>
      <c r="T450" s="173" t="str">
        <f t="shared" si="405"/>
        <v>0.000</v>
      </c>
      <c r="U450" s="173" t="str">
        <f t="shared" si="405"/>
        <v>0.000</v>
      </c>
      <c r="V450" s="173" t="str">
        <f t="shared" si="405"/>
        <v>0.000</v>
      </c>
      <c r="W450" s="173" t="str">
        <f t="shared" ref="W450:AK450" si="406">IF(W432&lt;=0, "0.000", W432)</f>
        <v>0.000</v>
      </c>
      <c r="X450" s="173" t="str">
        <f t="shared" si="406"/>
        <v>0.000</v>
      </c>
      <c r="Y450" s="173" t="str">
        <f t="shared" si="406"/>
        <v>0.000</v>
      </c>
      <c r="Z450" s="173" t="str">
        <f t="shared" si="406"/>
        <v>0.000</v>
      </c>
      <c r="AA450" s="173" t="str">
        <f t="shared" si="406"/>
        <v>0.000</v>
      </c>
      <c r="AB450" s="173" t="str">
        <f t="shared" si="406"/>
        <v>0.000</v>
      </c>
      <c r="AC450" s="173" t="str">
        <f t="shared" si="406"/>
        <v>0.000</v>
      </c>
      <c r="AD450" s="173" t="str">
        <f t="shared" si="406"/>
        <v>0.000</v>
      </c>
      <c r="AE450" s="173" t="str">
        <f t="shared" si="406"/>
        <v>0.000</v>
      </c>
      <c r="AF450" s="173" t="str">
        <f t="shared" si="406"/>
        <v>0.000</v>
      </c>
      <c r="AG450" s="173" t="str">
        <f t="shared" si="406"/>
        <v>0.000</v>
      </c>
      <c r="AH450" s="173" t="str">
        <f t="shared" si="406"/>
        <v>0.000</v>
      </c>
      <c r="AI450" s="173" t="str">
        <f t="shared" si="406"/>
        <v>0.000</v>
      </c>
      <c r="AJ450" s="173" t="str">
        <f t="shared" si="406"/>
        <v>0.000</v>
      </c>
      <c r="AK450" s="173" t="str">
        <f t="shared" si="406"/>
        <v>0.000</v>
      </c>
      <c r="AL450" s="4"/>
      <c r="AM450" s="43">
        <v>434</v>
      </c>
      <c r="AN450">
        <v>7.737351190476188</v>
      </c>
      <c r="AO450">
        <v>9.5654682740123604</v>
      </c>
      <c r="AP450">
        <v>30.02023346451756</v>
      </c>
      <c r="AQ450">
        <v>29.972138109574544</v>
      </c>
      <c r="AR450">
        <v>8.8204819733753652</v>
      </c>
      <c r="AS450">
        <v>52.091635086815714</v>
      </c>
      <c r="AT450" t="e">
        <v>#DIV/0!</v>
      </c>
      <c r="AU450" t="e">
        <v>#DIV/0!</v>
      </c>
      <c r="AV450"/>
      <c r="AW450"/>
      <c r="FY450" s="210">
        <v>445</v>
      </c>
      <c r="FZ450">
        <v>0.49136377600840619</v>
      </c>
      <c r="GA450">
        <v>3.6144581527143984</v>
      </c>
      <c r="GB450">
        <v>2.5993374547252053</v>
      </c>
      <c r="GC450">
        <v>2.8383915966312152</v>
      </c>
      <c r="GD450">
        <v>2.9945263726574409</v>
      </c>
      <c r="GE450">
        <v>3.7383314154031249</v>
      </c>
      <c r="GF450">
        <v>2.3326075836359519</v>
      </c>
      <c r="GG450">
        <v>0.98521909943193808</v>
      </c>
      <c r="GH450">
        <v>0.66238017508411107</v>
      </c>
      <c r="GI450">
        <v>3.4671639011000877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5.9843749999999991</v>
      </c>
      <c r="AO451">
        <v>6.9777504854935071</v>
      </c>
      <c r="AP451">
        <v>23.372325096909275</v>
      </c>
      <c r="AQ451">
        <v>24.126526690082251</v>
      </c>
      <c r="AR451">
        <v>6.4200016500740178</v>
      </c>
      <c r="AS451">
        <v>36.911999942713983</v>
      </c>
      <c r="AT451" t="e">
        <v>#DIV/0!</v>
      </c>
      <c r="AU451" t="e">
        <v>#DIV/0!</v>
      </c>
      <c r="AV451"/>
      <c r="AW451"/>
      <c r="FY451" s="210">
        <v>446</v>
      </c>
      <c r="FZ451">
        <v>0.2456818880042031</v>
      </c>
      <c r="GA451">
        <v>3.0840075629488273</v>
      </c>
      <c r="GB451">
        <v>1.9254889303263858</v>
      </c>
      <c r="GC451">
        <v>7.5946996724683178</v>
      </c>
      <c r="GD451">
        <v>6.197033055502275</v>
      </c>
      <c r="GE451">
        <v>2.7252083077059464</v>
      </c>
      <c r="GF451">
        <v>1.95227762939375</v>
      </c>
      <c r="GG451">
        <v>0.64907444160511019</v>
      </c>
      <c r="GH451">
        <v>0.66238017508411107</v>
      </c>
      <c r="GI451">
        <v>5.5476216732875088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5.4015758547008543</v>
      </c>
      <c r="AO452">
        <v>5.9921849965657321</v>
      </c>
      <c r="AP452">
        <v>23.248830631565937</v>
      </c>
      <c r="AQ452">
        <v>21.874595168587827</v>
      </c>
      <c r="AR452">
        <v>5.5057479497699591</v>
      </c>
      <c r="AS452">
        <v>25.363514625745864</v>
      </c>
      <c r="AT452" t="e">
        <v>#DIV/0!</v>
      </c>
      <c r="AU452" t="e">
        <v>#DIV/0!</v>
      </c>
      <c r="AV452"/>
      <c r="AW452"/>
      <c r="FY452" s="210">
        <v>447</v>
      </c>
      <c r="FZ452">
        <v>0</v>
      </c>
      <c r="GA452">
        <v>2.3120661480251856</v>
      </c>
      <c r="GB452">
        <v>1.1106277828348627</v>
      </c>
      <c r="GC452">
        <v>1.8746096615521013</v>
      </c>
      <c r="GD452">
        <v>1.7920269308737646</v>
      </c>
      <c r="GE452">
        <v>1.3441421952025283</v>
      </c>
      <c r="GF452">
        <v>1.2613862803785265</v>
      </c>
      <c r="GG452">
        <v>0.81714677051852402</v>
      </c>
      <c r="GH452">
        <v>0.66238017508411107</v>
      </c>
      <c r="GI452">
        <v>1.865698057418723</v>
      </c>
      <c r="GJ452"/>
      <c r="GK452"/>
      <c r="GL452"/>
      <c r="GM452"/>
    </row>
    <row r="453" spans="1:195" s="7" customFormat="1">
      <c r="A453" s="1">
        <v>1.07207E-2</v>
      </c>
      <c r="B453" s="52" t="s">
        <v>53</v>
      </c>
      <c r="C453" s="53">
        <f>SUM(C441:C452)</f>
        <v>31.056704252552141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5.9062881562881557</v>
      </c>
      <c r="AO453">
        <v>4.5491826174747363</v>
      </c>
      <c r="AP453">
        <v>20.807143622779147</v>
      </c>
      <c r="AQ453">
        <v>18.347218800233062</v>
      </c>
      <c r="AR453">
        <v>4.2200209809598661</v>
      </c>
      <c r="AS453">
        <v>17.915590647772135</v>
      </c>
      <c r="AT453" t="e">
        <v>#DIV/0!</v>
      </c>
      <c r="AU453" t="e">
        <v>#DIV/0!</v>
      </c>
      <c r="AV453"/>
      <c r="AW453"/>
      <c r="FY453" s="210">
        <v>448</v>
      </c>
      <c r="FZ453">
        <v>0.27886497278940114</v>
      </c>
      <c r="GA453">
        <v>2.8724671085013322</v>
      </c>
      <c r="GB453">
        <v>2.3696806207395067</v>
      </c>
      <c r="GC453">
        <v>8.0250144395823888</v>
      </c>
      <c r="GD453">
        <v>5.7803193687195318</v>
      </c>
      <c r="GE453">
        <v>2.1156863314717813</v>
      </c>
      <c r="GF453">
        <v>3.0234989326511759</v>
      </c>
      <c r="GG453">
        <v>0.81714677051852402</v>
      </c>
      <c r="GH453">
        <v>0.66238017508411107</v>
      </c>
      <c r="GI453">
        <v>5.4999876178458846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6.7344131562881557</v>
      </c>
      <c r="AO454">
        <v>6.7404370942018916</v>
      </c>
      <c r="AP454">
        <v>22.727261777170845</v>
      </c>
      <c r="AQ454">
        <v>23.082799203214694</v>
      </c>
      <c r="AR454">
        <v>6.1998593575957113</v>
      </c>
      <c r="AS454">
        <v>30.565853002433208</v>
      </c>
      <c r="AT454" t="e">
        <v>#DIV/0!</v>
      </c>
      <c r="AU454" t="e">
        <v>#DIV/0!</v>
      </c>
      <c r="AV454"/>
      <c r="AW454"/>
      <c r="FY454" s="210">
        <v>449</v>
      </c>
      <c r="FZ454">
        <v>0.13273233914079213</v>
      </c>
      <c r="GA454">
        <v>1.2554852404654802</v>
      </c>
      <c r="GB454">
        <v>2.2525829955824999</v>
      </c>
      <c r="GC454">
        <v>3.96908958735363</v>
      </c>
      <c r="GD454">
        <v>2.8419637659069417</v>
      </c>
      <c r="GE454">
        <v>1.5556520197883907</v>
      </c>
      <c r="GF454">
        <v>1.0712213032574254</v>
      </c>
      <c r="GG454">
        <v>0.16807232891341395</v>
      </c>
      <c r="GH454">
        <v>0</v>
      </c>
      <c r="GI454">
        <v>2.8370657230684699</v>
      </c>
      <c r="GJ454"/>
      <c r="GK454"/>
      <c r="GL454"/>
      <c r="GM454"/>
    </row>
    <row r="455" spans="1:195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8"/>
      <c r="P455" s="228"/>
      <c r="Q455" s="228"/>
      <c r="R455" s="228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8.4601076007326004</v>
      </c>
      <c r="AO455">
        <v>9.9579302482728078</v>
      </c>
      <c r="AP455">
        <v>37.39429743145228</v>
      </c>
      <c r="AQ455">
        <v>35.311042288192198</v>
      </c>
      <c r="AR455">
        <v>9.1845468845631668</v>
      </c>
      <c r="AS455">
        <v>49.891685884688691</v>
      </c>
      <c r="AT455" t="e">
        <v>#DIV/0!</v>
      </c>
      <c r="AU455" t="e">
        <v>#DIV/0!</v>
      </c>
      <c r="AV455"/>
      <c r="AW455"/>
      <c r="FY455" s="210">
        <v>450</v>
      </c>
      <c r="FZ455">
        <v>6.6366169570396066E-2</v>
      </c>
      <c r="GA455">
        <v>1.7739511027025585</v>
      </c>
      <c r="GB455">
        <v>2.5332276533675637</v>
      </c>
      <c r="GC455">
        <v>10.148946045534727</v>
      </c>
      <c r="GD455">
        <v>7.298273541407541</v>
      </c>
      <c r="GE455">
        <v>1.3441421952025283</v>
      </c>
      <c r="GF455">
        <v>1.2613862803785265</v>
      </c>
      <c r="GG455">
        <v>1.7791509959019165</v>
      </c>
      <c r="GH455">
        <v>1.9871405252523333</v>
      </c>
      <c r="GI455">
        <v>6.4923132935860739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11.22626678876679</v>
      </c>
      <c r="AO456">
        <v>13.572925266521111</v>
      </c>
      <c r="AP456">
        <v>46.552864463720368</v>
      </c>
      <c r="AQ456">
        <v>46.234475994370186</v>
      </c>
      <c r="AR456">
        <v>12.590839764861885</v>
      </c>
      <c r="AS456">
        <v>68.955737471685111</v>
      </c>
      <c r="AT456" t="e">
        <v>#DIV/0!</v>
      </c>
      <c r="AU456" t="e">
        <v>#DIV/0!</v>
      </c>
      <c r="AV456"/>
      <c r="AW456"/>
      <c r="FY456" s="210">
        <v>451</v>
      </c>
      <c r="FZ456">
        <v>0</v>
      </c>
      <c r="GA456">
        <v>4.7195172493924584</v>
      </c>
      <c r="GB456">
        <v>2.2461549168315607</v>
      </c>
      <c r="GC456">
        <v>4.0279392777309599</v>
      </c>
      <c r="GD456">
        <v>2.9977712523829148</v>
      </c>
      <c r="GE456">
        <v>0</v>
      </c>
      <c r="GF456">
        <v>0</v>
      </c>
      <c r="GG456">
        <v>0.48100211269169618</v>
      </c>
      <c r="GH456">
        <v>0.66238017508411107</v>
      </c>
      <c r="GI456">
        <v>2.7769501044453264</v>
      </c>
      <c r="GJ456"/>
      <c r="GK456"/>
      <c r="GL456"/>
      <c r="GM456"/>
    </row>
    <row r="457" spans="1:195" s="7" customFormat="1">
      <c r="A457" s="1">
        <v>1.9354999999999999E-3</v>
      </c>
      <c r="B457" s="4"/>
      <c r="C457" s="100">
        <v>0.5</v>
      </c>
      <c r="D457" s="101">
        <f>SUM($E$228:$E$347)/$A$438</f>
        <v>0</v>
      </c>
      <c r="E457" s="97">
        <f>+G36</f>
        <v>1.1608071543304673E-3</v>
      </c>
      <c r="F457" s="102">
        <f>+D457-D459</f>
        <v>0</v>
      </c>
      <c r="G457" s="101">
        <f>+D457*E457</f>
        <v>0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7.8760683760683765</v>
      </c>
      <c r="AO457">
        <v>10.275540525272715</v>
      </c>
      <c r="AP457">
        <v>25.102581285548595</v>
      </c>
      <c r="AQ457">
        <v>30.085967489650386</v>
      </c>
      <c r="AR457">
        <v>9.5320413035925</v>
      </c>
      <c r="AS457">
        <v>50.26896480003245</v>
      </c>
      <c r="AT457" t="e">
        <v>#DIV/0!</v>
      </c>
      <c r="AU457" t="e">
        <v>#DIV/0!</v>
      </c>
      <c r="AV457"/>
      <c r="AW457"/>
      <c r="FY457" s="210">
        <v>452</v>
      </c>
      <c r="FZ457">
        <v>0.77022874879780745</v>
      </c>
      <c r="GA457">
        <v>3.0959922904773203</v>
      </c>
      <c r="GB457">
        <v>2.7628844873532623</v>
      </c>
      <c r="GC457">
        <v>4.5593000642880011</v>
      </c>
      <c r="GD457">
        <v>3.4371542830940438</v>
      </c>
      <c r="GE457">
        <v>1.8691657077015624</v>
      </c>
      <c r="GF457">
        <v>1.2613862803785265</v>
      </c>
      <c r="GG457">
        <v>2.2601531085936126</v>
      </c>
      <c r="GH457">
        <v>2.6495207003364443</v>
      </c>
      <c r="GI457">
        <v>3.9384301748364239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3.1582564360309374E-3</v>
      </c>
      <c r="I458" s="101">
        <f>+H458*F457</f>
        <v>0</v>
      </c>
      <c r="J458" s="101">
        <f>+I458*$A$440</f>
        <v>0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6.721592643467643</v>
      </c>
      <c r="AO458">
        <v>5.5458694776454012</v>
      </c>
      <c r="AP458">
        <v>24.681864542145796</v>
      </c>
      <c r="AQ458">
        <v>22.922269259295948</v>
      </c>
      <c r="AR458">
        <v>5.0917261325896908</v>
      </c>
      <c r="AS458">
        <v>27.35210496284806</v>
      </c>
      <c r="AT458" t="e">
        <v>#DIV/0!</v>
      </c>
      <c r="AU458" t="e">
        <v>#DIV/0!</v>
      </c>
      <c r="AV458"/>
      <c r="AW458"/>
      <c r="FY458" s="210">
        <v>453</v>
      </c>
      <c r="FZ458">
        <v>0.55772994557880229</v>
      </c>
      <c r="GA458">
        <v>2.8452095273631484</v>
      </c>
      <c r="GB458">
        <v>1.0466914561790557</v>
      </c>
      <c r="GC458">
        <v>3.1652033620948163</v>
      </c>
      <c r="GD458">
        <v>2.5835428193506393</v>
      </c>
      <c r="GE458">
        <v>0.488099595198144</v>
      </c>
      <c r="GF458">
        <v>0.38032995424220212</v>
      </c>
      <c r="GG458">
        <v>2.2601531085936126</v>
      </c>
      <c r="GH458">
        <v>2.6495207003364443</v>
      </c>
      <c r="GI458">
        <v>2.6777885637035634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0</v>
      </c>
      <c r="E459" s="97">
        <f>+H36</f>
        <v>8.5927999999999994E-3</v>
      </c>
      <c r="F459" s="102">
        <f>+D459-D461</f>
        <v>-0.31887755102040816</v>
      </c>
      <c r="G459" s="101">
        <f>+D459*E459</f>
        <v>0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4.4727564102564106</v>
      </c>
      <c r="AO459">
        <v>5.2498932065894826</v>
      </c>
      <c r="AP459">
        <v>16.61811099462096</v>
      </c>
      <c r="AQ459">
        <v>17.319649092422235</v>
      </c>
      <c r="AR459">
        <v>4.8700308038863476</v>
      </c>
      <c r="AS459">
        <v>25.484240676526365</v>
      </c>
      <c r="AT459" t="e">
        <v>#DIV/0!</v>
      </c>
      <c r="AU459" t="e">
        <v>#DIV/0!</v>
      </c>
      <c r="AV459"/>
      <c r="AW459"/>
      <c r="FY459" s="210">
        <v>454</v>
      </c>
      <c r="FZ459">
        <v>0.52454686079360424</v>
      </c>
      <c r="GA459">
        <v>4.4910764589362291</v>
      </c>
      <c r="GB459">
        <v>1.8376376057348818</v>
      </c>
      <c r="GC459">
        <v>6.1770525031339565</v>
      </c>
      <c r="GD459">
        <v>4.9555430422017182</v>
      </c>
      <c r="GE459">
        <v>1.9235950245946309</v>
      </c>
      <c r="GF459">
        <v>2.3326075836359519</v>
      </c>
      <c r="GG459">
        <v>1.4662212121236342</v>
      </c>
      <c r="GH459">
        <v>1.3247603501682221</v>
      </c>
      <c r="GI459">
        <v>4.8687778937281694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2.3378789321107773E-2</v>
      </c>
      <c r="I460" s="101">
        <f>+H460*F459</f>
        <v>-7.4549710845369169E-3</v>
      </c>
      <c r="J460" s="101">
        <f>+I460*$A$440</f>
        <v>-5.9639768676295335E-2</v>
      </c>
      <c r="K460" s="61">
        <f>IF(AND(J460&lt;0, J458&lt;0), 0, J460)</f>
        <v>-5.9639768676295335E-2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7.2326388888888884</v>
      </c>
      <c r="AO460">
        <v>10.594780859250172</v>
      </c>
      <c r="AP460">
        <v>29.20143527669703</v>
      </c>
      <c r="AQ460">
        <v>31.385816792762697</v>
      </c>
      <c r="AR460">
        <v>9.8281826152598981</v>
      </c>
      <c r="AS460">
        <v>57.10850625348673</v>
      </c>
      <c r="AT460" t="e">
        <v>#DIV/0!</v>
      </c>
      <c r="AU460" t="e">
        <v>#DIV/0!</v>
      </c>
      <c r="AV460"/>
      <c r="AW460"/>
      <c r="FY460" s="210">
        <v>455</v>
      </c>
      <c r="FZ460">
        <v>0.13273233914079213</v>
      </c>
      <c r="GA460">
        <v>5.1272692471733361</v>
      </c>
      <c r="GB460">
        <v>2.3740275701431752</v>
      </c>
      <c r="GC460">
        <v>7.8921134277053966</v>
      </c>
      <c r="GD460">
        <v>5.8077658222201647</v>
      </c>
      <c r="GE460">
        <v>0</v>
      </c>
      <c r="GF460">
        <v>0.38032995424220212</v>
      </c>
      <c r="GG460">
        <v>1.2981488832102204</v>
      </c>
      <c r="GH460">
        <v>1.3247603501682221</v>
      </c>
      <c r="GI460">
        <v>5.1954615514694886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0.31887755102040816</v>
      </c>
      <c r="E461" s="97">
        <f>+I36</f>
        <v>6.3607647113949228E-2</v>
      </c>
      <c r="F461" s="102">
        <f>+D461-D463</f>
        <v>0.10629251700680273</v>
      </c>
      <c r="G461" s="101">
        <f>+D461*E461</f>
        <v>2.0283050737866463E-2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6.6290445665445663</v>
      </c>
      <c r="AO461">
        <v>5.6721080146636451</v>
      </c>
      <c r="AP461">
        <v>27.791362274214407</v>
      </c>
      <c r="AQ461">
        <v>23.723779527391876</v>
      </c>
      <c r="AR461">
        <v>5.1559653072692164</v>
      </c>
      <c r="AS461">
        <v>24.039403865099214</v>
      </c>
      <c r="AT461" t="e">
        <v>#DIV/0!</v>
      </c>
      <c r="AU461" t="e">
        <v>#DIV/0!</v>
      </c>
      <c r="AV461"/>
      <c r="AW461"/>
      <c r="FY461" s="210">
        <v>456</v>
      </c>
      <c r="FZ461">
        <v>0.31204805757459919</v>
      </c>
      <c r="GA461">
        <v>2.5551844555823005</v>
      </c>
      <c r="GB461">
        <v>1.6187557999037911</v>
      </c>
      <c r="GC461">
        <v>3.4300681792185954</v>
      </c>
      <c r="GD461">
        <v>3.0699271353749165</v>
      </c>
      <c r="GE461">
        <v>1.4642987855944321</v>
      </c>
      <c r="GF461">
        <v>0.38032995424220212</v>
      </c>
      <c r="GG461">
        <v>1.2981488832102204</v>
      </c>
      <c r="GH461">
        <v>1.3247603501682221</v>
      </c>
      <c r="GI461">
        <v>2.8640919245638594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0.11423129733131658</v>
      </c>
      <c r="I462" s="101">
        <f>+H462*F461</f>
        <v>1.2141932114298107E-2</v>
      </c>
      <c r="J462" s="101">
        <f>+I462*$A$440</f>
        <v>9.7135456914384855E-2</v>
      </c>
      <c r="K462" s="61">
        <f>IF(AND(J462&lt;0, J460&lt;0), 0, J462)</f>
        <v>9.7135456914384855E-2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7.2609508547008543</v>
      </c>
      <c r="AO462">
        <v>9.1434850675109161</v>
      </c>
      <c r="AP462">
        <v>30.990982617635495</v>
      </c>
      <c r="AQ462">
        <v>30.583473336326428</v>
      </c>
      <c r="AR462">
        <v>8.3761666549939537</v>
      </c>
      <c r="AS462">
        <v>34.749162145090757</v>
      </c>
      <c r="AT462" t="e">
        <v>#DIV/0!</v>
      </c>
      <c r="AU462" t="e">
        <v>#DIV/0!</v>
      </c>
      <c r="AV462"/>
      <c r="AW462"/>
      <c r="FY462" s="210">
        <v>457</v>
      </c>
      <c r="FZ462">
        <v>0.55772994557880229</v>
      </c>
      <c r="GA462">
        <v>3.4421600069335794</v>
      </c>
      <c r="GB462">
        <v>2.4714648014135903</v>
      </c>
      <c r="GC462">
        <v>8.4497749665264674</v>
      </c>
      <c r="GD462">
        <v>6.0765430333496431</v>
      </c>
      <c r="GE462">
        <v>1.0306285072893564</v>
      </c>
      <c r="GF462">
        <v>1.6417162346207288</v>
      </c>
      <c r="GG462">
        <v>2.5962977664204407</v>
      </c>
      <c r="GH462">
        <v>2.6495207003364443</v>
      </c>
      <c r="GI462">
        <v>5.886951770212665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0.21258503401360543</v>
      </c>
      <c r="E463" s="97">
        <f>+J36</f>
        <v>0.20514497677644863</v>
      </c>
      <c r="F463" s="102">
        <f>+D463-D465</f>
        <v>-0.31887755102040816</v>
      </c>
      <c r="G463" s="101">
        <f>+D463*E463</f>
        <v>4.3610751865741627E-2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4.5121909340659343</v>
      </c>
      <c r="AO463">
        <v>3.0052449212425225</v>
      </c>
      <c r="AP463">
        <v>14.874451459347156</v>
      </c>
      <c r="AQ463">
        <v>13.040084001888328</v>
      </c>
      <c r="AR463">
        <v>2.7349315533662413</v>
      </c>
      <c r="AS463">
        <v>13.302812594861605</v>
      </c>
      <c r="AT463" t="e">
        <v>#DIV/0!</v>
      </c>
      <c r="AU463" t="e">
        <v>#DIV/0!</v>
      </c>
      <c r="AV463"/>
      <c r="AW463"/>
      <c r="FY463" s="210">
        <v>458</v>
      </c>
      <c r="FZ463">
        <v>0.27886497278940114</v>
      </c>
      <c r="GA463">
        <v>4.4518341502695522</v>
      </c>
      <c r="GB463">
        <v>3.1096389464959677</v>
      </c>
      <c r="GC463">
        <v>6.1473075200677956</v>
      </c>
      <c r="GD463">
        <v>4.8687491179112889</v>
      </c>
      <c r="GE463">
        <v>2.0080934883297616</v>
      </c>
      <c r="GF463">
        <v>1.4515512574996277</v>
      </c>
      <c r="GG463">
        <v>1.4662212121236342</v>
      </c>
      <c r="GH463">
        <v>1.3247603501682221</v>
      </c>
      <c r="GI463">
        <v>4.8450875258956341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0.31079385464408243</v>
      </c>
      <c r="I464" s="101">
        <f>+H464*F463</f>
        <v>-9.9105183241097711E-2</v>
      </c>
      <c r="J464" s="101">
        <f>+I464*$A$440</f>
        <v>-0.79284146592878169</v>
      </c>
      <c r="K464" s="61">
        <f>IF(AND(J464&lt;0, J462&lt;0), 0, J464)</f>
        <v>-0.79284146592878169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7.6619925213675204</v>
      </c>
      <c r="AO464">
        <v>9.0086606965674623</v>
      </c>
      <c r="AP464">
        <v>33.361624239983989</v>
      </c>
      <c r="AQ464">
        <v>31.445046337903637</v>
      </c>
      <c r="AR464">
        <v>8.1982324456644839</v>
      </c>
      <c r="AS464">
        <v>32.085963841599686</v>
      </c>
      <c r="AT464" t="e">
        <v>#DIV/0!</v>
      </c>
      <c r="AU464" t="e">
        <v>#DIV/0!</v>
      </c>
      <c r="AV464"/>
      <c r="AW464"/>
      <c r="FY464" s="210">
        <v>459</v>
      </c>
      <c r="FZ464">
        <v>0.49136377600840619</v>
      </c>
      <c r="GA464">
        <v>2.7667249100297955</v>
      </c>
      <c r="GB464">
        <v>2.1908201436285264</v>
      </c>
      <c r="GC464">
        <v>8.5844890568961087</v>
      </c>
      <c r="GD464">
        <v>6.9070505667449957</v>
      </c>
      <c r="GE464">
        <v>3.0387219956191185</v>
      </c>
      <c r="GF464">
        <v>2.3326075836359519</v>
      </c>
      <c r="GG464">
        <v>0.98521909943193808</v>
      </c>
      <c r="GH464">
        <v>0.66238017508411107</v>
      </c>
      <c r="GI464">
        <v>6.1582509595637767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0.53146258503401356</v>
      </c>
      <c r="E465" s="97">
        <f>+K36</f>
        <v>0.47085150025285061</v>
      </c>
      <c r="F465" s="102">
        <f>+D465-D467</f>
        <v>-1.2502378573807142</v>
      </c>
      <c r="G465" s="101">
        <f>+D465*E465</f>
        <v>0.25023995549152345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4.752270299145299</v>
      </c>
      <c r="AO465">
        <v>4.6560393559910613</v>
      </c>
      <c r="AP465">
        <v>17.850361434550493</v>
      </c>
      <c r="AQ465">
        <v>16.083865303477047</v>
      </c>
      <c r="AR465">
        <v>4.2662807507210996</v>
      </c>
      <c r="AS465">
        <v>16.915594040828982</v>
      </c>
      <c r="AT465" t="e">
        <v>#DIV/0!</v>
      </c>
      <c r="AU465" t="e">
        <v>#DIV/0!</v>
      </c>
      <c r="AV465"/>
      <c r="AW465"/>
      <c r="FY465" s="210">
        <v>460</v>
      </c>
      <c r="FZ465">
        <v>0.31204805757459919</v>
      </c>
      <c r="GA465">
        <v>5.2134183200637452</v>
      </c>
      <c r="GB465">
        <v>2.882155587212103</v>
      </c>
      <c r="GC465">
        <v>6.8697751051643063</v>
      </c>
      <c r="GD465">
        <v>5.7149789137275278</v>
      </c>
      <c r="GE465">
        <v>1.7778124735076037</v>
      </c>
      <c r="GF465">
        <v>0</v>
      </c>
      <c r="GG465">
        <v>0.48100211269169618</v>
      </c>
      <c r="GH465">
        <v>0.66238017508411107</v>
      </c>
      <c r="GI465">
        <v>5.1097966260392322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0.64986330860032449</v>
      </c>
      <c r="I466" s="101">
        <f>+H466*F465</f>
        <v>-0.81248371053481161</v>
      </c>
      <c r="J466" s="101">
        <f>+I466*$A$440</f>
        <v>-6.4998696842784929</v>
      </c>
      <c r="K466" s="61">
        <f>IF(AND(J466&lt;0, J464&lt;0), 0, J466)</f>
        <v>0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7.6689369658119659</v>
      </c>
      <c r="AO466">
        <v>10.691631849807788</v>
      </c>
      <c r="AP466">
        <v>35.364539653768084</v>
      </c>
      <c r="AQ466">
        <v>34.68489780290416</v>
      </c>
      <c r="AR466">
        <v>9.8651606151150961</v>
      </c>
      <c r="AS466">
        <v>52.707310719518581</v>
      </c>
      <c r="AT466" t="e">
        <v>#DIV/0!</v>
      </c>
      <c r="AU466" t="e">
        <v>#DIV/0!</v>
      </c>
      <c r="AV466"/>
      <c r="AW466"/>
      <c r="FY466" s="210">
        <v>461</v>
      </c>
      <c r="FZ466">
        <v>0.49136377600840619</v>
      </c>
      <c r="GA466">
        <v>3.4890667711573125</v>
      </c>
      <c r="GB466">
        <v>1.3912724406199268</v>
      </c>
      <c r="GC466">
        <v>4.7489407571744637</v>
      </c>
      <c r="GD466">
        <v>3.8648254716284778</v>
      </c>
      <c r="GE466">
        <v>1.3441421952025283</v>
      </c>
      <c r="GF466">
        <v>1.4515512574996277</v>
      </c>
      <c r="GG466">
        <v>1.4662212121236342</v>
      </c>
      <c r="GH466">
        <v>1.3247603501682221</v>
      </c>
      <c r="GI466">
        <v>3.8379573190870713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1.7817004424147278</v>
      </c>
      <c r="E467" s="97">
        <f>L36</f>
        <v>0.89693315119134265</v>
      </c>
      <c r="F467" s="102">
        <f>+D467-D469</f>
        <v>-1.0688716045858908</v>
      </c>
      <c r="G467" s="101">
        <f>+D467*E467</f>
        <v>1.5980661922940511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6.5094246031746037</v>
      </c>
      <c r="AO467">
        <v>4.5257934175091572</v>
      </c>
      <c r="AP467">
        <v>20.517916378743632</v>
      </c>
      <c r="AQ467">
        <v>17.911715088559028</v>
      </c>
      <c r="AR467">
        <v>4.1983241349806644</v>
      </c>
      <c r="AS467">
        <v>21.809288421161781</v>
      </c>
      <c r="AT467" t="e">
        <v>#DIV/0!</v>
      </c>
      <c r="AU467" t="e">
        <v>#DIV/0!</v>
      </c>
      <c r="AV467"/>
      <c r="AW467"/>
      <c r="FY467" s="210">
        <v>462</v>
      </c>
      <c r="FZ467">
        <v>6.6366169570396066E-2</v>
      </c>
      <c r="GA467">
        <v>0.45465876200461025</v>
      </c>
      <c r="GB467">
        <v>0.76387332369215755</v>
      </c>
      <c r="GC467">
        <v>5.4269463163792846</v>
      </c>
      <c r="GD467">
        <v>4.3099687919247831</v>
      </c>
      <c r="GE467">
        <v>1.5556520197883907</v>
      </c>
      <c r="GF467">
        <v>0.88105632613632445</v>
      </c>
      <c r="GG467">
        <v>0.96200422538339236</v>
      </c>
      <c r="GH467">
        <v>1.3247603501682221</v>
      </c>
      <c r="GI467">
        <v>3.6738525286147747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1.1670723914130923</v>
      </c>
      <c r="I468" s="101">
        <f>+H468*F467</f>
        <v>-1.2474505396776048</v>
      </c>
      <c r="J468" s="101">
        <f>+I468*$A$440</f>
        <v>-9.9796043174208382</v>
      </c>
      <c r="K468" s="61">
        <f>IF(AND(J468&lt;0, J466&lt;0), 0, J468)</f>
        <v>0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7.7587187118437111</v>
      </c>
      <c r="AO468">
        <v>6.4335282405196299</v>
      </c>
      <c r="AP468">
        <v>31.238105445763033</v>
      </c>
      <c r="AQ468">
        <v>26.604215845857006</v>
      </c>
      <c r="AR468">
        <v>5.9151572669813675</v>
      </c>
      <c r="AS468">
        <v>26.954045683272938</v>
      </c>
      <c r="AT468" t="e">
        <v>#DIV/0!</v>
      </c>
      <c r="AU468" t="e">
        <v>#DIV/0!</v>
      </c>
      <c r="AV468"/>
      <c r="AW468"/>
      <c r="FY468" s="210">
        <v>463</v>
      </c>
      <c r="FZ468">
        <v>0.49136377600840619</v>
      </c>
      <c r="GA468">
        <v>6.2726920171958431</v>
      </c>
      <c r="GB468">
        <v>3.8627372420335178</v>
      </c>
      <c r="GC468">
        <v>1.0984960254487539</v>
      </c>
      <c r="GD468">
        <v>1.6204009820094907</v>
      </c>
      <c r="GE468">
        <v>3.5637455081181524</v>
      </c>
      <c r="GF468">
        <v>2.1424426065148507</v>
      </c>
      <c r="GG468">
        <v>0.81714677051852402</v>
      </c>
      <c r="GH468">
        <v>0.66238017508411107</v>
      </c>
      <c r="GI468">
        <v>2.8055872500053503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2.8505720470006186</v>
      </c>
      <c r="E469" s="97">
        <f>M36</f>
        <v>1.5185724432077621</v>
      </c>
      <c r="F469" s="102">
        <f>+D469-D471</f>
        <v>1.7683209647495366</v>
      </c>
      <c r="G469" s="101">
        <f>+D469*E469</f>
        <v>4.3288001579534807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6.1354548229548227</v>
      </c>
      <c r="AO469">
        <v>4.3558621850397055</v>
      </c>
      <c r="AP469">
        <v>20.999257116602752</v>
      </c>
      <c r="AQ469">
        <v>18.654269032640428</v>
      </c>
      <c r="AR469">
        <v>4.0406884833392445</v>
      </c>
      <c r="AS469">
        <v>18.554780150657376</v>
      </c>
      <c r="AT469" t="e">
        <v>#DIV/0!</v>
      </c>
      <c r="AU469" t="e">
        <v>#DIV/0!</v>
      </c>
      <c r="AV469"/>
      <c r="AW469"/>
      <c r="FY469" s="210">
        <v>464</v>
      </c>
      <c r="FZ469">
        <v>6.6366169570396066E-2</v>
      </c>
      <c r="GA469">
        <v>3.1128926264860555</v>
      </c>
      <c r="GB469">
        <v>1.4552087672757343</v>
      </c>
      <c r="GC469">
        <v>9.055013383701473</v>
      </c>
      <c r="GD469">
        <v>7.1115813237767735</v>
      </c>
      <c r="GE469">
        <v>0.80161328311131574</v>
      </c>
      <c r="GF469">
        <v>0.38032995424220212</v>
      </c>
      <c r="GG469">
        <v>0.3361446578268279</v>
      </c>
      <c r="GH469">
        <v>0</v>
      </c>
      <c r="GI469">
        <v>5.4516984769610435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1.8971718800986861</v>
      </c>
      <c r="I470" s="101">
        <f>+H470*F469</f>
        <v>3.3548088093118009</v>
      </c>
      <c r="J470" s="101">
        <f>+I470*$A$440</f>
        <v>26.838470474494407</v>
      </c>
      <c r="K470" s="61">
        <f>IF(AND(J470&lt;0, J468&lt;0), 0, J470)</f>
        <v>26.838470474494407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8.6170634920634921</v>
      </c>
      <c r="AO470">
        <v>8.0215298895974634</v>
      </c>
      <c r="AP470">
        <v>32.725567937283408</v>
      </c>
      <c r="AQ470">
        <v>29.901818535050996</v>
      </c>
      <c r="AR470">
        <v>7.3353919073933502</v>
      </c>
      <c r="AS470">
        <v>31.332864458981341</v>
      </c>
      <c r="AT470" t="e">
        <v>#DIV/0!</v>
      </c>
      <c r="AU470" t="e">
        <v>#DIV/0!</v>
      </c>
      <c r="AV470"/>
      <c r="AW470"/>
      <c r="FY470" s="210">
        <v>465</v>
      </c>
      <c r="FZ470">
        <v>0.2456818880042031</v>
      </c>
      <c r="GA470">
        <v>3.9213835605039815</v>
      </c>
      <c r="GB470">
        <v>1.7358534250607978</v>
      </c>
      <c r="GC470">
        <v>9.7553966073098159</v>
      </c>
      <c r="GD470">
        <v>7.8925742969216239</v>
      </c>
      <c r="GE470">
        <v>3.5336763612760898</v>
      </c>
      <c r="GF470">
        <v>3.5242253045452978</v>
      </c>
      <c r="GG470">
        <v>1.4430063380750886</v>
      </c>
      <c r="GH470">
        <v>1.9871405252523333</v>
      </c>
      <c r="GI470">
        <v>7.1213111738772934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1.082251082251082</v>
      </c>
      <c r="E471" s="97">
        <f>+N36</f>
        <v>2.3701609750235364</v>
      </c>
      <c r="F471" s="102">
        <f>+D471-D473</f>
        <v>0.76337353123067386</v>
      </c>
      <c r="G471" s="101">
        <f>+D471*E471</f>
        <v>2.5651092803285018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8.2038690476190474</v>
      </c>
      <c r="AO471">
        <v>8.5998668787807802</v>
      </c>
      <c r="AP471">
        <v>31.487140663643295</v>
      </c>
      <c r="AQ471">
        <v>29.532609145473</v>
      </c>
      <c r="AR471">
        <v>7.9776130600934865</v>
      </c>
      <c r="AS471">
        <v>47.259607068998896</v>
      </c>
      <c r="AT471" t="e">
        <v>#DIV/0!</v>
      </c>
      <c r="AU471" t="e">
        <v>#DIV/0!</v>
      </c>
      <c r="AV471"/>
      <c r="AW471"/>
      <c r="FY471" s="210">
        <v>466</v>
      </c>
      <c r="FZ471">
        <v>0.27886497278940114</v>
      </c>
      <c r="GA471">
        <v>3.238284008043141</v>
      </c>
      <c r="GB471">
        <v>1.3912724406199268</v>
      </c>
      <c r="GC471">
        <v>5.2967955896251464</v>
      </c>
      <c r="GD471">
        <v>4.3099687919247831</v>
      </c>
      <c r="GE471">
        <v>0.80161328311131574</v>
      </c>
      <c r="GF471">
        <v>0</v>
      </c>
      <c r="GG471">
        <v>0.96200422538339236</v>
      </c>
      <c r="GH471">
        <v>1.3247603501682221</v>
      </c>
      <c r="GI471">
        <v>3.6899985581619812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2.874208137110589</v>
      </c>
      <c r="I472" s="101">
        <f>+H472*F471</f>
        <v>2.1940944151180473</v>
      </c>
      <c r="J472" s="101">
        <f>+I472*$A$440</f>
        <v>17.552755320944378</v>
      </c>
      <c r="K472" s="61">
        <f>IF(AND(J472&lt;0, J470&lt;0), 0, J472)</f>
        <v>17.552755320944378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6.4733287545787546</v>
      </c>
      <c r="AO472">
        <v>4.6406424227182388</v>
      </c>
      <c r="AP472">
        <v>19.745752129776747</v>
      </c>
      <c r="AQ472">
        <v>18.317613525433138</v>
      </c>
      <c r="AR472">
        <v>4.304863100851799</v>
      </c>
      <c r="AS472">
        <v>24.887361222567044</v>
      </c>
      <c r="AT472" t="e">
        <v>#DIV/0!</v>
      </c>
      <c r="AU472" t="e">
        <v>#DIV/0!</v>
      </c>
      <c r="AV472"/>
      <c r="AW472"/>
      <c r="FY472" s="210">
        <v>467</v>
      </c>
      <c r="FZ472">
        <v>3.3183084785198033E-2</v>
      </c>
      <c r="GA472">
        <v>1.1377583144654506</v>
      </c>
      <c r="GB472">
        <v>1.1084543081330289</v>
      </c>
      <c r="GC472">
        <v>1.544132035718812</v>
      </c>
      <c r="GD472">
        <v>2.0332368881685525</v>
      </c>
      <c r="GE472">
        <v>3.7927607322961938</v>
      </c>
      <c r="GF472">
        <v>3.213663909772277</v>
      </c>
      <c r="GG472">
        <v>1.4662212121236342</v>
      </c>
      <c r="GH472">
        <v>1.3247603501682221</v>
      </c>
      <c r="GI472">
        <v>2.4710098892036689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0.31887755102040816</v>
      </c>
      <c r="E473" s="97">
        <f>O36</f>
        <v>3.4854478250578267</v>
      </c>
      <c r="F473" s="102">
        <f>+D473-D475</f>
        <v>0.31887755102040816</v>
      </c>
      <c r="G473" s="101">
        <f>+D473*E473</f>
        <v>1.1114310666638478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9.4462187118437111</v>
      </c>
      <c r="AO473">
        <v>9.6907172415531875</v>
      </c>
      <c r="AP473">
        <v>37.78674787820119</v>
      </c>
      <c r="AQ473">
        <v>34.802787732681722</v>
      </c>
      <c r="AR473">
        <v>8.9366683996655585</v>
      </c>
      <c r="AS473">
        <v>42.062423979424075</v>
      </c>
      <c r="AT473" t="e">
        <v>#DIV/0!</v>
      </c>
      <c r="AU473" t="e">
        <v>#DIV/0!</v>
      </c>
      <c r="AV473"/>
      <c r="AW473"/>
      <c r="FY473" s="210">
        <v>468</v>
      </c>
      <c r="FZ473">
        <v>0.2456818880042031</v>
      </c>
      <c r="GA473">
        <v>3.0736503178193786</v>
      </c>
      <c r="GB473">
        <v>1.899400457688855</v>
      </c>
      <c r="GC473">
        <v>6.8666778472018137</v>
      </c>
      <c r="GD473">
        <v>5.3933707384290397</v>
      </c>
      <c r="GE473">
        <v>2.2001847952069129</v>
      </c>
      <c r="GF473">
        <v>2.3326075836359519</v>
      </c>
      <c r="GG473">
        <v>1.4662212121236342</v>
      </c>
      <c r="GH473">
        <v>1.3247603501682221</v>
      </c>
      <c r="GI473">
        <v>5.1877602249108712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4.1316433780134725</v>
      </c>
      <c r="I474" s="101">
        <f>+H474*F473</f>
        <v>1.3174883220706226</v>
      </c>
      <c r="J474" s="101">
        <f>+I474*$A$440</f>
        <v>10.539906576564981</v>
      </c>
      <c r="K474" s="61">
        <f>IF(AND(J474&lt;0, J472&lt;0), 0, J474)</f>
        <v>10.539906576564981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8.5979662698412689</v>
      </c>
      <c r="AO474">
        <v>7.9567112413764818</v>
      </c>
      <c r="AP474">
        <v>33.748445546655645</v>
      </c>
      <c r="AQ474">
        <v>29.952108541550885</v>
      </c>
      <c r="AR474">
        <v>7.3281285108188916</v>
      </c>
      <c r="AS474">
        <v>29.402336292296123</v>
      </c>
      <c r="AT474" t="e">
        <v>#DIV/0!</v>
      </c>
      <c r="AU474" t="e">
        <v>#DIV/0!</v>
      </c>
      <c r="AV474"/>
      <c r="AW474"/>
      <c r="FY474" s="210">
        <v>469</v>
      </c>
      <c r="FZ474">
        <v>0.27886497278940114</v>
      </c>
      <c r="GA474">
        <v>6.0219092540816721</v>
      </c>
      <c r="GB474">
        <v>2.7186085545840464</v>
      </c>
      <c r="GC474">
        <v>6.4609044237834103</v>
      </c>
      <c r="GD474">
        <v>5.2391856918158037</v>
      </c>
      <c r="GE474">
        <v>1.0131231076971783</v>
      </c>
      <c r="GF474">
        <v>0.76065990848440423</v>
      </c>
      <c r="GG474">
        <v>1.634293541037048</v>
      </c>
      <c r="GH474">
        <v>1.3247603501682221</v>
      </c>
      <c r="GI474">
        <v>4.9748491483355517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0</v>
      </c>
      <c r="E475" s="97">
        <f>P36</f>
        <v>4.8976423862547316</v>
      </c>
      <c r="F475" s="102">
        <f>+D475-D477</f>
        <v>0</v>
      </c>
      <c r="G475" s="101">
        <f>+D475*E475</f>
        <v>0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10.114621489621488</v>
      </c>
      <c r="AO475">
        <v>10.100858456250755</v>
      </c>
      <c r="AP475">
        <v>34.434041545125119</v>
      </c>
      <c r="AQ475">
        <v>34.117628266642726</v>
      </c>
      <c r="AR475">
        <v>9.2642681287785926</v>
      </c>
      <c r="AS475">
        <v>42.276884621779836</v>
      </c>
      <c r="AT475" t="e">
        <v>#DIV/0!</v>
      </c>
      <c r="AU475" t="e">
        <v>#DIV/0!</v>
      </c>
      <c r="AV475"/>
      <c r="AW475"/>
      <c r="FY475" s="210">
        <v>470</v>
      </c>
      <c r="FZ475">
        <v>6.6366169570396066E-2</v>
      </c>
      <c r="GA475">
        <v>0.9262178600179557</v>
      </c>
      <c r="GB475">
        <v>0.98058165482141413</v>
      </c>
      <c r="GC475">
        <v>12.031563301504459</v>
      </c>
      <c r="GD475">
        <v>8.6677728009582591</v>
      </c>
      <c r="GE475">
        <v>1.6275867362736374</v>
      </c>
      <c r="GF475">
        <v>3.0234989326511759</v>
      </c>
      <c r="GG475">
        <v>0.81714677051852402</v>
      </c>
      <c r="GH475">
        <v>0.66238017508411107</v>
      </c>
      <c r="GI475">
        <v>7.3071057137939635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5.7024421375966554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8.493666056166056</v>
      </c>
      <c r="AO476">
        <v>8.4747429774481677</v>
      </c>
      <c r="AP476">
        <v>30.838470772474373</v>
      </c>
      <c r="AQ476">
        <v>29.023367371064928</v>
      </c>
      <c r="AR476">
        <v>7.8615426506940329</v>
      </c>
      <c r="AS476">
        <v>36.739848568143643</v>
      </c>
      <c r="AT476" t="e">
        <v>#DIV/0!</v>
      </c>
      <c r="AU476" t="e">
        <v>#DIV/0!</v>
      </c>
      <c r="AV476"/>
      <c r="AW476"/>
      <c r="FY476" s="210">
        <v>471</v>
      </c>
      <c r="FZ476">
        <v>0</v>
      </c>
      <c r="GA476">
        <v>3.0344080091527026</v>
      </c>
      <c r="GB476">
        <v>2.0272731110004698</v>
      </c>
      <c r="GC476">
        <v>3.998834570419791</v>
      </c>
      <c r="GD476">
        <v>3.2870769300940128</v>
      </c>
      <c r="GE476">
        <v>1.1151269710244875</v>
      </c>
      <c r="GF476">
        <v>0.38032995424220212</v>
      </c>
      <c r="GG476">
        <v>0.3361446578268279</v>
      </c>
      <c r="GH476">
        <v>0</v>
      </c>
      <c r="GI476">
        <v>3.0153697437696936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6.6394897316103521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6.6510798229548218</v>
      </c>
      <c r="AO477">
        <v>6.3615980630094899</v>
      </c>
      <c r="AP477">
        <v>25.632355754648479</v>
      </c>
      <c r="AQ477">
        <v>23.410101550669673</v>
      </c>
      <c r="AR477">
        <v>5.8484316848754858</v>
      </c>
      <c r="AS477">
        <v>42.16792077786392</v>
      </c>
      <c r="AT477" t="e">
        <v>#DIV/0!</v>
      </c>
      <c r="AU477" t="e">
        <v>#DIV/0!</v>
      </c>
      <c r="AV477"/>
      <c r="AW477"/>
      <c r="FY477" s="210">
        <v>472</v>
      </c>
      <c r="FZ477">
        <v>0.2456818880042031</v>
      </c>
      <c r="GA477">
        <v>2.3513084566918616</v>
      </c>
      <c r="GB477">
        <v>1.5548194732479839</v>
      </c>
      <c r="GC477">
        <v>1.9833163025730653</v>
      </c>
      <c r="GD477">
        <v>1.5502946929466934</v>
      </c>
      <c r="GE477">
        <v>0.62702737582634349</v>
      </c>
      <c r="GF477">
        <v>0.5704949313633032</v>
      </c>
      <c r="GG477">
        <v>1.4662212121236342</v>
      </c>
      <c r="GH477">
        <v>1.3247603501682221</v>
      </c>
      <c r="GI477">
        <v>1.9776429038916177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7.6191362672845369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4.9883814102564097</v>
      </c>
      <c r="AO478">
        <v>6.0249153378933045</v>
      </c>
      <c r="AP478">
        <v>18.541523956529304</v>
      </c>
      <c r="AQ478">
        <v>19.419138813662336</v>
      </c>
      <c r="AR478">
        <v>5.5361100474764271</v>
      </c>
      <c r="AS478">
        <v>29.167517918723256</v>
      </c>
      <c r="AT478" t="e">
        <v>#DIV/0!</v>
      </c>
      <c r="AU478" t="e">
        <v>#DIV/0!</v>
      </c>
      <c r="AV478"/>
      <c r="AW478"/>
      <c r="FY478" s="210">
        <v>473</v>
      </c>
      <c r="FZ478">
        <v>3.3183084785198033E-2</v>
      </c>
      <c r="GA478">
        <v>2.8228675547052076</v>
      </c>
      <c r="GB478">
        <v>1.899400457688855</v>
      </c>
      <c r="GC478">
        <v>4.74830048141947</v>
      </c>
      <c r="GD478">
        <v>3.7292702541109497</v>
      </c>
      <c r="GE478">
        <v>1.3441421952025283</v>
      </c>
      <c r="GF478">
        <v>1.0712213032574254</v>
      </c>
      <c r="GG478">
        <v>1.1300765542968063</v>
      </c>
      <c r="GH478">
        <v>1.3247603501682221</v>
      </c>
      <c r="GI478">
        <v>3.5069480368918953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8.7433281481061513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6.2391254578754571</v>
      </c>
      <c r="AO479">
        <v>4.6053234843410236</v>
      </c>
      <c r="AP479">
        <v>31.074910274180972</v>
      </c>
      <c r="AQ479">
        <v>23.336992352936996</v>
      </c>
      <c r="AR479">
        <v>4.1663692680088991</v>
      </c>
      <c r="AS479">
        <v>18.898797021127784</v>
      </c>
      <c r="AT479" t="e">
        <v>#DIV/0!</v>
      </c>
      <c r="AU479" t="e">
        <v>#DIV/0!</v>
      </c>
      <c r="AV479"/>
      <c r="AW479"/>
      <c r="FY479" s="210">
        <v>474</v>
      </c>
      <c r="FZ479">
        <v>0.73704566401260951</v>
      </c>
      <c r="GA479">
        <v>4.5014337040656773</v>
      </c>
      <c r="GB479">
        <v>2.8799821125102687</v>
      </c>
      <c r="GC479">
        <v>10.143391805364734</v>
      </c>
      <c r="GD479">
        <v>7.7028407995939236</v>
      </c>
      <c r="GE479">
        <v>1.8691657077015624</v>
      </c>
      <c r="GF479">
        <v>1.6417162346207288</v>
      </c>
      <c r="GG479">
        <v>1.634293541037048</v>
      </c>
      <c r="GH479">
        <v>1.3247603501682221</v>
      </c>
      <c r="GI479">
        <v>7.1003263319573735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9.9138754902203807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8.2882326007326022</v>
      </c>
      <c r="AO480">
        <v>8.8910379565259419</v>
      </c>
      <c r="AP480">
        <v>25.048573750930235</v>
      </c>
      <c r="AQ480">
        <v>27.770848642951826</v>
      </c>
      <c r="AR480">
        <v>8.247716100673415</v>
      </c>
      <c r="AS480">
        <v>45.811665842078632</v>
      </c>
      <c r="AT480" t="e">
        <v>#DIV/0!</v>
      </c>
      <c r="AU480" t="e">
        <v>#DIV/0!</v>
      </c>
      <c r="AV480"/>
      <c r="AW480"/>
      <c r="FY480" s="210">
        <v>475</v>
      </c>
      <c r="FZ480">
        <v>0.27886497278940114</v>
      </c>
      <c r="GA480">
        <v>4.4518341502695522</v>
      </c>
      <c r="GB480">
        <v>1.9655102590464966</v>
      </c>
      <c r="GC480">
        <v>2.7373455771882447</v>
      </c>
      <c r="GD480">
        <v>2.4467997483900406</v>
      </c>
      <c r="GE480">
        <v>0.80161328311131574</v>
      </c>
      <c r="GF480">
        <v>0</v>
      </c>
      <c r="GG480">
        <v>0.96200422538339236</v>
      </c>
      <c r="GH480">
        <v>1.3247603501682221</v>
      </c>
      <c r="GI480">
        <v>2.3993921163211844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11.241134447971211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10.200892857142858</v>
      </c>
      <c r="AO481">
        <v>11.635711157991423</v>
      </c>
      <c r="AP481">
        <v>41.9558600185401</v>
      </c>
      <c r="AQ481">
        <v>41.160249480826529</v>
      </c>
      <c r="AR481">
        <v>10.5823342589393</v>
      </c>
      <c r="AS481">
        <v>62.927569392759651</v>
      </c>
      <c r="AT481" t="e">
        <v>#DIV/0!</v>
      </c>
      <c r="AU481" t="e">
        <v>#DIV/0!</v>
      </c>
      <c r="AV481"/>
      <c r="AW481"/>
      <c r="FY481" s="210">
        <v>476</v>
      </c>
      <c r="FZ481">
        <v>3.3183084785198033E-2</v>
      </c>
      <c r="GA481">
        <v>2.2259170751347761</v>
      </c>
      <c r="GB481">
        <v>1.0466914561790557</v>
      </c>
      <c r="GC481">
        <v>4.755961102997464</v>
      </c>
      <c r="GD481">
        <v>4.7993642315367557</v>
      </c>
      <c r="GE481">
        <v>2.5512697278933909</v>
      </c>
      <c r="GF481">
        <v>0.95082488560550527</v>
      </c>
      <c r="GG481">
        <v>1.8023658699504623</v>
      </c>
      <c r="GH481">
        <v>1.3247603501682221</v>
      </c>
      <c r="GI481">
        <v>3.9330373213231926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12.618467793757159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6.0278159340659334</v>
      </c>
      <c r="AO482">
        <v>6.0486940394147819</v>
      </c>
      <c r="AP482">
        <v>21.672964853696854</v>
      </c>
      <c r="AQ482">
        <v>21.293562219827312</v>
      </c>
      <c r="AR482">
        <v>5.6110334317391306</v>
      </c>
      <c r="AS482">
        <v>24.145476687477011</v>
      </c>
      <c r="AT482" t="e">
        <v>#DIV/0!</v>
      </c>
      <c r="AU482" t="e">
        <v>#DIV/0!</v>
      </c>
      <c r="AV482"/>
      <c r="AW482"/>
      <c r="FY482" s="210">
        <v>477</v>
      </c>
      <c r="FZ482">
        <v>3.3183084785198033E-2</v>
      </c>
      <c r="GA482">
        <v>9.7187023254363183</v>
      </c>
      <c r="GB482">
        <v>4.5940940143372053</v>
      </c>
      <c r="GC482">
        <v>0.98733240222029051</v>
      </c>
      <c r="GD482">
        <v>1.4540695067998948</v>
      </c>
      <c r="GE482">
        <v>3.7082622685610618</v>
      </c>
      <c r="GF482">
        <v>4.0947202359086008</v>
      </c>
      <c r="GG482">
        <v>1.9472233248153306</v>
      </c>
      <c r="GH482">
        <v>1.9871405252523333</v>
      </c>
      <c r="GI482">
        <v>3.4913759047425539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14.164560543159729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4.2175480769230758</v>
      </c>
      <c r="AO483">
        <v>3.9385282362860194</v>
      </c>
      <c r="AP483">
        <v>20.748190906844751</v>
      </c>
      <c r="AQ483">
        <v>18.125180724835037</v>
      </c>
      <c r="AR483">
        <v>3.4949555808394006</v>
      </c>
      <c r="AS483">
        <v>17.377420755432496</v>
      </c>
      <c r="AT483" t="e">
        <v>#DIV/0!</v>
      </c>
      <c r="AU483" t="e">
        <v>#DIV/0!</v>
      </c>
      <c r="AV483"/>
      <c r="AW483"/>
      <c r="FY483" s="210">
        <v>478</v>
      </c>
      <c r="FZ483">
        <v>0.27886497278940114</v>
      </c>
      <c r="GA483">
        <v>3.9606258691706584</v>
      </c>
      <c r="GB483">
        <v>1.7358534250607978</v>
      </c>
      <c r="GC483">
        <v>3.8901279293988278</v>
      </c>
      <c r="GD483">
        <v>4.0456510611336896</v>
      </c>
      <c r="GE483">
        <v>3.4248177274899532</v>
      </c>
      <c r="GF483">
        <v>1.7621126522726489</v>
      </c>
      <c r="GG483">
        <v>1.4430063380750886</v>
      </c>
      <c r="GH483">
        <v>1.9871405252523333</v>
      </c>
      <c r="GI483">
        <v>3.9418168890469829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15.764412409380023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7.7083714896214897</v>
      </c>
      <c r="AO484">
        <v>8.5769353470251257</v>
      </c>
      <c r="AP484">
        <v>32.14615095862623</v>
      </c>
      <c r="AQ484">
        <v>29.990315415188881</v>
      </c>
      <c r="AR484">
        <v>7.8506103280127055</v>
      </c>
      <c r="AS484">
        <v>32.680632358375753</v>
      </c>
      <c r="AT484" t="e">
        <v>#DIV/0!</v>
      </c>
      <c r="AU484" t="e">
        <v>#DIV/0!</v>
      </c>
      <c r="AV484"/>
      <c r="AW484"/>
      <c r="FY484" s="210">
        <v>479</v>
      </c>
      <c r="FZ484">
        <v>6.6366169570396066E-2</v>
      </c>
      <c r="GA484">
        <v>3.7098431060564865</v>
      </c>
      <c r="GB484">
        <v>1.7358534250607978</v>
      </c>
      <c r="GC484">
        <v>4.1584369773247376</v>
      </c>
      <c r="GD484">
        <v>3.723021683150979</v>
      </c>
      <c r="GE484">
        <v>1.9060896250024524</v>
      </c>
      <c r="GF484">
        <v>1.0712213032574254</v>
      </c>
      <c r="GG484">
        <v>1.6110786669885027</v>
      </c>
      <c r="GH484">
        <v>1.9871405252523333</v>
      </c>
      <c r="GI484">
        <v>3.7272006795629076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17.544963562814321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8.6905143467643455</v>
      </c>
      <c r="AO485">
        <v>8.2265137284185528</v>
      </c>
      <c r="AP485">
        <v>33.750723457195789</v>
      </c>
      <c r="AQ485">
        <v>30.427158952776736</v>
      </c>
      <c r="AR485">
        <v>7.6312743306294548</v>
      </c>
      <c r="AS485">
        <v>36.452607647007198</v>
      </c>
      <c r="AT485" t="e">
        <v>#DIV/0!</v>
      </c>
      <c r="AU485" t="e">
        <v>#DIV/0!</v>
      </c>
      <c r="AV485"/>
      <c r="AW485"/>
      <c r="FY485" s="210">
        <v>480</v>
      </c>
      <c r="FZ485">
        <v>0</v>
      </c>
      <c r="GA485">
        <v>0.25078276311417147</v>
      </c>
      <c r="GB485">
        <v>0.69993699703635026</v>
      </c>
      <c r="GC485">
        <v>10.738165645914606</v>
      </c>
      <c r="GD485">
        <v>7.8586482860698972</v>
      </c>
      <c r="GE485">
        <v>1.9411004241868093</v>
      </c>
      <c r="GF485">
        <v>3.213663909772277</v>
      </c>
      <c r="GG485">
        <v>0.50421698674024196</v>
      </c>
      <c r="GH485">
        <v>0</v>
      </c>
      <c r="GI485">
        <v>6.5936313787065135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19.382927225334399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8.0989583333333321</v>
      </c>
      <c r="AO486">
        <v>12.070379724767577</v>
      </c>
      <c r="AP486">
        <v>33.797927380147208</v>
      </c>
      <c r="AQ486">
        <v>36.110220115193897</v>
      </c>
      <c r="AR486">
        <v>11.038417072937323</v>
      </c>
      <c r="AS486">
        <v>72.979945408267014</v>
      </c>
      <c r="AT486" t="e">
        <v>#DIV/0!</v>
      </c>
      <c r="AU486" t="e">
        <v>#DIV/0!</v>
      </c>
      <c r="AV486"/>
      <c r="AW486"/>
      <c r="FY486" s="210">
        <v>481</v>
      </c>
      <c r="FZ486">
        <v>0</v>
      </c>
      <c r="GA486">
        <v>2.1866747664680997</v>
      </c>
      <c r="GB486">
        <v>1.0466914561790557</v>
      </c>
      <c r="GC486">
        <v>6.4640016817459029</v>
      </c>
      <c r="GD486">
        <v>5.9555232982115278</v>
      </c>
      <c r="GE486">
        <v>2.4774218932916101</v>
      </c>
      <c r="GF486">
        <v>0.95082488560550527</v>
      </c>
      <c r="GG486">
        <v>1.321363757258766</v>
      </c>
      <c r="GH486">
        <v>0.66238017508411107</v>
      </c>
      <c r="GI486">
        <v>4.8994713168400503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21.413431066843735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5.2951770451770441</v>
      </c>
      <c r="AO487">
        <v>4.9940165651257677</v>
      </c>
      <c r="AP487">
        <v>18.71546259514183</v>
      </c>
      <c r="AQ487">
        <v>17.194563947530188</v>
      </c>
      <c r="AR487">
        <v>4.6326684277604526</v>
      </c>
      <c r="AS487">
        <v>21.612457861771244</v>
      </c>
      <c r="AT487" t="e">
        <v>#DIV/0!</v>
      </c>
      <c r="AU487" t="e">
        <v>#DIV/0!</v>
      </c>
      <c r="AV487"/>
      <c r="AW487"/>
      <c r="FY487" s="210">
        <v>482</v>
      </c>
      <c r="FZ487">
        <v>9.9549254355594113E-2</v>
      </c>
      <c r="GA487">
        <v>2.0536189293539575</v>
      </c>
      <c r="GB487">
        <v>1.4908831465921764</v>
      </c>
      <c r="GC487">
        <v>7.1699391455242392</v>
      </c>
      <c r="GD487">
        <v>5.3518949131616917</v>
      </c>
      <c r="GE487">
        <v>1.6100813366814588</v>
      </c>
      <c r="GF487">
        <v>2.3326075836359519</v>
      </c>
      <c r="GG487">
        <v>0.98521909943193808</v>
      </c>
      <c r="GH487">
        <v>0.66238017508411107</v>
      </c>
      <c r="GI487">
        <v>4.8441067857509141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23.504971915051176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3.8085317460317456</v>
      </c>
      <c r="AO488">
        <v>3.3035859097279796</v>
      </c>
      <c r="AP488">
        <v>17.022490170538347</v>
      </c>
      <c r="AQ488">
        <v>13.651567586836929</v>
      </c>
      <c r="AR488">
        <v>3.0645509366678851</v>
      </c>
      <c r="AS488">
        <v>14.541417206039855</v>
      </c>
      <c r="AT488" t="e">
        <v>#DIV/0!</v>
      </c>
      <c r="AU488" t="e">
        <v>#DIV/0!</v>
      </c>
      <c r="AV488"/>
      <c r="AW488"/>
      <c r="FY488" s="210">
        <v>483</v>
      </c>
      <c r="FZ488">
        <v>0.31204805757459919</v>
      </c>
      <c r="GA488">
        <v>5.935760181191263</v>
      </c>
      <c r="GB488">
        <v>3.2267365716529741</v>
      </c>
      <c r="GC488">
        <v>9.8754297302784622</v>
      </c>
      <c r="GD488">
        <v>7.2038754685536208</v>
      </c>
      <c r="GE488">
        <v>0.31351368791317175</v>
      </c>
      <c r="GF488">
        <v>0</v>
      </c>
      <c r="GG488">
        <v>0.48100211269169618</v>
      </c>
      <c r="GH488">
        <v>0.66238017508411107</v>
      </c>
      <c r="GI488">
        <v>6.37254291782767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25.800802449767275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6.6128853785103772</v>
      </c>
      <c r="AO489">
        <v>5.6998478584610588</v>
      </c>
      <c r="AP489">
        <v>23.551337205230155</v>
      </c>
      <c r="AQ489">
        <v>21.61017027252656</v>
      </c>
      <c r="AR489">
        <v>5.234563220544846</v>
      </c>
      <c r="AS489">
        <v>22.25531056384537</v>
      </c>
      <c r="AT489" t="e">
        <v>#DIV/0!</v>
      </c>
      <c r="AU489" t="e">
        <v>#DIV/0!</v>
      </c>
      <c r="AV489"/>
      <c r="AW489"/>
      <c r="FY489" s="210">
        <v>484</v>
      </c>
      <c r="FZ489">
        <v>0.52454686079360424</v>
      </c>
      <c r="GA489">
        <v>3.9044832244952463</v>
      </c>
      <c r="GB489">
        <v>2.1551457643120848</v>
      </c>
      <c r="GC489">
        <v>4.8511595793550883</v>
      </c>
      <c r="GD489">
        <v>4.2597897322650908</v>
      </c>
      <c r="GE489">
        <v>1.8516603081093841</v>
      </c>
      <c r="GF489">
        <v>0.5704949313633032</v>
      </c>
      <c r="GG489">
        <v>1.9472233248153306</v>
      </c>
      <c r="GH489">
        <v>1.9871405252523333</v>
      </c>
      <c r="GI489">
        <v>4.2324249251993384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28.161267700527414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9.7969131562881575</v>
      </c>
      <c r="AO490">
        <v>11.768295121554385</v>
      </c>
      <c r="AP490">
        <v>41.440985619650881</v>
      </c>
      <c r="AQ490">
        <v>39.534956251032156</v>
      </c>
      <c r="AR490">
        <v>10.863920607458878</v>
      </c>
      <c r="AS490">
        <v>62.232601823699774</v>
      </c>
      <c r="AT490" t="e">
        <v>#DIV/0!</v>
      </c>
      <c r="AU490" t="e">
        <v>#DIV/0!</v>
      </c>
      <c r="AV490"/>
      <c r="AW490"/>
      <c r="FY490" s="210">
        <v>485</v>
      </c>
      <c r="FZ490">
        <v>0</v>
      </c>
      <c r="GA490">
        <v>5.8180332551912333</v>
      </c>
      <c r="GB490">
        <v>2.7825448812398537</v>
      </c>
      <c r="GC490">
        <v>9.6074676551921918</v>
      </c>
      <c r="GD490">
        <v>7.3580605151668568</v>
      </c>
      <c r="GE490">
        <v>1.7120852000087687</v>
      </c>
      <c r="GF490">
        <v>1.7621126522726489</v>
      </c>
      <c r="GG490">
        <v>0.96200422538339236</v>
      </c>
      <c r="GH490">
        <v>1.3247603501682221</v>
      </c>
      <c r="GI490">
        <v>6.7707105497956581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30.737687327547523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6.6974587912087902</v>
      </c>
      <c r="AO491">
        <v>3.8576853453086741</v>
      </c>
      <c r="AP491">
        <v>20.084190408637209</v>
      </c>
      <c r="AQ491">
        <v>17.368124682667847</v>
      </c>
      <c r="AR491">
        <v>3.5785578342381021</v>
      </c>
      <c r="AS491">
        <v>19.6263510465553</v>
      </c>
      <c r="AT491" t="e">
        <v>#DIV/0!</v>
      </c>
      <c r="AU491" t="e">
        <v>#DIV/0!</v>
      </c>
      <c r="AV491"/>
      <c r="AW491"/>
      <c r="FY491" s="210">
        <v>486</v>
      </c>
      <c r="FZ491">
        <v>3.3183084785198033E-2</v>
      </c>
      <c r="GA491">
        <v>2.2259170751347761</v>
      </c>
      <c r="GB491">
        <v>1.0466914561790557</v>
      </c>
      <c r="GC491">
        <v>5.4591482816529462</v>
      </c>
      <c r="GD491">
        <v>4.6142311915380487</v>
      </c>
      <c r="GE491">
        <v>1.1151269710244875</v>
      </c>
      <c r="GF491">
        <v>0.5704949313633032</v>
      </c>
      <c r="GG491">
        <v>0.98521909943193808</v>
      </c>
      <c r="GH491">
        <v>0.66238017508411107</v>
      </c>
      <c r="GI491">
        <v>3.6634981821181398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33.382314425957098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7.8512667887667904</v>
      </c>
      <c r="AO492">
        <v>6.3311835752514511</v>
      </c>
      <c r="AP492">
        <v>22.682568250816402</v>
      </c>
      <c r="AQ492">
        <v>23.423375105574024</v>
      </c>
      <c r="AR492">
        <v>5.8730830939252794</v>
      </c>
      <c r="AS492">
        <v>30.763852214009887</v>
      </c>
      <c r="AT492" t="e">
        <v>#DIV/0!</v>
      </c>
      <c r="AU492" t="e">
        <v>#DIV/0!</v>
      </c>
      <c r="AV492"/>
      <c r="AW492"/>
      <c r="FY492" s="210">
        <v>487</v>
      </c>
      <c r="FZ492">
        <v>0.55772994557880229</v>
      </c>
      <c r="GA492">
        <v>3.4421600069335794</v>
      </c>
      <c r="GB492">
        <v>1.3273361139641193</v>
      </c>
      <c r="GC492">
        <v>3.8769130676508423</v>
      </c>
      <c r="GD492">
        <v>3.2259392952810311</v>
      </c>
      <c r="GE492">
        <v>1.8866711072937405</v>
      </c>
      <c r="GF492">
        <v>2.1424426065148507</v>
      </c>
      <c r="GG492">
        <v>0.3361446578268279</v>
      </c>
      <c r="GH492">
        <v>0</v>
      </c>
      <c r="GI492">
        <v>3.2810694161393927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36.254481495578958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9.8730540293040292</v>
      </c>
      <c r="AO493">
        <v>5.7602198491869983</v>
      </c>
      <c r="AP493">
        <v>44.73795409377842</v>
      </c>
      <c r="AQ493">
        <v>32.016103592858784</v>
      </c>
      <c r="AR493">
        <v>5.1319712637589401</v>
      </c>
      <c r="AS493">
        <v>24.429915584722497</v>
      </c>
      <c r="AT493" t="e">
        <v>#DIV/0!</v>
      </c>
      <c r="AU493" t="e">
        <v>#DIV/0!</v>
      </c>
      <c r="AV493"/>
      <c r="AW493"/>
      <c r="FY493" s="210">
        <v>488</v>
      </c>
      <c r="FZ493">
        <v>0.52454686079360424</v>
      </c>
      <c r="GA493">
        <v>3.4029176982669034</v>
      </c>
      <c r="GB493">
        <v>1.899400457688855</v>
      </c>
      <c r="GC493">
        <v>7.0290305392296144</v>
      </c>
      <c r="GD493">
        <v>5.7519198913152039</v>
      </c>
      <c r="GE493">
        <v>2.6232044443786373</v>
      </c>
      <c r="GF493">
        <v>2.3326075836359519</v>
      </c>
      <c r="GG493">
        <v>0.98521909943193808</v>
      </c>
      <c r="GH493">
        <v>0.66238017508411107</v>
      </c>
      <c r="GI493">
        <v>5.2483711492657967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39.198405448620584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7.5457112332112315</v>
      </c>
      <c r="AO494">
        <v>6.3721013321379107</v>
      </c>
      <c r="AP494">
        <v>28.819264511381689</v>
      </c>
      <c r="AQ494">
        <v>26.47001738969038</v>
      </c>
      <c r="AR494">
        <v>5.8053097576164001</v>
      </c>
      <c r="AS494">
        <v>30.083079582853085</v>
      </c>
      <c r="AT494" t="e">
        <v>#DIV/0!</v>
      </c>
      <c r="AU494" t="e">
        <v>#DIV/0!</v>
      </c>
      <c r="AV494"/>
      <c r="AW494"/>
      <c r="FY494" s="210">
        <v>489</v>
      </c>
      <c r="FZ494">
        <v>0.73704566401260951</v>
      </c>
      <c r="GA494">
        <v>5.8403752278491741</v>
      </c>
      <c r="GB494">
        <v>2.9460919138679103</v>
      </c>
      <c r="GC494">
        <v>12.894299217140603</v>
      </c>
      <c r="GD494">
        <v>9.7351516116440742</v>
      </c>
      <c r="GE494">
        <v>1.3810661125034183</v>
      </c>
      <c r="GF494">
        <v>0.88105632613632445</v>
      </c>
      <c r="GG494">
        <v>0.96200422538339236</v>
      </c>
      <c r="GH494">
        <v>1.3247603501682221</v>
      </c>
      <c r="GI494">
        <v>8.2925655564826659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42.381380903263434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5.3623511904761898</v>
      </c>
      <c r="AO495">
        <v>6.1490119692130722</v>
      </c>
      <c r="AP495">
        <v>26.547682378143783</v>
      </c>
      <c r="AQ495">
        <v>23.696252161227022</v>
      </c>
      <c r="AR495">
        <v>5.6512275162331678</v>
      </c>
      <c r="AS495">
        <v>36.79415321278583</v>
      </c>
      <c r="AT495" t="e">
        <v>#DIV/0!</v>
      </c>
      <c r="AU495" t="e">
        <v>#DIV/0!</v>
      </c>
      <c r="AV495"/>
      <c r="AW495"/>
      <c r="FY495" s="210">
        <v>490</v>
      </c>
      <c r="FZ495">
        <v>0.77022874879780745</v>
      </c>
      <c r="GA495">
        <v>1.0347089055663061</v>
      </c>
      <c r="GB495">
        <v>6.3936326655807327E-2</v>
      </c>
      <c r="GC495">
        <v>9.4797739106455516</v>
      </c>
      <c r="GD495">
        <v>7.7704618349062535</v>
      </c>
      <c r="GE495">
        <v>2.6232044443786373</v>
      </c>
      <c r="GF495">
        <v>1.95227762939375</v>
      </c>
      <c r="GG495">
        <v>0.64907444160511019</v>
      </c>
      <c r="GH495">
        <v>0.66238017508411107</v>
      </c>
      <c r="GI495">
        <v>6.1341235091249722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45.639640734926139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7.9774305555555554</v>
      </c>
      <c r="AO496">
        <v>10.90740193427202</v>
      </c>
      <c r="AP496">
        <v>29.1750858026667</v>
      </c>
      <c r="AQ496">
        <v>31.800146391540871</v>
      </c>
      <c r="AR496">
        <v>9.9595879537392165</v>
      </c>
      <c r="AS496">
        <v>40.506441687388474</v>
      </c>
      <c r="AT496" t="e">
        <v>#DIV/0!</v>
      </c>
      <c r="AU496" t="e">
        <v>#DIV/0!</v>
      </c>
      <c r="AV496"/>
      <c r="AW496"/>
      <c r="FY496" s="210">
        <v>491</v>
      </c>
      <c r="FZ496">
        <v>3.3183084785198033E-2</v>
      </c>
      <c r="GA496">
        <v>2.8228675547052076</v>
      </c>
      <c r="GB496">
        <v>1.3273361139641193</v>
      </c>
      <c r="GC496">
        <v>4.1556330222775992</v>
      </c>
      <c r="GD496">
        <v>3.6011771567964264</v>
      </c>
      <c r="GE496">
        <v>1.69457980041659</v>
      </c>
      <c r="GF496">
        <v>1.0712213032574254</v>
      </c>
      <c r="GG496">
        <v>0.16807232891341395</v>
      </c>
      <c r="GH496">
        <v>0</v>
      </c>
      <c r="GI496">
        <v>3.2740368451635109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49.1483939885672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7.317612942612941</v>
      </c>
      <c r="AO497">
        <v>8.0844160239496858</v>
      </c>
      <c r="AP497">
        <v>24.584820702556279</v>
      </c>
      <c r="AQ497">
        <v>25.964353230684626</v>
      </c>
      <c r="AR497">
        <v>7.4994582782464621</v>
      </c>
      <c r="AS497">
        <v>34.541198126147179</v>
      </c>
      <c r="AT497" t="e">
        <v>#DIV/0!</v>
      </c>
      <c r="AU497" t="e">
        <v>#DIV/0!</v>
      </c>
      <c r="AV497"/>
      <c r="AW497"/>
      <c r="FY497" s="210">
        <v>492</v>
      </c>
      <c r="FZ497">
        <v>0.27886497278940114</v>
      </c>
      <c r="GA497">
        <v>1.1770006231321273</v>
      </c>
      <c r="GB497">
        <v>1.5526459985461498</v>
      </c>
      <c r="GC497">
        <v>1.5364714141408182</v>
      </c>
      <c r="GD497">
        <v>1.6705800416691834</v>
      </c>
      <c r="GE497">
        <v>2.936718132291809</v>
      </c>
      <c r="GF497">
        <v>1.7621126522726489</v>
      </c>
      <c r="GG497">
        <v>1.4430063380750886</v>
      </c>
      <c r="GH497">
        <v>1.9871405252523333</v>
      </c>
      <c r="GI497">
        <v>2.2170045209641773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52.735938463301473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7.5203373015873014</v>
      </c>
      <c r="AO498">
        <v>7.9689074893718912</v>
      </c>
      <c r="AP498">
        <v>27.284505129632699</v>
      </c>
      <c r="AQ498">
        <v>26.600280369572033</v>
      </c>
      <c r="AR498">
        <v>7.2865770648835442</v>
      </c>
      <c r="AS498">
        <v>28.097957272739333</v>
      </c>
      <c r="AT498" t="e">
        <v>#DIV/0!</v>
      </c>
      <c r="AU498" t="e">
        <v>#DIV/0!</v>
      </c>
      <c r="AV498"/>
      <c r="AW498"/>
      <c r="FY498" s="210">
        <v>493</v>
      </c>
      <c r="FZ498">
        <v>0.77022874879780745</v>
      </c>
      <c r="GA498">
        <v>2.0078335298079946</v>
      </c>
      <c r="GB498">
        <v>0.53638996440829323</v>
      </c>
      <c r="GC498">
        <v>5.4459334199049607</v>
      </c>
      <c r="GD498">
        <v>4.0029912255715248</v>
      </c>
      <c r="GE498">
        <v>0</v>
      </c>
      <c r="GF498">
        <v>0.38032995424220212</v>
      </c>
      <c r="GG498">
        <v>1.7791509959019165</v>
      </c>
      <c r="GH498">
        <v>1.9871405252523333</v>
      </c>
      <c r="GI498">
        <v>3.6001749153148248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56.585352641472866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9.196924603174601</v>
      </c>
      <c r="AO499">
        <v>10.620289413211767</v>
      </c>
      <c r="AP499">
        <v>36.262160155367589</v>
      </c>
      <c r="AQ499">
        <v>34.383288902767568</v>
      </c>
      <c r="AR499">
        <v>9.8518454668012669</v>
      </c>
      <c r="AS499">
        <v>51.355760664415627</v>
      </c>
      <c r="AT499" t="e">
        <v>#DIV/0!</v>
      </c>
      <c r="AU499" t="e">
        <v>#DIV/0!</v>
      </c>
      <c r="AV499"/>
      <c r="AW499"/>
      <c r="FY499" s="210">
        <v>494</v>
      </c>
      <c r="FZ499">
        <v>0.31204805757459919</v>
      </c>
      <c r="GA499">
        <v>1.4670256949129752</v>
      </c>
      <c r="GB499">
        <v>1.1084543081330289</v>
      </c>
      <c r="GC499">
        <v>8.8850000700956784</v>
      </c>
      <c r="GD499">
        <v>6.5124877864066093</v>
      </c>
      <c r="GE499">
        <v>0.31351368791317175</v>
      </c>
      <c r="GF499">
        <v>0</v>
      </c>
      <c r="GG499">
        <v>1.4430063380750886</v>
      </c>
      <c r="GH499">
        <v>1.9871405252523333</v>
      </c>
      <c r="GI499">
        <v>5.3725420583214376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60.517045372035291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6.8298992673992673</v>
      </c>
      <c r="AO500">
        <v>7.0042053391607579</v>
      </c>
      <c r="AP500">
        <v>29.064516818444019</v>
      </c>
      <c r="AQ500">
        <v>26.284069175960802</v>
      </c>
      <c r="AR500">
        <v>6.4974075502418911</v>
      </c>
      <c r="AS500">
        <v>33.52676346719948</v>
      </c>
      <c r="AT500" t="e">
        <v>#DIV/0!</v>
      </c>
      <c r="AU500" t="e">
        <v>#DIV/0!</v>
      </c>
      <c r="AV500"/>
      <c r="AW500"/>
      <c r="FY500" s="210">
        <v>495</v>
      </c>
      <c r="FZ500">
        <v>0.2456818880042031</v>
      </c>
      <c r="GA500">
        <v>2.3513084566918616</v>
      </c>
      <c r="GB500">
        <v>1.5548194732479839</v>
      </c>
      <c r="GC500">
        <v>5.8793454449815243</v>
      </c>
      <c r="GD500">
        <v>4.5425024626125152</v>
      </c>
      <c r="GE500">
        <v>1.3441421952025283</v>
      </c>
      <c r="GF500">
        <v>1.2613862803785265</v>
      </c>
      <c r="GG500">
        <v>1.2981488832102204</v>
      </c>
      <c r="GH500">
        <v>1.3247603501682221</v>
      </c>
      <c r="GI500">
        <v>4.1515718036481966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64.721922009844903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9.5406746031746046</v>
      </c>
      <c r="AO501">
        <v>11.244736591500498</v>
      </c>
      <c r="AP501">
        <v>40.642287265283677</v>
      </c>
      <c r="AQ501">
        <v>38.09777928441882</v>
      </c>
      <c r="AR501">
        <v>10.325379571496354</v>
      </c>
      <c r="AS501">
        <v>62.611521239205899</v>
      </c>
      <c r="AT501" t="e">
        <v>#DIV/0!</v>
      </c>
      <c r="AU501" t="e">
        <v>#DIV/0!</v>
      </c>
      <c r="AV501"/>
      <c r="AW501"/>
      <c r="FY501" s="210">
        <v>496</v>
      </c>
      <c r="FZ501">
        <v>3.3183084785198033E-2</v>
      </c>
      <c r="GA501">
        <v>4.0364176969316183</v>
      </c>
      <c r="GB501">
        <v>2.4736382761154245</v>
      </c>
      <c r="GC501">
        <v>12.759585126770961</v>
      </c>
      <c r="GD501">
        <v>9.6256201646447295</v>
      </c>
      <c r="GE501">
        <v>1.9235950245946309</v>
      </c>
      <c r="GF501">
        <v>1.95227762939375</v>
      </c>
      <c r="GG501">
        <v>1.6110786669885027</v>
      </c>
      <c r="GH501">
        <v>1.9871405252523333</v>
      </c>
      <c r="GI501">
        <v>8.3451606343919398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69.012546042429378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6.4861492673992673</v>
      </c>
      <c r="AO502">
        <v>5.9249578765903923</v>
      </c>
      <c r="AP502">
        <v>19.299977206332112</v>
      </c>
      <c r="AQ502">
        <v>20.375890448312003</v>
      </c>
      <c r="AR502">
        <v>5.4962503493417358</v>
      </c>
      <c r="AS502">
        <v>26.181012872634948</v>
      </c>
      <c r="AT502" t="e">
        <v>#DIV/0!</v>
      </c>
      <c r="AU502" t="e">
        <v>#DIV/0!</v>
      </c>
      <c r="AV502"/>
      <c r="AW502"/>
      <c r="FY502" s="210">
        <v>497</v>
      </c>
      <c r="FZ502">
        <v>0.49136377600840619</v>
      </c>
      <c r="GA502">
        <v>2.5262993920450727</v>
      </c>
      <c r="GB502">
        <v>0.94490727550497178</v>
      </c>
      <c r="GC502">
        <v>4.4340596739890028</v>
      </c>
      <c r="GD502">
        <v>3.4146515899245071</v>
      </c>
      <c r="GE502">
        <v>1.3985715120955966</v>
      </c>
      <c r="GF502">
        <v>2.522772560757053</v>
      </c>
      <c r="GG502">
        <v>1.1532914283453519</v>
      </c>
      <c r="GH502">
        <v>0.66238017508411107</v>
      </c>
      <c r="GI502">
        <v>3.4333679211298134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73.58760931935818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6.5937881562881557</v>
      </c>
      <c r="AO503">
        <v>5.432252726913573</v>
      </c>
      <c r="AP503">
        <v>22.079874440352754</v>
      </c>
      <c r="AQ503">
        <v>20.076406217183184</v>
      </c>
      <c r="AR503">
        <v>4.9334650403396481</v>
      </c>
      <c r="AS503">
        <v>22.925002031001583</v>
      </c>
      <c r="AT503" t="e">
        <v>#DIV/0!</v>
      </c>
      <c r="AU503" t="e">
        <v>#DIV/0!</v>
      </c>
      <c r="AV503"/>
      <c r="AW503"/>
      <c r="FY503" s="210">
        <v>498</v>
      </c>
      <c r="FZ503">
        <v>0.31204805757459919</v>
      </c>
      <c r="GA503">
        <v>3.4029176982669034</v>
      </c>
      <c r="GB503">
        <v>2.0272731110004698</v>
      </c>
      <c r="GC503">
        <v>5.8762481870190317</v>
      </c>
      <c r="GD503">
        <v>4.6156237184112632</v>
      </c>
      <c r="GE503">
        <v>2.5681278000131527</v>
      </c>
      <c r="GF503">
        <v>2.6431689784089736</v>
      </c>
      <c r="GG503">
        <v>0.48100211269169618</v>
      </c>
      <c r="GH503">
        <v>0.66238017508411107</v>
      </c>
      <c r="GI503">
        <v>4.4998901876487745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78.251871271232531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8.7396214896214879</v>
      </c>
      <c r="AO504">
        <v>8.5892748759324906</v>
      </c>
      <c r="AP504">
        <v>31.468262079609467</v>
      </c>
      <c r="AQ504">
        <v>30.45959789909061</v>
      </c>
      <c r="AR504">
        <v>7.8620570153108158</v>
      </c>
      <c r="AS504">
        <v>34.179231009900981</v>
      </c>
      <c r="AT504" t="e">
        <v>#DIV/0!</v>
      </c>
      <c r="AU504" t="e">
        <v>#DIV/0!</v>
      </c>
      <c r="AV504"/>
      <c r="AW504"/>
      <c r="FY504" s="210">
        <v>499</v>
      </c>
      <c r="FZ504">
        <v>0.27886497278940114</v>
      </c>
      <c r="GA504">
        <v>6.7442511152091882</v>
      </c>
      <c r="GB504">
        <v>4.2073182264743885</v>
      </c>
      <c r="GC504">
        <v>9.8809839704484546</v>
      </c>
      <c r="GD504">
        <v>8.091412943148752</v>
      </c>
      <c r="GE504">
        <v>2.4136077379093082</v>
      </c>
      <c r="GF504">
        <v>0.38032995424220212</v>
      </c>
      <c r="GG504">
        <v>0.81714677051852402</v>
      </c>
      <c r="GH504">
        <v>0.66238017508411107</v>
      </c>
      <c r="GI504">
        <v>7.1102673287324825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83.211771847012812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12.354910714285715</v>
      </c>
      <c r="AO505">
        <v>13.652211468659189</v>
      </c>
      <c r="AP505">
        <v>44.876391843748998</v>
      </c>
      <c r="AQ505">
        <v>44.994416205188394</v>
      </c>
      <c r="AR505">
        <v>12.611523897908604</v>
      </c>
      <c r="AS505">
        <v>70.642251136630207</v>
      </c>
      <c r="AT505" t="e">
        <v>#DIV/0!</v>
      </c>
      <c r="AU505" t="e">
        <v>#DIV/0!</v>
      </c>
      <c r="AV505"/>
      <c r="AW505"/>
      <c r="FY505" s="210">
        <v>500</v>
      </c>
      <c r="FZ505">
        <v>0.27886497278940114</v>
      </c>
      <c r="GA505">
        <v>0.4546587620046102</v>
      </c>
      <c r="GB505">
        <v>6.3936326655807327E-2</v>
      </c>
      <c r="GC505">
        <v>9.7698203472199907</v>
      </c>
      <c r="GD505">
        <v>7.8707947146662578</v>
      </c>
      <c r="GE505">
        <v>1.9060896250024524</v>
      </c>
      <c r="GF505">
        <v>1.4515512574996277</v>
      </c>
      <c r="GG505">
        <v>2.909227550198723</v>
      </c>
      <c r="GH505">
        <v>3.3119008754205557</v>
      </c>
      <c r="GI505">
        <v>6.5754015425599439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88.264305658202829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8.7956730769230766</v>
      </c>
      <c r="AO506">
        <v>10.01447902343442</v>
      </c>
      <c r="AP506">
        <v>26.778094112121174</v>
      </c>
      <c r="AQ506">
        <v>31.140169926158304</v>
      </c>
      <c r="AR506">
        <v>9.1841387847931255</v>
      </c>
      <c r="AS506">
        <v>51.542950310206272</v>
      </c>
      <c r="AT506" t="e">
        <v>#DIV/0!</v>
      </c>
      <c r="AU506" t="e">
        <v>#DIV/0!</v>
      </c>
      <c r="AV506"/>
      <c r="AW506"/>
      <c r="FY506" s="210">
        <v>501</v>
      </c>
      <c r="FZ506">
        <v>0.55772994557880229</v>
      </c>
      <c r="GA506">
        <v>2.3540012462642546</v>
      </c>
      <c r="GB506">
        <v>1.3890989659180928</v>
      </c>
      <c r="GC506">
        <v>4.8728969680036158</v>
      </c>
      <c r="GD506">
        <v>3.8575400036687277</v>
      </c>
      <c r="GE506">
        <v>2.0612570145787128</v>
      </c>
      <c r="GF506">
        <v>2.3326075836359519</v>
      </c>
      <c r="GG506">
        <v>1.9472233248153306</v>
      </c>
      <c r="GH506">
        <v>1.9871405252523333</v>
      </c>
      <c r="GI506">
        <v>4.066697434141437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93.623624162791188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5.4317956349206344</v>
      </c>
      <c r="AO507">
        <v>5.4554580842105853</v>
      </c>
      <c r="AP507">
        <v>19.058558232842088</v>
      </c>
      <c r="AQ507">
        <v>18.148107210279491</v>
      </c>
      <c r="AR507">
        <v>5.0078565653959828</v>
      </c>
      <c r="AS507">
        <v>19.856263049446479</v>
      </c>
      <c r="AT507" t="e">
        <v>#DIV/0!</v>
      </c>
      <c r="AU507" t="e">
        <v>#DIV/0!</v>
      </c>
      <c r="AV507"/>
      <c r="AW507"/>
      <c r="FY507" s="210">
        <v>502</v>
      </c>
      <c r="FZ507">
        <v>0.49136377600840619</v>
      </c>
      <c r="GA507">
        <v>0.95622428823295302</v>
      </c>
      <c r="GB507">
        <v>0.76387332369215755</v>
      </c>
      <c r="GC507">
        <v>7.0177040572819323</v>
      </c>
      <c r="GD507">
        <v>5.5599321266281594</v>
      </c>
      <c r="GE507">
        <v>1.1151269710244875</v>
      </c>
      <c r="GF507">
        <v>0.38032995424220212</v>
      </c>
      <c r="GG507">
        <v>2.7411552212853092</v>
      </c>
      <c r="GH507">
        <v>3.3119008754205557</v>
      </c>
      <c r="GI507">
        <v>4.7617348912329351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99.07899451263836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3.5873397435897436</v>
      </c>
      <c r="AO508">
        <v>3.5650516403107622</v>
      </c>
      <c r="AP508">
        <v>19.810171521977253</v>
      </c>
      <c r="AQ508">
        <v>16.561545219133738</v>
      </c>
      <c r="AR508">
        <v>3.2013675574056877</v>
      </c>
      <c r="AS508">
        <v>15.62346506461243</v>
      </c>
      <c r="AT508" t="e">
        <v>#DIV/0!</v>
      </c>
      <c r="AU508" t="e">
        <v>#DIV/0!</v>
      </c>
      <c r="AV508"/>
      <c r="AW508"/>
      <c r="FY508" s="210">
        <v>503</v>
      </c>
      <c r="FZ508">
        <v>0.55772994557880229</v>
      </c>
      <c r="GA508">
        <v>0.78392614245213466</v>
      </c>
      <c r="GB508">
        <v>0.63600067038054287</v>
      </c>
      <c r="GC508">
        <v>2.9838635665413413</v>
      </c>
      <c r="GD508">
        <v>3.1709255879457072</v>
      </c>
      <c r="GE508">
        <v>2.9192127326996307</v>
      </c>
      <c r="GF508">
        <v>1.4515512574996277</v>
      </c>
      <c r="GG508">
        <v>0.50421698674024196</v>
      </c>
      <c r="GH508">
        <v>0</v>
      </c>
      <c r="GI508">
        <v>2.778099433107537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104.85224473436747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5.4687499999999991</v>
      </c>
      <c r="AO509">
        <v>5.9418359653521096</v>
      </c>
      <c r="AP509">
        <v>20.610199323144549</v>
      </c>
      <c r="AQ509">
        <v>20.510173279201855</v>
      </c>
      <c r="AR509">
        <v>5.5119072034806216</v>
      </c>
      <c r="AS509">
        <v>29.330196579191298</v>
      </c>
      <c r="AT509" t="e">
        <v>#DIV/0!</v>
      </c>
      <c r="AU509" t="e">
        <v>#DIV/0!</v>
      </c>
      <c r="AV509"/>
      <c r="AW509"/>
      <c r="FY509" s="210">
        <v>504</v>
      </c>
      <c r="FZ509">
        <v>0.2456818880042031</v>
      </c>
      <c r="GA509">
        <v>2.2362743202642248</v>
      </c>
      <c r="GB509">
        <v>2.0890359629544428</v>
      </c>
      <c r="GC509">
        <v>3.135458379028655</v>
      </c>
      <c r="GD509">
        <v>2.4646763104623428</v>
      </c>
      <c r="GE509">
        <v>1.5925759370892807</v>
      </c>
      <c r="GF509">
        <v>1.2613862803785265</v>
      </c>
      <c r="GG509">
        <v>0.3361446578268279</v>
      </c>
      <c r="GH509">
        <v>0</v>
      </c>
      <c r="GI509">
        <v>2.4900144602482777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110.72495016529868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6.583333333333333</v>
      </c>
      <c r="AO510">
        <v>8.8628020871588742</v>
      </c>
      <c r="AP510">
        <v>25.823978810623284</v>
      </c>
      <c r="AQ510">
        <v>27.401218526684922</v>
      </c>
      <c r="AR510">
        <v>8.2215232719470102</v>
      </c>
      <c r="AS510">
        <v>49.825749695780324</v>
      </c>
      <c r="AT510" t="e">
        <v>#DIV/0!</v>
      </c>
      <c r="AU510" t="e">
        <v>#DIV/0!</v>
      </c>
      <c r="AV510"/>
      <c r="AW510"/>
      <c r="FY510" s="210">
        <v>505</v>
      </c>
      <c r="FZ510">
        <v>0.52454686079360424</v>
      </c>
      <c r="GA510">
        <v>3.4029176982669034</v>
      </c>
      <c r="GB510">
        <v>1.899400457688855</v>
      </c>
      <c r="GC510">
        <v>9.6099246373996898</v>
      </c>
      <c r="GD510">
        <v>7.698298519561054</v>
      </c>
      <c r="GE510">
        <v>2.6882843904050566</v>
      </c>
      <c r="GF510">
        <v>1.95227762939375</v>
      </c>
      <c r="GG510">
        <v>0.16807232891341395</v>
      </c>
      <c r="GH510">
        <v>0</v>
      </c>
      <c r="GI510">
        <v>6.438769902363644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116.92658197416165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6.6198298229548218</v>
      </c>
      <c r="AO511">
        <v>6.8064708587753229</v>
      </c>
      <c r="AP511">
        <v>25.025611416506436</v>
      </c>
      <c r="AQ511">
        <v>23.95366723814578</v>
      </c>
      <c r="AR511">
        <v>6.2611151688883195</v>
      </c>
      <c r="AS511">
        <v>26.392786369458673</v>
      </c>
      <c r="AT511" t="e">
        <v>#DIV/0!</v>
      </c>
      <c r="AU511" t="e">
        <v>#DIV/0!</v>
      </c>
      <c r="AV511"/>
      <c r="AW511"/>
      <c r="FY511" s="210">
        <v>506</v>
      </c>
      <c r="FZ511">
        <v>0.2456818880042031</v>
      </c>
      <c r="GA511">
        <v>1.9854915571500533</v>
      </c>
      <c r="GB511">
        <v>1.3890989659180928</v>
      </c>
      <c r="GC511">
        <v>2.7082408698770761</v>
      </c>
      <c r="GD511">
        <v>2.9803303501318763</v>
      </c>
      <c r="GE511">
        <v>2.4136077379093082</v>
      </c>
      <c r="GF511">
        <v>0.5704949313633032</v>
      </c>
      <c r="GG511">
        <v>1.4662212121236342</v>
      </c>
      <c r="GH511">
        <v>1.3247603501682221</v>
      </c>
      <c r="GI511">
        <v>2.8553055320775504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123.23105775821284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11.342757936507935</v>
      </c>
      <c r="AO512">
        <v>13.768046430134049</v>
      </c>
      <c r="AP512">
        <v>44.932175923019798</v>
      </c>
      <c r="AQ512">
        <v>44.747696829869092</v>
      </c>
      <c r="AR512">
        <v>12.666112260395755</v>
      </c>
      <c r="AS512">
        <v>81.102829699578635</v>
      </c>
      <c r="AT512" t="e">
        <v>#DIV/0!</v>
      </c>
      <c r="AU512" t="e">
        <v>#DIV/0!</v>
      </c>
      <c r="AV512"/>
      <c r="AW512"/>
      <c r="FY512" s="210">
        <v>507</v>
      </c>
      <c r="FZ512">
        <v>0.2456818880042031</v>
      </c>
      <c r="GA512">
        <v>2.2259170751347761</v>
      </c>
      <c r="GB512">
        <v>1.4908831465921764</v>
      </c>
      <c r="GC512">
        <v>10.762706989610273</v>
      </c>
      <c r="GD512">
        <v>8.5576401167804015</v>
      </c>
      <c r="GE512">
        <v>2.1826793956147341</v>
      </c>
      <c r="GF512">
        <v>1.6417162346207288</v>
      </c>
      <c r="GG512">
        <v>1.1532914283453519</v>
      </c>
      <c r="GH512">
        <v>0.66238017508411107</v>
      </c>
      <c r="GI512">
        <v>6.9902250988000256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129.87545979547883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4.8958333333333339</v>
      </c>
      <c r="AO513">
        <v>5.6345354200298701</v>
      </c>
      <c r="AP513">
        <v>22.550876687566404</v>
      </c>
      <c r="AQ513">
        <v>20.981665304883887</v>
      </c>
      <c r="AR513">
        <v>5.1211113233788863</v>
      </c>
      <c r="AS513">
        <v>21.776692967825252</v>
      </c>
      <c r="AT513" t="e">
        <v>#DIV/0!</v>
      </c>
      <c r="AU513" t="e">
        <v>#DIV/0!</v>
      </c>
      <c r="AV513"/>
      <c r="AW513"/>
      <c r="FY513" s="210">
        <v>508</v>
      </c>
      <c r="FZ513">
        <v>3.3183084785198033E-2</v>
      </c>
      <c r="GA513">
        <v>1.9751343120206046</v>
      </c>
      <c r="GB513">
        <v>0.91881880286744089</v>
      </c>
      <c r="GC513">
        <v>7.9169480743164193</v>
      </c>
      <c r="GD513">
        <v>6.4838534794629048</v>
      </c>
      <c r="GE513">
        <v>1.8691657077015624</v>
      </c>
      <c r="GF513">
        <v>1.4515512574996277</v>
      </c>
      <c r="GG513">
        <v>1.9472233248153306</v>
      </c>
      <c r="GH513">
        <v>1.9871405252523333</v>
      </c>
      <c r="GI513">
        <v>5.5492502259893133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136.62608057362826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7.5394345238095228</v>
      </c>
      <c r="AO514">
        <v>7.3585403630971911</v>
      </c>
      <c r="AP514">
        <v>29.276273891643136</v>
      </c>
      <c r="AQ514">
        <v>27.088680026118972</v>
      </c>
      <c r="AR514">
        <v>6.6675085741707258</v>
      </c>
      <c r="AS514">
        <v>27.021982699963374</v>
      </c>
      <c r="AT514" t="e">
        <v>#DIV/0!</v>
      </c>
      <c r="AU514" t="e">
        <v>#DIV/0!</v>
      </c>
      <c r="AV514"/>
      <c r="AW514"/>
      <c r="FY514" s="210">
        <v>509</v>
      </c>
      <c r="FZ514">
        <v>3.3183084785198033E-2</v>
      </c>
      <c r="GA514">
        <v>2.9482589362622931</v>
      </c>
      <c r="GB514">
        <v>1.9633367843446625</v>
      </c>
      <c r="GC514">
        <v>3.2953540888489554</v>
      </c>
      <c r="GD514">
        <v>3.2188166349318754</v>
      </c>
      <c r="GE514">
        <v>3.0743801222758913</v>
      </c>
      <c r="GF514">
        <v>1.95227762939375</v>
      </c>
      <c r="GG514">
        <v>1.1300765542968063</v>
      </c>
      <c r="GH514">
        <v>1.3247603501682221</v>
      </c>
      <c r="GI514">
        <v>3.3666966970099463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143.72758273431248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10.686507936507935</v>
      </c>
      <c r="AO515">
        <v>11.690653751766634</v>
      </c>
      <c r="AP515">
        <v>42.771751717260258</v>
      </c>
      <c r="AQ515">
        <v>40.586563194556817</v>
      </c>
      <c r="AR515">
        <v>10.844762292918956</v>
      </c>
      <c r="AS515">
        <v>62.658018529414541</v>
      </c>
      <c r="AT515" t="e">
        <v>#DIV/0!</v>
      </c>
      <c r="AU515" t="e">
        <v>#DIV/0!</v>
      </c>
      <c r="AV515"/>
      <c r="AW515"/>
      <c r="FY515" s="210">
        <v>510</v>
      </c>
      <c r="FZ515">
        <v>0.27886497278940114</v>
      </c>
      <c r="GA515">
        <v>0.58005014356169593</v>
      </c>
      <c r="GB515">
        <v>0.69993699703635026</v>
      </c>
      <c r="GC515">
        <v>6.8697751051643063</v>
      </c>
      <c r="GD515">
        <v>5.3560026067748963</v>
      </c>
      <c r="GE515">
        <v>1.0500470249980682</v>
      </c>
      <c r="GF515">
        <v>0.38032995424220212</v>
      </c>
      <c r="GG515">
        <v>2.2601531085936126</v>
      </c>
      <c r="GH515">
        <v>2.6495207003364443</v>
      </c>
      <c r="GI515">
        <v>4.69889353424528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150.93866495420184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8.2065972222222214</v>
      </c>
      <c r="AO516">
        <v>10.819890696760343</v>
      </c>
      <c r="AP516">
        <v>32.124541467947402</v>
      </c>
      <c r="AQ516">
        <v>34.592245974017366</v>
      </c>
      <c r="AR516">
        <v>9.9841391373345356</v>
      </c>
      <c r="AS516">
        <v>60.729467672186047</v>
      </c>
      <c r="AT516" t="e">
        <v>#DIV/0!</v>
      </c>
      <c r="AU516" t="e">
        <v>#DIV/0!</v>
      </c>
      <c r="AV516"/>
      <c r="AW516"/>
      <c r="FY516" s="210">
        <v>511</v>
      </c>
      <c r="FZ516">
        <v>0.2456818880042031</v>
      </c>
      <c r="GA516">
        <v>0.29002507178084797</v>
      </c>
      <c r="GB516">
        <v>0.57206434372473558</v>
      </c>
      <c r="GC516">
        <v>4.1611872624475907</v>
      </c>
      <c r="GD516">
        <v>3.6635026450524792</v>
      </c>
      <c r="GE516">
        <v>2.1175994495883153</v>
      </c>
      <c r="GF516">
        <v>1.2613862803785265</v>
      </c>
      <c r="GG516">
        <v>0.3361446578268279</v>
      </c>
      <c r="GH516">
        <v>0</v>
      </c>
      <c r="GI516">
        <v>2.9938793013749079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158.51154068507043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6.6399572649572631</v>
      </c>
      <c r="AO517">
        <v>6.6936255309973305</v>
      </c>
      <c r="AP517">
        <v>28.081998823789192</v>
      </c>
      <c r="AQ517">
        <v>25.426193011857258</v>
      </c>
      <c r="AR517">
        <v>6.1035696823468459</v>
      </c>
      <c r="AS517">
        <v>25.841208327707687</v>
      </c>
      <c r="AT517" t="e">
        <v>#DIV/0!</v>
      </c>
      <c r="AU517" t="e">
        <v>#DIV/0!</v>
      </c>
      <c r="AV517"/>
      <c r="AW517"/>
      <c r="FY517" s="210">
        <v>512</v>
      </c>
      <c r="FZ517">
        <v>0.34523114235979718</v>
      </c>
      <c r="GA517">
        <v>4.4049273860458191</v>
      </c>
      <c r="GB517">
        <v>2.4736382761154245</v>
      </c>
      <c r="GC517">
        <v>6.8798927089498001</v>
      </c>
      <c r="GD517">
        <v>5.8004765111121595</v>
      </c>
      <c r="GE517">
        <v>2.3572653028997061</v>
      </c>
      <c r="GF517">
        <v>1.2613862803785265</v>
      </c>
      <c r="GG517">
        <v>1.2981488832102204</v>
      </c>
      <c r="GH517">
        <v>1.3247603501682221</v>
      </c>
      <c r="GI517">
        <v>5.2073574822722293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158.51154068507043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7.1845619658119642</v>
      </c>
      <c r="AO518">
        <v>7.7450012436306395</v>
      </c>
      <c r="AP518">
        <v>26.319964259453172</v>
      </c>
      <c r="AQ518">
        <v>27.099345485049099</v>
      </c>
      <c r="AR518">
        <v>7.184602266818775</v>
      </c>
      <c r="AS518">
        <v>36.598481832191432</v>
      </c>
      <c r="AT518" t="e">
        <v>#DIV/0!</v>
      </c>
      <c r="AU518" t="e">
        <v>#DIV/0!</v>
      </c>
      <c r="AV518"/>
      <c r="AW518"/>
      <c r="FY518" s="210">
        <v>513</v>
      </c>
      <c r="FZ518">
        <v>0</v>
      </c>
      <c r="GA518">
        <v>0.97312462424168844</v>
      </c>
      <c r="GB518">
        <v>0.47245363775248589</v>
      </c>
      <c r="GC518">
        <v>0.86273591563614338</v>
      </c>
      <c r="GD518">
        <v>0.91319376407257791</v>
      </c>
      <c r="GE518">
        <v>1.6100813366814588</v>
      </c>
      <c r="GF518">
        <v>2.3326075836359519</v>
      </c>
      <c r="GG518">
        <v>0.50421698674024196</v>
      </c>
      <c r="GH518">
        <v>0</v>
      </c>
      <c r="GI518">
        <v>1.1640783318833556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4.9814369658119659</v>
      </c>
      <c r="AO519">
        <v>4.5262723579829141</v>
      </c>
      <c r="AP519">
        <v>15.027838020785934</v>
      </c>
      <c r="AQ519">
        <v>15.785526322945566</v>
      </c>
      <c r="AR519">
        <v>4.1459032015484221</v>
      </c>
      <c r="AS519">
        <v>19.227282726270957</v>
      </c>
      <c r="AT519" t="e">
        <v>#DIV/0!</v>
      </c>
      <c r="AU519" t="e">
        <v>#DIV/0!</v>
      </c>
      <c r="AV519"/>
      <c r="AW519"/>
      <c r="FY519" s="210">
        <v>514</v>
      </c>
      <c r="FZ519">
        <v>0.49136377600840619</v>
      </c>
      <c r="GA519">
        <v>1.5531747678033843</v>
      </c>
      <c r="GB519">
        <v>1.0445179814772214</v>
      </c>
      <c r="GC519">
        <v>1.4176471693343613</v>
      </c>
      <c r="GD519">
        <v>1.241490013300556</v>
      </c>
      <c r="GE519">
        <v>1.8866711072937405</v>
      </c>
      <c r="GF519">
        <v>2.1424426065148507</v>
      </c>
      <c r="GG519">
        <v>0.81714677051852402</v>
      </c>
      <c r="GH519">
        <v>0.66238017508411107</v>
      </c>
      <c r="GI519">
        <v>1.7652975685611578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9.917540455335013</v>
      </c>
      <c r="H520" s="63" t="s">
        <v>30</v>
      </c>
      <c r="I520" s="101">
        <f>SUM(K458:K518)</f>
        <v>54.175786594313074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4.6406249999999991</v>
      </c>
      <c r="AO520">
        <v>4.0134125452342939</v>
      </c>
      <c r="AP520">
        <v>17.803730639509343</v>
      </c>
      <c r="AQ520">
        <v>15.851248196256781</v>
      </c>
      <c r="AR520">
        <v>3.670151983785324</v>
      </c>
      <c r="AS520">
        <v>19.179928294003794</v>
      </c>
      <c r="AT520" t="e">
        <v>#DIV/0!</v>
      </c>
      <c r="AU520" t="e">
        <v>#DIV/0!</v>
      </c>
      <c r="AV520"/>
      <c r="AW520"/>
      <c r="FY520" s="210">
        <v>515</v>
      </c>
      <c r="FZ520">
        <v>0.34523114235979718</v>
      </c>
      <c r="GA520">
        <v>2.1032184831500831</v>
      </c>
      <c r="GB520">
        <v>1.3890989659180928</v>
      </c>
      <c r="GC520">
        <v>2.8460522182092092</v>
      </c>
      <c r="GD520">
        <v>2.3093034104060357</v>
      </c>
      <c r="GE520">
        <v>1.3810661125034183</v>
      </c>
      <c r="GF520">
        <v>1.2613862803785265</v>
      </c>
      <c r="GG520">
        <v>0.81714677051852402</v>
      </c>
      <c r="GH520">
        <v>0.66238017508411107</v>
      </c>
      <c r="GI520">
        <v>2.452891543528966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9.6984890109890109</v>
      </c>
      <c r="AO521">
        <v>10.543402147094737</v>
      </c>
      <c r="AP521">
        <v>33.019046962761529</v>
      </c>
      <c r="AQ521">
        <v>34.382492424785966</v>
      </c>
      <c r="AR521">
        <v>9.6747910330865547</v>
      </c>
      <c r="AS521">
        <v>54.430268524402045</v>
      </c>
      <c r="AT521" t="e">
        <v>#DIV/0!</v>
      </c>
      <c r="AU521" t="e">
        <v>#DIV/0!</v>
      </c>
      <c r="AV521"/>
      <c r="AW521"/>
      <c r="FY521" s="210">
        <v>516</v>
      </c>
      <c r="FZ521">
        <v>0.34523114235979718</v>
      </c>
      <c r="GA521">
        <v>2.3436440011348054</v>
      </c>
      <c r="GB521">
        <v>2.0629474903169118</v>
      </c>
      <c r="GC521">
        <v>2.0990432894170294</v>
      </c>
      <c r="GD521">
        <v>1.9668037062992947</v>
      </c>
      <c r="GE521">
        <v>2.1826793956147341</v>
      </c>
      <c r="GF521">
        <v>1.4515512574996277</v>
      </c>
      <c r="GG521">
        <v>1.9472233248153306</v>
      </c>
      <c r="GH521">
        <v>1.9871405252523333</v>
      </c>
      <c r="GI521">
        <v>2.5721425488327951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5.4626232016195013</v>
      </c>
      <c r="G522" s="63"/>
      <c r="H522" s="63" t="s">
        <v>101</v>
      </c>
      <c r="I522">
        <v>354.82888793945312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4.2013888888888884</v>
      </c>
      <c r="AO522">
        <v>4.6790171583334583</v>
      </c>
      <c r="AP522">
        <v>19.267467457274776</v>
      </c>
      <c r="AQ522">
        <v>17.93923339472332</v>
      </c>
      <c r="AR522">
        <v>4.3404611858380875</v>
      </c>
      <c r="AS522">
        <v>20.599380004469161</v>
      </c>
      <c r="AT522" t="e">
        <v>#DIV/0!</v>
      </c>
      <c r="AU522" t="e">
        <v>#DIV/0!</v>
      </c>
      <c r="AV522"/>
      <c r="AW522"/>
      <c r="FY522" s="210">
        <v>517</v>
      </c>
      <c r="FZ522">
        <v>0.55772994557880229</v>
      </c>
      <c r="GA522">
        <v>7.3139440136414358</v>
      </c>
      <c r="GB522">
        <v>3.737038063423737</v>
      </c>
      <c r="GC522">
        <v>15.221308007294942</v>
      </c>
      <c r="GD522">
        <v>11.315033635438162</v>
      </c>
      <c r="GE522">
        <v>1.0675524245902468</v>
      </c>
      <c r="GF522">
        <v>1.0712213032574254</v>
      </c>
      <c r="GG522">
        <v>1.1300765542968063</v>
      </c>
      <c r="GH522">
        <v>1.3247603501682221</v>
      </c>
      <c r="GI522">
        <v>9.5989023496961643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5.6192084025902185</v>
      </c>
      <c r="G523" s="63"/>
      <c r="H523" s="63" t="s">
        <v>103</v>
      </c>
      <c r="I523" s="123">
        <f>+I520*(365/I522)</f>
        <v>55.728726659646924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10.026079822954822</v>
      </c>
      <c r="AO523">
        <v>11.483440464351609</v>
      </c>
      <c r="AP523">
        <v>33.547081663262574</v>
      </c>
      <c r="AQ523">
        <v>35.91312154858678</v>
      </c>
      <c r="AR523">
        <v>10.599676955137191</v>
      </c>
      <c r="AS523">
        <v>55.95823897012685</v>
      </c>
      <c r="AT523" t="e">
        <v>#DIV/0!</v>
      </c>
      <c r="AU523" t="e">
        <v>#DIV/0!</v>
      </c>
      <c r="AV523"/>
      <c r="AW523"/>
      <c r="FY523" s="210">
        <v>518</v>
      </c>
      <c r="FZ523">
        <v>0.31204805757459919</v>
      </c>
      <c r="GA523">
        <v>6.1761856991759858</v>
      </c>
      <c r="GB523">
        <v>2.7564564086023227</v>
      </c>
      <c r="GC523">
        <v>10.632556262856134</v>
      </c>
      <c r="GD523">
        <v>8.6618760167234683</v>
      </c>
      <c r="GE523">
        <v>2.1826793956147341</v>
      </c>
      <c r="GF523">
        <v>1.2613862803785265</v>
      </c>
      <c r="GG523">
        <v>0.81714677051852402</v>
      </c>
      <c r="GH523">
        <v>0.66238017508411107</v>
      </c>
      <c r="GI523">
        <v>7.3270141678389233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8.1476076007326004</v>
      </c>
      <c r="AO524">
        <v>9.1393207005584163</v>
      </c>
      <c r="AP524">
        <v>29.502401106859683</v>
      </c>
      <c r="AQ524">
        <v>30.132268794710733</v>
      </c>
      <c r="AR524">
        <v>8.4251688254589059</v>
      </c>
      <c r="AS524">
        <v>33.1245673269256</v>
      </c>
      <c r="AT524" t="e">
        <v>#DIV/0!</v>
      </c>
      <c r="AU524" t="e">
        <v>#DIV/0!</v>
      </c>
      <c r="AV524"/>
      <c r="AW524"/>
      <c r="FY524" s="210">
        <v>519</v>
      </c>
      <c r="FZ524">
        <v>0.31204805757459919</v>
      </c>
      <c r="GA524">
        <v>0.61929245222837248</v>
      </c>
      <c r="GB524">
        <v>0.12787265331161465</v>
      </c>
      <c r="GC524">
        <v>7.3236403394195539</v>
      </c>
      <c r="GD524">
        <v>5.8939585093320792</v>
      </c>
      <c r="GE524">
        <v>1.0131231076971783</v>
      </c>
      <c r="GF524">
        <v>0</v>
      </c>
      <c r="GG524">
        <v>1.4430063380750886</v>
      </c>
      <c r="GH524">
        <v>1.9871405252523333</v>
      </c>
      <c r="GI524">
        <v>4.6622231630700544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6.320550976800976</v>
      </c>
      <c r="AO525">
        <v>5.4783220051187271</v>
      </c>
      <c r="AP525">
        <v>25.220264374452977</v>
      </c>
      <c r="AQ525">
        <v>22.307140882317604</v>
      </c>
      <c r="AR525">
        <v>4.9762009199362671</v>
      </c>
      <c r="AS525">
        <v>24.744852395268214</v>
      </c>
      <c r="AT525" t="e">
        <v>#DIV/0!</v>
      </c>
      <c r="AU525" t="e">
        <v>#DIV/0!</v>
      </c>
      <c r="AV525"/>
      <c r="AW525"/>
      <c r="FY525" s="210">
        <v>520</v>
      </c>
      <c r="FZ525">
        <v>0.73704566401260951</v>
      </c>
      <c r="GA525">
        <v>7.4104503316612931</v>
      </c>
      <c r="GB525">
        <v>4.2712545531301966</v>
      </c>
      <c r="GC525">
        <v>2.6892537663514009</v>
      </c>
      <c r="GD525">
        <v>2.3578600302029913</v>
      </c>
      <c r="GE525">
        <v>1.5381466201962124</v>
      </c>
      <c r="GF525">
        <v>0.5704949313633032</v>
      </c>
      <c r="GG525">
        <v>1.4662212121236342</v>
      </c>
      <c r="GH525">
        <v>1.3247603501682221</v>
      </c>
      <c r="GI525">
        <v>3.1838910362725557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5.8506944444444446</v>
      </c>
      <c r="AO526">
        <v>7.8023110768290866</v>
      </c>
      <c r="AP526">
        <v>24.308221559450594</v>
      </c>
      <c r="AQ526">
        <v>24.823574147742256</v>
      </c>
      <c r="AR526">
        <v>7.2377653773924733</v>
      </c>
      <c r="AS526">
        <v>28.974072224880999</v>
      </c>
      <c r="AT526" t="e">
        <v>#DIV/0!</v>
      </c>
      <c r="AU526" t="e">
        <v>#DIV/0!</v>
      </c>
      <c r="AV526"/>
      <c r="AW526"/>
      <c r="FY526" s="210">
        <v>521</v>
      </c>
      <c r="FZ526">
        <v>3.3183084785198033E-2</v>
      </c>
      <c r="GA526">
        <v>1.9751343120206046</v>
      </c>
      <c r="GB526">
        <v>1.4908831465921764</v>
      </c>
      <c r="GC526">
        <v>9.5985981554520077</v>
      </c>
      <c r="GD526">
        <v>7.387878832405379</v>
      </c>
      <c r="GE526">
        <v>1.4830699758307275</v>
      </c>
      <c r="GF526">
        <v>1.2613862803785265</v>
      </c>
      <c r="GG526">
        <v>1.7791509959019165</v>
      </c>
      <c r="GH526">
        <v>1.9871405252523333</v>
      </c>
      <c r="GI526">
        <v>6.15891168078047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4.9079861111111116</v>
      </c>
      <c r="AO527">
        <v>4.870305632223924</v>
      </c>
      <c r="AP527">
        <v>14.155126597223878</v>
      </c>
      <c r="AQ527">
        <v>15.641470900178433</v>
      </c>
      <c r="AR527">
        <v>4.4650435301578932</v>
      </c>
      <c r="AS527">
        <v>22.74376245495964</v>
      </c>
      <c r="AT527" t="e">
        <v>#DIV/0!</v>
      </c>
      <c r="AU527" t="e">
        <v>#DIV/0!</v>
      </c>
      <c r="AV527"/>
      <c r="AW527"/>
      <c r="FY527" s="210">
        <v>522</v>
      </c>
      <c r="FZ527">
        <v>0.34523114235979718</v>
      </c>
      <c r="GA527">
        <v>5.1376264923027852</v>
      </c>
      <c r="GB527">
        <v>3.4163720769185622</v>
      </c>
      <c r="GC527">
        <v>2.8239678567210409</v>
      </c>
      <c r="GD527">
        <v>2.6036999617432679</v>
      </c>
      <c r="GE527">
        <v>2.3572653028997061</v>
      </c>
      <c r="GF527">
        <v>1.0712213032574254</v>
      </c>
      <c r="GG527">
        <v>0.64907444160511019</v>
      </c>
      <c r="GH527">
        <v>0.66238017508411107</v>
      </c>
      <c r="GI527">
        <v>3.0241717293817123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9.8143124236874222</v>
      </c>
      <c r="AO528">
        <v>8.4782574703078435</v>
      </c>
      <c r="AP528">
        <v>32.973374020799923</v>
      </c>
      <c r="AQ528">
        <v>31.353084323511904</v>
      </c>
      <c r="AR528">
        <v>7.8119376285659818</v>
      </c>
      <c r="AS528">
        <v>37.095849256361227</v>
      </c>
      <c r="AT528" t="e">
        <v>#DIV/0!</v>
      </c>
      <c r="AU528" t="e">
        <v>#DIV/0!</v>
      </c>
      <c r="AV528"/>
      <c r="AW528"/>
      <c r="FY528" s="210">
        <v>523</v>
      </c>
      <c r="FZ528">
        <v>3.3183084785198033E-2</v>
      </c>
      <c r="GA528">
        <v>2.2259170751347761</v>
      </c>
      <c r="GB528">
        <v>2.7628844873532623</v>
      </c>
      <c r="GC528">
        <v>10.711517920810937</v>
      </c>
      <c r="GD528">
        <v>7.5445480593674832</v>
      </c>
      <c r="GE528">
        <v>2.1156863314717813</v>
      </c>
      <c r="GF528">
        <v>3.213663909772277</v>
      </c>
      <c r="GG528">
        <v>1.4662212121236342</v>
      </c>
      <c r="GH528">
        <v>1.3247603501682221</v>
      </c>
      <c r="GI528">
        <v>7.0724404659792031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2.2916666666666661</v>
      </c>
      <c r="AO529">
        <v>1.8329295393257485</v>
      </c>
      <c r="AP529">
        <v>10.236386815820746</v>
      </c>
      <c r="AQ529">
        <v>8.8324921806439036</v>
      </c>
      <c r="AR529">
        <v>1.5945752559353599</v>
      </c>
      <c r="AS529">
        <v>9.4334356815140179</v>
      </c>
      <c r="AT529" t="e">
        <v>#DIV/0!</v>
      </c>
      <c r="AU529" t="e">
        <v>#DIV/0!</v>
      </c>
      <c r="AV529"/>
      <c r="AW529"/>
      <c r="FY529" s="210">
        <v>524</v>
      </c>
      <c r="FZ529">
        <v>0.27886497278940114</v>
      </c>
      <c r="GA529">
        <v>5.6560923545398634</v>
      </c>
      <c r="GB529">
        <v>3.1249523909788905</v>
      </c>
      <c r="GC529">
        <v>2.1211276509051977</v>
      </c>
      <c r="GD529">
        <v>1.6045814462195911</v>
      </c>
      <c r="GE529">
        <v>1.0675524245902468</v>
      </c>
      <c r="GF529">
        <v>1.6417162346207288</v>
      </c>
      <c r="GG529">
        <v>2.5962977664204407</v>
      </c>
      <c r="GH529">
        <v>2.6495207003364443</v>
      </c>
      <c r="GI529">
        <v>2.8474259459458322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3.3581730769230766</v>
      </c>
      <c r="AO530">
        <v>2.8669338392597923</v>
      </c>
      <c r="AP530">
        <v>15.658269676462648</v>
      </c>
      <c r="AQ530">
        <v>13.022131935896313</v>
      </c>
      <c r="AR530">
        <v>2.553762918211838</v>
      </c>
      <c r="AS530">
        <v>12.57292339813953</v>
      </c>
      <c r="AT530" t="e">
        <v>#DIV/0!</v>
      </c>
      <c r="AU530" t="e">
        <v>#DIV/0!</v>
      </c>
      <c r="AV530"/>
      <c r="AW530"/>
      <c r="FY530" s="210">
        <v>525</v>
      </c>
      <c r="FZ530">
        <v>3.3183084785198033E-2</v>
      </c>
      <c r="GA530">
        <v>7.7828103220823888</v>
      </c>
      <c r="GB530">
        <v>4.2473395551944986</v>
      </c>
      <c r="GC530">
        <v>13.043437047420417</v>
      </c>
      <c r="GD530">
        <v>9.8050269143157465</v>
      </c>
      <c r="GE530">
        <v>1.8866711072937405</v>
      </c>
      <c r="GF530">
        <v>2.1424426065148507</v>
      </c>
      <c r="GG530">
        <v>0.3361446578268279</v>
      </c>
      <c r="GH530">
        <v>0</v>
      </c>
      <c r="GI530">
        <v>8.7011605325895172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0</v>
      </c>
      <c r="E531" s="108" t="e">
        <f>E405</f>
        <v>#DIV/0!</v>
      </c>
      <c r="F531" s="102"/>
      <c r="G531" s="101" t="e">
        <f>D531*E531</f>
        <v>#DIV/0!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4.0295138888888893</v>
      </c>
      <c r="AO531">
        <v>4.0303145359085768</v>
      </c>
      <c r="AP531">
        <v>17.601810346089039</v>
      </c>
      <c r="AQ531">
        <v>15.567775102056768</v>
      </c>
      <c r="AR531">
        <v>3.6858310103848431</v>
      </c>
      <c r="AS531">
        <v>14.86537238493443</v>
      </c>
      <c r="AT531" t="e">
        <v>#DIV/0!</v>
      </c>
      <c r="AU531" t="e">
        <v>#DIV/0!</v>
      </c>
      <c r="AV531"/>
      <c r="AW531"/>
      <c r="FY531" s="210">
        <v>526</v>
      </c>
      <c r="FZ531">
        <v>0.27886497278940114</v>
      </c>
      <c r="GA531">
        <v>1.3023920046892128</v>
      </c>
      <c r="GB531">
        <v>1.6165823252019571</v>
      </c>
      <c r="GC531">
        <v>5.8471434797078636</v>
      </c>
      <c r="GD531">
        <v>4.5466101562257197</v>
      </c>
      <c r="GE531">
        <v>1.32663679561035</v>
      </c>
      <c r="GF531">
        <v>0.5704949313633032</v>
      </c>
      <c r="GG531">
        <v>1.4662212121236342</v>
      </c>
      <c r="GH531">
        <v>1.3247603501682221</v>
      </c>
      <c r="GI531">
        <v>4.1459527906770806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 t="e">
        <f>E533-E531</f>
        <v>#DIV/0!</v>
      </c>
      <c r="I532" s="101">
        <f>AVERAGE(D531:D533)</f>
        <v>2.6041666666666665</v>
      </c>
      <c r="J532" s="101" t="e">
        <f>I532*H532</f>
        <v>#DIV/0!</v>
      </c>
      <c r="K532" s="61" t="e">
        <f>J532/(C533-C531)</f>
        <v>#DIV/0!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5.3142742673992673</v>
      </c>
      <c r="AO532">
        <v>4.1909848778559899</v>
      </c>
      <c r="AP532">
        <v>23.257186765787313</v>
      </c>
      <c r="AQ532">
        <v>18.958406681542659</v>
      </c>
      <c r="AR532">
        <v>3.8348758544919064</v>
      </c>
      <c r="AS532">
        <v>18.919673495554012</v>
      </c>
      <c r="AT532" t="e">
        <v>#DIV/0!</v>
      </c>
      <c r="AU532" t="e">
        <v>#DIV/0!</v>
      </c>
      <c r="AV532"/>
      <c r="AW532"/>
      <c r="FY532" s="210">
        <v>527</v>
      </c>
      <c r="FZ532">
        <v>0.27886497278940114</v>
      </c>
      <c r="GA532">
        <v>1.4277833862462987</v>
      </c>
      <c r="GB532">
        <v>0.53638996440829323</v>
      </c>
      <c r="GC532">
        <v>5.7577172451279273</v>
      </c>
      <c r="GD532">
        <v>5.6426489476234787</v>
      </c>
      <c r="GE532">
        <v>3.4354683566233035</v>
      </c>
      <c r="GF532">
        <v>1.4515512574996277</v>
      </c>
      <c r="GG532">
        <v>0.98521909943193808</v>
      </c>
      <c r="GH532">
        <v>0.66238017508411107</v>
      </c>
      <c r="GI532">
        <v>4.6685564082109385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5.208333333333333</v>
      </c>
      <c r="E533" s="108">
        <f>E406</f>
        <v>0.10769232908408907</v>
      </c>
      <c r="F533" s="102"/>
      <c r="G533" s="101">
        <f>D533*E533</f>
        <v>0.56089754731296393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15.475942460317455</v>
      </c>
      <c r="AO533">
        <v>15.779540961239139</v>
      </c>
      <c r="AP533">
        <v>52.732886233015279</v>
      </c>
      <c r="AQ533">
        <v>52.337566647385941</v>
      </c>
      <c r="AR533">
        <v>14.584927879893717</v>
      </c>
      <c r="AS533">
        <v>83.097650480580128</v>
      </c>
      <c r="AT533" t="e">
        <v>#DIV/0!</v>
      </c>
      <c r="AU533" t="e">
        <v>#DIV/0!</v>
      </c>
      <c r="AV533"/>
      <c r="AW533"/>
      <c r="FY533" s="210">
        <v>528</v>
      </c>
      <c r="FZ533">
        <v>0.55772994557880229</v>
      </c>
      <c r="GA533">
        <v>3.3271258705059426</v>
      </c>
      <c r="GB533">
        <v>1.289488259945843</v>
      </c>
      <c r="GC533">
        <v>2.8650393217348848</v>
      </c>
      <c r="GD533">
        <v>2.723958997504778</v>
      </c>
      <c r="GE533">
        <v>1.8322417904006723</v>
      </c>
      <c r="GF533">
        <v>1.0712213032574254</v>
      </c>
      <c r="GG533">
        <v>1.1300765542968063</v>
      </c>
      <c r="GH533">
        <v>1.3247603501682221</v>
      </c>
      <c r="GI533">
        <v>2.8654549426365379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1.4108801141236731</v>
      </c>
      <c r="I534" s="101">
        <f>AVERAGE(D533:D535)</f>
        <v>3.125</v>
      </c>
      <c r="J534" s="101">
        <f>I534*H534</f>
        <v>4.4090003566364784</v>
      </c>
      <c r="K534" s="61">
        <f>J534/(C535-C533)</f>
        <v>0.10753659406430435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12.677865537240535</v>
      </c>
      <c r="AO534">
        <v>12.033906568581067</v>
      </c>
      <c r="AP534">
        <v>41.077916441210022</v>
      </c>
      <c r="AQ534">
        <v>40.789729234367329</v>
      </c>
      <c r="AR534">
        <v>11.110313415461363</v>
      </c>
      <c r="AS534">
        <v>56.350878797314266</v>
      </c>
      <c r="AT534" t="e">
        <v>#DIV/0!</v>
      </c>
      <c r="AU534" t="e">
        <v>#DIV/0!</v>
      </c>
      <c r="AV534"/>
      <c r="AW534"/>
      <c r="FY534" s="210">
        <v>529</v>
      </c>
      <c r="FZ534">
        <v>0.27886497278940114</v>
      </c>
      <c r="GA534">
        <v>1.4277833862462987</v>
      </c>
      <c r="GB534">
        <v>1.1084543081330289</v>
      </c>
      <c r="GC534">
        <v>2.5458881778492768</v>
      </c>
      <c r="GD534">
        <v>1.9008051108497022</v>
      </c>
      <c r="GE534">
        <v>2.1526102487726719</v>
      </c>
      <c r="GF534">
        <v>2.8333339555300743</v>
      </c>
      <c r="GG534">
        <v>1.1300765542968063</v>
      </c>
      <c r="GH534">
        <v>1.3247603501682221</v>
      </c>
      <c r="GI534">
        <v>2.6278571491790341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1.0416666666666665</v>
      </c>
      <c r="E535" s="108">
        <f>E407</f>
        <v>1.5185724432077621</v>
      </c>
      <c r="F535" s="102"/>
      <c r="G535" s="101">
        <f>D535*E535</f>
        <v>1.5818462950080854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6.611645299145299</v>
      </c>
      <c r="AO535">
        <v>7.6817993930299098</v>
      </c>
      <c r="AP535">
        <v>20.549574901044583</v>
      </c>
      <c r="AQ535">
        <v>23.382305145960871</v>
      </c>
      <c r="AR535">
        <v>7.1259734629219942</v>
      </c>
      <c r="AS535">
        <v>32.66992892926605</v>
      </c>
      <c r="AT535" t="e">
        <v>#DIV/0!</v>
      </c>
      <c r="AU535" t="e">
        <v>#DIV/0!</v>
      </c>
      <c r="AV535"/>
      <c r="AW535"/>
      <c r="FY535" s="210">
        <v>530</v>
      </c>
      <c r="FZ535">
        <v>0.2456818880042031</v>
      </c>
      <c r="GA535">
        <v>5.0095423211733063</v>
      </c>
      <c r="GB535">
        <v>2.8182192605562957</v>
      </c>
      <c r="GC535">
        <v>2.1456689946008654</v>
      </c>
      <c r="GD535">
        <v>2.0451523303737913</v>
      </c>
      <c r="GE535">
        <v>1.32663679561035</v>
      </c>
      <c r="GF535">
        <v>0.19016497712110106</v>
      </c>
      <c r="GG535">
        <v>0.64907444160511019</v>
      </c>
      <c r="GH535">
        <v>0.66238017508411107</v>
      </c>
      <c r="GI535">
        <v>2.3481605986127358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0.85158853181577432</v>
      </c>
      <c r="I536" s="101">
        <f>AVERAGE(D535:D537)</f>
        <v>1.5624999999999998</v>
      </c>
      <c r="J536" s="101">
        <f>I536*H536</f>
        <v>1.3306070809621471</v>
      </c>
      <c r="K536" s="61">
        <f>J536/(C537-C535)</f>
        <v>4.0321426695822636E-2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7.4613476800976795</v>
      </c>
      <c r="AO536">
        <v>5.1795482358125753</v>
      </c>
      <c r="AP536">
        <v>32.956744705483395</v>
      </c>
      <c r="AQ536">
        <v>25.549378495482422</v>
      </c>
      <c r="AR536">
        <v>4.8047757289541515</v>
      </c>
      <c r="AS536">
        <v>20.647137819939989</v>
      </c>
      <c r="AT536" t="e">
        <v>#DIV/0!</v>
      </c>
      <c r="AU536" t="e">
        <v>#DIV/0!</v>
      </c>
      <c r="AV536"/>
      <c r="AW536"/>
      <c r="FY536" s="210">
        <v>531</v>
      </c>
      <c r="FZ536">
        <v>0</v>
      </c>
      <c r="GA536">
        <v>0.97312462424168844</v>
      </c>
      <c r="GB536">
        <v>1.0445179814772214</v>
      </c>
      <c r="GC536">
        <v>11.187467516554351</v>
      </c>
      <c r="GD536">
        <v>8.6133193969265118</v>
      </c>
      <c r="GE536">
        <v>2.7796376245990153</v>
      </c>
      <c r="GF536">
        <v>3.213663909772277</v>
      </c>
      <c r="GG536">
        <v>1.4662212121236342</v>
      </c>
      <c r="GH536">
        <v>1.3247603501682221</v>
      </c>
      <c r="GI536">
        <v>7.3868554367719454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2.083333333333333</v>
      </c>
      <c r="E537" s="108">
        <f>E408</f>
        <v>2.3701609750235364</v>
      </c>
      <c r="F537" s="102"/>
      <c r="G537" s="101">
        <f>D537*E537</f>
        <v>4.9378353646323667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8.768601190476188</v>
      </c>
      <c r="AO537">
        <v>10.057651395058802</v>
      </c>
      <c r="AP537">
        <v>32.093975383157634</v>
      </c>
      <c r="AQ537">
        <v>33.155336989399338</v>
      </c>
      <c r="AR537">
        <v>9.2770525865909903</v>
      </c>
      <c r="AS537">
        <v>54.505976820040672</v>
      </c>
      <c r="AT537" t="e">
        <v>#DIV/0!</v>
      </c>
      <c r="AU537" t="e">
        <v>#DIV/0!</v>
      </c>
      <c r="AV537"/>
      <c r="AW537"/>
      <c r="FY537" s="210">
        <v>532</v>
      </c>
      <c r="FZ537">
        <v>0.55772994557880229</v>
      </c>
      <c r="GA537">
        <v>6.351176634529196</v>
      </c>
      <c r="GB537">
        <v>3.8627372420335178</v>
      </c>
      <c r="GC537">
        <v>4.7160985161458093</v>
      </c>
      <c r="GD537">
        <v>4.1139113562958265</v>
      </c>
      <c r="GE537">
        <v>2.1000940499961365</v>
      </c>
      <c r="GF537">
        <v>0.38032995424220212</v>
      </c>
      <c r="GG537">
        <v>0.3361446578268279</v>
      </c>
      <c r="GH537">
        <v>0</v>
      </c>
      <c r="GI537">
        <v>4.1250779133388482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-0.92977346265280469</v>
      </c>
      <c r="I538" s="101">
        <f>AVERAGE(D537:D539)</f>
        <v>26.278409090909093</v>
      </c>
      <c r="J538" s="101">
        <f>I538*H538</f>
        <v>-24.43296741346149</v>
      </c>
      <c r="K538" s="61">
        <f>J538/(C539-C537)</f>
        <v>-0.87260597905219606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6.3807806776556779</v>
      </c>
      <c r="AO538">
        <v>4.8913913315295563</v>
      </c>
      <c r="AP538">
        <v>26.92993079751459</v>
      </c>
      <c r="AQ538">
        <v>22.091010482273514</v>
      </c>
      <c r="AR538">
        <v>4.4846035480666417</v>
      </c>
      <c r="AS538">
        <v>23.65485425040665</v>
      </c>
      <c r="AT538" t="e">
        <v>#DIV/0!</v>
      </c>
      <c r="AU538" t="e">
        <v>#DIV/0!</v>
      </c>
      <c r="AV538"/>
      <c r="AW538"/>
      <c r="FY538" s="210">
        <v>533</v>
      </c>
      <c r="FZ538">
        <v>0.2456818880042031</v>
      </c>
      <c r="GA538">
        <v>3.0736503178193786</v>
      </c>
      <c r="GB538">
        <v>1.3273361139641193</v>
      </c>
      <c r="GC538">
        <v>3.4552497986692554</v>
      </c>
      <c r="GD538">
        <v>3.3049534921663151</v>
      </c>
      <c r="GE538">
        <v>2.6601283616795275</v>
      </c>
      <c r="GF538">
        <v>2.522772560757053</v>
      </c>
      <c r="GG538">
        <v>3.0772998791121369</v>
      </c>
      <c r="GH538">
        <v>3.3119008754205557</v>
      </c>
      <c r="GI538">
        <v>3.8462816457986784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50.473484848484851</v>
      </c>
      <c r="E539" s="108">
        <f>E409</f>
        <v>1.4403875123707317</v>
      </c>
      <c r="F539" s="102"/>
      <c r="G539" s="101">
        <f>D539*E539</f>
        <v>72.701377281590908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9.6823298229548236</v>
      </c>
      <c r="AO539">
        <v>11.670403793954659</v>
      </c>
      <c r="AP539">
        <v>40.433648799650754</v>
      </c>
      <c r="AQ539">
        <v>38.470822896966773</v>
      </c>
      <c r="AR539">
        <v>10.667381886654464</v>
      </c>
      <c r="AS539">
        <v>56.072013481328241</v>
      </c>
      <c r="AT539" t="e">
        <v>#DIV/0!</v>
      </c>
      <c r="AU539" t="e">
        <v>#DIV/0!</v>
      </c>
      <c r="AV539"/>
      <c r="AW539"/>
      <c r="FY539" s="210">
        <v>534</v>
      </c>
      <c r="FZ539">
        <v>0.2456818880042031</v>
      </c>
      <c r="GA539">
        <v>1.3885410775796223</v>
      </c>
      <c r="GB539">
        <v>0.53638996440829323</v>
      </c>
      <c r="GC539">
        <v>6.3363079371992637</v>
      </c>
      <c r="GD539">
        <v>5.4556962266850926</v>
      </c>
      <c r="GE539">
        <v>3.1657333564698504</v>
      </c>
      <c r="GF539">
        <v>3.213663909772277</v>
      </c>
      <c r="GG539">
        <v>2.4282254375070265</v>
      </c>
      <c r="GH539">
        <v>2.6495207003364443</v>
      </c>
      <c r="GI539">
        <v>5.0563318220023508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-0.34334719213794584</v>
      </c>
      <c r="I540" s="101">
        <f>AVERAGE(D539:D541)</f>
        <v>29.563665501165502</v>
      </c>
      <c r="J540" s="101">
        <f>I540*H540</f>
        <v>-10.150601539130633</v>
      </c>
      <c r="K540" s="61">
        <f>J540/(C541-C539)</f>
        <v>-0.42294173079710973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5.0116567460317452</v>
      </c>
      <c r="AO540">
        <v>4.7018260014124973</v>
      </c>
      <c r="AP540">
        <v>31.637102223284248</v>
      </c>
      <c r="AQ540">
        <v>23.588131887346638</v>
      </c>
      <c r="AR540">
        <v>4.3087544477725261</v>
      </c>
      <c r="AS540">
        <v>17.892308586125655</v>
      </c>
      <c r="AT540" t="e">
        <v>#DIV/0!</v>
      </c>
      <c r="AU540" t="e">
        <v>#DIV/0!</v>
      </c>
      <c r="AV540"/>
      <c r="AW540"/>
      <c r="FY540" s="210">
        <v>535</v>
      </c>
      <c r="FZ540">
        <v>0.49136377600840619</v>
      </c>
      <c r="GA540">
        <v>6.3877261536234808</v>
      </c>
      <c r="GB540">
        <v>3.3285207523270586</v>
      </c>
      <c r="GC540">
        <v>5.8793454449815243</v>
      </c>
      <c r="GD540">
        <v>4.8508725558389871</v>
      </c>
      <c r="GE540">
        <v>1.4286406589376592</v>
      </c>
      <c r="GF540">
        <v>0.76065990848440423</v>
      </c>
      <c r="GG540">
        <v>1.634293541037048</v>
      </c>
      <c r="GH540">
        <v>1.3247603501682221</v>
      </c>
      <c r="GI540">
        <v>4.7687958590424548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8.6538461538461533</v>
      </c>
      <c r="E541" s="108">
        <f>E410</f>
        <v>1.0970403202327859</v>
      </c>
      <c r="F541" s="102"/>
      <c r="G541" s="101">
        <f>D541*E541</f>
        <v>9.4936181558606467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14.067994505494502</v>
      </c>
      <c r="AO541">
        <v>14.390016835216874</v>
      </c>
      <c r="AP541">
        <v>50.601478573050471</v>
      </c>
      <c r="AQ541">
        <v>47.978215828023188</v>
      </c>
      <c r="AR541">
        <v>13.243079240992065</v>
      </c>
      <c r="AS541">
        <v>73.714680565056582</v>
      </c>
      <c r="AT541" t="e">
        <v>#DIV/0!</v>
      </c>
      <c r="AU541" t="e">
        <v>#DIV/0!</v>
      </c>
      <c r="AV541"/>
      <c r="AW541"/>
      <c r="FY541" s="210">
        <v>536</v>
      </c>
      <c r="FZ541">
        <v>0.2456818880042031</v>
      </c>
      <c r="GA541">
        <v>7.0708257060843209</v>
      </c>
      <c r="GB541">
        <v>3.2289100463548088</v>
      </c>
      <c r="GC541">
        <v>10.204698477949563</v>
      </c>
      <c r="GD541">
        <v>7.9762184680523962</v>
      </c>
      <c r="GE541">
        <v>0.83853720041220592</v>
      </c>
      <c r="GF541">
        <v>0.38032995424220212</v>
      </c>
      <c r="GG541">
        <v>0.81714677051852402</v>
      </c>
      <c r="GH541">
        <v>0.66238017508411107</v>
      </c>
      <c r="GI541">
        <v>6.6988962186683052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 t="e">
        <f>E543-E541</f>
        <v>#DIV/0!</v>
      </c>
      <c r="I542" s="101">
        <f>AVERAGE(D541:D543)</f>
        <v>4.3269230769230766</v>
      </c>
      <c r="J542" s="101" t="e">
        <f>I542*H542</f>
        <v>#DIV/0!</v>
      </c>
      <c r="K542" s="61" t="e">
        <f>J542/(C543-C541)</f>
        <v>#DIV/0!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5.122061965811965</v>
      </c>
      <c r="AO542">
        <v>6.8768481802031163</v>
      </c>
      <c r="AP542">
        <v>23.084856924047081</v>
      </c>
      <c r="AQ542">
        <v>22.425659018556743</v>
      </c>
      <c r="AR542">
        <v>6.3792654732867495</v>
      </c>
      <c r="AS542">
        <v>33.728215596979489</v>
      </c>
      <c r="AT542" t="e">
        <v>#DIV/0!</v>
      </c>
      <c r="AU542" t="e">
        <v>#DIV/0!</v>
      </c>
      <c r="AV542"/>
      <c r="AW542"/>
      <c r="FY542" s="210">
        <v>537</v>
      </c>
      <c r="FZ542">
        <v>0.49136377600840619</v>
      </c>
      <c r="GA542">
        <v>2.5159421469156236</v>
      </c>
      <c r="GB542">
        <v>1.4908831465921764</v>
      </c>
      <c r="GC542">
        <v>5.9926154496179889</v>
      </c>
      <c r="GD542">
        <v>4.8593178560549193</v>
      </c>
      <c r="GE542">
        <v>2.9542235318839873</v>
      </c>
      <c r="GF542">
        <v>3.5939938640144788</v>
      </c>
      <c r="GG542">
        <v>2.2833679826421585</v>
      </c>
      <c r="GH542">
        <v>1.9871405252523333</v>
      </c>
      <c r="GI542">
        <v>5.0521581876239825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0</v>
      </c>
      <c r="E543" s="108" t="e">
        <f>E411</f>
        <v>#DIV/0!</v>
      </c>
      <c r="F543" s="102"/>
      <c r="G543" s="101" t="e">
        <f>D543*E543</f>
        <v>#DIV/0!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7.3024839743589736</v>
      </c>
      <c r="AO543">
        <v>7.6819728787041868</v>
      </c>
      <c r="AP543">
        <v>22.818435349210301</v>
      </c>
      <c r="AQ543">
        <v>24.846579813045317</v>
      </c>
      <c r="AR543">
        <v>7.0732691762434809</v>
      </c>
      <c r="AS543">
        <v>33.206533800800798</v>
      </c>
      <c r="AT543" t="e">
        <v>#DIV/0!</v>
      </c>
      <c r="AU543" t="e">
        <v>#DIV/0!</v>
      </c>
      <c r="AV543"/>
      <c r="AW543"/>
      <c r="FY543" s="210">
        <v>538</v>
      </c>
      <c r="FZ543">
        <v>0.27886497278940114</v>
      </c>
      <c r="GA543">
        <v>3.1128926264860555</v>
      </c>
      <c r="GB543">
        <v>1.3273361139641193</v>
      </c>
      <c r="GC543">
        <v>3.2928971066414561</v>
      </c>
      <c r="GD543">
        <v>3.1005893858933868</v>
      </c>
      <c r="GE543">
        <v>1.4655645762385494</v>
      </c>
      <c r="GF543">
        <v>0.19016497712110106</v>
      </c>
      <c r="GG543">
        <v>1.6110786669885027</v>
      </c>
      <c r="GH543">
        <v>1.9871405252523333</v>
      </c>
      <c r="GI543">
        <v>3.1548881243261646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 t="e">
        <f>E545-E543</f>
        <v>#DIV/0!</v>
      </c>
      <c r="I544" s="101">
        <f>AVERAGE(D543:D545)</f>
        <v>0.52083333333333326</v>
      </c>
      <c r="J544" s="101" t="e">
        <f>I544*H544</f>
        <v>#DIV/0!</v>
      </c>
      <c r="K544" s="61" t="e">
        <f>J544/(C545-C543)</f>
        <v>#DIV/0!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4.7875267094017078</v>
      </c>
      <c r="AO544">
        <v>4.7202438216461369</v>
      </c>
      <c r="AP544">
        <v>21.216659127675541</v>
      </c>
      <c r="AQ544">
        <v>18.987097336029915</v>
      </c>
      <c r="AR544">
        <v>4.3258396242415795</v>
      </c>
      <c r="AS544">
        <v>20.354026336286161</v>
      </c>
      <c r="AT544" t="e">
        <v>#DIV/0!</v>
      </c>
      <c r="AU544" t="e">
        <v>#DIV/0!</v>
      </c>
      <c r="AV544"/>
      <c r="AW544"/>
      <c r="FY544" s="210">
        <v>539</v>
      </c>
      <c r="FZ544">
        <v>0.49136377600840619</v>
      </c>
      <c r="GA544">
        <v>0.70544152511878155</v>
      </c>
      <c r="GB544">
        <v>0.63600067038054287</v>
      </c>
      <c r="GC544">
        <v>1.9688925626628906</v>
      </c>
      <c r="GD544">
        <v>2.3115839907263616</v>
      </c>
      <c r="GE544">
        <v>2.6707789908128778</v>
      </c>
      <c r="GF544">
        <v>1.4515512574996277</v>
      </c>
      <c r="GG544">
        <v>1.4662212121236342</v>
      </c>
      <c r="GH544">
        <v>1.3247603501682221</v>
      </c>
      <c r="GI544">
        <v>2.3179308830308427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1.0416666666666665</v>
      </c>
      <c r="E545" s="108">
        <f>E412</f>
        <v>0.47085150025285061</v>
      </c>
      <c r="F545" s="102"/>
      <c r="G545" s="101">
        <f>D545*E545</f>
        <v>0.49047031276338598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3.8003472222222214</v>
      </c>
      <c r="AO545">
        <v>4.3827025260958283</v>
      </c>
      <c r="AP545">
        <v>20.890092980193103</v>
      </c>
      <c r="AQ545">
        <v>17.330434213814517</v>
      </c>
      <c r="AR545">
        <v>3.90699110014349</v>
      </c>
      <c r="AS545">
        <v>17.126330670110306</v>
      </c>
      <c r="AT545" t="e">
        <v>#DIV/0!</v>
      </c>
      <c r="AU545" t="e">
        <v>#DIV/0!</v>
      </c>
      <c r="AV545"/>
      <c r="AW545"/>
      <c r="FY545" s="210">
        <v>540</v>
      </c>
      <c r="FZ545">
        <v>3.3183084785198033E-2</v>
      </c>
      <c r="GA545">
        <v>2.8228675547052076</v>
      </c>
      <c r="GB545">
        <v>2.4714648014135903</v>
      </c>
      <c r="GC545">
        <v>2.2481811196968442</v>
      </c>
      <c r="GD545">
        <v>2.6041271158097343</v>
      </c>
      <c r="GE545">
        <v>3.8390694880863165</v>
      </c>
      <c r="GF545">
        <v>1.95227762939375</v>
      </c>
      <c r="GG545">
        <v>1.6110786669885027</v>
      </c>
      <c r="GH545">
        <v>1.9871405252523333</v>
      </c>
      <c r="GI545">
        <v>3.2154975271752066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1.0477209429549115</v>
      </c>
      <c r="I546" s="101">
        <f>AVERAGE(D545:D547)</f>
        <v>1.0416666666666665</v>
      </c>
      <c r="J546" s="101">
        <f>I546*H546</f>
        <v>1.0913759822446993</v>
      </c>
      <c r="K546" s="61">
        <f>J546/(C547-C545)</f>
        <v>2.798399954473588E-2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5.6280143467643464</v>
      </c>
      <c r="AO546">
        <v>3.8376260451333706</v>
      </c>
      <c r="AP546">
        <v>21.770518689014644</v>
      </c>
      <c r="AQ546">
        <v>17.440681782741873</v>
      </c>
      <c r="AR546">
        <v>3.559949949103312</v>
      </c>
      <c r="AS546">
        <v>15.52697560997127</v>
      </c>
      <c r="AT546" t="e">
        <v>#DIV/0!</v>
      </c>
      <c r="AU546" t="e">
        <v>#DIV/0!</v>
      </c>
      <c r="AV546"/>
      <c r="AW546"/>
      <c r="FY546" s="210">
        <v>541</v>
      </c>
      <c r="FZ546">
        <v>0</v>
      </c>
      <c r="GA546">
        <v>1.9462492484833769</v>
      </c>
      <c r="GB546">
        <v>0.94490727550497178</v>
      </c>
      <c r="GC546">
        <v>7.1889262490499135</v>
      </c>
      <c r="GD546">
        <v>6.0607245709613418</v>
      </c>
      <c r="GE546">
        <v>2.1175994495883153</v>
      </c>
      <c r="GF546">
        <v>1.4515512574996277</v>
      </c>
      <c r="GG546">
        <v>1.9472233248153306</v>
      </c>
      <c r="GH546">
        <v>1.9871405252523333</v>
      </c>
      <c r="GI546">
        <v>5.2674743604278582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1.0416666666666665</v>
      </c>
      <c r="E547" s="108">
        <f>E413</f>
        <v>1.5185724432077621</v>
      </c>
      <c r="F547" s="102"/>
      <c r="G547" s="101">
        <f>D547*E547</f>
        <v>1.5818462950080854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9.1232638888888875</v>
      </c>
      <c r="AO547">
        <v>12.175265319368075</v>
      </c>
      <c r="AP547">
        <v>36.22141829564913</v>
      </c>
      <c r="AQ547">
        <v>37.989568052634866</v>
      </c>
      <c r="AR547">
        <v>11.135713542882121</v>
      </c>
      <c r="AS547">
        <v>45.250962460014748</v>
      </c>
      <c r="AT547" t="e">
        <v>#DIV/0!</v>
      </c>
      <c r="AU547" t="e">
        <v>#DIV/0!</v>
      </c>
      <c r="AV547"/>
      <c r="AW547"/>
      <c r="FY547" s="210">
        <v>542</v>
      </c>
      <c r="FZ547">
        <v>0.27886497278940114</v>
      </c>
      <c r="GA547">
        <v>5.0487846298399841</v>
      </c>
      <c r="GB547">
        <v>3.3902836042810316</v>
      </c>
      <c r="GC547">
        <v>2.6760389046034159</v>
      </c>
      <c r="GD547">
        <v>1.932877695447569</v>
      </c>
      <c r="GE547">
        <v>1.3441421952025283</v>
      </c>
      <c r="GF547">
        <v>1.2613862803785265</v>
      </c>
      <c r="GG547">
        <v>1.7791509959019165</v>
      </c>
      <c r="GH547">
        <v>1.9871405252523333</v>
      </c>
      <c r="GI547">
        <v>3.0500074958249406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 t="e">
        <f>E549-E547</f>
        <v>#DIV/0!</v>
      </c>
      <c r="I548" s="101">
        <f>AVERAGE(D547:D549)</f>
        <v>0.52083333333333326</v>
      </c>
      <c r="J548" s="101" t="e">
        <f>I548*H548</f>
        <v>#DIV/0!</v>
      </c>
      <c r="K548" s="61" t="e">
        <f>J548/(C549-C547)</f>
        <v>#DIV/0!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8.6483134920634921</v>
      </c>
      <c r="AO548">
        <v>6.7860840311082296</v>
      </c>
      <c r="AP548">
        <v>30.782676824940051</v>
      </c>
      <c r="AQ548">
        <v>26.543300269987171</v>
      </c>
      <c r="AR548">
        <v>6.2950686744974318</v>
      </c>
      <c r="AS548">
        <v>28.699512465226906</v>
      </c>
      <c r="AT548" t="e">
        <v>#DIV/0!</v>
      </c>
      <c r="AU548" t="e">
        <v>#DIV/0!</v>
      </c>
      <c r="AV548"/>
      <c r="AW548"/>
      <c r="FY548" s="210">
        <v>543</v>
      </c>
      <c r="FZ548">
        <v>9.9549254355594113E-2</v>
      </c>
      <c r="GA548">
        <v>2.9013521720385604</v>
      </c>
      <c r="GB548">
        <v>1.3273361139641193</v>
      </c>
      <c r="GC548">
        <v>15.935253065490912</v>
      </c>
      <c r="GD548">
        <v>12.934208741333292</v>
      </c>
      <c r="GE548">
        <v>2.8822888153987405</v>
      </c>
      <c r="GF548">
        <v>0.88105632613632445</v>
      </c>
      <c r="GG548">
        <v>0.48100211269169618</v>
      </c>
      <c r="GH548">
        <v>0.66238017508411107</v>
      </c>
      <c r="GI548">
        <v>9.8466894033136292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0</v>
      </c>
      <c r="E549" s="108" t="e">
        <f>E414</f>
        <v>#DIV/0!</v>
      </c>
      <c r="F549" s="102"/>
      <c r="G549" s="101" t="e">
        <f>D549*E549</f>
        <v>#DIV/0!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6.6349206349206344</v>
      </c>
      <c r="AO549">
        <v>6.3171368535615793</v>
      </c>
      <c r="AP549">
        <v>31.183551735999661</v>
      </c>
      <c r="AQ549">
        <v>26.825254933391221</v>
      </c>
      <c r="AR549">
        <v>5.7543223006810278</v>
      </c>
      <c r="AS549">
        <v>28.707233391443776</v>
      </c>
      <c r="AT549" t="e">
        <v>#DIV/0!</v>
      </c>
      <c r="AU549" t="e">
        <v>#DIV/0!</v>
      </c>
      <c r="AV549"/>
      <c r="AW549"/>
      <c r="FY549" s="210">
        <v>544</v>
      </c>
      <c r="FZ549">
        <v>0.52454686079360424</v>
      </c>
      <c r="GA549">
        <v>1.4670256949129752</v>
      </c>
      <c r="GB549">
        <v>0.40851731109667855</v>
      </c>
      <c r="GC549">
        <v>10.922602699430572</v>
      </c>
      <c r="GD549">
        <v>8.2817771945714611</v>
      </c>
      <c r="GE549">
        <v>0.488099595198144</v>
      </c>
      <c r="GF549">
        <v>0.5704949313633032</v>
      </c>
      <c r="GG549">
        <v>0.50421698674024196</v>
      </c>
      <c r="GH549">
        <v>0</v>
      </c>
      <c r="GI549">
        <v>6.3323543045553015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 t="e">
        <f>E551-E549</f>
        <v>#DIV/0!</v>
      </c>
      <c r="I550" s="101">
        <f>AVERAGE(D549:D551)</f>
        <v>0</v>
      </c>
      <c r="J550" s="101" t="e">
        <f>I550*H550</f>
        <v>#DIV/0!</v>
      </c>
      <c r="K550" s="61" t="e">
        <f>J550/(C551-C549)</f>
        <v>#DIV/0!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7.4710202991452972</v>
      </c>
      <c r="AO550">
        <v>8.2016220814461782</v>
      </c>
      <c r="AP550">
        <v>30.8351383004604</v>
      </c>
      <c r="AQ550">
        <v>30.476092319964422</v>
      </c>
      <c r="AR550">
        <v>7.4495880902644078</v>
      </c>
      <c r="AS550">
        <v>33.319741096166524</v>
      </c>
      <c r="AT550" t="e">
        <v>#DIV/0!</v>
      </c>
      <c r="AU550" t="e">
        <v>#DIV/0!</v>
      </c>
      <c r="AV550"/>
      <c r="AW550"/>
      <c r="FY550" s="210">
        <v>545</v>
      </c>
      <c r="FZ550">
        <v>0.52454686079360424</v>
      </c>
      <c r="GA550">
        <v>2.8059672186964719</v>
      </c>
      <c r="GB550">
        <v>2.7628844873532623</v>
      </c>
      <c r="GC550">
        <v>10.421471484236497</v>
      </c>
      <c r="GD550">
        <v>8.3051802900911635</v>
      </c>
      <c r="GE550">
        <v>2.4136077379093082</v>
      </c>
      <c r="GF550">
        <v>0.38032995424220212</v>
      </c>
      <c r="GG550">
        <v>1.7791509959019165</v>
      </c>
      <c r="GH550">
        <v>1.9871405252523333</v>
      </c>
      <c r="GI550">
        <v>7.0907803564526848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9.672657203907205</v>
      </c>
      <c r="AO551">
        <v>7.8208317257918054</v>
      </c>
      <c r="AP551">
        <v>35.211428957001736</v>
      </c>
      <c r="AQ551">
        <v>30.854979000449248</v>
      </c>
      <c r="AR551">
        <v>7.2549459422929532</v>
      </c>
      <c r="AS551">
        <v>30.941965740470582</v>
      </c>
      <c r="AT551" t="e">
        <v>#DIV/0!</v>
      </c>
      <c r="AU551" t="e">
        <v>#DIV/0!</v>
      </c>
      <c r="AV551"/>
      <c r="AW551"/>
      <c r="FY551" s="210">
        <v>546</v>
      </c>
      <c r="FZ551">
        <v>3.3183084785198033E-2</v>
      </c>
      <c r="GA551">
        <v>1.8601001755929676</v>
      </c>
      <c r="GB551">
        <v>1.4530352925739001</v>
      </c>
      <c r="GC551">
        <v>6.5665138068418827</v>
      </c>
      <c r="GD551">
        <v>4.8985131010019423</v>
      </c>
      <c r="GE551">
        <v>1.7120852000087687</v>
      </c>
      <c r="GF551">
        <v>2.522772560757053</v>
      </c>
      <c r="GG551">
        <v>1.1532914283453519</v>
      </c>
      <c r="GH551">
        <v>0.66238017508411107</v>
      </c>
      <c r="GI551">
        <v>4.7502604180500789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12.050595238095237</v>
      </c>
      <c r="AO552">
        <v>10.959741430980921</v>
      </c>
      <c r="AP552">
        <v>39.130501953895759</v>
      </c>
      <c r="AQ552">
        <v>38.123624905370633</v>
      </c>
      <c r="AR552">
        <v>10.166736021318108</v>
      </c>
      <c r="AS552">
        <v>52.472851361845372</v>
      </c>
      <c r="AT552" t="e">
        <v>#DIV/0!</v>
      </c>
      <c r="AU552" t="e">
        <v>#DIV/0!</v>
      </c>
      <c r="AV552"/>
      <c r="AW552"/>
      <c r="FY552" s="210">
        <v>547</v>
      </c>
      <c r="FZ552">
        <v>6.6366169570396066E-2</v>
      </c>
      <c r="GA552">
        <v>4.2010513871553812</v>
      </c>
      <c r="GB552">
        <v>2.5375746027712318</v>
      </c>
      <c r="GC552">
        <v>8.8850000700956784</v>
      </c>
      <c r="GD552">
        <v>7.2341209398586095</v>
      </c>
      <c r="GE552">
        <v>1.7778124735076037</v>
      </c>
      <c r="GF552">
        <v>0.19016497712110106</v>
      </c>
      <c r="GG552">
        <v>0.64907444160511019</v>
      </c>
      <c r="GH552">
        <v>0.66238017508411107</v>
      </c>
      <c r="GI552">
        <v>5.9961320443876582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7.8802464896214897</v>
      </c>
      <c r="AO553">
        <v>8.3061283583336181</v>
      </c>
      <c r="AP553">
        <v>34.23834372270499</v>
      </c>
      <c r="AQ553">
        <v>31.221006466606049</v>
      </c>
      <c r="AR553">
        <v>7.5465326884902328</v>
      </c>
      <c r="AS553">
        <v>32.298420835576358</v>
      </c>
      <c r="AT553" t="e">
        <v>#DIV/0!</v>
      </c>
      <c r="AU553" t="e">
        <v>#DIV/0!</v>
      </c>
      <c r="AV553"/>
      <c r="AW553"/>
      <c r="FY553" s="210">
        <v>548</v>
      </c>
      <c r="FZ553">
        <v>0.2456818880042031</v>
      </c>
      <c r="GA553">
        <v>3.0736503178193786</v>
      </c>
      <c r="GB553">
        <v>2.4714648014135903</v>
      </c>
      <c r="GC553">
        <v>10.743719886084598</v>
      </c>
      <c r="GD553">
        <v>8.0572822588668842</v>
      </c>
      <c r="GE553">
        <v>2.098180931879603</v>
      </c>
      <c r="GF553">
        <v>1.7621126522726489</v>
      </c>
      <c r="GG553">
        <v>0</v>
      </c>
      <c r="GH553">
        <v>0</v>
      </c>
      <c r="GI553">
        <v>6.7565106666777268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5.0307539682539675</v>
      </c>
      <c r="AO554">
        <v>5.2939263886100516</v>
      </c>
      <c r="AP554">
        <v>21.968175471989262</v>
      </c>
      <c r="AQ554">
        <v>19.521417075701066</v>
      </c>
      <c r="AR554">
        <v>4.9108779115121077</v>
      </c>
      <c r="AS554">
        <v>20.587410664285343</v>
      </c>
      <c r="AT554" t="e">
        <v>#DIV/0!</v>
      </c>
      <c r="AU554" t="e">
        <v>#DIV/0!</v>
      </c>
      <c r="AV554"/>
      <c r="AW554"/>
      <c r="FY554" s="210">
        <v>549</v>
      </c>
      <c r="FZ554">
        <v>0.49136377600840619</v>
      </c>
      <c r="GA554">
        <v>5.1845332565265174</v>
      </c>
      <c r="GB554">
        <v>2.2083070628132839</v>
      </c>
      <c r="GC554">
        <v>5.4490306778674524</v>
      </c>
      <c r="GD554">
        <v>4.1518807251284837</v>
      </c>
      <c r="GE554">
        <v>0.85604260000438437</v>
      </c>
      <c r="GF554">
        <v>1.2613862803785265</v>
      </c>
      <c r="GG554">
        <v>1.2981488832102204</v>
      </c>
      <c r="GH554">
        <v>1.3247603501682221</v>
      </c>
      <c r="GI554">
        <v>4.204933791126928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4.2528044871794863</v>
      </c>
      <c r="AO555">
        <v>3.7349859998326651</v>
      </c>
      <c r="AP555">
        <v>16.082201887549765</v>
      </c>
      <c r="AQ555">
        <v>15.344525218532187</v>
      </c>
      <c r="AR555">
        <v>3.4118713294238869</v>
      </c>
      <c r="AS555">
        <v>19.546220692789348</v>
      </c>
      <c r="AT555" t="e">
        <v>#DIV/0!</v>
      </c>
      <c r="AU555" t="e">
        <v>#DIV/0!</v>
      </c>
      <c r="AV555"/>
      <c r="AW555"/>
      <c r="FY555" s="210">
        <v>550</v>
      </c>
      <c r="FZ555">
        <v>0.31204805757459919</v>
      </c>
      <c r="GA555">
        <v>4.3760423225085914</v>
      </c>
      <c r="GB555">
        <v>3.0717910924776906</v>
      </c>
      <c r="GC555">
        <v>3.4141783336554119</v>
      </c>
      <c r="GD555">
        <v>2.8041610478331331</v>
      </c>
      <c r="GE555">
        <v>1.8691657077015624</v>
      </c>
      <c r="GF555">
        <v>0.88105632613632445</v>
      </c>
      <c r="GG555">
        <v>0.96200422538339236</v>
      </c>
      <c r="GH555">
        <v>1.3247603501682221</v>
      </c>
      <c r="GI555">
        <v>3.1459791348124297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 t="e">
        <f>AVERAGE(G531:G553)</f>
        <v>#DIV/0!</v>
      </c>
      <c r="H556" s="63" t="s">
        <v>103</v>
      </c>
      <c r="I556" s="123" t="e">
        <f>SUM(J532:J552)+G531</f>
        <v>#DIV/0!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5.6271749084249079</v>
      </c>
      <c r="AO556">
        <v>5.2676506749615415</v>
      </c>
      <c r="AP556">
        <v>27.447126639222848</v>
      </c>
      <c r="AQ556">
        <v>22.784887513306682</v>
      </c>
      <c r="AR556">
        <v>4.7807729698832198</v>
      </c>
      <c r="AS556">
        <v>26.782018946224657</v>
      </c>
      <c r="AT556" t="e">
        <v>#DIV/0!</v>
      </c>
      <c r="AU556" t="e">
        <v>#DIV/0!</v>
      </c>
      <c r="AV556"/>
      <c r="AW556"/>
      <c r="FY556" s="210">
        <v>551</v>
      </c>
      <c r="FZ556">
        <v>0.27886497278940114</v>
      </c>
      <c r="GA556">
        <v>2.3905507653585385</v>
      </c>
      <c r="GB556">
        <v>0.98275512952324828</v>
      </c>
      <c r="GC556">
        <v>6.7396243784101681</v>
      </c>
      <c r="GD556">
        <v>5.2517667068318294</v>
      </c>
      <c r="GE556">
        <v>1.7120852000087687</v>
      </c>
      <c r="GF556">
        <v>2.3326075836359519</v>
      </c>
      <c r="GG556">
        <v>0.98521909943193808</v>
      </c>
      <c r="GH556">
        <v>0.66238017508411107</v>
      </c>
      <c r="GI556">
        <v>4.7754045366786944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6.7100694444444446</v>
      </c>
      <c r="AO557">
        <v>8.6801701500116657</v>
      </c>
      <c r="AP557">
        <v>28.484280941052891</v>
      </c>
      <c r="AQ557">
        <v>28.911796261583067</v>
      </c>
      <c r="AR557">
        <v>7.9992406709628474</v>
      </c>
      <c r="AS557">
        <v>34.776300289943094</v>
      </c>
      <c r="AT557" t="e">
        <v>#DIV/0!</v>
      </c>
      <c r="AU557" t="e">
        <v>#DIV/0!</v>
      </c>
      <c r="AV557"/>
      <c r="AW557"/>
      <c r="FY557" s="210">
        <v>552</v>
      </c>
      <c r="FZ557">
        <v>0.59091303036400022</v>
      </c>
      <c r="GA557">
        <v>4.820343839383753</v>
      </c>
      <c r="GB557">
        <v>2.5375746027712318</v>
      </c>
      <c r="GC557">
        <v>6.1417532798978032</v>
      </c>
      <c r="GD557">
        <v>4.5523402897016618</v>
      </c>
      <c r="GE557">
        <v>1.0675524245902468</v>
      </c>
      <c r="GF557">
        <v>1.0712213032574254</v>
      </c>
      <c r="GG557">
        <v>1.6110786669885027</v>
      </c>
      <c r="GH557">
        <v>1.9871405252523333</v>
      </c>
      <c r="GI557">
        <v>4.7331888513866316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6.0290560134310134</v>
      </c>
      <c r="AO558">
        <v>5.1095616588959167</v>
      </c>
      <c r="AP558">
        <v>30.329342764227764</v>
      </c>
      <c r="AQ558">
        <v>22.748677299521642</v>
      </c>
      <c r="AR558">
        <v>4.6869878962729139</v>
      </c>
      <c r="AS558">
        <v>19.9097715992798</v>
      </c>
      <c r="AT558" t="e">
        <v>#DIV/0!</v>
      </c>
      <c r="AU558" t="e">
        <v>#DIV/0!</v>
      </c>
      <c r="AV558"/>
      <c r="AW558"/>
      <c r="FY558" s="210">
        <v>553</v>
      </c>
      <c r="FZ558">
        <v>3.3183084785198033E-2</v>
      </c>
      <c r="GA558">
        <v>3.9242308666676516E-2</v>
      </c>
      <c r="GB558">
        <v>0.57206434372473558</v>
      </c>
      <c r="GC558">
        <v>12.759585126770961</v>
      </c>
      <c r="GD558">
        <v>9.9704004490717963</v>
      </c>
      <c r="GE558">
        <v>2.6232044443786373</v>
      </c>
      <c r="GF558">
        <v>1.95227762939375</v>
      </c>
      <c r="GG558">
        <v>0.64907444160511019</v>
      </c>
      <c r="GH558">
        <v>0.66238017508411107</v>
      </c>
      <c r="GI558">
        <v>7.8435233695063147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 t="e">
        <f>I556/G556</f>
        <v>#DIV/0!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12.443280677655675</v>
      </c>
      <c r="AO559">
        <v>16.150766411974775</v>
      </c>
      <c r="AP559">
        <v>41.240186343592825</v>
      </c>
      <c r="AQ559">
        <v>47.951116179806974</v>
      </c>
      <c r="AR559">
        <v>14.929292862023249</v>
      </c>
      <c r="AS559">
        <v>99.471095921070784</v>
      </c>
      <c r="AT559" t="e">
        <v>#DIV/0!</v>
      </c>
      <c r="AU559" t="e">
        <v>#DIV/0!</v>
      </c>
      <c r="AV559"/>
      <c r="AW559"/>
      <c r="FY559" s="210">
        <v>554</v>
      </c>
      <c r="FZ559">
        <v>0.27886497278940114</v>
      </c>
      <c r="GA559">
        <v>2.515942146915624</v>
      </c>
      <c r="GB559">
        <v>2.1908201436285264</v>
      </c>
      <c r="GC559">
        <v>6.7098793953440072</v>
      </c>
      <c r="GD559">
        <v>5.459803920298298</v>
      </c>
      <c r="GE559">
        <v>2.3941892202005963</v>
      </c>
      <c r="GF559">
        <v>1.0712213032574254</v>
      </c>
      <c r="GG559">
        <v>1.1300765542968063</v>
      </c>
      <c r="GH559">
        <v>1.3247603501682221</v>
      </c>
      <c r="GI559">
        <v>4.9850072189855288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8.1463675213675213</v>
      </c>
      <c r="AO560">
        <v>10.464451662203132</v>
      </c>
      <c r="AP560">
        <v>24.720675988345011</v>
      </c>
      <c r="AQ560">
        <v>29.499635578662282</v>
      </c>
      <c r="AR560">
        <v>9.70728354564298</v>
      </c>
      <c r="AS560">
        <v>41.896849099392966</v>
      </c>
      <c r="AT560" t="e">
        <v>#DIV/0!</v>
      </c>
      <c r="AU560" t="e">
        <v>#DIV/0!</v>
      </c>
      <c r="AV560"/>
      <c r="AW560"/>
      <c r="FY560" s="210">
        <v>555</v>
      </c>
      <c r="FZ560">
        <v>0.31204805757459919</v>
      </c>
      <c r="GA560">
        <v>3.2775263167098174</v>
      </c>
      <c r="GB560">
        <v>2.5354011280693975</v>
      </c>
      <c r="GC560">
        <v>5.8327197397976889</v>
      </c>
      <c r="GD560">
        <v>4.9310465849804546</v>
      </c>
      <c r="GE560">
        <v>2.0631701326952463</v>
      </c>
      <c r="GF560">
        <v>0.5704949313633032</v>
      </c>
      <c r="GG560">
        <v>0.98521909943193808</v>
      </c>
      <c r="GH560">
        <v>0.66238017508411107</v>
      </c>
      <c r="GI560">
        <v>4.4211200561702597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10.430059523809524</v>
      </c>
      <c r="AO561">
        <v>11.629958451416227</v>
      </c>
      <c r="AP561">
        <v>38.090432327088124</v>
      </c>
      <c r="AQ561">
        <v>38.471059910929441</v>
      </c>
      <c r="AR561">
        <v>10.788458674783145</v>
      </c>
      <c r="AS561">
        <v>57.555926339126977</v>
      </c>
      <c r="AT561" t="e">
        <v>#DIV/0!</v>
      </c>
      <c r="AU561" t="e">
        <v>#DIV/0!</v>
      </c>
      <c r="AV561"/>
      <c r="AW561"/>
      <c r="FY561" s="210">
        <v>556</v>
      </c>
      <c r="FZ561">
        <v>0</v>
      </c>
      <c r="GA561">
        <v>4.7195172493924584</v>
      </c>
      <c r="GB561">
        <v>3.3902836042810316</v>
      </c>
      <c r="GC561">
        <v>13.73925690741326</v>
      </c>
      <c r="GD561">
        <v>10.404325125116054</v>
      </c>
      <c r="GE561">
        <v>2.5136984831200841</v>
      </c>
      <c r="GF561">
        <v>2.3326075836359519</v>
      </c>
      <c r="GG561">
        <v>1.9472233248153306</v>
      </c>
      <c r="GH561">
        <v>1.9871405252523333</v>
      </c>
      <c r="GI561">
        <v>9.345689745304977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5.5451388888888884</v>
      </c>
      <c r="AO562">
        <v>7.9419310867044945</v>
      </c>
      <c r="AP562">
        <v>27.189632463406923</v>
      </c>
      <c r="AQ562">
        <v>25.612135243041251</v>
      </c>
      <c r="AR562">
        <v>7.2615525726132315</v>
      </c>
      <c r="AS562">
        <v>26.820481720972406</v>
      </c>
      <c r="AT562" t="e">
        <v>#DIV/0!</v>
      </c>
      <c r="AU562" t="e">
        <v>#DIV/0!</v>
      </c>
      <c r="AV562"/>
      <c r="AW562"/>
      <c r="FY562" s="210">
        <v>557</v>
      </c>
      <c r="FZ562">
        <v>0.2456818880042031</v>
      </c>
      <c r="GA562">
        <v>5.8572755638579093</v>
      </c>
      <c r="GB562">
        <v>2.6546722279282386</v>
      </c>
      <c r="GC562">
        <v>9.9076316955521246</v>
      </c>
      <c r="GD562">
        <v>7.9750306146093246</v>
      </c>
      <c r="GE562">
        <v>1.9060896250024524</v>
      </c>
      <c r="GF562">
        <v>1.0712213032574254</v>
      </c>
      <c r="GG562">
        <v>1.1300765542968063</v>
      </c>
      <c r="GH562">
        <v>1.3247603501682221</v>
      </c>
      <c r="GI562">
        <v>6.9321873341858717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9.4554716117216113</v>
      </c>
      <c r="AO563">
        <v>9.8645534237519765</v>
      </c>
      <c r="AP563">
        <v>31.867494410037292</v>
      </c>
      <c r="AQ563">
        <v>32.199677281156873</v>
      </c>
      <c r="AR563">
        <v>9.1507916732393095</v>
      </c>
      <c r="AS563">
        <v>48.261935369616786</v>
      </c>
      <c r="AT563" t="e">
        <v>#DIV/0!</v>
      </c>
      <c r="AU563" t="e">
        <v>#DIV/0!</v>
      </c>
      <c r="AV563"/>
      <c r="AW563"/>
      <c r="FY563" s="210">
        <v>558</v>
      </c>
      <c r="FZ563">
        <v>0.27886497278940114</v>
      </c>
      <c r="GA563">
        <v>0.58005014356169593</v>
      </c>
      <c r="GB563">
        <v>0.12787265331161465</v>
      </c>
      <c r="GC563">
        <v>15.077942418792817</v>
      </c>
      <c r="GD563">
        <v>11.820156254020876</v>
      </c>
      <c r="GE563">
        <v>2.549356609776857</v>
      </c>
      <c r="GF563">
        <v>1.95227762939375</v>
      </c>
      <c r="GG563">
        <v>1.6110786669885027</v>
      </c>
      <c r="GH563">
        <v>1.9871405252523333</v>
      </c>
      <c r="GI563">
        <v>9.3769166533917581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9.6250381562881575</v>
      </c>
      <c r="AO564">
        <v>11.076777590502756</v>
      </c>
      <c r="AP564">
        <v>34.19136846289539</v>
      </c>
      <c r="AQ564">
        <v>35.208603403018635</v>
      </c>
      <c r="AR564">
        <v>10.169573448121822</v>
      </c>
      <c r="AS564">
        <v>54.430818745470731</v>
      </c>
      <c r="AT564" t="e">
        <v>#DIV/0!</v>
      </c>
      <c r="AU564" t="e">
        <v>#DIV/0!</v>
      </c>
      <c r="AV564"/>
      <c r="AW564"/>
      <c r="FY564" s="210">
        <v>559</v>
      </c>
      <c r="FZ564">
        <v>0.77022874879780745</v>
      </c>
      <c r="GA564">
        <v>1.0347089055663061</v>
      </c>
      <c r="GB564">
        <v>0.63600067038054287</v>
      </c>
      <c r="GC564">
        <v>19.799080242625713</v>
      </c>
      <c r="GD564">
        <v>14.982542689201878</v>
      </c>
      <c r="GE564">
        <v>2.2001847952069129</v>
      </c>
      <c r="GF564">
        <v>2.1424426065148507</v>
      </c>
      <c r="GG564">
        <v>1.7791509959019165</v>
      </c>
      <c r="GH564">
        <v>1.9871405252523333</v>
      </c>
      <c r="GI564">
        <v>11.765817605282962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6.46999007936508</v>
      </c>
      <c r="AO565">
        <v>6.954823836281939</v>
      </c>
      <c r="AP565">
        <v>29.883940572404985</v>
      </c>
      <c r="AQ565">
        <v>26.43038740323243</v>
      </c>
      <c r="AR565">
        <v>6.3987338864269239</v>
      </c>
      <c r="AS565">
        <v>25.05116233475092</v>
      </c>
      <c r="AT565" t="e">
        <v>#DIV/0!</v>
      </c>
      <c r="AU565" t="e">
        <v>#DIV/0!</v>
      </c>
      <c r="AV565"/>
      <c r="AW565"/>
      <c r="FY565" s="210">
        <v>560</v>
      </c>
      <c r="FZ565">
        <v>0.52454686079360424</v>
      </c>
      <c r="GA565">
        <v>6.1865429443054341</v>
      </c>
      <c r="GB565">
        <v>2.6546722279282386</v>
      </c>
      <c r="GC565">
        <v>1.2874964425802224</v>
      </c>
      <c r="GD565">
        <v>1.7583319064131611</v>
      </c>
      <c r="GE565">
        <v>1.6401504835235219</v>
      </c>
      <c r="GF565">
        <v>0.19016497712110106</v>
      </c>
      <c r="GG565">
        <v>2.5730828923718949</v>
      </c>
      <c r="GH565">
        <v>3.3119008754205557</v>
      </c>
      <c r="GI565">
        <v>2.5756712943236635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6.4219131562881557</v>
      </c>
      <c r="AO566">
        <v>5.0966751136103685</v>
      </c>
      <c r="AP566">
        <v>26.545531994273428</v>
      </c>
      <c r="AQ566">
        <v>22.161186598251359</v>
      </c>
      <c r="AR566">
        <v>4.6750337726314033</v>
      </c>
      <c r="AS566">
        <v>20.935244921454292</v>
      </c>
      <c r="AT566" t="e">
        <v>#DIV/0!</v>
      </c>
      <c r="AU566" t="e">
        <v>#DIV/0!</v>
      </c>
      <c r="AV566"/>
      <c r="AW566"/>
      <c r="FY566" s="210">
        <v>561</v>
      </c>
      <c r="FZ566">
        <v>0.2456818880042031</v>
      </c>
      <c r="GA566">
        <v>0.41541645333793364</v>
      </c>
      <c r="GB566">
        <v>0.63600067038054287</v>
      </c>
      <c r="GC566">
        <v>9.747735985731822</v>
      </c>
      <c r="GD566">
        <v>7.7525852728339517</v>
      </c>
      <c r="GE566">
        <v>1.501222702895322</v>
      </c>
      <c r="GF566">
        <v>0.5704949313633032</v>
      </c>
      <c r="GG566">
        <v>1.4662212121236342</v>
      </c>
      <c r="GH566">
        <v>1.3247603501682221</v>
      </c>
      <c r="GI566">
        <v>6.0147272124070579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7.1765873015872996</v>
      </c>
      <c r="AO567">
        <v>7.9125799581604017</v>
      </c>
      <c r="AP567">
        <v>26.530983711054951</v>
      </c>
      <c r="AQ567">
        <v>26.111258547752648</v>
      </c>
      <c r="AR567">
        <v>7.2343251806428297</v>
      </c>
      <c r="AS567">
        <v>29.345598887315102</v>
      </c>
      <c r="AT567" t="e">
        <v>#DIV/0!</v>
      </c>
      <c r="AU567" t="e">
        <v>#DIV/0!</v>
      </c>
      <c r="AV567"/>
      <c r="AW567"/>
      <c r="FY567" s="210">
        <v>562</v>
      </c>
      <c r="FZ567">
        <v>0.73704566401260951</v>
      </c>
      <c r="GA567">
        <v>5.714983846292089</v>
      </c>
      <c r="GB567">
        <v>2.3100912434873679</v>
      </c>
      <c r="GC567">
        <v>2.8650393217348848</v>
      </c>
      <c r="GD567">
        <v>3.1223689681487521</v>
      </c>
      <c r="GE567">
        <v>2.1000940499961365</v>
      </c>
      <c r="GF567">
        <v>0.38032995424220212</v>
      </c>
      <c r="GG567">
        <v>1.2981488832102204</v>
      </c>
      <c r="GH567">
        <v>1.3247603501682221</v>
      </c>
      <c r="GI567">
        <v>3.3054916313334322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8.3687996031746028</v>
      </c>
      <c r="AO568">
        <v>7.8810396841118617</v>
      </c>
      <c r="AP568">
        <v>33.265167526774022</v>
      </c>
      <c r="AQ568">
        <v>29.113106813593589</v>
      </c>
      <c r="AR568">
        <v>7.2579322610372419</v>
      </c>
      <c r="AS568">
        <v>36.411526540838693</v>
      </c>
      <c r="AT568" t="e">
        <v>#DIV/0!</v>
      </c>
      <c r="AU568" t="e">
        <v>#DIV/0!</v>
      </c>
      <c r="AV568"/>
      <c r="AW568"/>
      <c r="FY568" s="210">
        <v>563</v>
      </c>
      <c r="FZ568">
        <v>3.3183084785198033E-2</v>
      </c>
      <c r="GA568">
        <v>1.8601001755929676</v>
      </c>
      <c r="GB568">
        <v>2.0250996362986355</v>
      </c>
      <c r="GC568">
        <v>6.2719040066519423</v>
      </c>
      <c r="GD568">
        <v>4.9113165966542933</v>
      </c>
      <c r="GE568">
        <v>1.4642987855944321</v>
      </c>
      <c r="GF568">
        <v>0.5704949313633032</v>
      </c>
      <c r="GG568">
        <v>0.98521909943193808</v>
      </c>
      <c r="GH568">
        <v>0.66238017508411107</v>
      </c>
      <c r="GI568">
        <v>4.4127249054206645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8.726228632478632</v>
      </c>
      <c r="AO569">
        <v>12.923877288461748</v>
      </c>
      <c r="AP569">
        <v>31.903340524340543</v>
      </c>
      <c r="AQ569">
        <v>37.104935372987285</v>
      </c>
      <c r="AR569">
        <v>11.883024002814766</v>
      </c>
      <c r="AS569">
        <v>73.208859272241355</v>
      </c>
      <c r="AT569" t="e">
        <v>#DIV/0!</v>
      </c>
      <c r="AU569" t="e">
        <v>#DIV/0!</v>
      </c>
      <c r="AV569"/>
      <c r="AW569"/>
      <c r="FY569" s="210">
        <v>564</v>
      </c>
      <c r="FZ569">
        <v>3.3183084785198033E-2</v>
      </c>
      <c r="GA569">
        <v>4.5183340400744125</v>
      </c>
      <c r="GB569">
        <v>2.7164350798822126</v>
      </c>
      <c r="GC569">
        <v>4.7265630927709417</v>
      </c>
      <c r="GD569">
        <v>3.8052733274085382</v>
      </c>
      <c r="GE569">
        <v>2.098180931879603</v>
      </c>
      <c r="GF569">
        <v>2.7129375378781542</v>
      </c>
      <c r="GG569">
        <v>2.2833679826421585</v>
      </c>
      <c r="GH569">
        <v>1.9871405252523333</v>
      </c>
      <c r="GI569">
        <v>4.2396373252584949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7.6510798229548245</v>
      </c>
      <c r="AO570">
        <v>8.2133694167325935</v>
      </c>
      <c r="AP570">
        <v>29.212073009303644</v>
      </c>
      <c r="AQ570">
        <v>28.060565225884435</v>
      </c>
      <c r="AR570">
        <v>7.566215872002668</v>
      </c>
      <c r="AS570">
        <v>36.382611482383091</v>
      </c>
      <c r="AT570" t="e">
        <v>#DIV/0!</v>
      </c>
      <c r="AU570" t="e">
        <v>#DIV/0!</v>
      </c>
      <c r="AV570"/>
      <c r="AW570"/>
      <c r="FY570" s="210">
        <v>565</v>
      </c>
      <c r="FZ570">
        <v>9.9549254355594113E-2</v>
      </c>
      <c r="GA570">
        <v>1.090851550241718</v>
      </c>
      <c r="GB570">
        <v>0.47245363775248589</v>
      </c>
      <c r="GC570">
        <v>6.0361438968393308</v>
      </c>
      <c r="GD570">
        <v>4.9429620271856924</v>
      </c>
      <c r="GE570">
        <v>1.5556520197883907</v>
      </c>
      <c r="GF570">
        <v>1.8318812117418297</v>
      </c>
      <c r="GG570">
        <v>1.8023658699504623</v>
      </c>
      <c r="GH570">
        <v>1.3247603501682221</v>
      </c>
      <c r="GI570">
        <v>4.2861797321934549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7.1736492673992656</v>
      </c>
      <c r="AO571">
        <v>7.2433233721409822</v>
      </c>
      <c r="AP571">
        <v>26.88786674665225</v>
      </c>
      <c r="AQ571">
        <v>25.591126221876817</v>
      </c>
      <c r="AR571">
        <v>6.7192239073664011</v>
      </c>
      <c r="AS571">
        <v>32.820155751246922</v>
      </c>
      <c r="AT571" t="e">
        <v>#DIV/0!</v>
      </c>
      <c r="AU571" t="e">
        <v>#DIV/0!</v>
      </c>
      <c r="AV571"/>
      <c r="AW571"/>
      <c r="FY571" s="210">
        <v>566</v>
      </c>
      <c r="FZ571">
        <v>0.27886497278940114</v>
      </c>
      <c r="GA571">
        <v>4.3264427687124662</v>
      </c>
      <c r="GB571">
        <v>1.9015739323906893</v>
      </c>
      <c r="GC571">
        <v>9.0448957799159793</v>
      </c>
      <c r="GD571">
        <v>7.3023812350207464</v>
      </c>
      <c r="GE571">
        <v>1.32663679561035</v>
      </c>
      <c r="GF571">
        <v>0.5704949313633032</v>
      </c>
      <c r="GG571">
        <v>1.4662212121236342</v>
      </c>
      <c r="GH571">
        <v>1.3247603501682221</v>
      </c>
      <c r="GI571">
        <v>6.205208064259061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12.180097680097678</v>
      </c>
      <c r="AO572">
        <v>15.500660740952522</v>
      </c>
      <c r="AP572">
        <v>52.121401923295252</v>
      </c>
      <c r="AQ572">
        <v>50.379742548331492</v>
      </c>
      <c r="AR572">
        <v>14.273361157258904</v>
      </c>
      <c r="AS572">
        <v>86.512402908822708</v>
      </c>
      <c r="AT572" t="e">
        <v>#DIV/0!</v>
      </c>
      <c r="AU572" t="e">
        <v>#DIV/0!</v>
      </c>
      <c r="AV572"/>
      <c r="AW572"/>
      <c r="FY572" s="210">
        <v>567</v>
      </c>
      <c r="FZ572">
        <v>0.52454686079360424</v>
      </c>
      <c r="GA572">
        <v>3.6537004613810744</v>
      </c>
      <c r="GB572">
        <v>1.4552087672757343</v>
      </c>
      <c r="GC572">
        <v>2.2748288448005125</v>
      </c>
      <c r="GD572">
        <v>2.4550151356164509</v>
      </c>
      <c r="GE572">
        <v>1.6401504835235219</v>
      </c>
      <c r="GF572">
        <v>0.19016497712110106</v>
      </c>
      <c r="GG572">
        <v>1.1300765542968063</v>
      </c>
      <c r="GH572">
        <v>1.3247603501682221</v>
      </c>
      <c r="GI572">
        <v>2.5583043264315681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10.400049603174603</v>
      </c>
      <c r="AO573">
        <v>11.422563329642633</v>
      </c>
      <c r="AP573">
        <v>40.043591922920051</v>
      </c>
      <c r="AQ573">
        <v>39.004627156862568</v>
      </c>
      <c r="AR573">
        <v>10.543204659488795</v>
      </c>
      <c r="AS573">
        <v>60.037259276332513</v>
      </c>
      <c r="AT573" t="e">
        <v>#DIV/0!</v>
      </c>
      <c r="AU573" t="e">
        <v>#DIV/0!</v>
      </c>
      <c r="AV573"/>
      <c r="AW573"/>
      <c r="FY573" s="210">
        <v>568</v>
      </c>
      <c r="FZ573">
        <v>0.27886497278940114</v>
      </c>
      <c r="GA573">
        <v>1.3023920046892128</v>
      </c>
      <c r="GB573">
        <v>1.6165823252019571</v>
      </c>
      <c r="GC573">
        <v>8.4528722244889618</v>
      </c>
      <c r="GD573">
        <v>6.3296684328496688</v>
      </c>
      <c r="GE573">
        <v>1.5556520197883907</v>
      </c>
      <c r="GF573">
        <v>1.2613862803785265</v>
      </c>
      <c r="GG573">
        <v>0.81714677051852402</v>
      </c>
      <c r="GH573">
        <v>0.66238017508411107</v>
      </c>
      <c r="GI573">
        <v>5.4220018830738912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11.661324786324785</v>
      </c>
      <c r="AO574">
        <v>15.474327254465418</v>
      </c>
      <c r="AP574">
        <v>39.343647613326013</v>
      </c>
      <c r="AQ574">
        <v>45.361656527279614</v>
      </c>
      <c r="AR574">
        <v>14.248933062187374</v>
      </c>
      <c r="AS574">
        <v>81.648220130748086</v>
      </c>
      <c r="AT574" t="e">
        <v>#DIV/0!</v>
      </c>
      <c r="AU574" t="e">
        <v>#DIV/0!</v>
      </c>
      <c r="AV574"/>
      <c r="AW574"/>
      <c r="FY574" s="210">
        <v>569</v>
      </c>
      <c r="FZ574">
        <v>0.27886497278940114</v>
      </c>
      <c r="GA574">
        <v>0.32926738044752452</v>
      </c>
      <c r="GB574">
        <v>0.57206434372473558</v>
      </c>
      <c r="GC574">
        <v>4.7265630927709417</v>
      </c>
      <c r="GD574">
        <v>4.267828467248246</v>
      </c>
      <c r="GE574">
        <v>3.0387219956191185</v>
      </c>
      <c r="GF574">
        <v>2.3326075836359519</v>
      </c>
      <c r="GG574">
        <v>1.4662212121236342</v>
      </c>
      <c r="GH574">
        <v>1.3247603501682221</v>
      </c>
      <c r="GI574">
        <v>3.853122744455991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14.087339743589741</v>
      </c>
      <c r="AO575">
        <v>19.324755541178309</v>
      </c>
      <c r="AP575">
        <v>49.343980393746762</v>
      </c>
      <c r="AQ575">
        <v>57.097297784731225</v>
      </c>
      <c r="AR575">
        <v>17.820758931123258</v>
      </c>
      <c r="AS575">
        <v>114.94862060877442</v>
      </c>
      <c r="AT575" t="e">
        <v>#DIV/0!</v>
      </c>
      <c r="AU575" t="e">
        <v>#DIV/0!</v>
      </c>
      <c r="AV575"/>
      <c r="AW575"/>
      <c r="FY575" s="210">
        <v>570</v>
      </c>
      <c r="FZ575">
        <v>0.31204805757459919</v>
      </c>
      <c r="GA575">
        <v>5.0880269385066601</v>
      </c>
      <c r="GB575">
        <v>3.3902836042810316</v>
      </c>
      <c r="GC575">
        <v>5.9818575700775032</v>
      </c>
      <c r="GD575">
        <v>4.3977206566687608</v>
      </c>
      <c r="GE575">
        <v>1.3441421952025283</v>
      </c>
      <c r="GF575">
        <v>1.4515512574996277</v>
      </c>
      <c r="GG575">
        <v>1.4662212121236342</v>
      </c>
      <c r="GH575">
        <v>1.3247603501682221</v>
      </c>
      <c r="GI575">
        <v>4.6712485852164018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6.2391254578754571</v>
      </c>
      <c r="AO576">
        <v>4.1914652766655252</v>
      </c>
      <c r="AP576">
        <v>29.253350240860076</v>
      </c>
      <c r="AQ576">
        <v>22.702560904781397</v>
      </c>
      <c r="AR576">
        <v>3.8881867130477978</v>
      </c>
      <c r="AS576">
        <v>16.537817056045942</v>
      </c>
      <c r="AT576" t="e">
        <v>#DIV/0!</v>
      </c>
      <c r="AU576" t="e">
        <v>#DIV/0!</v>
      </c>
      <c r="AV576"/>
      <c r="AW576"/>
      <c r="FY576" s="210">
        <v>571</v>
      </c>
      <c r="FZ576">
        <v>0.27886497278940114</v>
      </c>
      <c r="GA576">
        <v>3.238284008043141</v>
      </c>
      <c r="GB576">
        <v>1.9633367843446625</v>
      </c>
      <c r="GC576">
        <v>5.4269463163792846</v>
      </c>
      <c r="GD576">
        <v>4.2057328919817163</v>
      </c>
      <c r="GE576">
        <v>1.3441421952025283</v>
      </c>
      <c r="GF576">
        <v>1.2613862803785265</v>
      </c>
      <c r="GG576">
        <v>1.2981488832102204</v>
      </c>
      <c r="GH576">
        <v>1.3247603501682221</v>
      </c>
      <c r="GI576">
        <v>4.0308985746010375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7.914262820512822</v>
      </c>
      <c r="AO577">
        <v>9.8425826938336822</v>
      </c>
      <c r="AP577">
        <v>25.680269980170191</v>
      </c>
      <c r="AQ577">
        <v>29.674846679245995</v>
      </c>
      <c r="AR577">
        <v>9.1304106621833778</v>
      </c>
      <c r="AS577">
        <v>49.586117904131079</v>
      </c>
      <c r="AT577" t="e">
        <v>#DIV/0!</v>
      </c>
      <c r="AU577" t="e">
        <v>#DIV/0!</v>
      </c>
      <c r="AV577"/>
      <c r="AW577"/>
      <c r="FY577" s="210">
        <v>572</v>
      </c>
      <c r="FZ577">
        <v>3.3183084785198033E-2</v>
      </c>
      <c r="GA577">
        <v>3.9242308666676516E-2</v>
      </c>
      <c r="GB577">
        <v>1.1441286874494712</v>
      </c>
      <c r="GC577">
        <v>2.9731056870008552</v>
      </c>
      <c r="GD577">
        <v>2.9677493351158502</v>
      </c>
      <c r="GE577">
        <v>2.9192127326996307</v>
      </c>
      <c r="GF577">
        <v>1.4515512574996277</v>
      </c>
      <c r="GG577">
        <v>0.50421698674024196</v>
      </c>
      <c r="GH577">
        <v>0</v>
      </c>
      <c r="GI577">
        <v>2.6857915122966598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7.4260912698412698</v>
      </c>
      <c r="AO578">
        <v>5.4523340182978242</v>
      </c>
      <c r="AP578">
        <v>26.9364027398004</v>
      </c>
      <c r="AQ578">
        <v>23.15835391262592</v>
      </c>
      <c r="AR578">
        <v>5.0578237646547546</v>
      </c>
      <c r="AS578">
        <v>22.292021194947633</v>
      </c>
      <c r="AT578" t="e">
        <v>#DIV/0!</v>
      </c>
      <c r="AU578" t="e">
        <v>#DIV/0!</v>
      </c>
      <c r="AV578"/>
      <c r="AW578"/>
      <c r="FY578" s="210">
        <v>573</v>
      </c>
      <c r="FZ578">
        <v>0.27886497278940114</v>
      </c>
      <c r="GA578">
        <v>2.1501252473738157</v>
      </c>
      <c r="GB578">
        <v>0.88097094884916438</v>
      </c>
      <c r="GC578">
        <v>3.8932251873613204</v>
      </c>
      <c r="GD578">
        <v>2.8882398053835718</v>
      </c>
      <c r="GE578">
        <v>0.54252891209121246</v>
      </c>
      <c r="GF578">
        <v>1.6417162346207288</v>
      </c>
      <c r="GG578">
        <v>0.67228931565365579</v>
      </c>
      <c r="GH578">
        <v>0</v>
      </c>
      <c r="GI578">
        <v>2.623445761992619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5.1925747863247862</v>
      </c>
      <c r="AO579">
        <v>7.3482551057774543</v>
      </c>
      <c r="AP579">
        <v>23.89656768800149</v>
      </c>
      <c r="AQ579">
        <v>23.196721396877482</v>
      </c>
      <c r="AR579">
        <v>6.8165631779011662</v>
      </c>
      <c r="AS579">
        <v>31.29359829733982</v>
      </c>
      <c r="AT579" t="e">
        <v>#DIV/0!</v>
      </c>
      <c r="AU579" t="e">
        <v>#DIV/0!</v>
      </c>
      <c r="AV579"/>
      <c r="AW579"/>
      <c r="FY579" s="210">
        <v>574</v>
      </c>
      <c r="FZ579">
        <v>0</v>
      </c>
      <c r="GA579">
        <v>1.9358920033539282</v>
      </c>
      <c r="GB579">
        <v>2.0629474903169118</v>
      </c>
      <c r="GC579">
        <v>1.8234205927527649</v>
      </c>
      <c r="GD579">
        <v>1.4999109598568587</v>
      </c>
      <c r="GE579">
        <v>1.6576558831156998</v>
      </c>
      <c r="GF579">
        <v>1.2613862803785265</v>
      </c>
      <c r="GG579">
        <v>1.2981488832102204</v>
      </c>
      <c r="GH579">
        <v>1.3247603501682221</v>
      </c>
      <c r="GI579">
        <v>2.0738471382007022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6.7153159340659325</v>
      </c>
      <c r="AO580">
        <v>6.8964280383039709</v>
      </c>
      <c r="AP580">
        <v>34.284888164522563</v>
      </c>
      <c r="AQ580">
        <v>29.121052927832046</v>
      </c>
      <c r="AR580">
        <v>6.2916981677889972</v>
      </c>
      <c r="AS580">
        <v>25.366427352505028</v>
      </c>
      <c r="AT580" t="e">
        <v>#DIV/0!</v>
      </c>
      <c r="AU580" t="e">
        <v>#DIV/0!</v>
      </c>
      <c r="AV580"/>
      <c r="AW580"/>
      <c r="FY580" s="210">
        <v>575</v>
      </c>
      <c r="FZ580">
        <v>3.3183084785198033E-2</v>
      </c>
      <c r="GA580">
        <v>3.0736503178193786</v>
      </c>
      <c r="GB580">
        <v>1.4552087672757343</v>
      </c>
      <c r="GC580">
        <v>4.2962483256568706</v>
      </c>
      <c r="GD580">
        <v>3.5688366365377426</v>
      </c>
      <c r="GE580">
        <v>0.83853720041220592</v>
      </c>
      <c r="GF580">
        <v>0.5704949313633032</v>
      </c>
      <c r="GG580">
        <v>1.4662212121236342</v>
      </c>
      <c r="GH580">
        <v>1.3247603501682221</v>
      </c>
      <c r="GI580">
        <v>3.3254811939770472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5.981436965811965</v>
      </c>
      <c r="AO581">
        <v>7.0369338940776389</v>
      </c>
      <c r="AP581">
        <v>22.757626297650912</v>
      </c>
      <c r="AQ581">
        <v>23.442799550217181</v>
      </c>
      <c r="AR581">
        <v>6.4749027712095755</v>
      </c>
      <c r="AS581">
        <v>25.618191663322605</v>
      </c>
      <c r="AT581" t="e">
        <v>#DIV/0!</v>
      </c>
      <c r="AU581" t="e">
        <v>#DIV/0!</v>
      </c>
      <c r="AV581"/>
      <c r="AW581"/>
      <c r="FY581" s="210">
        <v>576</v>
      </c>
      <c r="FZ581">
        <v>0.2456818880042031</v>
      </c>
      <c r="GA581">
        <v>2.2259170751347761</v>
      </c>
      <c r="GB581">
        <v>3.2070761777663828</v>
      </c>
      <c r="GC581">
        <v>16.166102838848381</v>
      </c>
      <c r="GD581">
        <v>11.945011903963122</v>
      </c>
      <c r="GE581">
        <v>3.2308133024962693</v>
      </c>
      <c r="GF581">
        <v>3.0234989326511759</v>
      </c>
      <c r="GG581">
        <v>1.2981488832102204</v>
      </c>
      <c r="GH581">
        <v>1.3247603501682221</v>
      </c>
      <c r="GI581">
        <v>10.256143164746248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9.4613476800976795</v>
      </c>
      <c r="AO582">
        <v>10.261803493829836</v>
      </c>
      <c r="AP582">
        <v>33.719740312212487</v>
      </c>
      <c r="AQ582">
        <v>33.747480042353857</v>
      </c>
      <c r="AR582">
        <v>9.5192982317530976</v>
      </c>
      <c r="AS582">
        <v>55.144760494412409</v>
      </c>
      <c r="AT582" t="e">
        <v>#DIV/0!</v>
      </c>
      <c r="AU582" t="e">
        <v>#DIV/0!</v>
      </c>
      <c r="AV582"/>
      <c r="AW582"/>
      <c r="FY582" s="210">
        <v>577</v>
      </c>
      <c r="FZ582">
        <v>0.52454686079360424</v>
      </c>
      <c r="GA582">
        <v>3.5283090798239893</v>
      </c>
      <c r="GB582">
        <v>1.3912724406199268</v>
      </c>
      <c r="GC582">
        <v>5.6113833698952522</v>
      </c>
      <c r="GD582">
        <v>4.3883174159992793</v>
      </c>
      <c r="GE582">
        <v>0.488099595198144</v>
      </c>
      <c r="GF582">
        <v>0.76065990848440423</v>
      </c>
      <c r="GG582">
        <v>2.5962977664204407</v>
      </c>
      <c r="GH582">
        <v>2.6495207003364443</v>
      </c>
      <c r="GI582">
        <v>4.1422661873218463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5.2569826007326004</v>
      </c>
      <c r="AO583">
        <v>4.2432344403104008</v>
      </c>
      <c r="AP583">
        <v>19.577212506665035</v>
      </c>
      <c r="AQ583">
        <v>17.206756761408599</v>
      </c>
      <c r="AR583">
        <v>3.9362100559465678</v>
      </c>
      <c r="AS583">
        <v>15.833548224229531</v>
      </c>
      <c r="AT583" t="e">
        <v>#DIV/0!</v>
      </c>
      <c r="AU583" t="e">
        <v>#DIV/0!</v>
      </c>
      <c r="AV583"/>
      <c r="AW583"/>
      <c r="FY583" s="210">
        <v>578</v>
      </c>
      <c r="FZ583">
        <v>9.9549254355594113E-2</v>
      </c>
      <c r="GA583">
        <v>4.1149023142649712</v>
      </c>
      <c r="GB583">
        <v>1.9015739323906893</v>
      </c>
      <c r="GC583">
        <v>5.4490306778674524</v>
      </c>
      <c r="GD583">
        <v>4.8050311027820225</v>
      </c>
      <c r="GE583">
        <v>1.6401504835235219</v>
      </c>
      <c r="GF583">
        <v>0.38032995424220212</v>
      </c>
      <c r="GG583">
        <v>1.2981488832102204</v>
      </c>
      <c r="GH583">
        <v>1.3247603501682221</v>
      </c>
      <c r="GI583">
        <v>4.3243488261130878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7.1654647435897427</v>
      </c>
      <c r="AO584">
        <v>8.9520315456669923</v>
      </c>
      <c r="AP584">
        <v>26.80173402098038</v>
      </c>
      <c r="AQ584">
        <v>27.698947088862639</v>
      </c>
      <c r="AR584">
        <v>8.2514312049659324</v>
      </c>
      <c r="AS584">
        <v>38.140013883825063</v>
      </c>
      <c r="AT584" t="e">
        <v>#DIV/0!</v>
      </c>
      <c r="AU584" t="e">
        <v>#DIV/0!</v>
      </c>
      <c r="AV584"/>
      <c r="AW584"/>
      <c r="FY584" s="210">
        <v>579</v>
      </c>
      <c r="FZ584">
        <v>0.31204805757459919</v>
      </c>
      <c r="GA584">
        <v>4.2402936958220572</v>
      </c>
      <c r="GB584">
        <v>2.4097019494596168</v>
      </c>
      <c r="GC584">
        <v>7.1668418875617466</v>
      </c>
      <c r="GD584">
        <v>5.4934989447589011</v>
      </c>
      <c r="GE584">
        <v>2.429200019384953</v>
      </c>
      <c r="GF584">
        <v>3.0234989326511759</v>
      </c>
      <c r="GG584">
        <v>1.2981488832102204</v>
      </c>
      <c r="GH584">
        <v>1.3247603501682221</v>
      </c>
      <c r="GI584">
        <v>5.4315199869398194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5.3894230769230758</v>
      </c>
      <c r="AO585">
        <v>6.2625221560942652</v>
      </c>
      <c r="AP585">
        <v>21.854622631344682</v>
      </c>
      <c r="AQ585">
        <v>22.190022142983768</v>
      </c>
      <c r="AR585">
        <v>5.7036593160174709</v>
      </c>
      <c r="AS585">
        <v>31.901300707847714</v>
      </c>
      <c r="AT585" t="e">
        <v>#DIV/0!</v>
      </c>
      <c r="AU585" t="e">
        <v>#DIV/0!</v>
      </c>
      <c r="AV585"/>
      <c r="AW585"/>
      <c r="FY585" s="210">
        <v>580</v>
      </c>
      <c r="FZ585">
        <v>0.31204805757459919</v>
      </c>
      <c r="GA585">
        <v>3.4029176982669034</v>
      </c>
      <c r="GB585">
        <v>2.5993374547252053</v>
      </c>
      <c r="GC585">
        <v>6.1473075200677956</v>
      </c>
      <c r="GD585">
        <v>4.6646149246278839</v>
      </c>
      <c r="GE585">
        <v>2.1351048491804936</v>
      </c>
      <c r="GF585">
        <v>1.95227762939375</v>
      </c>
      <c r="GG585">
        <v>0.64907444160511019</v>
      </c>
      <c r="GH585">
        <v>0.66238017508411107</v>
      </c>
      <c r="GI585">
        <v>4.5641180861488069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8.2130837912087902</v>
      </c>
      <c r="AO586">
        <v>7.7253375746888242</v>
      </c>
      <c r="AP586">
        <v>34.521140801593177</v>
      </c>
      <c r="AQ586">
        <v>29.427860427318969</v>
      </c>
      <c r="AR586">
        <v>7.1134961669527916</v>
      </c>
      <c r="AS586">
        <v>32.455055968895429</v>
      </c>
      <c r="AT586" t="e">
        <v>#DIV/0!</v>
      </c>
      <c r="AU586" t="e">
        <v>#DIV/0!</v>
      </c>
      <c r="AV586"/>
      <c r="AW586"/>
      <c r="FY586" s="210">
        <v>581</v>
      </c>
      <c r="FZ586">
        <v>0.49136377600840619</v>
      </c>
      <c r="GA586">
        <v>5.4249587745112411</v>
      </c>
      <c r="GB586">
        <v>2.3100912434873679</v>
      </c>
      <c r="GC586">
        <v>5.4490306778674524</v>
      </c>
      <c r="GD586">
        <v>4.4966610095555506</v>
      </c>
      <c r="GE586">
        <v>1.0131231076971783</v>
      </c>
      <c r="GF586">
        <v>0.38032995424220212</v>
      </c>
      <c r="GG586">
        <v>1.2981488832102204</v>
      </c>
      <c r="GH586">
        <v>1.3247603501682221</v>
      </c>
      <c r="GI586">
        <v>4.2753213479804302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6.5434409340659343</v>
      </c>
      <c r="AO587">
        <v>6.61034839660541</v>
      </c>
      <c r="AP587">
        <v>26.534461954690208</v>
      </c>
      <c r="AQ587">
        <v>24.37250125709874</v>
      </c>
      <c r="AR587">
        <v>6.0791833857993458</v>
      </c>
      <c r="AS587">
        <v>31.525924432982485</v>
      </c>
      <c r="AT587" t="e">
        <v>#DIV/0!</v>
      </c>
      <c r="AU587" t="e">
        <v>#DIV/0!</v>
      </c>
      <c r="AV587"/>
      <c r="AW587"/>
      <c r="FY587" s="210">
        <v>582</v>
      </c>
      <c r="FZ587">
        <v>0.55772994557880229</v>
      </c>
      <c r="GA587">
        <v>2.6047840093784256</v>
      </c>
      <c r="GB587">
        <v>0.94490727550497178</v>
      </c>
      <c r="GC587">
        <v>3.1683006200573089</v>
      </c>
      <c r="GD587">
        <v>2.836668218850666</v>
      </c>
      <c r="GE587">
        <v>1.5556520197883907</v>
      </c>
      <c r="GF587">
        <v>1.4515512574996277</v>
      </c>
      <c r="GG587">
        <v>0.98521909943193808</v>
      </c>
      <c r="GH587">
        <v>0.66238017508411107</v>
      </c>
      <c r="GI587">
        <v>2.7372283079826327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4.2175480769230766</v>
      </c>
      <c r="AO588">
        <v>4.394076614586707</v>
      </c>
      <c r="AP588">
        <v>14.69805888230619</v>
      </c>
      <c r="AQ588">
        <v>14.718181592254211</v>
      </c>
      <c r="AR588">
        <v>4.0232726418116806</v>
      </c>
      <c r="AS588">
        <v>18.393806775382117</v>
      </c>
      <c r="AT588" t="e">
        <v>#DIV/0!</v>
      </c>
      <c r="AU588" t="e">
        <v>#DIV/0!</v>
      </c>
      <c r="AV588"/>
      <c r="AW588"/>
      <c r="FY588" s="210">
        <v>583</v>
      </c>
      <c r="FZ588">
        <v>0.31204805757459919</v>
      </c>
      <c r="GA588">
        <v>7.8716521845451908</v>
      </c>
      <c r="GB588">
        <v>3.57349103079568</v>
      </c>
      <c r="GC588">
        <v>8.4764226916301375</v>
      </c>
      <c r="GD588">
        <v>7.3700402930043687</v>
      </c>
      <c r="GE588">
        <v>2.8466306887419677</v>
      </c>
      <c r="GF588">
        <v>1.2613862803785265</v>
      </c>
      <c r="GG588">
        <v>2.2601531085936126</v>
      </c>
      <c r="GH588">
        <v>2.6495207003364443</v>
      </c>
      <c r="GI588">
        <v>7.0281194946212588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4.7934027777777768</v>
      </c>
      <c r="AO589">
        <v>4.2550988642916163</v>
      </c>
      <c r="AP589">
        <v>16.087413319783515</v>
      </c>
      <c r="AQ589">
        <v>15.571406386115488</v>
      </c>
      <c r="AR589">
        <v>3.89435079552681</v>
      </c>
      <c r="AS589">
        <v>21.554469165149886</v>
      </c>
      <c r="AT589" t="e">
        <v>#DIV/0!</v>
      </c>
      <c r="AU589" t="e">
        <v>#DIV/0!</v>
      </c>
      <c r="AV589"/>
      <c r="AW589"/>
      <c r="FY589" s="210">
        <v>584</v>
      </c>
      <c r="FZ589">
        <v>6.6366169570396066E-2</v>
      </c>
      <c r="GA589">
        <v>2.2651593838014525</v>
      </c>
      <c r="GB589">
        <v>1.0466914561790557</v>
      </c>
      <c r="GC589">
        <v>7.1990438528354073</v>
      </c>
      <c r="GD589">
        <v>5.7656887597743012</v>
      </c>
      <c r="GE589">
        <v>1.9235950245946309</v>
      </c>
      <c r="GF589">
        <v>2.1424426065148507</v>
      </c>
      <c r="GG589">
        <v>1.7791509959019165</v>
      </c>
      <c r="GH589">
        <v>1.9871405252523333</v>
      </c>
      <c r="GI589">
        <v>5.0344969926935121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3.9392742673992664</v>
      </c>
      <c r="AO590">
        <v>3.4045402923897177</v>
      </c>
      <c r="AP590">
        <v>19.019389859172822</v>
      </c>
      <c r="AQ590">
        <v>14.937969581353837</v>
      </c>
      <c r="AR590">
        <v>3.1053354227050125</v>
      </c>
      <c r="AS590">
        <v>15.514734327996548</v>
      </c>
      <c r="AT590" t="e">
        <v>#DIV/0!</v>
      </c>
      <c r="AU590" t="e">
        <v>#DIV/0!</v>
      </c>
      <c r="AV590"/>
      <c r="AW590"/>
      <c r="FY590" s="210">
        <v>585</v>
      </c>
      <c r="FZ590">
        <v>0.27886497278940114</v>
      </c>
      <c r="GA590">
        <v>4.3264427687124662</v>
      </c>
      <c r="GB590">
        <v>3.0457026198401604</v>
      </c>
      <c r="GC590">
        <v>8.2905195324611611</v>
      </c>
      <c r="GD590">
        <v>6.0753551799065706</v>
      </c>
      <c r="GE590">
        <v>1.8866711072937405</v>
      </c>
      <c r="GF590">
        <v>1.95227762939375</v>
      </c>
      <c r="GG590">
        <v>0.64907444160511019</v>
      </c>
      <c r="GH590">
        <v>0.66238017508411107</v>
      </c>
      <c r="GI590">
        <v>5.8868085791072007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5.0758928571428559</v>
      </c>
      <c r="AO591">
        <v>5.489686641379234</v>
      </c>
      <c r="AP591">
        <v>21.611732427481119</v>
      </c>
      <c r="AQ591">
        <v>19.952622020119339</v>
      </c>
      <c r="AR591">
        <v>5.0924736933017005</v>
      </c>
      <c r="AS591">
        <v>28.797290786808603</v>
      </c>
      <c r="AT591" t="e">
        <v>#DIV/0!</v>
      </c>
      <c r="AU591" t="e">
        <v>#DIV/0!</v>
      </c>
      <c r="AV591"/>
      <c r="AW591"/>
      <c r="FY591" s="210">
        <v>586</v>
      </c>
      <c r="FZ591">
        <v>0.2456818880042031</v>
      </c>
      <c r="GA591">
        <v>5.0095423211733063</v>
      </c>
      <c r="GB591">
        <v>3.3902836042810316</v>
      </c>
      <c r="GC591">
        <v>3.4040607298699195</v>
      </c>
      <c r="GD591">
        <v>2.9770843970048038</v>
      </c>
      <c r="GE591">
        <v>1.8147363908084939</v>
      </c>
      <c r="GF591">
        <v>0.19016497712110106</v>
      </c>
      <c r="GG591">
        <v>0.16807232891341395</v>
      </c>
      <c r="GH591">
        <v>0</v>
      </c>
      <c r="GI591">
        <v>3.1994647338101223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13.543975122100118</v>
      </c>
      <c r="AO592">
        <v>16.869817953610728</v>
      </c>
      <c r="AP592">
        <v>51.666162294808899</v>
      </c>
      <c r="AQ592">
        <v>52.923154516989001</v>
      </c>
      <c r="AR592">
        <v>15.490586116391077</v>
      </c>
      <c r="AS592">
        <v>82.605137030114307</v>
      </c>
      <c r="AT592" t="e">
        <v>#DIV/0!</v>
      </c>
      <c r="AU592" t="e">
        <v>#DIV/0!</v>
      </c>
      <c r="AV592"/>
      <c r="AW592"/>
      <c r="FY592" s="210">
        <v>587</v>
      </c>
      <c r="FZ592">
        <v>0.27886497278940114</v>
      </c>
      <c r="GA592">
        <v>4.3264427687124662</v>
      </c>
      <c r="GB592">
        <v>3.0457026198401604</v>
      </c>
      <c r="GC592">
        <v>6.5689707890493816</v>
      </c>
      <c r="GD592">
        <v>4.7077131897579694</v>
      </c>
      <c r="GE592">
        <v>1.6100813366814588</v>
      </c>
      <c r="GF592">
        <v>2.3326075836359519</v>
      </c>
      <c r="GG592">
        <v>0.98521909943193808</v>
      </c>
      <c r="GH592">
        <v>0.66238017508411107</v>
      </c>
      <c r="GI592">
        <v>4.8338425933919726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7.1354548229548227</v>
      </c>
      <c r="AO593">
        <v>6.7674451768365724</v>
      </c>
      <c r="AP593">
        <v>28.056601400872339</v>
      </c>
      <c r="AQ593">
        <v>26.080673324893333</v>
      </c>
      <c r="AR593">
        <v>6.2777784571767832</v>
      </c>
      <c r="AS593">
        <v>25.441150593557435</v>
      </c>
      <c r="AT593" t="e">
        <v>#DIV/0!</v>
      </c>
      <c r="AU593" t="e">
        <v>#DIV/0!</v>
      </c>
      <c r="AV593"/>
      <c r="AW593"/>
      <c r="FY593" s="210">
        <v>588</v>
      </c>
      <c r="FZ593">
        <v>0</v>
      </c>
      <c r="GA593">
        <v>2.9090166275956166</v>
      </c>
      <c r="GB593">
        <v>1.3912724406199268</v>
      </c>
      <c r="GC593">
        <v>5.3112193295353203</v>
      </c>
      <c r="GD593">
        <v>4.6508460561687865</v>
      </c>
      <c r="GE593">
        <v>1.5381466201962124</v>
      </c>
      <c r="GF593">
        <v>0.19016497712110106</v>
      </c>
      <c r="GG593">
        <v>0.64907444160511019</v>
      </c>
      <c r="GH593">
        <v>0.66238017508411107</v>
      </c>
      <c r="GI593">
        <v>3.922205795497705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7.4300976800976795</v>
      </c>
      <c r="AO594">
        <v>7.1553843070386876</v>
      </c>
      <c r="AP594">
        <v>26.932670322804935</v>
      </c>
      <c r="AQ594">
        <v>25.337825778917985</v>
      </c>
      <c r="AR594">
        <v>6.6376477801843121</v>
      </c>
      <c r="AS594">
        <v>36.168509246853354</v>
      </c>
      <c r="AT594" t="e">
        <v>#DIV/0!</v>
      </c>
      <c r="AU594" t="e">
        <v>#DIV/0!</v>
      </c>
      <c r="AV594"/>
      <c r="AW594"/>
      <c r="FY594" s="210">
        <v>589</v>
      </c>
      <c r="FZ594">
        <v>0.52454686079360424</v>
      </c>
      <c r="GA594">
        <v>3.5283090798239893</v>
      </c>
      <c r="GB594">
        <v>2.5354011280693975</v>
      </c>
      <c r="GC594">
        <v>6.7098793953440072</v>
      </c>
      <c r="GD594">
        <v>5.0107877359281643</v>
      </c>
      <c r="GE594">
        <v>1.4830699758307275</v>
      </c>
      <c r="GF594">
        <v>1.6417162346207288</v>
      </c>
      <c r="GG594">
        <v>1.1532914283453519</v>
      </c>
      <c r="GH594">
        <v>0.66238017508411107</v>
      </c>
      <c r="GI594">
        <v>4.8285372207759547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9.7790560134310134</v>
      </c>
      <c r="AO595">
        <v>8.9027776895882091</v>
      </c>
      <c r="AP595">
        <v>36.432043579269823</v>
      </c>
      <c r="AQ595">
        <v>33.129512707531312</v>
      </c>
      <c r="AR595">
        <v>8.1000107323256607</v>
      </c>
      <c r="AS595">
        <v>35.593629566679354</v>
      </c>
      <c r="AT595" t="e">
        <v>#DIV/0!</v>
      </c>
      <c r="AU595" t="e">
        <v>#DIV/0!</v>
      </c>
      <c r="AV595"/>
      <c r="AW595"/>
      <c r="FY595" s="210">
        <v>590</v>
      </c>
      <c r="FZ595">
        <v>0.27886497278940114</v>
      </c>
      <c r="GA595">
        <v>7.1100680147509969</v>
      </c>
      <c r="GB595">
        <v>3.8009743900795443</v>
      </c>
      <c r="GC595">
        <v>8.4819769318001281</v>
      </c>
      <c r="GD595">
        <v>6.8476981794053451</v>
      </c>
      <c r="GE595">
        <v>2.0806755322874251</v>
      </c>
      <c r="GF595">
        <v>0.88105632613632445</v>
      </c>
      <c r="GG595">
        <v>1.9240084507667847</v>
      </c>
      <c r="GH595">
        <v>2.6495207003364443</v>
      </c>
      <c r="GI595">
        <v>6.4577039623795667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7.3293650793650782</v>
      </c>
      <c r="AO596">
        <v>7.4895070000138686</v>
      </c>
      <c r="AP596">
        <v>29.698299014354959</v>
      </c>
      <c r="AQ596">
        <v>27.089180836674654</v>
      </c>
      <c r="AR596">
        <v>6.8418641805068994</v>
      </c>
      <c r="AS596">
        <v>28.579261072297044</v>
      </c>
      <c r="AT596" t="e">
        <v>#DIV/0!</v>
      </c>
      <c r="AU596" t="e">
        <v>#DIV/0!</v>
      </c>
      <c r="AV596"/>
      <c r="AW596"/>
      <c r="FY596" s="210">
        <v>591</v>
      </c>
      <c r="FZ596">
        <v>0.2456818880042031</v>
      </c>
      <c r="GA596">
        <v>5.0095423211733063</v>
      </c>
      <c r="GB596">
        <v>2.8182192605562957</v>
      </c>
      <c r="GC596">
        <v>0.54358477175053599</v>
      </c>
      <c r="GD596">
        <v>0.92944788628214359</v>
      </c>
      <c r="GE596">
        <v>2.0080934883297616</v>
      </c>
      <c r="GF596">
        <v>1.4515512574996277</v>
      </c>
      <c r="GG596">
        <v>0.98521909943193808</v>
      </c>
      <c r="GH596">
        <v>0.66238017508411107</v>
      </c>
      <c r="GI596">
        <v>1.8080864444565914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7.6592643467643455</v>
      </c>
      <c r="AO597">
        <v>7.0681176193785307</v>
      </c>
      <c r="AP597">
        <v>29.276296467842712</v>
      </c>
      <c r="AQ597">
        <v>26.463789124728272</v>
      </c>
      <c r="AR597">
        <v>6.5566953797574499</v>
      </c>
      <c r="AS597">
        <v>31.354696599723724</v>
      </c>
      <c r="AT597" t="e">
        <v>#DIV/0!</v>
      </c>
      <c r="AU597" t="e">
        <v>#DIV/0!</v>
      </c>
      <c r="AV597"/>
      <c r="AW597"/>
      <c r="FY597" s="210">
        <v>592</v>
      </c>
      <c r="FZ597">
        <v>0</v>
      </c>
      <c r="GA597">
        <v>0.84773324268460271</v>
      </c>
      <c r="GB597">
        <v>0.98058165482141413</v>
      </c>
      <c r="GC597">
        <v>12.640413909124865</v>
      </c>
      <c r="GD597">
        <v>10.036001407371417</v>
      </c>
      <c r="GE597">
        <v>3.4423231270821315</v>
      </c>
      <c r="GF597">
        <v>2.8333339555300743</v>
      </c>
      <c r="GG597">
        <v>1.1300765542968063</v>
      </c>
      <c r="GH597">
        <v>1.3247603501682221</v>
      </c>
      <c r="GI597">
        <v>8.2009577560421221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5.0578258547008561</v>
      </c>
      <c r="AO598">
        <v>4.4500643585550286</v>
      </c>
      <c r="AP598">
        <v>18.520340884112571</v>
      </c>
      <c r="AQ598">
        <v>17.504420929156872</v>
      </c>
      <c r="AR598">
        <v>4.0752093245281191</v>
      </c>
      <c r="AS598">
        <v>19.569178761871907</v>
      </c>
      <c r="AT598" t="e">
        <v>#DIV/0!</v>
      </c>
      <c r="AU598" t="e">
        <v>#DIV/0!</v>
      </c>
      <c r="AV598"/>
      <c r="AW598"/>
      <c r="FY598" s="210">
        <v>593</v>
      </c>
      <c r="FZ598">
        <v>0.52454686079360424</v>
      </c>
      <c r="GA598">
        <v>1.4670256949129752</v>
      </c>
      <c r="GB598">
        <v>0.98058165482141413</v>
      </c>
      <c r="GC598">
        <v>4.28888100699423</v>
      </c>
      <c r="GD598">
        <v>3.6822409476109144</v>
      </c>
      <c r="GE598">
        <v>1.5381466201962124</v>
      </c>
      <c r="GF598">
        <v>0.38032995424220212</v>
      </c>
      <c r="GG598">
        <v>0.3361446578268279</v>
      </c>
      <c r="GH598">
        <v>0</v>
      </c>
      <c r="GI598">
        <v>3.1864687744276465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12.406498015873016</v>
      </c>
      <c r="AO599">
        <v>11.589271705721645</v>
      </c>
      <c r="AP599">
        <v>48.229288064244606</v>
      </c>
      <c r="AQ599">
        <v>43.649464530221785</v>
      </c>
      <c r="AR599">
        <v>10.697850648430357</v>
      </c>
      <c r="AS599">
        <v>46.534082412119858</v>
      </c>
      <c r="AT599" t="e">
        <v>#DIV/0!</v>
      </c>
      <c r="AU599" t="e">
        <v>#DIV/0!</v>
      </c>
      <c r="AV599"/>
      <c r="AW599"/>
      <c r="FY599" s="210">
        <v>594</v>
      </c>
      <c r="FZ599">
        <v>0.52454686079360424</v>
      </c>
      <c r="GA599">
        <v>7.4000930865318448</v>
      </c>
      <c r="GB599">
        <v>4.3730387338042798</v>
      </c>
      <c r="GC599">
        <v>2.2481811196968442</v>
      </c>
      <c r="GD599">
        <v>1.9867298623008012</v>
      </c>
      <c r="GE599">
        <v>2.0437516149865345</v>
      </c>
      <c r="GF599">
        <v>0.88105632613632445</v>
      </c>
      <c r="GG599">
        <v>1.4430063380750886</v>
      </c>
      <c r="GH599">
        <v>1.9871405252523333</v>
      </c>
      <c r="GI599">
        <v>3.1898916073638484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8.5897817460317434</v>
      </c>
      <c r="AO600">
        <v>8.1682545866919209</v>
      </c>
      <c r="AP600">
        <v>29.228189426343711</v>
      </c>
      <c r="AQ600">
        <v>29.209775767117854</v>
      </c>
      <c r="AR600">
        <v>7.4715001607277287</v>
      </c>
      <c r="AS600">
        <v>36.242734490455426</v>
      </c>
      <c r="AT600" t="e">
        <v>#DIV/0!</v>
      </c>
      <c r="AU600" t="e">
        <v>#DIV/0!</v>
      </c>
      <c r="AV600"/>
      <c r="AW600"/>
      <c r="FY600" s="210">
        <v>595</v>
      </c>
      <c r="FZ600">
        <v>0.2456818880042031</v>
      </c>
      <c r="GA600">
        <v>2.8332247998346558</v>
      </c>
      <c r="GB600">
        <v>1.7976162770147712</v>
      </c>
      <c r="GC600">
        <v>5.8548041012858567</v>
      </c>
      <c r="GD600">
        <v>4.9956263405958534</v>
      </c>
      <c r="GE600">
        <v>2.8997942149909193</v>
      </c>
      <c r="GF600">
        <v>2.3326075836359519</v>
      </c>
      <c r="GG600">
        <v>1.4662212121236342</v>
      </c>
      <c r="GH600">
        <v>1.3247603501682221</v>
      </c>
      <c r="GI600">
        <v>4.821905143400385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9.3016254578754562</v>
      </c>
      <c r="AO601">
        <v>9.7996405396259032</v>
      </c>
      <c r="AP601">
        <v>36.238521680746977</v>
      </c>
      <c r="AQ601">
        <v>33.054097006193672</v>
      </c>
      <c r="AR601">
        <v>8.9848452005551671</v>
      </c>
      <c r="AS601">
        <v>40.740539606328376</v>
      </c>
      <c r="AT601" t="e">
        <v>#DIV/0!</v>
      </c>
      <c r="AU601" t="e">
        <v>#DIV/0!</v>
      </c>
      <c r="AV601"/>
      <c r="AW601"/>
      <c r="FY601" s="210">
        <v>596</v>
      </c>
      <c r="FZ601">
        <v>0</v>
      </c>
      <c r="GA601">
        <v>2.7939824911679794</v>
      </c>
      <c r="GB601">
        <v>1.9254889303263858</v>
      </c>
      <c r="GC601">
        <v>7.5946996724683178</v>
      </c>
      <c r="GD601">
        <v>5.7844270623327363</v>
      </c>
      <c r="GE601">
        <v>1.3441421952025283</v>
      </c>
      <c r="GF601">
        <v>1.2613862803785265</v>
      </c>
      <c r="GG601">
        <v>1.2981488832102204</v>
      </c>
      <c r="GH601">
        <v>1.3247603501682221</v>
      </c>
      <c r="GI601">
        <v>5.1956737696981738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6.1979929792429793</v>
      </c>
      <c r="AO602">
        <v>5.3382763549967418</v>
      </c>
      <c r="AP602">
        <v>24.709461883241229</v>
      </c>
      <c r="AQ602">
        <v>20.39909137098639</v>
      </c>
      <c r="AR602">
        <v>4.9520188821862163</v>
      </c>
      <c r="AS602">
        <v>20.292803508757181</v>
      </c>
      <c r="AT602" t="e">
        <v>#DIV/0!</v>
      </c>
      <c r="AU602" t="e">
        <v>#DIV/0!</v>
      </c>
      <c r="AV602"/>
      <c r="AW602"/>
      <c r="FY602" s="210">
        <v>597</v>
      </c>
      <c r="FZ602">
        <v>3.3183084785198033E-2</v>
      </c>
      <c r="GA602">
        <v>3.9213835605039815</v>
      </c>
      <c r="GB602">
        <v>1.8637260783724128</v>
      </c>
      <c r="GC602">
        <v>5.0242701509233738</v>
      </c>
      <c r="GD602">
        <v>4.4409817294094394</v>
      </c>
      <c r="GE602">
        <v>1.501222702895322</v>
      </c>
      <c r="GF602">
        <v>0.19016497712110106</v>
      </c>
      <c r="GG602">
        <v>1.6110786669885027</v>
      </c>
      <c r="GH602">
        <v>1.9871405252523333</v>
      </c>
      <c r="GI602">
        <v>4.0297559435536652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8.8080357142857117</v>
      </c>
      <c r="AO603">
        <v>7.9654506270850387</v>
      </c>
      <c r="AP603">
        <v>33.473443060391233</v>
      </c>
      <c r="AQ603">
        <v>29.351825128374813</v>
      </c>
      <c r="AR603">
        <v>7.2833703280682824</v>
      </c>
      <c r="AS603">
        <v>31.241283435262542</v>
      </c>
      <c r="AT603" t="e">
        <v>#DIV/0!</v>
      </c>
      <c r="AU603" t="e">
        <v>#DIV/0!</v>
      </c>
      <c r="AV603"/>
      <c r="AW603"/>
      <c r="FY603" s="210">
        <v>598</v>
      </c>
      <c r="FZ603">
        <v>3.3183084785198033E-2</v>
      </c>
      <c r="GA603">
        <v>3.4301752794050873</v>
      </c>
      <c r="GB603">
        <v>3.3502622755609206</v>
      </c>
      <c r="GC603">
        <v>9.4240214782307152</v>
      </c>
      <c r="GD603">
        <v>7.0925169082613992</v>
      </c>
      <c r="GE603">
        <v>2.0437516149865345</v>
      </c>
      <c r="GF603">
        <v>1.4515512574996277</v>
      </c>
      <c r="GG603">
        <v>0.98521909943193808</v>
      </c>
      <c r="GH603">
        <v>0.66238017508411107</v>
      </c>
      <c r="GI603">
        <v>6.4011020787989032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5.5312881562881557</v>
      </c>
      <c r="AO604">
        <v>6.4992642637944602</v>
      </c>
      <c r="AP604">
        <v>21.147726547081859</v>
      </c>
      <c r="AQ604">
        <v>21.224326463423886</v>
      </c>
      <c r="AR604">
        <v>6.0290020999948606</v>
      </c>
      <c r="AS604">
        <v>33.554547135238955</v>
      </c>
      <c r="AT604" t="e">
        <v>#DIV/0!</v>
      </c>
      <c r="AU604" t="e">
        <v>#DIV/0!</v>
      </c>
      <c r="AV604"/>
      <c r="AW604"/>
      <c r="FY604" s="210">
        <v>599</v>
      </c>
      <c r="FZ604">
        <v>0.55772994557880229</v>
      </c>
      <c r="GA604">
        <v>0.78392614245213466</v>
      </c>
      <c r="GB604">
        <v>1.2080650141052784</v>
      </c>
      <c r="GC604">
        <v>8.9906094531541516</v>
      </c>
      <c r="GD604">
        <v>7.1197967110031843</v>
      </c>
      <c r="GE604">
        <v>2.3941892202005963</v>
      </c>
      <c r="GF604">
        <v>1.8318812117418297</v>
      </c>
      <c r="GG604">
        <v>2.2833679826421585</v>
      </c>
      <c r="GH604">
        <v>1.9871405252523333</v>
      </c>
      <c r="GI604">
        <v>6.3025783739811763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7.7304067460317469</v>
      </c>
      <c r="AO605">
        <v>7.9633021873182752</v>
      </c>
      <c r="AP605">
        <v>30.526909201847165</v>
      </c>
      <c r="AQ605">
        <v>28.077919234616033</v>
      </c>
      <c r="AR605">
        <v>7.3342425608576631</v>
      </c>
      <c r="AS605">
        <v>29.610946543518669</v>
      </c>
      <c r="AT605" t="e">
        <v>#DIV/0!</v>
      </c>
      <c r="AU605" t="e">
        <v>#DIV/0!</v>
      </c>
      <c r="AV605"/>
      <c r="AW605"/>
      <c r="FY605" s="210">
        <v>600</v>
      </c>
      <c r="FZ605">
        <v>3.3183084785198033E-2</v>
      </c>
      <c r="GA605">
        <v>1.9751343120206046</v>
      </c>
      <c r="GB605">
        <v>2.0629474903169118</v>
      </c>
      <c r="GC605">
        <v>6.7098793953440072</v>
      </c>
      <c r="GD605">
        <v>5.1835064116696925</v>
      </c>
      <c r="GE605">
        <v>1.8322417904006723</v>
      </c>
      <c r="GF605">
        <v>1.0712213032574254</v>
      </c>
      <c r="GG605">
        <v>1.6110786669885027</v>
      </c>
      <c r="GH605">
        <v>1.9871405252523333</v>
      </c>
      <c r="GI605">
        <v>4.8303849440767035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12.212587759462755</v>
      </c>
      <c r="AO606">
        <v>10.553379840076989</v>
      </c>
      <c r="AP606">
        <v>44.808998049869388</v>
      </c>
      <c r="AQ606">
        <v>40.512547460731966</v>
      </c>
      <c r="AR606">
        <v>9.7369119975540546</v>
      </c>
      <c r="AS606">
        <v>45.76797663230451</v>
      </c>
      <c r="AT606" t="e">
        <v>#DIV/0!</v>
      </c>
      <c r="AU606" t="e">
        <v>#DIV/0!</v>
      </c>
      <c r="AV606"/>
      <c r="AW606"/>
      <c r="FY606" s="210">
        <v>601</v>
      </c>
      <c r="FZ606">
        <v>0.34523114235979718</v>
      </c>
      <c r="GA606">
        <v>2.4690353826918914</v>
      </c>
      <c r="GB606">
        <v>0.98275512952324828</v>
      </c>
      <c r="GC606">
        <v>9.1827071282481132</v>
      </c>
      <c r="GD606">
        <v>7.4066171349638132</v>
      </c>
      <c r="GE606">
        <v>1.8691657077015624</v>
      </c>
      <c r="GF606">
        <v>1.0712213032574254</v>
      </c>
      <c r="GG606">
        <v>0.64907444160511019</v>
      </c>
      <c r="GH606">
        <v>0.66238017508411107</v>
      </c>
      <c r="GI606">
        <v>6.0361947850171989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4.7715773809523814</v>
      </c>
      <c r="AO607">
        <v>2.9376199493936044</v>
      </c>
      <c r="AP607">
        <v>22.526199071266845</v>
      </c>
      <c r="AQ607">
        <v>16.461806592568514</v>
      </c>
      <c r="AR607">
        <v>2.67219966853422</v>
      </c>
      <c r="AS607">
        <v>13.084619068841004</v>
      </c>
      <c r="AT607" t="e">
        <v>#DIV/0!</v>
      </c>
      <c r="AU607" t="e">
        <v>#DIV/0!</v>
      </c>
      <c r="AV607"/>
      <c r="AW607"/>
      <c r="FY607" s="210">
        <v>602</v>
      </c>
      <c r="FZ607">
        <v>0.27886497278940114</v>
      </c>
      <c r="GA607">
        <v>0.32926738044752452</v>
      </c>
      <c r="GB607">
        <v>0</v>
      </c>
      <c r="GC607">
        <v>6.3363079371992637</v>
      </c>
      <c r="GD607">
        <v>5.4378196646127899</v>
      </c>
      <c r="GE607">
        <v>1.501222702895322</v>
      </c>
      <c r="GF607">
        <v>0.5704949313633032</v>
      </c>
      <c r="GG607">
        <v>1.9472233248153306</v>
      </c>
      <c r="GH607">
        <v>1.9871405252523333</v>
      </c>
      <c r="GI607">
        <v>4.2602213118846111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10.530582264957264</v>
      </c>
      <c r="AO608">
        <v>13.451281029790128</v>
      </c>
      <c r="AP608">
        <v>37.730327836200885</v>
      </c>
      <c r="AQ608">
        <v>41.436181957121654</v>
      </c>
      <c r="AR608">
        <v>12.319401585945252</v>
      </c>
      <c r="AS608">
        <v>50.31701233630163</v>
      </c>
      <c r="AT608" t="e">
        <v>#DIV/0!</v>
      </c>
      <c r="AU608" t="e">
        <v>#DIV/0!</v>
      </c>
      <c r="AV608"/>
      <c r="AW608"/>
      <c r="FY608" s="210">
        <v>603</v>
      </c>
      <c r="FZ608">
        <v>3.3183084785198033E-2</v>
      </c>
      <c r="GA608">
        <v>0.88697555135127926</v>
      </c>
      <c r="GB608">
        <v>1.5526459985461498</v>
      </c>
      <c r="GC608">
        <v>8.590683572821094</v>
      </c>
      <c r="GD608">
        <v>6.6744487172767357</v>
      </c>
      <c r="GE608">
        <v>2.0437516149865345</v>
      </c>
      <c r="GF608">
        <v>0.88105632613632445</v>
      </c>
      <c r="GG608">
        <v>0.96200422538339236</v>
      </c>
      <c r="GH608">
        <v>1.3247603501682221</v>
      </c>
      <c r="GI608">
        <v>5.6237076557632788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4.6185897435897427</v>
      </c>
      <c r="AO609">
        <v>5.3203488100704472</v>
      </c>
      <c r="AP609">
        <v>15.845103949740999</v>
      </c>
      <c r="AQ609">
        <v>16.384366171826027</v>
      </c>
      <c r="AR609">
        <v>4.9353885065588559</v>
      </c>
      <c r="AS609">
        <v>21.002794022949615</v>
      </c>
      <c r="AT609" t="e">
        <v>#DIV/0!</v>
      </c>
      <c r="AU609" t="e">
        <v>#DIV/0!</v>
      </c>
      <c r="AV609"/>
      <c r="AW609"/>
      <c r="FY609" s="210">
        <v>604</v>
      </c>
      <c r="FZ609">
        <v>0.34523114235979718</v>
      </c>
      <c r="GA609">
        <v>1.3808766220225659</v>
      </c>
      <c r="GB609">
        <v>0.47245363775248589</v>
      </c>
      <c r="GC609">
        <v>10.794908954883935</v>
      </c>
      <c r="GD609">
        <v>8.8983127075942612</v>
      </c>
      <c r="GE609">
        <v>1.8147363908084939</v>
      </c>
      <c r="GF609">
        <v>0.38032995424220212</v>
      </c>
      <c r="GG609">
        <v>1.7791509959019165</v>
      </c>
      <c r="GH609">
        <v>1.9871405252523333</v>
      </c>
      <c r="GI609">
        <v>6.7956657864492644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8.0013163919413905</v>
      </c>
      <c r="AO610">
        <v>5.2647274304623695</v>
      </c>
      <c r="AP610">
        <v>34.94777536429261</v>
      </c>
      <c r="AQ610">
        <v>26.077436074941502</v>
      </c>
      <c r="AR610">
        <v>4.8309264598781576</v>
      </c>
      <c r="AS610">
        <v>20.292158779248375</v>
      </c>
      <c r="AT610" t="e">
        <v>#DIV/0!</v>
      </c>
      <c r="AU610" t="e">
        <v>#DIV/0!</v>
      </c>
      <c r="AV610"/>
      <c r="AW610"/>
      <c r="FY610" s="210">
        <v>605</v>
      </c>
      <c r="FZ610">
        <v>0</v>
      </c>
      <c r="GA610">
        <v>8.5913012561003157</v>
      </c>
      <c r="GB610">
        <v>4.0837925225664424</v>
      </c>
      <c r="GC610">
        <v>9.3205184765802453</v>
      </c>
      <c r="GD610">
        <v>7.5287295969791828</v>
      </c>
      <c r="GE610">
        <v>1.9060896250024524</v>
      </c>
      <c r="GF610">
        <v>1.4515512574996277</v>
      </c>
      <c r="GG610">
        <v>1.9472233248153306</v>
      </c>
      <c r="GH610">
        <v>1.9871405252523333</v>
      </c>
      <c r="GI610">
        <v>7.1827166081362606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6.0739850427350408</v>
      </c>
      <c r="AO611">
        <v>7.9350829198135013</v>
      </c>
      <c r="AP611">
        <v>30.442670224900311</v>
      </c>
      <c r="AQ611">
        <v>28.572241911054455</v>
      </c>
      <c r="AR611">
        <v>7.255199913159621</v>
      </c>
      <c r="AS611">
        <v>37.472867453084376</v>
      </c>
      <c r="AT611" t="e">
        <v>#DIV/0!</v>
      </c>
      <c r="AU611" t="e">
        <v>#DIV/0!</v>
      </c>
      <c r="AV611"/>
      <c r="AW611"/>
      <c r="FY611" s="210">
        <v>606</v>
      </c>
      <c r="FZ611">
        <v>0.55772994557880229</v>
      </c>
      <c r="GA611">
        <v>7.5647267767556077</v>
      </c>
      <c r="GB611">
        <v>3.2928463730106161</v>
      </c>
      <c r="GC611">
        <v>0.86273591563614338</v>
      </c>
      <c r="GD611">
        <v>1.1716147106288806</v>
      </c>
      <c r="GE611">
        <v>1.5925759370892807</v>
      </c>
      <c r="GF611">
        <v>1.0712213032574254</v>
      </c>
      <c r="GG611">
        <v>0.16807232891341395</v>
      </c>
      <c r="GH611">
        <v>0</v>
      </c>
      <c r="GI611">
        <v>1.9205672101753573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6.5161591880341874</v>
      </c>
      <c r="AO612">
        <v>8.5814158189116725</v>
      </c>
      <c r="AP612">
        <v>29.399886505291882</v>
      </c>
      <c r="AQ612">
        <v>28.522709634953095</v>
      </c>
      <c r="AR612">
        <v>7.9076318294971761</v>
      </c>
      <c r="AS612">
        <v>34.407746395663771</v>
      </c>
      <c r="AT612" t="e">
        <v>#DIV/0!</v>
      </c>
      <c r="AU612" t="e">
        <v>#DIV/0!</v>
      </c>
      <c r="AV612"/>
      <c r="AW612"/>
      <c r="FY612" s="210">
        <v>607</v>
      </c>
      <c r="FZ612">
        <v>0.55772994557880229</v>
      </c>
      <c r="GA612">
        <v>3.4421600069335794</v>
      </c>
      <c r="GB612">
        <v>1.899400457688855</v>
      </c>
      <c r="GC612">
        <v>1.1306979907224146</v>
      </c>
      <c r="GD612">
        <v>1.2900466330975116</v>
      </c>
      <c r="GE612">
        <v>1.8322417904006723</v>
      </c>
      <c r="GF612">
        <v>1.4515512574996277</v>
      </c>
      <c r="GG612">
        <v>0.98521909943193808</v>
      </c>
      <c r="GH612">
        <v>0.66238017508411107</v>
      </c>
      <c r="GI612">
        <v>1.8002399133696891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6.0248778998778993</v>
      </c>
      <c r="AO613">
        <v>6.6130870236207882</v>
      </c>
      <c r="AP613">
        <v>26.289074565275186</v>
      </c>
      <c r="AQ613">
        <v>24.602907419805327</v>
      </c>
      <c r="AR613">
        <v>6.1345890757150165</v>
      </c>
      <c r="AS613">
        <v>34.707482238851334</v>
      </c>
      <c r="AT613" t="e">
        <v>#DIV/0!</v>
      </c>
      <c r="AU613" t="e">
        <v>#DIV/0!</v>
      </c>
      <c r="AV613"/>
      <c r="AW613"/>
      <c r="FY613" s="210">
        <v>608</v>
      </c>
      <c r="FZ613">
        <v>3.3183084785198033E-2</v>
      </c>
      <c r="GA613">
        <v>0.16463369022376226</v>
      </c>
      <c r="GB613">
        <v>0.63600067038054287</v>
      </c>
      <c r="GC613">
        <v>7.8731263241797222</v>
      </c>
      <c r="GD613">
        <v>6.028384050702658</v>
      </c>
      <c r="GE613">
        <v>2.4661239366858436</v>
      </c>
      <c r="GF613">
        <v>2.8333339555300743</v>
      </c>
      <c r="GG613">
        <v>1.1300765542968063</v>
      </c>
      <c r="GH613">
        <v>1.3247603501682221</v>
      </c>
      <c r="GI613">
        <v>5.2914946048316596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7.2458600427350417</v>
      </c>
      <c r="AO614">
        <v>10.554110913515039</v>
      </c>
      <c r="AP614">
        <v>36.447671344188677</v>
      </c>
      <c r="AQ614">
        <v>34.874163252044426</v>
      </c>
      <c r="AR614">
        <v>9.7375901732850885</v>
      </c>
      <c r="AS614">
        <v>56.950177362869617</v>
      </c>
      <c r="AT614" t="e">
        <v>#DIV/0!</v>
      </c>
      <c r="AU614" t="e">
        <v>#DIV/0!</v>
      </c>
      <c r="AV614"/>
      <c r="AW614"/>
      <c r="FY614" s="210">
        <v>609</v>
      </c>
      <c r="FZ614">
        <v>6.6366169570396066E-2</v>
      </c>
      <c r="GA614">
        <v>5.0487846298399841</v>
      </c>
      <c r="GB614">
        <v>2.9460919138679103</v>
      </c>
      <c r="GC614">
        <v>4.4512336990220298</v>
      </c>
      <c r="GD614">
        <v>3.7459589627401808</v>
      </c>
      <c r="GE614">
        <v>1.3635607129112401</v>
      </c>
      <c r="GF614">
        <v>0.19016497712110106</v>
      </c>
      <c r="GG614">
        <v>0.16807232891341395</v>
      </c>
      <c r="GH614">
        <v>0</v>
      </c>
      <c r="GI614">
        <v>3.553923584166653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7.9362980769230775</v>
      </c>
      <c r="AO615">
        <v>10.417393607952082</v>
      </c>
      <c r="AP615">
        <v>32.742619086667375</v>
      </c>
      <c r="AQ615">
        <v>33.459284580111643</v>
      </c>
      <c r="AR615">
        <v>9.6107652145068325</v>
      </c>
      <c r="AS615">
        <v>60.637030317653661</v>
      </c>
      <c r="AT615" t="e">
        <v>#DIV/0!</v>
      </c>
      <c r="AU615" t="e">
        <v>#DIV/0!</v>
      </c>
      <c r="AV615"/>
      <c r="AW615"/>
      <c r="FY615" s="210">
        <v>610</v>
      </c>
      <c r="FZ615">
        <v>0.77022874879780745</v>
      </c>
      <c r="GA615">
        <v>6.7169935340710047</v>
      </c>
      <c r="GB615">
        <v>3.3285207523270586</v>
      </c>
      <c r="GC615">
        <v>4.4481364410595372</v>
      </c>
      <c r="GD615">
        <v>4.0781582321512211</v>
      </c>
      <c r="GE615">
        <v>3.1113040395767815</v>
      </c>
      <c r="GF615">
        <v>1.95227762939375</v>
      </c>
      <c r="GG615">
        <v>0.16807232891341395</v>
      </c>
      <c r="GH615">
        <v>0</v>
      </c>
      <c r="GI615">
        <v>4.2930671980707364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6.9988362332112315</v>
      </c>
      <c r="AO616">
        <v>7.9696758101783347</v>
      </c>
      <c r="AP616">
        <v>28.96976916310782</v>
      </c>
      <c r="AQ616">
        <v>27.296717924112045</v>
      </c>
      <c r="AR616">
        <v>7.3401550124903698</v>
      </c>
      <c r="AS616">
        <v>33.352341589399721</v>
      </c>
      <c r="AT616" t="e">
        <v>#DIV/0!</v>
      </c>
      <c r="AU616" t="e">
        <v>#DIV/0!</v>
      </c>
      <c r="AV616"/>
      <c r="AW616"/>
      <c r="FY616" s="210">
        <v>611</v>
      </c>
      <c r="FZ616">
        <v>0.34523114235979718</v>
      </c>
      <c r="GA616">
        <v>0.40775199778087756</v>
      </c>
      <c r="GB616">
        <v>1.1441286874494712</v>
      </c>
      <c r="GC616">
        <v>4.9945251678572129</v>
      </c>
      <c r="GD616">
        <v>3.8552224740787073</v>
      </c>
      <c r="GE616">
        <v>1.6576558831156998</v>
      </c>
      <c r="GF616">
        <v>0.88105632613632445</v>
      </c>
      <c r="GG616">
        <v>0.96200422538339236</v>
      </c>
      <c r="GH616">
        <v>1.3247603501682221</v>
      </c>
      <c r="GI616">
        <v>3.4558198107892073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8.4219131562881575</v>
      </c>
      <c r="AO617">
        <v>9.9758907211499217</v>
      </c>
      <c r="AP617">
        <v>28.386687981039998</v>
      </c>
      <c r="AQ617">
        <v>30.674382330452264</v>
      </c>
      <c r="AR617">
        <v>9.2012078055994504</v>
      </c>
      <c r="AS617">
        <v>52.091382732251901</v>
      </c>
      <c r="AT617" t="e">
        <v>#DIV/0!</v>
      </c>
      <c r="AU617" t="e">
        <v>#DIV/0!</v>
      </c>
      <c r="AV617"/>
      <c r="AW617"/>
      <c r="FY617" s="210">
        <v>612</v>
      </c>
      <c r="FZ617">
        <v>0.98272755201681239</v>
      </c>
      <c r="GA617">
        <v>3.2213836720344053</v>
      </c>
      <c r="GB617">
        <v>2.1268838169727191</v>
      </c>
      <c r="GC617">
        <v>11.883287376547194</v>
      </c>
      <c r="GD617">
        <v>8.8863709524280434</v>
      </c>
      <c r="GE617">
        <v>1.6576558831156998</v>
      </c>
      <c r="GF617">
        <v>1.6417162346207288</v>
      </c>
      <c r="GG617">
        <v>2.1152956537287446</v>
      </c>
      <c r="GH617">
        <v>1.9871405252523333</v>
      </c>
      <c r="GI617">
        <v>7.8968112674956732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6.3031517094017087</v>
      </c>
      <c r="AO618">
        <v>6.9194544224999674</v>
      </c>
      <c r="AP618">
        <v>19.907735276212755</v>
      </c>
      <c r="AQ618">
        <v>22.648562751259878</v>
      </c>
      <c r="AR618">
        <v>6.418788889146537</v>
      </c>
      <c r="AS618">
        <v>27.205974361710883</v>
      </c>
      <c r="AT618" t="e">
        <v>#DIV/0!</v>
      </c>
      <c r="AU618" t="e">
        <v>#DIV/0!</v>
      </c>
      <c r="AV618"/>
      <c r="AW618"/>
      <c r="FY618" s="210">
        <v>613</v>
      </c>
      <c r="FZ618">
        <v>0.2456818880042031</v>
      </c>
      <c r="GA618">
        <v>5.0095423211733063</v>
      </c>
      <c r="GB618">
        <v>2.2461549168315607</v>
      </c>
      <c r="GC618">
        <v>15.522112323409869</v>
      </c>
      <c r="GD618">
        <v>12.322299359407722</v>
      </c>
      <c r="GE618">
        <v>1.7778124735076037</v>
      </c>
      <c r="GF618">
        <v>0.19016497712110106</v>
      </c>
      <c r="GG618">
        <v>2.0920807796801988</v>
      </c>
      <c r="GH618">
        <v>2.6495207003364443</v>
      </c>
      <c r="GI618">
        <v>9.9706628326349893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6.9715544871794863</v>
      </c>
      <c r="AO619">
        <v>9.2802676211842261</v>
      </c>
      <c r="AP619">
        <v>27.305058821278926</v>
      </c>
      <c r="AQ619">
        <v>28.573217097218208</v>
      </c>
      <c r="AR619">
        <v>8.5559173603622511</v>
      </c>
      <c r="AS619">
        <v>35.645924276369357</v>
      </c>
      <c r="AT619" t="e">
        <v>#DIV/0!</v>
      </c>
      <c r="AU619" t="e">
        <v>#DIV/0!</v>
      </c>
      <c r="AV619"/>
      <c r="AW619"/>
      <c r="FY619" s="210">
        <v>614</v>
      </c>
      <c r="FZ619">
        <v>0.2456818880042031</v>
      </c>
      <c r="GA619">
        <v>3.1990416993764645</v>
      </c>
      <c r="GB619">
        <v>1.9633367843446625</v>
      </c>
      <c r="GC619">
        <v>2.8460522182092092</v>
      </c>
      <c r="GD619">
        <v>2.9445772259872718</v>
      </c>
      <c r="GE619">
        <v>3.2133079029040905</v>
      </c>
      <c r="GF619">
        <v>1.95227762939375</v>
      </c>
      <c r="GG619">
        <v>1.1300765542968063</v>
      </c>
      <c r="GH619">
        <v>1.3247603501682221</v>
      </c>
      <c r="GI619">
        <v>3.2523387299410174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9.5948183760683747</v>
      </c>
      <c r="AO620">
        <v>11.065239649854217</v>
      </c>
      <c r="AP620">
        <v>29.827848500928344</v>
      </c>
      <c r="AQ620">
        <v>34.648806717267256</v>
      </c>
      <c r="AR620">
        <v>10.264600788361982</v>
      </c>
      <c r="AS620">
        <v>49.107689018951298</v>
      </c>
      <c r="AT620" t="e">
        <v>#DIV/0!</v>
      </c>
      <c r="AU620" t="e">
        <v>#DIV/0!</v>
      </c>
      <c r="AV620"/>
      <c r="AW620"/>
      <c r="FY620" s="210">
        <v>615</v>
      </c>
      <c r="FZ620">
        <v>0</v>
      </c>
      <c r="GA620">
        <v>5.9330673916188701</v>
      </c>
      <c r="GB620">
        <v>3.3924570789828659</v>
      </c>
      <c r="GC620">
        <v>4.1394498737990624</v>
      </c>
      <c r="GD620">
        <v>3.5131573563916318</v>
      </c>
      <c r="GE620">
        <v>2.4116946197927751</v>
      </c>
      <c r="GF620">
        <v>1.7621126522726489</v>
      </c>
      <c r="GG620">
        <v>1.4430063380750886</v>
      </c>
      <c r="GH620">
        <v>1.9871405252523333</v>
      </c>
      <c r="GI620">
        <v>4.0746673330936716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12.249751984126982</v>
      </c>
      <c r="AO621">
        <v>11.867412088998156</v>
      </c>
      <c r="AP621">
        <v>49.315170761056365</v>
      </c>
      <c r="AQ621">
        <v>43.999063192932198</v>
      </c>
      <c r="AR621">
        <v>10.955865846274994</v>
      </c>
      <c r="AS621">
        <v>64.484536285168204</v>
      </c>
      <c r="AT621" t="e">
        <v>#DIV/0!</v>
      </c>
      <c r="AU621" t="e">
        <v>#DIV/0!</v>
      </c>
      <c r="AV621"/>
      <c r="AW621"/>
      <c r="FY621" s="210">
        <v>616</v>
      </c>
      <c r="FZ621">
        <v>0.55772994557880229</v>
      </c>
      <c r="GA621">
        <v>3.5675513884906653</v>
      </c>
      <c r="GB621">
        <v>1.3912724406199268</v>
      </c>
      <c r="GC621">
        <v>7.1889262490499135</v>
      </c>
      <c r="GD621">
        <v>5.4396467779056694</v>
      </c>
      <c r="GE621">
        <v>0.85604260000438437</v>
      </c>
      <c r="GF621">
        <v>1.2613862803785265</v>
      </c>
      <c r="GG621">
        <v>0.81714677051852402</v>
      </c>
      <c r="GH621">
        <v>0.66238017508411107</v>
      </c>
      <c r="GI621">
        <v>4.8109246494587046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7.0141369047619033</v>
      </c>
      <c r="AO622">
        <v>3.0824439639280312</v>
      </c>
      <c r="AP622">
        <v>24.534031460775726</v>
      </c>
      <c r="AQ622">
        <v>18.202090501045529</v>
      </c>
      <c r="AR622">
        <v>2.8065447655049311</v>
      </c>
      <c r="AS622">
        <v>12.718594297077081</v>
      </c>
      <c r="AT622" t="e">
        <v>#DIV/0!</v>
      </c>
      <c r="AU622" t="e">
        <v>#DIV/0!</v>
      </c>
      <c r="AV622"/>
      <c r="AW622"/>
      <c r="FY622" s="210">
        <v>617</v>
      </c>
      <c r="FZ622">
        <v>0.31204805757459919</v>
      </c>
      <c r="GA622">
        <v>3.0371007987250946</v>
      </c>
      <c r="GB622">
        <v>2.433616947395314</v>
      </c>
      <c r="GC622">
        <v>6.1473075200677956</v>
      </c>
      <c r="GD622">
        <v>4.8009234091688171</v>
      </c>
      <c r="GE622">
        <v>1.8691657077015624</v>
      </c>
      <c r="GF622">
        <v>1.4515512574996277</v>
      </c>
      <c r="GG622">
        <v>0.98521909943193808</v>
      </c>
      <c r="GH622">
        <v>0.66238017508411107</v>
      </c>
      <c r="GI622">
        <v>4.4965887662274238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4.7766140109890109</v>
      </c>
      <c r="AO623">
        <v>2.8711082786748965</v>
      </c>
      <c r="AP623">
        <v>18.758897207448172</v>
      </c>
      <c r="AQ623">
        <v>15.051667269807201</v>
      </c>
      <c r="AR623">
        <v>2.610500530576235</v>
      </c>
      <c r="AS623">
        <v>13.949956852143279</v>
      </c>
      <c r="AT623" t="e">
        <v>#DIV/0!</v>
      </c>
      <c r="AU623" t="e">
        <v>#DIV/0!</v>
      </c>
      <c r="AV623"/>
      <c r="AW623"/>
      <c r="FY623" s="210">
        <v>618</v>
      </c>
      <c r="FZ623">
        <v>0.27886497278940114</v>
      </c>
      <c r="GA623">
        <v>0.58005014356169593</v>
      </c>
      <c r="GB623">
        <v>0.12787265331161465</v>
      </c>
      <c r="GC623">
        <v>10.791811696921442</v>
      </c>
      <c r="GD623">
        <v>9.0078441545936059</v>
      </c>
      <c r="GE623">
        <v>2.5687751274855688</v>
      </c>
      <c r="GF623">
        <v>1.2613862803785265</v>
      </c>
      <c r="GG623">
        <v>1.2981488832102204</v>
      </c>
      <c r="GH623">
        <v>1.3247603501682221</v>
      </c>
      <c r="GI623">
        <v>6.8068258490435518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6.067708333333333</v>
      </c>
      <c r="AO624">
        <v>8.6917576435353929</v>
      </c>
      <c r="AP624">
        <v>26.753906987722019</v>
      </c>
      <c r="AQ624">
        <v>27.781117221784491</v>
      </c>
      <c r="AR624">
        <v>7.904259298139376</v>
      </c>
      <c r="AS624">
        <v>53.380823346644327</v>
      </c>
      <c r="AT624" t="e">
        <v>#DIV/0!</v>
      </c>
      <c r="AU624" t="e">
        <v>#DIV/0!</v>
      </c>
      <c r="AV624"/>
      <c r="AW624"/>
      <c r="FY624" s="210">
        <v>619</v>
      </c>
      <c r="FZ624">
        <v>3.3183084785198033E-2</v>
      </c>
      <c r="GA624">
        <v>2.9482589362622931</v>
      </c>
      <c r="GB624">
        <v>1.9633367843446625</v>
      </c>
      <c r="GC624">
        <v>6.7389841026551753</v>
      </c>
      <c r="GD624">
        <v>5.5294745495398319</v>
      </c>
      <c r="GE624">
        <v>1.4642987855944321</v>
      </c>
      <c r="GF624">
        <v>0</v>
      </c>
      <c r="GG624">
        <v>1.4430063380750886</v>
      </c>
      <c r="GH624">
        <v>1.9871405252523333</v>
      </c>
      <c r="GI624">
        <v>4.6626338113006529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7.1205357142857135</v>
      </c>
      <c r="AO625">
        <v>5.8807360510318771</v>
      </c>
      <c r="AP625">
        <v>24.463183088607025</v>
      </c>
      <c r="AQ625">
        <v>21.534156978152907</v>
      </c>
      <c r="AR625">
        <v>5.455228247710461</v>
      </c>
      <c r="AS625">
        <v>25.160069157810199</v>
      </c>
      <c r="AT625" t="e">
        <v>#DIV/0!</v>
      </c>
      <c r="AU625" t="e">
        <v>#DIV/0!</v>
      </c>
      <c r="AV625"/>
      <c r="AW625"/>
      <c r="FY625" s="210">
        <v>620</v>
      </c>
      <c r="FZ625">
        <v>9.9549254355594113E-2</v>
      </c>
      <c r="GA625">
        <v>3.7490854147231634</v>
      </c>
      <c r="GB625">
        <v>2.3079177687855337</v>
      </c>
      <c r="GC625">
        <v>5.2891349680471524</v>
      </c>
      <c r="GD625">
        <v>4.5141029852081882</v>
      </c>
      <c r="GE625">
        <v>2.1826793956147341</v>
      </c>
      <c r="GF625">
        <v>1.2613862803785265</v>
      </c>
      <c r="GG625">
        <v>2.2601531085936126</v>
      </c>
      <c r="GH625">
        <v>2.6495207003364443</v>
      </c>
      <c r="GI625">
        <v>4.523800985766389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10.273885836385833</v>
      </c>
      <c r="AO626">
        <v>7.0330247987159593</v>
      </c>
      <c r="AP626">
        <v>33.491931978883095</v>
      </c>
      <c r="AQ626">
        <v>28.866758904361308</v>
      </c>
      <c r="AR626">
        <v>6.4184113036071695</v>
      </c>
      <c r="AS626">
        <v>30.003829870431719</v>
      </c>
      <c r="AT626" t="e">
        <v>#DIV/0!</v>
      </c>
      <c r="AU626" t="e">
        <v>#DIV/0!</v>
      </c>
      <c r="AV626"/>
      <c r="AW626"/>
      <c r="FY626" s="210">
        <v>621</v>
      </c>
      <c r="FZ626">
        <v>0.2456818880042031</v>
      </c>
      <c r="GA626">
        <v>2.1108829387071388</v>
      </c>
      <c r="GB626">
        <v>0.88097094884916438</v>
      </c>
      <c r="GC626">
        <v>7.32983485534454</v>
      </c>
      <c r="GD626">
        <v>6.1239117997035271</v>
      </c>
      <c r="GE626">
        <v>1.501222702895322</v>
      </c>
      <c r="GF626">
        <v>0.38032995424220212</v>
      </c>
      <c r="GG626">
        <v>1.2981488832102204</v>
      </c>
      <c r="GH626">
        <v>1.3247603501682221</v>
      </c>
      <c r="GI626">
        <v>5.0161004646483409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4.7592147435897427</v>
      </c>
      <c r="AO627">
        <v>5.6511013416897109</v>
      </c>
      <c r="AP627">
        <v>19.02776963612693</v>
      </c>
      <c r="AQ627">
        <v>19.02815606511891</v>
      </c>
      <c r="AR627">
        <v>5.1893438172319062</v>
      </c>
      <c r="AS627">
        <v>30.616400054456605</v>
      </c>
      <c r="AT627" t="e">
        <v>#DIV/0!</v>
      </c>
      <c r="AU627" t="e">
        <v>#DIV/0!</v>
      </c>
      <c r="AV627"/>
      <c r="AW627"/>
      <c r="FY627" s="210">
        <v>622</v>
      </c>
      <c r="FZ627">
        <v>0.27886497278940114</v>
      </c>
      <c r="GA627">
        <v>4.3368000138419154</v>
      </c>
      <c r="GB627">
        <v>3.6438554362024265</v>
      </c>
      <c r="GC627">
        <v>2.2291940161711685</v>
      </c>
      <c r="GD627">
        <v>2.1894715287109925</v>
      </c>
      <c r="GE627">
        <v>3.3878938101890634</v>
      </c>
      <c r="GF627">
        <v>2.1424426065148507</v>
      </c>
      <c r="GG627">
        <v>1.2981488832102204</v>
      </c>
      <c r="GH627">
        <v>1.3247603501682221</v>
      </c>
      <c r="GI627">
        <v>3.1477833439271206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11.477468711843709</v>
      </c>
      <c r="AO628">
        <v>13.075788450487945</v>
      </c>
      <c r="AP628">
        <v>42.480998493415321</v>
      </c>
      <c r="AQ628">
        <v>42.399272934212355</v>
      </c>
      <c r="AR628">
        <v>12.076808667694092</v>
      </c>
      <c r="AS628">
        <v>48.813110206005391</v>
      </c>
      <c r="AT628" t="e">
        <v>#DIV/0!</v>
      </c>
      <c r="AU628" t="e">
        <v>#DIV/0!</v>
      </c>
      <c r="AV628"/>
      <c r="AW628"/>
      <c r="FY628" s="210">
        <v>623</v>
      </c>
      <c r="FZ628">
        <v>6.6366169570396066E-2</v>
      </c>
      <c r="GA628">
        <v>4.5575763487410894</v>
      </c>
      <c r="GB628">
        <v>2.1443707361574766</v>
      </c>
      <c r="GC628">
        <v>2.2779261027630056</v>
      </c>
      <c r="GD628">
        <v>2.0549901574629379</v>
      </c>
      <c r="GE628">
        <v>1.9235950245946309</v>
      </c>
      <c r="GF628">
        <v>2.1424426065148507</v>
      </c>
      <c r="GG628">
        <v>0.81714677051852402</v>
      </c>
      <c r="GH628">
        <v>0.66238017508411107</v>
      </c>
      <c r="GI628">
        <v>2.7236279579173561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13.892971611721611</v>
      </c>
      <c r="AO629">
        <v>16.427169157701208</v>
      </c>
      <c r="AP629">
        <v>49.242834444435758</v>
      </c>
      <c r="AQ629">
        <v>52.026032572106999</v>
      </c>
      <c r="AR629">
        <v>15.238561370780346</v>
      </c>
      <c r="AS629">
        <v>84.320632054139509</v>
      </c>
      <c r="AT629" t="e">
        <v>#DIV/0!</v>
      </c>
      <c r="AU629" t="e">
        <v>#DIV/0!</v>
      </c>
      <c r="AV629"/>
      <c r="AW629"/>
      <c r="FY629" s="210">
        <v>624</v>
      </c>
      <c r="FZ629">
        <v>0.49136377600840619</v>
      </c>
      <c r="GA629">
        <v>6.3877261536234808</v>
      </c>
      <c r="GB629">
        <v>3.3285207523270586</v>
      </c>
      <c r="GC629">
        <v>7.1536270258137611</v>
      </c>
      <c r="GD629">
        <v>5.7074709651314546</v>
      </c>
      <c r="GE629">
        <v>1.9060896250024524</v>
      </c>
      <c r="GF629">
        <v>0.88105632613632445</v>
      </c>
      <c r="GG629">
        <v>1.9240084507667847</v>
      </c>
      <c r="GH629">
        <v>2.6495207003364443</v>
      </c>
      <c r="GI629">
        <v>5.8361548156800511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5.9415445665445663</v>
      </c>
      <c r="AO630">
        <v>5.3175902290428834</v>
      </c>
      <c r="AP630">
        <v>25.420205512716404</v>
      </c>
      <c r="AQ630">
        <v>22.071450982625695</v>
      </c>
      <c r="AR630">
        <v>4.8270990868417938</v>
      </c>
      <c r="AS630">
        <v>23.09617491796903</v>
      </c>
      <c r="AT630" t="e">
        <v>#DIV/0!</v>
      </c>
      <c r="AU630" t="e">
        <v>#DIV/0!</v>
      </c>
      <c r="AV630"/>
      <c r="AW630"/>
      <c r="FY630" s="210">
        <v>625</v>
      </c>
      <c r="FZ630">
        <v>0.2456818880042031</v>
      </c>
      <c r="GA630">
        <v>2.3513084566918616</v>
      </c>
      <c r="GB630">
        <v>1.5548194732479839</v>
      </c>
      <c r="GC630">
        <v>10.037782422306261</v>
      </c>
      <c r="GD630">
        <v>7.4581887214967191</v>
      </c>
      <c r="GE630">
        <v>1.0675524245902468</v>
      </c>
      <c r="GF630">
        <v>1.0712213032574254</v>
      </c>
      <c r="GG630">
        <v>1.6110786669885027</v>
      </c>
      <c r="GH630">
        <v>1.9871405252523333</v>
      </c>
      <c r="GI630">
        <v>6.4078035752627427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7.8775183150183139</v>
      </c>
      <c r="AO631">
        <v>6.6861270576968126</v>
      </c>
      <c r="AP631">
        <v>35.005365204983669</v>
      </c>
      <c r="AQ631">
        <v>28.656753169278947</v>
      </c>
      <c r="AR631">
        <v>6.0966137701942307</v>
      </c>
      <c r="AS631">
        <v>31.12218377281113</v>
      </c>
      <c r="AT631" t="e">
        <v>#DIV/0!</v>
      </c>
      <c r="AU631" t="e">
        <v>#DIV/0!</v>
      </c>
      <c r="AV631"/>
      <c r="AW631"/>
      <c r="FY631" s="210">
        <v>626</v>
      </c>
      <c r="FZ631">
        <v>0.27886497278940114</v>
      </c>
      <c r="GA631">
        <v>4.8083591118552604</v>
      </c>
      <c r="GB631">
        <v>2.7164350798822126</v>
      </c>
      <c r="GC631">
        <v>8.7226473780678795</v>
      </c>
      <c r="GD631">
        <v>6.9477351023176448</v>
      </c>
      <c r="GE631">
        <v>2.0437516149865345</v>
      </c>
      <c r="GF631">
        <v>1.2613862803785265</v>
      </c>
      <c r="GG631">
        <v>1.7791509959019165</v>
      </c>
      <c r="GH631">
        <v>1.9871405252523333</v>
      </c>
      <c r="GI631">
        <v>6.4194413799186547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7.8067956349206344</v>
      </c>
      <c r="AO632">
        <v>7.9538543610193004</v>
      </c>
      <c r="AP632">
        <v>26.932458955626331</v>
      </c>
      <c r="AQ632">
        <v>26.553007277089229</v>
      </c>
      <c r="AR632">
        <v>7.3254783435116737</v>
      </c>
      <c r="AS632">
        <v>31.314231731027931</v>
      </c>
      <c r="AT632" t="e">
        <v>#DIV/0!</v>
      </c>
      <c r="AU632" t="e">
        <v>#DIV/0!</v>
      </c>
      <c r="AV632"/>
      <c r="AW632"/>
      <c r="FY632" s="210">
        <v>627</v>
      </c>
      <c r="FZ632">
        <v>0.73704566401260951</v>
      </c>
      <c r="GA632">
        <v>3.6537004613810744</v>
      </c>
      <c r="GB632">
        <v>1.3273361139641193</v>
      </c>
      <c r="GC632">
        <v>7.4890902894098463</v>
      </c>
      <c r="GD632">
        <v>6.6055313550586074</v>
      </c>
      <c r="GE632">
        <v>2.7077029081137685</v>
      </c>
      <c r="GF632">
        <v>1.6417162346207288</v>
      </c>
      <c r="GG632">
        <v>2.1152956537287446</v>
      </c>
      <c r="GH632">
        <v>1.9871405252523333</v>
      </c>
      <c r="GI632">
        <v>5.7721142847626483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6.2106036324786329</v>
      </c>
      <c r="AO633">
        <v>7.3650630705970865</v>
      </c>
      <c r="AP633">
        <v>27.934754688481028</v>
      </c>
      <c r="AQ633">
        <v>26.19590173887628</v>
      </c>
      <c r="AR633">
        <v>6.7792897624149999</v>
      </c>
      <c r="AS633">
        <v>25.989717631767761</v>
      </c>
      <c r="AT633" t="e">
        <v>#DIV/0!</v>
      </c>
      <c r="AU633" t="e">
        <v>#DIV/0!</v>
      </c>
      <c r="AV633"/>
      <c r="AW633"/>
      <c r="FY633" s="210">
        <v>628</v>
      </c>
      <c r="FZ633">
        <v>0.13273233914079213</v>
      </c>
      <c r="GA633">
        <v>1.2554852404654802</v>
      </c>
      <c r="GB633">
        <v>0.53638996440829323</v>
      </c>
      <c r="GC633">
        <v>1.56621639720698</v>
      </c>
      <c r="GD633">
        <v>2.0657440591860849</v>
      </c>
      <c r="GE633">
        <v>1.8516603081093841</v>
      </c>
      <c r="GF633">
        <v>0.76065990848440423</v>
      </c>
      <c r="GG633">
        <v>1.1532914283453519</v>
      </c>
      <c r="GH633">
        <v>0.66238017508411107</v>
      </c>
      <c r="GI633">
        <v>1.8531109616430124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9.9194711538461533</v>
      </c>
      <c r="AO634">
        <v>11.055046628557665</v>
      </c>
      <c r="AP634">
        <v>28.329331935295514</v>
      </c>
      <c r="AQ634">
        <v>34.046340111463849</v>
      </c>
      <c r="AR634">
        <v>10.202280075922031</v>
      </c>
      <c r="AS634">
        <v>51.864162383600316</v>
      </c>
      <c r="AT634" t="e">
        <v>#DIV/0!</v>
      </c>
      <c r="AU634" t="e">
        <v>#DIV/0!</v>
      </c>
      <c r="AV634"/>
      <c r="AW634"/>
      <c r="FY634" s="210">
        <v>629</v>
      </c>
      <c r="FZ634">
        <v>6.6366169570396066E-2</v>
      </c>
      <c r="GA634">
        <v>0.9262178600179557</v>
      </c>
      <c r="GB634">
        <v>2.1247103422708853</v>
      </c>
      <c r="GC634">
        <v>4.2560387659655765</v>
      </c>
      <c r="GD634">
        <v>3.1702600151349198</v>
      </c>
      <c r="GE634">
        <v>1.2897128783094598</v>
      </c>
      <c r="GF634">
        <v>0.76065990848440423</v>
      </c>
      <c r="GG634">
        <v>2.1152956537287446</v>
      </c>
      <c r="GH634">
        <v>1.9871405252523333</v>
      </c>
      <c r="GI634">
        <v>3.3446347012119766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7.7024954212454206</v>
      </c>
      <c r="AO635">
        <v>7.5830221011856169</v>
      </c>
      <c r="AP635">
        <v>26.974039491500424</v>
      </c>
      <c r="AQ635">
        <v>26.770316917809673</v>
      </c>
      <c r="AR635">
        <v>7.034343322064581</v>
      </c>
      <c r="AS635">
        <v>37.441572925999907</v>
      </c>
      <c r="AT635" t="e">
        <v>#DIV/0!</v>
      </c>
      <c r="AU635" t="e">
        <v>#DIV/0!</v>
      </c>
      <c r="AV635"/>
      <c r="AW635"/>
      <c r="FY635" s="210">
        <v>630</v>
      </c>
      <c r="FZ635">
        <v>0</v>
      </c>
      <c r="GA635">
        <v>1.9462492484833769</v>
      </c>
      <c r="GB635">
        <v>0.94490727550497178</v>
      </c>
      <c r="GC635">
        <v>2.7404428351507373</v>
      </c>
      <c r="GD635">
        <v>2.7684079236885286</v>
      </c>
      <c r="GE635">
        <v>1.4642987855944321</v>
      </c>
      <c r="GF635">
        <v>0.19016497712110106</v>
      </c>
      <c r="GG635">
        <v>0.64907444160511019</v>
      </c>
      <c r="GH635">
        <v>0.66238017508411107</v>
      </c>
      <c r="GI635">
        <v>2.2325917669321838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6.8871909340659343</v>
      </c>
      <c r="AO636">
        <v>7.417133649324759</v>
      </c>
      <c r="AP636">
        <v>32.293194761712769</v>
      </c>
      <c r="AQ636">
        <v>28.837330861809342</v>
      </c>
      <c r="AR636">
        <v>6.8275927111419703</v>
      </c>
      <c r="AS636">
        <v>39.888380551259409</v>
      </c>
      <c r="AT636" t="e">
        <v>#DIV/0!</v>
      </c>
      <c r="AU636" t="e">
        <v>#DIV/0!</v>
      </c>
      <c r="AV636"/>
      <c r="AW636"/>
      <c r="FY636" s="210">
        <v>631</v>
      </c>
      <c r="FZ636">
        <v>0.2456818880042031</v>
      </c>
      <c r="GA636">
        <v>4.1618090784887043</v>
      </c>
      <c r="GB636">
        <v>2.4097019494596168</v>
      </c>
      <c r="GC636">
        <v>4.0016385254669302</v>
      </c>
      <c r="GD636">
        <v>3.5452299409894987</v>
      </c>
      <c r="GE636">
        <v>3.2308133024962693</v>
      </c>
      <c r="GF636">
        <v>2.8333339555300743</v>
      </c>
      <c r="GG636">
        <v>1.1300765542968063</v>
      </c>
      <c r="GH636">
        <v>1.3247603501682221</v>
      </c>
      <c r="GI636">
        <v>3.9774282894813755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6.3413461538461533</v>
      </c>
      <c r="AO637">
        <v>8.280459636193914</v>
      </c>
      <c r="AP637">
        <v>24.533923172185844</v>
      </c>
      <c r="AQ637">
        <v>26.211844785772882</v>
      </c>
      <c r="AR637">
        <v>7.6813169166919391</v>
      </c>
      <c r="AS637">
        <v>31.170003051148516</v>
      </c>
      <c r="AT637" t="e">
        <v>#DIV/0!</v>
      </c>
      <c r="AU637" t="e">
        <v>#DIV/0!</v>
      </c>
      <c r="AV637"/>
      <c r="AW637"/>
      <c r="FY637" s="210">
        <v>632</v>
      </c>
      <c r="FZ637">
        <v>3.3183084785198033E-2</v>
      </c>
      <c r="GA637">
        <v>2.4766998382489476</v>
      </c>
      <c r="GB637">
        <v>1.1745641094906705</v>
      </c>
      <c r="GC637">
        <v>8.3386113432980036</v>
      </c>
      <c r="GD637">
        <v>6.8717320290200554</v>
      </c>
      <c r="GE637">
        <v>1.501222702895322</v>
      </c>
      <c r="GF637">
        <v>0.38032995424220212</v>
      </c>
      <c r="GG637">
        <v>0.3361446578268279</v>
      </c>
      <c r="GH637">
        <v>0</v>
      </c>
      <c r="GI637">
        <v>5.3767339813523174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6.1295787545787537</v>
      </c>
      <c r="AO638">
        <v>5.1210655124026427</v>
      </c>
      <c r="AP638">
        <v>30.505751214968804</v>
      </c>
      <c r="AQ638">
        <v>23.979214961725383</v>
      </c>
      <c r="AR638">
        <v>4.6447941548935194</v>
      </c>
      <c r="AS638">
        <v>24.434482910007322</v>
      </c>
      <c r="AT638" t="e">
        <v>#DIV/0!</v>
      </c>
      <c r="AU638" t="e">
        <v>#DIV/0!</v>
      </c>
      <c r="AV638"/>
      <c r="AW638"/>
      <c r="FY638" s="210">
        <v>633</v>
      </c>
      <c r="FZ638">
        <v>0.55772994557880229</v>
      </c>
      <c r="GA638">
        <v>2.8452095273631484</v>
      </c>
      <c r="GB638">
        <v>1.6187557999037911</v>
      </c>
      <c r="GC638">
        <v>11.46618747118111</v>
      </c>
      <c r="GD638">
        <v>8.6623106031431334</v>
      </c>
      <c r="GE638">
        <v>0.83853720041220592</v>
      </c>
      <c r="GF638">
        <v>0.38032995424220212</v>
      </c>
      <c r="GG638">
        <v>1.7791509959019165</v>
      </c>
      <c r="GH638">
        <v>1.9871405252523333</v>
      </c>
      <c r="GI638">
        <v>7.2093090378935933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4.6106150793650791</v>
      </c>
      <c r="AO639">
        <v>4.5404112734496307</v>
      </c>
      <c r="AP639">
        <v>24.333375963986001</v>
      </c>
      <c r="AQ639">
        <v>19.370422049324379</v>
      </c>
      <c r="AR639">
        <v>4.1061538590187379</v>
      </c>
      <c r="AS639">
        <v>16.273336107450817</v>
      </c>
      <c r="AT639" t="e">
        <v>#DIV/0!</v>
      </c>
      <c r="AU639" t="e">
        <v>#DIV/0!</v>
      </c>
      <c r="AV639"/>
      <c r="AW639"/>
      <c r="FY639" s="210">
        <v>634</v>
      </c>
      <c r="FZ639">
        <v>0.31204805757459919</v>
      </c>
      <c r="GA639">
        <v>1.2162429317988037</v>
      </c>
      <c r="GB639">
        <v>1.5526459985461498</v>
      </c>
      <c r="GC639">
        <v>7.7349680030079497</v>
      </c>
      <c r="GD639">
        <v>5.5072678132179984</v>
      </c>
      <c r="GE639">
        <v>0.31351368791317175</v>
      </c>
      <c r="GF639">
        <v>0.19016497712110106</v>
      </c>
      <c r="GG639">
        <v>0.64907444160511019</v>
      </c>
      <c r="GH639">
        <v>0.66238017508411107</v>
      </c>
      <c r="GI639">
        <v>4.4378151381928443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10.382192460317459</v>
      </c>
      <c r="AO640">
        <v>9.7127953240809468</v>
      </c>
      <c r="AP640">
        <v>41.542796637520091</v>
      </c>
      <c r="AQ640">
        <v>36.265538590826218</v>
      </c>
      <c r="AR640">
        <v>8.9571489957024397</v>
      </c>
      <c r="AS640">
        <v>41.582663698358175</v>
      </c>
      <c r="AT640" t="e">
        <v>#DIV/0!</v>
      </c>
      <c r="AU640" t="e">
        <v>#DIV/0!</v>
      </c>
      <c r="AV640"/>
      <c r="AW640"/>
      <c r="FY640" s="210">
        <v>635</v>
      </c>
      <c r="FZ640">
        <v>3.3183084785198033E-2</v>
      </c>
      <c r="GA640">
        <v>2.2259170751347761</v>
      </c>
      <c r="GB640">
        <v>1.0466914561790557</v>
      </c>
      <c r="GC640">
        <v>7.3236403394195539</v>
      </c>
      <c r="GD640">
        <v>5.3949931782917764</v>
      </c>
      <c r="GE640">
        <v>0.54252891209121246</v>
      </c>
      <c r="GF640">
        <v>1.0712213032574254</v>
      </c>
      <c r="GG640">
        <v>0.64907444160511019</v>
      </c>
      <c r="GH640">
        <v>0.66238017508411107</v>
      </c>
      <c r="GI640">
        <v>4.5405259618778269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8.7304067460317452</v>
      </c>
      <c r="AO641">
        <v>10.583793924425084</v>
      </c>
      <c r="AP641">
        <v>33.281871856031145</v>
      </c>
      <c r="AQ641">
        <v>33.792577457098275</v>
      </c>
      <c r="AR641">
        <v>9.7651254338695459</v>
      </c>
      <c r="AS641">
        <v>54.076485409736364</v>
      </c>
      <c r="AT641" t="e">
        <v>#DIV/0!</v>
      </c>
      <c r="AU641" t="e">
        <v>#DIV/0!</v>
      </c>
      <c r="AV641"/>
      <c r="AW641"/>
      <c r="FY641" s="210">
        <v>636</v>
      </c>
      <c r="FZ641">
        <v>0.2456818880042031</v>
      </c>
      <c r="GA641">
        <v>3.0736503178193786</v>
      </c>
      <c r="GB641">
        <v>2.4714648014135903</v>
      </c>
      <c r="GC641">
        <v>8.0004730958867221</v>
      </c>
      <c r="GD641">
        <v>6.3012689554453418</v>
      </c>
      <c r="GE641">
        <v>2.1826793956147341</v>
      </c>
      <c r="GF641">
        <v>1.4515512574996277</v>
      </c>
      <c r="GG641">
        <v>0.98521909943193808</v>
      </c>
      <c r="GH641">
        <v>0.66238017508411107</v>
      </c>
      <c r="GI641">
        <v>5.6631371645737323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8.4953640109890109</v>
      </c>
      <c r="AO642">
        <v>10.613561534991355</v>
      </c>
      <c r="AP642">
        <v>39.269735418772896</v>
      </c>
      <c r="AQ642">
        <v>36.964912441350357</v>
      </c>
      <c r="AR642">
        <v>9.7927391727992941</v>
      </c>
      <c r="AS642">
        <v>52.876067667683145</v>
      </c>
      <c r="AT642" t="e">
        <v>#DIV/0!</v>
      </c>
      <c r="AU642" t="e">
        <v>#DIV/0!</v>
      </c>
      <c r="AV642"/>
      <c r="AW642"/>
      <c r="FY642" s="210">
        <v>637</v>
      </c>
      <c r="FZ642">
        <v>0.27886497278940114</v>
      </c>
      <c r="GA642">
        <v>2.3905507653585385</v>
      </c>
      <c r="GB642">
        <v>1.5548194732479839</v>
      </c>
      <c r="GC642">
        <v>5.8793454449815243</v>
      </c>
      <c r="GD642">
        <v>4.5425024626125152</v>
      </c>
      <c r="GE642">
        <v>1.3441421952025283</v>
      </c>
      <c r="GF642">
        <v>1.6417162346207288</v>
      </c>
      <c r="GG642">
        <v>1.634293541037048</v>
      </c>
      <c r="GH642">
        <v>1.3247603501682221</v>
      </c>
      <c r="GI642">
        <v>4.227527815450296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9.6753853785103789</v>
      </c>
      <c r="AO643">
        <v>9.4126880033618914</v>
      </c>
      <c r="AP643">
        <v>34.020130595902472</v>
      </c>
      <c r="AQ643">
        <v>34.03667349030448</v>
      </c>
      <c r="AR643">
        <v>8.6787563048684362</v>
      </c>
      <c r="AS643">
        <v>38.835301331147747</v>
      </c>
      <c r="AT643" t="e">
        <v>#DIV/0!</v>
      </c>
      <c r="AU643" t="e">
        <v>#DIV/0!</v>
      </c>
      <c r="AV643"/>
      <c r="AW643"/>
      <c r="FY643" s="210">
        <v>638</v>
      </c>
      <c r="FZ643">
        <v>6.6366169570396066E-2</v>
      </c>
      <c r="GA643">
        <v>2.9875012449289695</v>
      </c>
      <c r="GB643">
        <v>2.5354011280693975</v>
      </c>
      <c r="GC643">
        <v>7.272451270620218</v>
      </c>
      <c r="GD643">
        <v>5.8423869227991725</v>
      </c>
      <c r="GE643">
        <v>1.8147363908084939</v>
      </c>
      <c r="GF643">
        <v>0.38032995424220212</v>
      </c>
      <c r="GG643">
        <v>1.2981488832102204</v>
      </c>
      <c r="GH643">
        <v>1.3247603501682221</v>
      </c>
      <c r="GI643">
        <v>5.2262490443842413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3.3199786324786325</v>
      </c>
      <c r="AO644">
        <v>2.9981350016737083</v>
      </c>
      <c r="AP644">
        <v>11.997624216166679</v>
      </c>
      <c r="AQ644">
        <v>11.837670782073893</v>
      </c>
      <c r="AR644">
        <v>2.7812013002539038</v>
      </c>
      <c r="AS644">
        <v>11.417481985678805</v>
      </c>
      <c r="AT644" t="e">
        <v>#DIV/0!</v>
      </c>
      <c r="AU644" t="e">
        <v>#DIV/0!</v>
      </c>
      <c r="AV644"/>
      <c r="AW644"/>
      <c r="FY644" s="210">
        <v>639</v>
      </c>
      <c r="FZ644">
        <v>3.3183084785198033E-2</v>
      </c>
      <c r="GA644">
        <v>7.3019592861129432</v>
      </c>
      <c r="GB644">
        <v>3.4717068501215955</v>
      </c>
      <c r="GC644">
        <v>1.9909769241510589</v>
      </c>
      <c r="GD644">
        <v>2.2756083859454317</v>
      </c>
      <c r="GE644">
        <v>2.2196033129156243</v>
      </c>
      <c r="GF644">
        <v>0.88105632613632445</v>
      </c>
      <c r="GG644">
        <v>1.9240084507667847</v>
      </c>
      <c r="GH644">
        <v>2.6495207003364443</v>
      </c>
      <c r="GI644">
        <v>3.2090859805667455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4.9594017094017087</v>
      </c>
      <c r="AO645">
        <v>5.5271416233583803</v>
      </c>
      <c r="AP645">
        <v>22.878795650781186</v>
      </c>
      <c r="AQ645">
        <v>20.041036819946651</v>
      </c>
      <c r="AR645">
        <v>5.1272185745439529</v>
      </c>
      <c r="AS645">
        <v>20.497342728080366</v>
      </c>
      <c r="AT645" t="e">
        <v>#DIV/0!</v>
      </c>
      <c r="AU645" t="e">
        <v>#DIV/0!</v>
      </c>
      <c r="AV645"/>
      <c r="AW645"/>
      <c r="FY645" s="210">
        <v>640</v>
      </c>
      <c r="FZ645">
        <v>6.6366169570396066E-2</v>
      </c>
      <c r="GA645">
        <v>0.32926738044752452</v>
      </c>
      <c r="GB645">
        <v>0.69993699703635026</v>
      </c>
      <c r="GC645">
        <v>8.1849101494026897</v>
      </c>
      <c r="GD645">
        <v>5.984888148422602</v>
      </c>
      <c r="GE645">
        <v>0.31351368791317175</v>
      </c>
      <c r="GF645">
        <v>0.5704949313633032</v>
      </c>
      <c r="GG645">
        <v>0.98521909943193808</v>
      </c>
      <c r="GH645">
        <v>0.66238017508411107</v>
      </c>
      <c r="GI645">
        <v>4.7812113667341407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3.9634081196581201</v>
      </c>
      <c r="AO646">
        <v>3.5706208116105662</v>
      </c>
      <c r="AP646">
        <v>13.231832137416557</v>
      </c>
      <c r="AQ646">
        <v>13.598517429164552</v>
      </c>
      <c r="AR646">
        <v>3.3122642037203773</v>
      </c>
      <c r="AS646">
        <v>18.6266417275822</v>
      </c>
      <c r="AT646" t="e">
        <v>#DIV/0!</v>
      </c>
      <c r="AU646" t="e">
        <v>#DIV/0!</v>
      </c>
      <c r="AV646"/>
      <c r="AW646"/>
      <c r="FY646" s="210">
        <v>641</v>
      </c>
      <c r="FZ646">
        <v>0.49136377600840619</v>
      </c>
      <c r="GA646">
        <v>6.3877261536234808</v>
      </c>
      <c r="GB646">
        <v>2.7564564086023227</v>
      </c>
      <c r="GC646">
        <v>4.4586010176846704</v>
      </c>
      <c r="GD646">
        <v>3.5647289429245381</v>
      </c>
      <c r="GE646">
        <v>1.6100813366814588</v>
      </c>
      <c r="GF646">
        <v>2.522772560757053</v>
      </c>
      <c r="GG646">
        <v>2.5962977664204407</v>
      </c>
      <c r="GH646">
        <v>2.6495207003364443</v>
      </c>
      <c r="GI646">
        <v>4.2380583908475362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7.1025068681318668</v>
      </c>
      <c r="AO647">
        <v>6.5071363601629431</v>
      </c>
      <c r="AP647">
        <v>31.382828804292824</v>
      </c>
      <c r="AQ647">
        <v>26.8604738343817</v>
      </c>
      <c r="AR647">
        <v>5.8777089425063052</v>
      </c>
      <c r="AS647">
        <v>31.537309317562055</v>
      </c>
      <c r="AT647" t="e">
        <v>#DIV/0!</v>
      </c>
      <c r="AU647" t="e">
        <v>#DIV/0!</v>
      </c>
      <c r="AV647"/>
      <c r="AW647"/>
      <c r="FY647" s="210">
        <v>642</v>
      </c>
      <c r="FZ647">
        <v>0.2456818880042031</v>
      </c>
      <c r="GA647">
        <v>2.3513084566918616</v>
      </c>
      <c r="GB647">
        <v>0.98275512952324828</v>
      </c>
      <c r="GC647">
        <v>9.0335692979682989</v>
      </c>
      <c r="GD647">
        <v>7.5415330926315329</v>
      </c>
      <c r="GE647">
        <v>2.3203413855988164</v>
      </c>
      <c r="GF647">
        <v>1.2613862803785265</v>
      </c>
      <c r="GG647">
        <v>1.2981488832102204</v>
      </c>
      <c r="GH647">
        <v>1.3247603501682221</v>
      </c>
      <c r="GI647">
        <v>6.1475998782943639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8.5075167887667895</v>
      </c>
      <c r="AO648">
        <v>8.8789220846363488</v>
      </c>
      <c r="AP648">
        <v>23.780512652720596</v>
      </c>
      <c r="AQ648">
        <v>26.489221701159547</v>
      </c>
      <c r="AR648">
        <v>8.2364768874177621</v>
      </c>
      <c r="AS648">
        <v>35.698779618710837</v>
      </c>
      <c r="AT648" t="e">
        <v>#DIV/0!</v>
      </c>
      <c r="AU648" t="e">
        <v>#DIV/0!</v>
      </c>
      <c r="AV648"/>
      <c r="AW648"/>
      <c r="FY648" s="210">
        <v>643</v>
      </c>
      <c r="FZ648">
        <v>0.2456818880042031</v>
      </c>
      <c r="GA648">
        <v>2.2259170751347761</v>
      </c>
      <c r="GB648">
        <v>0.91881880286744089</v>
      </c>
      <c r="GC648">
        <v>6.1739552451714639</v>
      </c>
      <c r="GD648">
        <v>4.5482325960884564</v>
      </c>
      <c r="GE648">
        <v>0</v>
      </c>
      <c r="GF648">
        <v>0.38032995424220212</v>
      </c>
      <c r="GG648">
        <v>1.2981488832102204</v>
      </c>
      <c r="GH648">
        <v>1.3247603501682221</v>
      </c>
      <c r="GI648">
        <v>3.8861133415651827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10.353670634920636</v>
      </c>
      <c r="AO649">
        <v>11.90984504418422</v>
      </c>
      <c r="AP649">
        <v>35.703974601193472</v>
      </c>
      <c r="AQ649">
        <v>37.344661060872234</v>
      </c>
      <c r="AR649">
        <v>11.048093733009479</v>
      </c>
      <c r="AS649">
        <v>56.264631783049893</v>
      </c>
      <c r="AT649" t="e">
        <v>#DIV/0!</v>
      </c>
      <c r="AU649" t="e">
        <v>#DIV/0!</v>
      </c>
      <c r="AV649"/>
      <c r="AW649"/>
      <c r="FY649" s="210">
        <v>644</v>
      </c>
      <c r="FZ649">
        <v>0.31204805757459919</v>
      </c>
      <c r="GA649">
        <v>0.87007521534254384</v>
      </c>
      <c r="GB649">
        <v>0.82780965034796483</v>
      </c>
      <c r="GC649">
        <v>6.0171567933136565</v>
      </c>
      <c r="GD649">
        <v>4.9051593091118839</v>
      </c>
      <c r="GE649">
        <v>2.9542235318839873</v>
      </c>
      <c r="GF649">
        <v>3.213663909772277</v>
      </c>
      <c r="GG649">
        <v>2.909227550198723</v>
      </c>
      <c r="GH649">
        <v>3.3119008754205557</v>
      </c>
      <c r="GI649">
        <v>4.9155319749473794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6.5763888888888884</v>
      </c>
      <c r="AO650">
        <v>7.2377861886557637</v>
      </c>
      <c r="AP650">
        <v>21.114148778190462</v>
      </c>
      <c r="AQ650">
        <v>22.576121224061836</v>
      </c>
      <c r="AR650">
        <v>6.7140873735211155</v>
      </c>
      <c r="AS650">
        <v>26.997079624738909</v>
      </c>
      <c r="AT650" t="e">
        <v>#DIV/0!</v>
      </c>
      <c r="AU650" t="e">
        <v>#DIV/0!</v>
      </c>
      <c r="AV650"/>
      <c r="AW650"/>
      <c r="FY650" s="210">
        <v>645</v>
      </c>
      <c r="FZ650">
        <v>0.49136377600840619</v>
      </c>
      <c r="GA650">
        <v>2.6413335284727095</v>
      </c>
      <c r="GB650">
        <v>2.1268838169727191</v>
      </c>
      <c r="GC650">
        <v>3.1354583790286545</v>
      </c>
      <c r="GD650">
        <v>2.7372932795442093</v>
      </c>
      <c r="GE650">
        <v>1.6032265662226315</v>
      </c>
      <c r="GF650">
        <v>0.38032995424220212</v>
      </c>
      <c r="GG650">
        <v>0.81714677051852402</v>
      </c>
      <c r="GH650">
        <v>0.66238017508411107</v>
      </c>
      <c r="GI650">
        <v>2.6424995702708158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7.1574900793650782</v>
      </c>
      <c r="AO651">
        <v>7.5034529144958553</v>
      </c>
      <c r="AP651">
        <v>22.832412267507138</v>
      </c>
      <c r="AQ651">
        <v>23.490155927726043</v>
      </c>
      <c r="AR651">
        <v>6.9076662409852876</v>
      </c>
      <c r="AS651">
        <v>31.187737766574394</v>
      </c>
      <c r="AT651" t="e">
        <v>#DIV/0!</v>
      </c>
      <c r="AU651" t="e">
        <v>#DIV/0!</v>
      </c>
      <c r="AV651"/>
      <c r="AW651"/>
      <c r="FY651" s="210">
        <v>646</v>
      </c>
      <c r="FZ651">
        <v>3.3183084785198033E-2</v>
      </c>
      <c r="GA651">
        <v>2.9482589362622931</v>
      </c>
      <c r="GB651">
        <v>1.9633367843446625</v>
      </c>
      <c r="GC651">
        <v>7.5977969304308104</v>
      </c>
      <c r="GD651">
        <v>6.2096140705183007</v>
      </c>
      <c r="GE651">
        <v>1.6770744008244118</v>
      </c>
      <c r="GF651">
        <v>0.38032995424220212</v>
      </c>
      <c r="GG651">
        <v>0.81714677051852402</v>
      </c>
      <c r="GH651">
        <v>0.66238017508411107</v>
      </c>
      <c r="GI651">
        <v>5.2559407932848003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8.3003853785103754</v>
      </c>
      <c r="AO652">
        <v>9.3520810503266354</v>
      </c>
      <c r="AP652">
        <v>32.099783547310444</v>
      </c>
      <c r="AQ652">
        <v>31.037506150773378</v>
      </c>
      <c r="AR652">
        <v>8.6225346415704269</v>
      </c>
      <c r="AS652">
        <v>34.772202546920091</v>
      </c>
      <c r="AT652" t="e">
        <v>#DIV/0!</v>
      </c>
      <c r="AU652" t="e">
        <v>#DIV/0!</v>
      </c>
      <c r="AV652"/>
      <c r="AW652"/>
      <c r="FY652" s="210">
        <v>647</v>
      </c>
      <c r="FZ652">
        <v>0.2456818880042031</v>
      </c>
      <c r="GA652">
        <v>2.2259170751347761</v>
      </c>
      <c r="GB652">
        <v>1.4908831465921764</v>
      </c>
      <c r="GC652">
        <v>7.4599855820986782</v>
      </c>
      <c r="GD652">
        <v>5.2801661842361582</v>
      </c>
      <c r="GE652">
        <v>0.54252891209121246</v>
      </c>
      <c r="GF652">
        <v>0.88105632613632445</v>
      </c>
      <c r="GG652">
        <v>1.4430063380750886</v>
      </c>
      <c r="GH652">
        <v>1.9871405252523333</v>
      </c>
      <c r="GI652">
        <v>4.8601621394030392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6.9635798229548218</v>
      </c>
      <c r="AO653">
        <v>6.9216627038150733</v>
      </c>
      <c r="AP653">
        <v>26.185719795156118</v>
      </c>
      <c r="AQ653">
        <v>24.81852325546879</v>
      </c>
      <c r="AR653">
        <v>6.3679721679975509</v>
      </c>
      <c r="AS653">
        <v>27.722528452852021</v>
      </c>
      <c r="AT653" t="e">
        <v>#DIV/0!</v>
      </c>
      <c r="AU653" t="e">
        <v>#DIV/0!</v>
      </c>
      <c r="AV653"/>
      <c r="AW653"/>
      <c r="FY653" s="210">
        <v>648</v>
      </c>
      <c r="FZ653">
        <v>3.3183084785198033E-2</v>
      </c>
      <c r="GA653">
        <v>1.1377583144654506</v>
      </c>
      <c r="GB653">
        <v>1.6805186518577644</v>
      </c>
      <c r="GC653">
        <v>4.6943611274972801</v>
      </c>
      <c r="GD653">
        <v>3.6187857832079122</v>
      </c>
      <c r="GE653">
        <v>1.69457980041659</v>
      </c>
      <c r="GF653">
        <v>1.0712213032574254</v>
      </c>
      <c r="GG653">
        <v>1.6110786669885027</v>
      </c>
      <c r="GH653">
        <v>1.9871405252523333</v>
      </c>
      <c r="GI653">
        <v>3.6510793419302545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7.6290445665445645</v>
      </c>
      <c r="AO654">
        <v>8.6511766756286264</v>
      </c>
      <c r="AP654">
        <v>29.996880738698742</v>
      </c>
      <c r="AQ654">
        <v>28.748331358801536</v>
      </c>
      <c r="AR654">
        <v>8.0252102742380593</v>
      </c>
      <c r="AS654">
        <v>35.540055239876395</v>
      </c>
      <c r="AT654" t="e">
        <v>#DIV/0!</v>
      </c>
      <c r="AU654" t="e">
        <v>#DIV/0!</v>
      </c>
      <c r="AV654"/>
      <c r="AW654"/>
      <c r="FY654" s="210">
        <v>649</v>
      </c>
      <c r="FZ654">
        <v>0.2456818880042031</v>
      </c>
      <c r="GA654">
        <v>3.9213835605039815</v>
      </c>
      <c r="GB654">
        <v>2.3079177687855337</v>
      </c>
      <c r="GC654">
        <v>4.8861118297516022</v>
      </c>
      <c r="GD654">
        <v>4.8493133782069249</v>
      </c>
      <c r="GE654">
        <v>2.8647834158065622</v>
      </c>
      <c r="GF654">
        <v>0.38032995424220212</v>
      </c>
      <c r="GG654">
        <v>1.2981488832102204</v>
      </c>
      <c r="GH654">
        <v>1.3247603501682221</v>
      </c>
      <c r="GI654">
        <v>4.2392637278700871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5.9937996031746028</v>
      </c>
      <c r="AO655">
        <v>5.2939938975267156</v>
      </c>
      <c r="AP655">
        <v>33.744691443185758</v>
      </c>
      <c r="AQ655">
        <v>25.956709301838149</v>
      </c>
      <c r="AR655">
        <v>4.8580753161530623</v>
      </c>
      <c r="AS655">
        <v>26.315909003541968</v>
      </c>
      <c r="AT655" t="e">
        <v>#DIV/0!</v>
      </c>
      <c r="AU655" t="e">
        <v>#DIV/0!</v>
      </c>
      <c r="AV655"/>
      <c r="AW655"/>
      <c r="FY655" s="210">
        <v>650</v>
      </c>
      <c r="FZ655">
        <v>0.27886497278940114</v>
      </c>
      <c r="GA655">
        <v>0.32926738044752452</v>
      </c>
      <c r="GB655">
        <v>1.1441286874494712</v>
      </c>
      <c r="GC655">
        <v>12.021098724879327</v>
      </c>
      <c r="GD655">
        <v>9.1812020901849412</v>
      </c>
      <c r="GE655">
        <v>1.501222702895322</v>
      </c>
      <c r="GF655">
        <v>0</v>
      </c>
      <c r="GG655">
        <v>0.48100211269169618</v>
      </c>
      <c r="GH655">
        <v>0.66238017508411107</v>
      </c>
      <c r="GI655">
        <v>7.1743229431474376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6.2708333333333339</v>
      </c>
      <c r="AO656">
        <v>7.9120060998680781</v>
      </c>
      <c r="AP656">
        <v>20.116286445260144</v>
      </c>
      <c r="AQ656">
        <v>22.578188105406227</v>
      </c>
      <c r="AR656">
        <v>7.3395232837366233</v>
      </c>
      <c r="AS656">
        <v>32.356247991526921</v>
      </c>
      <c r="AT656" t="e">
        <v>#DIV/0!</v>
      </c>
      <c r="AU656" t="e">
        <v>#DIV/0!</v>
      </c>
      <c r="AV656"/>
      <c r="AW656"/>
      <c r="FY656" s="210">
        <v>651</v>
      </c>
      <c r="FZ656">
        <v>0.2456818880042031</v>
      </c>
      <c r="GA656">
        <v>7.9185589487689239</v>
      </c>
      <c r="GB656">
        <v>4.2094917011762227</v>
      </c>
      <c r="GC656">
        <v>6.8666778472018137</v>
      </c>
      <c r="GD656">
        <v>5.6339151229130398</v>
      </c>
      <c r="GE656">
        <v>2.6882843904050566</v>
      </c>
      <c r="GF656">
        <v>1.95227762939375</v>
      </c>
      <c r="GG656">
        <v>1.6110786669885027</v>
      </c>
      <c r="GH656">
        <v>1.9871405252523333</v>
      </c>
      <c r="GI656">
        <v>5.9881538133136294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9.2172619047619051</v>
      </c>
      <c r="AO657">
        <v>6.899632682953353</v>
      </c>
      <c r="AP657">
        <v>37.872978628706015</v>
      </c>
      <c r="AQ657">
        <v>31.275607053886354</v>
      </c>
      <c r="AR657">
        <v>6.2946709364804461</v>
      </c>
      <c r="AS657">
        <v>26.472356079953411</v>
      </c>
      <c r="AT657" t="e">
        <v>#DIV/0!</v>
      </c>
      <c r="AU657" t="e">
        <v>#DIV/0!</v>
      </c>
      <c r="AV657"/>
      <c r="AW657"/>
      <c r="FY657" s="210">
        <v>652</v>
      </c>
      <c r="FZ657">
        <v>0.27886497278940114</v>
      </c>
      <c r="GA657">
        <v>3.9606258691706584</v>
      </c>
      <c r="GB657">
        <v>1.7358534250607978</v>
      </c>
      <c r="GC657">
        <v>13.07873627065657</v>
      </c>
      <c r="GD657">
        <v>10.294589004686568</v>
      </c>
      <c r="GE657">
        <v>1.8322417904006723</v>
      </c>
      <c r="GF657">
        <v>1.0712213032574254</v>
      </c>
      <c r="GG657">
        <v>2.0920807796801988</v>
      </c>
      <c r="GH657">
        <v>2.6495207003364443</v>
      </c>
      <c r="GI657">
        <v>8.5112016255418848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8.6070093101343108</v>
      </c>
      <c r="AO658">
        <v>10.082942744168585</v>
      </c>
      <c r="AP658">
        <v>30.302844558683674</v>
      </c>
      <c r="AQ658">
        <v>32.507084642469295</v>
      </c>
      <c r="AR658">
        <v>9.3005139494015481</v>
      </c>
      <c r="AS658">
        <v>50.368318179564653</v>
      </c>
      <c r="AT658" t="e">
        <v>#DIV/0!</v>
      </c>
      <c r="AU658" t="e">
        <v>#DIV/0!</v>
      </c>
      <c r="AV658"/>
      <c r="AW658"/>
      <c r="FY658" s="210">
        <v>653</v>
      </c>
      <c r="FZ658">
        <v>0.49136377600840619</v>
      </c>
      <c r="GA658">
        <v>2.4009080104879867</v>
      </c>
      <c r="GB658">
        <v>0.88097094884916438</v>
      </c>
      <c r="GC658">
        <v>4.9966315492652136</v>
      </c>
      <c r="GD658">
        <v>4.5546208700219877</v>
      </c>
      <c r="GE658">
        <v>1.8147363908084939</v>
      </c>
      <c r="GF658">
        <v>0.19016497712110106</v>
      </c>
      <c r="GG658">
        <v>0.64907444160511019</v>
      </c>
      <c r="GH658">
        <v>0.66238017508411107</v>
      </c>
      <c r="GI658">
        <v>3.7765228191144966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6.0689484126984112</v>
      </c>
      <c r="AO659">
        <v>6.4201886792490068</v>
      </c>
      <c r="AP659">
        <v>20.937045854913787</v>
      </c>
      <c r="AQ659">
        <v>21.001958136452167</v>
      </c>
      <c r="AR659">
        <v>5.9556481254629015</v>
      </c>
      <c r="AS659">
        <v>24.976163947356358</v>
      </c>
      <c r="AT659" t="e">
        <v>#DIV/0!</v>
      </c>
      <c r="AU659" t="e">
        <v>#DIV/0!</v>
      </c>
      <c r="AV659"/>
      <c r="AW659"/>
      <c r="FY659" s="210">
        <v>654</v>
      </c>
      <c r="FZ659">
        <v>3.3183084785198033E-2</v>
      </c>
      <c r="GA659">
        <v>4.5183340400744125</v>
      </c>
      <c r="GB659">
        <v>2.1443707361574766</v>
      </c>
      <c r="GC659">
        <v>2.2779261027630056</v>
      </c>
      <c r="GD659">
        <v>2.536078926430938</v>
      </c>
      <c r="GE659">
        <v>1.8147363908084939</v>
      </c>
      <c r="GF659">
        <v>0.38032995424220212</v>
      </c>
      <c r="GG659">
        <v>1.7791509959019165</v>
      </c>
      <c r="GH659">
        <v>1.9871405252523333</v>
      </c>
      <c r="GI659">
        <v>2.8803337348602622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7.241853632478632</v>
      </c>
      <c r="AO660">
        <v>8.0106644611379263</v>
      </c>
      <c r="AP660">
        <v>31.94642036999856</v>
      </c>
      <c r="AQ660">
        <v>30.236796867913569</v>
      </c>
      <c r="AR660">
        <v>7.2724474406278112</v>
      </c>
      <c r="AS660">
        <v>32.461614412656445</v>
      </c>
      <c r="AT660" t="e">
        <v>#DIV/0!</v>
      </c>
      <c r="AU660" t="e">
        <v>#DIV/0!</v>
      </c>
      <c r="AV660"/>
      <c r="AW660"/>
      <c r="FY660" s="210">
        <v>655</v>
      </c>
      <c r="FZ660">
        <v>6.6366169570396066E-2</v>
      </c>
      <c r="GA660">
        <v>0.20387599889043878</v>
      </c>
      <c r="GB660">
        <v>0.63600067038054287</v>
      </c>
      <c r="GC660">
        <v>8.1572715477445286</v>
      </c>
      <c r="GD660">
        <v>6.2891225268489812</v>
      </c>
      <c r="GE660">
        <v>2.6407098439708157</v>
      </c>
      <c r="GF660">
        <v>3.213663909772277</v>
      </c>
      <c r="GG660">
        <v>0.98521909943193808</v>
      </c>
      <c r="GH660">
        <v>0.66238017508411107</v>
      </c>
      <c r="GI660">
        <v>5.5643910265279359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6.0943223443223431</v>
      </c>
      <c r="AO661">
        <v>4.2603530451795191</v>
      </c>
      <c r="AP661">
        <v>19.112887535900239</v>
      </c>
      <c r="AQ661">
        <v>17.237915816364982</v>
      </c>
      <c r="AR661">
        <v>3.9520900233576239</v>
      </c>
      <c r="AS661">
        <v>21.124039429553434</v>
      </c>
      <c r="AT661" t="e">
        <v>#DIV/0!</v>
      </c>
      <c r="AU661" t="e">
        <v>#DIV/0!</v>
      </c>
      <c r="AV661"/>
      <c r="AW661"/>
      <c r="FY661" s="210">
        <v>656</v>
      </c>
      <c r="FZ661">
        <v>0.2456818880042031</v>
      </c>
      <c r="GA661">
        <v>3.1990416993764645</v>
      </c>
      <c r="GB661">
        <v>1.9633367843446625</v>
      </c>
      <c r="GC661">
        <v>6.5828259265523599</v>
      </c>
      <c r="GD661">
        <v>5.0419023800724823</v>
      </c>
      <c r="GE661">
        <v>1.8866711072937405</v>
      </c>
      <c r="GF661">
        <v>1.7621126522726489</v>
      </c>
      <c r="GG661">
        <v>0.48100211269169618</v>
      </c>
      <c r="GH661">
        <v>0.66238017508411107</v>
      </c>
      <c r="GI661">
        <v>4.6942828737462854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7.252976190476188</v>
      </c>
      <c r="AO662">
        <v>8.7137653138582785</v>
      </c>
      <c r="AP662">
        <v>27.322756796453561</v>
      </c>
      <c r="AQ662">
        <v>27.545061900295313</v>
      </c>
      <c r="AR662">
        <v>8.0832702354900547</v>
      </c>
      <c r="AS662">
        <v>33.210243149493174</v>
      </c>
      <c r="AT662" t="e">
        <v>#DIV/0!</v>
      </c>
      <c r="AU662" t="e">
        <v>#DIV/0!</v>
      </c>
      <c r="AV662"/>
      <c r="AW662"/>
      <c r="FY662" s="210">
        <v>657</v>
      </c>
      <c r="FZ662">
        <v>0.2456818880042031</v>
      </c>
      <c r="GA662">
        <v>4.2975577051752385</v>
      </c>
      <c r="GB662">
        <v>1.9276624050282201</v>
      </c>
      <c r="GC662">
        <v>3.0273920137626837</v>
      </c>
      <c r="GD662">
        <v>3.0639745212626495</v>
      </c>
      <c r="GE662">
        <v>1.6770744008244118</v>
      </c>
      <c r="GF662">
        <v>0.5704949313633032</v>
      </c>
      <c r="GG662">
        <v>1.4662212121236342</v>
      </c>
      <c r="GH662">
        <v>1.3247603501682221</v>
      </c>
      <c r="GI662">
        <v>3.0248396029525355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6.7373511904761898</v>
      </c>
      <c r="AO663">
        <v>8.0839815257998531</v>
      </c>
      <c r="AP663">
        <v>27.614927079725735</v>
      </c>
      <c r="AQ663">
        <v>26.416528117023994</v>
      </c>
      <c r="AR663">
        <v>7.4461899991522635</v>
      </c>
      <c r="AS663">
        <v>34.416188200396732</v>
      </c>
      <c r="AT663" t="e">
        <v>#DIV/0!</v>
      </c>
      <c r="AU663" t="e">
        <v>#DIV/0!</v>
      </c>
      <c r="AV663"/>
      <c r="AW663"/>
      <c r="FY663" s="210">
        <v>658</v>
      </c>
      <c r="FZ663">
        <v>0.49136377600840619</v>
      </c>
      <c r="GA663">
        <v>7.9681585025650481</v>
      </c>
      <c r="GB663">
        <v>3.5356431767774037</v>
      </c>
      <c r="GC663">
        <v>2.1502323582163658</v>
      </c>
      <c r="GD663">
        <v>2.413104723929437</v>
      </c>
      <c r="GE663">
        <v>1.6401504835235219</v>
      </c>
      <c r="GF663">
        <v>0.76065990848440423</v>
      </c>
      <c r="GG663">
        <v>1.634293541037048</v>
      </c>
      <c r="GH663">
        <v>1.3247603501682221</v>
      </c>
      <c r="GI663">
        <v>2.9914850846762313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4.1510416666666661</v>
      </c>
      <c r="AO664">
        <v>6.0488211032165839</v>
      </c>
      <c r="AP664">
        <v>23.285473111383173</v>
      </c>
      <c r="AQ664">
        <v>21.179706599658711</v>
      </c>
      <c r="AR664">
        <v>5.5582860820991353</v>
      </c>
      <c r="AS664">
        <v>34.522881990115643</v>
      </c>
      <c r="AT664" t="e">
        <v>#DIV/0!</v>
      </c>
      <c r="AU664" t="e">
        <v>#DIV/0!</v>
      </c>
      <c r="AV664"/>
      <c r="AW664"/>
      <c r="FY664" s="210">
        <v>659</v>
      </c>
      <c r="FZ664">
        <v>0.49136377600840619</v>
      </c>
      <c r="GA664">
        <v>2.5159421469156236</v>
      </c>
      <c r="GB664">
        <v>2.6350118340416477</v>
      </c>
      <c r="GC664">
        <v>9.996710957292418</v>
      </c>
      <c r="GD664">
        <v>7.6969059926878405</v>
      </c>
      <c r="GE664">
        <v>1.7778124735076037</v>
      </c>
      <c r="GF664">
        <v>0.38032995424220212</v>
      </c>
      <c r="GG664">
        <v>2.2601531085936126</v>
      </c>
      <c r="GH664">
        <v>2.6495207003364443</v>
      </c>
      <c r="GI664">
        <v>6.6466397358266658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7.8512667887667886</v>
      </c>
      <c r="AO665">
        <v>6.8601450042063066</v>
      </c>
      <c r="AP665">
        <v>27.415155138003737</v>
      </c>
      <c r="AQ665">
        <v>26.317694756549542</v>
      </c>
      <c r="AR665">
        <v>6.3637708758871119</v>
      </c>
      <c r="AS665">
        <v>31.608250779381894</v>
      </c>
      <c r="AT665" t="e">
        <v>#DIV/0!</v>
      </c>
      <c r="AU665" t="e">
        <v>#DIV/0!</v>
      </c>
      <c r="AV665"/>
      <c r="AW665"/>
      <c r="FY665" s="210">
        <v>660</v>
      </c>
      <c r="FZ665">
        <v>0.49136377600840619</v>
      </c>
      <c r="GA665">
        <v>3.6144581527143984</v>
      </c>
      <c r="GB665">
        <v>2.5993374547252053</v>
      </c>
      <c r="GC665">
        <v>8.5774687110731076</v>
      </c>
      <c r="GD665">
        <v>7.1967908308757593</v>
      </c>
      <c r="GE665">
        <v>3.2327264206128019</v>
      </c>
      <c r="GF665">
        <v>1.6417162346207288</v>
      </c>
      <c r="GG665">
        <v>3.0772998791121369</v>
      </c>
      <c r="GH665">
        <v>3.3119008754205557</v>
      </c>
      <c r="GI665">
        <v>6.9917094581253272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8.5253739316239301</v>
      </c>
      <c r="AO666">
        <v>11.910325499117484</v>
      </c>
      <c r="AP666">
        <v>28.14411610412138</v>
      </c>
      <c r="AQ666">
        <v>32.773489789569233</v>
      </c>
      <c r="AR666">
        <v>11.048539424042191</v>
      </c>
      <c r="AS666">
        <v>52.432614932055778</v>
      </c>
      <c r="AT666" t="e">
        <v>#DIV/0!</v>
      </c>
      <c r="AU666" t="e">
        <v>#DIV/0!</v>
      </c>
      <c r="AV666"/>
      <c r="AW666"/>
      <c r="FY666" s="210">
        <v>661</v>
      </c>
      <c r="FZ666">
        <v>0.59091303036400022</v>
      </c>
      <c r="GA666">
        <v>2.8844518360298252</v>
      </c>
      <c r="GB666">
        <v>2.1908201436285264</v>
      </c>
      <c r="GC666">
        <v>10.443555845724667</v>
      </c>
      <c r="GD666">
        <v>8.0435133904077869</v>
      </c>
      <c r="GE666">
        <v>1.501222702895322</v>
      </c>
      <c r="GF666">
        <v>0.5704949313633032</v>
      </c>
      <c r="GG666">
        <v>1.4662212121236342</v>
      </c>
      <c r="GH666">
        <v>1.3247603501682221</v>
      </c>
      <c r="GI666">
        <v>6.787807849864441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10.739163614163612</v>
      </c>
      <c r="AO667">
        <v>9.8903142573948131</v>
      </c>
      <c r="AP667">
        <v>45.903615678603458</v>
      </c>
      <c r="AQ667">
        <v>39.101260533417481</v>
      </c>
      <c r="AR667">
        <v>9.0689581112869977</v>
      </c>
      <c r="AS667">
        <v>44.796188773673066</v>
      </c>
      <c r="AT667" t="e">
        <v>#DIV/0!</v>
      </c>
      <c r="AU667" t="e">
        <v>#DIV/0!</v>
      </c>
      <c r="AV667"/>
      <c r="AW667"/>
      <c r="FY667" s="210">
        <v>662</v>
      </c>
      <c r="FZ667">
        <v>0.27886497278940114</v>
      </c>
      <c r="GA667">
        <v>2.4009080104879872</v>
      </c>
      <c r="GB667">
        <v>1.5809079458855146</v>
      </c>
      <c r="GC667">
        <v>11.468991426228248</v>
      </c>
      <c r="GD667">
        <v>8.2673132363850801</v>
      </c>
      <c r="GE667">
        <v>0</v>
      </c>
      <c r="GF667">
        <v>0.19016497712110106</v>
      </c>
      <c r="GG667">
        <v>1.1300765542968063</v>
      </c>
      <c r="GH667">
        <v>1.3247603501682221</v>
      </c>
      <c r="GI667">
        <v>6.6847482168500019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11.175919566544565</v>
      </c>
      <c r="AO668">
        <v>13.976942795327185</v>
      </c>
      <c r="AP668">
        <v>43.603728236630872</v>
      </c>
      <c r="AQ668">
        <v>45.504935741580631</v>
      </c>
      <c r="AR668">
        <v>12.912758894817692</v>
      </c>
      <c r="AS668">
        <v>76.715479505550093</v>
      </c>
      <c r="AT668" t="e">
        <v>#DIV/0!</v>
      </c>
      <c r="AU668" t="e">
        <v>#DIV/0!</v>
      </c>
      <c r="AV668"/>
      <c r="AW668"/>
      <c r="FY668" s="210">
        <v>663</v>
      </c>
      <c r="FZ668">
        <v>0.73704566401260951</v>
      </c>
      <c r="GA668">
        <v>0.87007521534254395</v>
      </c>
      <c r="GB668">
        <v>1.1441286874494712</v>
      </c>
      <c r="GC668">
        <v>7.8494468858066044</v>
      </c>
      <c r="GD668">
        <v>5.9626459585606835</v>
      </c>
      <c r="GE668">
        <v>1.8322417904006723</v>
      </c>
      <c r="GF668">
        <v>1.6417162346207288</v>
      </c>
      <c r="GG668">
        <v>1.1532914283453519</v>
      </c>
      <c r="GH668">
        <v>0.66238017508411107</v>
      </c>
      <c r="GI668">
        <v>5.3785536938884313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4.9663461538461542</v>
      </c>
      <c r="AO669">
        <v>6.2353246948172725</v>
      </c>
      <c r="AP669">
        <v>19.335136970458528</v>
      </c>
      <c r="AQ669">
        <v>20.417373958366074</v>
      </c>
      <c r="AR669">
        <v>5.7841601992739076</v>
      </c>
      <c r="AS669">
        <v>24.952719804838601</v>
      </c>
      <c r="AT669" t="e">
        <v>#DIV/0!</v>
      </c>
      <c r="AU669" t="e">
        <v>#DIV/0!</v>
      </c>
      <c r="AV669"/>
      <c r="AW669"/>
      <c r="FY669" s="210">
        <v>664</v>
      </c>
      <c r="FZ669">
        <v>0.27886497278940114</v>
      </c>
      <c r="GA669">
        <v>9.0459600181049247</v>
      </c>
      <c r="GB669">
        <v>5.2918575366717207</v>
      </c>
      <c r="GC669">
        <v>9.5808199300885217</v>
      </c>
      <c r="GD669">
        <v>7.5429256195047456</v>
      </c>
      <c r="GE669">
        <v>2.3572653028997061</v>
      </c>
      <c r="GF669">
        <v>1.6417162346207288</v>
      </c>
      <c r="GG669">
        <v>1.634293541037048</v>
      </c>
      <c r="GH669">
        <v>1.3247603501682221</v>
      </c>
      <c r="GI669">
        <v>7.482630918224066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4.6811278998778985</v>
      </c>
      <c r="AO670">
        <v>4.7855816622471004</v>
      </c>
      <c r="AP670">
        <v>24.572355860359238</v>
      </c>
      <c r="AQ670">
        <v>20.351584491276238</v>
      </c>
      <c r="AR670">
        <v>4.4393150855724492</v>
      </c>
      <c r="AS670">
        <v>20.801671757422469</v>
      </c>
      <c r="AT670" t="e">
        <v>#DIV/0!</v>
      </c>
      <c r="AU670" t="e">
        <v>#DIV/0!</v>
      </c>
      <c r="AV670"/>
      <c r="AW670"/>
      <c r="FY670" s="210">
        <v>665</v>
      </c>
      <c r="FZ670">
        <v>0.77022874879780745</v>
      </c>
      <c r="GA670">
        <v>8.4124600194402106</v>
      </c>
      <c r="GB670">
        <v>4.1455553745204154</v>
      </c>
      <c r="GC670">
        <v>2.1180303929427051</v>
      </c>
      <c r="GD670">
        <v>1.5920004312035649</v>
      </c>
      <c r="GE670">
        <v>1.0306285072893564</v>
      </c>
      <c r="GF670">
        <v>1.4515512574996277</v>
      </c>
      <c r="GG670">
        <v>2.4282254375070265</v>
      </c>
      <c r="GH670">
        <v>2.6495207003364443</v>
      </c>
      <c r="GI670">
        <v>3.1146379980838943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7.3182425213675213</v>
      </c>
      <c r="AO671">
        <v>9.208007808533786</v>
      </c>
      <c r="AP671">
        <v>27.322057100052366</v>
      </c>
      <c r="AQ671">
        <v>28.419000968221962</v>
      </c>
      <c r="AR671">
        <v>8.383155555095211</v>
      </c>
      <c r="AS671">
        <v>32.619034473324007</v>
      </c>
      <c r="AT671" t="e">
        <v>#DIV/0!</v>
      </c>
      <c r="AU671" t="e">
        <v>#DIV/0!</v>
      </c>
      <c r="AV671"/>
      <c r="AW671"/>
      <c r="FY671" s="210">
        <v>666</v>
      </c>
      <c r="FZ671">
        <v>0.83659491836820354</v>
      </c>
      <c r="GA671">
        <v>2.6832686267117789</v>
      </c>
      <c r="GB671">
        <v>1.3890989659180928</v>
      </c>
      <c r="GC671">
        <v>2.9838635665413413</v>
      </c>
      <c r="GD671">
        <v>2.3956627482767998</v>
      </c>
      <c r="GE671">
        <v>0.80161328311131574</v>
      </c>
      <c r="GF671">
        <v>0</v>
      </c>
      <c r="GG671">
        <v>0</v>
      </c>
      <c r="GH671">
        <v>0</v>
      </c>
      <c r="GI671">
        <v>2.2143316753736291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6.8680937118437102</v>
      </c>
      <c r="AO672">
        <v>7.750039327208567</v>
      </c>
      <c r="AP672">
        <v>28.006637316227962</v>
      </c>
      <c r="AQ672">
        <v>26.519237599438654</v>
      </c>
      <c r="AR672">
        <v>7.0835453745650607</v>
      </c>
      <c r="AS672">
        <v>29.075217355096715</v>
      </c>
      <c r="AT672" t="e">
        <v>#DIV/0!</v>
      </c>
      <c r="AU672" t="e">
        <v>#DIV/0!</v>
      </c>
      <c r="AV672"/>
      <c r="AW672"/>
      <c r="FY672" s="210">
        <v>667</v>
      </c>
      <c r="FZ672">
        <v>0.73704566401260951</v>
      </c>
      <c r="GA672">
        <v>6.6777512254043287</v>
      </c>
      <c r="GB672">
        <v>3.3285207523270586</v>
      </c>
      <c r="GC672">
        <v>12.031563301504459</v>
      </c>
      <c r="GD672">
        <v>9.4251590785548647</v>
      </c>
      <c r="GE672">
        <v>1.5381466201962124</v>
      </c>
      <c r="GF672">
        <v>0.5704949313633032</v>
      </c>
      <c r="GG672">
        <v>1.9472233248153306</v>
      </c>
      <c r="GH672">
        <v>1.9871405252523333</v>
      </c>
      <c r="GI672">
        <v>8.2466289988264823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6.100198412698413</v>
      </c>
      <c r="AO673">
        <v>4.9260587319045293</v>
      </c>
      <c r="AP673">
        <v>23.246804818001149</v>
      </c>
      <c r="AQ673">
        <v>20.625659030665101</v>
      </c>
      <c r="AR673">
        <v>4.5696277661452038</v>
      </c>
      <c r="AS673">
        <v>21.988816161636407</v>
      </c>
      <c r="AT673" t="e">
        <v>#DIV/0!</v>
      </c>
      <c r="AU673" t="e">
        <v>#DIV/0!</v>
      </c>
      <c r="AV673"/>
      <c r="AW673"/>
      <c r="FY673" s="210">
        <v>668</v>
      </c>
      <c r="FZ673">
        <v>0.55772994557880229</v>
      </c>
      <c r="GA673">
        <v>2.7198181458060624</v>
      </c>
      <c r="GB673">
        <v>2.1268838169727191</v>
      </c>
      <c r="GC673">
        <v>2.1134670293272038</v>
      </c>
      <c r="GD673">
        <v>1.9629006861162317</v>
      </c>
      <c r="GE673">
        <v>3.3046611370980497</v>
      </c>
      <c r="GF673">
        <v>3.0234989326511759</v>
      </c>
      <c r="GG673">
        <v>1.7791509959019165</v>
      </c>
      <c r="GH673">
        <v>1.9871405252523333</v>
      </c>
      <c r="GI673">
        <v>3.0674127758746366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7.3849587912087911</v>
      </c>
      <c r="AO674">
        <v>4.8224365050289695</v>
      </c>
      <c r="AP674">
        <v>31.386155263351046</v>
      </c>
      <c r="AQ674">
        <v>24.909851905386091</v>
      </c>
      <c r="AR674">
        <v>4.4735032514183404</v>
      </c>
      <c r="AS674">
        <v>23.19551146912459</v>
      </c>
      <c r="AT674" t="e">
        <v>#DIV/0!</v>
      </c>
      <c r="AU674" t="e">
        <v>#DIV/0!</v>
      </c>
      <c r="AV674"/>
      <c r="AW674"/>
      <c r="FY674" s="210">
        <v>669</v>
      </c>
      <c r="FZ674">
        <v>0.55772994557880229</v>
      </c>
      <c r="GA674">
        <v>2.7198181458060624</v>
      </c>
      <c r="GB674">
        <v>0.98275512952324828</v>
      </c>
      <c r="GC674">
        <v>5.4459334199049598</v>
      </c>
      <c r="GD674">
        <v>4.9830453255798277</v>
      </c>
      <c r="GE674">
        <v>2.5318512101846786</v>
      </c>
      <c r="GF674">
        <v>1.2613862803785265</v>
      </c>
      <c r="GG674">
        <v>0.3361446578268279</v>
      </c>
      <c r="GH674">
        <v>0</v>
      </c>
      <c r="GI674">
        <v>4.1766524432144694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9.8483287545787555</v>
      </c>
      <c r="AO675">
        <v>10.851915697059548</v>
      </c>
      <c r="AP675">
        <v>37.234827605347689</v>
      </c>
      <c r="AQ675">
        <v>37.050390679452462</v>
      </c>
      <c r="AR675">
        <v>10.066712149405888</v>
      </c>
      <c r="AS675">
        <v>55.279879680484662</v>
      </c>
      <c r="AT675" t="e">
        <v>#DIV/0!</v>
      </c>
      <c r="AU675" t="e">
        <v>#DIV/0!</v>
      </c>
      <c r="AV675"/>
      <c r="AW675"/>
      <c r="FY675" s="210">
        <v>670</v>
      </c>
      <c r="FZ675">
        <v>0.2456818880042031</v>
      </c>
      <c r="GA675">
        <v>3.1990416993764645</v>
      </c>
      <c r="GB675">
        <v>1.9633367843446625</v>
      </c>
      <c r="GC675">
        <v>5.1267822760193527</v>
      </c>
      <c r="GD675">
        <v>3.8650603011678539</v>
      </c>
      <c r="GE675">
        <v>1.7120852000087687</v>
      </c>
      <c r="GF675">
        <v>2.3326075836359519</v>
      </c>
      <c r="GG675">
        <v>0.98521909943193808</v>
      </c>
      <c r="GH675">
        <v>0.66238017508411107</v>
      </c>
      <c r="GI675">
        <v>4.0272304547593185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9.8663576007326022</v>
      </c>
      <c r="AO676">
        <v>11.614493540076772</v>
      </c>
      <c r="AP676">
        <v>43.813945267773285</v>
      </c>
      <c r="AQ676">
        <v>40.734771793288431</v>
      </c>
      <c r="AR676">
        <v>10.72124752631081</v>
      </c>
      <c r="AS676">
        <v>40.507384171269905</v>
      </c>
      <c r="AT676" t="e">
        <v>#DIV/0!</v>
      </c>
      <c r="AU676" t="e">
        <v>#DIV/0!</v>
      </c>
      <c r="AV676"/>
      <c r="AW676"/>
      <c r="FY676" s="210">
        <v>671</v>
      </c>
      <c r="FZ676">
        <v>0.31204805757459919</v>
      </c>
      <c r="GA676">
        <v>7.1493103234176747</v>
      </c>
      <c r="GB676">
        <v>4.9451030775290157</v>
      </c>
      <c r="GC676">
        <v>12.448316234030905</v>
      </c>
      <c r="GD676">
        <v>9.3365749902412478</v>
      </c>
      <c r="GE676">
        <v>1.501222702895322</v>
      </c>
      <c r="GF676">
        <v>0.38032995424220212</v>
      </c>
      <c r="GG676">
        <v>1.2981488832102204</v>
      </c>
      <c r="GH676">
        <v>1.3247603501682221</v>
      </c>
      <c r="GI676">
        <v>8.3420226606909971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10.1186278998779</v>
      </c>
      <c r="AO677">
        <v>11.1811170404678</v>
      </c>
      <c r="AP677">
        <v>34.838311812773313</v>
      </c>
      <c r="AQ677">
        <v>35.803761292569732</v>
      </c>
      <c r="AR677">
        <v>10.372093729561968</v>
      </c>
      <c r="AS677">
        <v>53.862692100959876</v>
      </c>
      <c r="AT677" t="e">
        <v>#DIV/0!</v>
      </c>
      <c r="AU677" t="e">
        <v>#DIV/0!</v>
      </c>
      <c r="AV677"/>
      <c r="AW677"/>
      <c r="FY677" s="210">
        <v>672</v>
      </c>
      <c r="FZ677">
        <v>0.52454686079360424</v>
      </c>
      <c r="GA677">
        <v>2.5655417007117491</v>
      </c>
      <c r="GB677">
        <v>0.94490727550497178</v>
      </c>
      <c r="GC677">
        <v>3.593061147001388</v>
      </c>
      <c r="GD677">
        <v>3.4412619767072483</v>
      </c>
      <c r="GE677">
        <v>1.6401504835235219</v>
      </c>
      <c r="GF677">
        <v>0.19016497712110106</v>
      </c>
      <c r="GG677">
        <v>0.64907444160511019</v>
      </c>
      <c r="GH677">
        <v>0.66238017508411107</v>
      </c>
      <c r="GI677">
        <v>2.9762949838614072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7.583333333333333</v>
      </c>
      <c r="AO678">
        <v>11.022213140401934</v>
      </c>
      <c r="AP678">
        <v>30.969946667954087</v>
      </c>
      <c r="AQ678">
        <v>33.326735690212359</v>
      </c>
      <c r="AR678">
        <v>10.224687514287512</v>
      </c>
      <c r="AS678">
        <v>67.096221501646951</v>
      </c>
      <c r="AT678" t="e">
        <v>#DIV/0!</v>
      </c>
      <c r="AU678" t="e">
        <v>#DIV/0!</v>
      </c>
      <c r="AV678"/>
      <c r="AW678"/>
      <c r="FY678" s="210">
        <v>673</v>
      </c>
      <c r="FZ678">
        <v>0.27886497278940114</v>
      </c>
      <c r="GA678">
        <v>4.4518341502695522</v>
      </c>
      <c r="GB678">
        <v>2.5375746027712318</v>
      </c>
      <c r="GC678">
        <v>4.8511595793550883</v>
      </c>
      <c r="GD678">
        <v>4.1376772702497213</v>
      </c>
      <c r="GE678">
        <v>3.2308133024962693</v>
      </c>
      <c r="GF678">
        <v>2.8333339555300743</v>
      </c>
      <c r="GG678">
        <v>2.0920807796801988</v>
      </c>
      <c r="GH678">
        <v>2.6495207003364443</v>
      </c>
      <c r="GI678">
        <v>4.7861707486130882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7.0097489316239301</v>
      </c>
      <c r="AO679">
        <v>8.9953419381329702</v>
      </c>
      <c r="AP679">
        <v>26.743176542069442</v>
      </c>
      <c r="AQ679">
        <v>27.231525733511205</v>
      </c>
      <c r="AR679">
        <v>8.2916078213536686</v>
      </c>
      <c r="AS679">
        <v>34.346241938389241</v>
      </c>
      <c r="AT679" t="e">
        <v>#DIV/0!</v>
      </c>
      <c r="AU679" t="e">
        <v>#DIV/0!</v>
      </c>
      <c r="AV679"/>
      <c r="AW679"/>
      <c r="FY679" s="210">
        <v>674</v>
      </c>
      <c r="FZ679">
        <v>0.2456818880042031</v>
      </c>
      <c r="GA679">
        <v>2.2362743202642248</v>
      </c>
      <c r="GB679">
        <v>0.94490727550497178</v>
      </c>
      <c r="GC679">
        <v>8.8910656147887224</v>
      </c>
      <c r="GD679">
        <v>6.4650608427566016</v>
      </c>
      <c r="GE679">
        <v>0</v>
      </c>
      <c r="GF679">
        <v>0.76065990848440423</v>
      </c>
      <c r="GG679">
        <v>2.5962977664204407</v>
      </c>
      <c r="GH679">
        <v>2.6495207003364443</v>
      </c>
      <c r="GI679">
        <v>5.8908311900981092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13.122348137973137</v>
      </c>
      <c r="AO680">
        <v>12.367633743383056</v>
      </c>
      <c r="AP680">
        <v>52.885876813001289</v>
      </c>
      <c r="AQ680">
        <v>46.181094424109084</v>
      </c>
      <c r="AR680">
        <v>11.419893354980838</v>
      </c>
      <c r="AS680">
        <v>57.809354568501753</v>
      </c>
      <c r="AT680" t="e">
        <v>#DIV/0!</v>
      </c>
      <c r="AU680" t="e">
        <v>#DIV/0!</v>
      </c>
      <c r="AV680"/>
      <c r="AW680"/>
      <c r="FY680" s="210">
        <v>675</v>
      </c>
      <c r="FZ680">
        <v>0</v>
      </c>
      <c r="GA680">
        <v>5.807676010061785</v>
      </c>
      <c r="GB680">
        <v>2.7564564086023227</v>
      </c>
      <c r="GC680">
        <v>6.4640016817459029</v>
      </c>
      <c r="GD680">
        <v>5.3880751913727627</v>
      </c>
      <c r="GE680">
        <v>2.4116946197927751</v>
      </c>
      <c r="GF680">
        <v>1.7621126522726489</v>
      </c>
      <c r="GG680">
        <v>0.48100211269169618</v>
      </c>
      <c r="GH680">
        <v>0.66238017508411107</v>
      </c>
      <c r="GI680">
        <v>5.1875860048482405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8.30980998168498</v>
      </c>
      <c r="AO681">
        <v>5.1226295289255104</v>
      </c>
      <c r="AP681">
        <v>37.929503316000378</v>
      </c>
      <c r="AQ681">
        <v>27.712838867621052</v>
      </c>
      <c r="AR681">
        <v>4.699110224686267</v>
      </c>
      <c r="AS681">
        <v>18.852397863679407</v>
      </c>
      <c r="AT681" t="e">
        <v>#DIV/0!</v>
      </c>
      <c r="AU681" t="e">
        <v>#DIV/0!</v>
      </c>
      <c r="AV681"/>
      <c r="AW681"/>
      <c r="FY681" s="210">
        <v>676</v>
      </c>
      <c r="FZ681">
        <v>0.2456818880042031</v>
      </c>
      <c r="GA681">
        <v>0.66619921645210523</v>
      </c>
      <c r="GB681">
        <v>0.19180897996742202</v>
      </c>
      <c r="GC681">
        <v>4.1584369773247376</v>
      </c>
      <c r="GD681">
        <v>3.5509600744654404</v>
      </c>
      <c r="GE681">
        <v>1.5556520197883907</v>
      </c>
      <c r="GF681">
        <v>1.2613862803785265</v>
      </c>
      <c r="GG681">
        <v>1.2981488832102204</v>
      </c>
      <c r="GH681">
        <v>1.3247603501682221</v>
      </c>
      <c r="GI681">
        <v>3.1425681350363566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4.236645299145299</v>
      </c>
      <c r="AO682">
        <v>3.6352327057487543</v>
      </c>
      <c r="AP682">
        <v>14.025904248306347</v>
      </c>
      <c r="AQ682">
        <v>13.30443378430116</v>
      </c>
      <c r="AR682">
        <v>3.3722010257409591</v>
      </c>
      <c r="AS682">
        <v>15.329060189468677</v>
      </c>
      <c r="AT682" t="e">
        <v>#DIV/0!</v>
      </c>
      <c r="AU682" t="e">
        <v>#DIV/0!</v>
      </c>
      <c r="AV682"/>
      <c r="AW682"/>
      <c r="FY682" s="210">
        <v>677</v>
      </c>
      <c r="FZ682">
        <v>6.6366169570396066E-2</v>
      </c>
      <c r="GA682">
        <v>1.302392004689213</v>
      </c>
      <c r="GB682">
        <v>1.7444549785135717</v>
      </c>
      <c r="GC682">
        <v>6.5720680470118742</v>
      </c>
      <c r="GD682">
        <v>4.9429620271856924</v>
      </c>
      <c r="GE682">
        <v>1.5556520197883907</v>
      </c>
      <c r="GF682">
        <v>1.4515512574996277</v>
      </c>
      <c r="GG682">
        <v>0.98521909943193808</v>
      </c>
      <c r="GH682">
        <v>0.66238017508411107</v>
      </c>
      <c r="GI682">
        <v>4.4497043579179945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12.971268315018316</v>
      </c>
      <c r="AO683">
        <v>13.601452950779617</v>
      </c>
      <c r="AP683">
        <v>47.974363864653235</v>
      </c>
      <c r="AQ683">
        <v>46.489674422256989</v>
      </c>
      <c r="AR683">
        <v>12.617303293858646</v>
      </c>
      <c r="AS683">
        <v>71.9965909299803</v>
      </c>
      <c r="AT683" t="e">
        <v>#DIV/0!</v>
      </c>
      <c r="AU683" t="e">
        <v>#DIV/0!</v>
      </c>
      <c r="AV683"/>
      <c r="AW683"/>
      <c r="FY683" s="210">
        <v>678</v>
      </c>
      <c r="FZ683">
        <v>0</v>
      </c>
      <c r="GA683">
        <v>2.0612833849110137</v>
      </c>
      <c r="GB683">
        <v>1.5548194732479839</v>
      </c>
      <c r="GC683">
        <v>8.7443847667164079</v>
      </c>
      <c r="GD683">
        <v>7.1122764135040573</v>
      </c>
      <c r="GE683">
        <v>2.3203413855988164</v>
      </c>
      <c r="GF683">
        <v>1.2613862803785265</v>
      </c>
      <c r="GG683">
        <v>0.81714677051852402</v>
      </c>
      <c r="GH683">
        <v>0.66238017508411107</v>
      </c>
      <c r="GI683">
        <v>5.9193397704807627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5.6991567460317452</v>
      </c>
      <c r="AO684">
        <v>5.069706107884552</v>
      </c>
      <c r="AP684">
        <v>28.444236530883671</v>
      </c>
      <c r="AQ684">
        <v>22.64266399057913</v>
      </c>
      <c r="AR684">
        <v>4.5442857029159613</v>
      </c>
      <c r="AS684">
        <v>18.85806263774273</v>
      </c>
      <c r="AT684" t="e">
        <v>#DIV/0!</v>
      </c>
      <c r="AU684" t="e">
        <v>#DIV/0!</v>
      </c>
      <c r="AV684"/>
      <c r="AW684"/>
      <c r="FY684" s="210">
        <v>679</v>
      </c>
      <c r="FZ684">
        <v>3.3183084785198033E-2</v>
      </c>
      <c r="GA684">
        <v>1.0123669329083649</v>
      </c>
      <c r="GB684">
        <v>1.6165823252019571</v>
      </c>
      <c r="GC684">
        <v>4.9945251678572129</v>
      </c>
      <c r="GD684">
        <v>3.7189139895377736</v>
      </c>
      <c r="GE684">
        <v>1.3810661125034183</v>
      </c>
      <c r="GF684">
        <v>1.2613862803785265</v>
      </c>
      <c r="GG684">
        <v>0.81714677051852402</v>
      </c>
      <c r="GH684">
        <v>0.66238017508411107</v>
      </c>
      <c r="GI684">
        <v>3.4102458585520825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7.3014537545787537</v>
      </c>
      <c r="AO685">
        <v>6.8548347846327147</v>
      </c>
      <c r="AP685">
        <v>21.944850168162624</v>
      </c>
      <c r="AQ685">
        <v>22.995316557997405</v>
      </c>
      <c r="AR685">
        <v>6.3059796641178094</v>
      </c>
      <c r="AS685">
        <v>31.142935739312016</v>
      </c>
      <c r="AT685" t="e">
        <v>#DIV/0!</v>
      </c>
      <c r="AU685" t="e">
        <v>#DIV/0!</v>
      </c>
      <c r="AV685"/>
      <c r="AW685"/>
      <c r="FY685" s="210">
        <v>680</v>
      </c>
      <c r="FZ685">
        <v>0.27886497278940114</v>
      </c>
      <c r="GA685">
        <v>3.9606258691706584</v>
      </c>
      <c r="GB685">
        <v>1.7358534250607978</v>
      </c>
      <c r="GC685">
        <v>6.5987157721155425</v>
      </c>
      <c r="GD685">
        <v>5.3255450296865678</v>
      </c>
      <c r="GE685">
        <v>2.0612570145787128</v>
      </c>
      <c r="GF685">
        <v>2.1424426065148507</v>
      </c>
      <c r="GG685">
        <v>0.81714677051852402</v>
      </c>
      <c r="GH685">
        <v>0.66238017508411107</v>
      </c>
      <c r="GI685">
        <v>4.9375348089207689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5.9925595238095237</v>
      </c>
      <c r="AO686">
        <v>6.6828055765711314</v>
      </c>
      <c r="AP686">
        <v>27.198185933280776</v>
      </c>
      <c r="AQ686">
        <v>24.119425461832623</v>
      </c>
      <c r="AR686">
        <v>6.0935326188717065</v>
      </c>
      <c r="AS686">
        <v>34.348275884846167</v>
      </c>
      <c r="AT686" t="e">
        <v>#DIV/0!</v>
      </c>
      <c r="AU686" t="e">
        <v>#DIV/0!</v>
      </c>
      <c r="AV686"/>
      <c r="AW686"/>
      <c r="FY686" s="210">
        <v>681</v>
      </c>
      <c r="FZ686">
        <v>0.34523114235979718</v>
      </c>
      <c r="GA686">
        <v>2.3436440011348054</v>
      </c>
      <c r="GB686">
        <v>0.91881880286744089</v>
      </c>
      <c r="GC686">
        <v>6.4640016817459029</v>
      </c>
      <c r="GD686">
        <v>5.9369896690832347</v>
      </c>
      <c r="GE686">
        <v>4.0693505029084749</v>
      </c>
      <c r="GF686">
        <v>3.213663909772277</v>
      </c>
      <c r="GG686">
        <v>1.4662212121236342</v>
      </c>
      <c r="GH686">
        <v>1.3247603501682221</v>
      </c>
      <c r="GI686">
        <v>5.5068973782889934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14.030830280830282</v>
      </c>
      <c r="AO687">
        <v>13.747883827357247</v>
      </c>
      <c r="AP687">
        <v>50.173271151002851</v>
      </c>
      <c r="AQ687">
        <v>47.037837234000392</v>
      </c>
      <c r="AR687">
        <v>12.753138986416738</v>
      </c>
      <c r="AS687">
        <v>59.775151337240217</v>
      </c>
      <c r="AT687" t="e">
        <v>#DIV/0!</v>
      </c>
      <c r="AU687" t="e">
        <v>#DIV/0!</v>
      </c>
      <c r="AV687"/>
      <c r="AW687"/>
      <c r="FY687" s="210">
        <v>682</v>
      </c>
      <c r="FZ687">
        <v>0.2456818880042031</v>
      </c>
      <c r="GA687">
        <v>2.4766998382489476</v>
      </c>
      <c r="GB687">
        <v>2.7628844873532623</v>
      </c>
      <c r="GC687">
        <v>2.9541185834751795</v>
      </c>
      <c r="GD687">
        <v>2.0183752928322005</v>
      </c>
      <c r="GE687">
        <v>1.9235950245946309</v>
      </c>
      <c r="GF687">
        <v>1.95227762939375</v>
      </c>
      <c r="GG687">
        <v>0.64907444160511019</v>
      </c>
      <c r="GH687">
        <v>0.66238017508411107</v>
      </c>
      <c r="GI687">
        <v>2.6542292028721177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4.8859508547008543</v>
      </c>
      <c r="AO688">
        <v>4.9000829850436958</v>
      </c>
      <c r="AP688">
        <v>17.026130927224582</v>
      </c>
      <c r="AQ688">
        <v>17.187384021914216</v>
      </c>
      <c r="AR688">
        <v>4.5455315260145595</v>
      </c>
      <c r="AS688">
        <v>19.417176722787033</v>
      </c>
      <c r="AT688" t="e">
        <v>#DIV/0!</v>
      </c>
      <c r="AU688" t="e">
        <v>#DIV/0!</v>
      </c>
      <c r="AV688"/>
      <c r="AW688"/>
      <c r="FY688" s="210">
        <v>683</v>
      </c>
      <c r="FZ688">
        <v>0.2456818880042031</v>
      </c>
      <c r="GA688">
        <v>3.0736503178193786</v>
      </c>
      <c r="GB688">
        <v>1.899400457688855</v>
      </c>
      <c r="GC688">
        <v>1.1306979907224146</v>
      </c>
      <c r="GD688">
        <v>1.1537381485565781</v>
      </c>
      <c r="GE688">
        <v>2.098180931879603</v>
      </c>
      <c r="GF688">
        <v>2.1424426065148507</v>
      </c>
      <c r="GG688">
        <v>0.81714677051852402</v>
      </c>
      <c r="GH688">
        <v>0.66238017508411107</v>
      </c>
      <c r="GI688">
        <v>1.8105723046332085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8.1337568681318668</v>
      </c>
      <c r="AO689">
        <v>7.9137389521982326</v>
      </c>
      <c r="AP689">
        <v>37.484184628267833</v>
      </c>
      <c r="AQ689">
        <v>31.849030062091071</v>
      </c>
      <c r="AR689">
        <v>7.1825350946726214</v>
      </c>
      <c r="AS689">
        <v>37.337163974793327</v>
      </c>
      <c r="AT689" t="e">
        <v>#DIV/0!</v>
      </c>
      <c r="AU689" t="e">
        <v>#DIV/0!</v>
      </c>
      <c r="AV689"/>
      <c r="AW689"/>
      <c r="FY689" s="210">
        <v>684</v>
      </c>
      <c r="FZ689">
        <v>0.27886497278940114</v>
      </c>
      <c r="GA689">
        <v>3.1128926264860555</v>
      </c>
      <c r="GB689">
        <v>1.3273361139641193</v>
      </c>
      <c r="GC689">
        <v>3.7308724953335202</v>
      </c>
      <c r="GD689">
        <v>3.736093114464146</v>
      </c>
      <c r="GE689">
        <v>2.5687751274855688</v>
      </c>
      <c r="GF689">
        <v>0.88105632613632445</v>
      </c>
      <c r="GG689">
        <v>0.96200422538339236</v>
      </c>
      <c r="GH689">
        <v>1.3247603501682221</v>
      </c>
      <c r="GI689">
        <v>3.4725883079099398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6.958333333333333</v>
      </c>
      <c r="AO690">
        <v>9.9145768457432464</v>
      </c>
      <c r="AP690">
        <v>31.283467347701837</v>
      </c>
      <c r="AQ690">
        <v>30.680299506658123</v>
      </c>
      <c r="AR690">
        <v>9.1971955897432718</v>
      </c>
      <c r="AS690">
        <v>36.361899182523707</v>
      </c>
      <c r="AT690" t="e">
        <v>#DIV/0!</v>
      </c>
      <c r="AU690" t="e">
        <v>#DIV/0!</v>
      </c>
      <c r="AV690"/>
      <c r="AW690"/>
      <c r="FY690" s="210">
        <v>685</v>
      </c>
      <c r="FZ690">
        <v>3.3183084785198033E-2</v>
      </c>
      <c r="GA690">
        <v>2.9482589362622931</v>
      </c>
      <c r="GB690">
        <v>1.9633367843446625</v>
      </c>
      <c r="GC690">
        <v>4.9889709276872205</v>
      </c>
      <c r="GD690">
        <v>3.9514196390386189</v>
      </c>
      <c r="GE690">
        <v>1.5556520197883907</v>
      </c>
      <c r="GF690">
        <v>0.88105632613632445</v>
      </c>
      <c r="GG690">
        <v>0.96200422538339236</v>
      </c>
      <c r="GH690">
        <v>1.3247603501682221</v>
      </c>
      <c r="GI690">
        <v>3.8629902335216859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9.0615460927960907</v>
      </c>
      <c r="AO691">
        <v>8.6126258254975134</v>
      </c>
      <c r="AP691">
        <v>34.393161821934932</v>
      </c>
      <c r="AQ691">
        <v>30.920984856472245</v>
      </c>
      <c r="AR691">
        <v>7.8837183785436746</v>
      </c>
      <c r="AS691">
        <v>37.214811255119912</v>
      </c>
      <c r="AT691" t="e">
        <v>#DIV/0!</v>
      </c>
      <c r="AU691" t="e">
        <v>#DIV/0!</v>
      </c>
      <c r="AV691"/>
      <c r="AW691"/>
      <c r="FY691" s="210">
        <v>686</v>
      </c>
      <c r="FZ691">
        <v>9.9549254355594113E-2</v>
      </c>
      <c r="GA691">
        <v>1.9385847929263207</v>
      </c>
      <c r="GB691">
        <v>1.4530352925739001</v>
      </c>
      <c r="GC691">
        <v>6.0171567933136565</v>
      </c>
      <c r="GD691">
        <v>5.0414677936528172</v>
      </c>
      <c r="GE691">
        <v>1.6032265662226315</v>
      </c>
      <c r="GF691">
        <v>0.38032995424220212</v>
      </c>
      <c r="GG691">
        <v>1.7791509959019165</v>
      </c>
      <c r="GH691">
        <v>1.9871405252523333</v>
      </c>
      <c r="GI691">
        <v>4.35289378403154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4.1862980769230766</v>
      </c>
      <c r="AO692">
        <v>5.1712869871066678</v>
      </c>
      <c r="AP692">
        <v>16.8231627072105</v>
      </c>
      <c r="AQ692">
        <v>17.395602804795626</v>
      </c>
      <c r="AR692">
        <v>4.7442470133515338</v>
      </c>
      <c r="AS692">
        <v>26.043853747119051</v>
      </c>
      <c r="AT692" t="e">
        <v>#DIV/0!</v>
      </c>
      <c r="AU692" t="e">
        <v>#DIV/0!</v>
      </c>
      <c r="AV692"/>
      <c r="AW692"/>
      <c r="FY692" s="210">
        <v>687</v>
      </c>
      <c r="FZ692">
        <v>0.52454686079360424</v>
      </c>
      <c r="GA692">
        <v>1.8431998395842322</v>
      </c>
      <c r="GB692">
        <v>1.1723906347888362</v>
      </c>
      <c r="GC692">
        <v>10.175593770638395</v>
      </c>
      <c r="GD692">
        <v>8.1798218749487202</v>
      </c>
      <c r="GE692">
        <v>2.3203413855988164</v>
      </c>
      <c r="GF692">
        <v>1.2613862803785265</v>
      </c>
      <c r="GG692">
        <v>1.7791509959019165</v>
      </c>
      <c r="GH692">
        <v>1.9871405252523333</v>
      </c>
      <c r="GI692">
        <v>6.834206278911898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5.9814369658119659</v>
      </c>
      <c r="AO693">
        <v>7.3379132372078271</v>
      </c>
      <c r="AP693">
        <v>24.12284264201076</v>
      </c>
      <c r="AQ693">
        <v>23.732750136692808</v>
      </c>
      <c r="AR693">
        <v>6.754104388213463</v>
      </c>
      <c r="AS693">
        <v>26.963192850723615</v>
      </c>
      <c r="AT693" t="e">
        <v>#DIV/0!</v>
      </c>
      <c r="AU693" t="e">
        <v>#DIV/0!</v>
      </c>
      <c r="AV693"/>
      <c r="AW693"/>
      <c r="FY693" s="210">
        <v>688</v>
      </c>
      <c r="FZ693">
        <v>0</v>
      </c>
      <c r="GA693">
        <v>2.7836252460385307</v>
      </c>
      <c r="GB693">
        <v>2.4714648014135903</v>
      </c>
      <c r="GC693">
        <v>9.7271538053211977</v>
      </c>
      <c r="GD693">
        <v>7.3725244733532396</v>
      </c>
      <c r="GE693">
        <v>1.32663679561035</v>
      </c>
      <c r="GF693">
        <v>0</v>
      </c>
      <c r="GG693">
        <v>1.4430063380750886</v>
      </c>
      <c r="GH693">
        <v>1.9871405252523333</v>
      </c>
      <c r="GI693">
        <v>6.5191016940857436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8.8292315323565305</v>
      </c>
      <c r="AO694">
        <v>9.7688125173442089</v>
      </c>
      <c r="AP694">
        <v>29.069488704207604</v>
      </c>
      <c r="AQ694">
        <v>30.453358420440203</v>
      </c>
      <c r="AR694">
        <v>9.0091129968742987</v>
      </c>
      <c r="AS694">
        <v>40.227809725048267</v>
      </c>
      <c r="AT694" t="e">
        <v>#DIV/0!</v>
      </c>
      <c r="AU694" t="e">
        <v>#DIV/0!</v>
      </c>
      <c r="AV694"/>
      <c r="AW694"/>
      <c r="FY694" s="210">
        <v>689</v>
      </c>
      <c r="FZ694">
        <v>0.49136377600840619</v>
      </c>
      <c r="GA694">
        <v>0.70544152511878155</v>
      </c>
      <c r="GB694">
        <v>0.63600067038054287</v>
      </c>
      <c r="GC694">
        <v>3.295354088848955</v>
      </c>
      <c r="GD694">
        <v>2.7556044280361776</v>
      </c>
      <c r="GE694">
        <v>2.1351048491804936</v>
      </c>
      <c r="GF694">
        <v>1.95227762939375</v>
      </c>
      <c r="GG694">
        <v>2.0920807796801988</v>
      </c>
      <c r="GH694">
        <v>2.6495207003364443</v>
      </c>
      <c r="GI694">
        <v>3.013734637737727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4.3802083333333339</v>
      </c>
      <c r="AO695">
        <v>5.5792372531549494</v>
      </c>
      <c r="AP695">
        <v>19.677482343879053</v>
      </c>
      <c r="AQ695">
        <v>18.907796697327171</v>
      </c>
      <c r="AR695">
        <v>5.1226795421532785</v>
      </c>
      <c r="AS695">
        <v>20.455371159263127</v>
      </c>
      <c r="AT695" t="e">
        <v>#DIV/0!</v>
      </c>
      <c r="AU695" t="e">
        <v>#DIV/0!</v>
      </c>
      <c r="AV695"/>
      <c r="AW695"/>
      <c r="FY695" s="210">
        <v>690</v>
      </c>
      <c r="FZ695">
        <v>3.3183084785198033E-2</v>
      </c>
      <c r="GA695">
        <v>5.3660672827590155</v>
      </c>
      <c r="GB695">
        <v>3.1249523909788905</v>
      </c>
      <c r="GC695">
        <v>4.7265630927709417</v>
      </c>
      <c r="GD695">
        <v>3.5647289429245381</v>
      </c>
      <c r="GE695">
        <v>1.0675524245902468</v>
      </c>
      <c r="GF695">
        <v>1.2613862803785265</v>
      </c>
      <c r="GG695">
        <v>0.81714677051852402</v>
      </c>
      <c r="GH695">
        <v>0.66238017508411107</v>
      </c>
      <c r="GI695">
        <v>3.6958872350703951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7.6290445665445645</v>
      </c>
      <c r="AO696">
        <v>8.1478546825287275</v>
      </c>
      <c r="AP696">
        <v>30.005725840067445</v>
      </c>
      <c r="AQ696">
        <v>28.520366444439933</v>
      </c>
      <c r="AR696">
        <v>7.4525763164204992</v>
      </c>
      <c r="AS696">
        <v>36.170277871273484</v>
      </c>
      <c r="AT696" t="e">
        <v>#DIV/0!</v>
      </c>
      <c r="AU696" t="e">
        <v>#DIV/0!</v>
      </c>
      <c r="AV696"/>
      <c r="AW696"/>
      <c r="FY696" s="210">
        <v>691</v>
      </c>
      <c r="FZ696">
        <v>0</v>
      </c>
      <c r="GA696">
        <v>4.9703000125066303</v>
      </c>
      <c r="GB696">
        <v>3.5181562575926462</v>
      </c>
      <c r="GC696">
        <v>2.389089725991469</v>
      </c>
      <c r="GD696">
        <v>2.2577318238731294</v>
      </c>
      <c r="GE696">
        <v>1.8516603081093841</v>
      </c>
      <c r="GF696">
        <v>0.76065990848440423</v>
      </c>
      <c r="GG696">
        <v>0.67228931565365579</v>
      </c>
      <c r="GH696">
        <v>0</v>
      </c>
      <c r="GI696">
        <v>2.7443914846546953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8.3356417887667895</v>
      </c>
      <c r="AO697">
        <v>9.0821693833136035</v>
      </c>
      <c r="AP697">
        <v>32.117298681857498</v>
      </c>
      <c r="AQ697">
        <v>31.589578650452783</v>
      </c>
      <c r="AR697">
        <v>8.2664223220523709</v>
      </c>
      <c r="AS697">
        <v>32.157326811110522</v>
      </c>
      <c r="AT697" t="e">
        <v>#DIV/0!</v>
      </c>
      <c r="AU697" t="e">
        <v>#DIV/0!</v>
      </c>
      <c r="AV697"/>
      <c r="AW697"/>
      <c r="FY697" s="210">
        <v>692</v>
      </c>
      <c r="FZ697">
        <v>3.3183084785198033E-2</v>
      </c>
      <c r="GA697">
        <v>4.7587595580591353</v>
      </c>
      <c r="GB697">
        <v>2.2461549168315607</v>
      </c>
      <c r="GC697">
        <v>12.21319639997329</v>
      </c>
      <c r="GD697">
        <v>9.2953038384040418</v>
      </c>
      <c r="GE697">
        <v>0.62702737582634349</v>
      </c>
      <c r="GF697">
        <v>0.76065990848440423</v>
      </c>
      <c r="GG697">
        <v>2.1152956537287446</v>
      </c>
      <c r="GH697">
        <v>1.9871405252523333</v>
      </c>
      <c r="GI697">
        <v>7.8773005260259419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5.4508928571428568</v>
      </c>
      <c r="AO698">
        <v>4.3269281665994974</v>
      </c>
      <c r="AP698">
        <v>22.849471215553557</v>
      </c>
      <c r="AQ698">
        <v>18.299316563463513</v>
      </c>
      <c r="AR698">
        <v>3.9081175817922693</v>
      </c>
      <c r="AS698">
        <v>17.313558828916392</v>
      </c>
      <c r="AT698" t="e">
        <v>#DIV/0!</v>
      </c>
      <c r="AU698" t="e">
        <v>#DIV/0!</v>
      </c>
      <c r="AV698"/>
      <c r="AW698"/>
      <c r="FY698" s="210">
        <v>693</v>
      </c>
      <c r="FZ698">
        <v>0.73704566401260951</v>
      </c>
      <c r="GA698">
        <v>6.6777512254043287</v>
      </c>
      <c r="GB698">
        <v>2.7564564086023227</v>
      </c>
      <c r="GC698">
        <v>11.347363226374652</v>
      </c>
      <c r="GD698">
        <v>9.1626684610566471</v>
      </c>
      <c r="GE698">
        <v>3.3046611370980497</v>
      </c>
      <c r="GF698">
        <v>3.4038288868933777</v>
      </c>
      <c r="GG698">
        <v>1.634293541037048</v>
      </c>
      <c r="GH698">
        <v>1.3247603501682221</v>
      </c>
      <c r="GI698">
        <v>8.4624553941545599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4.2257326007326004</v>
      </c>
      <c r="AO699">
        <v>2.8988263252411599</v>
      </c>
      <c r="AP699">
        <v>19.234187918128725</v>
      </c>
      <c r="AQ699">
        <v>15.033891591421728</v>
      </c>
      <c r="AR699">
        <v>2.5833477846138493</v>
      </c>
      <c r="AS699">
        <v>13.059257484477287</v>
      </c>
      <c r="AT699" t="e">
        <v>#DIV/0!</v>
      </c>
      <c r="AU699" t="e">
        <v>#DIV/0!</v>
      </c>
      <c r="AV699"/>
      <c r="AW699"/>
      <c r="FY699" s="210">
        <v>694</v>
      </c>
      <c r="FZ699">
        <v>3.3183084785198033E-2</v>
      </c>
      <c r="GA699">
        <v>0.16463369022376226</v>
      </c>
      <c r="GB699">
        <v>0.63600067038054287</v>
      </c>
      <c r="GC699">
        <v>6.7175400169220012</v>
      </c>
      <c r="GD699">
        <v>5.7725116201274984</v>
      </c>
      <c r="GE699">
        <v>2.6056990447864585</v>
      </c>
      <c r="GF699">
        <v>1.2613862803785265</v>
      </c>
      <c r="GG699">
        <v>0.81714677051852402</v>
      </c>
      <c r="GH699">
        <v>0.66238017508411107</v>
      </c>
      <c r="GI699">
        <v>4.6565782025052478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6.1898084554334547</v>
      </c>
      <c r="AO700">
        <v>5.7047756263106875</v>
      </c>
      <c r="AP700">
        <v>22.630398059026092</v>
      </c>
      <c r="AQ700">
        <v>21.395243660120691</v>
      </c>
      <c r="AR700">
        <v>5.2391344337634251</v>
      </c>
      <c r="AS700">
        <v>25.397041954903692</v>
      </c>
      <c r="AT700" t="e">
        <v>#DIV/0!</v>
      </c>
      <c r="AU700" t="e">
        <v>#DIV/0!</v>
      </c>
      <c r="AV700"/>
      <c r="AW700"/>
      <c r="FY700" s="210">
        <v>695</v>
      </c>
      <c r="FZ700">
        <v>0</v>
      </c>
      <c r="GA700">
        <v>3.7567498702802196</v>
      </c>
      <c r="GB700">
        <v>2.943918439166076</v>
      </c>
      <c r="GC700">
        <v>5.990380096978047</v>
      </c>
      <c r="GD700">
        <v>4.467863895001253</v>
      </c>
      <c r="GE700">
        <v>1.0131231076971783</v>
      </c>
      <c r="GF700">
        <v>0.38032995424220212</v>
      </c>
      <c r="GG700">
        <v>1.7791509959019165</v>
      </c>
      <c r="GH700">
        <v>1.9871405252523333</v>
      </c>
      <c r="GI700">
        <v>4.5894778143365444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5.3976076007326004</v>
      </c>
      <c r="AO701">
        <v>6.4261642729116932</v>
      </c>
      <c r="AP701">
        <v>24.824590163807347</v>
      </c>
      <c r="AQ701">
        <v>22.471632527116007</v>
      </c>
      <c r="AR701">
        <v>5.9083261281984951</v>
      </c>
      <c r="AS701">
        <v>28.493361786808034</v>
      </c>
      <c r="AT701" t="e">
        <v>#DIV/0!</v>
      </c>
      <c r="AU701" t="e">
        <v>#DIV/0!</v>
      </c>
      <c r="AV701"/>
      <c r="AW701"/>
      <c r="FY701" s="210">
        <v>696</v>
      </c>
      <c r="FZ701">
        <v>0.2456818880042031</v>
      </c>
      <c r="GA701">
        <v>2.4766998382489476</v>
      </c>
      <c r="GB701">
        <v>1.0466914561790557</v>
      </c>
      <c r="GC701">
        <v>4.7210088526009493</v>
      </c>
      <c r="GD701">
        <v>4.3960982168060241</v>
      </c>
      <c r="GE701">
        <v>1.9167402541358034</v>
      </c>
      <c r="GF701">
        <v>0.19016497712110106</v>
      </c>
      <c r="GG701">
        <v>0.64907444160511019</v>
      </c>
      <c r="GH701">
        <v>0.66238017508411107</v>
      </c>
      <c r="GI701">
        <v>3.6961026096908651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5.8448183760683747</v>
      </c>
      <c r="AO702">
        <v>7.1187473831417005</v>
      </c>
      <c r="AP702">
        <v>24.700826958116512</v>
      </c>
      <c r="AQ702">
        <v>24.652535752472911</v>
      </c>
      <c r="AR702">
        <v>6.60366176543757</v>
      </c>
      <c r="AS702">
        <v>35.327897768519819</v>
      </c>
      <c r="AT702" t="e">
        <v>#DIV/0!</v>
      </c>
      <c r="AU702" t="e">
        <v>#DIV/0!</v>
      </c>
      <c r="AV702"/>
      <c r="AW702"/>
      <c r="FY702" s="210">
        <v>697</v>
      </c>
      <c r="FZ702">
        <v>6.6366169570396066E-2</v>
      </c>
      <c r="GA702">
        <v>2.0247338658167298</v>
      </c>
      <c r="GB702">
        <v>0.94490727550497178</v>
      </c>
      <c r="GC702">
        <v>5.8870060665595174</v>
      </c>
      <c r="GD702">
        <v>4.750974262498648</v>
      </c>
      <c r="GE702">
        <v>1.3441421952025283</v>
      </c>
      <c r="GF702">
        <v>1.0712213032574254</v>
      </c>
      <c r="GG702">
        <v>1.6110786669885027</v>
      </c>
      <c r="GH702">
        <v>1.9871405252523333</v>
      </c>
      <c r="GI702">
        <v>4.1557019427793138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9.1144497863247871</v>
      </c>
      <c r="AO703">
        <v>11.225559667969131</v>
      </c>
      <c r="AP703">
        <v>33.908202148193077</v>
      </c>
      <c r="AQ703">
        <v>36.077778446797275</v>
      </c>
      <c r="AR703">
        <v>10.360455437157158</v>
      </c>
      <c r="AS703">
        <v>54.554831346665217</v>
      </c>
      <c r="AT703" t="e">
        <v>#DIV/0!</v>
      </c>
      <c r="AU703" t="e">
        <v>#DIV/0!</v>
      </c>
      <c r="AV703"/>
      <c r="AW703"/>
      <c r="FY703" s="210">
        <v>698</v>
      </c>
      <c r="FZ703">
        <v>0</v>
      </c>
      <c r="GA703">
        <v>6.6554092527463879</v>
      </c>
      <c r="GB703">
        <v>3.737038063423737</v>
      </c>
      <c r="GC703">
        <v>12.75648786880847</v>
      </c>
      <c r="GD703">
        <v>10.301942651426849</v>
      </c>
      <c r="GE703">
        <v>2.7446268254146586</v>
      </c>
      <c r="GF703">
        <v>1.0712213032574254</v>
      </c>
      <c r="GG703">
        <v>1.1300765542968063</v>
      </c>
      <c r="GH703">
        <v>1.3247603501682221</v>
      </c>
      <c r="GI703">
        <v>8.8192531301003303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8.4340659340659343</v>
      </c>
      <c r="AO704">
        <v>10.908842030692215</v>
      </c>
      <c r="AP704">
        <v>34.42880670796692</v>
      </c>
      <c r="AQ704">
        <v>33.630653679150079</v>
      </c>
      <c r="AR704">
        <v>10.119519508990923</v>
      </c>
      <c r="AS704">
        <v>42.423464386008405</v>
      </c>
      <c r="AT704" t="e">
        <v>#DIV/0!</v>
      </c>
      <c r="AU704" t="e">
        <v>#DIV/0!</v>
      </c>
      <c r="AV704"/>
      <c r="AW704"/>
      <c r="FY704" s="210">
        <v>699</v>
      </c>
      <c r="FZ704">
        <v>0</v>
      </c>
      <c r="GA704">
        <v>2.0612833849110137</v>
      </c>
      <c r="GB704">
        <v>0.98275512952324828</v>
      </c>
      <c r="GC704">
        <v>7.7484008663636326</v>
      </c>
      <c r="GD704">
        <v>6.1038228360914264</v>
      </c>
      <c r="GE704">
        <v>1.3810661125034183</v>
      </c>
      <c r="GF704">
        <v>1.0712213032574254</v>
      </c>
      <c r="GG704">
        <v>0.16807232891341395</v>
      </c>
      <c r="GH704">
        <v>0</v>
      </c>
      <c r="GI704">
        <v>4.9719054913123921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5.1180555555555554</v>
      </c>
      <c r="AO705">
        <v>4.9126053789246003</v>
      </c>
      <c r="AP705">
        <v>21.654576990702644</v>
      </c>
      <c r="AQ705">
        <v>19.726483084721476</v>
      </c>
      <c r="AR705">
        <v>4.4514174076968178</v>
      </c>
      <c r="AS705">
        <v>20.844653958146512</v>
      </c>
      <c r="AT705" t="e">
        <v>#DIV/0!</v>
      </c>
      <c r="AU705" t="e">
        <v>#DIV/0!</v>
      </c>
      <c r="AV705"/>
      <c r="AW705"/>
      <c r="FY705" s="210">
        <v>700</v>
      </c>
      <c r="FZ705">
        <v>3.3183084785198033E-2</v>
      </c>
      <c r="GA705">
        <v>2.8228675547052076</v>
      </c>
      <c r="GB705">
        <v>1.899400457688855</v>
      </c>
      <c r="GC705">
        <v>3.2708127451532882</v>
      </c>
      <c r="GD705">
        <v>3.1223689681487521</v>
      </c>
      <c r="GE705">
        <v>2.4311131375014865</v>
      </c>
      <c r="GF705">
        <v>1.4515512574996277</v>
      </c>
      <c r="GG705">
        <v>1.9472233248153306</v>
      </c>
      <c r="GH705">
        <v>1.9871405252523333</v>
      </c>
      <c r="GI705">
        <v>3.4189686200178921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5.7061011904761907</v>
      </c>
      <c r="AO706">
        <v>6.0384563854402611</v>
      </c>
      <c r="AP706">
        <v>28.636457215713374</v>
      </c>
      <c r="AQ706">
        <v>24.319847679860384</v>
      </c>
      <c r="AR706">
        <v>5.5486713160728618</v>
      </c>
      <c r="AS706">
        <v>33.123749213556266</v>
      </c>
      <c r="AT706" t="e">
        <v>#DIV/0!</v>
      </c>
      <c r="AU706" t="e">
        <v>#DIV/0!</v>
      </c>
      <c r="AV706"/>
      <c r="AW706"/>
      <c r="FY706" s="210">
        <v>701</v>
      </c>
      <c r="FZ706">
        <v>0</v>
      </c>
      <c r="GA706">
        <v>2.7836252460385307</v>
      </c>
      <c r="GB706">
        <v>1.899400457688855</v>
      </c>
      <c r="GC706">
        <v>15.20266787660891</v>
      </c>
      <c r="GD706">
        <v>12.088840686003184</v>
      </c>
      <c r="GE706">
        <v>3.7927607322961938</v>
      </c>
      <c r="GF706">
        <v>2.8333339555300743</v>
      </c>
      <c r="GG706">
        <v>0.64907444160511019</v>
      </c>
      <c r="GH706">
        <v>0.66238017508411107</v>
      </c>
      <c r="GI706">
        <v>9.8650840295109088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5.7425976800976803</v>
      </c>
      <c r="AO707">
        <v>4.5501146997475876</v>
      </c>
      <c r="AP707">
        <v>24.448114225683749</v>
      </c>
      <c r="AQ707">
        <v>19.164278836866014</v>
      </c>
      <c r="AR707">
        <v>4.2208856212871879</v>
      </c>
      <c r="AS707">
        <v>18.006144899371467</v>
      </c>
      <c r="AT707" t="e">
        <v>#DIV/0!</v>
      </c>
      <c r="AU707" t="e">
        <v>#DIV/0!</v>
      </c>
      <c r="AV707"/>
      <c r="AW707"/>
      <c r="FY707" s="210">
        <v>702</v>
      </c>
      <c r="FZ707">
        <v>0.52454686079360424</v>
      </c>
      <c r="GA707">
        <v>1.5924170764700607</v>
      </c>
      <c r="GB707">
        <v>1.0445179814772214</v>
      </c>
      <c r="GC707">
        <v>5.4514876600749531</v>
      </c>
      <c r="GD707">
        <v>4.0973892984254441</v>
      </c>
      <c r="GE707">
        <v>0.488099595198144</v>
      </c>
      <c r="GF707">
        <v>0.19016497712110106</v>
      </c>
      <c r="GG707">
        <v>1.1300765542968063</v>
      </c>
      <c r="GH707">
        <v>1.3247603501682221</v>
      </c>
      <c r="GI707">
        <v>3.4304912340939619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11.412202380952381</v>
      </c>
      <c r="AO708">
        <v>13.043130198900817</v>
      </c>
      <c r="AP708">
        <v>41.848366420932308</v>
      </c>
      <c r="AQ708">
        <v>41.914021787370991</v>
      </c>
      <c r="AR708">
        <v>12.099378663173303</v>
      </c>
      <c r="AS708">
        <v>51.172631666528531</v>
      </c>
      <c r="AT708" t="e">
        <v>#DIV/0!</v>
      </c>
      <c r="AU708" t="e">
        <v>#DIV/0!</v>
      </c>
      <c r="AV708"/>
      <c r="AW708"/>
      <c r="FY708" s="210">
        <v>703</v>
      </c>
      <c r="FZ708">
        <v>6.6366169570396066E-2</v>
      </c>
      <c r="GA708">
        <v>6.7338938700797399</v>
      </c>
      <c r="GB708">
        <v>4.3091024071484725</v>
      </c>
      <c r="GC708">
        <v>7.4215891009000332</v>
      </c>
      <c r="GD708">
        <v>5.190629072018849</v>
      </c>
      <c r="GE708">
        <v>0.31351368791317175</v>
      </c>
      <c r="GF708">
        <v>0</v>
      </c>
      <c r="GG708">
        <v>0.48100211269169618</v>
      </c>
      <c r="GH708">
        <v>0.66238017508411107</v>
      </c>
      <c r="GI708">
        <v>5.1927108455941324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14.093998015873012</v>
      </c>
      <c r="AO709">
        <v>13.979687290204637</v>
      </c>
      <c r="AP709">
        <v>51.254871990193543</v>
      </c>
      <c r="AQ709">
        <v>48.811284294801816</v>
      </c>
      <c r="AR709">
        <v>12.809574369261123</v>
      </c>
      <c r="AS709">
        <v>52.50554590434875</v>
      </c>
      <c r="AT709" t="e">
        <v>#DIV/0!</v>
      </c>
      <c r="AU709" t="e">
        <v>#DIV/0!</v>
      </c>
      <c r="AV709"/>
      <c r="AW709"/>
      <c r="FY709" s="210">
        <v>704</v>
      </c>
      <c r="FZ709">
        <v>0.52454686079360424</v>
      </c>
      <c r="GA709">
        <v>0.87007521534254384</v>
      </c>
      <c r="GB709">
        <v>0.12787265331161465</v>
      </c>
      <c r="GC709">
        <v>6.4526751997982217</v>
      </c>
      <c r="GD709">
        <v>5.6451036110558519</v>
      </c>
      <c r="GE709">
        <v>2.8997942149909193</v>
      </c>
      <c r="GF709">
        <v>1.7621126522726489</v>
      </c>
      <c r="GG709">
        <v>1.4430063380750886</v>
      </c>
      <c r="GH709">
        <v>1.9871405252523333</v>
      </c>
      <c r="GI709">
        <v>4.8467135052517456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6.096020299145299</v>
      </c>
      <c r="AO710">
        <v>7.6459508346602618</v>
      </c>
      <c r="AP710">
        <v>20.847170408121389</v>
      </c>
      <c r="AQ710">
        <v>23.32705955571187</v>
      </c>
      <c r="AR710">
        <v>7.0398535509708227</v>
      </c>
      <c r="AS710">
        <v>31.574757959784591</v>
      </c>
      <c r="AT710" t="e">
        <v>#DIV/0!</v>
      </c>
      <c r="AU710" t="e">
        <v>#DIV/0!</v>
      </c>
      <c r="AV710"/>
      <c r="AW710"/>
      <c r="FY710" s="210">
        <v>705</v>
      </c>
      <c r="FZ710">
        <v>3.3183084785198033E-2</v>
      </c>
      <c r="GA710">
        <v>3.7959921789468956</v>
      </c>
      <c r="GB710">
        <v>1.7997897517166055</v>
      </c>
      <c r="GC710">
        <v>7.7429755974255823</v>
      </c>
      <c r="GD710">
        <v>5.9784349040324889</v>
      </c>
      <c r="GE710">
        <v>1.0675524245902468</v>
      </c>
      <c r="GF710">
        <v>1.2613862803785265</v>
      </c>
      <c r="GG710">
        <v>1.7791509959019165</v>
      </c>
      <c r="GH710">
        <v>1.9871405252523333</v>
      </c>
      <c r="GI710">
        <v>5.3378556148854663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7.0139270451770441</v>
      </c>
      <c r="AO711">
        <v>7.6918981709604726</v>
      </c>
      <c r="AP711">
        <v>31.020067650794097</v>
      </c>
      <c r="AQ711">
        <v>26.908134698855768</v>
      </c>
      <c r="AR711">
        <v>7.1353415315032214</v>
      </c>
      <c r="AS711">
        <v>31.233318180458898</v>
      </c>
      <c r="AT711" t="e">
        <v>#DIV/0!</v>
      </c>
      <c r="AU711" t="e">
        <v>#DIV/0!</v>
      </c>
      <c r="AV711"/>
      <c r="AW711"/>
      <c r="FY711" s="210">
        <v>706</v>
      </c>
      <c r="FZ711">
        <v>0.2456818880042031</v>
      </c>
      <c r="GA711">
        <v>3.9213835605039815</v>
      </c>
      <c r="GB711">
        <v>2.8799821125102687</v>
      </c>
      <c r="GC711">
        <v>9.5531813284303624</v>
      </c>
      <c r="GD711">
        <v>7.4338969377055975</v>
      </c>
      <c r="GE711">
        <v>2.2196033129156243</v>
      </c>
      <c r="GF711">
        <v>1.0712213032574254</v>
      </c>
      <c r="GG711">
        <v>1.1300765542968063</v>
      </c>
      <c r="GH711">
        <v>1.3247603501682221</v>
      </c>
      <c r="GI711">
        <v>6.7504761288387112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5.6047390109890101</v>
      </c>
      <c r="AO712">
        <v>6.1285063478508643</v>
      </c>
      <c r="AP712">
        <v>19.480781944199759</v>
      </c>
      <c r="AQ712">
        <v>20.000642709476168</v>
      </c>
      <c r="AR712">
        <v>5.685070823609335</v>
      </c>
      <c r="AS712">
        <v>24.362649270694195</v>
      </c>
      <c r="AT712" t="e">
        <v>#DIV/0!</v>
      </c>
      <c r="AU712" t="e">
        <v>#DIV/0!</v>
      </c>
      <c r="AV712"/>
      <c r="AW712"/>
      <c r="FY712" s="210">
        <v>707</v>
      </c>
      <c r="FZ712">
        <v>0</v>
      </c>
      <c r="GA712">
        <v>2.9090166275956166</v>
      </c>
      <c r="GB712">
        <v>1.9633367843446625</v>
      </c>
      <c r="GC712">
        <v>4.4450391830970455</v>
      </c>
      <c r="GD712">
        <v>3.6344375948373644</v>
      </c>
      <c r="GE712">
        <v>1.6576558831156998</v>
      </c>
      <c r="GF712">
        <v>1.2613862803785265</v>
      </c>
      <c r="GG712">
        <v>0.3361446578268279</v>
      </c>
      <c r="GH712">
        <v>0</v>
      </c>
      <c r="GI712">
        <v>3.3610488700018353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5.637686965811965</v>
      </c>
      <c r="AO713">
        <v>6.7859767304328127</v>
      </c>
      <c r="AP713">
        <v>23.887672496451831</v>
      </c>
      <c r="AQ713">
        <v>23.843272273430365</v>
      </c>
      <c r="AR713">
        <v>6.2421039181067695</v>
      </c>
      <c r="AS713">
        <v>34.355530092770408</v>
      </c>
      <c r="AT713" t="e">
        <v>#DIV/0!</v>
      </c>
      <c r="AU713" t="e">
        <v>#DIV/0!</v>
      </c>
      <c r="AV713"/>
      <c r="AW713"/>
      <c r="FY713" s="210">
        <v>708</v>
      </c>
      <c r="FZ713">
        <v>0.31204805757459919</v>
      </c>
      <c r="GA713">
        <v>7.1493103234176747</v>
      </c>
      <c r="GB713">
        <v>3.2289100463548088</v>
      </c>
      <c r="GC713">
        <v>6.7252006384999934</v>
      </c>
      <c r="GD713">
        <v>5.3777821890302615</v>
      </c>
      <c r="GE713">
        <v>0.83853720041220592</v>
      </c>
      <c r="GF713">
        <v>0.76065990848440423</v>
      </c>
      <c r="GG713">
        <v>0.67228931565365579</v>
      </c>
      <c r="GH713">
        <v>0</v>
      </c>
      <c r="GI713">
        <v>4.9086807326861548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12.993303571428573</v>
      </c>
      <c r="AO714">
        <v>14.527331467609955</v>
      </c>
      <c r="AP714">
        <v>49.495397896934172</v>
      </c>
      <c r="AQ714">
        <v>48.540815999642881</v>
      </c>
      <c r="AR714">
        <v>13.423323525877775</v>
      </c>
      <c r="AS714">
        <v>80.28822116647072</v>
      </c>
      <c r="AT714" t="e">
        <v>#DIV/0!</v>
      </c>
      <c r="AU714" t="e">
        <v>#DIV/0!</v>
      </c>
      <c r="AV714"/>
      <c r="AW714"/>
      <c r="FY714" s="210">
        <v>709</v>
      </c>
      <c r="FZ714">
        <v>0.52454686079360424</v>
      </c>
      <c r="GA714">
        <v>1.4670256949129752</v>
      </c>
      <c r="GB714">
        <v>0.98058165482141413</v>
      </c>
      <c r="GC714">
        <v>9.0259086763903049</v>
      </c>
      <c r="GD714">
        <v>7.0240341324629378</v>
      </c>
      <c r="GE714">
        <v>1.1520508883253777</v>
      </c>
      <c r="GF714">
        <v>0.95082488560550527</v>
      </c>
      <c r="GG714">
        <v>1.321363757258766</v>
      </c>
      <c r="GH714">
        <v>0.66238017508411107</v>
      </c>
      <c r="GI714">
        <v>5.7065425647245362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7.3866567460317443</v>
      </c>
      <c r="AO715">
        <v>8.251582845895193</v>
      </c>
      <c r="AP715">
        <v>22.774495631655778</v>
      </c>
      <c r="AQ715">
        <v>24.488527452875967</v>
      </c>
      <c r="AR715">
        <v>7.6016643220607421</v>
      </c>
      <c r="AS715">
        <v>32.476579071227768</v>
      </c>
      <c r="AT715" t="e">
        <v>#DIV/0!</v>
      </c>
      <c r="AU715" t="e">
        <v>#DIV/0!</v>
      </c>
      <c r="AV715"/>
      <c r="AW715"/>
      <c r="FY715" s="210">
        <v>710</v>
      </c>
      <c r="FZ715">
        <v>3.3183084785198033E-2</v>
      </c>
      <c r="GA715">
        <v>6.4542260434283403</v>
      </c>
      <c r="GB715">
        <v>3.6352538827496526</v>
      </c>
      <c r="GC715">
        <v>4.4263990524110088</v>
      </c>
      <c r="GD715">
        <v>4.0678019675780464</v>
      </c>
      <c r="GE715">
        <v>2.6056990447864585</v>
      </c>
      <c r="GF715">
        <v>0.88105632613632445</v>
      </c>
      <c r="GG715">
        <v>0.96200422538339236</v>
      </c>
      <c r="GH715">
        <v>1.3247603501682221</v>
      </c>
      <c r="GI715">
        <v>4.3069391972171127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5.6991567460317452</v>
      </c>
      <c r="AO716">
        <v>5.6513931168290403</v>
      </c>
      <c r="AP716">
        <v>25.991943819342971</v>
      </c>
      <c r="AQ716">
        <v>22.384629675567968</v>
      </c>
      <c r="AR716">
        <v>5.1896144806264619</v>
      </c>
      <c r="AS716">
        <v>20.454359255106358</v>
      </c>
      <c r="AT716" t="e">
        <v>#DIV/0!</v>
      </c>
      <c r="AU716" t="e">
        <v>#DIV/0!</v>
      </c>
      <c r="AV716"/>
      <c r="AW716"/>
      <c r="FY716" s="210">
        <v>711</v>
      </c>
      <c r="FZ716">
        <v>0.2456818880042031</v>
      </c>
      <c r="GA716">
        <v>3.9213835605039815</v>
      </c>
      <c r="GB716">
        <v>2.3079177687855337</v>
      </c>
      <c r="GC716">
        <v>0.99288664239028246</v>
      </c>
      <c r="GD716">
        <v>1.1858107331544447</v>
      </c>
      <c r="GE716">
        <v>2.3747707024918845</v>
      </c>
      <c r="GF716">
        <v>2.1424426065148507</v>
      </c>
      <c r="GG716">
        <v>1.7791509959019165</v>
      </c>
      <c r="GH716">
        <v>1.9871405252523333</v>
      </c>
      <c r="GI716">
        <v>2.151941944431369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11.720524267399266</v>
      </c>
      <c r="AO717">
        <v>16.231479409874559</v>
      </c>
      <c r="AP717">
        <v>46.082034786928766</v>
      </c>
      <c r="AQ717">
        <v>49.777167600365871</v>
      </c>
      <c r="AR717">
        <v>14.898435333704466</v>
      </c>
      <c r="AS717">
        <v>98.373843669600362</v>
      </c>
      <c r="AT717" t="e">
        <v>#DIV/0!</v>
      </c>
      <c r="AU717" t="e">
        <v>#DIV/0!</v>
      </c>
      <c r="AV717"/>
      <c r="AW717"/>
      <c r="FY717" s="210">
        <v>712</v>
      </c>
      <c r="FZ717">
        <v>0.27886497278940114</v>
      </c>
      <c r="GA717">
        <v>3.1128926264860555</v>
      </c>
      <c r="GB717">
        <v>3.0435291451383262</v>
      </c>
      <c r="GC717">
        <v>3.3819763683817516</v>
      </c>
      <c r="GD717">
        <v>2.3956627482767998</v>
      </c>
      <c r="GE717">
        <v>2.6407098439708157</v>
      </c>
      <c r="GF717">
        <v>3.0234989326511759</v>
      </c>
      <c r="GG717">
        <v>2.2601531085936126</v>
      </c>
      <c r="GH717">
        <v>2.6495207003364443</v>
      </c>
      <c r="GI717">
        <v>3.6183193543378307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5.3894230769230766</v>
      </c>
      <c r="AO718">
        <v>5.5618834228924481</v>
      </c>
      <c r="AP718">
        <v>18.67872781123619</v>
      </c>
      <c r="AQ718">
        <v>19.27395158811952</v>
      </c>
      <c r="AR718">
        <v>5.1594465889540331</v>
      </c>
      <c r="AS718">
        <v>25.742779291877017</v>
      </c>
      <c r="AT718" t="e">
        <v>#DIV/0!</v>
      </c>
      <c r="AU718" t="e">
        <v>#DIV/0!</v>
      </c>
      <c r="AV718"/>
      <c r="AW718"/>
      <c r="FY718" s="210">
        <v>713</v>
      </c>
      <c r="FZ718">
        <v>0</v>
      </c>
      <c r="GA718">
        <v>4.2479581513791134</v>
      </c>
      <c r="GB718">
        <v>3.7456396168765105</v>
      </c>
      <c r="GC718">
        <v>2.5161431947831154</v>
      </c>
      <c r="GD718">
        <v>2.622003677882037</v>
      </c>
      <c r="GE718">
        <v>3.3334644932959945</v>
      </c>
      <c r="GF718">
        <v>1.6417162346207288</v>
      </c>
      <c r="GG718">
        <v>2.5962977664204407</v>
      </c>
      <c r="GH718">
        <v>2.6495207003364443</v>
      </c>
      <c r="GI718">
        <v>3.6094089845516275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9.064484126984123</v>
      </c>
      <c r="AO719">
        <v>8.7038484042597055</v>
      </c>
      <c r="AP719">
        <v>35.740532073037429</v>
      </c>
      <c r="AQ719">
        <v>30.371187441000604</v>
      </c>
      <c r="AR719">
        <v>8.0740708759366449</v>
      </c>
      <c r="AS719">
        <v>35.357494989324906</v>
      </c>
      <c r="AT719" t="e">
        <v>#DIV/0!</v>
      </c>
      <c r="AU719" t="e">
        <v>#DIV/0!</v>
      </c>
      <c r="AV719"/>
      <c r="AW719"/>
      <c r="FY719" s="210">
        <v>714</v>
      </c>
      <c r="FZ719">
        <v>3.3183084785198033E-2</v>
      </c>
      <c r="GA719">
        <v>1.7347087940358819</v>
      </c>
      <c r="GB719">
        <v>1.9611633096428283</v>
      </c>
      <c r="GC719">
        <v>6.1473075200677956</v>
      </c>
      <c r="GD719">
        <v>5.195652840266054</v>
      </c>
      <c r="GE719">
        <v>3.2133079029040905</v>
      </c>
      <c r="GF719">
        <v>2.1424426065148507</v>
      </c>
      <c r="GG719">
        <v>0.81714677051852402</v>
      </c>
      <c r="GH719">
        <v>0.66238017508411107</v>
      </c>
      <c r="GI719">
        <v>4.7341946304221905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6.7232905982905979</v>
      </c>
      <c r="AO720">
        <v>7.9479768217058107</v>
      </c>
      <c r="AP720">
        <v>24.900320085438281</v>
      </c>
      <c r="AQ720">
        <v>26.559040776144574</v>
      </c>
      <c r="AR720">
        <v>7.2671608611116696</v>
      </c>
      <c r="AS720">
        <v>39.482378507647844</v>
      </c>
      <c r="AT720" t="e">
        <v>#DIV/0!</v>
      </c>
      <c r="AU720" t="e">
        <v>#DIV/0!</v>
      </c>
      <c r="AV720"/>
      <c r="AW720"/>
      <c r="FY720" s="210">
        <v>715</v>
      </c>
      <c r="FZ720">
        <v>0.27886497278940114</v>
      </c>
      <c r="GA720">
        <v>5.0487846298399841</v>
      </c>
      <c r="GB720">
        <v>2.8182192605562957</v>
      </c>
      <c r="GC720">
        <v>5.1154557940716714</v>
      </c>
      <c r="GD720">
        <v>3.9679036742377076</v>
      </c>
      <c r="GE720">
        <v>1.3441421952025283</v>
      </c>
      <c r="GF720">
        <v>1.2613862803785265</v>
      </c>
      <c r="GG720">
        <v>1.7791509959019165</v>
      </c>
      <c r="GH720">
        <v>1.9871405252523333</v>
      </c>
      <c r="GI720">
        <v>4.2249591701705649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7.1644345238095237</v>
      </c>
      <c r="AO721">
        <v>8.7613212285838316</v>
      </c>
      <c r="AP721">
        <v>32.031113001804464</v>
      </c>
      <c r="AQ721">
        <v>30.783461357915257</v>
      </c>
      <c r="AR721">
        <v>8.0745199646290509</v>
      </c>
      <c r="AS721">
        <v>54.486460678303132</v>
      </c>
      <c r="AT721" t="e">
        <v>#DIV/0!</v>
      </c>
      <c r="AU721" t="e">
        <v>#DIV/0!</v>
      </c>
      <c r="AV721"/>
      <c r="AW721"/>
      <c r="FY721" s="210">
        <v>716</v>
      </c>
      <c r="FZ721">
        <v>0.2456818880042031</v>
      </c>
      <c r="GA721">
        <v>3.3244330809335505</v>
      </c>
      <c r="GB721">
        <v>2.5993374547252053</v>
      </c>
      <c r="GC721">
        <v>17.773097398153855</v>
      </c>
      <c r="GD721">
        <v>13.622881256740314</v>
      </c>
      <c r="GE721">
        <v>1.8516603081093841</v>
      </c>
      <c r="GF721">
        <v>0.5704949313633032</v>
      </c>
      <c r="GG721">
        <v>2.909227550198723</v>
      </c>
      <c r="GH721">
        <v>3.3119008754205557</v>
      </c>
      <c r="GI721">
        <v>11.210279777811554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8.4248511904761898</v>
      </c>
      <c r="AO722">
        <v>11.231260815273158</v>
      </c>
      <c r="AP722">
        <v>38.12894662247848</v>
      </c>
      <c r="AQ722">
        <v>36.530263476631198</v>
      </c>
      <c r="AR722">
        <v>10.365744071019892</v>
      </c>
      <c r="AS722">
        <v>55.372026278945079</v>
      </c>
      <c r="AT722" t="e">
        <v>#DIV/0!</v>
      </c>
      <c r="AU722" t="e">
        <v>#DIV/0!</v>
      </c>
      <c r="AV722"/>
      <c r="AW722"/>
      <c r="FY722" s="210">
        <v>717</v>
      </c>
      <c r="FZ722">
        <v>0.27886497278940114</v>
      </c>
      <c r="GA722">
        <v>0.32926738044752452</v>
      </c>
      <c r="GB722">
        <v>0</v>
      </c>
      <c r="GC722">
        <v>4.4588943206000238</v>
      </c>
      <c r="GD722">
        <v>3.6960098160700117</v>
      </c>
      <c r="GE722">
        <v>0.83853720041220592</v>
      </c>
      <c r="GF722">
        <v>0.19016497712110106</v>
      </c>
      <c r="GG722">
        <v>1.1300765542968063</v>
      </c>
      <c r="GH722">
        <v>1.3247603501682221</v>
      </c>
      <c r="GI722">
        <v>2.9725946178553611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6.3073298229548218</v>
      </c>
      <c r="AO723">
        <v>5.5152010282992299</v>
      </c>
      <c r="AP723">
        <v>21.075586806790788</v>
      </c>
      <c r="AQ723">
        <v>19.56806588119758</v>
      </c>
      <c r="AR723">
        <v>5.0632767361646707</v>
      </c>
      <c r="AS723">
        <v>25.67498684758862</v>
      </c>
      <c r="AT723" t="e">
        <v>#DIV/0!</v>
      </c>
      <c r="AU723" t="e">
        <v>#DIV/0!</v>
      </c>
      <c r="AV723"/>
      <c r="AW723"/>
      <c r="FY723" s="210">
        <v>718</v>
      </c>
      <c r="FZ723">
        <v>0.31204805757459919</v>
      </c>
      <c r="GA723">
        <v>2.4401503191546636</v>
      </c>
      <c r="GB723">
        <v>1.5809079458855146</v>
      </c>
      <c r="GC723">
        <v>4.1611872624475907</v>
      </c>
      <c r="GD723">
        <v>3.4550308451663456</v>
      </c>
      <c r="GE723">
        <v>1.1520508883253777</v>
      </c>
      <c r="GF723">
        <v>1.3311548398477075</v>
      </c>
      <c r="GG723">
        <v>1.6575084150855939</v>
      </c>
      <c r="GH723">
        <v>0.66238017508411107</v>
      </c>
      <c r="GI723">
        <v>3.2397141607923796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9.9811507936507926</v>
      </c>
      <c r="AO724">
        <v>8.0666463148183567</v>
      </c>
      <c r="AP724">
        <v>33.108877842328333</v>
      </c>
      <c r="AQ724">
        <v>29.973418412113759</v>
      </c>
      <c r="AR724">
        <v>7.4829743180133184</v>
      </c>
      <c r="AS724">
        <v>35.262563097563543</v>
      </c>
      <c r="AT724" t="e">
        <v>#DIV/0!</v>
      </c>
      <c r="AU724" t="e">
        <v>#DIV/0!</v>
      </c>
      <c r="AV724"/>
      <c r="AW724"/>
      <c r="FY724" s="210">
        <v>719</v>
      </c>
      <c r="FZ724">
        <v>0</v>
      </c>
      <c r="GA724">
        <v>1.0985160057987742</v>
      </c>
      <c r="GB724">
        <v>1.1084543081330289</v>
      </c>
      <c r="GC724">
        <v>13.771458872686919</v>
      </c>
      <c r="GD724">
        <v>9.9555388537354439</v>
      </c>
      <c r="GE724">
        <v>0.54252891209121246</v>
      </c>
      <c r="GF724">
        <v>1.2613862803785265</v>
      </c>
      <c r="GG724">
        <v>0.3361446578268279</v>
      </c>
      <c r="GH724">
        <v>0</v>
      </c>
      <c r="GI724">
        <v>7.7825667610429008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7.1180555555555545</v>
      </c>
      <c r="AO725">
        <v>9.396941342656131</v>
      </c>
      <c r="AP725">
        <v>26.397928670639839</v>
      </c>
      <c r="AQ725">
        <v>28.815259290379529</v>
      </c>
      <c r="AR725">
        <v>8.7170142325196043</v>
      </c>
      <c r="AS725">
        <v>32.786781473056976</v>
      </c>
      <c r="AT725" t="e">
        <v>#DIV/0!</v>
      </c>
      <c r="AU725" t="e">
        <v>#DIV/0!</v>
      </c>
      <c r="AV725"/>
      <c r="AW725"/>
      <c r="FY725" s="210">
        <v>720</v>
      </c>
      <c r="FZ725">
        <v>0.52454686079360424</v>
      </c>
      <c r="GA725">
        <v>0.61929245222837248</v>
      </c>
      <c r="GB725">
        <v>0.57206434372473558</v>
      </c>
      <c r="GC725">
        <v>4.1611872624475907</v>
      </c>
      <c r="GD725">
        <v>3.1966098986100433</v>
      </c>
      <c r="GE725">
        <v>1.7120852000087687</v>
      </c>
      <c r="GF725">
        <v>1.95227762939375</v>
      </c>
      <c r="GG725">
        <v>2.0920807796801988</v>
      </c>
      <c r="GH725">
        <v>2.6495207003364443</v>
      </c>
      <c r="GI725">
        <v>3.30140567248929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6.9526671245421241</v>
      </c>
      <c r="AO726">
        <v>7.1055963051990201</v>
      </c>
      <c r="AP726">
        <v>34.036555941861799</v>
      </c>
      <c r="AQ726">
        <v>28.697323174643756</v>
      </c>
      <c r="AR726">
        <v>6.53859703013479</v>
      </c>
      <c r="AS726">
        <v>33.349395025903462</v>
      </c>
      <c r="AT726" t="e">
        <v>#DIV/0!</v>
      </c>
      <c r="AU726" t="e">
        <v>#DIV/0!</v>
      </c>
      <c r="AV726"/>
      <c r="AW726"/>
      <c r="FY726" s="210">
        <v>721</v>
      </c>
      <c r="FZ726">
        <v>3.3183084785198033E-2</v>
      </c>
      <c r="GA726">
        <v>2.2259170751347761</v>
      </c>
      <c r="GB726">
        <v>2.1908201436285264</v>
      </c>
      <c r="GC726">
        <v>5.7197430380765777</v>
      </c>
      <c r="GD726">
        <v>4.3329060715139853</v>
      </c>
      <c r="GE726">
        <v>1.0131231076971783</v>
      </c>
      <c r="GF726">
        <v>0.19016497712110106</v>
      </c>
      <c r="GG726">
        <v>0.16807232891341395</v>
      </c>
      <c r="GH726">
        <v>0</v>
      </c>
      <c r="GI726">
        <v>3.6980476037175549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4.6047390109890109</v>
      </c>
      <c r="AO727">
        <v>3.4524582457448054</v>
      </c>
      <c r="AP727">
        <v>24.992898820982109</v>
      </c>
      <c r="AQ727">
        <v>19.089127367430798</v>
      </c>
      <c r="AR727">
        <v>3.0969209947285479</v>
      </c>
      <c r="AS727">
        <v>15.633954130211505</v>
      </c>
      <c r="AT727" t="e">
        <v>#DIV/0!</v>
      </c>
      <c r="AU727" t="e">
        <v>#DIV/0!</v>
      </c>
      <c r="AV727"/>
      <c r="AW727"/>
      <c r="FY727" s="210">
        <v>722</v>
      </c>
      <c r="FZ727">
        <v>0.52454686079360424</v>
      </c>
      <c r="GA727">
        <v>1.5924170764700607</v>
      </c>
      <c r="GB727">
        <v>1.0445179814772214</v>
      </c>
      <c r="GC727">
        <v>9.3128578550022496</v>
      </c>
      <c r="GD727">
        <v>7.6107513282472175</v>
      </c>
      <c r="GE727">
        <v>1.9536641714366936</v>
      </c>
      <c r="GF727">
        <v>0.19016497712110106</v>
      </c>
      <c r="GG727">
        <v>0.64907444160511019</v>
      </c>
      <c r="GH727">
        <v>0.66238017508411107</v>
      </c>
      <c r="GI727">
        <v>6.052498389394688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6.3073298229548227</v>
      </c>
      <c r="AO728">
        <v>5.9462597444688399</v>
      </c>
      <c r="AP728">
        <v>33.654312072162426</v>
      </c>
      <c r="AQ728">
        <v>26.405127800962216</v>
      </c>
      <c r="AR728">
        <v>5.3574152359255054</v>
      </c>
      <c r="AS728">
        <v>24.23600118610279</v>
      </c>
      <c r="AT728" t="e">
        <v>#DIV/0!</v>
      </c>
      <c r="AU728" t="e">
        <v>#DIV/0!</v>
      </c>
      <c r="AV728"/>
      <c r="AW728"/>
      <c r="FY728" s="210">
        <v>723</v>
      </c>
      <c r="FZ728">
        <v>0.73704566401260951</v>
      </c>
      <c r="GA728">
        <v>1.8431998395842322</v>
      </c>
      <c r="GB728">
        <v>1.0445179814772214</v>
      </c>
      <c r="GC728">
        <v>2.1211276509051977</v>
      </c>
      <c r="GD728">
        <v>1.9993108773168271</v>
      </c>
      <c r="GE728">
        <v>2.4116946197927751</v>
      </c>
      <c r="GF728">
        <v>1.95227762939375</v>
      </c>
      <c r="GG728">
        <v>0.16807232891341395</v>
      </c>
      <c r="GH728">
        <v>0</v>
      </c>
      <c r="GI728">
        <v>2.2675727396371572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7.3188530219780201</v>
      </c>
      <c r="AO729">
        <v>5.9252804459479442</v>
      </c>
      <c r="AP729">
        <v>34.256127770639452</v>
      </c>
      <c r="AQ729">
        <v>26.962152820146017</v>
      </c>
      <c r="AR729">
        <v>5.4436843592154265</v>
      </c>
      <c r="AS729">
        <v>29.141600384577345</v>
      </c>
      <c r="AT729" t="e">
        <v>#DIV/0!</v>
      </c>
      <c r="AU729" t="e">
        <v>#DIV/0!</v>
      </c>
      <c r="AV729"/>
      <c r="AW729"/>
      <c r="FY729" s="210">
        <v>724</v>
      </c>
      <c r="FZ729">
        <v>0.52454686079360424</v>
      </c>
      <c r="GA729">
        <v>3.5283090798239893</v>
      </c>
      <c r="GB729">
        <v>1.9633367843446625</v>
      </c>
      <c r="GC729">
        <v>13.912367478981547</v>
      </c>
      <c r="GD729">
        <v>10.707629584275773</v>
      </c>
      <c r="GE729">
        <v>1.8691657077015624</v>
      </c>
      <c r="GF729">
        <v>1.4515512574996277</v>
      </c>
      <c r="GG729">
        <v>1.9472233248153306</v>
      </c>
      <c r="GH729">
        <v>1.9871405252523333</v>
      </c>
      <c r="GI729">
        <v>8.9684299772759939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6.0739850427350426</v>
      </c>
      <c r="AO730">
        <v>7.7481293551634991</v>
      </c>
      <c r="AP730">
        <v>27.35658178918527</v>
      </c>
      <c r="AQ730">
        <v>26.641487634241525</v>
      </c>
      <c r="AR730">
        <v>7.0817736008683374</v>
      </c>
      <c r="AS730">
        <v>34.401978256473527</v>
      </c>
      <c r="AT730" t="e">
        <v>#DIV/0!</v>
      </c>
      <c r="AU730" t="e">
        <v>#DIV/0!</v>
      </c>
      <c r="AV730"/>
      <c r="AW730"/>
      <c r="FY730" s="210">
        <v>725</v>
      </c>
      <c r="FZ730">
        <v>3.3183084785198033E-2</v>
      </c>
      <c r="GA730">
        <v>7.5423848040976669</v>
      </c>
      <c r="GB730">
        <v>3.57349103079568</v>
      </c>
      <c r="GC730">
        <v>3.7554138390291882</v>
      </c>
      <c r="GD730">
        <v>4.0582320761497161</v>
      </c>
      <c r="GE730">
        <v>3.673251469376706</v>
      </c>
      <c r="GF730">
        <v>2.522772560757053</v>
      </c>
      <c r="GG730">
        <v>1.634293541037048</v>
      </c>
      <c r="GH730">
        <v>1.3247603501682221</v>
      </c>
      <c r="GI730">
        <v>4.4757485264880863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7.4110004578754571</v>
      </c>
      <c r="AO731">
        <v>6.9513384438787229</v>
      </c>
      <c r="AP731">
        <v>32.599832871395272</v>
      </c>
      <c r="AQ731">
        <v>27.82600749840093</v>
      </c>
      <c r="AR731">
        <v>6.3955006838265369</v>
      </c>
      <c r="AS731">
        <v>30.72684361778802</v>
      </c>
      <c r="AT731" t="e">
        <v>#DIV/0!</v>
      </c>
      <c r="AU731" t="e">
        <v>#DIV/0!</v>
      </c>
      <c r="AV731"/>
      <c r="AW731"/>
      <c r="FY731" s="210">
        <v>726</v>
      </c>
      <c r="FZ731">
        <v>0.2456818880042031</v>
      </c>
      <c r="GA731">
        <v>2.2259170751347761</v>
      </c>
      <c r="GB731">
        <v>2.0629474903169118</v>
      </c>
      <c r="GC731">
        <v>7.0100434357039383</v>
      </c>
      <c r="GD731">
        <v>5.5420555645558567</v>
      </c>
      <c r="GE731">
        <v>2.0437516149865345</v>
      </c>
      <c r="GF731">
        <v>0.88105632613632445</v>
      </c>
      <c r="GG731">
        <v>1.4430063380750886</v>
      </c>
      <c r="GH731">
        <v>1.9871405252523333</v>
      </c>
      <c r="GI731">
        <v>4.952672848297893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13.916704822954824</v>
      </c>
      <c r="AO732">
        <v>18.490840117700873</v>
      </c>
      <c r="AP732">
        <v>54.428694207904719</v>
      </c>
      <c r="AQ732">
        <v>57.418994521460647</v>
      </c>
      <c r="AR732">
        <v>17.152912910668714</v>
      </c>
      <c r="AS732">
        <v>107.27123255513538</v>
      </c>
      <c r="AT732" t="e">
        <v>#DIV/0!</v>
      </c>
      <c r="AU732" t="e">
        <v>#DIV/0!</v>
      </c>
      <c r="AV732"/>
      <c r="AW732"/>
      <c r="FY732" s="210">
        <v>727</v>
      </c>
      <c r="FZ732">
        <v>3.3183084785198033E-2</v>
      </c>
      <c r="GA732">
        <v>1.0123669329083649</v>
      </c>
      <c r="GB732">
        <v>1.6165823252019571</v>
      </c>
      <c r="GC732">
        <v>1.9612319410848975</v>
      </c>
      <c r="GD732">
        <v>1.5720742752020587</v>
      </c>
      <c r="GE732">
        <v>1.5925759370892807</v>
      </c>
      <c r="GF732">
        <v>1.2613862803785265</v>
      </c>
      <c r="GG732">
        <v>0.3361446578268279</v>
      </c>
      <c r="GH732">
        <v>0</v>
      </c>
      <c r="GI732">
        <v>1.7882267066411675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4.46875</v>
      </c>
      <c r="AO733">
        <v>4.8993285208298776</v>
      </c>
      <c r="AP733">
        <v>13.575900714961563</v>
      </c>
      <c r="AQ733">
        <v>15.219170189760659</v>
      </c>
      <c r="AR733">
        <v>4.5448316519757679</v>
      </c>
      <c r="AS733">
        <v>18.163808117124955</v>
      </c>
      <c r="AT733" t="e">
        <v>#DIV/0!</v>
      </c>
      <c r="AU733" t="e">
        <v>#DIV/0!</v>
      </c>
      <c r="AV733"/>
      <c r="AW733"/>
      <c r="FY733" s="210">
        <v>728</v>
      </c>
      <c r="FZ733">
        <v>6.6366169570396066E-2</v>
      </c>
      <c r="GA733">
        <v>2.7470757269442467</v>
      </c>
      <c r="GB733">
        <v>2.433616947395314</v>
      </c>
      <c r="GC733">
        <v>9.2938707514765753</v>
      </c>
      <c r="GD733">
        <v>6.4572430926801641</v>
      </c>
      <c r="GE733">
        <v>0.54252891209121246</v>
      </c>
      <c r="GF733">
        <v>1.0712213032574254</v>
      </c>
      <c r="GG733">
        <v>2.5730828923718949</v>
      </c>
      <c r="GH733">
        <v>3.3119008754205557</v>
      </c>
      <c r="GI733">
        <v>6.1033260455978979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5.8819444444444446</v>
      </c>
      <c r="AO734">
        <v>5.256678205777046</v>
      </c>
      <c r="AP734">
        <v>21.301136825099</v>
      </c>
      <c r="AQ734">
        <v>19.992132909363882</v>
      </c>
      <c r="AR734">
        <v>4.8763248662124727</v>
      </c>
      <c r="AS734">
        <v>25.601452921930289</v>
      </c>
      <c r="AT734" t="e">
        <v>#DIV/0!</v>
      </c>
      <c r="AU734" t="e">
        <v>#DIV/0!</v>
      </c>
      <c r="AV734"/>
      <c r="AW734"/>
      <c r="FY734" s="210">
        <v>729</v>
      </c>
      <c r="FZ734">
        <v>0.52454686079360424</v>
      </c>
      <c r="GA734">
        <v>5.338809701620832</v>
      </c>
      <c r="GB734">
        <v>3.3902836042810316</v>
      </c>
      <c r="GC734">
        <v>7.1377371802505776</v>
      </c>
      <c r="GD734">
        <v>5.4923110913158295</v>
      </c>
      <c r="GE734">
        <v>2.9542235318839873</v>
      </c>
      <c r="GF734">
        <v>2.6431689784089736</v>
      </c>
      <c r="GG734">
        <v>0.96200422538339236</v>
      </c>
      <c r="GH734">
        <v>1.3247603501682221</v>
      </c>
      <c r="GI734">
        <v>5.7936164785608888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8.8628472222222232</v>
      </c>
      <c r="AO735">
        <v>12.865388252853609</v>
      </c>
      <c r="AP735">
        <v>31.107973727083625</v>
      </c>
      <c r="AQ735">
        <v>35.856594651693641</v>
      </c>
      <c r="AR735">
        <v>11.881632232040717</v>
      </c>
      <c r="AS735">
        <v>71.299769949021666</v>
      </c>
      <c r="AT735" t="e">
        <v>#DIV/0!</v>
      </c>
      <c r="AU735" t="e">
        <v>#DIV/0!</v>
      </c>
      <c r="AV735"/>
      <c r="AW735"/>
      <c r="FY735" s="210">
        <v>730</v>
      </c>
      <c r="FZ735">
        <v>3.3183084785198033E-2</v>
      </c>
      <c r="GA735">
        <v>2.8228675547052076</v>
      </c>
      <c r="GB735">
        <v>1.3273361139641193</v>
      </c>
      <c r="GC735">
        <v>4.0178216739454671</v>
      </c>
      <c r="GD735">
        <v>3.6696599325948887</v>
      </c>
      <c r="GE735">
        <v>1.501222702895322</v>
      </c>
      <c r="GF735">
        <v>0.19016497712110106</v>
      </c>
      <c r="GG735">
        <v>0.64907444160511019</v>
      </c>
      <c r="GH735">
        <v>0.66238017508411107</v>
      </c>
      <c r="GI735">
        <v>3.2268945012285895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5.5381944444444446</v>
      </c>
      <c r="AO736">
        <v>5.3765750809940558</v>
      </c>
      <c r="AP736">
        <v>22.289748660897548</v>
      </c>
      <c r="AQ736">
        <v>20.781070799712801</v>
      </c>
      <c r="AR736">
        <v>4.8818160181508583</v>
      </c>
      <c r="AS736">
        <v>23.413469178823942</v>
      </c>
      <c r="AT736" t="e">
        <v>#DIV/0!</v>
      </c>
      <c r="AU736" t="e">
        <v>#DIV/0!</v>
      </c>
      <c r="AV736"/>
      <c r="AW736"/>
      <c r="FY736" s="210">
        <v>731</v>
      </c>
      <c r="FZ736">
        <v>0.31204805757459919</v>
      </c>
      <c r="GA736">
        <v>4.2402936958220572</v>
      </c>
      <c r="GB736">
        <v>1.8376376057348818</v>
      </c>
      <c r="GC736">
        <v>9.1827071282481132</v>
      </c>
      <c r="GD736">
        <v>7.1660727504798123</v>
      </c>
      <c r="GE736">
        <v>0.83853720041220592</v>
      </c>
      <c r="GF736">
        <v>0.38032995424220212</v>
      </c>
      <c r="GG736">
        <v>1.2981488832102204</v>
      </c>
      <c r="GH736">
        <v>1.3247603501682221</v>
      </c>
      <c r="GI736">
        <v>6.0727626787416229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6.6319826007326013</v>
      </c>
      <c r="AO737">
        <v>6.0807903770191505</v>
      </c>
      <c r="AP737">
        <v>19.930716200309295</v>
      </c>
      <c r="AQ737">
        <v>19.571977430588312</v>
      </c>
      <c r="AR737">
        <v>5.6408073998322363</v>
      </c>
      <c r="AS737">
        <v>27.476152678898416</v>
      </c>
      <c r="AT737" t="e">
        <v>#DIV/0!</v>
      </c>
      <c r="AU737" t="e">
        <v>#DIV/0!</v>
      </c>
      <c r="AV737"/>
      <c r="AW737"/>
      <c r="FY737" s="210">
        <v>732</v>
      </c>
      <c r="FZ737">
        <v>0.49136377600840619</v>
      </c>
      <c r="GA737">
        <v>2.4009080104879867</v>
      </c>
      <c r="GB737">
        <v>0.88097094884916438</v>
      </c>
      <c r="GC737">
        <v>2.1256910145206986</v>
      </c>
      <c r="GD737">
        <v>2.5899310932841706</v>
      </c>
      <c r="GE737">
        <v>2.6338550735119881</v>
      </c>
      <c r="GF737">
        <v>1.2613862803785265</v>
      </c>
      <c r="GG737">
        <v>0.81714677051852402</v>
      </c>
      <c r="GH737">
        <v>0.66238017508411107</v>
      </c>
      <c r="GI737">
        <v>2.4901461658833761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7.2678952991452972</v>
      </c>
      <c r="AO738">
        <v>10.015187746333636</v>
      </c>
      <c r="AP738">
        <v>26.3046023284478</v>
      </c>
      <c r="AQ738">
        <v>29.592873256632053</v>
      </c>
      <c r="AR738">
        <v>9.2905266663577333</v>
      </c>
      <c r="AS738">
        <v>52.806690702382753</v>
      </c>
      <c r="AT738" t="e">
        <v>#DIV/0!</v>
      </c>
      <c r="AU738" t="e">
        <v>#DIV/0!</v>
      </c>
      <c r="AV738"/>
      <c r="AW738"/>
      <c r="FY738" s="210">
        <v>733</v>
      </c>
      <c r="FZ738">
        <v>6.6366169570396066E-2</v>
      </c>
      <c r="GA738">
        <v>4.9233932482828973</v>
      </c>
      <c r="GB738">
        <v>2.882155587212103</v>
      </c>
      <c r="GC738">
        <v>6.0171567933136565</v>
      </c>
      <c r="GD738">
        <v>5.5761862488377254</v>
      </c>
      <c r="GE738">
        <v>4.3177842447952273</v>
      </c>
      <c r="GF738">
        <v>3.0234989326511759</v>
      </c>
      <c r="GG738">
        <v>2.7411552212853092</v>
      </c>
      <c r="GH738">
        <v>3.3119008754205557</v>
      </c>
      <c r="GI738">
        <v>5.8459386541014942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3.8928952991452994</v>
      </c>
      <c r="AO739">
        <v>3.7365848655121825</v>
      </c>
      <c r="AP739">
        <v>16.176782352777572</v>
      </c>
      <c r="AQ739">
        <v>14.544819331033185</v>
      </c>
      <c r="AR739">
        <v>3.3604892876481918</v>
      </c>
      <c r="AS739">
        <v>14.051311303936865</v>
      </c>
      <c r="AT739" t="e">
        <v>#DIV/0!</v>
      </c>
      <c r="AU739" t="e">
        <v>#DIV/0!</v>
      </c>
      <c r="AV739"/>
      <c r="AW739"/>
      <c r="FY739" s="210">
        <v>734</v>
      </c>
      <c r="FZ739">
        <v>0.27886497278940114</v>
      </c>
      <c r="GA739">
        <v>5.0591418749694324</v>
      </c>
      <c r="GB739">
        <v>2.2722433894690912</v>
      </c>
      <c r="GC739">
        <v>7.0397884187700992</v>
      </c>
      <c r="GD739">
        <v>6.4540614751853642</v>
      </c>
      <c r="GE739">
        <v>3.0937986399846031</v>
      </c>
      <c r="GF739">
        <v>0.88105632613632445</v>
      </c>
      <c r="GG739">
        <v>0.48100211269169618</v>
      </c>
      <c r="GH739">
        <v>0.66238017508411107</v>
      </c>
      <c r="GI739">
        <v>5.4965208752067349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11.789968711843709</v>
      </c>
      <c r="AO740">
        <v>14.789589658778013</v>
      </c>
      <c r="AP740">
        <v>44.939616156930754</v>
      </c>
      <c r="AQ740">
        <v>46.859700580764432</v>
      </c>
      <c r="AR740">
        <v>13.666605706924216</v>
      </c>
      <c r="AS740">
        <v>79.690561257898963</v>
      </c>
      <c r="AT740" t="e">
        <v>#DIV/0!</v>
      </c>
      <c r="AU740" t="e">
        <v>#DIV/0!</v>
      </c>
      <c r="AV740"/>
      <c r="AW740"/>
      <c r="FY740" s="210">
        <v>735</v>
      </c>
      <c r="FZ740">
        <v>0.55772994557880229</v>
      </c>
      <c r="GA740">
        <v>4.4152846311752683</v>
      </c>
      <c r="GB740">
        <v>2.371854095441341</v>
      </c>
      <c r="GC740">
        <v>9.8754297302784622</v>
      </c>
      <c r="GD740">
        <v>7.7028407995939236</v>
      </c>
      <c r="GE740">
        <v>1.8691657077015624</v>
      </c>
      <c r="GF740">
        <v>1.4515512574996277</v>
      </c>
      <c r="GG740">
        <v>2.909227550198723</v>
      </c>
      <c r="GH740">
        <v>3.3119008754205557</v>
      </c>
      <c r="GI740">
        <v>7.217577938660356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9.8948794261294246</v>
      </c>
      <c r="AO741">
        <v>7.2706448480030117</v>
      </c>
      <c r="AP741">
        <v>38.919459317039419</v>
      </c>
      <c r="AQ741">
        <v>32.593531282684566</v>
      </c>
      <c r="AR741">
        <v>6.638838065468998</v>
      </c>
      <c r="AS741">
        <v>32.316789143016337</v>
      </c>
      <c r="AT741" t="e">
        <v>#DIV/0!</v>
      </c>
      <c r="AU741" t="e">
        <v>#DIV/0!</v>
      </c>
      <c r="AV741"/>
      <c r="AW741"/>
      <c r="FY741" s="210">
        <v>736</v>
      </c>
      <c r="FZ741">
        <v>0.98272755201681239</v>
      </c>
      <c r="GA741">
        <v>6.9677762971851767</v>
      </c>
      <c r="GB741">
        <v>2.7564564086023227</v>
      </c>
      <c r="GC741">
        <v>8.0299247760375287</v>
      </c>
      <c r="GD741">
        <v>6.4109670532035343</v>
      </c>
      <c r="GE741">
        <v>1.5556520197883907</v>
      </c>
      <c r="GF741">
        <v>1.2613862803785265</v>
      </c>
      <c r="GG741">
        <v>0.81714677051852402</v>
      </c>
      <c r="GH741">
        <v>0.66238017508411107</v>
      </c>
      <c r="GI741">
        <v>5.8895148222973734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7.8009195665445645</v>
      </c>
      <c r="AO742">
        <v>8.0874899446690005</v>
      </c>
      <c r="AP742">
        <v>29.27577197366849</v>
      </c>
      <c r="AQ742">
        <v>28.39427310646386</v>
      </c>
      <c r="AR742">
        <v>7.4494445621106564</v>
      </c>
      <c r="AS742">
        <v>35.015653295325691</v>
      </c>
      <c r="AT742" t="e">
        <v>#DIV/0!</v>
      </c>
      <c r="AU742" t="e">
        <v>#DIV/0!</v>
      </c>
      <c r="AV742"/>
      <c r="AW742"/>
      <c r="FY742" s="210">
        <v>737</v>
      </c>
      <c r="FZ742">
        <v>0.2456818880042031</v>
      </c>
      <c r="GA742">
        <v>1.1377583144654506</v>
      </c>
      <c r="GB742">
        <v>0.40851731109667855</v>
      </c>
      <c r="GC742">
        <v>2.3024674464586727</v>
      </c>
      <c r="GD742">
        <v>2.0829550484475994</v>
      </c>
      <c r="GE742">
        <v>0.80161328311131574</v>
      </c>
      <c r="GF742">
        <v>0.76065990848440423</v>
      </c>
      <c r="GG742">
        <v>1.634293541037048</v>
      </c>
      <c r="GH742">
        <v>1.3247603501682221</v>
      </c>
      <c r="GI742">
        <v>2.0208213867824347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2.8072916666666665</v>
      </c>
      <c r="AO743">
        <v>2.9261826308220216</v>
      </c>
      <c r="AP743">
        <v>13.161889289401222</v>
      </c>
      <c r="AQ743">
        <v>11.173772141118279</v>
      </c>
      <c r="AR743">
        <v>2.6615899110466668</v>
      </c>
      <c r="AS743">
        <v>12.107145595156902</v>
      </c>
      <c r="AT743" t="e">
        <v>#DIV/0!</v>
      </c>
      <c r="AU743" t="e">
        <v>#DIV/0!</v>
      </c>
      <c r="AV743"/>
      <c r="AW743"/>
      <c r="FY743" s="210">
        <v>738</v>
      </c>
      <c r="FZ743">
        <v>0.27886497278940114</v>
      </c>
      <c r="GA743">
        <v>1.1770006231321273</v>
      </c>
      <c r="GB743">
        <v>0.40851731109667855</v>
      </c>
      <c r="GC743">
        <v>5.3298594602213569</v>
      </c>
      <c r="GD743">
        <v>4.5622619678551724</v>
      </c>
      <c r="GE743">
        <v>1.8322417904006723</v>
      </c>
      <c r="GF743">
        <v>1.2613862803785265</v>
      </c>
      <c r="GG743">
        <v>0.3361446578268279</v>
      </c>
      <c r="GH743">
        <v>0</v>
      </c>
      <c r="GI743">
        <v>3.672680611458897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6.8315972222222214</v>
      </c>
      <c r="AO744">
        <v>10.079087608776884</v>
      </c>
      <c r="AP744">
        <v>37.10744107479411</v>
      </c>
      <c r="AQ744">
        <v>34.600232716805678</v>
      </c>
      <c r="AR744">
        <v>9.2969377570159253</v>
      </c>
      <c r="AS744">
        <v>59.428858225539436</v>
      </c>
      <c r="AT744" t="e">
        <v>#DIV/0!</v>
      </c>
      <c r="AU744" t="e">
        <v>#DIV/0!</v>
      </c>
      <c r="AV744"/>
      <c r="AW744"/>
      <c r="FY744" s="210">
        <v>739</v>
      </c>
      <c r="FZ744">
        <v>3.3183084785198033E-2</v>
      </c>
      <c r="GA744">
        <v>1.2631496960225364</v>
      </c>
      <c r="GB744">
        <v>1.1723906347888362</v>
      </c>
      <c r="GC744">
        <v>1.993433906358558</v>
      </c>
      <c r="GD744">
        <v>2.3753020058556276</v>
      </c>
      <c r="GE744">
        <v>2.1651739960225558</v>
      </c>
      <c r="GF744">
        <v>0.38032995424220212</v>
      </c>
      <c r="GG744">
        <v>2.2601531085936126</v>
      </c>
      <c r="GH744">
        <v>2.6495207003364443</v>
      </c>
      <c r="GI744">
        <v>2.3386446189117298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9.3971115689865705</v>
      </c>
      <c r="AO745">
        <v>9.601100846342117</v>
      </c>
      <c r="AP745">
        <v>40.645657364680382</v>
      </c>
      <c r="AQ745">
        <v>35.561462002667341</v>
      </c>
      <c r="AR745">
        <v>8.7478058684610076</v>
      </c>
      <c r="AS745">
        <v>44.415241230521133</v>
      </c>
      <c r="AT745" t="e">
        <v>#DIV/0!</v>
      </c>
      <c r="AU745" t="e">
        <v>#DIV/0!</v>
      </c>
      <c r="AV745"/>
      <c r="AW745"/>
      <c r="FY745" s="210">
        <v>740</v>
      </c>
      <c r="FZ745">
        <v>0.73704566401260951</v>
      </c>
      <c r="GA745">
        <v>6.5627170889766919</v>
      </c>
      <c r="GB745">
        <v>3.8627372420335178</v>
      </c>
      <c r="GC745">
        <v>11.596338197935248</v>
      </c>
      <c r="GD745">
        <v>8.2996537566437638</v>
      </c>
      <c r="GE745">
        <v>0.31351368791317175</v>
      </c>
      <c r="GF745">
        <v>0.38032995424220212</v>
      </c>
      <c r="GG745">
        <v>0.81714677051852402</v>
      </c>
      <c r="GH745">
        <v>0.66238017508411107</v>
      </c>
      <c r="GI745">
        <v>7.383732509028766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5.4450167887667886</v>
      </c>
      <c r="AO746">
        <v>5.3680775152150968</v>
      </c>
      <c r="AP746">
        <v>18.755021268479119</v>
      </c>
      <c r="AQ746">
        <v>18.100605157929117</v>
      </c>
      <c r="AR746">
        <v>4.9796637432422042</v>
      </c>
      <c r="AS746">
        <v>20.634556462410156</v>
      </c>
      <c r="AT746" t="e">
        <v>#DIV/0!</v>
      </c>
      <c r="AU746" t="e">
        <v>#DIV/0!</v>
      </c>
      <c r="AV746"/>
      <c r="AW746"/>
      <c r="FY746" s="210">
        <v>741</v>
      </c>
      <c r="FZ746">
        <v>0.49136377600840619</v>
      </c>
      <c r="GA746">
        <v>1.67856614936047</v>
      </c>
      <c r="GB746">
        <v>1.6805186518577644</v>
      </c>
      <c r="GC746">
        <v>12.911473242173631</v>
      </c>
      <c r="GD746">
        <v>9.3775554826616023</v>
      </c>
      <c r="GE746">
        <v>0.488099595198144</v>
      </c>
      <c r="GF746">
        <v>0.76065990848440423</v>
      </c>
      <c r="GG746">
        <v>2.1152956537287446</v>
      </c>
      <c r="GH746">
        <v>1.9871405252523333</v>
      </c>
      <c r="GI746">
        <v>7.7345422084334947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9.1969246031746028</v>
      </c>
      <c r="AO747">
        <v>10.057237707010389</v>
      </c>
      <c r="AP747">
        <v>32.60776080843582</v>
      </c>
      <c r="AQ747">
        <v>32.653298304633942</v>
      </c>
      <c r="AR747">
        <v>9.3295340510300431</v>
      </c>
      <c r="AS747">
        <v>54.139260214069495</v>
      </c>
      <c r="AT747" t="e">
        <v>#DIV/0!</v>
      </c>
      <c r="AU747" t="e">
        <v>#DIV/0!</v>
      </c>
      <c r="AV747"/>
      <c r="AW747"/>
      <c r="FY747" s="210">
        <v>742</v>
      </c>
      <c r="FZ747">
        <v>0.55772994557880229</v>
      </c>
      <c r="GA747">
        <v>6.5916021525139197</v>
      </c>
      <c r="GB747">
        <v>2.8203927352581299</v>
      </c>
      <c r="GC747">
        <v>4.4526998046750386</v>
      </c>
      <c r="GD747">
        <v>3.602365010239498</v>
      </c>
      <c r="GE747">
        <v>0.62702737582634349</v>
      </c>
      <c r="GF747">
        <v>0.38032995424220212</v>
      </c>
      <c r="GG747">
        <v>1.2981488832102204</v>
      </c>
      <c r="GH747">
        <v>1.3247603501682221</v>
      </c>
      <c r="GI747">
        <v>3.6843710528999236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4.4026442307692308</v>
      </c>
      <c r="AO748">
        <v>4.0459973739607822</v>
      </c>
      <c r="AP748">
        <v>17.161038707929219</v>
      </c>
      <c r="AQ748">
        <v>16.353779308526956</v>
      </c>
      <c r="AR748">
        <v>3.700379097631787</v>
      </c>
      <c r="AS748">
        <v>21.028950277714209</v>
      </c>
      <c r="AT748" t="e">
        <v>#DIV/0!</v>
      </c>
      <c r="AU748" t="e">
        <v>#DIV/0!</v>
      </c>
      <c r="AV748"/>
      <c r="AW748"/>
      <c r="FY748" s="210">
        <v>743</v>
      </c>
      <c r="FZ748">
        <v>0.55772994557880229</v>
      </c>
      <c r="GA748">
        <v>2.5944267642489769</v>
      </c>
      <c r="GB748">
        <v>1.4908831465921764</v>
      </c>
      <c r="GC748">
        <v>3.5608591817277273</v>
      </c>
      <c r="GD748">
        <v>2.8421684393370841</v>
      </c>
      <c r="GE748">
        <v>0.94054106373951529</v>
      </c>
      <c r="GF748">
        <v>0.76065990848440423</v>
      </c>
      <c r="GG748">
        <v>1.634293541037048</v>
      </c>
      <c r="GH748">
        <v>1.3247603501682221</v>
      </c>
      <c r="GI748">
        <v>3.0733122939110262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9.7790560134310134</v>
      </c>
      <c r="AO749">
        <v>9.5460530998967759</v>
      </c>
      <c r="AP749">
        <v>43.873261252777013</v>
      </c>
      <c r="AQ749">
        <v>38.705535975470539</v>
      </c>
      <c r="AR749">
        <v>8.6967411686044791</v>
      </c>
      <c r="AS749">
        <v>47.5600415384637</v>
      </c>
      <c r="AT749" t="e">
        <v>#DIV/0!</v>
      </c>
      <c r="AU749" t="e">
        <v>#DIV/0!</v>
      </c>
      <c r="AV749"/>
      <c r="AW749"/>
      <c r="FY749" s="210">
        <v>744</v>
      </c>
      <c r="FZ749">
        <v>3.3183084785198033E-2</v>
      </c>
      <c r="GA749">
        <v>3.6706007973898105</v>
      </c>
      <c r="GB749">
        <v>2.8799821125102687</v>
      </c>
      <c r="GC749">
        <v>10.581367194056799</v>
      </c>
      <c r="GD749">
        <v>8.284057774891787</v>
      </c>
      <c r="GE749">
        <v>1.7778124735076037</v>
      </c>
      <c r="GF749">
        <v>0.5704949313633032</v>
      </c>
      <c r="GG749">
        <v>1.9472233248153306</v>
      </c>
      <c r="GH749">
        <v>1.9871405252523333</v>
      </c>
      <c r="GI749">
        <v>7.1468092783188073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8.5648084554334538</v>
      </c>
      <c r="AO750">
        <v>8.9899400925684727</v>
      </c>
      <c r="AP750">
        <v>31.875287902592106</v>
      </c>
      <c r="AQ750">
        <v>31.718858260286854</v>
      </c>
      <c r="AR750">
        <v>8.2865968328893835</v>
      </c>
      <c r="AS750">
        <v>40.247655512730873</v>
      </c>
      <c r="AT750" t="e">
        <v>#DIV/0!</v>
      </c>
      <c r="AU750" t="e">
        <v>#DIV/0!</v>
      </c>
      <c r="AV750"/>
      <c r="AW750"/>
      <c r="FY750" s="210">
        <v>745</v>
      </c>
      <c r="FZ750">
        <v>0.62409611514919827</v>
      </c>
      <c r="GA750">
        <v>2.5578772451546929</v>
      </c>
      <c r="GB750">
        <v>1.4530352925739001</v>
      </c>
      <c r="GC750">
        <v>8.1600755027916687</v>
      </c>
      <c r="GD750">
        <v>6.3246077153327693</v>
      </c>
      <c r="GE750">
        <v>1.5925759370892807</v>
      </c>
      <c r="GF750">
        <v>0.88105632613632445</v>
      </c>
      <c r="GG750">
        <v>1.9240084507667847</v>
      </c>
      <c r="GH750">
        <v>2.6495207003364443</v>
      </c>
      <c r="GI750">
        <v>5.6944101076721569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9.9114964896214897</v>
      </c>
      <c r="AO751">
        <v>11.948553900424471</v>
      </c>
      <c r="AP751">
        <v>44.104730397545424</v>
      </c>
      <c r="AQ751">
        <v>41.682562531548619</v>
      </c>
      <c r="AR751">
        <v>11.031136543330943</v>
      </c>
      <c r="AS751">
        <v>64.073021415520131</v>
      </c>
      <c r="AT751" t="e">
        <v>#DIV/0!</v>
      </c>
      <c r="AU751" t="e">
        <v>#DIV/0!</v>
      </c>
      <c r="AV751"/>
      <c r="AW751"/>
      <c r="FY751" s="210">
        <v>746</v>
      </c>
      <c r="FZ751">
        <v>0.27886497278940114</v>
      </c>
      <c r="GA751">
        <v>6.2623347720663949</v>
      </c>
      <c r="GB751">
        <v>2.8203927352581299</v>
      </c>
      <c r="GC751">
        <v>5.7460974602648927</v>
      </c>
      <c r="GD751">
        <v>4.9283314182404627</v>
      </c>
      <c r="GE751">
        <v>2.4486185370936648</v>
      </c>
      <c r="GF751">
        <v>2.1424426065148507</v>
      </c>
      <c r="GG751">
        <v>2.7411552212853092</v>
      </c>
      <c r="GH751">
        <v>3.3119008754205557</v>
      </c>
      <c r="GI751">
        <v>5.2228786968938321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10.882726648351646</v>
      </c>
      <c r="AO752">
        <v>9.7008615832398988</v>
      </c>
      <c r="AP752">
        <v>37.839335056372455</v>
      </c>
      <c r="AQ752">
        <v>35.333932155112301</v>
      </c>
      <c r="AR752">
        <v>8.9460787351819864</v>
      </c>
      <c r="AS752">
        <v>48.031808012073142</v>
      </c>
      <c r="AT752" t="e">
        <v>#DIV/0!</v>
      </c>
      <c r="AU752" t="e">
        <v>#DIV/0!</v>
      </c>
      <c r="AV752"/>
      <c r="AW752"/>
      <c r="FY752" s="210">
        <v>747</v>
      </c>
      <c r="FZ752">
        <v>0.52454686079360424</v>
      </c>
      <c r="GA752">
        <v>2.9313586002535579</v>
      </c>
      <c r="GB752">
        <v>1.1106277828348627</v>
      </c>
      <c r="GC752">
        <v>6.2985517317556114</v>
      </c>
      <c r="GD752">
        <v>5.2254168233567064</v>
      </c>
      <c r="GE752">
        <v>1.2897128783094598</v>
      </c>
      <c r="GF752">
        <v>0.19016497712110106</v>
      </c>
      <c r="GG752">
        <v>1.6110786669885027</v>
      </c>
      <c r="GH752">
        <v>1.9871405252523333</v>
      </c>
      <c r="GI752">
        <v>4.6757624094379429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3.3199786324786325</v>
      </c>
      <c r="AO753">
        <v>3.3146743578571565</v>
      </c>
      <c r="AP753">
        <v>13.518609943590816</v>
      </c>
      <c r="AQ753">
        <v>12.719528478056031</v>
      </c>
      <c r="AR753">
        <v>3.0748370666578451</v>
      </c>
      <c r="AS753">
        <v>15.380178547173523</v>
      </c>
      <c r="AT753" t="e">
        <v>#DIV/0!</v>
      </c>
      <c r="AU753" t="e">
        <v>#DIV/0!</v>
      </c>
      <c r="AV753"/>
      <c r="AW753"/>
      <c r="FY753" s="210">
        <v>748</v>
      </c>
      <c r="FZ753">
        <v>0.2456818880042031</v>
      </c>
      <c r="GA753">
        <v>1.1377583144654506</v>
      </c>
      <c r="GB753">
        <v>0.40851731109667855</v>
      </c>
      <c r="GC753">
        <v>8.1922774680653294</v>
      </c>
      <c r="GD753">
        <v>6.8872910615023386</v>
      </c>
      <c r="GE753">
        <v>2.2196033129156243</v>
      </c>
      <c r="GF753">
        <v>1.2613862803785265</v>
      </c>
      <c r="GG753">
        <v>1.2981488832102204</v>
      </c>
      <c r="GH753">
        <v>1.3247603501682221</v>
      </c>
      <c r="GI753">
        <v>5.4895730923306587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6.124332264957264</v>
      </c>
      <c r="AO754">
        <v>6.0236786059803631</v>
      </c>
      <c r="AP754">
        <v>16.894034750611166</v>
      </c>
      <c r="AQ754">
        <v>18.858957675159662</v>
      </c>
      <c r="AR754">
        <v>5.5349628008039407</v>
      </c>
      <c r="AS754">
        <v>23.554798874893173</v>
      </c>
      <c r="AT754" t="e">
        <v>#DIV/0!</v>
      </c>
      <c r="AU754" t="e">
        <v>#DIV/0!</v>
      </c>
      <c r="AV754"/>
      <c r="AW754"/>
      <c r="FY754" s="210">
        <v>749</v>
      </c>
      <c r="FZ754">
        <v>0.49136377600840619</v>
      </c>
      <c r="GA754">
        <v>0.70544152511878155</v>
      </c>
      <c r="GB754">
        <v>1.2080650141052784</v>
      </c>
      <c r="GC754">
        <v>6.2851188683999277</v>
      </c>
      <c r="GD754">
        <v>4.7509742624986488</v>
      </c>
      <c r="GE754">
        <v>1.5556520197883907</v>
      </c>
      <c r="GF754">
        <v>1.2613862803785265</v>
      </c>
      <c r="GG754">
        <v>1.2981488832102204</v>
      </c>
      <c r="GH754">
        <v>1.3247603501682221</v>
      </c>
      <c r="GI754">
        <v>4.232361140632741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4.1602564102564106</v>
      </c>
      <c r="AO755">
        <v>3.7198388091902927</v>
      </c>
      <c r="AP755">
        <v>18.162452517900029</v>
      </c>
      <c r="AQ755">
        <v>16.631281705917299</v>
      </c>
      <c r="AR755">
        <v>3.4506853517535188</v>
      </c>
      <c r="AS755">
        <v>17.950381394395894</v>
      </c>
      <c r="AT755" t="e">
        <v>#DIV/0!</v>
      </c>
      <c r="AU755" t="e">
        <v>#DIV/0!</v>
      </c>
      <c r="AV755"/>
      <c r="AW755"/>
      <c r="FY755" s="210">
        <v>750</v>
      </c>
      <c r="FZ755">
        <v>0.2456818880042031</v>
      </c>
      <c r="GA755">
        <v>5.1349337027303932</v>
      </c>
      <c r="GB755">
        <v>2.3100912434873679</v>
      </c>
      <c r="GC755">
        <v>5.1589842412930134</v>
      </c>
      <c r="GD755">
        <v>4.7225747850943209</v>
      </c>
      <c r="GE755">
        <v>2.936718132291809</v>
      </c>
      <c r="GF755">
        <v>1.7621126522726489</v>
      </c>
      <c r="GG755">
        <v>0.48100211269169618</v>
      </c>
      <c r="GH755">
        <v>0.66238017508411107</v>
      </c>
      <c r="GI755">
        <v>4.4591789380496136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11.450396825396824</v>
      </c>
      <c r="AO756">
        <v>12.224393623024536</v>
      </c>
      <c r="AP756">
        <v>42.730027208636791</v>
      </c>
      <c r="AQ756">
        <v>40.615595046388606</v>
      </c>
      <c r="AR756">
        <v>11.33988276718417</v>
      </c>
      <c r="AS756">
        <v>45.124230236305166</v>
      </c>
      <c r="AT756" t="e">
        <v>#DIV/0!</v>
      </c>
      <c r="AU756" t="e">
        <v>#DIV/0!</v>
      </c>
      <c r="AV756"/>
      <c r="AW756"/>
      <c r="FY756" s="210">
        <v>751</v>
      </c>
      <c r="FZ756">
        <v>0.2456818880042031</v>
      </c>
      <c r="GA756">
        <v>1.1377583144654506</v>
      </c>
      <c r="GB756">
        <v>0.98058165482141413</v>
      </c>
      <c r="GC756">
        <v>6.8798927089498001</v>
      </c>
      <c r="GD756">
        <v>5.4556962266850926</v>
      </c>
      <c r="GE756">
        <v>1.6576558831156998</v>
      </c>
      <c r="GF756">
        <v>1.0712213032574254</v>
      </c>
      <c r="GG756">
        <v>0.64907444160511019</v>
      </c>
      <c r="GH756">
        <v>0.66238017508411107</v>
      </c>
      <c r="GI756">
        <v>4.4338672066460827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10.285256410256409</v>
      </c>
      <c r="AO757">
        <v>12.730387398020671</v>
      </c>
      <c r="AP757">
        <v>36.808785790957387</v>
      </c>
      <c r="AQ757">
        <v>39.225215193158988</v>
      </c>
      <c r="AR757">
        <v>11.809264747700066</v>
      </c>
      <c r="AS757">
        <v>49.214775098438508</v>
      </c>
      <c r="AT757" t="e">
        <v>#DIV/0!</v>
      </c>
      <c r="AU757" t="e">
        <v>#DIV/0!</v>
      </c>
      <c r="AV757"/>
      <c r="AW757"/>
      <c r="FY757" s="210">
        <v>752</v>
      </c>
      <c r="FZ757">
        <v>0.52454686079360424</v>
      </c>
      <c r="GA757">
        <v>1.9685912211413181</v>
      </c>
      <c r="GB757">
        <v>1.808391305169379</v>
      </c>
      <c r="GC757">
        <v>10.743719886084598</v>
      </c>
      <c r="GD757">
        <v>7.9530463589238165</v>
      </c>
      <c r="GE757">
        <v>1.8866711072937405</v>
      </c>
      <c r="GF757">
        <v>2.1424426065148507</v>
      </c>
      <c r="GG757">
        <v>0.3361446578268279</v>
      </c>
      <c r="GH757">
        <v>0</v>
      </c>
      <c r="GI757">
        <v>6.6210986666691172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9.5540674603174605</v>
      </c>
      <c r="AO758">
        <v>6.0368354603134433</v>
      </c>
      <c r="AP758">
        <v>29.765924304865617</v>
      </c>
      <c r="AQ758">
        <v>25.339427264612304</v>
      </c>
      <c r="AR758">
        <v>5.6000328945393729</v>
      </c>
      <c r="AS758">
        <v>26.510330789542749</v>
      </c>
      <c r="AT758" t="e">
        <v>#DIV/0!</v>
      </c>
      <c r="AU758" t="e">
        <v>#DIV/0!</v>
      </c>
      <c r="AV758"/>
      <c r="AW758"/>
      <c r="FY758" s="210">
        <v>753</v>
      </c>
      <c r="FZ758">
        <v>0.27886497278940114</v>
      </c>
      <c r="GA758">
        <v>6.2623347720663949</v>
      </c>
      <c r="GB758">
        <v>3.9645214227076013</v>
      </c>
      <c r="GC758">
        <v>6.6853380516483387</v>
      </c>
      <c r="GD758">
        <v>4.7608120895877946</v>
      </c>
      <c r="GE758">
        <v>2.6951391608638842</v>
      </c>
      <c r="GF758">
        <v>3.9045552587875001</v>
      </c>
      <c r="GG758">
        <v>1.7791509959019165</v>
      </c>
      <c r="GH758">
        <v>1.9871405252523333</v>
      </c>
      <c r="GI758">
        <v>5.7753850263754574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5.4890873015873014</v>
      </c>
      <c r="AO759">
        <v>5.1641688122582892</v>
      </c>
      <c r="AP759">
        <v>21.584989770965915</v>
      </c>
      <c r="AQ759">
        <v>18.77963463482498</v>
      </c>
      <c r="AR759">
        <v>4.7905091022804172</v>
      </c>
      <c r="AS759">
        <v>25.826141455103084</v>
      </c>
      <c r="AT759" t="e">
        <v>#DIV/0!</v>
      </c>
      <c r="AU759" t="e">
        <v>#DIV/0!</v>
      </c>
      <c r="AV759"/>
      <c r="AW759"/>
      <c r="FY759" s="210">
        <v>754</v>
      </c>
      <c r="FZ759">
        <v>0.49136377600840619</v>
      </c>
      <c r="GA759">
        <v>2.5262993920450727</v>
      </c>
      <c r="GB759">
        <v>1.5169716192297074</v>
      </c>
      <c r="GC759">
        <v>11.190564774516844</v>
      </c>
      <c r="GD759">
        <v>8.9349275722249999</v>
      </c>
      <c r="GE759">
        <v>2.3572653028997061</v>
      </c>
      <c r="GF759">
        <v>1.2613862803785265</v>
      </c>
      <c r="GG759">
        <v>0.81714677051852402</v>
      </c>
      <c r="GH759">
        <v>0.66238017508411107</v>
      </c>
      <c r="GI759">
        <v>7.305063593422779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9.5809676434676412</v>
      </c>
      <c r="AO760">
        <v>11.770105464991762</v>
      </c>
      <c r="AP760">
        <v>39.381070311099876</v>
      </c>
      <c r="AQ760">
        <v>38.878671496891236</v>
      </c>
      <c r="AR760">
        <v>10.918465180882896</v>
      </c>
      <c r="AS760">
        <v>54.560131345637437</v>
      </c>
      <c r="AT760" t="e">
        <v>#DIV/0!</v>
      </c>
      <c r="AU760" t="e">
        <v>#DIV/0!</v>
      </c>
      <c r="AV760"/>
      <c r="AW760"/>
      <c r="FY760" s="210">
        <v>755</v>
      </c>
      <c r="FZ760">
        <v>0.52454686079360424</v>
      </c>
      <c r="GA760">
        <v>2.6909330822688351</v>
      </c>
      <c r="GB760">
        <v>1.5809079458855146</v>
      </c>
      <c r="GC760">
        <v>3.5740740434757123</v>
      </c>
      <c r="GD760">
        <v>2.44193878775343</v>
      </c>
      <c r="GE760">
        <v>0</v>
      </c>
      <c r="GF760">
        <v>0.76065990848440423</v>
      </c>
      <c r="GG760">
        <v>2.1152956537287446</v>
      </c>
      <c r="GH760">
        <v>1.9871405252523333</v>
      </c>
      <c r="GI760">
        <v>2.7179583770016285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7.098958333333333</v>
      </c>
      <c r="AO761">
        <v>9.3965456941746108</v>
      </c>
      <c r="AP761">
        <v>32.277953879381734</v>
      </c>
      <c r="AQ761">
        <v>31.86126339300322</v>
      </c>
      <c r="AR761">
        <v>8.6637819920787553</v>
      </c>
      <c r="AS761">
        <v>57.144352113935923</v>
      </c>
      <c r="AT761" t="e">
        <v>#DIV/0!</v>
      </c>
      <c r="AU761" t="e">
        <v>#DIV/0!</v>
      </c>
      <c r="AV761"/>
      <c r="AW761"/>
      <c r="FY761" s="210">
        <v>756</v>
      </c>
      <c r="FZ761">
        <v>0.73704566401260951</v>
      </c>
      <c r="GA761">
        <v>4.9926419851645711</v>
      </c>
      <c r="GB761">
        <v>2.5375746027712318</v>
      </c>
      <c r="GC761">
        <v>7.032127797192107</v>
      </c>
      <c r="GD761">
        <v>5.7466243442589278</v>
      </c>
      <c r="GE761">
        <v>1.5381466201962124</v>
      </c>
      <c r="GF761">
        <v>0.38032995424220212</v>
      </c>
      <c r="GG761">
        <v>0.3361446578268279</v>
      </c>
      <c r="GH761">
        <v>0</v>
      </c>
      <c r="GI761">
        <v>4.9748601447635874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10.477678571428569</v>
      </c>
      <c r="AO762">
        <v>8.5220550052569219</v>
      </c>
      <c r="AP762">
        <v>41.554231498811689</v>
      </c>
      <c r="AQ762">
        <v>35.903017295827489</v>
      </c>
      <c r="AR762">
        <v>7.7997009200644607</v>
      </c>
      <c r="AS762">
        <v>41.262822925634318</v>
      </c>
      <c r="AT762" t="e">
        <v>#DIV/0!</v>
      </c>
      <c r="AU762" t="e">
        <v>#DIV/0!</v>
      </c>
      <c r="AV762"/>
      <c r="AW762"/>
      <c r="FY762" s="210">
        <v>757</v>
      </c>
      <c r="FZ762">
        <v>0.27886497278940114</v>
      </c>
      <c r="GA762">
        <v>2.3905507653585385</v>
      </c>
      <c r="GB762">
        <v>0.98275512952324828</v>
      </c>
      <c r="GC762">
        <v>10.494744914524002</v>
      </c>
      <c r="GD762">
        <v>8.525567532182535</v>
      </c>
      <c r="GE762">
        <v>2.1175994495883153</v>
      </c>
      <c r="GF762">
        <v>1.4515512574996277</v>
      </c>
      <c r="GG762">
        <v>0.98521909943193808</v>
      </c>
      <c r="GH762">
        <v>0.66238017508411107</v>
      </c>
      <c r="GI762">
        <v>6.7975714068910023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7.1707112332112333</v>
      </c>
      <c r="AO763">
        <v>7.8008584378057737</v>
      </c>
      <c r="AP763">
        <v>26.229184286702843</v>
      </c>
      <c r="AQ763">
        <v>25.844361256103678</v>
      </c>
      <c r="AR763">
        <v>7.2364178458309585</v>
      </c>
      <c r="AS763">
        <v>29.687541703566804</v>
      </c>
      <c r="AT763" t="e">
        <v>#DIV/0!</v>
      </c>
      <c r="AU763" t="e">
        <v>#DIV/0!</v>
      </c>
      <c r="AV763"/>
      <c r="AW763"/>
      <c r="FY763" s="210">
        <v>758</v>
      </c>
      <c r="FZ763">
        <v>0.37841422714499523</v>
      </c>
      <c r="GA763">
        <v>0.82316845111881132</v>
      </c>
      <c r="GB763">
        <v>0.19180897996742202</v>
      </c>
      <c r="GC763">
        <v>3.0059479280295092</v>
      </c>
      <c r="GD763">
        <v>2.7044674279229373</v>
      </c>
      <c r="GE763">
        <v>1.0500470249980682</v>
      </c>
      <c r="GF763">
        <v>0.19016497712110106</v>
      </c>
      <c r="GG763">
        <v>1.1300765542968063</v>
      </c>
      <c r="GH763">
        <v>1.3247603501682221</v>
      </c>
      <c r="GI763">
        <v>2.3964386823637529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6.755208333333333</v>
      </c>
      <c r="AO764">
        <v>8.9738845466936485</v>
      </c>
      <c r="AP764">
        <v>25.478782954184297</v>
      </c>
      <c r="AQ764">
        <v>28.464997962137254</v>
      </c>
      <c r="AR764">
        <v>8.2717030055472485</v>
      </c>
      <c r="AS764">
        <v>55.6429698683853</v>
      </c>
      <c r="AT764" t="e">
        <v>#DIV/0!</v>
      </c>
      <c r="AU764" t="e">
        <v>#DIV/0!</v>
      </c>
      <c r="AV764"/>
      <c r="AW764"/>
      <c r="FY764" s="210">
        <v>759</v>
      </c>
      <c r="FZ764">
        <v>0.77022874879780745</v>
      </c>
      <c r="GA764">
        <v>3.6929427700477513</v>
      </c>
      <c r="GB764">
        <v>1.899400457688855</v>
      </c>
      <c r="GC764">
        <v>3.8579259641251666</v>
      </c>
      <c r="GD764">
        <v>3.3966083770933562</v>
      </c>
      <c r="GE764">
        <v>2.0806755322874251</v>
      </c>
      <c r="GF764">
        <v>0.88105632613632445</v>
      </c>
      <c r="GG764">
        <v>0.48100211269169618</v>
      </c>
      <c r="GH764">
        <v>0.66238017508411107</v>
      </c>
      <c r="GI764">
        <v>3.3533206674362543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5.981436965811965</v>
      </c>
      <c r="AO765">
        <v>6.9315996633605819</v>
      </c>
      <c r="AP765">
        <v>22.915510445814004</v>
      </c>
      <c r="AQ765">
        <v>23.113272120309144</v>
      </c>
      <c r="AR765">
        <v>6.3771901267596176</v>
      </c>
      <c r="AS765">
        <v>27.187585025970982</v>
      </c>
      <c r="AT765" t="e">
        <v>#DIV/0!</v>
      </c>
      <c r="AU765" t="e">
        <v>#DIV/0!</v>
      </c>
      <c r="AV765"/>
      <c r="AW765"/>
      <c r="FY765" s="210">
        <v>760</v>
      </c>
      <c r="FZ765">
        <v>0.27886497278940114</v>
      </c>
      <c r="GA765">
        <v>2.1501252473738157</v>
      </c>
      <c r="GB765">
        <v>1.4530352925739001</v>
      </c>
      <c r="GC765">
        <v>4.4481364410595372</v>
      </c>
      <c r="GD765">
        <v>3.3386485166269191</v>
      </c>
      <c r="GE765">
        <v>1.0675524245902468</v>
      </c>
      <c r="GF765">
        <v>1.4515512574996277</v>
      </c>
      <c r="GG765">
        <v>0.98521909943193808</v>
      </c>
      <c r="GH765">
        <v>0.66238017508411107</v>
      </c>
      <c r="GI765">
        <v>3.2386684991494477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8.0412087912087902</v>
      </c>
      <c r="AO766">
        <v>7.2943695007056419</v>
      </c>
      <c r="AP766">
        <v>30.30593772705955</v>
      </c>
      <c r="AQ766">
        <v>27.873657870999178</v>
      </c>
      <c r="AR766">
        <v>6.6608460920948147</v>
      </c>
      <c r="AS766">
        <v>35.291978548919332</v>
      </c>
      <c r="AT766" t="e">
        <v>#DIV/0!</v>
      </c>
      <c r="AU766" t="e">
        <v>#DIV/0!</v>
      </c>
      <c r="AV766"/>
      <c r="AW766"/>
      <c r="FY766" s="210">
        <v>761</v>
      </c>
      <c r="FZ766">
        <v>0.52454686079360424</v>
      </c>
      <c r="GA766">
        <v>1.5924170764700607</v>
      </c>
      <c r="GB766">
        <v>2.760711012651428</v>
      </c>
      <c r="GC766">
        <v>12.961934393147725</v>
      </c>
      <c r="GD766">
        <v>8.9426777827136483</v>
      </c>
      <c r="GE766">
        <v>0.85604260000438437</v>
      </c>
      <c r="GF766">
        <v>1.2613862803785265</v>
      </c>
      <c r="GG766">
        <v>0.81714677051852402</v>
      </c>
      <c r="GH766">
        <v>0.66238017508411107</v>
      </c>
      <c r="GI766">
        <v>7.5981873039558181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6.210603632478632</v>
      </c>
      <c r="AO767">
        <v>7.2263908226919229</v>
      </c>
      <c r="AP767">
        <v>21.414822567743748</v>
      </c>
      <c r="AQ767">
        <v>23.173809802634388</v>
      </c>
      <c r="AR767">
        <v>6.6506513135233831</v>
      </c>
      <c r="AS767">
        <v>30.200984659397172</v>
      </c>
      <c r="AT767" t="e">
        <v>#DIV/0!</v>
      </c>
      <c r="AU767" t="e">
        <v>#DIV/0!</v>
      </c>
      <c r="AV767"/>
      <c r="AW767"/>
      <c r="FY767" s="210">
        <v>762</v>
      </c>
      <c r="FZ767">
        <v>0.2456818880042031</v>
      </c>
      <c r="GA767">
        <v>1.5139324591367078</v>
      </c>
      <c r="GB767">
        <v>0.60032629106410051</v>
      </c>
      <c r="GC767">
        <v>3.3030147104269485</v>
      </c>
      <c r="GD767">
        <v>2.7056552813660084</v>
      </c>
      <c r="GE767">
        <v>0.52502351249903412</v>
      </c>
      <c r="GF767">
        <v>0.76065990848440423</v>
      </c>
      <c r="GG767">
        <v>1.634293541037048</v>
      </c>
      <c r="GH767">
        <v>1.3247603501682221</v>
      </c>
      <c r="GI767">
        <v>2.4532397979971168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9.3303952991452981</v>
      </c>
      <c r="AO768">
        <v>10.8312213053735</v>
      </c>
      <c r="AP768">
        <v>31.872866771989944</v>
      </c>
      <c r="AQ768">
        <v>33.984652670417255</v>
      </c>
      <c r="AR768">
        <v>9.9417846864063719</v>
      </c>
      <c r="AS768">
        <v>43.392642578222812</v>
      </c>
      <c r="AT768" t="e">
        <v>#DIV/0!</v>
      </c>
      <c r="AU768" t="e">
        <v>#DIV/0!</v>
      </c>
      <c r="AV768"/>
      <c r="AW768"/>
      <c r="FY768" s="210">
        <v>763</v>
      </c>
      <c r="FZ768">
        <v>0.2456818880042031</v>
      </c>
      <c r="GA768">
        <v>0.41541645333793364</v>
      </c>
      <c r="GB768">
        <v>0.63600067038054287</v>
      </c>
      <c r="GC768">
        <v>5.5791814046215915</v>
      </c>
      <c r="GD768">
        <v>4.3060657717417197</v>
      </c>
      <c r="GE768">
        <v>1.3810661125034183</v>
      </c>
      <c r="GF768">
        <v>1.0712213032574254</v>
      </c>
      <c r="GG768">
        <v>0.64907444160511019</v>
      </c>
      <c r="GH768">
        <v>0.66238017508411107</v>
      </c>
      <c r="GI768">
        <v>3.7246219713708992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10.324900793650794</v>
      </c>
      <c r="AO769">
        <v>9.5808665179893175</v>
      </c>
      <c r="AP769">
        <v>46.41633977362509</v>
      </c>
      <c r="AQ769">
        <v>38.093242275980629</v>
      </c>
      <c r="AR769">
        <v>8.676170399939199</v>
      </c>
      <c r="AS769">
        <v>42.368783847381707</v>
      </c>
      <c r="AT769" t="e">
        <v>#DIV/0!</v>
      </c>
      <c r="AU769" t="e">
        <v>#DIV/0!</v>
      </c>
      <c r="AV769"/>
      <c r="AW769"/>
      <c r="FY769" s="210">
        <v>764</v>
      </c>
      <c r="FZ769">
        <v>0.52454686079360424</v>
      </c>
      <c r="GA769">
        <v>0.61929245222837248</v>
      </c>
      <c r="GB769">
        <v>1.7161930311742066</v>
      </c>
      <c r="GC769">
        <v>5.9496556048038425</v>
      </c>
      <c r="GD769">
        <v>4.2476433036687293</v>
      </c>
      <c r="GE769">
        <v>2.098180931879603</v>
      </c>
      <c r="GF769">
        <v>2.3326075836359519</v>
      </c>
      <c r="GG769">
        <v>1.4662212121236342</v>
      </c>
      <c r="GH769">
        <v>1.3247603501682221</v>
      </c>
      <c r="GI769">
        <v>4.4471040952949288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9.3847489316239301</v>
      </c>
      <c r="AO770">
        <v>12.04270420437854</v>
      </c>
      <c r="AP770">
        <v>34.215476033691331</v>
      </c>
      <c r="AQ770">
        <v>37.063369256328677</v>
      </c>
      <c r="AR770">
        <v>11.118474487629706</v>
      </c>
      <c r="AS770">
        <v>60.211759720403577</v>
      </c>
      <c r="AT770" t="e">
        <v>#DIV/0!</v>
      </c>
      <c r="AU770" t="e">
        <v>#DIV/0!</v>
      </c>
      <c r="AV770"/>
      <c r="AW770"/>
      <c r="FY770" s="210">
        <v>765</v>
      </c>
      <c r="FZ770">
        <v>3.3183084785198033E-2</v>
      </c>
      <c r="GA770">
        <v>7.5423848040976669</v>
      </c>
      <c r="GB770">
        <v>3.57349103079568</v>
      </c>
      <c r="GC770">
        <v>7.8921134277053966</v>
      </c>
      <c r="GD770">
        <v>6.8056964843007695</v>
      </c>
      <c r="GE770">
        <v>2.5687751274855688</v>
      </c>
      <c r="GF770">
        <v>1.4515512574996277</v>
      </c>
      <c r="GG770">
        <v>1.4662212121236342</v>
      </c>
      <c r="GH770">
        <v>1.3247603501682221</v>
      </c>
      <c r="GI770">
        <v>6.3645258410240677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4.8506944444444446</v>
      </c>
      <c r="AO771">
        <v>4.4437045922875953</v>
      </c>
      <c r="AP771">
        <v>21.403105517269264</v>
      </c>
      <c r="AQ771">
        <v>18.393455184644207</v>
      </c>
      <c r="AR771">
        <v>4.1221749464634456</v>
      </c>
      <c r="AS771">
        <v>20.51274870134079</v>
      </c>
      <c r="AT771" t="e">
        <v>#DIV/0!</v>
      </c>
      <c r="AU771" t="e">
        <v>#DIV/0!</v>
      </c>
      <c r="AV771"/>
      <c r="AW771"/>
      <c r="FY771" s="210">
        <v>766</v>
      </c>
      <c r="FZ771">
        <v>0.2456818880042031</v>
      </c>
      <c r="GA771">
        <v>1.1377583144654506</v>
      </c>
      <c r="GB771">
        <v>2.1247103422708853</v>
      </c>
      <c r="GC771">
        <v>12.280538273065055</v>
      </c>
      <c r="GD771">
        <v>9.1289354139247525</v>
      </c>
      <c r="GE771">
        <v>1.32663679561035</v>
      </c>
      <c r="GF771">
        <v>0.19016497712110106</v>
      </c>
      <c r="GG771">
        <v>1.1300765542968063</v>
      </c>
      <c r="GH771">
        <v>1.3247603501682221</v>
      </c>
      <c r="GI771">
        <v>7.404248210191728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9.3398199023199027</v>
      </c>
      <c r="AO772">
        <v>8.1765881612021154</v>
      </c>
      <c r="AP772">
        <v>29.030245545541156</v>
      </c>
      <c r="AQ772">
        <v>28.275495770428279</v>
      </c>
      <c r="AR772">
        <v>7.5849611884991806</v>
      </c>
      <c r="AS772">
        <v>30.92000873430986</v>
      </c>
      <c r="AT772" t="e">
        <v>#DIV/0!</v>
      </c>
      <c r="AU772" t="e">
        <v>#DIV/0!</v>
      </c>
      <c r="AV772"/>
      <c r="AW772"/>
      <c r="FY772" s="210">
        <v>767</v>
      </c>
      <c r="FZ772">
        <v>0.2456818880042031</v>
      </c>
      <c r="GA772">
        <v>4.1721663236181534</v>
      </c>
      <c r="GB772">
        <v>1.8637260783724128</v>
      </c>
      <c r="GC772">
        <v>14.956443190171164</v>
      </c>
      <c r="GD772">
        <v>11.722344081551425</v>
      </c>
      <c r="GE772">
        <v>3.5336763612760898</v>
      </c>
      <c r="GF772">
        <v>4.2848852130297015</v>
      </c>
      <c r="GG772">
        <v>2.1152956537287446</v>
      </c>
      <c r="GH772">
        <v>1.9871405252523333</v>
      </c>
      <c r="GI772">
        <v>10.096788489703293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9.9908234126984112</v>
      </c>
      <c r="AO773">
        <v>11.157079713229319</v>
      </c>
      <c r="AP773">
        <v>31.470371138191403</v>
      </c>
      <c r="AQ773">
        <v>34.68680470287272</v>
      </c>
      <c r="AR773">
        <v>10.2969304327603</v>
      </c>
      <c r="AS773">
        <v>55.001113040132402</v>
      </c>
      <c r="AT773" t="e">
        <v>#DIV/0!</v>
      </c>
      <c r="AU773" t="e">
        <v>#DIV/0!</v>
      </c>
      <c r="AV773"/>
      <c r="AW773"/>
      <c r="FY773" s="210">
        <v>768</v>
      </c>
      <c r="FZ773">
        <v>3.3183084785198033E-2</v>
      </c>
      <c r="GA773">
        <v>3.6706007973898105</v>
      </c>
      <c r="GB773">
        <v>1.7358534250607978</v>
      </c>
      <c r="GC773">
        <v>4.4586010176846704</v>
      </c>
      <c r="GD773">
        <v>4.0279411498202364</v>
      </c>
      <c r="GE773">
        <v>3.0918855218680692</v>
      </c>
      <c r="GF773">
        <v>3.213663909772277</v>
      </c>
      <c r="GG773">
        <v>1.9472233248153306</v>
      </c>
      <c r="GH773">
        <v>1.9871405252523333</v>
      </c>
      <c r="GI773">
        <v>4.2132814092399959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3.9340277777777777</v>
      </c>
      <c r="AO774">
        <v>3.9873970058610047</v>
      </c>
      <c r="AP774">
        <v>12.800569154901053</v>
      </c>
      <c r="AQ774">
        <v>13.195294603131627</v>
      </c>
      <c r="AR774">
        <v>3.6988840499638256</v>
      </c>
      <c r="AS774">
        <v>14.698294901556018</v>
      </c>
      <c r="AT774" t="e">
        <v>#DIV/0!</v>
      </c>
      <c r="AU774" t="e">
        <v>#DIV/0!</v>
      </c>
      <c r="AV774"/>
      <c r="AW774"/>
      <c r="FY774" s="210">
        <v>769</v>
      </c>
      <c r="FZ774">
        <v>0.73704566401260951</v>
      </c>
      <c r="GA774">
        <v>5.714983846292089</v>
      </c>
      <c r="GB774">
        <v>2.882155587212103</v>
      </c>
      <c r="GC774">
        <v>12.618676520476338</v>
      </c>
      <c r="GD774">
        <v>10.007768580725941</v>
      </c>
      <c r="GE774">
        <v>3.4423231270821315</v>
      </c>
      <c r="GF774">
        <v>3.9743238182566811</v>
      </c>
      <c r="GG774">
        <v>1.6575084150855939</v>
      </c>
      <c r="GH774">
        <v>0.66238017508411107</v>
      </c>
      <c r="GI774">
        <v>8.9470375735946828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6.7656631562881557</v>
      </c>
      <c r="AO775">
        <v>5.5121781955316864</v>
      </c>
      <c r="AP775">
        <v>23.127438887691728</v>
      </c>
      <c r="AQ775">
        <v>21.075541131388746</v>
      </c>
      <c r="AR775">
        <v>5.0604726241354081</v>
      </c>
      <c r="AS775">
        <v>23.188175579235047</v>
      </c>
      <c r="AT775" t="e">
        <v>#DIV/0!</v>
      </c>
      <c r="AU775" t="e">
        <v>#DIV/0!</v>
      </c>
      <c r="AV775"/>
      <c r="AW775"/>
      <c r="FY775" s="210">
        <v>770</v>
      </c>
      <c r="FZ775">
        <v>0.55772994557880229</v>
      </c>
      <c r="GA775">
        <v>3.0959922904773203</v>
      </c>
      <c r="GB775">
        <v>1.7466284532154059</v>
      </c>
      <c r="GC775">
        <v>10.600354297582474</v>
      </c>
      <c r="GD775">
        <v>8.1670183792963691</v>
      </c>
      <c r="GE775">
        <v>1.69457980041659</v>
      </c>
      <c r="GF775">
        <v>0.88105632613632445</v>
      </c>
      <c r="GG775">
        <v>0.96200422538339236</v>
      </c>
      <c r="GH775">
        <v>1.3247603501682221</v>
      </c>
      <c r="GI775">
        <v>6.9177402368824978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5.2517361111111125</v>
      </c>
      <c r="AO776">
        <v>5.3228820800394221</v>
      </c>
      <c r="AP776">
        <v>20.571886833154011</v>
      </c>
      <c r="AQ776">
        <v>19.074181926178944</v>
      </c>
      <c r="AR776">
        <v>4.8848732591147543</v>
      </c>
      <c r="AS776">
        <v>24.656133034630113</v>
      </c>
      <c r="AT776" t="e">
        <v>#DIV/0!</v>
      </c>
      <c r="AU776" t="e">
        <v>#DIV/0!</v>
      </c>
      <c r="AV776"/>
      <c r="AW776"/>
      <c r="FY776" s="210">
        <v>771</v>
      </c>
      <c r="FZ776">
        <v>0.34523114235979718</v>
      </c>
      <c r="GA776">
        <v>3.1913772438194083</v>
      </c>
      <c r="GB776">
        <v>3.0435291451383262</v>
      </c>
      <c r="GC776">
        <v>9.9834960955444334</v>
      </c>
      <c r="GD776">
        <v>7.1534917354637875</v>
      </c>
      <c r="GE776">
        <v>1.3441421952025283</v>
      </c>
      <c r="GF776">
        <v>1.2613862803785265</v>
      </c>
      <c r="GG776">
        <v>1.2981488832102204</v>
      </c>
      <c r="GH776">
        <v>1.3247603501682221</v>
      </c>
      <c r="GI776">
        <v>6.5450357506750825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8.9010416666666661</v>
      </c>
      <c r="AO777">
        <v>12.523004478523116</v>
      </c>
      <c r="AP777">
        <v>36.753507172415375</v>
      </c>
      <c r="AQ777">
        <v>37.977430255717827</v>
      </c>
      <c r="AR777">
        <v>11.564022051771246</v>
      </c>
      <c r="AS777">
        <v>63.863317701240518</v>
      </c>
      <c r="AT777" t="e">
        <v>#DIV/0!</v>
      </c>
      <c r="AU777" t="e">
        <v>#DIV/0!</v>
      </c>
      <c r="AV777"/>
      <c r="AW777"/>
      <c r="FY777" s="210">
        <v>772</v>
      </c>
      <c r="FZ777">
        <v>0.77022874879780745</v>
      </c>
      <c r="GA777">
        <v>6.727350779200453</v>
      </c>
      <c r="GB777">
        <v>3.3546092249645891</v>
      </c>
      <c r="GC777">
        <v>3.8610232220876588</v>
      </c>
      <c r="GD777">
        <v>3.3049534921663151</v>
      </c>
      <c r="GE777">
        <v>1.9060896250024524</v>
      </c>
      <c r="GF777">
        <v>1.0712213032574254</v>
      </c>
      <c r="GG777">
        <v>1.6110786669885027</v>
      </c>
      <c r="GH777">
        <v>1.9871405252523333</v>
      </c>
      <c r="GI777">
        <v>3.9660094014595546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4.5451388888888875</v>
      </c>
      <c r="AO778">
        <v>3.9804715990516719</v>
      </c>
      <c r="AP778">
        <v>15.489880895721754</v>
      </c>
      <c r="AQ778">
        <v>15.066587740183795</v>
      </c>
      <c r="AR778">
        <v>3.6924597393800305</v>
      </c>
      <c r="AS778">
        <v>19.442504371653367</v>
      </c>
      <c r="AT778" t="e">
        <v>#DIV/0!</v>
      </c>
      <c r="AU778" t="e">
        <v>#DIV/0!</v>
      </c>
      <c r="AV778"/>
      <c r="AW778"/>
      <c r="FY778" s="210">
        <v>773</v>
      </c>
      <c r="FZ778">
        <v>6.6366169570396066E-2</v>
      </c>
      <c r="GA778">
        <v>3.9502686240412093</v>
      </c>
      <c r="GB778">
        <v>1.8376376057348818</v>
      </c>
      <c r="GC778">
        <v>4.8588202009330814</v>
      </c>
      <c r="GD778">
        <v>4.5360872408936945</v>
      </c>
      <c r="GE778">
        <v>3.0756459129200082</v>
      </c>
      <c r="GF778">
        <v>2.522772560757053</v>
      </c>
      <c r="GG778">
        <v>1.634293541037048</v>
      </c>
      <c r="GH778">
        <v>1.3247603501682221</v>
      </c>
      <c r="GI778">
        <v>4.5605881133448731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4.4565972222222223</v>
      </c>
      <c r="AO779">
        <v>6.1898429151430552</v>
      </c>
      <c r="AP779">
        <v>17.76413681960981</v>
      </c>
      <c r="AQ779">
        <v>18.670710191906956</v>
      </c>
      <c r="AR779">
        <v>5.689104089452079</v>
      </c>
      <c r="AS779">
        <v>23.04183611894436</v>
      </c>
      <c r="AT779" t="e">
        <v>#DIV/0!</v>
      </c>
      <c r="AU779" t="e">
        <v>#DIV/0!</v>
      </c>
      <c r="AV779"/>
      <c r="AW779"/>
      <c r="FY779" s="210">
        <v>774</v>
      </c>
      <c r="FZ779">
        <v>0.27886497278940114</v>
      </c>
      <c r="GA779">
        <v>3.9606258691706584</v>
      </c>
      <c r="GB779">
        <v>1.7358534250607978</v>
      </c>
      <c r="GC779">
        <v>3.7523165810666956</v>
      </c>
      <c r="GD779">
        <v>3.8729323853921609</v>
      </c>
      <c r="GE779">
        <v>2.7446268254146586</v>
      </c>
      <c r="GF779">
        <v>1.2613862803785265</v>
      </c>
      <c r="GG779">
        <v>0.3361446578268279</v>
      </c>
      <c r="GH779">
        <v>0</v>
      </c>
      <c r="GI779">
        <v>3.4236863938631203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5.6185897435897427</v>
      </c>
      <c r="AO780">
        <v>7.4230648780826467</v>
      </c>
      <c r="AP780">
        <v>27.034256161873479</v>
      </c>
      <c r="AQ780">
        <v>24.726205425771095</v>
      </c>
      <c r="AR780">
        <v>6.7802295590493653</v>
      </c>
      <c r="AS780">
        <v>34.106255509478835</v>
      </c>
      <c r="AT780" t="e">
        <v>#DIV/0!</v>
      </c>
      <c r="AU780" t="e">
        <v>#DIV/0!</v>
      </c>
      <c r="AV780"/>
      <c r="AW780"/>
      <c r="FY780" s="210">
        <v>775</v>
      </c>
      <c r="FZ780">
        <v>0.52454686079360424</v>
      </c>
      <c r="GA780">
        <v>1.7178084580271467</v>
      </c>
      <c r="GB780">
        <v>1.1084543081330289</v>
      </c>
      <c r="GC780">
        <v>7.8816488510802643</v>
      </c>
      <c r="GD780">
        <v>6.5432058668025554</v>
      </c>
      <c r="GE780">
        <v>2.4961930835279058</v>
      </c>
      <c r="GF780">
        <v>1.6417162346207288</v>
      </c>
      <c r="GG780">
        <v>2.1152956537287446</v>
      </c>
      <c r="GH780">
        <v>1.9871405252523333</v>
      </c>
      <c r="GI780">
        <v>5.8376139182978566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10.459649725274724</v>
      </c>
      <c r="AO781">
        <v>10.478080820339256</v>
      </c>
      <c r="AP781">
        <v>42.991520179557</v>
      </c>
      <c r="AQ781">
        <v>39.022702619985829</v>
      </c>
      <c r="AR781">
        <v>9.6670613298938228</v>
      </c>
      <c r="AS781">
        <v>55.966268565143736</v>
      </c>
      <c r="AT781" t="e">
        <v>#DIV/0!</v>
      </c>
      <c r="AU781" t="e">
        <v>#DIV/0!</v>
      </c>
      <c r="AV781"/>
      <c r="AW781"/>
      <c r="FY781" s="210">
        <v>776</v>
      </c>
      <c r="FZ781">
        <v>0.2456818880042031</v>
      </c>
      <c r="GA781">
        <v>0.54080783489501949</v>
      </c>
      <c r="GB781">
        <v>1.8440656844858212</v>
      </c>
      <c r="GC781">
        <v>8.4144757432903141</v>
      </c>
      <c r="GD781">
        <v>6.6527373138018984</v>
      </c>
      <c r="GE781">
        <v>3.2502318202049807</v>
      </c>
      <c r="GF781">
        <v>2.1424426065148507</v>
      </c>
      <c r="GG781">
        <v>2.7411552212853092</v>
      </c>
      <c r="GH781">
        <v>3.3119008754205557</v>
      </c>
      <c r="GI781">
        <v>6.3667009859859789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8.0769230769230766</v>
      </c>
      <c r="AO782">
        <v>12.207061755318026</v>
      </c>
      <c r="AP782">
        <v>33.585446222805331</v>
      </c>
      <c r="AQ782">
        <v>36.293511119118556</v>
      </c>
      <c r="AR782">
        <v>11.323804967827483</v>
      </c>
      <c r="AS782">
        <v>68.277787563646541</v>
      </c>
      <c r="AT782" t="e">
        <v>#DIV/0!</v>
      </c>
      <c r="AU782" t="e">
        <v>#DIV/0!</v>
      </c>
      <c r="AV782"/>
      <c r="AW782"/>
      <c r="FY782" s="210">
        <v>777</v>
      </c>
      <c r="FZ782">
        <v>3.3183084785198033E-2</v>
      </c>
      <c r="GA782">
        <v>4.1618090784887043</v>
      </c>
      <c r="GB782">
        <v>3.1096389464959677</v>
      </c>
      <c r="GC782">
        <v>9.4316820998087092</v>
      </c>
      <c r="GD782">
        <v>7.4551737547607679</v>
      </c>
      <c r="GE782">
        <v>1.8147363908084939</v>
      </c>
      <c r="GF782">
        <v>0.38032995424220212</v>
      </c>
      <c r="GG782">
        <v>1.7791509959019165</v>
      </c>
      <c r="GH782">
        <v>1.9871405252523333</v>
      </c>
      <c r="GI782">
        <v>6.575658148520624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13.874503968253967</v>
      </c>
      <c r="AO783">
        <v>16.547799879058974</v>
      </c>
      <c r="AP783">
        <v>53.732180626986334</v>
      </c>
      <c r="AQ783">
        <v>54.978147804707518</v>
      </c>
      <c r="AR783">
        <v>15.13900283135818</v>
      </c>
      <c r="AS783">
        <v>66.375553022770006</v>
      </c>
      <c r="AT783" t="e">
        <v>#DIV/0!</v>
      </c>
      <c r="AU783" t="e">
        <v>#DIV/0!</v>
      </c>
      <c r="AV783"/>
      <c r="AW783"/>
      <c r="FY783" s="210">
        <v>778</v>
      </c>
      <c r="FZ783">
        <v>0.27886497278940114</v>
      </c>
      <c r="GA783">
        <v>4.3264427687124662</v>
      </c>
      <c r="GB783">
        <v>2.4736382761154245</v>
      </c>
      <c r="GC783">
        <v>4.1510696586620979</v>
      </c>
      <c r="GD783">
        <v>3.8684985788220168</v>
      </c>
      <c r="GE783">
        <v>3.2133079029040905</v>
      </c>
      <c r="GF783">
        <v>2.9031025149992553</v>
      </c>
      <c r="GG783">
        <v>1.9704381988638762</v>
      </c>
      <c r="GH783">
        <v>1.3247603501682221</v>
      </c>
      <c r="GI783">
        <v>4.3882611395839515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6.8431204212454206</v>
      </c>
      <c r="AO784">
        <v>6.8254470301320227</v>
      </c>
      <c r="AP784">
        <v>31.83279641288928</v>
      </c>
      <c r="AQ784">
        <v>28.379374165688716</v>
      </c>
      <c r="AR784">
        <v>6.172987857134391</v>
      </c>
      <c r="AS784">
        <v>31.982573427214316</v>
      </c>
      <c r="AT784" t="e">
        <v>#DIV/0!</v>
      </c>
      <c r="AU784" t="e">
        <v>#DIV/0!</v>
      </c>
      <c r="AV784"/>
      <c r="AW784"/>
      <c r="FY784" s="210">
        <v>779</v>
      </c>
      <c r="FZ784">
        <v>0.2456818880042031</v>
      </c>
      <c r="GA784">
        <v>3.0736503178193786</v>
      </c>
      <c r="GB784">
        <v>1.899400457688855</v>
      </c>
      <c r="GC784">
        <v>2.2834803429329975</v>
      </c>
      <c r="GD784">
        <v>2.5619942234863964</v>
      </c>
      <c r="GE784">
        <v>2.7077029081137685</v>
      </c>
      <c r="GF784">
        <v>1.0712213032574254</v>
      </c>
      <c r="GG784">
        <v>2.0920807796801988</v>
      </c>
      <c r="GH784">
        <v>2.6495207003364443</v>
      </c>
      <c r="GI784">
        <v>2.9484094110446706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13.800423534798535</v>
      </c>
      <c r="AO785">
        <v>14.671043855700926</v>
      </c>
      <c r="AP785">
        <v>51.636445619068539</v>
      </c>
      <c r="AQ785">
        <v>50.644203307822281</v>
      </c>
      <c r="AR785">
        <v>13.4509069903152</v>
      </c>
      <c r="AS785">
        <v>75.139904397817688</v>
      </c>
      <c r="AT785" t="e">
        <v>#DIV/0!</v>
      </c>
      <c r="AU785" t="e">
        <v>#DIV/0!</v>
      </c>
      <c r="AV785"/>
      <c r="AW785"/>
      <c r="FY785" s="210">
        <v>780</v>
      </c>
      <c r="FZ785">
        <v>0.77022874879780745</v>
      </c>
      <c r="GA785">
        <v>6.8423849156280916</v>
      </c>
      <c r="GB785">
        <v>3.3924570789828659</v>
      </c>
      <c r="GC785">
        <v>10.300190257222541</v>
      </c>
      <c r="GD785">
        <v>7.5864584710544971</v>
      </c>
      <c r="GE785">
        <v>1.5731574193805689</v>
      </c>
      <c r="GF785">
        <v>2.1424426065148507</v>
      </c>
      <c r="GG785">
        <v>2.2601531085936126</v>
      </c>
      <c r="GH785">
        <v>2.6495207003364443</v>
      </c>
      <c r="GI785">
        <v>7.5594839890491921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9.990823412698413</v>
      </c>
      <c r="AO786">
        <v>11.448162797881491</v>
      </c>
      <c r="AP786">
        <v>34.702895672328381</v>
      </c>
      <c r="AQ786">
        <v>35.947864305137401</v>
      </c>
      <c r="AR786">
        <v>10.56695184709441</v>
      </c>
      <c r="AS786">
        <v>54.514567787532208</v>
      </c>
      <c r="AT786" t="e">
        <v>#DIV/0!</v>
      </c>
      <c r="AU786" t="e">
        <v>#DIV/0!</v>
      </c>
      <c r="AV786"/>
      <c r="AW786"/>
      <c r="FY786" s="210">
        <v>781</v>
      </c>
      <c r="FZ786">
        <v>0.55772994557880229</v>
      </c>
      <c r="GA786">
        <v>5.378052010287508</v>
      </c>
      <c r="GB786">
        <v>2.2461549168315607</v>
      </c>
      <c r="GC786">
        <v>12.350714445390066</v>
      </c>
      <c r="GD786">
        <v>9.7672241962419406</v>
      </c>
      <c r="GE786">
        <v>1.32663679561035</v>
      </c>
      <c r="GF786">
        <v>0.5704949313633032</v>
      </c>
      <c r="GG786">
        <v>1.9472233248153306</v>
      </c>
      <c r="GH786">
        <v>1.9871405252523333</v>
      </c>
      <c r="GI786">
        <v>8.1326910950148559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9.0330242673992664</v>
      </c>
      <c r="AO787">
        <v>10.833475194676774</v>
      </c>
      <c r="AP787">
        <v>37.273203443639915</v>
      </c>
      <c r="AQ787">
        <v>35.490598821960333</v>
      </c>
      <c r="AR787">
        <v>9.9967407123961571</v>
      </c>
      <c r="AS787">
        <v>53.913696663045187</v>
      </c>
      <c r="AT787" t="e">
        <v>#DIV/0!</v>
      </c>
      <c r="AU787" t="e">
        <v>#DIV/0!</v>
      </c>
      <c r="AV787"/>
      <c r="AW787"/>
      <c r="FY787" s="210">
        <v>782</v>
      </c>
      <c r="FZ787">
        <v>0</v>
      </c>
      <c r="GA787">
        <v>2.9090166275956166</v>
      </c>
      <c r="GB787">
        <v>1.9633367843446625</v>
      </c>
      <c r="GC787">
        <v>7.4506938082112013</v>
      </c>
      <c r="GD787">
        <v>6.5844770186397614</v>
      </c>
      <c r="GE787">
        <v>2.6163496739198098</v>
      </c>
      <c r="GF787">
        <v>0.38032995424220212</v>
      </c>
      <c r="GG787">
        <v>0.3361446578268279</v>
      </c>
      <c r="GH787">
        <v>0</v>
      </c>
      <c r="GI787">
        <v>5.2870351501433195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8.3618551587301582</v>
      </c>
      <c r="AO788">
        <v>6.5371183573081497</v>
      </c>
      <c r="AP788">
        <v>34.883590053680614</v>
      </c>
      <c r="AQ788">
        <v>28.559704989177092</v>
      </c>
      <c r="AR788">
        <v>6.0112519949855612</v>
      </c>
      <c r="AS788">
        <v>25.781210275654299</v>
      </c>
      <c r="AT788" t="e">
        <v>#DIV/0!</v>
      </c>
      <c r="AU788" t="e">
        <v>#DIV/0!</v>
      </c>
      <c r="AV788"/>
      <c r="AW788"/>
      <c r="FY788" s="210">
        <v>783</v>
      </c>
      <c r="FZ788">
        <v>0</v>
      </c>
      <c r="GA788">
        <v>4.8449086309495453</v>
      </c>
      <c r="GB788">
        <v>2.3100912434873679</v>
      </c>
      <c r="GC788">
        <v>12.06376526677812</v>
      </c>
      <c r="GD788">
        <v>9.9878424247244322</v>
      </c>
      <c r="GE788">
        <v>3.2502318202049807</v>
      </c>
      <c r="GF788">
        <v>2.1424426065148507</v>
      </c>
      <c r="GG788">
        <v>2.2601531085936126</v>
      </c>
      <c r="GH788">
        <v>2.6495207003364443</v>
      </c>
      <c r="GI788">
        <v>8.5603492168196951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7.6622023809523814</v>
      </c>
      <c r="AO789">
        <v>7.535802701913191</v>
      </c>
      <c r="AP789">
        <v>31.500592946575214</v>
      </c>
      <c r="AQ789">
        <v>28.367240319400469</v>
      </c>
      <c r="AR789">
        <v>6.8848101006361402</v>
      </c>
      <c r="AS789">
        <v>40.475226583848105</v>
      </c>
      <c r="AT789" t="e">
        <v>#DIV/0!</v>
      </c>
      <c r="AU789" t="e">
        <v>#DIV/0!</v>
      </c>
      <c r="AV789"/>
      <c r="AW789"/>
      <c r="FY789" s="210">
        <v>784</v>
      </c>
      <c r="FZ789">
        <v>9.9549254355594113E-2</v>
      </c>
      <c r="GA789">
        <v>0.2431183075571153</v>
      </c>
      <c r="GB789">
        <v>6.3936326655807327E-2</v>
      </c>
      <c r="GC789">
        <v>2.8650393217348848</v>
      </c>
      <c r="GD789">
        <v>2.8096612683195517</v>
      </c>
      <c r="GE789">
        <v>2.0080934883297616</v>
      </c>
      <c r="GF789">
        <v>1.4515512574996277</v>
      </c>
      <c r="GG789">
        <v>0.98521909943193808</v>
      </c>
      <c r="GH789">
        <v>0.66238017508411107</v>
      </c>
      <c r="GI789">
        <v>2.5235204680370411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6.84499007936508</v>
      </c>
      <c r="AO790">
        <v>5.5467185276617368</v>
      </c>
      <c r="AP790">
        <v>22.272543495161276</v>
      </c>
      <c r="AQ790">
        <v>21.366437390962851</v>
      </c>
      <c r="AR790">
        <v>5.0925137485603154</v>
      </c>
      <c r="AS790">
        <v>26.262403013295433</v>
      </c>
      <c r="AT790" t="e">
        <v>#DIV/0!</v>
      </c>
      <c r="AU790" t="e">
        <v>#DIV/0!</v>
      </c>
      <c r="AV790"/>
      <c r="AW790"/>
      <c r="FY790" s="210">
        <v>785</v>
      </c>
      <c r="FZ790">
        <v>0.52454686079360424</v>
      </c>
      <c r="GA790">
        <v>3.4029176982669034</v>
      </c>
      <c r="GB790">
        <v>3.0435291451383262</v>
      </c>
      <c r="GC790">
        <v>4.5347587205923334</v>
      </c>
      <c r="GD790">
        <v>2.9965833989398432</v>
      </c>
      <c r="GE790">
        <v>1.6100813366814588</v>
      </c>
      <c r="GF790">
        <v>1.95227762939375</v>
      </c>
      <c r="GG790">
        <v>1.6110786669885027</v>
      </c>
      <c r="GH790">
        <v>1.9871405252523333</v>
      </c>
      <c r="GI790">
        <v>3.8254688319003649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8.0057425213675213</v>
      </c>
      <c r="AO791">
        <v>9.6553632025345699</v>
      </c>
      <c r="AP791">
        <v>31.54048929847956</v>
      </c>
      <c r="AQ791">
        <v>31.853623760264171</v>
      </c>
      <c r="AR791">
        <v>8.9038724451028326</v>
      </c>
      <c r="AS791">
        <v>37.37229453134745</v>
      </c>
      <c r="AT791" t="e">
        <v>#DIV/0!</v>
      </c>
      <c r="AU791" t="e">
        <v>#DIV/0!</v>
      </c>
      <c r="AV791"/>
      <c r="AW791"/>
      <c r="FY791" s="210">
        <v>786</v>
      </c>
      <c r="FZ791">
        <v>0.2456818880042031</v>
      </c>
      <c r="GA791">
        <v>4.5379832231599613</v>
      </c>
      <c r="GB791">
        <v>2.0294465857023036</v>
      </c>
      <c r="GC791">
        <v>5.9017231093850455</v>
      </c>
      <c r="GD791">
        <v>5.2231323998881258</v>
      </c>
      <c r="GE791">
        <v>2.936718132291809</v>
      </c>
      <c r="GF791">
        <v>1.95227762939375</v>
      </c>
      <c r="GG791">
        <v>0.64907444160511019</v>
      </c>
      <c r="GH791">
        <v>0.66238017508411107</v>
      </c>
      <c r="GI791">
        <v>4.9602072001633175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8.3303952991452981</v>
      </c>
      <c r="AO792">
        <v>10.531919294125402</v>
      </c>
      <c r="AP792">
        <v>37.022747114607505</v>
      </c>
      <c r="AQ792">
        <v>35.51019997388893</v>
      </c>
      <c r="AR792">
        <v>9.6641390358979304</v>
      </c>
      <c r="AS792">
        <v>46.313444443904821</v>
      </c>
      <c r="AT792" t="e">
        <v>#DIV/0!</v>
      </c>
      <c r="AU792" t="e">
        <v>#DIV/0!</v>
      </c>
      <c r="AV792"/>
      <c r="AW792"/>
      <c r="FY792" s="210">
        <v>787</v>
      </c>
      <c r="FZ792">
        <v>6.6366169570396066E-2</v>
      </c>
      <c r="GA792">
        <v>2.8621098633718836</v>
      </c>
      <c r="GB792">
        <v>1.3273361139641193</v>
      </c>
      <c r="GC792">
        <v>9.9076316955521246</v>
      </c>
      <c r="GD792">
        <v>8.1791648078927306</v>
      </c>
      <c r="GE792">
        <v>2.3216071762429333</v>
      </c>
      <c r="GF792">
        <v>1.0712213032574254</v>
      </c>
      <c r="GG792">
        <v>0.16807232891341395</v>
      </c>
      <c r="GH792">
        <v>0</v>
      </c>
      <c r="GI792">
        <v>6.4879262670206428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9.7257707570207579</v>
      </c>
      <c r="AO793">
        <v>10.834791354417332</v>
      </c>
      <c r="AP793">
        <v>38.247984166603416</v>
      </c>
      <c r="AQ793">
        <v>36.728502979064913</v>
      </c>
      <c r="AR793">
        <v>10.050826859385282</v>
      </c>
      <c r="AS793">
        <v>55.770704790113264</v>
      </c>
      <c r="AT793" t="e">
        <v>#DIV/0!</v>
      </c>
      <c r="AU793" t="e">
        <v>#DIV/0!</v>
      </c>
      <c r="AV793"/>
      <c r="AW793"/>
      <c r="FY793" s="210">
        <v>788</v>
      </c>
      <c r="FZ793">
        <v>0.2456818880042031</v>
      </c>
      <c r="GA793">
        <v>4.1721663236181534</v>
      </c>
      <c r="GB793">
        <v>3.0078547658218833</v>
      </c>
      <c r="GC793">
        <v>9.4316820998087092</v>
      </c>
      <c r="GD793">
        <v>7.6272353634463066</v>
      </c>
      <c r="GE793">
        <v>2.7077029081137685</v>
      </c>
      <c r="GF793">
        <v>1.0712213032574254</v>
      </c>
      <c r="GG793">
        <v>0.64907444160511019</v>
      </c>
      <c r="GH793">
        <v>0.66238017508411107</v>
      </c>
      <c r="GI793">
        <v>6.6329238536946651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8.3368818681318686</v>
      </c>
      <c r="AO794">
        <v>7.2674772467766982</v>
      </c>
      <c r="AP794">
        <v>33.874184891491986</v>
      </c>
      <c r="AQ794">
        <v>28.898384361620799</v>
      </c>
      <c r="AR794">
        <v>6.635899659878727</v>
      </c>
      <c r="AS794">
        <v>29.838773267905253</v>
      </c>
      <c r="AT794" t="e">
        <v>#DIV/0!</v>
      </c>
      <c r="AU794" t="e">
        <v>#DIV/0!</v>
      </c>
      <c r="AV794"/>
      <c r="AW794"/>
      <c r="FY794" s="210">
        <v>789</v>
      </c>
      <c r="FZ794">
        <v>0.34523114235979718</v>
      </c>
      <c r="GA794">
        <v>2.9509517258346856</v>
      </c>
      <c r="GB794">
        <v>1.2255519332900358</v>
      </c>
      <c r="GC794">
        <v>7.0612325045032751</v>
      </c>
      <c r="GD794">
        <v>5.7478121977019985</v>
      </c>
      <c r="GE794">
        <v>2.098180931879603</v>
      </c>
      <c r="GF794">
        <v>2.522772560757053</v>
      </c>
      <c r="GG794">
        <v>1.634293541037048</v>
      </c>
      <c r="GH794">
        <v>1.3247603501682221</v>
      </c>
      <c r="GI794">
        <v>5.0636969194997032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5.3906631562881548</v>
      </c>
      <c r="AO795">
        <v>4.7918321337437977</v>
      </c>
      <c r="AP795">
        <v>25.379621002308681</v>
      </c>
      <c r="AQ795">
        <v>21.533142332364339</v>
      </c>
      <c r="AR795">
        <v>4.3922480770223391</v>
      </c>
      <c r="AS795">
        <v>20.14575436749854</v>
      </c>
      <c r="AT795" t="e">
        <v>#DIV/0!</v>
      </c>
      <c r="AU795" t="e">
        <v>#DIV/0!</v>
      </c>
      <c r="AV795"/>
      <c r="AW795"/>
      <c r="FY795" s="210">
        <v>790</v>
      </c>
      <c r="FZ795">
        <v>0.2456818880042031</v>
      </c>
      <c r="GA795">
        <v>2.2259170751347761</v>
      </c>
      <c r="GB795">
        <v>0.91881880286744089</v>
      </c>
      <c r="GC795">
        <v>5.5868420261995855</v>
      </c>
      <c r="GD795">
        <v>4.3424759629423146</v>
      </c>
      <c r="GE795">
        <v>0.488099595198144</v>
      </c>
      <c r="GF795">
        <v>0.38032995424220212</v>
      </c>
      <c r="GG795">
        <v>1.7791509959019165</v>
      </c>
      <c r="GH795">
        <v>1.9871405252523333</v>
      </c>
      <c r="GI795">
        <v>3.8713405163294583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12.505990537240535</v>
      </c>
      <c r="AO796">
        <v>12.568517033188336</v>
      </c>
      <c r="AP796">
        <v>50.183071269618793</v>
      </c>
      <c r="AQ796">
        <v>45.076477295560473</v>
      </c>
      <c r="AR796">
        <v>11.55337627065019</v>
      </c>
      <c r="AS796">
        <v>55.167985382012191</v>
      </c>
      <c r="AT796" t="e">
        <v>#DIV/0!</v>
      </c>
      <c r="AU796" t="e">
        <v>#DIV/0!</v>
      </c>
      <c r="AV796"/>
      <c r="AW796"/>
      <c r="FY796" s="210">
        <v>791</v>
      </c>
      <c r="FZ796">
        <v>0.49136377600840619</v>
      </c>
      <c r="GA796">
        <v>4.2114086322848294</v>
      </c>
      <c r="GB796">
        <v>4.0241107999597396</v>
      </c>
      <c r="GC796">
        <v>16.003750146820586</v>
      </c>
      <c r="GD796">
        <v>11.41808168193816</v>
      </c>
      <c r="GE796">
        <v>0.83853720041220592</v>
      </c>
      <c r="GF796">
        <v>0.5704949313633032</v>
      </c>
      <c r="GG796">
        <v>1.4662212121236342</v>
      </c>
      <c r="GH796">
        <v>1.3247603501682221</v>
      </c>
      <c r="GI796">
        <v>9.7748218313150463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12.103708791208792</v>
      </c>
      <c r="AO797">
        <v>13.376431524058882</v>
      </c>
      <c r="AP797">
        <v>43.358644172460835</v>
      </c>
      <c r="AQ797">
        <v>44.264062186386056</v>
      </c>
      <c r="AR797">
        <v>12.408563565917332</v>
      </c>
      <c r="AS797">
        <v>78.659587603448756</v>
      </c>
      <c r="AT797" t="e">
        <v>#DIV/0!</v>
      </c>
      <c r="AU797" t="e">
        <v>#DIV/0!</v>
      </c>
      <c r="AV797"/>
      <c r="AW797"/>
      <c r="FY797" s="210">
        <v>792</v>
      </c>
      <c r="FZ797">
        <v>0</v>
      </c>
      <c r="GA797">
        <v>1.6954664853692054</v>
      </c>
      <c r="GB797">
        <v>2.5332276533675637</v>
      </c>
      <c r="GC797">
        <v>5.9775875093773552</v>
      </c>
      <c r="GD797">
        <v>4.0068640896453527</v>
      </c>
      <c r="GE797">
        <v>0.488099595198144</v>
      </c>
      <c r="GF797">
        <v>0</v>
      </c>
      <c r="GG797">
        <v>0.96200422538339236</v>
      </c>
      <c r="GH797">
        <v>1.3247603501682221</v>
      </c>
      <c r="GI797">
        <v>3.9716033409908786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8.2754120879120894</v>
      </c>
      <c r="AO798">
        <v>8.6879328341521909</v>
      </c>
      <c r="AP798">
        <v>25.997531344899521</v>
      </c>
      <c r="AQ798">
        <v>27.527383674923399</v>
      </c>
      <c r="AR798">
        <v>8.0593068962450758</v>
      </c>
      <c r="AS798">
        <v>39.904527298270118</v>
      </c>
      <c r="AT798" t="e">
        <v>#DIV/0!</v>
      </c>
      <c r="AU798" t="e">
        <v>#DIV/0!</v>
      </c>
      <c r="AV798"/>
      <c r="AW798"/>
      <c r="FY798" s="210">
        <v>793</v>
      </c>
      <c r="FZ798">
        <v>0.27886497278940114</v>
      </c>
      <c r="GA798">
        <v>2.515942146915624</v>
      </c>
      <c r="GB798">
        <v>3.3349488310779973</v>
      </c>
      <c r="GC798">
        <v>5.6899980550104159</v>
      </c>
      <c r="GD798">
        <v>4.4724605091819916</v>
      </c>
      <c r="GE798">
        <v>2.1000940499961365</v>
      </c>
      <c r="GF798">
        <v>0.19016497712110106</v>
      </c>
      <c r="GG798">
        <v>1.6110786669885027</v>
      </c>
      <c r="GH798">
        <v>1.9871405252523333</v>
      </c>
      <c r="GI798">
        <v>4.3675878841842009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12.103708791208788</v>
      </c>
      <c r="AO799">
        <v>14.018103403736735</v>
      </c>
      <c r="AP799">
        <v>47.998904311031744</v>
      </c>
      <c r="AQ799">
        <v>48.069305018409047</v>
      </c>
      <c r="AR799">
        <v>12.898076057800843</v>
      </c>
      <c r="AS799">
        <v>83.381316293014251</v>
      </c>
      <c r="AT799" t="e">
        <v>#DIV/0!</v>
      </c>
      <c r="AU799" t="e">
        <v>#DIV/0!</v>
      </c>
      <c r="AV799"/>
      <c r="AW799"/>
      <c r="FY799" s="210">
        <v>794</v>
      </c>
      <c r="FZ799">
        <v>0.73704566401260951</v>
      </c>
      <c r="GA799">
        <v>3.0567499818106434</v>
      </c>
      <c r="GB799">
        <v>2.1908201436285264</v>
      </c>
      <c r="GC799">
        <v>9.5777226721260291</v>
      </c>
      <c r="GD799">
        <v>7.4618618286902594</v>
      </c>
      <c r="GE799">
        <v>1.6401504835235219</v>
      </c>
      <c r="GF799">
        <v>0.19016497712110106</v>
      </c>
      <c r="GG799">
        <v>0.64907444160511019</v>
      </c>
      <c r="GH799">
        <v>0.66238017508411107</v>
      </c>
      <c r="GI799">
        <v>6.2632727129554908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3.9149305555555558</v>
      </c>
      <c r="AO800">
        <v>4.1812649837248701</v>
      </c>
      <c r="AP800">
        <v>13.247536214243352</v>
      </c>
      <c r="AQ800">
        <v>13.712068967005434</v>
      </c>
      <c r="AR800">
        <v>3.825859255112388</v>
      </c>
      <c r="AS800">
        <v>14.452262820091512</v>
      </c>
      <c r="AT800" t="e">
        <v>#DIV/0!</v>
      </c>
      <c r="AU800" t="e">
        <v>#DIV/0!</v>
      </c>
      <c r="AV800"/>
      <c r="AW800"/>
      <c r="FY800" s="210">
        <v>795</v>
      </c>
      <c r="FZ800">
        <v>0.49136377600840619</v>
      </c>
      <c r="GA800">
        <v>3.3636753896002265</v>
      </c>
      <c r="GB800">
        <v>1.3273361139641193</v>
      </c>
      <c r="GC800">
        <v>3.1550857583093239</v>
      </c>
      <c r="GD800">
        <v>2.4295624461675462</v>
      </c>
      <c r="GE800">
        <v>0.85604260000438437</v>
      </c>
      <c r="GF800">
        <v>1.0712213032574254</v>
      </c>
      <c r="GG800">
        <v>0.64907444160511019</v>
      </c>
      <c r="GH800">
        <v>0.66238017508411107</v>
      </c>
      <c r="GI800">
        <v>2.6976591476221663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6.6349206349206353</v>
      </c>
      <c r="AO801">
        <v>6.335601258685327</v>
      </c>
      <c r="AP801">
        <v>31.412914888020413</v>
      </c>
      <c r="AQ801">
        <v>25.488382813947421</v>
      </c>
      <c r="AR801">
        <v>5.7714506913338548</v>
      </c>
      <c r="AS801">
        <v>25.510028886319656</v>
      </c>
      <c r="AT801" t="e">
        <v>#DIV/0!</v>
      </c>
      <c r="AU801" t="e">
        <v>#DIV/0!</v>
      </c>
      <c r="AV801"/>
      <c r="AW801"/>
      <c r="FY801" s="210">
        <v>796</v>
      </c>
      <c r="FZ801">
        <v>0.27886497278940114</v>
      </c>
      <c r="GA801">
        <v>4.0860172507277435</v>
      </c>
      <c r="GB801">
        <v>2.943918439166076</v>
      </c>
      <c r="GC801">
        <v>6.4066180970215827</v>
      </c>
      <c r="GD801">
        <v>5.1929096523391749</v>
      </c>
      <c r="GE801">
        <v>2.3572653028997061</v>
      </c>
      <c r="GF801">
        <v>1.0712213032574254</v>
      </c>
      <c r="GG801">
        <v>1.1300765542968063</v>
      </c>
      <c r="GH801">
        <v>1.3247603501682221</v>
      </c>
      <c r="GI801">
        <v>5.0772337049365692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8.9127365689865687</v>
      </c>
      <c r="AO802">
        <v>8.2283059512427883</v>
      </c>
      <c r="AP802">
        <v>31.227694726682032</v>
      </c>
      <c r="AQ802">
        <v>29.098624784677732</v>
      </c>
      <c r="AR802">
        <v>7.5272064358212951</v>
      </c>
      <c r="AS802">
        <v>33.63709925926149</v>
      </c>
      <c r="AT802" t="e">
        <v>#DIV/0!</v>
      </c>
      <c r="AU802" t="e">
        <v>#DIV/0!</v>
      </c>
      <c r="AV802"/>
      <c r="AW802"/>
      <c r="FY802" s="210">
        <v>797</v>
      </c>
      <c r="FZ802">
        <v>3.3183084785198033E-2</v>
      </c>
      <c r="GA802">
        <v>0.88697555135127926</v>
      </c>
      <c r="GB802">
        <v>0.98058165482141413</v>
      </c>
      <c r="GC802">
        <v>2.8328373564612237</v>
      </c>
      <c r="GD802">
        <v>2.4011629687632188</v>
      </c>
      <c r="GE802">
        <v>1.1520508883253777</v>
      </c>
      <c r="GF802">
        <v>0</v>
      </c>
      <c r="GG802">
        <v>0.48100211269169618</v>
      </c>
      <c r="GH802">
        <v>0.66238017508411107</v>
      </c>
      <c r="GI802">
        <v>2.3102402232231012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8.7304067460317452</v>
      </c>
      <c r="AO803">
        <v>10.699762544977663</v>
      </c>
      <c r="AP803">
        <v>29.490963014187606</v>
      </c>
      <c r="AQ803">
        <v>32.391435725785669</v>
      </c>
      <c r="AR803">
        <v>9.872703003955424</v>
      </c>
      <c r="AS803">
        <v>58.684051289087783</v>
      </c>
      <c r="AT803" t="e">
        <v>#DIV/0!</v>
      </c>
      <c r="AU803" t="e">
        <v>#DIV/0!</v>
      </c>
      <c r="AV803"/>
      <c r="AW803"/>
      <c r="FY803" s="210">
        <v>798</v>
      </c>
      <c r="FZ803">
        <v>0.2456818880042031</v>
      </c>
      <c r="GA803">
        <v>5.7422414274302724</v>
      </c>
      <c r="GB803">
        <v>3.1888887176346978</v>
      </c>
      <c r="GC803">
        <v>5.8548041012858567</v>
      </c>
      <c r="GD803">
        <v>4.6008969094986174</v>
      </c>
      <c r="GE803">
        <v>2.098180931879603</v>
      </c>
      <c r="GF803">
        <v>2.522772560757053</v>
      </c>
      <c r="GG803">
        <v>1.1532914283453519</v>
      </c>
      <c r="GH803">
        <v>0.66238017508411107</v>
      </c>
      <c r="GI803">
        <v>4.8589782939404946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8.8802464896214879</v>
      </c>
      <c r="AO804">
        <v>10.920105407909389</v>
      </c>
      <c r="AP804">
        <v>36.721889157684487</v>
      </c>
      <c r="AQ804">
        <v>36.207923122454332</v>
      </c>
      <c r="AR804">
        <v>10.077102691276135</v>
      </c>
      <c r="AS804">
        <v>59.523859521729968</v>
      </c>
      <c r="AT804" t="e">
        <v>#DIV/0!</v>
      </c>
      <c r="AU804" t="e">
        <v>#DIV/0!</v>
      </c>
      <c r="AV804"/>
      <c r="AW804"/>
      <c r="FY804" s="210">
        <v>799</v>
      </c>
      <c r="FZ804">
        <v>6.6366169570396066E-2</v>
      </c>
      <c r="GA804">
        <v>2.2651593838014525</v>
      </c>
      <c r="GB804">
        <v>1.6187557999037911</v>
      </c>
      <c r="GC804">
        <v>9.4475719453718909</v>
      </c>
      <c r="GD804">
        <v>7.3076767820770234</v>
      </c>
      <c r="GE804">
        <v>1.1151269710244875</v>
      </c>
      <c r="GF804">
        <v>0.76065990848440423</v>
      </c>
      <c r="GG804">
        <v>0.67228931565365579</v>
      </c>
      <c r="GH804">
        <v>0</v>
      </c>
      <c r="GI804">
        <v>5.8989151576675223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7.986645299145299</v>
      </c>
      <c r="AO805">
        <v>8.1928340461120754</v>
      </c>
      <c r="AP805">
        <v>30.091778076529636</v>
      </c>
      <c r="AQ805">
        <v>29.974483807031426</v>
      </c>
      <c r="AR805">
        <v>7.4943011434922466</v>
      </c>
      <c r="AS805">
        <v>31.791692912288468</v>
      </c>
      <c r="AT805" t="e">
        <v>#DIV/0!</v>
      </c>
      <c r="AU805" t="e">
        <v>#DIV/0!</v>
      </c>
      <c r="AV805"/>
      <c r="AW805"/>
      <c r="FY805" s="210">
        <v>800</v>
      </c>
      <c r="FZ805">
        <v>0.27886497278940114</v>
      </c>
      <c r="GA805">
        <v>3.238284008043141</v>
      </c>
      <c r="GB805">
        <v>1.3912724406199268</v>
      </c>
      <c r="GC805">
        <v>6.1626287632237826</v>
      </c>
      <c r="GD805">
        <v>5.0636819623278484</v>
      </c>
      <c r="GE805">
        <v>1.0131231076971783</v>
      </c>
      <c r="GF805">
        <v>0.38032995424220212</v>
      </c>
      <c r="GG805">
        <v>2.2601531085936126</v>
      </c>
      <c r="GH805">
        <v>2.6495207003364443</v>
      </c>
      <c r="GI805">
        <v>4.4711482544307728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5.7604548229548218</v>
      </c>
      <c r="AO806">
        <v>6.4100074772349842</v>
      </c>
      <c r="AP806">
        <v>22.425954402877089</v>
      </c>
      <c r="AQ806">
        <v>21.825797342072374</v>
      </c>
      <c r="AR806">
        <v>5.9462035966929347</v>
      </c>
      <c r="AS806">
        <v>30.426202523642271</v>
      </c>
      <c r="AT806" t="e">
        <v>#DIV/0!</v>
      </c>
      <c r="AU806" t="e">
        <v>#DIV/0!</v>
      </c>
      <c r="AV806"/>
      <c r="AW806"/>
      <c r="FY806" s="210">
        <v>801</v>
      </c>
      <c r="FZ806">
        <v>0.98272755201681239</v>
      </c>
      <c r="GA806">
        <v>1.4108830502375631</v>
      </c>
      <c r="GB806">
        <v>0.69993699703635026</v>
      </c>
      <c r="GC806">
        <v>13.046534305382908</v>
      </c>
      <c r="GD806">
        <v>10.452881744913011</v>
      </c>
      <c r="GE806">
        <v>2.6707789908128778</v>
      </c>
      <c r="GF806">
        <v>0.88105632613632445</v>
      </c>
      <c r="GG806">
        <v>0.48100211269169618</v>
      </c>
      <c r="GH806">
        <v>0.66238017508411107</v>
      </c>
      <c r="GI806">
        <v>8.2083382792081654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12.49950396825397</v>
      </c>
      <c r="AO807">
        <v>16.18047368402782</v>
      </c>
      <c r="AP807">
        <v>49.98410894822824</v>
      </c>
      <c r="AQ807">
        <v>50.123550562394129</v>
      </c>
      <c r="AR807">
        <v>15.009715847892227</v>
      </c>
      <c r="AS807">
        <v>80.822608680726859</v>
      </c>
      <c r="AT807" t="e">
        <v>#DIV/0!</v>
      </c>
      <c r="AU807" t="e">
        <v>#DIV/0!</v>
      </c>
      <c r="AV807"/>
      <c r="AW807"/>
      <c r="FY807" s="210">
        <v>802</v>
      </c>
      <c r="FZ807">
        <v>6.6366169570396066E-2</v>
      </c>
      <c r="GA807">
        <v>4.2010513871553812</v>
      </c>
      <c r="GB807">
        <v>1.9655102590464966</v>
      </c>
      <c r="GC807">
        <v>6.0330466388768391</v>
      </c>
      <c r="GD807">
        <v>5.3787401294838109</v>
      </c>
      <c r="GE807">
        <v>2.4311131375014865</v>
      </c>
      <c r="GF807">
        <v>1.0712213032574254</v>
      </c>
      <c r="GG807">
        <v>1.1300765542968063</v>
      </c>
      <c r="GH807">
        <v>1.3247603501682221</v>
      </c>
      <c r="GI807">
        <v>4.8136805212217162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4.4658119658119642</v>
      </c>
      <c r="AO808">
        <v>6.6932821651528203</v>
      </c>
      <c r="AP808">
        <v>23.506379052548425</v>
      </c>
      <c r="AQ808">
        <v>20.959613249500112</v>
      </c>
      <c r="AR808">
        <v>6.2089816003272906</v>
      </c>
      <c r="AS808">
        <v>23.268384128326272</v>
      </c>
      <c r="AT808" t="e">
        <v>#DIV/0!</v>
      </c>
      <c r="AU808" t="e">
        <v>#DIV/0!</v>
      </c>
      <c r="AV808"/>
      <c r="AW808"/>
      <c r="FY808" s="210">
        <v>803</v>
      </c>
      <c r="FZ808">
        <v>0.49136377600840619</v>
      </c>
      <c r="GA808">
        <v>4.3368000138419154</v>
      </c>
      <c r="GB808">
        <v>1.7997897517166055</v>
      </c>
      <c r="GC808">
        <v>6.4640016817459029</v>
      </c>
      <c r="GD808">
        <v>5.6464961379290655</v>
      </c>
      <c r="GE808">
        <v>2.936718132291809</v>
      </c>
      <c r="GF808">
        <v>2.3326075836359519</v>
      </c>
      <c r="GG808">
        <v>2.4282254375070265</v>
      </c>
      <c r="GH808">
        <v>2.6495207003364443</v>
      </c>
      <c r="GI808">
        <v>5.6010522812876324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7.8953373015873014</v>
      </c>
      <c r="AO809">
        <v>7.129667722234883</v>
      </c>
      <c r="AP809">
        <v>29.602738489351285</v>
      </c>
      <c r="AQ809">
        <v>26.548280618517701</v>
      </c>
      <c r="AR809">
        <v>6.6137919501251243</v>
      </c>
      <c r="AS809">
        <v>31.249518575984212</v>
      </c>
      <c r="AT809" t="e">
        <v>#DIV/0!</v>
      </c>
      <c r="AU809" t="e">
        <v>#DIV/0!</v>
      </c>
      <c r="AV809"/>
      <c r="AW809"/>
      <c r="FY809" s="210">
        <v>804</v>
      </c>
      <c r="FZ809">
        <v>0</v>
      </c>
      <c r="GA809">
        <v>3.6313584887231336</v>
      </c>
      <c r="GB809">
        <v>2.3079177687855337</v>
      </c>
      <c r="GC809">
        <v>11.625442905246416</v>
      </c>
      <c r="GD809">
        <v>9.2808957100951375</v>
      </c>
      <c r="GE809">
        <v>1.7778124735076037</v>
      </c>
      <c r="GF809">
        <v>0</v>
      </c>
      <c r="GG809">
        <v>1.9240084507667847</v>
      </c>
      <c r="GH809">
        <v>2.6495207003364443</v>
      </c>
      <c r="GI809">
        <v>7.5982540898133282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9.0903159340659325</v>
      </c>
      <c r="AO810">
        <v>10.356747776951446</v>
      </c>
      <c r="AP810">
        <v>31.338593155133644</v>
      </c>
      <c r="AQ810">
        <v>32.429243080557399</v>
      </c>
      <c r="AR810">
        <v>9.6073727058918781</v>
      </c>
      <c r="AS810">
        <v>46.708488368401085</v>
      </c>
      <c r="AT810" t="e">
        <v>#DIV/0!</v>
      </c>
      <c r="AU810" t="e">
        <v>#DIV/0!</v>
      </c>
      <c r="AV810"/>
      <c r="AW810"/>
      <c r="FY810" s="210">
        <v>805</v>
      </c>
      <c r="FZ810">
        <v>0.55772994557880229</v>
      </c>
      <c r="GA810">
        <v>4.2898932496181823</v>
      </c>
      <c r="GB810">
        <v>1.7358534250607978</v>
      </c>
      <c r="GC810">
        <v>11.060414047762706</v>
      </c>
      <c r="GD810">
        <v>9.1433993721111335</v>
      </c>
      <c r="GE810">
        <v>2.5687751274855688</v>
      </c>
      <c r="GF810">
        <v>1.6417162346207288</v>
      </c>
      <c r="GG810">
        <v>0.67228931565365579</v>
      </c>
      <c r="GH810">
        <v>0</v>
      </c>
      <c r="GI810">
        <v>7.4664489010103745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4.7442956349206344</v>
      </c>
      <c r="AO811">
        <v>4.5503196699541038</v>
      </c>
      <c r="AP811">
        <v>19.489842718910907</v>
      </c>
      <c r="AQ811">
        <v>16.70340115162282</v>
      </c>
      <c r="AR811">
        <v>4.1682105410393202</v>
      </c>
      <c r="AS811">
        <v>22.504034287751985</v>
      </c>
      <c r="AT811" t="e">
        <v>#DIV/0!</v>
      </c>
      <c r="AU811" t="e">
        <v>#DIV/0!</v>
      </c>
      <c r="AV811"/>
      <c r="AW811"/>
      <c r="FY811" s="210">
        <v>806</v>
      </c>
      <c r="FZ811">
        <v>0.31204805757459919</v>
      </c>
      <c r="GA811">
        <v>1.2162429317988037</v>
      </c>
      <c r="GB811">
        <v>0.98058165482141413</v>
      </c>
      <c r="GC811">
        <v>8.2978868511238009</v>
      </c>
      <c r="GD811">
        <v>6.4609161998737035</v>
      </c>
      <c r="GE811">
        <v>2.2001847952069129</v>
      </c>
      <c r="GF811">
        <v>1.7621126522726489</v>
      </c>
      <c r="GG811">
        <v>0.96200422538339236</v>
      </c>
      <c r="GH811">
        <v>1.3247603501682221</v>
      </c>
      <c r="GI811">
        <v>5.5756528551982125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7.4953640109890118</v>
      </c>
      <c r="AO812">
        <v>8.4174492561807579</v>
      </c>
      <c r="AP812">
        <v>32.982871328435024</v>
      </c>
      <c r="AQ812">
        <v>29.868885627602708</v>
      </c>
      <c r="AR812">
        <v>7.7555292666670148</v>
      </c>
      <c r="AS812">
        <v>38.619927666315917</v>
      </c>
      <c r="AT812" t="e">
        <v>#DIV/0!</v>
      </c>
      <c r="AU812" t="e">
        <v>#DIV/0!</v>
      </c>
      <c r="AV812"/>
      <c r="AW812"/>
      <c r="FY812" s="210">
        <v>807</v>
      </c>
      <c r="FZ812">
        <v>0.41159731193019322</v>
      </c>
      <c r="GA812">
        <v>3.5206446242669331</v>
      </c>
      <c r="GB812">
        <v>2.5993374547252053</v>
      </c>
      <c r="GC812">
        <v>4.8539098644779415</v>
      </c>
      <c r="GD812">
        <v>3.442884416569985</v>
      </c>
      <c r="GE812">
        <v>1.6100813366814588</v>
      </c>
      <c r="GF812">
        <v>1.95227762939375</v>
      </c>
      <c r="GG812">
        <v>1.6110786669885027</v>
      </c>
      <c r="GH812">
        <v>1.9871405252523333</v>
      </c>
      <c r="GI812">
        <v>3.956482023719341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2.4826388888888884</v>
      </c>
      <c r="AO813">
        <v>3.9459843561372119</v>
      </c>
      <c r="AP813">
        <v>12.564637347462272</v>
      </c>
      <c r="AQ813">
        <v>11.740414015506619</v>
      </c>
      <c r="AR813">
        <v>3.6604678628360023</v>
      </c>
      <c r="AS813">
        <v>13.598827201355391</v>
      </c>
      <c r="AT813" t="e">
        <v>#DIV/0!</v>
      </c>
      <c r="AU813" t="e">
        <v>#DIV/0!</v>
      </c>
      <c r="AV813"/>
      <c r="AW813"/>
      <c r="FY813" s="210">
        <v>808</v>
      </c>
      <c r="FZ813">
        <v>0</v>
      </c>
      <c r="GA813">
        <v>0.84773324268460271</v>
      </c>
      <c r="GB813">
        <v>0.40851731109667855</v>
      </c>
      <c r="GC813">
        <v>4.0178216739454671</v>
      </c>
      <c r="GD813">
        <v>3.0843352636838208</v>
      </c>
      <c r="GE813">
        <v>1.9411004241868093</v>
      </c>
      <c r="GF813">
        <v>3.213663909772277</v>
      </c>
      <c r="GG813">
        <v>1.4662212121236342</v>
      </c>
      <c r="GH813">
        <v>1.3247603501682221</v>
      </c>
      <c r="GI813">
        <v>3.3200007199223589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7.250038156288154</v>
      </c>
      <c r="AO814">
        <v>8.0076680210838411</v>
      </c>
      <c r="AP814">
        <v>35.739445874838609</v>
      </c>
      <c r="AQ814">
        <v>30.928116433860264</v>
      </c>
      <c r="AR814">
        <v>7.3225330312211598</v>
      </c>
      <c r="AS814">
        <v>39.247515881690369</v>
      </c>
      <c r="AT814" t="e">
        <v>#DIV/0!</v>
      </c>
      <c r="AU814" t="e">
        <v>#DIV/0!</v>
      </c>
      <c r="AV814"/>
      <c r="AW814"/>
      <c r="FY814" s="210">
        <v>809</v>
      </c>
      <c r="FZ814">
        <v>0</v>
      </c>
      <c r="GA814">
        <v>2.7836252460385307</v>
      </c>
      <c r="GB814">
        <v>1.899400457688855</v>
      </c>
      <c r="GC814">
        <v>8.2978868511238009</v>
      </c>
      <c r="GD814">
        <v>6.4109670532035343</v>
      </c>
      <c r="GE814">
        <v>1.0131231076971783</v>
      </c>
      <c r="GF814">
        <v>0.5704949313633032</v>
      </c>
      <c r="GG814">
        <v>0.98521909943193808</v>
      </c>
      <c r="GH814">
        <v>0.66238017508411107</v>
      </c>
      <c r="GI814">
        <v>5.3762068873232991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8.2882326007326004</v>
      </c>
      <c r="AO815">
        <v>9.7506903024411855</v>
      </c>
      <c r="AP815">
        <v>27.158293546881907</v>
      </c>
      <c r="AQ815">
        <v>29.152521433554625</v>
      </c>
      <c r="AR815">
        <v>9.0451672564389476</v>
      </c>
      <c r="AS815">
        <v>50.634958858105684</v>
      </c>
      <c r="AT815" t="e">
        <v>#DIV/0!</v>
      </c>
      <c r="AU815" t="e">
        <v>#DIV/0!</v>
      </c>
      <c r="AV815"/>
      <c r="AW815"/>
      <c r="FY815" s="210">
        <v>810</v>
      </c>
      <c r="FZ815">
        <v>9.9549254355594113E-2</v>
      </c>
      <c r="GA815">
        <v>3.9895109327078857</v>
      </c>
      <c r="GB815">
        <v>3.5538306369090886</v>
      </c>
      <c r="GC815">
        <v>6.6908922918183311</v>
      </c>
      <c r="GD815">
        <v>4.8552101624417148</v>
      </c>
      <c r="GE815">
        <v>1.0131231076971783</v>
      </c>
      <c r="GF815">
        <v>0.19016497712110106</v>
      </c>
      <c r="GG815">
        <v>1.6110786669885027</v>
      </c>
      <c r="GH815">
        <v>1.9871405252523333</v>
      </c>
      <c r="GI815">
        <v>4.7649825083707267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7.250038156288154</v>
      </c>
      <c r="AO816">
        <v>7.2931119849398129</v>
      </c>
      <c r="AP816">
        <v>27.806804646599421</v>
      </c>
      <c r="AQ816">
        <v>26.909007272304315</v>
      </c>
      <c r="AR816">
        <v>6.7654100045823871</v>
      </c>
      <c r="AS816">
        <v>33.420710165013325</v>
      </c>
      <c r="AT816" t="e">
        <v>#DIV/0!</v>
      </c>
      <c r="AU816" t="e">
        <v>#DIV/0!</v>
      </c>
      <c r="AV816"/>
      <c r="AW816"/>
      <c r="FY816" s="210">
        <v>811</v>
      </c>
      <c r="FZ816">
        <v>0.80341183358300561</v>
      </c>
      <c r="GA816">
        <v>2.0470758384746714</v>
      </c>
      <c r="GB816">
        <v>1.6805186518577644</v>
      </c>
      <c r="GC816">
        <v>7.5757125689426417</v>
      </c>
      <c r="GD816">
        <v>5.3518949131616917</v>
      </c>
      <c r="GE816">
        <v>0.85604260000438437</v>
      </c>
      <c r="GF816">
        <v>0.88105632613632445</v>
      </c>
      <c r="GG816">
        <v>1.4430063380750886</v>
      </c>
      <c r="GH816">
        <v>1.9871405252523333</v>
      </c>
      <c r="GI816">
        <v>4.9288648564089463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10.193776709401707</v>
      </c>
      <c r="AO817">
        <v>13.549682657538046</v>
      </c>
      <c r="AP817">
        <v>33.792358483889998</v>
      </c>
      <c r="AQ817">
        <v>39.496519533519816</v>
      </c>
      <c r="AR817">
        <v>12.516413683510514</v>
      </c>
      <c r="AS817">
        <v>69.365427074980843</v>
      </c>
      <c r="AT817" t="e">
        <v>#DIV/0!</v>
      </c>
      <c r="AU817" t="e">
        <v>#DIV/0!</v>
      </c>
      <c r="AV817"/>
      <c r="AW817"/>
      <c r="FY817" s="210">
        <v>812</v>
      </c>
      <c r="FZ817">
        <v>0.31204805757459919</v>
      </c>
      <c r="GA817">
        <v>6.783493423875866</v>
      </c>
      <c r="GB817">
        <v>3.6352538827496526</v>
      </c>
      <c r="GC817">
        <v>9.1474079050119581</v>
      </c>
      <c r="GD817">
        <v>6.744993435907455</v>
      </c>
      <c r="GE817">
        <v>1.0306285072893564</v>
      </c>
      <c r="GF817">
        <v>1.0712213032574254</v>
      </c>
      <c r="GG817">
        <v>1.6110786669885027</v>
      </c>
      <c r="GH817">
        <v>1.9871405252523333</v>
      </c>
      <c r="GI817">
        <v>6.5879570753715999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8.6361607142857153</v>
      </c>
      <c r="AO818">
        <v>7.9074950896282292</v>
      </c>
      <c r="AP818">
        <v>29.794321457694032</v>
      </c>
      <c r="AQ818">
        <v>28.415566450578581</v>
      </c>
      <c r="AR818">
        <v>7.2824734535385085</v>
      </c>
      <c r="AS818">
        <v>35.70176385955466</v>
      </c>
      <c r="AT818" t="e">
        <v>#DIV/0!</v>
      </c>
      <c r="AU818" t="e">
        <v>#DIV/0!</v>
      </c>
      <c r="AV818"/>
      <c r="AW818"/>
      <c r="FY818" s="210">
        <v>813</v>
      </c>
      <c r="FZ818">
        <v>3.3183084785198033E-2</v>
      </c>
      <c r="GA818">
        <v>2.9482589362622931</v>
      </c>
      <c r="GB818">
        <v>2.5354011280693975</v>
      </c>
      <c r="GC818">
        <v>11.155265551280692</v>
      </c>
      <c r="GD818">
        <v>8.1005851974271117</v>
      </c>
      <c r="GE818">
        <v>1.1695562879175558</v>
      </c>
      <c r="GF818">
        <v>1.2613862803785265</v>
      </c>
      <c r="GG818">
        <v>0.3361446578268279</v>
      </c>
      <c r="GH818">
        <v>0</v>
      </c>
      <c r="GI818">
        <v>6.9547802288286329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8.3576770451770432</v>
      </c>
      <c r="AO819">
        <v>9.2407807270093336</v>
      </c>
      <c r="AP819">
        <v>37.697723379921356</v>
      </c>
      <c r="AQ819">
        <v>34.686575496300762</v>
      </c>
      <c r="AR819">
        <v>8.4664223688143796</v>
      </c>
      <c r="AS819">
        <v>35.049842744500509</v>
      </c>
      <c r="AT819" t="e">
        <v>#DIV/0!</v>
      </c>
      <c r="AU819" t="e">
        <v>#DIV/0!</v>
      </c>
      <c r="AV819"/>
      <c r="AW819"/>
      <c r="FY819" s="210">
        <v>814</v>
      </c>
      <c r="FZ819">
        <v>0.49136377600840619</v>
      </c>
      <c r="GA819">
        <v>4.4621913953990013</v>
      </c>
      <c r="GB819">
        <v>2.4357904220971482</v>
      </c>
      <c r="GC819">
        <v>3.7302322195785269</v>
      </c>
      <c r="GD819">
        <v>3.3421169503903161</v>
      </c>
      <c r="GE819">
        <v>1.501222702895322</v>
      </c>
      <c r="GF819">
        <v>0.19016497712110106</v>
      </c>
      <c r="GG819">
        <v>0.64907444160511019</v>
      </c>
      <c r="GH819">
        <v>0.66238017508411107</v>
      </c>
      <c r="GI819">
        <v>3.0435614803464368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10.612217643467641</v>
      </c>
      <c r="AO820">
        <v>12.448865859379298</v>
      </c>
      <c r="AP820">
        <v>39.421696323430162</v>
      </c>
      <c r="AQ820">
        <v>40.795210587274383</v>
      </c>
      <c r="AR820">
        <v>11.548113042095826</v>
      </c>
      <c r="AS820">
        <v>57.824035761456194</v>
      </c>
      <c r="AT820" t="e">
        <v>#DIV/0!</v>
      </c>
      <c r="AU820" t="e">
        <v>#DIV/0!</v>
      </c>
      <c r="AV820"/>
      <c r="AW820"/>
      <c r="FY820" s="210">
        <v>815</v>
      </c>
      <c r="FZ820">
        <v>6.6366169570396066E-2</v>
      </c>
      <c r="GA820">
        <v>3.8352344876135724</v>
      </c>
      <c r="GB820">
        <v>1.7997897517166055</v>
      </c>
      <c r="GC820">
        <v>9.9076316955521246</v>
      </c>
      <c r="GD820">
        <v>7.802969005923786</v>
      </c>
      <c r="GE820">
        <v>2.098180931879603</v>
      </c>
      <c r="GF820">
        <v>2.3326075836359519</v>
      </c>
      <c r="GG820">
        <v>1.4662212121236342</v>
      </c>
      <c r="GH820">
        <v>1.3247603501682221</v>
      </c>
      <c r="GI820">
        <v>6.7978193756284915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10.939808455433454</v>
      </c>
      <c r="AO821">
        <v>12.284435265808453</v>
      </c>
      <c r="AP821">
        <v>36.782011286837815</v>
      </c>
      <c r="AQ821">
        <v>39.13651961890195</v>
      </c>
      <c r="AR821">
        <v>11.342714804355046</v>
      </c>
      <c r="AS821">
        <v>60.802365540492275</v>
      </c>
      <c r="AT821" t="e">
        <v>#DIV/0!</v>
      </c>
      <c r="AU821" t="e">
        <v>#DIV/0!</v>
      </c>
      <c r="AV821"/>
      <c r="AW821"/>
      <c r="FY821" s="210">
        <v>816</v>
      </c>
      <c r="FZ821">
        <v>0.52454686079360424</v>
      </c>
      <c r="GA821">
        <v>2.6805758371393864</v>
      </c>
      <c r="GB821">
        <v>1.5548194732479839</v>
      </c>
      <c r="GC821">
        <v>9.5884805516665157</v>
      </c>
      <c r="GD821">
        <v>7.7513974193908792</v>
      </c>
      <c r="GE821">
        <v>1.8147363908084939</v>
      </c>
      <c r="GF821">
        <v>0.5704949313633032</v>
      </c>
      <c r="GG821">
        <v>1.9472233248153306</v>
      </c>
      <c r="GH821">
        <v>1.9871405252523333</v>
      </c>
      <c r="GI821">
        <v>6.5450023516168692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6.5040064102564088</v>
      </c>
      <c r="AO822">
        <v>9.2014924693198488</v>
      </c>
      <c r="AP822">
        <v>27.961238243221366</v>
      </c>
      <c r="AQ822">
        <v>29.09239057342171</v>
      </c>
      <c r="AR822">
        <v>8.4299768607536354</v>
      </c>
      <c r="AS822">
        <v>52.076768003395756</v>
      </c>
      <c r="AT822" t="e">
        <v>#DIV/0!</v>
      </c>
      <c r="AU822" t="e">
        <v>#DIV/0!</v>
      </c>
      <c r="AV822"/>
      <c r="AW822"/>
      <c r="FY822" s="210">
        <v>817</v>
      </c>
      <c r="FZ822">
        <v>0.27886497278940114</v>
      </c>
      <c r="GA822">
        <v>2.3905507653585385</v>
      </c>
      <c r="GB822">
        <v>1.5548194732479839</v>
      </c>
      <c r="GC822">
        <v>11.46618747118111</v>
      </c>
      <c r="GD822">
        <v>8.7486699410138975</v>
      </c>
      <c r="GE822">
        <v>1.0131231076971783</v>
      </c>
      <c r="GF822">
        <v>0.76065990848440423</v>
      </c>
      <c r="GG822">
        <v>2.5962977664204407</v>
      </c>
      <c r="GH822">
        <v>2.6495207003364443</v>
      </c>
      <c r="GI822">
        <v>7.3752763879946368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7.5515873015872996</v>
      </c>
      <c r="AO823">
        <v>6.5072395604232058</v>
      </c>
      <c r="AP823">
        <v>30.678349675627747</v>
      </c>
      <c r="AQ823">
        <v>25.945433854005643</v>
      </c>
      <c r="AR823">
        <v>5.9306698951723336</v>
      </c>
      <c r="AS823">
        <v>24.303519031851007</v>
      </c>
      <c r="AT823" t="e">
        <v>#DIV/0!</v>
      </c>
      <c r="AU823" t="e">
        <v>#DIV/0!</v>
      </c>
      <c r="AV823"/>
      <c r="AW823"/>
      <c r="FY823" s="210">
        <v>818</v>
      </c>
      <c r="FZ823">
        <v>0.27886497278940114</v>
      </c>
      <c r="GA823">
        <v>6.7442511152091882</v>
      </c>
      <c r="GB823">
        <v>4.7793825701991244</v>
      </c>
      <c r="GC823">
        <v>6.974744212467785</v>
      </c>
      <c r="GD823">
        <v>4.9482575742419694</v>
      </c>
      <c r="GE823">
        <v>2.9717289314761661</v>
      </c>
      <c r="GF823">
        <v>4.4750501901508031</v>
      </c>
      <c r="GG823">
        <v>0.84036164456706985</v>
      </c>
      <c r="GH823">
        <v>0</v>
      </c>
      <c r="GI823">
        <v>5.7690962530728545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4.5642361111111107</v>
      </c>
      <c r="AO824">
        <v>5.5141129757485814</v>
      </c>
      <c r="AP824">
        <v>21.499252422142689</v>
      </c>
      <c r="AQ824">
        <v>19.62415410758387</v>
      </c>
      <c r="AR824">
        <v>4.9565369718065257</v>
      </c>
      <c r="AS824">
        <v>19.464882925481223</v>
      </c>
      <c r="AT824" t="e">
        <v>#DIV/0!</v>
      </c>
      <c r="AU824" t="e">
        <v>#DIV/0!</v>
      </c>
      <c r="AV824"/>
      <c r="AW824"/>
      <c r="FY824" s="210">
        <v>819</v>
      </c>
      <c r="FZ824">
        <v>0.77022874879780745</v>
      </c>
      <c r="GA824">
        <v>2.0078335298079946</v>
      </c>
      <c r="GB824">
        <v>1.1084543081330289</v>
      </c>
      <c r="GC824">
        <v>10.613569159330458</v>
      </c>
      <c r="GD824">
        <v>7.8167378743828833</v>
      </c>
      <c r="GE824">
        <v>0.85604260000438437</v>
      </c>
      <c r="GF824">
        <v>1.4515512574996277</v>
      </c>
      <c r="GG824">
        <v>0.98521909943193808</v>
      </c>
      <c r="GH824">
        <v>0.66238017508411107</v>
      </c>
      <c r="GI824">
        <v>6.3467388638322246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6.9132326007326013</v>
      </c>
      <c r="AO825">
        <v>8.8856505792207638</v>
      </c>
      <c r="AP825">
        <v>27.595777698742058</v>
      </c>
      <c r="AQ825">
        <v>27.999303808954551</v>
      </c>
      <c r="AR825">
        <v>8.2427185335999642</v>
      </c>
      <c r="AS825">
        <v>49.927533225691455</v>
      </c>
      <c r="AT825" t="e">
        <v>#DIV/0!</v>
      </c>
      <c r="AU825" t="e">
        <v>#DIV/0!</v>
      </c>
      <c r="AV825"/>
      <c r="AW825"/>
      <c r="FY825" s="210">
        <v>820</v>
      </c>
      <c r="FZ825">
        <v>0.2456818880042031</v>
      </c>
      <c r="GA825">
        <v>2.4766998382489476</v>
      </c>
      <c r="GB825">
        <v>1.0466914561790557</v>
      </c>
      <c r="GC825">
        <v>4.8833615446287491</v>
      </c>
      <c r="GD825">
        <v>3.9972610920955827</v>
      </c>
      <c r="GE825">
        <v>2.429200019384953</v>
      </c>
      <c r="GF825">
        <v>2.8333339555300743</v>
      </c>
      <c r="GG825">
        <v>0.16807232891341395</v>
      </c>
      <c r="GH825">
        <v>0</v>
      </c>
      <c r="GI825">
        <v>3.7522364011542755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8.1175976800976777</v>
      </c>
      <c r="AO826">
        <v>7.8434195984759025</v>
      </c>
      <c r="AP826">
        <v>32.773881159971225</v>
      </c>
      <c r="AQ826">
        <v>28.755483063662453</v>
      </c>
      <c r="AR826">
        <v>7.2758994419999112</v>
      </c>
      <c r="AS826">
        <v>33.684642861375082</v>
      </c>
      <c r="AT826" t="e">
        <v>#DIV/0!</v>
      </c>
      <c r="AU826" t="e">
        <v>#DIV/0!</v>
      </c>
      <c r="AV826"/>
      <c r="AW826"/>
      <c r="FY826" s="210">
        <v>821</v>
      </c>
      <c r="FZ826">
        <v>0.27886497278940114</v>
      </c>
      <c r="GA826">
        <v>2.0247338658167298</v>
      </c>
      <c r="GB826">
        <v>1.3890989659180928</v>
      </c>
      <c r="GC826">
        <v>1.4207444272968541</v>
      </c>
      <c r="GD826">
        <v>1.0820094196310439</v>
      </c>
      <c r="GE826">
        <v>1.5731574193805689</v>
      </c>
      <c r="GF826">
        <v>2.1424426065148507</v>
      </c>
      <c r="GG826">
        <v>0.81714677051852402</v>
      </c>
      <c r="GH826">
        <v>0.66238017508411107</v>
      </c>
      <c r="GI826">
        <v>1.7428060166225192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7.1684027777777768</v>
      </c>
      <c r="AO827">
        <v>8.1120252018135908</v>
      </c>
      <c r="AP827">
        <v>28.335699984635852</v>
      </c>
      <c r="AQ827">
        <v>27.554724451896856</v>
      </c>
      <c r="AR827">
        <v>7.4722045409089741</v>
      </c>
      <c r="AS827">
        <v>29.428664802898904</v>
      </c>
      <c r="AT827" t="e">
        <v>#DIV/0!</v>
      </c>
      <c r="AU827" t="e">
        <v>#DIV/0!</v>
      </c>
      <c r="AV827"/>
      <c r="AW827"/>
      <c r="FY827" s="210">
        <v>822</v>
      </c>
      <c r="FZ827">
        <v>0</v>
      </c>
      <c r="GA827">
        <v>2.9090166275956166</v>
      </c>
      <c r="GB827">
        <v>3.6795298155188685</v>
      </c>
      <c r="GC827">
        <v>7.6705640724606274</v>
      </c>
      <c r="GD827">
        <v>5.5154832004444092</v>
      </c>
      <c r="GE827">
        <v>1.9060896250024524</v>
      </c>
      <c r="GF827">
        <v>1.2613862803785265</v>
      </c>
      <c r="GG827">
        <v>0.81714677051852402</v>
      </c>
      <c r="GH827">
        <v>0.66238017508411107</v>
      </c>
      <c r="GI827">
        <v>5.4057133989720709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9.5568337912087902</v>
      </c>
      <c r="AO828">
        <v>10.961399578384462</v>
      </c>
      <c r="AP828">
        <v>43.59909192516777</v>
      </c>
      <c r="AQ828">
        <v>38.911222783278753</v>
      </c>
      <c r="AR828">
        <v>10.115408971865257</v>
      </c>
      <c r="AS828">
        <v>53.064483477910976</v>
      </c>
      <c r="AT828" t="e">
        <v>#DIV/0!</v>
      </c>
      <c r="AU828" t="e">
        <v>#DIV/0!</v>
      </c>
      <c r="AV828"/>
      <c r="AW828"/>
      <c r="FY828" s="210">
        <v>823</v>
      </c>
      <c r="FZ828">
        <v>0.55772994557880229</v>
      </c>
      <c r="GA828">
        <v>2.6047840093784256</v>
      </c>
      <c r="GB828">
        <v>0.94490727550497178</v>
      </c>
      <c r="GC828">
        <v>4.7489407571744637</v>
      </c>
      <c r="GD828">
        <v>3.88270203370078</v>
      </c>
      <c r="GE828">
        <v>1.3810661125034183</v>
      </c>
      <c r="GF828">
        <v>1.2613862803785265</v>
      </c>
      <c r="GG828">
        <v>1.2981488832102204</v>
      </c>
      <c r="GH828">
        <v>1.3247603501682221</v>
      </c>
      <c r="GI828">
        <v>3.7111399665038793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8.9595734126984112</v>
      </c>
      <c r="AO829">
        <v>11.589833171071442</v>
      </c>
      <c r="AP829">
        <v>34.169970167411648</v>
      </c>
      <c r="AQ829">
        <v>34.494561352776238</v>
      </c>
      <c r="AR829">
        <v>10.698371488272469</v>
      </c>
      <c r="AS829">
        <v>55.890714461291807</v>
      </c>
      <c r="AT829" t="e">
        <v>#DIV/0!</v>
      </c>
      <c r="AU829" t="e">
        <v>#DIV/0!</v>
      </c>
      <c r="AV829"/>
      <c r="AW829"/>
      <c r="FY829" s="210">
        <v>824</v>
      </c>
      <c r="FZ829">
        <v>0.55772994557880229</v>
      </c>
      <c r="GA829">
        <v>5.378052010287508</v>
      </c>
      <c r="GB829">
        <v>2.8182192605562957</v>
      </c>
      <c r="GC829">
        <v>4.4263990524110088</v>
      </c>
      <c r="GD829">
        <v>3.2925391279091381</v>
      </c>
      <c r="GE829">
        <v>1.0306285072893564</v>
      </c>
      <c r="GF829">
        <v>0.88105632613632445</v>
      </c>
      <c r="GG829">
        <v>0</v>
      </c>
      <c r="GH829">
        <v>0</v>
      </c>
      <c r="GI829">
        <v>3.4378194173129093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7.1255723443223413</v>
      </c>
      <c r="AO830">
        <v>4.8620045422465541</v>
      </c>
      <c r="AP830">
        <v>22.389382684214677</v>
      </c>
      <c r="AQ830">
        <v>20.508098540525477</v>
      </c>
      <c r="AR830">
        <v>4.5102082952194378</v>
      </c>
      <c r="AS830">
        <v>24.040000945886892</v>
      </c>
      <c r="AT830" t="e">
        <v>#DIV/0!</v>
      </c>
      <c r="AU830" t="e">
        <v>#DIV/0!</v>
      </c>
      <c r="AV830"/>
      <c r="AW830"/>
      <c r="FY830" s="210">
        <v>825</v>
      </c>
      <c r="FZ830">
        <v>3.3183084785198033E-2</v>
      </c>
      <c r="GA830">
        <v>0.29002507178084797</v>
      </c>
      <c r="GB830">
        <v>1.2720013407610857</v>
      </c>
      <c r="GC830">
        <v>6.2851188683999277</v>
      </c>
      <c r="GD830">
        <v>4.750974262498648</v>
      </c>
      <c r="GE830">
        <v>1.5556520197883907</v>
      </c>
      <c r="GF830">
        <v>1.4515512574996277</v>
      </c>
      <c r="GG830">
        <v>0.50421698674024196</v>
      </c>
      <c r="GH830">
        <v>0</v>
      </c>
      <c r="GI830">
        <v>4.0016905486921601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9.5104548229548236</v>
      </c>
      <c r="AO831">
        <v>11.179282473791256</v>
      </c>
      <c r="AP831">
        <v>37.537753543121752</v>
      </c>
      <c r="AQ831">
        <v>37.431580563812389</v>
      </c>
      <c r="AR831">
        <v>10.26466146601468</v>
      </c>
      <c r="AS831">
        <v>56.56574284643731</v>
      </c>
      <c r="AT831" t="e">
        <v>#DIV/0!</v>
      </c>
      <c r="AU831" t="e">
        <v>#DIV/0!</v>
      </c>
      <c r="AV831"/>
      <c r="AW831"/>
      <c r="FY831" s="210">
        <v>826</v>
      </c>
      <c r="FZ831">
        <v>0.34523114235979718</v>
      </c>
      <c r="GA831">
        <v>3.3271258705059426</v>
      </c>
      <c r="GB831">
        <v>1.9894252569821935</v>
      </c>
      <c r="GC831">
        <v>7.1699391455242392</v>
      </c>
      <c r="GD831">
        <v>5.7287477821866251</v>
      </c>
      <c r="GE831">
        <v>1.8322417904006723</v>
      </c>
      <c r="GF831">
        <v>1.4515512574996277</v>
      </c>
      <c r="GG831">
        <v>0.98521909943193808</v>
      </c>
      <c r="GH831">
        <v>0.66238017508411107</v>
      </c>
      <c r="GI831">
        <v>5.0638603677492791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9.2019612332112342</v>
      </c>
      <c r="AO832">
        <v>10.79810521449831</v>
      </c>
      <c r="AP832">
        <v>33.871557905490405</v>
      </c>
      <c r="AQ832">
        <v>34.964417666094704</v>
      </c>
      <c r="AR832">
        <v>10.01679518970159</v>
      </c>
      <c r="AS832">
        <v>56.382531264651305</v>
      </c>
      <c r="AT832" t="e">
        <v>#DIV/0!</v>
      </c>
      <c r="AU832" t="e">
        <v>#DIV/0!</v>
      </c>
      <c r="AV832"/>
      <c r="AW832"/>
      <c r="FY832" s="210">
        <v>827</v>
      </c>
      <c r="FZ832">
        <v>0.27886497278940114</v>
      </c>
      <c r="GA832">
        <v>4.3264427687124662</v>
      </c>
      <c r="GB832">
        <v>2.4736382761154245</v>
      </c>
      <c r="GC832">
        <v>10.890400734156913</v>
      </c>
      <c r="GD832">
        <v>8.5942549814111366</v>
      </c>
      <c r="GE832">
        <v>2.7252083077059464</v>
      </c>
      <c r="GF832">
        <v>2.1424426065148507</v>
      </c>
      <c r="GG832">
        <v>1.2981488832102204</v>
      </c>
      <c r="GH832">
        <v>1.3247603501682221</v>
      </c>
      <c r="GI832">
        <v>7.713257979476924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10.274343711843709</v>
      </c>
      <c r="AO833">
        <v>12.169822998393972</v>
      </c>
      <c r="AP833">
        <v>37.652437171921854</v>
      </c>
      <c r="AQ833">
        <v>38.833970494524038</v>
      </c>
      <c r="AR833">
        <v>11.289260666413705</v>
      </c>
      <c r="AS833">
        <v>58.26610358532664</v>
      </c>
      <c r="AT833" t="e">
        <v>#DIV/0!</v>
      </c>
      <c r="AU833" t="e">
        <v>#DIV/0!</v>
      </c>
      <c r="AV833"/>
      <c r="AW833"/>
      <c r="FY833" s="210">
        <v>828</v>
      </c>
      <c r="FZ833">
        <v>6.6366169570396066E-2</v>
      </c>
      <c r="GA833">
        <v>1.8993424842596442</v>
      </c>
      <c r="GB833">
        <v>2.0250996362986355</v>
      </c>
      <c r="GC833">
        <v>6.4229302167320608</v>
      </c>
      <c r="GD833">
        <v>4.3562448314014119</v>
      </c>
      <c r="GE833">
        <v>0.54252891209121246</v>
      </c>
      <c r="GF833">
        <v>1.4515512574996277</v>
      </c>
      <c r="GG833">
        <v>1.4662212121236342</v>
      </c>
      <c r="GH833">
        <v>1.3247603501682221</v>
      </c>
      <c r="GI833">
        <v>4.1600166600604975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10.10370879120879</v>
      </c>
      <c r="AO834">
        <v>9.4764919213633902</v>
      </c>
      <c r="AP834">
        <v>45.64449188920922</v>
      </c>
      <c r="AQ834">
        <v>37.781737464174356</v>
      </c>
      <c r="AR834">
        <v>8.5793479540895419</v>
      </c>
      <c r="AS834">
        <v>38.195639894596347</v>
      </c>
      <c r="AT834" t="e">
        <v>#DIV/0!</v>
      </c>
      <c r="AU834" t="e">
        <v>#DIV/0!</v>
      </c>
      <c r="AV834"/>
      <c r="AW834"/>
      <c r="FY834" s="210">
        <v>829</v>
      </c>
      <c r="FZ834">
        <v>0.55772994557880229</v>
      </c>
      <c r="GA834">
        <v>3.3271258705059426</v>
      </c>
      <c r="GB834">
        <v>1.289488259945843</v>
      </c>
      <c r="GC834">
        <v>3.8714877987127911</v>
      </c>
      <c r="GD834">
        <v>4.0299992495042369</v>
      </c>
      <c r="GE834">
        <v>2.9192127326996307</v>
      </c>
      <c r="GF834">
        <v>1.4515512574996277</v>
      </c>
      <c r="GG834">
        <v>1.9472233248153306</v>
      </c>
      <c r="GH834">
        <v>1.9871405252523333</v>
      </c>
      <c r="GI834">
        <v>3.8605140542214107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9.1232638888888893</v>
      </c>
      <c r="AO835">
        <v>10.375543796445161</v>
      </c>
      <c r="AP835">
        <v>29.849698633500342</v>
      </c>
      <c r="AQ835">
        <v>32.618755616304455</v>
      </c>
      <c r="AR835">
        <v>9.5719434969679433</v>
      </c>
      <c r="AS835">
        <v>39.608675775824949</v>
      </c>
      <c r="AT835" t="e">
        <v>#DIV/0!</v>
      </c>
      <c r="AU835" t="e">
        <v>#DIV/0!</v>
      </c>
      <c r="AV835"/>
      <c r="AW835"/>
      <c r="FY835" s="210">
        <v>830</v>
      </c>
      <c r="FZ835">
        <v>6.6366169570396066E-2</v>
      </c>
      <c r="GA835">
        <v>0.9262178600179557</v>
      </c>
      <c r="GB835">
        <v>0.40851731109667855</v>
      </c>
      <c r="GC835">
        <v>8.7548493433415402</v>
      </c>
      <c r="GD835">
        <v>6.7709087329629121</v>
      </c>
      <c r="GE835">
        <v>0.62702737582634349</v>
      </c>
      <c r="GF835">
        <v>0.38032995424220212</v>
      </c>
      <c r="GG835">
        <v>1.2981488832102204</v>
      </c>
      <c r="GH835">
        <v>1.3247603501682221</v>
      </c>
      <c r="GI835">
        <v>5.2840558003833671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6.3142742673992673</v>
      </c>
      <c r="AO836">
        <v>6.1433641454736234</v>
      </c>
      <c r="AP836">
        <v>22.61841933705767</v>
      </c>
      <c r="AQ836">
        <v>21.832538524139252</v>
      </c>
      <c r="AR836">
        <v>5.540257908471685</v>
      </c>
      <c r="AS836">
        <v>28.918827972739376</v>
      </c>
      <c r="AT836" t="e">
        <v>#DIV/0!</v>
      </c>
      <c r="AU836" t="e">
        <v>#DIV/0!</v>
      </c>
      <c r="AV836"/>
      <c r="AW836"/>
      <c r="FY836" s="210">
        <v>831</v>
      </c>
      <c r="FZ836">
        <v>0.52454686079360424</v>
      </c>
      <c r="GA836">
        <v>3.5283090798239893</v>
      </c>
      <c r="GB836">
        <v>2.5354011280693975</v>
      </c>
      <c r="GC836">
        <v>4.9917212128100736</v>
      </c>
      <c r="GD836">
        <v>4.3045065941096574</v>
      </c>
      <c r="GE836">
        <v>3.1482279568776717</v>
      </c>
      <c r="GF836">
        <v>2.1424426065148507</v>
      </c>
      <c r="GG836">
        <v>0.3361446578268279</v>
      </c>
      <c r="GH836">
        <v>0</v>
      </c>
      <c r="GI836">
        <v>4.2354641624265748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2.7470619658119655</v>
      </c>
      <c r="AO837">
        <v>2.8552486564889321</v>
      </c>
      <c r="AP837">
        <v>16.667226744175835</v>
      </c>
      <c r="AQ837">
        <v>13.133384639572697</v>
      </c>
      <c r="AR837">
        <v>2.542923231040354</v>
      </c>
      <c r="AS837">
        <v>10.807101932595254</v>
      </c>
      <c r="AT837" t="e">
        <v>#DIV/0!</v>
      </c>
      <c r="AU837" t="e">
        <v>#DIV/0!</v>
      </c>
      <c r="AV837"/>
      <c r="AW837"/>
      <c r="FY837" s="210">
        <v>832</v>
      </c>
      <c r="FZ837">
        <v>0.34523114235979718</v>
      </c>
      <c r="GA837">
        <v>1.2554852404654802</v>
      </c>
      <c r="GB837">
        <v>0.40851731109667855</v>
      </c>
      <c r="GC837">
        <v>11.625789878086055</v>
      </c>
      <c r="GD837">
        <v>9.4751082252250338</v>
      </c>
      <c r="GE837">
        <v>3.4792470443830217</v>
      </c>
      <c r="GF837">
        <v>2.6431689784089736</v>
      </c>
      <c r="GG837">
        <v>1.4430063380750886</v>
      </c>
      <c r="GH837">
        <v>1.9871405252523333</v>
      </c>
      <c r="GI837">
        <v>7.8728505180983444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7.3866567460317452</v>
      </c>
      <c r="AO838">
        <v>8.9903656995784988</v>
      </c>
      <c r="AP838">
        <v>33.23979997986163</v>
      </c>
      <c r="AQ838">
        <v>29.827309965975207</v>
      </c>
      <c r="AR838">
        <v>8.2869916445869976</v>
      </c>
      <c r="AS838">
        <v>40.334622009700844</v>
      </c>
      <c r="AT838" t="e">
        <v>#DIV/0!</v>
      </c>
      <c r="AU838" t="e">
        <v>#DIV/0!</v>
      </c>
      <c r="AV838"/>
      <c r="AW838"/>
      <c r="FY838" s="210">
        <v>833</v>
      </c>
      <c r="FZ838">
        <v>0.27886497278940114</v>
      </c>
      <c r="GA838">
        <v>0.58005014356169593</v>
      </c>
      <c r="GB838">
        <v>0.69993699703635026</v>
      </c>
      <c r="GC838">
        <v>3.4230478333955943</v>
      </c>
      <c r="GD838">
        <v>2.6879833927238481</v>
      </c>
      <c r="GE838">
        <v>1.3810661125034183</v>
      </c>
      <c r="GF838">
        <v>1.0712213032574254</v>
      </c>
      <c r="GG838">
        <v>0.64907444160511019</v>
      </c>
      <c r="GH838">
        <v>0.66238017508411107</v>
      </c>
      <c r="GI838">
        <v>2.67621032762804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5.6336805555555554</v>
      </c>
      <c r="AO839">
        <v>6.1530391401409457</v>
      </c>
      <c r="AP839">
        <v>22.77342807200862</v>
      </c>
      <c r="AQ839">
        <v>21.715565614101713</v>
      </c>
      <c r="AR839">
        <v>5.6549632963146834</v>
      </c>
      <c r="AS839">
        <v>38.190692433893119</v>
      </c>
      <c r="AT839" t="e">
        <v>#DIV/0!</v>
      </c>
      <c r="AU839" t="e">
        <v>#DIV/0!</v>
      </c>
      <c r="AV839"/>
      <c r="AW839"/>
      <c r="FY839" s="210">
        <v>834</v>
      </c>
      <c r="FZ839">
        <v>0.2456818880042031</v>
      </c>
      <c r="GA839">
        <v>0.54080783489501949</v>
      </c>
      <c r="GB839">
        <v>0.12787265331161465</v>
      </c>
      <c r="GC839">
        <v>4.7342237143489347</v>
      </c>
      <c r="GD839">
        <v>4.4263511204642105</v>
      </c>
      <c r="GE839">
        <v>2.936718132291809</v>
      </c>
      <c r="GF839">
        <v>2.1424426065148507</v>
      </c>
      <c r="GG839">
        <v>0.81714677051852402</v>
      </c>
      <c r="GH839">
        <v>0.66238017508411107</v>
      </c>
      <c r="GI839">
        <v>3.6701115077909279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6.6089171245421259</v>
      </c>
      <c r="AO840">
        <v>5.69514379703873</v>
      </c>
      <c r="AP840">
        <v>25.61537958672907</v>
      </c>
      <c r="AQ840">
        <v>21.822443647481343</v>
      </c>
      <c r="AR840">
        <v>5.2301995272031663</v>
      </c>
      <c r="AS840">
        <v>25.722982638043714</v>
      </c>
      <c r="AT840" t="e">
        <v>#DIV/0!</v>
      </c>
      <c r="AU840" t="e">
        <v>#DIV/0!</v>
      </c>
      <c r="AV840"/>
      <c r="AW840"/>
      <c r="FY840" s="210">
        <v>835</v>
      </c>
      <c r="FZ840">
        <v>0.2456818880042031</v>
      </c>
      <c r="GA840">
        <v>3.4498244624906356</v>
      </c>
      <c r="GB840">
        <v>2.0912094376562771</v>
      </c>
      <c r="GC840">
        <v>4.8398330974074062</v>
      </c>
      <c r="GD840">
        <v>4.1220887208509431</v>
      </c>
      <c r="GE840">
        <v>1.5381466201962124</v>
      </c>
      <c r="GF840">
        <v>0.76065990848440423</v>
      </c>
      <c r="GG840">
        <v>1.1532914283453519</v>
      </c>
      <c r="GH840">
        <v>0.66238017508411107</v>
      </c>
      <c r="GI840">
        <v>3.808215077030813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5.4085202991452981</v>
      </c>
      <c r="AO841">
        <v>6.5597382508640649</v>
      </c>
      <c r="AP841">
        <v>19.07193559561431</v>
      </c>
      <c r="AQ841">
        <v>20.144413440946128</v>
      </c>
      <c r="AR841">
        <v>6.0322351986552416</v>
      </c>
      <c r="AS841">
        <v>26.284239330390278</v>
      </c>
      <c r="AT841" t="e">
        <v>#DIV/0!</v>
      </c>
      <c r="AU841" t="e">
        <v>#DIV/0!</v>
      </c>
      <c r="AV841"/>
      <c r="AW841"/>
      <c r="FY841" s="210">
        <v>836</v>
      </c>
      <c r="FZ841">
        <v>0.2456818880042031</v>
      </c>
      <c r="GA841">
        <v>0.54080783489501949</v>
      </c>
      <c r="GB841">
        <v>0.69993699703635026</v>
      </c>
      <c r="GC841">
        <v>9.6130218953621824</v>
      </c>
      <c r="GD841">
        <v>8.0371261898758544</v>
      </c>
      <c r="GE841">
        <v>2.304101776650755</v>
      </c>
      <c r="GF841">
        <v>0.38032995424220212</v>
      </c>
      <c r="GG841">
        <v>1.7791509959019165</v>
      </c>
      <c r="GH841">
        <v>1.9871405252523333</v>
      </c>
      <c r="GI841">
        <v>6.3579221960199162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7.3534989316239301</v>
      </c>
      <c r="AO842">
        <v>8.2960585549959909</v>
      </c>
      <c r="AP842">
        <v>28.97841017758568</v>
      </c>
      <c r="AQ842">
        <v>28.55572188772442</v>
      </c>
      <c r="AR842">
        <v>7.6429219371820762</v>
      </c>
      <c r="AS842">
        <v>33.056886410535363</v>
      </c>
      <c r="AT842" t="e">
        <v>#DIV/0!</v>
      </c>
      <c r="AU842" t="e">
        <v>#DIV/0!</v>
      </c>
      <c r="AV842"/>
      <c r="AW842"/>
      <c r="FY842" s="210">
        <v>837</v>
      </c>
      <c r="FZ842">
        <v>0.49136377600840619</v>
      </c>
      <c r="GA842">
        <v>5.5503501560683262</v>
      </c>
      <c r="GB842">
        <v>2.3740275701431752</v>
      </c>
      <c r="GC842">
        <v>4.1832716239357595</v>
      </c>
      <c r="GD842">
        <v>3.7280824006678781</v>
      </c>
      <c r="GE842">
        <v>2.4116946197927751</v>
      </c>
      <c r="GF842">
        <v>1.7621126522726489</v>
      </c>
      <c r="GG842">
        <v>1.9240084507667847</v>
      </c>
      <c r="GH842">
        <v>2.6495207003364443</v>
      </c>
      <c r="GI842">
        <v>4.1874151417144221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11.141903235653235</v>
      </c>
      <c r="AO843">
        <v>12.810579615793083</v>
      </c>
      <c r="AP843">
        <v>42.821546767487433</v>
      </c>
      <c r="AQ843">
        <v>41.767419860261498</v>
      </c>
      <c r="AR843">
        <v>11.777924120932889</v>
      </c>
      <c r="AS843">
        <v>63.975058982323127</v>
      </c>
      <c r="AT843" t="e">
        <v>#DIV/0!</v>
      </c>
      <c r="AU843" t="e">
        <v>#DIV/0!</v>
      </c>
      <c r="AV843"/>
      <c r="AW843"/>
      <c r="FY843" s="210">
        <v>838</v>
      </c>
      <c r="FZ843">
        <v>0.52454686079360424</v>
      </c>
      <c r="GA843">
        <v>0.61929245222837248</v>
      </c>
      <c r="GB843">
        <v>0</v>
      </c>
      <c r="GC843">
        <v>10.329294964533709</v>
      </c>
      <c r="GD843">
        <v>8.2407967021511084</v>
      </c>
      <c r="GE843">
        <v>1.2897128783094598</v>
      </c>
      <c r="GF843">
        <v>0.38032995424220212</v>
      </c>
      <c r="GG843">
        <v>1.2981488832102204</v>
      </c>
      <c r="GH843">
        <v>1.3247603501682221</v>
      </c>
      <c r="GI843">
        <v>6.3396894792947771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5.4878472222222214</v>
      </c>
      <c r="AO844">
        <v>6.8283598855605785</v>
      </c>
      <c r="AP844">
        <v>25.626174610830905</v>
      </c>
      <c r="AQ844">
        <v>23.715061730205342</v>
      </c>
      <c r="AR844">
        <v>6.2814203885406901</v>
      </c>
      <c r="AS844">
        <v>24.86362733003633</v>
      </c>
      <c r="AT844" t="e">
        <v>#DIV/0!</v>
      </c>
      <c r="AU844" t="e">
        <v>#DIV/0!</v>
      </c>
      <c r="AV844"/>
      <c r="AW844"/>
      <c r="FY844" s="210">
        <v>839</v>
      </c>
      <c r="FZ844">
        <v>0.2456818880042031</v>
      </c>
      <c r="GA844">
        <v>2.2259170751347761</v>
      </c>
      <c r="GB844">
        <v>2.0629474903169118</v>
      </c>
      <c r="GC844">
        <v>6.9999258319184454</v>
      </c>
      <c r="GD844">
        <v>5.2838392914296959</v>
      </c>
      <c r="GE844">
        <v>2.7427137072981251</v>
      </c>
      <c r="GF844">
        <v>3.213663909772277</v>
      </c>
      <c r="GG844">
        <v>2.4282254375070265</v>
      </c>
      <c r="GH844">
        <v>2.6495207003364443</v>
      </c>
      <c r="GI844">
        <v>5.5893653498933844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5.5612980769230775</v>
      </c>
      <c r="AO845">
        <v>6.2712984478890936</v>
      </c>
      <c r="AP845">
        <v>26.769038512017854</v>
      </c>
      <c r="AQ845">
        <v>25.241473018735945</v>
      </c>
      <c r="AR845">
        <v>5.7646658081404247</v>
      </c>
      <c r="AS845">
        <v>37.558300741239016</v>
      </c>
      <c r="AT845" t="e">
        <v>#DIV/0!</v>
      </c>
      <c r="AU845" t="e">
        <v>#DIV/0!</v>
      </c>
      <c r="AV845"/>
      <c r="AW845"/>
      <c r="FY845" s="210">
        <v>840</v>
      </c>
      <c r="FZ845">
        <v>0.49136377600840619</v>
      </c>
      <c r="GA845">
        <v>4.7026169133837232</v>
      </c>
      <c r="GB845">
        <v>1.9655102590464966</v>
      </c>
      <c r="GC845">
        <v>6.0361438968393308</v>
      </c>
      <c r="GD845">
        <v>5.9729652738641645</v>
      </c>
      <c r="GE845">
        <v>3.1044492691179535</v>
      </c>
      <c r="GF845">
        <v>0.38032995424220212</v>
      </c>
      <c r="GG845">
        <v>0.81714677051852402</v>
      </c>
      <c r="GH845">
        <v>0.66238017508411107</v>
      </c>
      <c r="GI845">
        <v>5.0207390734725719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6.2395833333333321</v>
      </c>
      <c r="AO846">
        <v>8.7005850438983732</v>
      </c>
      <c r="AP846">
        <v>22.713005401887013</v>
      </c>
      <c r="AQ846">
        <v>25.841181780819841</v>
      </c>
      <c r="AR846">
        <v>8.0710436399799352</v>
      </c>
      <c r="AS846">
        <v>51.399438794287875</v>
      </c>
      <c r="AT846" t="e">
        <v>#DIV/0!</v>
      </c>
      <c r="AU846" t="e">
        <v>#DIV/0!</v>
      </c>
      <c r="AV846"/>
      <c r="AW846"/>
      <c r="FY846" s="210">
        <v>841</v>
      </c>
      <c r="FZ846">
        <v>0.27886497278940114</v>
      </c>
      <c r="GA846">
        <v>2.3905507653585385</v>
      </c>
      <c r="GB846">
        <v>2.1268838169727191</v>
      </c>
      <c r="GC846">
        <v>7.2755485285827106</v>
      </c>
      <c r="GD846">
        <v>5.3560026067748963</v>
      </c>
      <c r="GE846">
        <v>0.83853720041220592</v>
      </c>
      <c r="GF846">
        <v>0.76065990848440423</v>
      </c>
      <c r="GG846">
        <v>0.67228931565365579</v>
      </c>
      <c r="GH846">
        <v>0</v>
      </c>
      <c r="GI846">
        <v>4.7284082959615965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7.9305937118437111</v>
      </c>
      <c r="AO847">
        <v>6.9343198632908543</v>
      </c>
      <c r="AP847">
        <v>28.099643793617076</v>
      </c>
      <c r="AQ847">
        <v>25.746764259252647</v>
      </c>
      <c r="AR847">
        <v>6.3268482837323043</v>
      </c>
      <c r="AS847">
        <v>30.756864752880492</v>
      </c>
      <c r="AT847" t="e">
        <v>#DIV/0!</v>
      </c>
      <c r="AU847" t="e">
        <v>#DIV/0!</v>
      </c>
      <c r="AV847"/>
      <c r="AW847"/>
      <c r="FY847" s="210">
        <v>842</v>
      </c>
      <c r="FZ847">
        <v>0</v>
      </c>
      <c r="GA847">
        <v>3.6313584887231336</v>
      </c>
      <c r="GB847">
        <v>1.7358534250607978</v>
      </c>
      <c r="GC847">
        <v>9.3450598202759121</v>
      </c>
      <c r="GD847">
        <v>7.6430538258346079</v>
      </c>
      <c r="GE847">
        <v>2.0437516149865345</v>
      </c>
      <c r="GF847">
        <v>1.4515512574996277</v>
      </c>
      <c r="GG847">
        <v>2.4282254375070265</v>
      </c>
      <c r="GH847">
        <v>2.6495207003364443</v>
      </c>
      <c r="GI847">
        <v>6.6150985999613807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9.1654647435897409</v>
      </c>
      <c r="AO848">
        <v>12.962443330007181</v>
      </c>
      <c r="AP848">
        <v>37.202369968842305</v>
      </c>
      <c r="AQ848">
        <v>40.535545201450809</v>
      </c>
      <c r="AR848">
        <v>11.865934331972211</v>
      </c>
      <c r="AS848">
        <v>77.65610536836526</v>
      </c>
      <c r="AT848" t="e">
        <v>#DIV/0!</v>
      </c>
      <c r="AU848" t="e">
        <v>#DIV/0!</v>
      </c>
      <c r="AV848"/>
      <c r="AW848"/>
      <c r="FY848" s="210">
        <v>843</v>
      </c>
      <c r="FZ848">
        <v>0.55772994557880229</v>
      </c>
      <c r="GA848">
        <v>1.0347089055663061</v>
      </c>
      <c r="GB848">
        <v>1.9080020111416287</v>
      </c>
      <c r="GC848">
        <v>5.5567500702937851</v>
      </c>
      <c r="GD848">
        <v>4.3556435942228982</v>
      </c>
      <c r="GE848">
        <v>2.7252083077059464</v>
      </c>
      <c r="GF848">
        <v>1.7621126522726489</v>
      </c>
      <c r="GG848">
        <v>0.96200422538339236</v>
      </c>
      <c r="GH848">
        <v>1.3247603501682221</v>
      </c>
      <c r="GI848">
        <v>4.1246232927746691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3.6475694444444442</v>
      </c>
      <c r="AO849">
        <v>4.5183741175556102</v>
      </c>
      <c r="AP849">
        <v>14.829728410620444</v>
      </c>
      <c r="AQ849">
        <v>14.109835699584995</v>
      </c>
      <c r="AR849">
        <v>4.1385764479052831</v>
      </c>
      <c r="AS849">
        <v>22.756774657713919</v>
      </c>
      <c r="AT849" t="e">
        <v>#DIV/0!</v>
      </c>
      <c r="AU849" t="e">
        <v>#DIV/0!</v>
      </c>
      <c r="AV849"/>
      <c r="AW849"/>
      <c r="FY849" s="210">
        <v>844</v>
      </c>
      <c r="FZ849">
        <v>0.77022874879780745</v>
      </c>
      <c r="GA849">
        <v>2.0078335298079946</v>
      </c>
      <c r="GB849">
        <v>1.1084543081330289</v>
      </c>
      <c r="GC849">
        <v>10.313405118970527</v>
      </c>
      <c r="GD849">
        <v>7.8707947146662578</v>
      </c>
      <c r="GE849">
        <v>1.4830699758307275</v>
      </c>
      <c r="GF849">
        <v>1.6417162346207288</v>
      </c>
      <c r="GG849">
        <v>2.1152956537287446</v>
      </c>
      <c r="GH849">
        <v>1.9871405252523333</v>
      </c>
      <c r="GI849">
        <v>6.7499114091342607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5.3894230769230766</v>
      </c>
      <c r="AO850">
        <v>5.9370280767352215</v>
      </c>
      <c r="AP850">
        <v>18.463049468797308</v>
      </c>
      <c r="AQ850">
        <v>20.303736403224207</v>
      </c>
      <c r="AR850">
        <v>5.4017167563152029</v>
      </c>
      <c r="AS850">
        <v>29.765278124217904</v>
      </c>
      <c r="AT850" t="e">
        <v>#DIV/0!</v>
      </c>
      <c r="AU850" t="e">
        <v>#DIV/0!</v>
      </c>
      <c r="AV850"/>
      <c r="AW850"/>
      <c r="FY850" s="210">
        <v>845</v>
      </c>
      <c r="FZ850">
        <v>3.3183084785198033E-2</v>
      </c>
      <c r="GA850">
        <v>3.9213835605039815</v>
      </c>
      <c r="GB850">
        <v>2.4357904220971482</v>
      </c>
      <c r="GC850">
        <v>1.8556225580264258</v>
      </c>
      <c r="GD850">
        <v>2.099004497227023</v>
      </c>
      <c r="GE850">
        <v>2.8997942149909193</v>
      </c>
      <c r="GF850">
        <v>2.522772560757053</v>
      </c>
      <c r="GG850">
        <v>0.67228931565365579</v>
      </c>
      <c r="GH850">
        <v>0</v>
      </c>
      <c r="GI850">
        <v>2.4802439184199532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6.1423992673992673</v>
      </c>
      <c r="AO851">
        <v>6.2572254085083516</v>
      </c>
      <c r="AP851">
        <v>24.311278844851842</v>
      </c>
      <c r="AQ851">
        <v>22.671330815550352</v>
      </c>
      <c r="AR851">
        <v>5.8044762602118292</v>
      </c>
      <c r="AS851">
        <v>25.872499448127481</v>
      </c>
      <c r="AT851" t="e">
        <v>#DIV/0!</v>
      </c>
      <c r="AU851" t="e">
        <v>#DIV/0!</v>
      </c>
      <c r="AV851"/>
      <c r="AW851"/>
      <c r="FY851" s="210">
        <v>846</v>
      </c>
      <c r="FZ851">
        <v>0.2456818880042031</v>
      </c>
      <c r="GA851">
        <v>3.1990416993764645</v>
      </c>
      <c r="GB851">
        <v>2.5354011280693975</v>
      </c>
      <c r="GC851">
        <v>6.1473075200677956</v>
      </c>
      <c r="GD851">
        <v>5.0414677936528172</v>
      </c>
      <c r="GE851">
        <v>2.8997942149909193</v>
      </c>
      <c r="GF851">
        <v>1.7621126522726489</v>
      </c>
      <c r="GG851">
        <v>0.96200422538339236</v>
      </c>
      <c r="GH851">
        <v>1.3247603501682221</v>
      </c>
      <c r="GI851">
        <v>4.8481480690512546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7.8055555555555571</v>
      </c>
      <c r="AO852">
        <v>10.440649465122073</v>
      </c>
      <c r="AP852">
        <v>28.28478287909391</v>
      </c>
      <c r="AQ852">
        <v>31.945220253240731</v>
      </c>
      <c r="AR852">
        <v>9.6852035854564704</v>
      </c>
      <c r="AS852">
        <v>61.265574661104388</v>
      </c>
      <c r="AT852" t="e">
        <v>#DIV/0!</v>
      </c>
      <c r="AU852" t="e">
        <v>#DIV/0!</v>
      </c>
      <c r="AV852"/>
      <c r="AW852"/>
      <c r="FY852" s="210">
        <v>847</v>
      </c>
      <c r="FZ852">
        <v>0.27886497278940114</v>
      </c>
      <c r="GA852">
        <v>1.1770006231321273</v>
      </c>
      <c r="GB852">
        <v>0.98058165482141413</v>
      </c>
      <c r="GC852">
        <v>8.5735095477880652</v>
      </c>
      <c r="GD852">
        <v>6.6015622910173652</v>
      </c>
      <c r="GE852">
        <v>1.5187281024875006</v>
      </c>
      <c r="GF852">
        <v>1.4515512574996277</v>
      </c>
      <c r="GG852">
        <v>0.50421698674024196</v>
      </c>
      <c r="GH852">
        <v>0</v>
      </c>
      <c r="GI852">
        <v>5.3546270603280828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8.4162087912087902</v>
      </c>
      <c r="AO853">
        <v>6.8755207304771373</v>
      </c>
      <c r="AP853">
        <v>34.347627844633955</v>
      </c>
      <c r="AQ853">
        <v>29.26184709170662</v>
      </c>
      <c r="AR853">
        <v>6.2723036336268141</v>
      </c>
      <c r="AS853">
        <v>33.033611430249842</v>
      </c>
      <c r="AT853" t="e">
        <v>#DIV/0!</v>
      </c>
      <c r="AU853" t="e">
        <v>#DIV/0!</v>
      </c>
      <c r="AV853"/>
      <c r="AW853"/>
      <c r="FY853" s="210">
        <v>848</v>
      </c>
      <c r="FZ853">
        <v>0.52454686079360424</v>
      </c>
      <c r="GA853">
        <v>2.8059672186964719</v>
      </c>
      <c r="GB853">
        <v>1.6187557999037911</v>
      </c>
      <c r="GC853">
        <v>13.305844882336697</v>
      </c>
      <c r="GD853">
        <v>10.432261994913826</v>
      </c>
      <c r="GE853">
        <v>2.8628702976900287</v>
      </c>
      <c r="GF853">
        <v>2.1424426065148507</v>
      </c>
      <c r="GG853">
        <v>1.7791509959019165</v>
      </c>
      <c r="GH853">
        <v>1.9871405252523333</v>
      </c>
      <c r="GI853">
        <v>8.9804641004159063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8.3725961538461569</v>
      </c>
      <c r="AO854">
        <v>10.456655012243939</v>
      </c>
      <c r="AP854">
        <v>25.443321524714822</v>
      </c>
      <c r="AQ854">
        <v>30.346572524931677</v>
      </c>
      <c r="AR854">
        <v>9.7000510317661757</v>
      </c>
      <c r="AS854">
        <v>49.351095719619366</v>
      </c>
      <c r="AT854" t="e">
        <v>#DIV/0!</v>
      </c>
      <c r="AU854" t="e">
        <v>#DIV/0!</v>
      </c>
      <c r="AV854"/>
      <c r="AW854"/>
      <c r="FY854" s="210">
        <v>849</v>
      </c>
      <c r="FZ854">
        <v>6.6366169570396066E-2</v>
      </c>
      <c r="GA854">
        <v>0.9262178600179557</v>
      </c>
      <c r="GB854">
        <v>0.40851731109667855</v>
      </c>
      <c r="GC854">
        <v>4.1584369773247376</v>
      </c>
      <c r="GD854">
        <v>3.3104156899814403</v>
      </c>
      <c r="GE854">
        <v>0.52502351249903412</v>
      </c>
      <c r="GF854">
        <v>0.5704949313633032</v>
      </c>
      <c r="GG854">
        <v>2.909227550198723</v>
      </c>
      <c r="GH854">
        <v>3.3119008754205557</v>
      </c>
      <c r="GI854">
        <v>3.2023271986415303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7.8420520451770432</v>
      </c>
      <c r="AO855">
        <v>9.2635227308547421</v>
      </c>
      <c r="AP855">
        <v>37.369444528996233</v>
      </c>
      <c r="AQ855">
        <v>33.441800681611291</v>
      </c>
      <c r="AR855">
        <v>8.4346536277491602</v>
      </c>
      <c r="AS855">
        <v>33.853759452238847</v>
      </c>
      <c r="AT855" t="e">
        <v>#DIV/0!</v>
      </c>
      <c r="AU855" t="e">
        <v>#DIV/0!</v>
      </c>
      <c r="AV855"/>
      <c r="AW855"/>
      <c r="FY855" s="210">
        <v>850</v>
      </c>
      <c r="FZ855">
        <v>0.31204805757459919</v>
      </c>
      <c r="GA855">
        <v>2.0639761744834066</v>
      </c>
      <c r="GB855">
        <v>2.5332276533675637</v>
      </c>
      <c r="GC855">
        <v>6.5499836855237064</v>
      </c>
      <c r="GD855">
        <v>4.9283314182404627</v>
      </c>
      <c r="GE855">
        <v>1.3635607129112401</v>
      </c>
      <c r="GF855">
        <v>0</v>
      </c>
      <c r="GG855">
        <v>0.48100211269169618</v>
      </c>
      <c r="GH855">
        <v>0.66238017508411107</v>
      </c>
      <c r="GI855">
        <v>4.3086699214856656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9.2546169108669094</v>
      </c>
      <c r="AO856">
        <v>8.2244874036283839</v>
      </c>
      <c r="AP856">
        <v>29.033608484973307</v>
      </c>
      <c r="AQ856">
        <v>29.153645361577482</v>
      </c>
      <c r="AR856">
        <v>7.6293946230318959</v>
      </c>
      <c r="AS856">
        <v>37.292837334645142</v>
      </c>
      <c r="AT856" t="e">
        <v>#DIV/0!</v>
      </c>
      <c r="AU856" t="e">
        <v>#DIV/0!</v>
      </c>
      <c r="AV856"/>
      <c r="AW856"/>
      <c r="FY856" s="210">
        <v>851</v>
      </c>
      <c r="FZ856">
        <v>9.9549254355594113E-2</v>
      </c>
      <c r="GA856">
        <v>3.9998681778373344</v>
      </c>
      <c r="GB856">
        <v>3.5799191095466192</v>
      </c>
      <c r="GC856">
        <v>5.2433711681858677</v>
      </c>
      <c r="GD856">
        <v>3.2316694287569736</v>
      </c>
      <c r="GE856">
        <v>0</v>
      </c>
      <c r="GF856">
        <v>0.5704949313633032</v>
      </c>
      <c r="GG856">
        <v>0.50421698674024196</v>
      </c>
      <c r="GH856">
        <v>0</v>
      </c>
      <c r="GI856">
        <v>3.5894239220781632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6.9474206349206344</v>
      </c>
      <c r="AO857">
        <v>7.8685770133265667</v>
      </c>
      <c r="AP857">
        <v>24.964804785858256</v>
      </c>
      <c r="AQ857">
        <v>24.427745410990127</v>
      </c>
      <c r="AR857">
        <v>7.2992365615274268</v>
      </c>
      <c r="AS857">
        <v>31.179648081981988</v>
      </c>
      <c r="AT857" t="e">
        <v>#DIV/0!</v>
      </c>
      <c r="AU857" t="e">
        <v>#DIV/0!</v>
      </c>
      <c r="AV857"/>
      <c r="AW857"/>
      <c r="FY857" s="210">
        <v>852</v>
      </c>
      <c r="FZ857">
        <v>0.52454686079360424</v>
      </c>
      <c r="GA857">
        <v>0.87007521534254384</v>
      </c>
      <c r="GB857">
        <v>1.2720013407610857</v>
      </c>
      <c r="GC857">
        <v>6.5720680470118742</v>
      </c>
      <c r="GD857">
        <v>5.0971470737989284</v>
      </c>
      <c r="GE857">
        <v>2.4116946197927751</v>
      </c>
      <c r="GF857">
        <v>2.3326075836359519</v>
      </c>
      <c r="GG857">
        <v>2.4282254375070265</v>
      </c>
      <c r="GH857">
        <v>2.6495207003364443</v>
      </c>
      <c r="GI857">
        <v>5.0011202383762789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9.0300862332112324</v>
      </c>
      <c r="AO858">
        <v>10.836510590601645</v>
      </c>
      <c r="AP858">
        <v>37.799633336555438</v>
      </c>
      <c r="AQ858">
        <v>37.543473170185464</v>
      </c>
      <c r="AR858">
        <v>9.9995564785602316</v>
      </c>
      <c r="AS858">
        <v>57.079326556092802</v>
      </c>
      <c r="AT858" t="e">
        <v>#DIV/0!</v>
      </c>
      <c r="AU858" t="e">
        <v>#DIV/0!</v>
      </c>
      <c r="AV858"/>
      <c r="AW858"/>
      <c r="FY858" s="210">
        <v>853</v>
      </c>
      <c r="FZ858">
        <v>0.2456818880042031</v>
      </c>
      <c r="GA858">
        <v>5.9826669454149952</v>
      </c>
      <c r="GB858">
        <v>2.7186085545840464</v>
      </c>
      <c r="GC858">
        <v>4.4340596739890028</v>
      </c>
      <c r="GD858">
        <v>3.6551959744085072</v>
      </c>
      <c r="GE858">
        <v>1.3441421952025283</v>
      </c>
      <c r="GF858">
        <v>1.6417162346207288</v>
      </c>
      <c r="GG858">
        <v>2.1152956537287446</v>
      </c>
      <c r="GH858">
        <v>1.9871405252523333</v>
      </c>
      <c r="GI858">
        <v>4.0587560722179612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7.5595619658119659</v>
      </c>
      <c r="AO859">
        <v>6.6776004157030098</v>
      </c>
      <c r="AP859">
        <v>25.254404126525085</v>
      </c>
      <c r="AQ859">
        <v>24.311543355108295</v>
      </c>
      <c r="AR859">
        <v>6.08870408374358</v>
      </c>
      <c r="AS859">
        <v>29.494565677779587</v>
      </c>
      <c r="AT859" t="e">
        <v>#DIV/0!</v>
      </c>
      <c r="AU859" t="e">
        <v>#DIV/0!</v>
      </c>
      <c r="AV859"/>
      <c r="AW859"/>
      <c r="FY859" s="210">
        <v>854</v>
      </c>
      <c r="FZ859">
        <v>0.59091303036400022</v>
      </c>
      <c r="GA859">
        <v>3.2409767976155335</v>
      </c>
      <c r="GB859">
        <v>1.7976162770147712</v>
      </c>
      <c r="GC859">
        <v>6.7288664988696816</v>
      </c>
      <c r="GD859">
        <v>4.7402203607755009</v>
      </c>
      <c r="GE859">
        <v>0.54252891209121246</v>
      </c>
      <c r="GF859">
        <v>1.0712213032574254</v>
      </c>
      <c r="GG859">
        <v>1.1300765542968063</v>
      </c>
      <c r="GH859">
        <v>1.3247603501682221</v>
      </c>
      <c r="GI859">
        <v>4.527028311788361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9.1232638888888875</v>
      </c>
      <c r="AO860">
        <v>11.10352801250999</v>
      </c>
      <c r="AP860">
        <v>34.658137601598142</v>
      </c>
      <c r="AQ860">
        <v>36.047850218942408</v>
      </c>
      <c r="AR860">
        <v>10.247253530423263</v>
      </c>
      <c r="AS860">
        <v>40.491466278534176</v>
      </c>
      <c r="AT860" t="e">
        <v>#DIV/0!</v>
      </c>
      <c r="AU860" t="e">
        <v>#DIV/0!</v>
      </c>
      <c r="AV860"/>
      <c r="AW860"/>
      <c r="FY860" s="210">
        <v>855</v>
      </c>
      <c r="FZ860">
        <v>0.2456818880042031</v>
      </c>
      <c r="GA860">
        <v>4.1618090784887043</v>
      </c>
      <c r="GB860">
        <v>1.8376376057348818</v>
      </c>
      <c r="GC860">
        <v>3.4552497986692554</v>
      </c>
      <c r="GD860">
        <v>3.2513238059494078</v>
      </c>
      <c r="GE860">
        <v>1.4642987855944321</v>
      </c>
      <c r="GF860">
        <v>0.95082488560550527</v>
      </c>
      <c r="GG860">
        <v>2.7643700953338546</v>
      </c>
      <c r="GH860">
        <v>2.6495207003364443</v>
      </c>
      <c r="GI860">
        <v>3.4934132107586051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5.6359890109890109</v>
      </c>
      <c r="AO861">
        <v>3.9420304184702344</v>
      </c>
      <c r="AP861">
        <v>22.761887628277336</v>
      </c>
      <c r="AQ861">
        <v>18.920084132461355</v>
      </c>
      <c r="AR861">
        <v>3.5510695779617847</v>
      </c>
      <c r="AS861">
        <v>19.133067263231347</v>
      </c>
      <c r="AT861" t="e">
        <v>#DIV/0!</v>
      </c>
      <c r="AU861" t="e">
        <v>#DIV/0!</v>
      </c>
      <c r="AV861"/>
      <c r="AW861"/>
      <c r="FY861" s="210">
        <v>856</v>
      </c>
      <c r="FZ861">
        <v>3.3183084785198033E-2</v>
      </c>
      <c r="GA861">
        <v>3.9213835605039815</v>
      </c>
      <c r="GB861">
        <v>3.0078547658218833</v>
      </c>
      <c r="GC861">
        <v>13.614660420829113</v>
      </c>
      <c r="GD861">
        <v>10.158280520145635</v>
      </c>
      <c r="GE861">
        <v>2.098180931879603</v>
      </c>
      <c r="GF861">
        <v>2.522772560757053</v>
      </c>
      <c r="GG861">
        <v>2.5962977664204407</v>
      </c>
      <c r="GH861">
        <v>2.6495207003364443</v>
      </c>
      <c r="GI861">
        <v>9.0199623685461461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7.3998778998779002</v>
      </c>
      <c r="AO862">
        <v>7.9430414673655179</v>
      </c>
      <c r="AP862">
        <v>31.329240314710006</v>
      </c>
      <c r="AQ862">
        <v>28.965719541037117</v>
      </c>
      <c r="AR862">
        <v>7.2625826103321742</v>
      </c>
      <c r="AS862">
        <v>37.716040944833821</v>
      </c>
      <c r="AT862" t="e">
        <v>#DIV/0!</v>
      </c>
      <c r="AU862" t="e">
        <v>#DIV/0!</v>
      </c>
      <c r="AV862"/>
      <c r="AW862"/>
      <c r="FY862" s="210">
        <v>857</v>
      </c>
      <c r="FZ862">
        <v>3.3183084785198033E-2</v>
      </c>
      <c r="GA862">
        <v>2.7078334182775703</v>
      </c>
      <c r="GB862">
        <v>1.289488259945843</v>
      </c>
      <c r="GC862">
        <v>6.7610684641433423</v>
      </c>
      <c r="GD862">
        <v>5.6655605534444398</v>
      </c>
      <c r="GE862">
        <v>1.3635607129112401</v>
      </c>
      <c r="GF862">
        <v>0.38032995424220212</v>
      </c>
      <c r="GG862">
        <v>1.7791509959019165</v>
      </c>
      <c r="GH862">
        <v>1.9871405252523333</v>
      </c>
      <c r="GI862">
        <v>4.7802873132785564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6.4819711538461551</v>
      </c>
      <c r="AO863">
        <v>8.8178203970414977</v>
      </c>
      <c r="AP863">
        <v>23.995593034425092</v>
      </c>
      <c r="AQ863">
        <v>26.440642496603829</v>
      </c>
      <c r="AR863">
        <v>8.1269310670944197</v>
      </c>
      <c r="AS863">
        <v>44.994668825925395</v>
      </c>
      <c r="AT863" t="e">
        <v>#DIV/0!</v>
      </c>
      <c r="AU863" t="e">
        <v>#DIV/0!</v>
      </c>
      <c r="AV863"/>
      <c r="AW863"/>
      <c r="FY863" s="210">
        <v>858</v>
      </c>
      <c r="FZ863">
        <v>6.6366169570396066E-2</v>
      </c>
      <c r="GA863">
        <v>1.8993424842596442</v>
      </c>
      <c r="GB863">
        <v>2.0250996362986355</v>
      </c>
      <c r="GC863">
        <v>12.889735853525101</v>
      </c>
      <c r="GD863">
        <v>9.349322656016124</v>
      </c>
      <c r="GE863">
        <v>0.488099595198144</v>
      </c>
      <c r="GF863">
        <v>0.38032995424220212</v>
      </c>
      <c r="GG863">
        <v>1.7791509959019165</v>
      </c>
      <c r="GH863">
        <v>1.9871405252523333</v>
      </c>
      <c r="GI863">
        <v>7.7173474640420494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11.650412087912086</v>
      </c>
      <c r="AO864">
        <v>14.906020943042972</v>
      </c>
      <c r="AP864">
        <v>44.842595211957558</v>
      </c>
      <c r="AQ864">
        <v>46.439445282419427</v>
      </c>
      <c r="AR864">
        <v>13.721747244541323</v>
      </c>
      <c r="AS864">
        <v>68.60523092469785</v>
      </c>
      <c r="AT864" t="e">
        <v>#DIV/0!</v>
      </c>
      <c r="AU864" t="e">
        <v>#DIV/0!</v>
      </c>
      <c r="AV864"/>
      <c r="AW864"/>
      <c r="FY864" s="210">
        <v>859</v>
      </c>
      <c r="FZ864">
        <v>0.27886497278940114</v>
      </c>
      <c r="GA864">
        <v>6.7442511152091882</v>
      </c>
      <c r="GB864">
        <v>3.6352538827496526</v>
      </c>
      <c r="GC864">
        <v>4.4235950973638705</v>
      </c>
      <c r="GD864">
        <v>3.9459574412234932</v>
      </c>
      <c r="GE864">
        <v>1.8516603081093841</v>
      </c>
      <c r="GF864">
        <v>0</v>
      </c>
      <c r="GG864">
        <v>0.48100211269169618</v>
      </c>
      <c r="GH864">
        <v>0.66238017508411107</v>
      </c>
      <c r="GI864">
        <v>4.0379958886694265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3.7499999999999991</v>
      </c>
      <c r="AO865">
        <v>5.2888951340669292</v>
      </c>
      <c r="AP865">
        <v>20.678245997511588</v>
      </c>
      <c r="AQ865">
        <v>19.388928076114354</v>
      </c>
      <c r="AR865">
        <v>4.9062106995054995</v>
      </c>
      <c r="AS865">
        <v>33.414559404557636</v>
      </c>
      <c r="AT865" t="e">
        <v>#DIV/0!</v>
      </c>
      <c r="AU865" t="e">
        <v>#DIV/0!</v>
      </c>
      <c r="AV865"/>
      <c r="AW865"/>
      <c r="FY865" s="210">
        <v>860</v>
      </c>
      <c r="FZ865">
        <v>0.27886497278940114</v>
      </c>
      <c r="GA865">
        <v>8.0728353938632367</v>
      </c>
      <c r="GB865">
        <v>4.2473395551944986</v>
      </c>
      <c r="GC865">
        <v>1.3931058256386941</v>
      </c>
      <c r="GD865">
        <v>1.3177610222589613</v>
      </c>
      <c r="GE865">
        <v>2.6776337612717063</v>
      </c>
      <c r="GF865">
        <v>3.0234989326511759</v>
      </c>
      <c r="GG865">
        <v>0.3361446578268279</v>
      </c>
      <c r="GH865">
        <v>0</v>
      </c>
      <c r="GI865">
        <v>2.8195259663287726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5.8124999999999991</v>
      </c>
      <c r="AO866">
        <v>7.0758830374687163</v>
      </c>
      <c r="AP866">
        <v>23.74995346693354</v>
      </c>
      <c r="AQ866">
        <v>23.203179911362451</v>
      </c>
      <c r="AR866">
        <v>6.5638989215850794</v>
      </c>
      <c r="AS866">
        <v>33.103694900171192</v>
      </c>
      <c r="AT866" t="e">
        <v>#DIV/0!</v>
      </c>
      <c r="AU866" t="e">
        <v>#DIV/0!</v>
      </c>
      <c r="AV866"/>
      <c r="AW866"/>
      <c r="FY866" s="210">
        <v>861</v>
      </c>
      <c r="FZ866">
        <v>0</v>
      </c>
      <c r="GA866">
        <v>2.9090166275956166</v>
      </c>
      <c r="GB866">
        <v>2.5354011280693975</v>
      </c>
      <c r="GC866">
        <v>6.4097153549840744</v>
      </c>
      <c r="GD866">
        <v>5.4102819276945953</v>
      </c>
      <c r="GE866">
        <v>2.8084409807969601</v>
      </c>
      <c r="GF866">
        <v>1.4515512574996277</v>
      </c>
      <c r="GG866">
        <v>0.50421698674024196</v>
      </c>
      <c r="GH866">
        <v>0</v>
      </c>
      <c r="GI866">
        <v>4.9416113368975685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6.2147817460317452</v>
      </c>
      <c r="AO867">
        <v>6.0445110494052194</v>
      </c>
      <c r="AP867">
        <v>25.584266706633539</v>
      </c>
      <c r="AQ867">
        <v>20.818512978864099</v>
      </c>
      <c r="AR867">
        <v>5.607153107054935</v>
      </c>
      <c r="AS867">
        <v>23.108749210050359</v>
      </c>
      <c r="AT867" t="e">
        <v>#DIV/0!</v>
      </c>
      <c r="AU867" t="e">
        <v>#DIV/0!</v>
      </c>
      <c r="AV867"/>
      <c r="AW867"/>
      <c r="FY867" s="210">
        <v>862</v>
      </c>
      <c r="FZ867">
        <v>0.37841422714499523</v>
      </c>
      <c r="GA867">
        <v>1.4201189306892426</v>
      </c>
      <c r="GB867">
        <v>0.47245363775248589</v>
      </c>
      <c r="GC867">
        <v>4.0178216739454671</v>
      </c>
      <c r="GD867">
        <v>3.4112389860385859</v>
      </c>
      <c r="GE867">
        <v>2.0612570145787128</v>
      </c>
      <c r="GF867">
        <v>1.95227762939375</v>
      </c>
      <c r="GG867">
        <v>0.64907444160511019</v>
      </c>
      <c r="GH867">
        <v>0.66238017508411107</v>
      </c>
      <c r="GI867">
        <v>3.2324393506224873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7.069978632478632</v>
      </c>
      <c r="AO868">
        <v>8.2226730101277816</v>
      </c>
      <c r="AP868">
        <v>30.649557057557526</v>
      </c>
      <c r="AQ868">
        <v>29.159007117356516</v>
      </c>
      <c r="AR868">
        <v>7.5219810730058931</v>
      </c>
      <c r="AS868">
        <v>32.882558595430808</v>
      </c>
      <c r="AT868" t="e">
        <v>#DIV/0!</v>
      </c>
      <c r="AU868" t="e">
        <v>#DIV/0!</v>
      </c>
      <c r="AV868"/>
      <c r="AW868"/>
      <c r="FY868" s="210">
        <v>863</v>
      </c>
      <c r="FZ868">
        <v>0.27886497278940114</v>
      </c>
      <c r="GA868">
        <v>1.3023920046892128</v>
      </c>
      <c r="GB868">
        <v>0.47245363775248589</v>
      </c>
      <c r="GC868">
        <v>2.7159014914550701</v>
      </c>
      <c r="GD868">
        <v>2.4135393103491025</v>
      </c>
      <c r="GE868">
        <v>0.83853720041220592</v>
      </c>
      <c r="GF868">
        <v>0.76065990848440423</v>
      </c>
      <c r="GG868">
        <v>1.1532914283453519</v>
      </c>
      <c r="GH868">
        <v>0.66238017508411107</v>
      </c>
      <c r="GI868">
        <v>2.1529181510970363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7.2964171245421223</v>
      </c>
      <c r="AO869">
        <v>6.6695611083845803</v>
      </c>
      <c r="AP869">
        <v>33.59615207342911</v>
      </c>
      <c r="AQ869">
        <v>28.183263717423049</v>
      </c>
      <c r="AR869">
        <v>6.1341116898616557</v>
      </c>
      <c r="AS869">
        <v>33.308524716253935</v>
      </c>
      <c r="AT869" t="e">
        <v>#DIV/0!</v>
      </c>
      <c r="AU869" t="e">
        <v>#DIV/0!</v>
      </c>
      <c r="AV869"/>
      <c r="AW869"/>
      <c r="FY869" s="210">
        <v>864</v>
      </c>
      <c r="FZ869">
        <v>0.2456818880042031</v>
      </c>
      <c r="GA869">
        <v>3.1990416993764645</v>
      </c>
      <c r="GB869">
        <v>1.3912724406199268</v>
      </c>
      <c r="GC869">
        <v>6.0361438968393308</v>
      </c>
      <c r="GD869">
        <v>5.4233937290977021</v>
      </c>
      <c r="GE869">
        <v>3.0756459129200082</v>
      </c>
      <c r="GF869">
        <v>2.1424426065148507</v>
      </c>
      <c r="GG869">
        <v>0.81714677051852402</v>
      </c>
      <c r="GH869">
        <v>0.66238017508411107</v>
      </c>
      <c r="GI869">
        <v>4.8592609650137941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6.1753472222222223</v>
      </c>
      <c r="AO870">
        <v>7.5140107385201533</v>
      </c>
      <c r="AP870">
        <v>27.495677581546456</v>
      </c>
      <c r="AQ870">
        <v>25.694208396241514</v>
      </c>
      <c r="AR870">
        <v>6.917460140822298</v>
      </c>
      <c r="AS870">
        <v>26.612868016200927</v>
      </c>
      <c r="AT870" t="e">
        <v>#DIV/0!</v>
      </c>
      <c r="AU870" t="e">
        <v>#DIV/0!</v>
      </c>
      <c r="AV870"/>
      <c r="AW870"/>
      <c r="FY870" s="210">
        <v>865</v>
      </c>
      <c r="FZ870">
        <v>6.6366169570396066E-2</v>
      </c>
      <c r="GA870">
        <v>4.6829677302981745</v>
      </c>
      <c r="GB870">
        <v>2.2083070628132839</v>
      </c>
      <c r="GC870">
        <v>5.0242701509233738</v>
      </c>
      <c r="GD870">
        <v>4.613043338094978</v>
      </c>
      <c r="GE870">
        <v>2.3941892202005963</v>
      </c>
      <c r="GF870">
        <v>1.0712213032574254</v>
      </c>
      <c r="GG870">
        <v>2.0920807796801988</v>
      </c>
      <c r="GH870">
        <v>2.6495207003364443</v>
      </c>
      <c r="GI870">
        <v>4.5391629183836422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7.379082722832722</v>
      </c>
      <c r="AO871">
        <v>5.7406748464428503</v>
      </c>
      <c r="AP871">
        <v>28.283606882533423</v>
      </c>
      <c r="AQ871">
        <v>24.274129854475294</v>
      </c>
      <c r="AR871">
        <v>5.3253013417837201</v>
      </c>
      <c r="AS871">
        <v>25.424881733231157</v>
      </c>
      <c r="AT871" t="e">
        <v>#DIV/0!</v>
      </c>
      <c r="AU871" t="e">
        <v>#DIV/0!</v>
      </c>
      <c r="AV871"/>
      <c r="AW871"/>
      <c r="FY871" s="210">
        <v>866</v>
      </c>
      <c r="FZ871">
        <v>3.3183084785198033E-2</v>
      </c>
      <c r="GA871">
        <v>1.7347087940358819</v>
      </c>
      <c r="GB871">
        <v>0.8170346221933571</v>
      </c>
      <c r="GC871">
        <v>6.4741192855313958</v>
      </c>
      <c r="GD871">
        <v>5.6098812732983285</v>
      </c>
      <c r="GE871">
        <v>2.1826793956147341</v>
      </c>
      <c r="GF871">
        <v>1.2613862803785265</v>
      </c>
      <c r="GG871">
        <v>0.81714677051852402</v>
      </c>
      <c r="GH871">
        <v>0.66238017508411107</v>
      </c>
      <c r="GI871">
        <v>4.4944660241580605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11.770871489621488</v>
      </c>
      <c r="AO872">
        <v>14.825218812593784</v>
      </c>
      <c r="AP872">
        <v>50.663986683164296</v>
      </c>
      <c r="AQ872">
        <v>49.6220966800255</v>
      </c>
      <c r="AR872">
        <v>13.646791650432611</v>
      </c>
      <c r="AS872">
        <v>83.919466989484405</v>
      </c>
      <c r="AT872" t="e">
        <v>#DIV/0!</v>
      </c>
      <c r="AU872" t="e">
        <v>#DIV/0!</v>
      </c>
      <c r="AV872"/>
      <c r="AW872"/>
      <c r="FY872" s="210">
        <v>867</v>
      </c>
      <c r="FZ872">
        <v>0.80341183358300561</v>
      </c>
      <c r="GA872">
        <v>3.0098432175869108</v>
      </c>
      <c r="GB872">
        <v>0.98275512952324828</v>
      </c>
      <c r="GC872">
        <v>8.7664691282045766</v>
      </c>
      <c r="GD872">
        <v>7.0763008087231274</v>
      </c>
      <c r="GE872">
        <v>1.8691657077015624</v>
      </c>
      <c r="GF872">
        <v>1.2613862803785265</v>
      </c>
      <c r="GG872">
        <v>0.81714677051852402</v>
      </c>
      <c r="GH872">
        <v>0.66238017508411107</v>
      </c>
      <c r="GI872">
        <v>5.9877544143784585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6.3472222222222205</v>
      </c>
      <c r="AO873">
        <v>7.8353053420342391</v>
      </c>
      <c r="AP873">
        <v>26.414574177178093</v>
      </c>
      <c r="AQ873">
        <v>26.747603282182641</v>
      </c>
      <c r="AR873">
        <v>7.2683723024436357</v>
      </c>
      <c r="AS873">
        <v>28.751904093355176</v>
      </c>
      <c r="AT873" t="e">
        <v>#DIV/0!</v>
      </c>
      <c r="AU873" t="e">
        <v>#DIV/0!</v>
      </c>
      <c r="AV873"/>
      <c r="AW873"/>
      <c r="FY873" s="210">
        <v>868</v>
      </c>
      <c r="FZ873">
        <v>0.49136377600840619</v>
      </c>
      <c r="GA873">
        <v>3.4890667711573125</v>
      </c>
      <c r="GB873">
        <v>1.3912724406199268</v>
      </c>
      <c r="GC873">
        <v>5.7491947182273844</v>
      </c>
      <c r="GD873">
        <v>4.7509742624986488</v>
      </c>
      <c r="GE873">
        <v>2.098180931879603</v>
      </c>
      <c r="GF873">
        <v>2.522772560757053</v>
      </c>
      <c r="GG873">
        <v>1.1532914283453519</v>
      </c>
      <c r="GH873">
        <v>0.66238017508411107</v>
      </c>
      <c r="GI873">
        <v>4.4113646819104453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8.4970619658119677</v>
      </c>
      <c r="AO874">
        <v>12.75000288645054</v>
      </c>
      <c r="AP874">
        <v>36.631128188848493</v>
      </c>
      <c r="AQ874">
        <v>38.58193533430655</v>
      </c>
      <c r="AR874">
        <v>11.827460933627592</v>
      </c>
      <c r="AS874">
        <v>77.12182106299845</v>
      </c>
      <c r="AT874" t="e">
        <v>#DIV/0!</v>
      </c>
      <c r="AU874" t="e">
        <v>#DIV/0!</v>
      </c>
      <c r="AV874"/>
      <c r="AW874"/>
      <c r="FY874" s="210">
        <v>869</v>
      </c>
      <c r="FZ874">
        <v>0.49136377600840619</v>
      </c>
      <c r="GA874">
        <v>7.2354593963080838</v>
      </c>
      <c r="GB874">
        <v>3.737038063423737</v>
      </c>
      <c r="GC874">
        <v>5.1544208776775129</v>
      </c>
      <c r="GD874">
        <v>4.4045715382088444</v>
      </c>
      <c r="GE874">
        <v>2.7252083077059464</v>
      </c>
      <c r="GF874">
        <v>2.3326075836359519</v>
      </c>
      <c r="GG874">
        <v>0.98521909943193808</v>
      </c>
      <c r="GH874">
        <v>0.66238017508411107</v>
      </c>
      <c r="GI874">
        <v>4.8158839663885065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7.537736568986567</v>
      </c>
      <c r="AO875">
        <v>6.7106973069555069</v>
      </c>
      <c r="AP875">
        <v>30.762715524631069</v>
      </c>
      <c r="AQ875">
        <v>26.060960993890227</v>
      </c>
      <c r="AR875">
        <v>6.2251366483817323</v>
      </c>
      <c r="AS875">
        <v>28.454350234441677</v>
      </c>
      <c r="AT875" t="e">
        <v>#DIV/0!</v>
      </c>
      <c r="AU875" t="e">
        <v>#DIV/0!</v>
      </c>
      <c r="AV875"/>
      <c r="AW875"/>
      <c r="FY875" s="210">
        <v>870</v>
      </c>
      <c r="FZ875">
        <v>0</v>
      </c>
      <c r="GA875">
        <v>6.183850154733042</v>
      </c>
      <c r="GB875">
        <v>3.5203297322944804</v>
      </c>
      <c r="GC875">
        <v>6.7175400169220012</v>
      </c>
      <c r="GD875">
        <v>5.4277313357004315</v>
      </c>
      <c r="GE875">
        <v>1.9060896250024524</v>
      </c>
      <c r="GF875">
        <v>1.0712213032574254</v>
      </c>
      <c r="GG875">
        <v>1.6110786669885027</v>
      </c>
      <c r="GH875">
        <v>1.9871405252523333</v>
      </c>
      <c r="GI875">
        <v>5.3783375565021441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8.1108630952380931</v>
      </c>
      <c r="AO876">
        <v>4.6845006945740391</v>
      </c>
      <c r="AP876">
        <v>33.910355495326023</v>
      </c>
      <c r="AQ876">
        <v>24.166710087823276</v>
      </c>
      <c r="AR876">
        <v>4.1869522953922944</v>
      </c>
      <c r="AS876">
        <v>16.752908338595844</v>
      </c>
      <c r="AT876" t="e">
        <v>#DIV/0!</v>
      </c>
      <c r="AU876" t="e">
        <v>#DIV/0!</v>
      </c>
      <c r="AV876"/>
      <c r="AW876"/>
      <c r="FY876" s="210">
        <v>871</v>
      </c>
      <c r="FZ876">
        <v>3.3183084785198033E-2</v>
      </c>
      <c r="GA876">
        <v>4.7587595580591353</v>
      </c>
      <c r="GB876">
        <v>3.3902836042810316</v>
      </c>
      <c r="GC876">
        <v>2.8270651146835335</v>
      </c>
      <c r="GD876">
        <v>2.3757365922752935</v>
      </c>
      <c r="GE876">
        <v>1.9060896250024524</v>
      </c>
      <c r="GF876">
        <v>1.0712213032574254</v>
      </c>
      <c r="GG876">
        <v>1.1300765542968063</v>
      </c>
      <c r="GH876">
        <v>1.3247603501682221</v>
      </c>
      <c r="GI876">
        <v>2.9779295829023273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6.9547657203907205</v>
      </c>
      <c r="AO877">
        <v>8.1981506722302822</v>
      </c>
      <c r="AP877">
        <v>28.284239218413909</v>
      </c>
      <c r="AQ877">
        <v>26.970235600278084</v>
      </c>
      <c r="AR877">
        <v>7.5520982982528491</v>
      </c>
      <c r="AS877">
        <v>36.766886678804653</v>
      </c>
      <c r="AT877" t="e">
        <v>#DIV/0!</v>
      </c>
      <c r="AU877" t="e">
        <v>#DIV/0!</v>
      </c>
      <c r="AV877"/>
      <c r="AW877"/>
      <c r="FY877" s="210">
        <v>872</v>
      </c>
      <c r="FZ877">
        <v>3.3183084785198033E-2</v>
      </c>
      <c r="GA877">
        <v>6.9454343245272359</v>
      </c>
      <c r="GB877">
        <v>3.864910716735352</v>
      </c>
      <c r="GC877">
        <v>7.4599855820986782</v>
      </c>
      <c r="GD877">
        <v>6.0375524618327621</v>
      </c>
      <c r="GE877">
        <v>1.5381466201962124</v>
      </c>
      <c r="GF877">
        <v>0.5704949313633032</v>
      </c>
      <c r="GG877">
        <v>0.98521909943193808</v>
      </c>
      <c r="GH877">
        <v>0.66238017508411107</v>
      </c>
      <c r="GI877">
        <v>5.6688915862110445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5.264957264957264</v>
      </c>
      <c r="AO878">
        <v>5.3545599026608697</v>
      </c>
      <c r="AP878">
        <v>18.534505773212334</v>
      </c>
      <c r="AQ878">
        <v>18.257476066854949</v>
      </c>
      <c r="AR878">
        <v>4.8613937747991089</v>
      </c>
      <c r="AS878">
        <v>19.47013717646238</v>
      </c>
      <c r="AT878" t="e">
        <v>#DIV/0!</v>
      </c>
      <c r="AU878" t="e">
        <v>#DIV/0!</v>
      </c>
      <c r="AV878"/>
      <c r="AW878"/>
      <c r="FY878" s="210">
        <v>873</v>
      </c>
      <c r="FZ878">
        <v>0.55772994557880229</v>
      </c>
      <c r="GA878">
        <v>1.6316593851367374</v>
      </c>
      <c r="GB878">
        <v>1.0445179814772214</v>
      </c>
      <c r="GC878">
        <v>3.8711408258731526</v>
      </c>
      <c r="GD878">
        <v>2.9420919722368035</v>
      </c>
      <c r="GE878">
        <v>1.5731574193805689</v>
      </c>
      <c r="GF878">
        <v>2.522772560757053</v>
      </c>
      <c r="GG878">
        <v>1.634293541037048</v>
      </c>
      <c r="GH878">
        <v>1.3247603501682221</v>
      </c>
      <c r="GI878">
        <v>3.0214790664131508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3.7430555555555558</v>
      </c>
      <c r="AO879">
        <v>3.5193934666749698</v>
      </c>
      <c r="AP879">
        <v>12.851331794586351</v>
      </c>
      <c r="AQ879">
        <v>12.750938280458383</v>
      </c>
      <c r="AR879">
        <v>3.26474347557975</v>
      </c>
      <c r="AS879">
        <v>15.628834320375816</v>
      </c>
      <c r="AT879" t="e">
        <v>#DIV/0!</v>
      </c>
      <c r="AU879" t="e">
        <v>#DIV/0!</v>
      </c>
      <c r="AV879"/>
      <c r="AW879"/>
      <c r="FY879" s="210">
        <v>874</v>
      </c>
      <c r="FZ879">
        <v>0.31204805757459919</v>
      </c>
      <c r="GA879">
        <v>1.3416343133558895</v>
      </c>
      <c r="GB879">
        <v>1.0445179814772214</v>
      </c>
      <c r="GC879">
        <v>1.5585557756289865</v>
      </c>
      <c r="GD879">
        <v>2.0799400817116491</v>
      </c>
      <c r="GE879">
        <v>3.3878938101890634</v>
      </c>
      <c r="GF879">
        <v>1.95227762939375</v>
      </c>
      <c r="GG879">
        <v>0.64907444160511019</v>
      </c>
      <c r="GH879">
        <v>0.66238017508411107</v>
      </c>
      <c r="GI879">
        <v>2.270621788088671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7.4439484126984112</v>
      </c>
      <c r="AO880">
        <v>7.9863709941369176</v>
      </c>
      <c r="AP880">
        <v>28.320145930515203</v>
      </c>
      <c r="AQ880">
        <v>27.852410083988914</v>
      </c>
      <c r="AR880">
        <v>7.3027769765394135</v>
      </c>
      <c r="AS880">
        <v>30.682827930678872</v>
      </c>
      <c r="AT880" t="e">
        <v>#DIV/0!</v>
      </c>
      <c r="AU880" t="e">
        <v>#DIV/0!</v>
      </c>
      <c r="AV880"/>
      <c r="AW880"/>
      <c r="FY880" s="210">
        <v>875</v>
      </c>
      <c r="FZ880">
        <v>6.6366169570396066E-2</v>
      </c>
      <c r="GA880">
        <v>4.0756600055982943</v>
      </c>
      <c r="GB880">
        <v>3.0457026198401604</v>
      </c>
      <c r="GC880">
        <v>9.7186312784206557</v>
      </c>
      <c r="GD880">
        <v>7.2524320883505773</v>
      </c>
      <c r="GE880">
        <v>1.0131231076971783</v>
      </c>
      <c r="GF880">
        <v>0.19016497712110106</v>
      </c>
      <c r="GG880">
        <v>1.6110786669885027</v>
      </c>
      <c r="GH880">
        <v>1.9871405252523333</v>
      </c>
      <c r="GI880">
        <v>6.4836135140137143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6.6198298229548218</v>
      </c>
      <c r="AO881">
        <v>7.4434288745774442</v>
      </c>
      <c r="AP881">
        <v>32.639054876842636</v>
      </c>
      <c r="AQ881">
        <v>29.341129373558516</v>
      </c>
      <c r="AR881">
        <v>6.8519853134171864</v>
      </c>
      <c r="AS881">
        <v>41.841065495634531</v>
      </c>
      <c r="AT881" t="e">
        <v>#DIV/0!</v>
      </c>
      <c r="AU881" t="e">
        <v>#DIV/0!</v>
      </c>
      <c r="AV881"/>
      <c r="AW881"/>
      <c r="FY881" s="210">
        <v>876</v>
      </c>
      <c r="FZ881">
        <v>0.73704566401260951</v>
      </c>
      <c r="GA881">
        <v>0.99546659689962957</v>
      </c>
      <c r="GB881">
        <v>6.3936326655807327E-2</v>
      </c>
      <c r="GC881">
        <v>6.901977070437967</v>
      </c>
      <c r="GD881">
        <v>5.9871687287429278</v>
      </c>
      <c r="GE881">
        <v>1.8147363908084939</v>
      </c>
      <c r="GF881">
        <v>0.38032995424220212</v>
      </c>
      <c r="GG881">
        <v>1.2981488832102204</v>
      </c>
      <c r="GH881">
        <v>1.3247603501682221</v>
      </c>
      <c r="GI881">
        <v>4.6779863029449302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6.2106036324786329</v>
      </c>
      <c r="AO882">
        <v>7.3097554064316244</v>
      </c>
      <c r="AP882">
        <v>22.178857422236071</v>
      </c>
      <c r="AQ882">
        <v>24.086985705598117</v>
      </c>
      <c r="AR882">
        <v>6.7279839515008417</v>
      </c>
      <c r="AS882">
        <v>26.147446512851218</v>
      </c>
      <c r="AT882" t="e">
        <v>#DIV/0!</v>
      </c>
      <c r="AU882" t="e">
        <v>#DIV/0!</v>
      </c>
      <c r="AV882"/>
      <c r="AW882"/>
      <c r="FY882" s="210">
        <v>877</v>
      </c>
      <c r="FZ882">
        <v>9.9549254355594113E-2</v>
      </c>
      <c r="GA882">
        <v>4.7222100389648514</v>
      </c>
      <c r="GB882">
        <v>2.2083070628132839</v>
      </c>
      <c r="GC882">
        <v>2.0124210098842332</v>
      </c>
      <c r="GD882">
        <v>1.8962628308168314</v>
      </c>
      <c r="GE882">
        <v>1.3441421952025283</v>
      </c>
      <c r="GF882">
        <v>0.88105632613632445</v>
      </c>
      <c r="GG882">
        <v>0.96200422538339236</v>
      </c>
      <c r="GH882">
        <v>1.3247603501682221</v>
      </c>
      <c r="GI882">
        <v>2.2719556923477868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9.5226076007326004</v>
      </c>
      <c r="AO883">
        <v>9.935355293359768</v>
      </c>
      <c r="AP883">
        <v>29.736178866133063</v>
      </c>
      <c r="AQ883">
        <v>31.236613465682048</v>
      </c>
      <c r="AR883">
        <v>9.1636053679462481</v>
      </c>
      <c r="AS883">
        <v>38.37414611473514</v>
      </c>
      <c r="AT883" t="e">
        <v>#DIV/0!</v>
      </c>
      <c r="AU883" t="e">
        <v>#DIV/0!</v>
      </c>
      <c r="AV883"/>
      <c r="AW883"/>
      <c r="FY883" s="210">
        <v>878</v>
      </c>
      <c r="FZ883">
        <v>0</v>
      </c>
      <c r="GA883">
        <v>3.9971753882649419</v>
      </c>
      <c r="GB883">
        <v>1.9015739323906893</v>
      </c>
      <c r="GC883">
        <v>9.7698203472199907</v>
      </c>
      <c r="GD883">
        <v>8.0755859750056533</v>
      </c>
      <c r="GE883">
        <v>2.3203413855988164</v>
      </c>
      <c r="GF883">
        <v>1.2613862803785265</v>
      </c>
      <c r="GG883">
        <v>2.7411552212853092</v>
      </c>
      <c r="GH883">
        <v>3.3119008754205557</v>
      </c>
      <c r="GI883">
        <v>7.0983645156390587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7.593788156288154</v>
      </c>
      <c r="AO884">
        <v>7.1875848633214918</v>
      </c>
      <c r="AP884">
        <v>27.909128978002435</v>
      </c>
      <c r="AQ884">
        <v>26.719861746488242</v>
      </c>
      <c r="AR884">
        <v>6.5617879869147124</v>
      </c>
      <c r="AS884">
        <v>30.249089124540578</v>
      </c>
      <c r="AT884" t="e">
        <v>#DIV/0!</v>
      </c>
      <c r="AU884" t="e">
        <v>#DIV/0!</v>
      </c>
      <c r="AV884"/>
      <c r="AW884"/>
      <c r="FY884" s="210">
        <v>879</v>
      </c>
      <c r="FZ884">
        <v>0.49136377600840619</v>
      </c>
      <c r="GA884">
        <v>1.5531747678033843</v>
      </c>
      <c r="GB884">
        <v>0.47245363775248589</v>
      </c>
      <c r="GC884">
        <v>8.4546853029816091</v>
      </c>
      <c r="GD884">
        <v>6.4666463333496447</v>
      </c>
      <c r="GE884">
        <v>0.52502351249903412</v>
      </c>
      <c r="GF884">
        <v>0.19016497712110106</v>
      </c>
      <c r="GG884">
        <v>1.1300765542968063</v>
      </c>
      <c r="GH884">
        <v>1.3247603501682221</v>
      </c>
      <c r="GI884">
        <v>5.2255285495916866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9.4434905372405353</v>
      </c>
      <c r="AO885">
        <v>7.915412940427748</v>
      </c>
      <c r="AP885">
        <v>38.611553341404111</v>
      </c>
      <c r="AQ885">
        <v>32.544152783873038</v>
      </c>
      <c r="AR885">
        <v>7.2369531790355444</v>
      </c>
      <c r="AS885">
        <v>39.660142894211369</v>
      </c>
      <c r="AT885" t="e">
        <v>#DIV/0!</v>
      </c>
      <c r="AU885" t="e">
        <v>#DIV/0!</v>
      </c>
      <c r="AV885"/>
      <c r="AW885"/>
      <c r="FY885" s="210">
        <v>880</v>
      </c>
      <c r="FZ885">
        <v>9.9549254355594113E-2</v>
      </c>
      <c r="GA885">
        <v>1.3416343133558895</v>
      </c>
      <c r="GB885">
        <v>2.3165193222383071</v>
      </c>
      <c r="GC885">
        <v>2.0913826678390359</v>
      </c>
      <c r="GD885">
        <v>1.6905061976706897</v>
      </c>
      <c r="GE885">
        <v>2.5862805270777471</v>
      </c>
      <c r="GF885">
        <v>1.95227762939375</v>
      </c>
      <c r="GG885">
        <v>1.1300765542968063</v>
      </c>
      <c r="GH885">
        <v>1.3247603501682221</v>
      </c>
      <c r="GI885">
        <v>2.4089995554351091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9.9238591269841248</v>
      </c>
      <c r="AO886">
        <v>8.8586861486463704</v>
      </c>
      <c r="AP886">
        <v>38.581665552321127</v>
      </c>
      <c r="AQ886">
        <v>33.803318916652806</v>
      </c>
      <c r="AR886">
        <v>8.1648399275813119</v>
      </c>
      <c r="AS886">
        <v>40.076559565402327</v>
      </c>
      <c r="AT886" t="e">
        <v>#DIV/0!</v>
      </c>
      <c r="AU886" t="e">
        <v>#DIV/0!</v>
      </c>
      <c r="AV886"/>
      <c r="AW886"/>
      <c r="FY886" s="210">
        <v>881</v>
      </c>
      <c r="FZ886">
        <v>0.2456818880042031</v>
      </c>
      <c r="GA886">
        <v>4.1618090784887043</v>
      </c>
      <c r="GB886">
        <v>2.4097019494596168</v>
      </c>
      <c r="GC886">
        <v>3.0053076522745159</v>
      </c>
      <c r="GD886">
        <v>2.6188613570755783</v>
      </c>
      <c r="GE886">
        <v>2.2371087125078026</v>
      </c>
      <c r="GF886">
        <v>2.1424426065148507</v>
      </c>
      <c r="GG886">
        <v>0.81714677051852402</v>
      </c>
      <c r="GH886">
        <v>0.66238017508411107</v>
      </c>
      <c r="GI886">
        <v>2.9688722712747611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6.2229662698412689</v>
      </c>
      <c r="AO887">
        <v>4.8690688554776091</v>
      </c>
      <c r="AP887">
        <v>27.638281120128482</v>
      </c>
      <c r="AQ887">
        <v>21.795105369711425</v>
      </c>
      <c r="AR887">
        <v>4.4638962418960055</v>
      </c>
      <c r="AS887">
        <v>20.491112250890168</v>
      </c>
      <c r="AT887" t="e">
        <v>#DIV/0!</v>
      </c>
      <c r="AU887" t="e">
        <v>#DIV/0!</v>
      </c>
      <c r="AV887"/>
      <c r="AW887"/>
      <c r="FY887" s="210">
        <v>882</v>
      </c>
      <c r="FZ887">
        <v>0.2456818880042031</v>
      </c>
      <c r="GA887">
        <v>4.2872004600457903</v>
      </c>
      <c r="GB887">
        <v>3.0457026198401604</v>
      </c>
      <c r="GC887">
        <v>2.9731056870008552</v>
      </c>
      <c r="GD887">
        <v>2.4330308799309428</v>
      </c>
      <c r="GE887">
        <v>1.8322417904006723</v>
      </c>
      <c r="GF887">
        <v>1.2613862803785265</v>
      </c>
      <c r="GG887">
        <v>1.2981488832102204</v>
      </c>
      <c r="GH887">
        <v>1.3247603501682221</v>
      </c>
      <c r="GI887">
        <v>3.0345001033170127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10.054601648351646</v>
      </c>
      <c r="AO888">
        <v>9.3902134673956521</v>
      </c>
      <c r="AP888">
        <v>37.759787748548291</v>
      </c>
      <c r="AQ888">
        <v>33.766198582265837</v>
      </c>
      <c r="AR888">
        <v>8.7107731608493992</v>
      </c>
      <c r="AS888">
        <v>41.204041369064058</v>
      </c>
      <c r="AT888" t="e">
        <v>#DIV/0!</v>
      </c>
      <c r="AU888" t="e">
        <v>#DIV/0!</v>
      </c>
      <c r="AV888"/>
      <c r="AW888"/>
      <c r="FY888" s="210">
        <v>883</v>
      </c>
      <c r="FZ888">
        <v>0.49136377600840619</v>
      </c>
      <c r="GA888">
        <v>1.4277833862462987</v>
      </c>
      <c r="GB888">
        <v>0.40851731109667855</v>
      </c>
      <c r="GC888">
        <v>13.782216752227407</v>
      </c>
      <c r="GD888">
        <v>10.417136053121602</v>
      </c>
      <c r="GE888">
        <v>1.0675524245902468</v>
      </c>
      <c r="GF888">
        <v>1.0712213032574254</v>
      </c>
      <c r="GG888">
        <v>1.1300765542968063</v>
      </c>
      <c r="GH888">
        <v>1.3247603501682221</v>
      </c>
      <c r="GI888">
        <v>8.1742003469531355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6.1845619658119642</v>
      </c>
      <c r="AO889">
        <v>4.8261777690224852</v>
      </c>
      <c r="AP889">
        <v>21.799380599951213</v>
      </c>
      <c r="AQ889">
        <v>20.123603048058758</v>
      </c>
      <c r="AR889">
        <v>4.3712433725371564</v>
      </c>
      <c r="AS889">
        <v>24.156668957415498</v>
      </c>
      <c r="AT889" t="e">
        <v>#DIV/0!</v>
      </c>
      <c r="AU889" t="e">
        <v>#DIV/0!</v>
      </c>
      <c r="AV889"/>
      <c r="AW889"/>
      <c r="FY889" s="210">
        <v>884</v>
      </c>
      <c r="FZ889">
        <v>0.31204805757459919</v>
      </c>
      <c r="GA889">
        <v>3.9998681778373344</v>
      </c>
      <c r="GB889">
        <v>2.8799821125102687</v>
      </c>
      <c r="GC889">
        <v>8.866012966570004</v>
      </c>
      <c r="GD889">
        <v>6.7331060148891035</v>
      </c>
      <c r="GE889">
        <v>1.69457980041659</v>
      </c>
      <c r="GF889">
        <v>1.6417162346207288</v>
      </c>
      <c r="GG889">
        <v>0.67228931565365579</v>
      </c>
      <c r="GH889">
        <v>0</v>
      </c>
      <c r="GI889">
        <v>5.9162583391251768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3.7342414529914527</v>
      </c>
      <c r="AO890">
        <v>3.685981413769293</v>
      </c>
      <c r="AP890">
        <v>16.770341039724244</v>
      </c>
      <c r="AQ890">
        <v>15.258944054109051</v>
      </c>
      <c r="AR890">
        <v>3.3135473101501498</v>
      </c>
      <c r="AS890">
        <v>15.15336053682819</v>
      </c>
      <c r="AT890" t="e">
        <v>#DIV/0!</v>
      </c>
      <c r="AU890" t="e">
        <v>#DIV/0!</v>
      </c>
      <c r="AV890"/>
      <c r="AW890"/>
      <c r="FY890" s="210">
        <v>885</v>
      </c>
      <c r="FZ890">
        <v>9.9549254355594113E-2</v>
      </c>
      <c r="GA890">
        <v>4.9626355569495741</v>
      </c>
      <c r="GB890">
        <v>3.4542199309368389</v>
      </c>
      <c r="GC890">
        <v>3.11401429329548</v>
      </c>
      <c r="GD890">
        <v>2.4135393103491025</v>
      </c>
      <c r="GE890">
        <v>1.0500470249980682</v>
      </c>
      <c r="GF890">
        <v>0.19016497712110106</v>
      </c>
      <c r="GG890">
        <v>0.16807232891341395</v>
      </c>
      <c r="GH890">
        <v>0</v>
      </c>
      <c r="GI890">
        <v>2.7174935820194244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9.3467643467643438</v>
      </c>
      <c r="AO891">
        <v>10.75282311486086</v>
      </c>
      <c r="AP891">
        <v>37.295420303660698</v>
      </c>
      <c r="AQ891">
        <v>35.443912952852912</v>
      </c>
      <c r="AR891">
        <v>9.9747895314108153</v>
      </c>
      <c r="AS891">
        <v>56.038064542073805</v>
      </c>
      <c r="AT891" t="e">
        <v>#DIV/0!</v>
      </c>
      <c r="AU891" t="e">
        <v>#DIV/0!</v>
      </c>
      <c r="AV891"/>
      <c r="AW891"/>
      <c r="FY891" s="210">
        <v>886</v>
      </c>
      <c r="FZ891">
        <v>0.52454686079360424</v>
      </c>
      <c r="GA891">
        <v>5.4642010831779171</v>
      </c>
      <c r="GB891">
        <v>2.3100912434873679</v>
      </c>
      <c r="GC891">
        <v>7.6136867759939921</v>
      </c>
      <c r="GD891">
        <v>6.4932567201323863</v>
      </c>
      <c r="GE891">
        <v>2.3941892202005963</v>
      </c>
      <c r="GF891">
        <v>1.2613862803785265</v>
      </c>
      <c r="GG891">
        <v>1.2981488832102204</v>
      </c>
      <c r="GH891">
        <v>1.3247603501682221</v>
      </c>
      <c r="GI891">
        <v>5.9347584957337478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6.9524572649572631</v>
      </c>
      <c r="AO892">
        <v>7.6540768540379132</v>
      </c>
      <c r="AP892">
        <v>20.824791989263392</v>
      </c>
      <c r="AQ892">
        <v>24.181556268123011</v>
      </c>
      <c r="AR892">
        <v>7.1002568219275624</v>
      </c>
      <c r="AS892">
        <v>31.597197020907213</v>
      </c>
      <c r="AT892" t="e">
        <v>#DIV/0!</v>
      </c>
      <c r="AU892" t="e">
        <v>#DIV/0!</v>
      </c>
      <c r="AV892"/>
      <c r="AW892"/>
      <c r="FY892" s="210">
        <v>887</v>
      </c>
      <c r="FZ892">
        <v>0.31204805757459919</v>
      </c>
      <c r="GA892">
        <v>5.0880269385066601</v>
      </c>
      <c r="GB892">
        <v>2.8182192605562957</v>
      </c>
      <c r="GC892">
        <v>4.8643744411030738</v>
      </c>
      <c r="GD892">
        <v>4.1315199827073128</v>
      </c>
      <c r="GE892">
        <v>1.4655645762385494</v>
      </c>
      <c r="GF892">
        <v>0.38032995424220212</v>
      </c>
      <c r="GG892">
        <v>1.2981488832102204</v>
      </c>
      <c r="GH892">
        <v>1.3247603501682221</v>
      </c>
      <c r="GI892">
        <v>3.9767178849665283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4.9705242673992673</v>
      </c>
      <c r="AO893">
        <v>3.6709801506629609</v>
      </c>
      <c r="AP893">
        <v>21.885982257789117</v>
      </c>
      <c r="AQ893">
        <v>17.722668986073046</v>
      </c>
      <c r="AR893">
        <v>3.3524967012516194</v>
      </c>
      <c r="AS893">
        <v>16.121708321756451</v>
      </c>
      <c r="AT893" t="e">
        <v>#DIV/0!</v>
      </c>
      <c r="AU893" t="e">
        <v>#DIV/0!</v>
      </c>
      <c r="AV893"/>
      <c r="AW893"/>
      <c r="FY893" s="210">
        <v>888</v>
      </c>
      <c r="FZ893">
        <v>0.59091303036400022</v>
      </c>
      <c r="GA893">
        <v>5.6680770820683559</v>
      </c>
      <c r="GB893">
        <v>2.9460919138679103</v>
      </c>
      <c r="GC893">
        <v>11.025114824526552</v>
      </c>
      <c r="GD893">
        <v>8.0506360507569426</v>
      </c>
      <c r="GE893">
        <v>1.3985715120955966</v>
      </c>
      <c r="GF893">
        <v>2.1424426065148507</v>
      </c>
      <c r="GG893">
        <v>1.2981488832102204</v>
      </c>
      <c r="GH893">
        <v>1.3247603501682221</v>
      </c>
      <c r="GI893">
        <v>7.4915059907274832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10.620402167277167</v>
      </c>
      <c r="AO894">
        <v>11.674906100283231</v>
      </c>
      <c r="AP894">
        <v>41.315521902792042</v>
      </c>
      <c r="AQ894">
        <v>40.477303921203543</v>
      </c>
      <c r="AR894">
        <v>10.777288862309385</v>
      </c>
      <c r="AS894">
        <v>58.131623558775956</v>
      </c>
      <c r="AT894" t="e">
        <v>#DIV/0!</v>
      </c>
      <c r="AU894" t="e">
        <v>#DIV/0!</v>
      </c>
      <c r="AV894"/>
      <c r="AW894"/>
      <c r="FY894" s="210">
        <v>889</v>
      </c>
      <c r="FZ894">
        <v>3.3183084785198033E-2</v>
      </c>
      <c r="GA894">
        <v>4.5183340400744125</v>
      </c>
      <c r="GB894">
        <v>3.2884994236069476</v>
      </c>
      <c r="GC894">
        <v>9.0154440997651726</v>
      </c>
      <c r="GD894">
        <v>7.0563746527216216</v>
      </c>
      <c r="GE894">
        <v>2.2196033129156243</v>
      </c>
      <c r="GF894">
        <v>1.4515512574996277</v>
      </c>
      <c r="GG894">
        <v>1.4662212121236342</v>
      </c>
      <c r="GH894">
        <v>1.3247603501682221</v>
      </c>
      <c r="GI894">
        <v>6.5513255408262161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6.125</v>
      </c>
      <c r="AO895">
        <v>8.670954895419662</v>
      </c>
      <c r="AP895">
        <v>23.361021045573708</v>
      </c>
      <c r="AQ895">
        <v>25.833877761572378</v>
      </c>
      <c r="AR895">
        <v>8.0435574169013542</v>
      </c>
      <c r="AS895">
        <v>45.831932668071232</v>
      </c>
      <c r="AT895" t="e">
        <v>#DIV/0!</v>
      </c>
      <c r="AU895" t="e">
        <v>#DIV/0!</v>
      </c>
      <c r="AV895"/>
      <c r="AW895"/>
      <c r="FY895" s="210">
        <v>890</v>
      </c>
      <c r="FZ895">
        <v>0.2456818880042031</v>
      </c>
      <c r="GA895">
        <v>3.3244330809335505</v>
      </c>
      <c r="GB895">
        <v>2.0272731110004698</v>
      </c>
      <c r="GC895">
        <v>8.7474820246789005</v>
      </c>
      <c r="GD895">
        <v>7.0064255060514524</v>
      </c>
      <c r="GE895">
        <v>2.6601283616795275</v>
      </c>
      <c r="GF895">
        <v>2.3326075836359519</v>
      </c>
      <c r="GG895">
        <v>1.9472233248153306</v>
      </c>
      <c r="GH895">
        <v>1.9871405252523333</v>
      </c>
      <c r="GI895">
        <v>6.4867020213552564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3.9663461538461542</v>
      </c>
      <c r="AO896">
        <v>3.9331400772504823</v>
      </c>
      <c r="AP896">
        <v>21.119527756710216</v>
      </c>
      <c r="AQ896">
        <v>16.941986371831149</v>
      </c>
      <c r="AR896">
        <v>3.5428225081846492</v>
      </c>
      <c r="AS896">
        <v>16.239767881256356</v>
      </c>
      <c r="AT896" t="e">
        <v>#DIV/0!</v>
      </c>
      <c r="AU896" t="e">
        <v>#DIV/0!</v>
      </c>
      <c r="AV896"/>
      <c r="AW896"/>
      <c r="FY896" s="210">
        <v>891</v>
      </c>
      <c r="FZ896">
        <v>0.27886497278940114</v>
      </c>
      <c r="GA896">
        <v>1.4277833862462987</v>
      </c>
      <c r="GB896">
        <v>1.1084543081330289</v>
      </c>
      <c r="GC896">
        <v>2.1180303929427051</v>
      </c>
      <c r="GD896">
        <v>1.8325448156875654</v>
      </c>
      <c r="GE896">
        <v>1.5187281024875006</v>
      </c>
      <c r="GF896">
        <v>1.2613862803785265</v>
      </c>
      <c r="GG896">
        <v>1.2981488832102204</v>
      </c>
      <c r="GH896">
        <v>1.3247603501682221</v>
      </c>
      <c r="GI896">
        <v>2.1341926559874156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7.2351190476190466</v>
      </c>
      <c r="AO897">
        <v>4.7923629186247165</v>
      </c>
      <c r="AP897">
        <v>25.396396872979455</v>
      </c>
      <c r="AQ897">
        <v>21.269312461202666</v>
      </c>
      <c r="AR897">
        <v>4.3398752367321745</v>
      </c>
      <c r="AS897">
        <v>21.461330153837292</v>
      </c>
      <c r="AT897" t="e">
        <v>#DIV/0!</v>
      </c>
      <c r="AU897" t="e">
        <v>#DIV/0!</v>
      </c>
      <c r="AV897"/>
      <c r="AW897"/>
      <c r="FY897" s="210">
        <v>892</v>
      </c>
      <c r="FZ897">
        <v>0.27886497278940114</v>
      </c>
      <c r="GA897">
        <v>3.1128926264860555</v>
      </c>
      <c r="GB897">
        <v>1.899400457688855</v>
      </c>
      <c r="GC897">
        <v>5.8548041012858567</v>
      </c>
      <c r="GD897">
        <v>4.8593178560549202</v>
      </c>
      <c r="GE897">
        <v>3.1657333564698504</v>
      </c>
      <c r="GF897">
        <v>3.0234989326511759</v>
      </c>
      <c r="GG897">
        <v>0.81714677051852402</v>
      </c>
      <c r="GH897">
        <v>0.66238017508411107</v>
      </c>
      <c r="GI897">
        <v>4.807104842967366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6.9045902014651999</v>
      </c>
      <c r="AO898">
        <v>4.9780896017969436</v>
      </c>
      <c r="AP898">
        <v>27.135759256306233</v>
      </c>
      <c r="AQ898">
        <v>21.735758942296606</v>
      </c>
      <c r="AR898">
        <v>4.5650286596319383</v>
      </c>
      <c r="AS898">
        <v>22.690240368246055</v>
      </c>
      <c r="AT898" t="e">
        <v>#DIV/0!</v>
      </c>
      <c r="AU898" t="e">
        <v>#DIV/0!</v>
      </c>
      <c r="AV898"/>
      <c r="AW898"/>
      <c r="FY898" s="210">
        <v>893</v>
      </c>
      <c r="FZ898">
        <v>0.49136377600840619</v>
      </c>
      <c r="GA898">
        <v>3.6144581527143984</v>
      </c>
      <c r="GB898">
        <v>2.0272731110004698</v>
      </c>
      <c r="GC898">
        <v>2.705143611914584</v>
      </c>
      <c r="GD898">
        <v>2.2967223953900096</v>
      </c>
      <c r="GE898">
        <v>2.098180931879603</v>
      </c>
      <c r="GF898">
        <v>2.3326075836359519</v>
      </c>
      <c r="GG898">
        <v>1.4662212121236342</v>
      </c>
      <c r="GH898">
        <v>1.3247603501682221</v>
      </c>
      <c r="GI898">
        <v>2.918892306801133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9.5121527777777786</v>
      </c>
      <c r="AO899">
        <v>13.490608167440474</v>
      </c>
      <c r="AP899">
        <v>34.083620939889329</v>
      </c>
      <c r="AQ899">
        <v>39.29482825796623</v>
      </c>
      <c r="AR899">
        <v>12.461613599932059</v>
      </c>
      <c r="AS899">
        <v>76.408603742094698</v>
      </c>
      <c r="AT899" t="e">
        <v>#DIV/0!</v>
      </c>
      <c r="AU899" t="e">
        <v>#DIV/0!</v>
      </c>
      <c r="AV899"/>
      <c r="AW899"/>
      <c r="FY899" s="210">
        <v>894</v>
      </c>
      <c r="FZ899">
        <v>6.6366169570396066E-2</v>
      </c>
      <c r="GA899">
        <v>7.5816271127643429</v>
      </c>
      <c r="GB899">
        <v>4.1455553745204154</v>
      </c>
      <c r="GC899">
        <v>9.5884805516665157</v>
      </c>
      <c r="GD899">
        <v>7.4066171349638141</v>
      </c>
      <c r="GE899">
        <v>1.1151269710244875</v>
      </c>
      <c r="GF899">
        <v>0.95082488560550527</v>
      </c>
      <c r="GG899">
        <v>1.321363757258766</v>
      </c>
      <c r="GH899">
        <v>0.66238017508411107</v>
      </c>
      <c r="GI899">
        <v>6.8042902837362007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8.5394345238095237</v>
      </c>
      <c r="AO900">
        <v>9.6978205608669317</v>
      </c>
      <c r="AP900">
        <v>33.657922350120415</v>
      </c>
      <c r="AQ900">
        <v>32.715861019197462</v>
      </c>
      <c r="AR900">
        <v>8.9432577496783097</v>
      </c>
      <c r="AS900">
        <v>53.382045519040602</v>
      </c>
      <c r="AT900" t="e">
        <v>#DIV/0!</v>
      </c>
      <c r="AU900" t="e">
        <v>#DIV/0!</v>
      </c>
      <c r="AV900"/>
      <c r="AW900"/>
      <c r="FY900" s="210">
        <v>895</v>
      </c>
      <c r="FZ900">
        <v>0.2456818880042031</v>
      </c>
      <c r="GA900">
        <v>4.1618090784887043</v>
      </c>
      <c r="GB900">
        <v>2.4097019494596168</v>
      </c>
      <c r="GC900">
        <v>7.0290305392296144</v>
      </c>
      <c r="GD900">
        <v>5.3892630448158352</v>
      </c>
      <c r="GE900">
        <v>0.80161328311131574</v>
      </c>
      <c r="GF900">
        <v>0.38032995424220212</v>
      </c>
      <c r="GG900">
        <v>0.81714677051852402</v>
      </c>
      <c r="GH900">
        <v>0.66238017508411107</v>
      </c>
      <c r="GI900">
        <v>4.7142145297794995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6.0510912698412707</v>
      </c>
      <c r="AO901">
        <v>4.499573222230155</v>
      </c>
      <c r="AP901">
        <v>22.835674422374534</v>
      </c>
      <c r="AQ901">
        <v>18.169736258938599</v>
      </c>
      <c r="AR901">
        <v>4.1740011337942065</v>
      </c>
      <c r="AS901">
        <v>17.4888048262906</v>
      </c>
      <c r="AT901" t="e">
        <v>#DIV/0!</v>
      </c>
      <c r="AU901" t="e">
        <v>#DIV/0!</v>
      </c>
      <c r="AV901"/>
      <c r="AW901"/>
      <c r="FY901" s="210">
        <v>896</v>
      </c>
      <c r="FZ901">
        <v>0.27886497278940114</v>
      </c>
      <c r="GA901">
        <v>4.0860172507277435</v>
      </c>
      <c r="GB901">
        <v>4.0880471266155469</v>
      </c>
      <c r="GC901">
        <v>4.1023375720702617</v>
      </c>
      <c r="GD901">
        <v>2.7503088809799014</v>
      </c>
      <c r="GE901">
        <v>1.0500470249980682</v>
      </c>
      <c r="GF901">
        <v>0</v>
      </c>
      <c r="GG901">
        <v>1.4430063380750886</v>
      </c>
      <c r="GH901">
        <v>1.9871405252523333</v>
      </c>
      <c r="GI901">
        <v>3.4395156619323521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10.084611568986569</v>
      </c>
      <c r="AO902">
        <v>9.8197401741430017</v>
      </c>
      <c r="AP902">
        <v>36.497894661786958</v>
      </c>
      <c r="AQ902">
        <v>34.61902591327658</v>
      </c>
      <c r="AR902">
        <v>9.0563557211774448</v>
      </c>
      <c r="AS902">
        <v>41.021030596336558</v>
      </c>
      <c r="AT902" t="e">
        <v>#DIV/0!</v>
      </c>
      <c r="AU902" t="e">
        <v>#DIV/0!</v>
      </c>
      <c r="AV902"/>
      <c r="AW902"/>
      <c r="FY902" s="210">
        <v>897</v>
      </c>
      <c r="FZ902">
        <v>0</v>
      </c>
      <c r="GA902">
        <v>1.8208578669262911</v>
      </c>
      <c r="GB902">
        <v>1.4530352925739001</v>
      </c>
      <c r="GC902">
        <v>7.1567242837762528</v>
      </c>
      <c r="GD902">
        <v>6.0648322645745463</v>
      </c>
      <c r="GE902">
        <v>2.1000940499961365</v>
      </c>
      <c r="GF902">
        <v>0.5704949313633032</v>
      </c>
      <c r="GG902">
        <v>0.98521909943193808</v>
      </c>
      <c r="GH902">
        <v>0.66238017508411107</v>
      </c>
      <c r="GI902">
        <v>5.1294060235521499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7.4330357142857135</v>
      </c>
      <c r="AO903">
        <v>6.4981787652320762</v>
      </c>
      <c r="AP903">
        <v>28.973294625783446</v>
      </c>
      <c r="AQ903">
        <v>25.659710329273668</v>
      </c>
      <c r="AR903">
        <v>6.0279951440000712</v>
      </c>
      <c r="AS903">
        <v>36.374276474551301</v>
      </c>
      <c r="AT903" t="e">
        <v>#DIV/0!</v>
      </c>
      <c r="AU903" t="e">
        <v>#DIV/0!</v>
      </c>
      <c r="AV903"/>
      <c r="AW903"/>
      <c r="FY903" s="210">
        <v>898</v>
      </c>
      <c r="FZ903">
        <v>0.13273233914079213</v>
      </c>
      <c r="GA903">
        <v>3.3167686253764943</v>
      </c>
      <c r="GB903">
        <v>2.0912094376562771</v>
      </c>
      <c r="GC903">
        <v>6.0008446736031784</v>
      </c>
      <c r="GD903">
        <v>4.7617700300413439</v>
      </c>
      <c r="GE903">
        <v>1.1520508883253777</v>
      </c>
      <c r="GF903">
        <v>0.38032995424220212</v>
      </c>
      <c r="GG903">
        <v>1.7791509959019165</v>
      </c>
      <c r="GH903">
        <v>1.9871405252523333</v>
      </c>
      <c r="GI903">
        <v>4.5241184204364684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11.717757936507937</v>
      </c>
      <c r="AO904">
        <v>12.432957011176146</v>
      </c>
      <c r="AP904">
        <v>44.515872365643745</v>
      </c>
      <c r="AQ904">
        <v>41.936262244300131</v>
      </c>
      <c r="AR904">
        <v>11.427624858765045</v>
      </c>
      <c r="AS904">
        <v>58.960122372613888</v>
      </c>
      <c r="AT904" t="e">
        <v>#DIV/0!</v>
      </c>
      <c r="AU904" t="e">
        <v>#DIV/0!</v>
      </c>
      <c r="AV904"/>
      <c r="AW904"/>
      <c r="FY904" s="210">
        <v>899</v>
      </c>
      <c r="FZ904">
        <v>3.3183084785198033E-2</v>
      </c>
      <c r="GA904">
        <v>8.7559349463240785</v>
      </c>
      <c r="GB904">
        <v>4.7197931929469847</v>
      </c>
      <c r="GC904">
        <v>5.292232226009645</v>
      </c>
      <c r="GD904">
        <v>4.8535877225789781</v>
      </c>
      <c r="GE904">
        <v>2.8822888153987405</v>
      </c>
      <c r="GF904">
        <v>1.2613862803785265</v>
      </c>
      <c r="GG904">
        <v>0.81714677051852402</v>
      </c>
      <c r="GH904">
        <v>0.66238017508411107</v>
      </c>
      <c r="GI904">
        <v>5.0785614977314628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9.0290178571428577</v>
      </c>
      <c r="AO905">
        <v>10.849020137515776</v>
      </c>
      <c r="AP905">
        <v>39.606134772062049</v>
      </c>
      <c r="AQ905">
        <v>36.925296974486677</v>
      </c>
      <c r="AR905">
        <v>10.011160882005619</v>
      </c>
      <c r="AS905">
        <v>37.929479633194234</v>
      </c>
      <c r="AT905" t="e">
        <v>#DIV/0!</v>
      </c>
      <c r="AU905" t="e">
        <v>#DIV/0!</v>
      </c>
      <c r="AV905"/>
      <c r="AW905"/>
      <c r="FY905" s="210">
        <v>900</v>
      </c>
      <c r="FZ905">
        <v>0</v>
      </c>
      <c r="GA905">
        <v>4.7195172493924584</v>
      </c>
      <c r="GB905">
        <v>2.8182192605562957</v>
      </c>
      <c r="GC905">
        <v>6.4419173202577351</v>
      </c>
      <c r="GD905">
        <v>5.3376914582829285</v>
      </c>
      <c r="GE905">
        <v>2.1457554783138439</v>
      </c>
      <c r="GF905">
        <v>1.0712213032574254</v>
      </c>
      <c r="GG905">
        <v>1.6110786669885027</v>
      </c>
      <c r="GH905">
        <v>1.9871405252523333</v>
      </c>
      <c r="GI905">
        <v>5.1268380212930325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9.5446428571428577</v>
      </c>
      <c r="AO906">
        <v>10.711174912391005</v>
      </c>
      <c r="AP906">
        <v>38.301949744834552</v>
      </c>
      <c r="AQ906">
        <v>36.765097427406971</v>
      </c>
      <c r="AR906">
        <v>9.8304243960701054</v>
      </c>
      <c r="AS906">
        <v>42.699474043271543</v>
      </c>
      <c r="AT906" t="e">
        <v>#DIV/0!</v>
      </c>
      <c r="AU906" t="e">
        <v>#DIV/0!</v>
      </c>
      <c r="AV906"/>
      <c r="AW906"/>
      <c r="FY906" s="210">
        <v>901</v>
      </c>
      <c r="FZ906">
        <v>0.27886497278940114</v>
      </c>
      <c r="GA906">
        <v>2.0247338658167298</v>
      </c>
      <c r="GB906">
        <v>1.9611633096428283</v>
      </c>
      <c r="GC906">
        <v>5.1377617851273962</v>
      </c>
      <c r="GD906">
        <v>4.1712056439514757</v>
      </c>
      <c r="GE906">
        <v>2.1457554783138439</v>
      </c>
      <c r="GF906">
        <v>1.2613862803785265</v>
      </c>
      <c r="GG906">
        <v>0.81714677051852402</v>
      </c>
      <c r="GH906">
        <v>0.66238017508411107</v>
      </c>
      <c r="GI906">
        <v>3.9445035888919646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3.6798878205128198</v>
      </c>
      <c r="AO907">
        <v>3.5033489347444737</v>
      </c>
      <c r="AP907">
        <v>16.517568748554858</v>
      </c>
      <c r="AQ907">
        <v>14.302894148030887</v>
      </c>
      <c r="AR907">
        <v>3.1969946456686058</v>
      </c>
      <c r="AS907">
        <v>16.981784546194394</v>
      </c>
      <c r="AT907" t="e">
        <v>#DIV/0!</v>
      </c>
      <c r="AU907" t="e">
        <v>#DIV/0!</v>
      </c>
      <c r="AV907"/>
      <c r="AW907"/>
      <c r="FY907" s="210">
        <v>902</v>
      </c>
      <c r="FZ907">
        <v>0</v>
      </c>
      <c r="GA907">
        <v>4.9703000125066303</v>
      </c>
      <c r="GB907">
        <v>2.9460919138679103</v>
      </c>
      <c r="GC907">
        <v>9.747735985731822</v>
      </c>
      <c r="GD907">
        <v>7.8204109815764236</v>
      </c>
      <c r="GE907">
        <v>2.1826793956147341</v>
      </c>
      <c r="GF907">
        <v>1.6417162346207288</v>
      </c>
      <c r="GG907">
        <v>0.67228931565365579</v>
      </c>
      <c r="GH907">
        <v>0</v>
      </c>
      <c r="GI907">
        <v>6.6525069194068172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7.192746489621487</v>
      </c>
      <c r="AO908">
        <v>7.9232576721595409</v>
      </c>
      <c r="AP908">
        <v>30.798339992967453</v>
      </c>
      <c r="AQ908">
        <v>28.481144091996111</v>
      </c>
      <c r="AR908">
        <v>7.1913650760838541</v>
      </c>
      <c r="AS908">
        <v>37.586616533635983</v>
      </c>
      <c r="AT908" t="e">
        <v>#DIV/0!</v>
      </c>
      <c r="AU908" t="e">
        <v>#DIV/0!</v>
      </c>
      <c r="AV908"/>
      <c r="AW908"/>
      <c r="FY908" s="210">
        <v>903</v>
      </c>
      <c r="FZ908">
        <v>6.6366169570396066E-2</v>
      </c>
      <c r="GA908">
        <v>0.9262178600179557</v>
      </c>
      <c r="GB908">
        <v>0.40851731109667855</v>
      </c>
      <c r="GC908">
        <v>9.7667230892574981</v>
      </c>
      <c r="GD908">
        <v>8.0987580841342321</v>
      </c>
      <c r="GE908">
        <v>2.8997942149909193</v>
      </c>
      <c r="GF908">
        <v>1.95227762939375</v>
      </c>
      <c r="GG908">
        <v>1.1300765542968063</v>
      </c>
      <c r="GH908">
        <v>1.3247603501682221</v>
      </c>
      <c r="GI908">
        <v>6.5276344577869114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6.2882326007325986</v>
      </c>
      <c r="AO909">
        <v>4.7565176580787156</v>
      </c>
      <c r="AP909">
        <v>25.706634412914362</v>
      </c>
      <c r="AQ909">
        <v>21.275623431636415</v>
      </c>
      <c r="AR909">
        <v>4.3066236035726213</v>
      </c>
      <c r="AS909">
        <v>19.943436840104404</v>
      </c>
      <c r="AT909" t="e">
        <v>#DIV/0!</v>
      </c>
      <c r="AU909" t="e">
        <v>#DIV/0!</v>
      </c>
      <c r="AV909"/>
      <c r="AW909"/>
      <c r="FY909" s="210">
        <v>904</v>
      </c>
      <c r="FZ909">
        <v>0.52454686079360424</v>
      </c>
      <c r="GA909">
        <v>3.5283090798239893</v>
      </c>
      <c r="GB909">
        <v>1.9633367843446625</v>
      </c>
      <c r="GC909">
        <v>3.8610232220876588</v>
      </c>
      <c r="GD909">
        <v>3.3734362679647774</v>
      </c>
      <c r="GE909">
        <v>3.1288094391689594</v>
      </c>
      <c r="GF909">
        <v>3.4038288868933777</v>
      </c>
      <c r="GG909">
        <v>2.1152956537287446</v>
      </c>
      <c r="GH909">
        <v>1.9871405252523333</v>
      </c>
      <c r="GI909">
        <v>4.0489793289871505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11.016407203907203</v>
      </c>
      <c r="AO910">
        <v>11.253846092311171</v>
      </c>
      <c r="AP910">
        <v>43.555323406133617</v>
      </c>
      <c r="AQ910">
        <v>39.642632416194559</v>
      </c>
      <c r="AR910">
        <v>10.439560382477895</v>
      </c>
      <c r="AS910">
        <v>58.598490567515015</v>
      </c>
      <c r="AT910" t="e">
        <v>#DIV/0!</v>
      </c>
      <c r="AU910" t="e">
        <v>#DIV/0!</v>
      </c>
      <c r="AV910"/>
      <c r="AW910"/>
      <c r="FY910" s="210">
        <v>905</v>
      </c>
      <c r="FZ910">
        <v>6.6366169570396066E-2</v>
      </c>
      <c r="GA910">
        <v>2.0143766206872811</v>
      </c>
      <c r="GB910">
        <v>1.4908831465921764</v>
      </c>
      <c r="GC910">
        <v>11.038329686274537</v>
      </c>
      <c r="GD910">
        <v>8.3713824855692991</v>
      </c>
      <c r="GE910">
        <v>1.9235950245946309</v>
      </c>
      <c r="GF910">
        <v>2.1424426065148507</v>
      </c>
      <c r="GG910">
        <v>2.2601531085936126</v>
      </c>
      <c r="GH910">
        <v>2.6495207003364443</v>
      </c>
      <c r="GI910">
        <v>7.2646463258075347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8.4613476800976795</v>
      </c>
      <c r="AO911">
        <v>7.7565936537273004</v>
      </c>
      <c r="AP911">
        <v>27.882322620431076</v>
      </c>
      <c r="AQ911">
        <v>26.611171212733623</v>
      </c>
      <c r="AR911">
        <v>7.1953558939956404</v>
      </c>
      <c r="AS911">
        <v>32.492941696520305</v>
      </c>
      <c r="AT911" t="e">
        <v>#DIV/0!</v>
      </c>
      <c r="AU911" t="e">
        <v>#DIV/0!</v>
      </c>
      <c r="AV911"/>
      <c r="AW911"/>
      <c r="FY911" s="210">
        <v>906</v>
      </c>
      <c r="FZ911">
        <v>0.73704566401260951</v>
      </c>
      <c r="GA911">
        <v>6.8031426069614138</v>
      </c>
      <c r="GB911">
        <v>2.8203927352581299</v>
      </c>
      <c r="GC911">
        <v>8.881334209725992</v>
      </c>
      <c r="GD911">
        <v>7.1001004679912008</v>
      </c>
      <c r="GE911">
        <v>1.5925759370892807</v>
      </c>
      <c r="GF911">
        <v>1.6417162346207288</v>
      </c>
      <c r="GG911">
        <v>1.1532914283453519</v>
      </c>
      <c r="GH911">
        <v>0.66238017508411107</v>
      </c>
      <c r="GI911">
        <v>6.2847188721411955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5.7182539682539675</v>
      </c>
      <c r="AO912">
        <v>5.6956336051774255</v>
      </c>
      <c r="AP912">
        <v>29.520876677887244</v>
      </c>
      <c r="AQ912">
        <v>23.225285353440697</v>
      </c>
      <c r="AR912">
        <v>5.2835191142647737</v>
      </c>
      <c r="AS912">
        <v>28.158730631705684</v>
      </c>
      <c r="AT912" t="e">
        <v>#DIV/0!</v>
      </c>
      <c r="AU912" t="e">
        <v>#DIV/0!</v>
      </c>
      <c r="AV912"/>
      <c r="AW912"/>
      <c r="FY912" s="210">
        <v>907</v>
      </c>
      <c r="FZ912">
        <v>0.27886497278940114</v>
      </c>
      <c r="GA912">
        <v>2.515942146915624</v>
      </c>
      <c r="GB912">
        <v>2.1908201436285264</v>
      </c>
      <c r="GC912">
        <v>8.866012966570004</v>
      </c>
      <c r="GD912">
        <v>6.5610444062035649</v>
      </c>
      <c r="GE912">
        <v>1.3441421952025283</v>
      </c>
      <c r="GF912">
        <v>1.0712213032574254</v>
      </c>
      <c r="GG912">
        <v>0.64907444160511019</v>
      </c>
      <c r="GH912">
        <v>0.66238017508411107</v>
      </c>
      <c r="GI912">
        <v>5.6012577395919037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5.8506944444444446</v>
      </c>
      <c r="AO913">
        <v>8.5500919758893215</v>
      </c>
      <c r="AP913">
        <v>25.0302365143719</v>
      </c>
      <c r="AQ913">
        <v>25.943043987278624</v>
      </c>
      <c r="AR913">
        <v>7.9314396807878689</v>
      </c>
      <c r="AS913">
        <v>33.096300850893932</v>
      </c>
      <c r="AT913" t="e">
        <v>#DIV/0!</v>
      </c>
      <c r="AU913" t="e">
        <v>#DIV/0!</v>
      </c>
      <c r="AV913"/>
      <c r="AW913"/>
      <c r="FY913" s="210">
        <v>908</v>
      </c>
      <c r="FZ913">
        <v>0.2456818880042031</v>
      </c>
      <c r="GA913">
        <v>4.1618090784887043</v>
      </c>
      <c r="GB913">
        <v>1.8376376057348818</v>
      </c>
      <c r="GC913">
        <v>2.7272279734027518</v>
      </c>
      <c r="GD913">
        <v>2.2428702285367779</v>
      </c>
      <c r="GE913">
        <v>1.0675524245902468</v>
      </c>
      <c r="GF913">
        <v>1.2613862803785265</v>
      </c>
      <c r="GG913">
        <v>1.2981488832102204</v>
      </c>
      <c r="GH913">
        <v>1.3247603501682221</v>
      </c>
      <c r="GI913">
        <v>2.7036255195027659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6.9092261904761898</v>
      </c>
      <c r="AO914">
        <v>7.526343119370547</v>
      </c>
      <c r="AP914">
        <v>28.395076127219678</v>
      </c>
      <c r="AQ914">
        <v>26.126115889976383</v>
      </c>
      <c r="AR914">
        <v>6.9817654168557972</v>
      </c>
      <c r="AS914">
        <v>38.60507772707448</v>
      </c>
      <c r="AT914" t="e">
        <v>#DIV/0!</v>
      </c>
      <c r="AU914" t="e">
        <v>#DIV/0!</v>
      </c>
      <c r="AV914"/>
      <c r="AW914"/>
      <c r="FY914" s="210">
        <v>909</v>
      </c>
      <c r="FZ914">
        <v>0.2456818880042031</v>
      </c>
      <c r="GA914">
        <v>1.1377583144654506</v>
      </c>
      <c r="GB914">
        <v>0.40851731109667855</v>
      </c>
      <c r="GC914">
        <v>8.0271208209903904</v>
      </c>
      <c r="GD914">
        <v>6.4611841355345199</v>
      </c>
      <c r="GE914">
        <v>1.69457980041659</v>
      </c>
      <c r="GF914">
        <v>1.8318812117418297</v>
      </c>
      <c r="GG914">
        <v>2.2833679826421585</v>
      </c>
      <c r="GH914">
        <v>1.9871405252523333</v>
      </c>
      <c r="GI914">
        <v>5.5813911609328555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10.403598137973136</v>
      </c>
      <c r="AO915">
        <v>8.3477278022641102</v>
      </c>
      <c r="AP915">
        <v>41.07936083275753</v>
      </c>
      <c r="AQ915">
        <v>34.356494711756248</v>
      </c>
      <c r="AR915">
        <v>7.690852593274947</v>
      </c>
      <c r="AS915">
        <v>38.082372162565072</v>
      </c>
      <c r="AT915" t="e">
        <v>#DIV/0!</v>
      </c>
      <c r="AU915" t="e">
        <v>#DIV/0!</v>
      </c>
      <c r="AV915"/>
      <c r="AW915"/>
      <c r="FY915" s="210">
        <v>910</v>
      </c>
      <c r="FZ915">
        <v>0.55772994557880229</v>
      </c>
      <c r="GA915">
        <v>1.7570507666938231</v>
      </c>
      <c r="GB915">
        <v>1.1084543081330289</v>
      </c>
      <c r="GC915">
        <v>5.8793454449815243</v>
      </c>
      <c r="GD915">
        <v>5.1635802556681867</v>
      </c>
      <c r="GE915">
        <v>2.6056990447864585</v>
      </c>
      <c r="GF915">
        <v>1.4515512574996277</v>
      </c>
      <c r="GG915">
        <v>3.3902296628904183</v>
      </c>
      <c r="GH915">
        <v>3.9742810505046662</v>
      </c>
      <c r="GI915">
        <v>4.9510292086610495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8.32472909035409</v>
      </c>
      <c r="AO916">
        <v>8.4451127614874704</v>
      </c>
      <c r="AP916">
        <v>34.65504210768686</v>
      </c>
      <c r="AQ916">
        <v>31.259379283594551</v>
      </c>
      <c r="AR916">
        <v>7.7811911454302018</v>
      </c>
      <c r="AS916">
        <v>38.399396957729643</v>
      </c>
      <c r="AT916" t="e">
        <v>#DIV/0!</v>
      </c>
      <c r="AU916" t="e">
        <v>#DIV/0!</v>
      </c>
      <c r="AV916"/>
      <c r="AW916"/>
      <c r="FY916" s="210">
        <v>911</v>
      </c>
      <c r="FZ916">
        <v>0.2456818880042031</v>
      </c>
      <c r="GA916">
        <v>0.54080783489501949</v>
      </c>
      <c r="GB916">
        <v>0.12787265331161465</v>
      </c>
      <c r="GC916">
        <v>1.4120929291643693</v>
      </c>
      <c r="GD916">
        <v>1.2334512783174008</v>
      </c>
      <c r="GE916">
        <v>0.488099595198144</v>
      </c>
      <c r="GF916">
        <v>0.5704949313633032</v>
      </c>
      <c r="GG916">
        <v>2.909227550198723</v>
      </c>
      <c r="GH916">
        <v>3.3119008754205557</v>
      </c>
      <c r="GI916">
        <v>1.7648329240842955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6.1625267094017087</v>
      </c>
      <c r="AO917">
        <v>6.5058886621086343</v>
      </c>
      <c r="AP917">
        <v>23.756095453892488</v>
      </c>
      <c r="AQ917">
        <v>22.404901870514799</v>
      </c>
      <c r="AR917">
        <v>5.982281962332948</v>
      </c>
      <c r="AS917">
        <v>24.490319252799186</v>
      </c>
      <c r="AT917" t="e">
        <v>#DIV/0!</v>
      </c>
      <c r="AU917" t="e">
        <v>#DIV/0!</v>
      </c>
      <c r="AV917"/>
      <c r="AW917"/>
      <c r="FY917" s="210">
        <v>912</v>
      </c>
      <c r="FZ917">
        <v>0.31204805757459919</v>
      </c>
      <c r="GA917">
        <v>1.3416343133558895</v>
      </c>
      <c r="GB917">
        <v>1.6165823252019571</v>
      </c>
      <c r="GC917">
        <v>8.0188199236574054</v>
      </c>
      <c r="GD917">
        <v>6.7024817870419255</v>
      </c>
      <c r="GE917">
        <v>2.8822888153987405</v>
      </c>
      <c r="GF917">
        <v>1.0712213032574254</v>
      </c>
      <c r="GG917">
        <v>1.1300765542968063</v>
      </c>
      <c r="GH917">
        <v>1.3247603501682221</v>
      </c>
      <c r="GI917">
        <v>5.577076246568839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10.588083791208788</v>
      </c>
      <c r="AO918">
        <v>10.900116834525246</v>
      </c>
      <c r="AP918">
        <v>37.034314051964429</v>
      </c>
      <c r="AQ918">
        <v>36.633730758978722</v>
      </c>
      <c r="AR918">
        <v>10.058560415409584</v>
      </c>
      <c r="AS918">
        <v>51.826589140885453</v>
      </c>
      <c r="AT918" t="e">
        <v>#DIV/0!</v>
      </c>
      <c r="AU918" t="e">
        <v>#DIV/0!</v>
      </c>
      <c r="AV918"/>
      <c r="AW918"/>
      <c r="FY918" s="210">
        <v>913</v>
      </c>
      <c r="FZ918">
        <v>3.3183084785198033E-2</v>
      </c>
      <c r="GA918">
        <v>3.7959921789468956</v>
      </c>
      <c r="GB918">
        <v>2.371854095441341</v>
      </c>
      <c r="GC918">
        <v>1.8455049542409332</v>
      </c>
      <c r="GD918">
        <v>1.6545305928897602</v>
      </c>
      <c r="GE918">
        <v>1.5925759370892807</v>
      </c>
      <c r="GF918">
        <v>0.88105632613632445</v>
      </c>
      <c r="GG918">
        <v>0.48100211269169618</v>
      </c>
      <c r="GH918">
        <v>0.66238017508411107</v>
      </c>
      <c r="GI918">
        <v>2.1907061133065451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8.2580128205128212</v>
      </c>
      <c r="AO919">
        <v>10.717135552429337</v>
      </c>
      <c r="AP919">
        <v>29.650020091528503</v>
      </c>
      <c r="AQ919">
        <v>33.10112572071337</v>
      </c>
      <c r="AR919">
        <v>9.8359537467550151</v>
      </c>
      <c r="AS919">
        <v>50.534039976831139</v>
      </c>
      <c r="AT919" t="e">
        <v>#DIV/0!</v>
      </c>
      <c r="AU919" t="e">
        <v>#DIV/0!</v>
      </c>
      <c r="AV919"/>
      <c r="AW919"/>
      <c r="FY919" s="210">
        <v>914</v>
      </c>
      <c r="FZ919">
        <v>0</v>
      </c>
      <c r="GA919">
        <v>2.9090166275956166</v>
      </c>
      <c r="GB919">
        <v>1.3912724406199268</v>
      </c>
      <c r="GC919">
        <v>4.8805575895816098</v>
      </c>
      <c r="GD919">
        <v>4.2201968501680973</v>
      </c>
      <c r="GE919">
        <v>1.2897128783094598</v>
      </c>
      <c r="GF919">
        <v>0.38032995424220212</v>
      </c>
      <c r="GG919">
        <v>0.81714677051852402</v>
      </c>
      <c r="GH919">
        <v>0.66238017508411107</v>
      </c>
      <c r="GI919">
        <v>3.6128550943865672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7.5648084554334547</v>
      </c>
      <c r="AO920">
        <v>6.634310357635874</v>
      </c>
      <c r="AP920">
        <v>32.718529938644558</v>
      </c>
      <c r="AQ920">
        <v>27.934706049045257</v>
      </c>
      <c r="AR920">
        <v>5.9956811108485413</v>
      </c>
      <c r="AS920">
        <v>28.048898633943818</v>
      </c>
      <c r="AT920" t="e">
        <v>#DIV/0!</v>
      </c>
      <c r="AU920" t="e">
        <v>#DIV/0!</v>
      </c>
      <c r="AV920"/>
      <c r="AW920"/>
      <c r="FY920" s="210">
        <v>915</v>
      </c>
      <c r="FZ920">
        <v>3.3183084785198033E-2</v>
      </c>
      <c r="GA920">
        <v>1.9751343120206046</v>
      </c>
      <c r="GB920">
        <v>2.0629474903169118</v>
      </c>
      <c r="GC920">
        <v>2.9731056870008552</v>
      </c>
      <c r="GD920">
        <v>2.2967223953900096</v>
      </c>
      <c r="GE920">
        <v>1.0131231076971783</v>
      </c>
      <c r="GF920">
        <v>0</v>
      </c>
      <c r="GG920">
        <v>0.96200422538339236</v>
      </c>
      <c r="GH920">
        <v>1.3247603501682221</v>
      </c>
      <c r="GI920">
        <v>2.4071321494437843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10.162698412698413</v>
      </c>
      <c r="AO921">
        <v>11.937140056583578</v>
      </c>
      <c r="AP921">
        <v>38.782510934414795</v>
      </c>
      <c r="AQ921">
        <v>39.221695874540771</v>
      </c>
      <c r="AR921">
        <v>10.967683342445408</v>
      </c>
      <c r="AS921">
        <v>56.322524964019351</v>
      </c>
      <c r="AT921" t="e">
        <v>#DIV/0!</v>
      </c>
      <c r="AU921" t="e">
        <v>#DIV/0!</v>
      </c>
      <c r="AV921"/>
      <c r="AW921"/>
      <c r="FY921" s="210">
        <v>916</v>
      </c>
      <c r="FZ921">
        <v>0.27886497278940114</v>
      </c>
      <c r="GA921">
        <v>5.0487846298399841</v>
      </c>
      <c r="GB921">
        <v>3.3902836042810316</v>
      </c>
      <c r="GC921">
        <v>7.0100434357039383</v>
      </c>
      <c r="GD921">
        <v>4.9567308956447897</v>
      </c>
      <c r="GE921">
        <v>1.3985715120955966</v>
      </c>
      <c r="GF921">
        <v>1.95227762939375</v>
      </c>
      <c r="GG921">
        <v>1.1300765542968063</v>
      </c>
      <c r="GH921">
        <v>1.3247603501682221</v>
      </c>
      <c r="GI921">
        <v>5.0463392100433548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11.878720238095237</v>
      </c>
      <c r="AO922">
        <v>10.250651588725034</v>
      </c>
      <c r="AP922">
        <v>39.503045739214258</v>
      </c>
      <c r="AQ922">
        <v>37.676698331230007</v>
      </c>
      <c r="AR922">
        <v>9.4560880167080885</v>
      </c>
      <c r="AS922">
        <v>45.801075882816598</v>
      </c>
      <c r="AT922" t="e">
        <v>#DIV/0!</v>
      </c>
      <c r="AU922" t="e">
        <v>#DIV/0!</v>
      </c>
      <c r="AV922"/>
      <c r="AW922"/>
      <c r="FY922" s="210">
        <v>917</v>
      </c>
      <c r="FZ922">
        <v>0.31204805757459919</v>
      </c>
      <c r="GA922">
        <v>4.1252595593944204</v>
      </c>
      <c r="GB922">
        <v>2.943918439166076</v>
      </c>
      <c r="GC922">
        <v>1.6610679007249654</v>
      </c>
      <c r="GD922">
        <v>1.2135251223158945</v>
      </c>
      <c r="GE922">
        <v>0.83853720041220592</v>
      </c>
      <c r="GF922">
        <v>0</v>
      </c>
      <c r="GG922">
        <v>0.96200422538339236</v>
      </c>
      <c r="GH922">
        <v>1.3247603501682221</v>
      </c>
      <c r="GI922">
        <v>2.0198985159640608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8.1163576007326004</v>
      </c>
      <c r="AO923">
        <v>9.1880763279734641</v>
      </c>
      <c r="AP923">
        <v>29.455794685767653</v>
      </c>
      <c r="AQ923">
        <v>29.740760490848196</v>
      </c>
      <c r="AR923">
        <v>8.4703966802038462</v>
      </c>
      <c r="AS923">
        <v>51.448256375572406</v>
      </c>
      <c r="AT923" t="e">
        <v>#DIV/0!</v>
      </c>
      <c r="AU923" t="e">
        <v>#DIV/0!</v>
      </c>
      <c r="AV923"/>
      <c r="AW923"/>
      <c r="FY923" s="210">
        <v>918</v>
      </c>
      <c r="FZ923">
        <v>0</v>
      </c>
      <c r="GA923">
        <v>2.9090166275956166</v>
      </c>
      <c r="GB923">
        <v>2.5354011280693975</v>
      </c>
      <c r="GC923">
        <v>4.4159344757858774</v>
      </c>
      <c r="GD923">
        <v>3.220643748224755</v>
      </c>
      <c r="GE923">
        <v>1.3441421952025283</v>
      </c>
      <c r="GF923">
        <v>1.0712213032574254</v>
      </c>
      <c r="GG923">
        <v>0.16807232891341395</v>
      </c>
      <c r="GH923">
        <v>0</v>
      </c>
      <c r="GI923">
        <v>3.3402383736631003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5.9937996031746028</v>
      </c>
      <c r="AO924">
        <v>4.4980630923583576</v>
      </c>
      <c r="AP924">
        <v>23.162096057551995</v>
      </c>
      <c r="AQ924">
        <v>18.870700232017303</v>
      </c>
      <c r="AR924">
        <v>4.1197350516184077</v>
      </c>
      <c r="AS924">
        <v>18.268407055016489</v>
      </c>
      <c r="AT924" t="e">
        <v>#DIV/0!</v>
      </c>
      <c r="AU924" t="e">
        <v>#DIV/0!</v>
      </c>
      <c r="AV924"/>
      <c r="AW924"/>
      <c r="FY924" s="210">
        <v>919</v>
      </c>
      <c r="FZ924">
        <v>0.27886497278940114</v>
      </c>
      <c r="GA924">
        <v>1.3023920046892128</v>
      </c>
      <c r="GB924">
        <v>1.0445179814772214</v>
      </c>
      <c r="GC924">
        <v>7.1567242837762528</v>
      </c>
      <c r="GD924">
        <v>5.289569424905638</v>
      </c>
      <c r="GE924">
        <v>0.52502351249903412</v>
      </c>
      <c r="GF924">
        <v>0.38032995424220212</v>
      </c>
      <c r="GG924">
        <v>1.2981488832102204</v>
      </c>
      <c r="GH924">
        <v>1.3247603501682221</v>
      </c>
      <c r="GI924">
        <v>4.6165264240528288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7.2829861111111116</v>
      </c>
      <c r="AO925">
        <v>9.2262803130364173</v>
      </c>
      <c r="AP925">
        <v>28.541426529269899</v>
      </c>
      <c r="AQ925">
        <v>29.658623151077013</v>
      </c>
      <c r="AR925">
        <v>8.50583636950158</v>
      </c>
      <c r="AS925">
        <v>36.629204037590021</v>
      </c>
      <c r="AT925" t="e">
        <v>#DIV/0!</v>
      </c>
      <c r="AU925" t="e">
        <v>#DIV/0!</v>
      </c>
      <c r="AV925"/>
      <c r="AW925"/>
      <c r="FY925" s="210">
        <v>920</v>
      </c>
      <c r="FZ925">
        <v>0.52454686079360424</v>
      </c>
      <c r="GA925">
        <v>3.6537004613810744</v>
      </c>
      <c r="GB925">
        <v>1.4552087672757343</v>
      </c>
      <c r="GC925">
        <v>3.1683006200573089</v>
      </c>
      <c r="GD925">
        <v>2.3377028878103632</v>
      </c>
      <c r="GE925">
        <v>1.6275867362736374</v>
      </c>
      <c r="GF925">
        <v>2.6431689784089736</v>
      </c>
      <c r="GG925">
        <v>0.96200422538339236</v>
      </c>
      <c r="GH925">
        <v>1.3247603501682221</v>
      </c>
      <c r="GI925">
        <v>2.9021080422316308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7.241853632478632</v>
      </c>
      <c r="AO926">
        <v>8.0728486378259241</v>
      </c>
      <c r="AP926">
        <v>32.318343173675771</v>
      </c>
      <c r="AQ926">
        <v>30.838950945397585</v>
      </c>
      <c r="AR926">
        <v>7.4358626448165186</v>
      </c>
      <c r="AS926">
        <v>30.585962707675659</v>
      </c>
      <c r="AT926" t="e">
        <v>#DIV/0!</v>
      </c>
      <c r="AU926" t="e">
        <v>#DIV/0!</v>
      </c>
      <c r="AV926"/>
      <c r="AW926"/>
      <c r="FY926" s="210">
        <v>921</v>
      </c>
      <c r="FZ926">
        <v>0.31204805757459919</v>
      </c>
      <c r="GA926">
        <v>0.36850968911420101</v>
      </c>
      <c r="GB926">
        <v>0.57206434372473558</v>
      </c>
      <c r="GC926">
        <v>4.1394498737990624</v>
      </c>
      <c r="GD926">
        <v>3.4267980185208677</v>
      </c>
      <c r="GE926">
        <v>1.1520508883253777</v>
      </c>
      <c r="GF926">
        <v>0.19016497712110106</v>
      </c>
      <c r="GG926">
        <v>0.64907444160511019</v>
      </c>
      <c r="GH926">
        <v>0.66238017508411107</v>
      </c>
      <c r="GI926">
        <v>2.7908056019433003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2.5560897435897436</v>
      </c>
      <c r="AO927">
        <v>2.9795706971793625</v>
      </c>
      <c r="AP927">
        <v>15.23080454175247</v>
      </c>
      <c r="AQ927">
        <v>12.604462459957627</v>
      </c>
      <c r="AR927">
        <v>2.7639802385708374</v>
      </c>
      <c r="AS927">
        <v>10.738350973401039</v>
      </c>
      <c r="AT927" t="e">
        <v>#DIV/0!</v>
      </c>
      <c r="AU927" t="e">
        <v>#DIV/0!</v>
      </c>
      <c r="AV927"/>
      <c r="AW927"/>
      <c r="FY927" s="210">
        <v>922</v>
      </c>
      <c r="FZ927">
        <v>0</v>
      </c>
      <c r="GA927">
        <v>1.0985160057987742</v>
      </c>
      <c r="GB927">
        <v>1.6805186518577644</v>
      </c>
      <c r="GC927">
        <v>12.461878068618528</v>
      </c>
      <c r="GD927">
        <v>9.0762711005145906</v>
      </c>
      <c r="GE927">
        <v>1.6100813366814588</v>
      </c>
      <c r="GF927">
        <v>2.3326075836359519</v>
      </c>
      <c r="GG927">
        <v>0.98521909943193808</v>
      </c>
      <c r="GH927">
        <v>0.66238017508411107</v>
      </c>
      <c r="GI927">
        <v>7.5111047313654344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8.4611378205128212</v>
      </c>
      <c r="AO928">
        <v>9.0886728495371436</v>
      </c>
      <c r="AP928">
        <v>28.420671339470982</v>
      </c>
      <c r="AQ928">
        <v>29.976989676521811</v>
      </c>
      <c r="AR928">
        <v>8.3781856612462207</v>
      </c>
      <c r="AS928">
        <v>37.542766027300871</v>
      </c>
      <c r="AT928" t="e">
        <v>#DIV/0!</v>
      </c>
      <c r="AU928" t="e">
        <v>#DIV/0!</v>
      </c>
      <c r="AV928"/>
      <c r="AW928"/>
      <c r="FY928" s="210">
        <v>923</v>
      </c>
      <c r="FZ928">
        <v>0.2456818880042031</v>
      </c>
      <c r="GA928">
        <v>4.1618090784887043</v>
      </c>
      <c r="GB928">
        <v>3.5538306369090886</v>
      </c>
      <c r="GC928">
        <v>6.9778414704302776</v>
      </c>
      <c r="GD928">
        <v>5.2013829737419952</v>
      </c>
      <c r="GE928">
        <v>2.9542235318839873</v>
      </c>
      <c r="GF928">
        <v>2.8333339555300743</v>
      </c>
      <c r="GG928">
        <v>0.16807232891341395</v>
      </c>
      <c r="GH928">
        <v>0</v>
      </c>
      <c r="GI928">
        <v>5.320399796927676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3.75124007936508</v>
      </c>
      <c r="AO929">
        <v>3.6564385322649358</v>
      </c>
      <c r="AP929">
        <v>19.872040274125713</v>
      </c>
      <c r="AQ929">
        <v>15.508785570612085</v>
      </c>
      <c r="AR929">
        <v>3.3390072593239513</v>
      </c>
      <c r="AS929">
        <v>13.97121449580079</v>
      </c>
      <c r="AT929" t="e">
        <v>#DIV/0!</v>
      </c>
      <c r="AU929" t="e">
        <v>#DIV/0!</v>
      </c>
      <c r="AV929"/>
      <c r="AW929"/>
      <c r="FY929" s="210">
        <v>924</v>
      </c>
      <c r="FZ929">
        <v>0.2456818880042031</v>
      </c>
      <c r="GA929">
        <v>3.3244330809335505</v>
      </c>
      <c r="GB929">
        <v>2.5993374547252053</v>
      </c>
      <c r="GC929">
        <v>5.9818575700775023</v>
      </c>
      <c r="GD929">
        <v>4.2435356100555248</v>
      </c>
      <c r="GE929">
        <v>1.0306285072893564</v>
      </c>
      <c r="GF929">
        <v>1.0712213032574254</v>
      </c>
      <c r="GG929">
        <v>0.64907444160511019</v>
      </c>
      <c r="GH929">
        <v>0.66238017508411107</v>
      </c>
      <c r="GI929">
        <v>4.1629369041188102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6.3616834554334547</v>
      </c>
      <c r="AO930">
        <v>5.9623747769808091</v>
      </c>
      <c r="AP930">
        <v>20.47068590811805</v>
      </c>
      <c r="AQ930">
        <v>20.163468380506117</v>
      </c>
      <c r="AR930">
        <v>5.5309599044348889</v>
      </c>
      <c r="AS930">
        <v>25.808078568092995</v>
      </c>
      <c r="AT930" t="e">
        <v>#DIV/0!</v>
      </c>
      <c r="AU930" t="e">
        <v>#DIV/0!</v>
      </c>
      <c r="AV930"/>
      <c r="AW930"/>
      <c r="FY930" s="210">
        <v>925</v>
      </c>
      <c r="FZ930">
        <v>0.2456818880042031</v>
      </c>
      <c r="GA930">
        <v>1.1377583144654506</v>
      </c>
      <c r="GB930">
        <v>0.40851731109667855</v>
      </c>
      <c r="GC930">
        <v>2.7404428351507377</v>
      </c>
      <c r="GD930">
        <v>2.8541101945033023</v>
      </c>
      <c r="GE930">
        <v>2.7252083077059464</v>
      </c>
      <c r="GF930">
        <v>1.95227762939375</v>
      </c>
      <c r="GG930">
        <v>1.1300765542968063</v>
      </c>
      <c r="GH930">
        <v>1.3247603501682221</v>
      </c>
      <c r="GI930">
        <v>2.6769177889362537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4.5694826007326004</v>
      </c>
      <c r="AO931">
        <v>3.9740276925679199</v>
      </c>
      <c r="AP931">
        <v>17.710367696934718</v>
      </c>
      <c r="AQ931">
        <v>15.048112802206155</v>
      </c>
      <c r="AR931">
        <v>3.6864820895806307</v>
      </c>
      <c r="AS931">
        <v>17.375151636268065</v>
      </c>
      <c r="AT931" t="e">
        <v>#DIV/0!</v>
      </c>
      <c r="AU931" t="e">
        <v>#DIV/0!</v>
      </c>
      <c r="AV931"/>
      <c r="AW931"/>
      <c r="FY931" s="210">
        <v>926</v>
      </c>
      <c r="FZ931">
        <v>0.2456818880042031</v>
      </c>
      <c r="GA931">
        <v>3.1990416993764645</v>
      </c>
      <c r="GB931">
        <v>1.3912724406199268</v>
      </c>
      <c r="GC931">
        <v>3.0059479280295092</v>
      </c>
      <c r="GD931">
        <v>3.0991968590201733</v>
      </c>
      <c r="GE931">
        <v>2.3941892202005963</v>
      </c>
      <c r="GF931">
        <v>1.8318812117418297</v>
      </c>
      <c r="GG931">
        <v>3.2453722080255512</v>
      </c>
      <c r="GH931">
        <v>3.3119008754205557</v>
      </c>
      <c r="GI931">
        <v>3.5975312445453667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8.9990079365079367</v>
      </c>
      <c r="AO932">
        <v>8.2628604390619778</v>
      </c>
      <c r="AP932">
        <v>36.114932244681029</v>
      </c>
      <c r="AQ932">
        <v>31.536732794256871</v>
      </c>
      <c r="AR932">
        <v>7.5592606916832539</v>
      </c>
      <c r="AS932">
        <v>34.383097968118896</v>
      </c>
      <c r="AT932" t="e">
        <v>#DIV/0!</v>
      </c>
      <c r="AU932" t="e">
        <v>#DIV/0!</v>
      </c>
      <c r="AV932"/>
      <c r="AW932"/>
      <c r="FY932" s="210">
        <v>927</v>
      </c>
      <c r="FZ932">
        <v>0.31204805757459919</v>
      </c>
      <c r="GA932">
        <v>5.0880269385066601</v>
      </c>
      <c r="GB932">
        <v>2.8182192605562957</v>
      </c>
      <c r="GC932">
        <v>12.75648786880847</v>
      </c>
      <c r="GD932">
        <v>9.8714600961850074</v>
      </c>
      <c r="GE932">
        <v>1.32663679561035</v>
      </c>
      <c r="GF932">
        <v>0.38032995424220212</v>
      </c>
      <c r="GG932">
        <v>1.2981488832102204</v>
      </c>
      <c r="GH932">
        <v>1.3247603501682221</v>
      </c>
      <c r="GI932">
        <v>8.1771321617428647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3.7321428571428568</v>
      </c>
      <c r="AO933">
        <v>3.3984806580836255</v>
      </c>
      <c r="AP933">
        <v>21.050701997773771</v>
      </c>
      <c r="AQ933">
        <v>15.401019371103837</v>
      </c>
      <c r="AR933">
        <v>3.1525794601888926</v>
      </c>
      <c r="AS933">
        <v>12.22335907720673</v>
      </c>
      <c r="AT933" t="e">
        <v>#DIV/0!</v>
      </c>
      <c r="AU933" t="e">
        <v>#DIV/0!</v>
      </c>
      <c r="AV933"/>
      <c r="AW933"/>
      <c r="FY933" s="210">
        <v>928</v>
      </c>
      <c r="FZ933">
        <v>0.52454686079360424</v>
      </c>
      <c r="GA933">
        <v>6.1865429443054341</v>
      </c>
      <c r="GB933">
        <v>3.79880091537771</v>
      </c>
      <c r="GC933">
        <v>5.6980056494280493</v>
      </c>
      <c r="GD933">
        <v>4.4767348535540448</v>
      </c>
      <c r="GE933">
        <v>2.9911474491848775</v>
      </c>
      <c r="GF933">
        <v>3.5939938640144788</v>
      </c>
      <c r="GG933">
        <v>2.7643700953338546</v>
      </c>
      <c r="GH933">
        <v>2.6495207003364443</v>
      </c>
      <c r="GI933">
        <v>5.4564631796219274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5.3524687118437111</v>
      </c>
      <c r="AO934">
        <v>5.595680661352497</v>
      </c>
      <c r="AP934">
        <v>22.033495031260358</v>
      </c>
      <c r="AQ934">
        <v>19.004670180712118</v>
      </c>
      <c r="AR934">
        <v>5.137933167568443</v>
      </c>
      <c r="AS934">
        <v>22.423725244281187</v>
      </c>
      <c r="AT934" t="e">
        <v>#DIV/0!</v>
      </c>
      <c r="AU934" t="e">
        <v>#DIV/0!</v>
      </c>
      <c r="AV934"/>
      <c r="AW934"/>
      <c r="FY934" s="210">
        <v>929</v>
      </c>
      <c r="FZ934">
        <v>0.34523114235979718</v>
      </c>
      <c r="GA934">
        <v>6.1003938714150241</v>
      </c>
      <c r="GB934">
        <v>2.7186085545840464</v>
      </c>
      <c r="GC934">
        <v>8.0299247760375287</v>
      </c>
      <c r="GD934">
        <v>6.4609161998737035</v>
      </c>
      <c r="GE934">
        <v>1.6576558831156998</v>
      </c>
      <c r="GF934">
        <v>1.6417162346207288</v>
      </c>
      <c r="GG934">
        <v>1.634293541037048</v>
      </c>
      <c r="GH934">
        <v>1.3247603501682221</v>
      </c>
      <c r="GI934">
        <v>5.999350768414411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5.5069444444444438</v>
      </c>
      <c r="AO935">
        <v>7.7273993363855427</v>
      </c>
      <c r="AP935">
        <v>22.807894006446041</v>
      </c>
      <c r="AQ935">
        <v>23.216857791810234</v>
      </c>
      <c r="AR935">
        <v>7.1682739669624684</v>
      </c>
      <c r="AS935">
        <v>28.797255002716646</v>
      </c>
      <c r="AT935" t="e">
        <v>#DIV/0!</v>
      </c>
      <c r="AU935" t="e">
        <v>#DIV/0!</v>
      </c>
      <c r="AV935"/>
      <c r="AW935"/>
      <c r="FY935" s="210">
        <v>930</v>
      </c>
      <c r="FZ935">
        <v>0</v>
      </c>
      <c r="GA935">
        <v>0.25078276311417147</v>
      </c>
      <c r="GB935">
        <v>0.12787265331161465</v>
      </c>
      <c r="GC935">
        <v>7.4890902894098463</v>
      </c>
      <c r="GD935">
        <v>6.5876547929863047</v>
      </c>
      <c r="GE935">
        <v>2.6707789908128778</v>
      </c>
      <c r="GF935">
        <v>1.0712213032574254</v>
      </c>
      <c r="GG935">
        <v>1.6110786669885027</v>
      </c>
      <c r="GH935">
        <v>1.9871405252523333</v>
      </c>
      <c r="GI935">
        <v>5.2150872531239179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6.0047123015873014</v>
      </c>
      <c r="AO936">
        <v>4.7431614276185154</v>
      </c>
      <c r="AP936">
        <v>24.501461685216931</v>
      </c>
      <c r="AQ936">
        <v>20.599087929783941</v>
      </c>
      <c r="AR936">
        <v>4.2413685598120301</v>
      </c>
      <c r="AS936">
        <v>22.875242118179706</v>
      </c>
      <c r="AT936" t="e">
        <v>#DIV/0!</v>
      </c>
      <c r="AU936" t="e">
        <v>#DIV/0!</v>
      </c>
      <c r="AV936"/>
      <c r="AW936"/>
      <c r="FY936" s="210">
        <v>931</v>
      </c>
      <c r="FZ936">
        <v>0.37841422714499523</v>
      </c>
      <c r="GA936">
        <v>2.5082776913585678</v>
      </c>
      <c r="GB936">
        <v>1.5548194732479839</v>
      </c>
      <c r="GC936">
        <v>3.8478083603396742</v>
      </c>
      <c r="GD936">
        <v>2.8300220107407239</v>
      </c>
      <c r="GE936">
        <v>0.52502351249903412</v>
      </c>
      <c r="GF936">
        <v>0.19016497712110106</v>
      </c>
      <c r="GG936">
        <v>0.64907444160511019</v>
      </c>
      <c r="GH936">
        <v>0.66238017508411107</v>
      </c>
      <c r="GI936">
        <v>2.9139833419380845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3.520833333333333</v>
      </c>
      <c r="AO937">
        <v>4.5854898697496296</v>
      </c>
      <c r="AP937">
        <v>13.02779016280412</v>
      </c>
      <c r="AQ937">
        <v>14.263346066812467</v>
      </c>
      <c r="AR937">
        <v>4.2537011778753513</v>
      </c>
      <c r="AS937">
        <v>26.635901537365609</v>
      </c>
      <c r="AT937" t="e">
        <v>#DIV/0!</v>
      </c>
      <c r="AU937" t="e">
        <v>#DIV/0!</v>
      </c>
      <c r="AV937"/>
      <c r="AW937"/>
      <c r="FY937" s="210">
        <v>932</v>
      </c>
      <c r="FZ937">
        <v>0</v>
      </c>
      <c r="GA937">
        <v>2.0612833849110137</v>
      </c>
      <c r="GB937">
        <v>1.5548194732479839</v>
      </c>
      <c r="GC937">
        <v>6.304105971925603</v>
      </c>
      <c r="GD937">
        <v>5.0971470737989284</v>
      </c>
      <c r="GE937">
        <v>2.9542235318839873</v>
      </c>
      <c r="GF937">
        <v>3.213663909772277</v>
      </c>
      <c r="GG937">
        <v>2.4282254375070265</v>
      </c>
      <c r="GH937">
        <v>2.6495207003364443</v>
      </c>
      <c r="GI937">
        <v>5.1731919685715706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8.7291666666666661</v>
      </c>
      <c r="AO938">
        <v>12.339387489298996</v>
      </c>
      <c r="AP938">
        <v>34.948034121380147</v>
      </c>
      <c r="AQ938">
        <v>37.41857675298855</v>
      </c>
      <c r="AR938">
        <v>11.340825673350249</v>
      </c>
      <c r="AS938">
        <v>71.509993082960094</v>
      </c>
      <c r="AT938" t="e">
        <v>#DIV/0!</v>
      </c>
      <c r="AU938" t="e">
        <v>#DIV/0!</v>
      </c>
      <c r="AV938"/>
      <c r="AW938"/>
      <c r="FY938" s="210">
        <v>933</v>
      </c>
      <c r="FZ938">
        <v>0.77022874879780745</v>
      </c>
      <c r="GA938">
        <v>4.781101530717077</v>
      </c>
      <c r="GB938">
        <v>2.4097019494596168</v>
      </c>
      <c r="GC938">
        <v>3.8579259641251666</v>
      </c>
      <c r="GD938">
        <v>3.96339941687613</v>
      </c>
      <c r="GE938">
        <v>2.6901975085215897</v>
      </c>
      <c r="GF938">
        <v>0.76065990848440423</v>
      </c>
      <c r="GG938">
        <v>2.5962977664204407</v>
      </c>
      <c r="GH938">
        <v>2.6495207003364443</v>
      </c>
      <c r="GI938">
        <v>4.1630598826098053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8.8623893467643438</v>
      </c>
      <c r="AO939">
        <v>8.7820538822820566</v>
      </c>
      <c r="AP939">
        <v>35.57087176619283</v>
      </c>
      <c r="AQ939">
        <v>31.416575660829423</v>
      </c>
      <c r="AR939">
        <v>7.988022042802327</v>
      </c>
      <c r="AS939">
        <v>36.045287569606309</v>
      </c>
      <c r="AT939" t="e">
        <v>#DIV/0!</v>
      </c>
      <c r="AU939" t="e">
        <v>#DIV/0!</v>
      </c>
      <c r="AV939"/>
      <c r="AW939"/>
      <c r="FY939" s="210">
        <v>934</v>
      </c>
      <c r="FZ939">
        <v>3.3183084785198033E-2</v>
      </c>
      <c r="GA939">
        <v>3.9110263153745324</v>
      </c>
      <c r="GB939">
        <v>2.9817662931843527</v>
      </c>
      <c r="GC939">
        <v>9.7186312784206557</v>
      </c>
      <c r="GD939">
        <v>7.8877059039318125</v>
      </c>
      <c r="GE939">
        <v>2.3028359860066381</v>
      </c>
      <c r="GF939">
        <v>0.38032995424220212</v>
      </c>
      <c r="GG939">
        <v>0.81714677051852402</v>
      </c>
      <c r="GH939">
        <v>0.66238017508411107</v>
      </c>
      <c r="GI939">
        <v>6.6953814733959076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6.4288576007326004</v>
      </c>
      <c r="AO940">
        <v>6.8955634713328111</v>
      </c>
      <c r="AP940">
        <v>26.66379228543498</v>
      </c>
      <c r="AQ940">
        <v>23.971086935150794</v>
      </c>
      <c r="AR940">
        <v>6.3437613771976764</v>
      </c>
      <c r="AS940">
        <v>30.901285242336328</v>
      </c>
      <c r="AT940" t="e">
        <v>#DIV/0!</v>
      </c>
      <c r="AU940" t="e">
        <v>#DIV/0!</v>
      </c>
      <c r="AV940"/>
      <c r="AW940"/>
      <c r="FY940" s="210">
        <v>935</v>
      </c>
      <c r="FZ940">
        <v>0.98272755201681239</v>
      </c>
      <c r="GA940">
        <v>7.4693418234135187</v>
      </c>
      <c r="GB940">
        <v>3.5842660589502877</v>
      </c>
      <c r="GC940">
        <v>5.7169927529537237</v>
      </c>
      <c r="GD940">
        <v>4.1518807251284837</v>
      </c>
      <c r="GE940">
        <v>0.31351368791317175</v>
      </c>
      <c r="GF940">
        <v>0.38032995424220212</v>
      </c>
      <c r="GG940">
        <v>0.3361446578268279</v>
      </c>
      <c r="GH940">
        <v>0</v>
      </c>
      <c r="GI940">
        <v>4.2587119572735368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4.5803952991452981</v>
      </c>
      <c r="AO941">
        <v>4.2982394753082183</v>
      </c>
      <c r="AP941">
        <v>17.52423052847378</v>
      </c>
      <c r="AQ941">
        <v>17.195751173721352</v>
      </c>
      <c r="AR941">
        <v>3.8815046956222519</v>
      </c>
      <c r="AS941">
        <v>20.902689687208259</v>
      </c>
      <c r="AT941" t="e">
        <v>#DIV/0!</v>
      </c>
      <c r="AU941" t="e">
        <v>#DIV/0!</v>
      </c>
      <c r="AV941"/>
      <c r="AW941"/>
      <c r="FY941" s="210">
        <v>936</v>
      </c>
      <c r="FZ941">
        <v>0.2456818880042031</v>
      </c>
      <c r="GA941">
        <v>2.3513084566918616</v>
      </c>
      <c r="GB941">
        <v>0.98275512952324828</v>
      </c>
      <c r="GC941">
        <v>2.2748288448005125</v>
      </c>
      <c r="GD941">
        <v>1.8018647579629121</v>
      </c>
      <c r="GE941">
        <v>0.31351368791317175</v>
      </c>
      <c r="GF941">
        <v>0.19016497712110106</v>
      </c>
      <c r="GG941">
        <v>0.64907444160511019</v>
      </c>
      <c r="GH941">
        <v>0.66238017508411107</v>
      </c>
      <c r="GI941">
        <v>1.8553015067617835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6.154552045177045</v>
      </c>
      <c r="AO942">
        <v>5.9254669551876953</v>
      </c>
      <c r="AP942">
        <v>29.568653259748793</v>
      </c>
      <c r="AQ942">
        <v>25.322015574984174</v>
      </c>
      <c r="AR942">
        <v>5.4438573733524862</v>
      </c>
      <c r="AS942">
        <v>24.149146343027279</v>
      </c>
      <c r="AT942" t="e">
        <v>#DIV/0!</v>
      </c>
      <c r="AU942" t="e">
        <v>#DIV/0!</v>
      </c>
      <c r="AV942"/>
      <c r="AW942"/>
      <c r="FY942" s="210">
        <v>937</v>
      </c>
      <c r="FZ942">
        <v>0.77022874879780745</v>
      </c>
      <c r="GA942">
        <v>3.9437255331619232</v>
      </c>
      <c r="GB942">
        <v>3.1714017984499412</v>
      </c>
      <c r="GC942">
        <v>12.879271276899971</v>
      </c>
      <c r="GD942">
        <v>9.4316123229449751</v>
      </c>
      <c r="GE942">
        <v>1.1151269710244875</v>
      </c>
      <c r="GF942">
        <v>0.38032995424220212</v>
      </c>
      <c r="GG942">
        <v>0.81714677051852402</v>
      </c>
      <c r="GH942">
        <v>0.66238017508411107</v>
      </c>
      <c r="GI942">
        <v>8.0466781122536055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11.759958791208792</v>
      </c>
      <c r="AO943">
        <v>13.468530465756398</v>
      </c>
      <c r="AP943">
        <v>42.483416860771925</v>
      </c>
      <c r="AQ943">
        <v>43.353250366604883</v>
      </c>
      <c r="AR943">
        <v>12.49399857676846</v>
      </c>
      <c r="AS943">
        <v>76.743209763303767</v>
      </c>
      <c r="AT943" t="e">
        <v>#DIV/0!</v>
      </c>
      <c r="AU943" t="e">
        <v>#DIV/0!</v>
      </c>
      <c r="AV943"/>
      <c r="AW943"/>
      <c r="FY943" s="210">
        <v>938</v>
      </c>
      <c r="FZ943">
        <v>3.3183084785198033E-2</v>
      </c>
      <c r="GA943">
        <v>0.88697555135127926</v>
      </c>
      <c r="GB943">
        <v>1.5526459985461498</v>
      </c>
      <c r="GC943">
        <v>7.7349680030079497</v>
      </c>
      <c r="GD943">
        <v>6.110469044201368</v>
      </c>
      <c r="GE943">
        <v>2.0806755322874251</v>
      </c>
      <c r="GF943">
        <v>0.88105632613632445</v>
      </c>
      <c r="GG943">
        <v>1.9240084507667847</v>
      </c>
      <c r="GH943">
        <v>2.6495207003364443</v>
      </c>
      <c r="GI943">
        <v>5.2510026272152146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9.4000496031746046</v>
      </c>
      <c r="AO944">
        <v>8.9479924932901653</v>
      </c>
      <c r="AP944">
        <v>46.174483035969857</v>
      </c>
      <c r="AQ944">
        <v>38.140126511950427</v>
      </c>
      <c r="AR944">
        <v>8.1419539639601268</v>
      </c>
      <c r="AS944">
        <v>31.790324195811497</v>
      </c>
      <c r="AT944" t="e">
        <v>#DIV/0!</v>
      </c>
      <c r="AU944" t="e">
        <v>#DIV/0!</v>
      </c>
      <c r="AV944"/>
      <c r="AW944"/>
      <c r="FY944" s="210">
        <v>939</v>
      </c>
      <c r="FZ944">
        <v>0.2456818880042031</v>
      </c>
      <c r="GA944">
        <v>0.29002507178084797</v>
      </c>
      <c r="GB944">
        <v>0.57206434372473558</v>
      </c>
      <c r="GC944">
        <v>9.4506692033343835</v>
      </c>
      <c r="GD944">
        <v>7.4750999107622755</v>
      </c>
      <c r="GE944">
        <v>2.549356609776857</v>
      </c>
      <c r="GF944">
        <v>2.1424426065148507</v>
      </c>
      <c r="GG944">
        <v>1.2981488832102204</v>
      </c>
      <c r="GH944">
        <v>1.3247603501682221</v>
      </c>
      <c r="GI944">
        <v>6.2631581197745136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9.556833791208792</v>
      </c>
      <c r="AO945">
        <v>9.8781727676386062</v>
      </c>
      <c r="AP945">
        <v>38.731533979554996</v>
      </c>
      <c r="AQ945">
        <v>35.912851321626214</v>
      </c>
      <c r="AR945">
        <v>9.1105603533626063</v>
      </c>
      <c r="AS945">
        <v>54.932578841369171</v>
      </c>
      <c r="AT945" t="e">
        <v>#DIV/0!</v>
      </c>
      <c r="AU945" t="e">
        <v>#DIV/0!</v>
      </c>
      <c r="AV945"/>
      <c r="AW945"/>
      <c r="FY945" s="210">
        <v>940</v>
      </c>
      <c r="FZ945">
        <v>3.3183084785198033E-2</v>
      </c>
      <c r="GA945">
        <v>3.1990416993764645</v>
      </c>
      <c r="GB945">
        <v>2.6632737813810121</v>
      </c>
      <c r="GC945">
        <v>8.162825787914521</v>
      </c>
      <c r="GD945">
        <v>6.2971612618321355</v>
      </c>
      <c r="GE945">
        <v>1.8691657077015624</v>
      </c>
      <c r="GF945">
        <v>0.88105632613632445</v>
      </c>
      <c r="GG945">
        <v>0.48100211269169618</v>
      </c>
      <c r="GH945">
        <v>0.66238017508411107</v>
      </c>
      <c r="GI945">
        <v>5.4599149738899913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7.1243322649572631</v>
      </c>
      <c r="AO946">
        <v>8.5150328512279394</v>
      </c>
      <c r="AP946">
        <v>23.783381201722229</v>
      </c>
      <c r="AQ946">
        <v>27.010707238256995</v>
      </c>
      <c r="AR946">
        <v>7.8460520821096704</v>
      </c>
      <c r="AS946">
        <v>34.615514088892041</v>
      </c>
      <c r="AT946" t="e">
        <v>#DIV/0!</v>
      </c>
      <c r="AU946" t="e">
        <v>#DIV/0!</v>
      </c>
      <c r="AV946"/>
      <c r="AW946"/>
      <c r="FY946" s="210">
        <v>941</v>
      </c>
      <c r="FZ946">
        <v>0.27886497278940114</v>
      </c>
      <c r="GA946">
        <v>9.8936932607895294</v>
      </c>
      <c r="GB946">
        <v>5.1283105040436627</v>
      </c>
      <c r="GC946">
        <v>1.806539870635091</v>
      </c>
      <c r="GD946">
        <v>1.508356260072792</v>
      </c>
      <c r="GE946">
        <v>0.80161328311131574</v>
      </c>
      <c r="GF946">
        <v>0.38032995424220212</v>
      </c>
      <c r="GG946">
        <v>1.2981488832102204</v>
      </c>
      <c r="GH946">
        <v>1.3247603501682221</v>
      </c>
      <c r="GI946">
        <v>2.8396123335495385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5.0307539682539675</v>
      </c>
      <c r="AO947">
        <v>4.9662343328650937</v>
      </c>
      <c r="AP947">
        <v>18.246122032323267</v>
      </c>
      <c r="AQ947">
        <v>16.059968211079386</v>
      </c>
      <c r="AR947">
        <v>4.6068964126763383</v>
      </c>
      <c r="AS947">
        <v>17.215260476915997</v>
      </c>
      <c r="AT947" t="e">
        <v>#DIV/0!</v>
      </c>
      <c r="AU947" t="e">
        <v>#DIV/0!</v>
      </c>
      <c r="AV947"/>
      <c r="AW947"/>
      <c r="FY947" s="210">
        <v>942</v>
      </c>
      <c r="FZ947">
        <v>3.3183084785198033E-2</v>
      </c>
      <c r="GA947">
        <v>3.9242308666676516E-2</v>
      </c>
      <c r="GB947">
        <v>0</v>
      </c>
      <c r="GC947">
        <v>3.1550857583093239</v>
      </c>
      <c r="GD947">
        <v>2.7743427305946122</v>
      </c>
      <c r="GE947">
        <v>1.0131231076971783</v>
      </c>
      <c r="GF947">
        <v>0.38032995424220212</v>
      </c>
      <c r="GG947">
        <v>0.81714677051852402</v>
      </c>
      <c r="GH947">
        <v>0.66238017508411107</v>
      </c>
      <c r="GI947">
        <v>2.3530946950381706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7.6510798229548218</v>
      </c>
      <c r="AO948">
        <v>8.5029395813619342</v>
      </c>
      <c r="AP948">
        <v>34.335649361671692</v>
      </c>
      <c r="AQ948">
        <v>31.436181451954837</v>
      </c>
      <c r="AR948">
        <v>7.7291033963087088</v>
      </c>
      <c r="AS948">
        <v>34.589462315180995</v>
      </c>
      <c r="AT948" t="e">
        <v>#DIV/0!</v>
      </c>
      <c r="AU948" t="e">
        <v>#DIV/0!</v>
      </c>
      <c r="AV948"/>
      <c r="AW948"/>
      <c r="FY948" s="210">
        <v>943</v>
      </c>
      <c r="FZ948">
        <v>0.52454686079360424</v>
      </c>
      <c r="GA948">
        <v>2.3147589375975777</v>
      </c>
      <c r="GB948">
        <v>0.8170346221933571</v>
      </c>
      <c r="GC948">
        <v>10.335489480458696</v>
      </c>
      <c r="GD948">
        <v>8.5928624545379257</v>
      </c>
      <c r="GE948">
        <v>2.0262462153943566</v>
      </c>
      <c r="GF948">
        <v>0.38032995424220212</v>
      </c>
      <c r="GG948">
        <v>0.3361446578268279</v>
      </c>
      <c r="GH948">
        <v>0</v>
      </c>
      <c r="GI948">
        <v>6.6278417813807771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8.9509310134310116</v>
      </c>
      <c r="AO949">
        <v>6.8221307397680651</v>
      </c>
      <c r="AP949">
        <v>32.727466964767451</v>
      </c>
      <c r="AQ949">
        <v>28.64209337634848</v>
      </c>
      <c r="AR949">
        <v>6.3285071797477421</v>
      </c>
      <c r="AS949">
        <v>28.579029963665043</v>
      </c>
      <c r="AT949" t="e">
        <v>#DIV/0!</v>
      </c>
      <c r="AU949" t="e">
        <v>#DIV/0!</v>
      </c>
      <c r="AV949"/>
      <c r="AW949"/>
      <c r="FY949" s="210">
        <v>944</v>
      </c>
      <c r="FZ949">
        <v>3.3183084785198033E-2</v>
      </c>
      <c r="GA949">
        <v>2.8228675547052076</v>
      </c>
      <c r="GB949">
        <v>2.4714648014135903</v>
      </c>
      <c r="GC949">
        <v>6.9855020920082715</v>
      </c>
      <c r="GD949">
        <v>5.4277313357004315</v>
      </c>
      <c r="GE949">
        <v>2.4486185370936648</v>
      </c>
      <c r="GF949">
        <v>1.95227762939375</v>
      </c>
      <c r="GG949">
        <v>1.1300765542968063</v>
      </c>
      <c r="GH949">
        <v>1.3247603501682221</v>
      </c>
      <c r="GI949">
        <v>5.1821230163138958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9.646443833943831</v>
      </c>
      <c r="AO950">
        <v>11.076316832591152</v>
      </c>
      <c r="AP950">
        <v>35.532455254493229</v>
      </c>
      <c r="AQ950">
        <v>35.39038723494393</v>
      </c>
      <c r="AR950">
        <v>10.274876468080846</v>
      </c>
      <c r="AS950">
        <v>52.822128343854246</v>
      </c>
      <c r="AT950" t="e">
        <v>#DIV/0!</v>
      </c>
      <c r="AU950" t="e">
        <v>#DIV/0!</v>
      </c>
      <c r="AV950"/>
      <c r="AW950"/>
      <c r="FY950" s="210">
        <v>945</v>
      </c>
      <c r="FZ950">
        <v>0.73704566401260951</v>
      </c>
      <c r="GA950">
        <v>4.5014337040656773</v>
      </c>
      <c r="GB950">
        <v>1.7358534250607978</v>
      </c>
      <c r="GC950">
        <v>9.3450598202759121</v>
      </c>
      <c r="GD950">
        <v>7.298273541407541</v>
      </c>
      <c r="GE950">
        <v>0.80161328311131574</v>
      </c>
      <c r="GF950">
        <v>0.38032995424220212</v>
      </c>
      <c r="GG950">
        <v>0.81714677051852402</v>
      </c>
      <c r="GH950">
        <v>0.66238017508411107</v>
      </c>
      <c r="GI950">
        <v>5.9716137578067015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9.4082341269841265</v>
      </c>
      <c r="AO951">
        <v>7.0631660801546463</v>
      </c>
      <c r="AP951">
        <v>31.855888730415611</v>
      </c>
      <c r="AQ951">
        <v>27.193909169718566</v>
      </c>
      <c r="AR951">
        <v>6.5521021151712864</v>
      </c>
      <c r="AS951">
        <v>29.745476610846985</v>
      </c>
      <c r="AT951" t="e">
        <v>#DIV/0!</v>
      </c>
      <c r="AU951" t="e">
        <v>#DIV/0!</v>
      </c>
      <c r="AV951"/>
      <c r="AW951"/>
      <c r="FY951" s="210">
        <v>946</v>
      </c>
      <c r="FZ951">
        <v>6.6366169570396066E-2</v>
      </c>
      <c r="GA951">
        <v>2.1397680022443666</v>
      </c>
      <c r="GB951">
        <v>1.5548194732479839</v>
      </c>
      <c r="GC951">
        <v>4.1366459187519231</v>
      </c>
      <c r="GD951">
        <v>3.736093114464146</v>
      </c>
      <c r="GE951">
        <v>2.3572653028997061</v>
      </c>
      <c r="GF951">
        <v>1.2613862803785265</v>
      </c>
      <c r="GG951">
        <v>0.81714677051852402</v>
      </c>
      <c r="GH951">
        <v>0.66238017508411107</v>
      </c>
      <c r="GI951">
        <v>3.4713462914792879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3.8467261904761907</v>
      </c>
      <c r="AO952">
        <v>3.1221833184033239</v>
      </c>
      <c r="AP952">
        <v>13.012629621415986</v>
      </c>
      <c r="AQ952">
        <v>11.326873865468016</v>
      </c>
      <c r="AR952">
        <v>2.896273950281377</v>
      </c>
      <c r="AS952">
        <v>14.409579274326861</v>
      </c>
      <c r="AT952" t="e">
        <v>#DIV/0!</v>
      </c>
      <c r="AU952" t="e">
        <v>#DIV/0!</v>
      </c>
      <c r="AV952"/>
      <c r="AW952"/>
      <c r="FY952" s="210">
        <v>947</v>
      </c>
      <c r="FZ952">
        <v>0.31204805757459919</v>
      </c>
      <c r="GA952">
        <v>7.0239189418605879</v>
      </c>
      <c r="GB952">
        <v>3.737038063423737</v>
      </c>
      <c r="GC952">
        <v>13.046534305382908</v>
      </c>
      <c r="GD952">
        <v>9.5591869827754703</v>
      </c>
      <c r="GE952">
        <v>0.31351368791317175</v>
      </c>
      <c r="GF952">
        <v>0.76065990848440423</v>
      </c>
      <c r="GG952">
        <v>1.1532914283453519</v>
      </c>
      <c r="GH952">
        <v>0.66238017508411107</v>
      </c>
      <c r="GI952">
        <v>8.2990966234945365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11.3819826007326</v>
      </c>
      <c r="AO953">
        <v>13.339974216793635</v>
      </c>
      <c r="AP953">
        <v>40.651689633781103</v>
      </c>
      <c r="AQ953">
        <v>41.217901663377546</v>
      </c>
      <c r="AR953">
        <v>12.37474417142267</v>
      </c>
      <c r="AS953">
        <v>50.551652307743133</v>
      </c>
      <c r="AT953" t="e">
        <v>#DIV/0!</v>
      </c>
      <c r="AU953" t="e">
        <v>#DIV/0!</v>
      </c>
      <c r="AV953"/>
      <c r="AW953"/>
      <c r="FY953" s="210">
        <v>948</v>
      </c>
      <c r="FZ953">
        <v>0.27886497278940114</v>
      </c>
      <c r="GA953">
        <v>5.1741760113970692</v>
      </c>
      <c r="GB953">
        <v>2.882155587212103</v>
      </c>
      <c r="GC953">
        <v>4.5642104007431419</v>
      </c>
      <c r="GD953">
        <v>3.8093810210217427</v>
      </c>
      <c r="GE953">
        <v>2.4116946197927751</v>
      </c>
      <c r="GF953">
        <v>1.95227762939375</v>
      </c>
      <c r="GG953">
        <v>2.0920807796801988</v>
      </c>
      <c r="GH953">
        <v>2.6495207003364443</v>
      </c>
      <c r="GI953">
        <v>4.3998767402918437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7.2418536324786329</v>
      </c>
      <c r="AO954">
        <v>8.5459182187627167</v>
      </c>
      <c r="AP954">
        <v>28.696240852964891</v>
      </c>
      <c r="AQ954">
        <v>29.104505318634143</v>
      </c>
      <c r="AR954">
        <v>7.8747027013441562</v>
      </c>
      <c r="AS954">
        <v>34.590207385594709</v>
      </c>
      <c r="AT954" t="e">
        <v>#DIV/0!</v>
      </c>
      <c r="AU954" t="e">
        <v>#DIV/0!</v>
      </c>
      <c r="AV954"/>
      <c r="AW954"/>
      <c r="FY954" s="210">
        <v>949</v>
      </c>
      <c r="FZ954">
        <v>3.3183084785198033E-2</v>
      </c>
      <c r="GA954">
        <v>3.9110263153745324</v>
      </c>
      <c r="GB954">
        <v>2.4097019494596168</v>
      </c>
      <c r="GC954">
        <v>3.1330013968211561</v>
      </c>
      <c r="GD954">
        <v>2.0886851819235419</v>
      </c>
      <c r="GE954">
        <v>0.54252891209121246</v>
      </c>
      <c r="GF954">
        <v>1.4515512574996277</v>
      </c>
      <c r="GG954">
        <v>2.4282254375070265</v>
      </c>
      <c r="GH954">
        <v>2.6495207003364443</v>
      </c>
      <c r="GI954">
        <v>2.9722406333552298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7.4529914529914523</v>
      </c>
      <c r="AO955">
        <v>10.33225848710534</v>
      </c>
      <c r="AP955">
        <v>29.120798038085862</v>
      </c>
      <c r="AQ955">
        <v>31.611406987051112</v>
      </c>
      <c r="AR955">
        <v>9.4789249292002857</v>
      </c>
      <c r="AS955">
        <v>53.592791609172146</v>
      </c>
      <c r="AT955" t="e">
        <v>#DIV/0!</v>
      </c>
      <c r="AU955" t="e">
        <v>#DIV/0!</v>
      </c>
      <c r="AV955"/>
      <c r="AW955"/>
      <c r="FY955" s="210">
        <v>950</v>
      </c>
      <c r="FZ955">
        <v>6.6366169570396066E-2</v>
      </c>
      <c r="GA955">
        <v>7.8484617333353032E-2</v>
      </c>
      <c r="GB955">
        <v>0</v>
      </c>
      <c r="GC955">
        <v>5.4490306778674524</v>
      </c>
      <c r="GD955">
        <v>4.3924251096124838</v>
      </c>
      <c r="GE955">
        <v>0.80161328311131574</v>
      </c>
      <c r="GF955">
        <v>0.19016497712110106</v>
      </c>
      <c r="GG955">
        <v>1.1300765542968063</v>
      </c>
      <c r="GH955">
        <v>1.3247603501682221</v>
      </c>
      <c r="GI955">
        <v>3.4985973688206142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8.4149687118437093</v>
      </c>
      <c r="AO956">
        <v>8.9589352478214863</v>
      </c>
      <c r="AP956">
        <v>30.234152966698502</v>
      </c>
      <c r="AQ956">
        <v>29.709004910793016</v>
      </c>
      <c r="AR956">
        <v>8.2578353813615681</v>
      </c>
      <c r="AS956">
        <v>35.291637834285318</v>
      </c>
      <c r="AT956" t="e">
        <v>#DIV/0!</v>
      </c>
      <c r="AU956" t="e">
        <v>#DIV/0!</v>
      </c>
      <c r="AV956"/>
      <c r="AW956"/>
      <c r="FY956" s="210">
        <v>951</v>
      </c>
      <c r="FZ956">
        <v>0.49136377600840619</v>
      </c>
      <c r="GA956">
        <v>5.2995673929541542</v>
      </c>
      <c r="GB956">
        <v>2.2461549168315607</v>
      </c>
      <c r="GC956">
        <v>1.577542879154662</v>
      </c>
      <c r="GD956">
        <v>1.2918737463903907</v>
      </c>
      <c r="GE956">
        <v>0.85604260000438437</v>
      </c>
      <c r="GF956">
        <v>0.88105632613632445</v>
      </c>
      <c r="GG956">
        <v>0.96200422538339236</v>
      </c>
      <c r="GH956">
        <v>1.3247603501682221</v>
      </c>
      <c r="GI956">
        <v>2.0913828784676043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8.0888278388278376</v>
      </c>
      <c r="AO957">
        <v>4.7151289803496095</v>
      </c>
      <c r="AP957">
        <v>35.814574183273898</v>
      </c>
      <c r="AQ957">
        <v>25.260229672611977</v>
      </c>
      <c r="AR957">
        <v>4.3739600930886935</v>
      </c>
      <c r="AS957">
        <v>17.725178729838269</v>
      </c>
      <c r="AT957" t="e">
        <v>#DIV/0!</v>
      </c>
      <c r="AU957" t="e">
        <v>#DIV/0!</v>
      </c>
      <c r="AV957"/>
      <c r="AW957"/>
      <c r="FY957" s="210">
        <v>952</v>
      </c>
      <c r="FZ957">
        <v>0.27886497278940114</v>
      </c>
      <c r="GA957">
        <v>5.8965178725245861</v>
      </c>
      <c r="GB957">
        <v>3.79880091537771</v>
      </c>
      <c r="GC957">
        <v>10.743719886084598</v>
      </c>
      <c r="GD957">
        <v>8.2114673054801202</v>
      </c>
      <c r="GE957">
        <v>1.32663679561035</v>
      </c>
      <c r="GF957">
        <v>0.5704949313633032</v>
      </c>
      <c r="GG957">
        <v>1.4662212121236342</v>
      </c>
      <c r="GH957">
        <v>1.3247603501682221</v>
      </c>
      <c r="GI957">
        <v>7.1845717173311794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2.9380341880341883</v>
      </c>
      <c r="AO958">
        <v>3.9776549472633169</v>
      </c>
      <c r="AP958">
        <v>10.308877974262284</v>
      </c>
      <c r="AQ958">
        <v>11.227928584935999</v>
      </c>
      <c r="AR958">
        <v>3.6898468898546537</v>
      </c>
      <c r="AS958">
        <v>13.764474390184505</v>
      </c>
      <c r="AT958" t="e">
        <v>#DIV/0!</v>
      </c>
      <c r="AU958" t="e">
        <v>#DIV/0!</v>
      </c>
      <c r="AV958"/>
      <c r="AW958"/>
      <c r="FY958" s="210">
        <v>953</v>
      </c>
      <c r="FZ958">
        <v>6.6366169570396066E-2</v>
      </c>
      <c r="GA958">
        <v>2.9875012449289695</v>
      </c>
      <c r="GB958">
        <v>2.5354011280693975</v>
      </c>
      <c r="GC958">
        <v>2.0858284276690444</v>
      </c>
      <c r="GD958">
        <v>1.7324166093577036</v>
      </c>
      <c r="GE958">
        <v>1.8322417904006723</v>
      </c>
      <c r="GF958">
        <v>1.4515512574996277</v>
      </c>
      <c r="GG958">
        <v>0.98521909943193808</v>
      </c>
      <c r="GH958">
        <v>0.66238017508411107</v>
      </c>
      <c r="GI958">
        <v>2.4643800799125763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8.1816239316239319</v>
      </c>
      <c r="AO959">
        <v>10.953872091168268</v>
      </c>
      <c r="AP959">
        <v>27.418802651054342</v>
      </c>
      <c r="AQ959">
        <v>31.955254964425325</v>
      </c>
      <c r="AR959">
        <v>10.161291364720098</v>
      </c>
      <c r="AS959">
        <v>53.956950163808848</v>
      </c>
      <c r="AT959" t="e">
        <v>#DIV/0!</v>
      </c>
      <c r="AU959" t="e">
        <v>#DIV/0!</v>
      </c>
      <c r="AV959"/>
      <c r="AW959"/>
      <c r="FY959" s="210">
        <v>954</v>
      </c>
      <c r="FZ959">
        <v>0.77022874879780745</v>
      </c>
      <c r="GA959">
        <v>3.4721664351485773</v>
      </c>
      <c r="GB959">
        <v>1.2385004361464778</v>
      </c>
      <c r="GC959">
        <v>12.650878485749999</v>
      </c>
      <c r="GD959">
        <v>10.279958395741339</v>
      </c>
      <c r="GE959">
        <v>2.3941892202005963</v>
      </c>
      <c r="GF959">
        <v>1.0712213032574254</v>
      </c>
      <c r="GG959">
        <v>1.6110786669885027</v>
      </c>
      <c r="GH959">
        <v>1.9871405252523333</v>
      </c>
      <c r="GI959">
        <v>8.2314857488354107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7.443948412698413</v>
      </c>
      <c r="AO960">
        <v>8.539380242346736</v>
      </c>
      <c r="AP960">
        <v>32.123809488824286</v>
      </c>
      <c r="AQ960">
        <v>29.778604955879036</v>
      </c>
      <c r="AR960">
        <v>7.8157725685707851</v>
      </c>
      <c r="AS960">
        <v>37.235854312347811</v>
      </c>
      <c r="AT960" t="e">
        <v>#DIV/0!</v>
      </c>
      <c r="AU960" t="e">
        <v>#DIV/0!</v>
      </c>
      <c r="AV960"/>
      <c r="AW960"/>
      <c r="FY960" s="210">
        <v>955</v>
      </c>
      <c r="FZ960">
        <v>0.77022874879780745</v>
      </c>
      <c r="GA960">
        <v>1.8824421482509088</v>
      </c>
      <c r="GB960">
        <v>1.0445179814772214</v>
      </c>
      <c r="GC960">
        <v>4.7105442759758169</v>
      </c>
      <c r="GD960">
        <v>4.2921302525237746</v>
      </c>
      <c r="GE960">
        <v>2.1651739960225558</v>
      </c>
      <c r="GF960">
        <v>0.5704949313633032</v>
      </c>
      <c r="GG960">
        <v>1.4662212121236342</v>
      </c>
      <c r="GH960">
        <v>1.3247603501682221</v>
      </c>
      <c r="GI960">
        <v>3.956684463069827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8.9375381562881557</v>
      </c>
      <c r="AO961">
        <v>9.7985649316326544</v>
      </c>
      <c r="AP961">
        <v>31.000819347182279</v>
      </c>
      <c r="AQ961">
        <v>32.250750095585389</v>
      </c>
      <c r="AR961">
        <v>9.0895778586573766</v>
      </c>
      <c r="AS961">
        <v>52.501564297958708</v>
      </c>
      <c r="AT961" t="e">
        <v>#DIV/0!</v>
      </c>
      <c r="AU961" t="e">
        <v>#DIV/0!</v>
      </c>
      <c r="AV961"/>
      <c r="AW961"/>
      <c r="FY961" s="210">
        <v>956</v>
      </c>
      <c r="FZ961">
        <v>6.6366169570396066E-2</v>
      </c>
      <c r="GA961">
        <v>1.8993424842596442</v>
      </c>
      <c r="GB961">
        <v>1.4530352925739001</v>
      </c>
      <c r="GC961">
        <v>8.1487490208439866</v>
      </c>
      <c r="GD961">
        <v>6.305338626387254</v>
      </c>
      <c r="GE961">
        <v>1.5187281024875006</v>
      </c>
      <c r="GF961">
        <v>1.2613862803785265</v>
      </c>
      <c r="GG961">
        <v>1.7791509959019165</v>
      </c>
      <c r="GH961">
        <v>1.9871405252523333</v>
      </c>
      <c r="GI961">
        <v>5.4523767478057596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6.1898084554334556</v>
      </c>
      <c r="AO962">
        <v>5.7127476600160003</v>
      </c>
      <c r="AP962">
        <v>21.339930410409885</v>
      </c>
      <c r="AQ962">
        <v>20.203217498638971</v>
      </c>
      <c r="AR962">
        <v>5.2465296412822662</v>
      </c>
      <c r="AS962">
        <v>21.710332035568893</v>
      </c>
      <c r="AT962" t="e">
        <v>#DIV/0!</v>
      </c>
      <c r="AU962" t="e">
        <v>#DIV/0!</v>
      </c>
      <c r="AV962"/>
      <c r="AW962"/>
      <c r="FY962" s="210">
        <v>957</v>
      </c>
      <c r="FZ962">
        <v>0.31204805757459919</v>
      </c>
      <c r="GA962">
        <v>3.5283090798239893</v>
      </c>
      <c r="GB962">
        <v>2.0912094376562771</v>
      </c>
      <c r="GC962">
        <v>10.465640207212834</v>
      </c>
      <c r="GD962">
        <v>8.3665140925794876</v>
      </c>
      <c r="GE962">
        <v>2.3203413855988164</v>
      </c>
      <c r="GF962">
        <v>1.0712213032574254</v>
      </c>
      <c r="GG962">
        <v>1.1300765542968063</v>
      </c>
      <c r="GH962">
        <v>1.3247603501682221</v>
      </c>
      <c r="GI962">
        <v>7.1430113828875772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12.554067460317459</v>
      </c>
      <c r="AO963">
        <v>13.752992056434096</v>
      </c>
      <c r="AP963">
        <v>46.513417528676655</v>
      </c>
      <c r="AQ963">
        <v>44.867668174338881</v>
      </c>
      <c r="AR963">
        <v>12.757877603371151</v>
      </c>
      <c r="AS963">
        <v>72.652763428932658</v>
      </c>
      <c r="AT963" t="e">
        <v>#DIV/0!</v>
      </c>
      <c r="AU963" t="e">
        <v>#DIV/0!</v>
      </c>
      <c r="AV963"/>
      <c r="AW963"/>
      <c r="FY963" s="210">
        <v>958</v>
      </c>
      <c r="FZ963">
        <v>0.27886497278940114</v>
      </c>
      <c r="GA963">
        <v>4.0860172507277435</v>
      </c>
      <c r="GB963">
        <v>2.371854095441341</v>
      </c>
      <c r="GC963">
        <v>6.8697751051643063</v>
      </c>
      <c r="GD963">
        <v>5.768608599944435</v>
      </c>
      <c r="GE963">
        <v>1.8885842254102743</v>
      </c>
      <c r="GF963">
        <v>0.19016497712110106</v>
      </c>
      <c r="GG963">
        <v>0.64907444160511019</v>
      </c>
      <c r="GH963">
        <v>0.66238017508411107</v>
      </c>
      <c r="GI963">
        <v>5.0653607885728196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7.5828754578754571</v>
      </c>
      <c r="AO964">
        <v>7.2455218524787171</v>
      </c>
      <c r="AP964">
        <v>36.104271661374646</v>
      </c>
      <c r="AQ964">
        <v>30.214238462658475</v>
      </c>
      <c r="AR964">
        <v>6.6155328748156634</v>
      </c>
      <c r="AS964">
        <v>34.365523482494773</v>
      </c>
      <c r="AT964" t="e">
        <v>#DIV/0!</v>
      </c>
      <c r="AU964" t="e">
        <v>#DIV/0!</v>
      </c>
      <c r="AV964"/>
      <c r="AW964"/>
      <c r="FY964" s="210">
        <v>959</v>
      </c>
      <c r="FZ964">
        <v>0.27886497278940114</v>
      </c>
      <c r="GA964">
        <v>0.32926738044752452</v>
      </c>
      <c r="GB964">
        <v>0.57206434372473558</v>
      </c>
      <c r="GC964">
        <v>3.7302322195785269</v>
      </c>
      <c r="GD964">
        <v>3.3599935124626183</v>
      </c>
      <c r="GE964">
        <v>1.5381466201962124</v>
      </c>
      <c r="GF964">
        <v>0.19016497712110106</v>
      </c>
      <c r="GG964">
        <v>0.16807232891341395</v>
      </c>
      <c r="GH964">
        <v>0</v>
      </c>
      <c r="GI964">
        <v>2.4356173435216411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6.1083829365079376</v>
      </c>
      <c r="AO965">
        <v>4.9505864737567311</v>
      </c>
      <c r="AP965">
        <v>28.000991852684983</v>
      </c>
      <c r="AQ965">
        <v>21.619664869153585</v>
      </c>
      <c r="AR965">
        <v>4.539515553843243</v>
      </c>
      <c r="AS965">
        <v>21.385811144019183</v>
      </c>
      <c r="AT965" t="e">
        <v>#DIV/0!</v>
      </c>
      <c r="AU965" t="e">
        <v>#DIV/0!</v>
      </c>
      <c r="AV965"/>
      <c r="AW965"/>
      <c r="FY965" s="210">
        <v>960</v>
      </c>
      <c r="FZ965">
        <v>0.31204805757459919</v>
      </c>
      <c r="GA965">
        <v>3.1521349351527315</v>
      </c>
      <c r="GB965">
        <v>2.4714648014135903</v>
      </c>
      <c r="GC965">
        <v>10.018795318780587</v>
      </c>
      <c r="GD965">
        <v>7.6430538258346079</v>
      </c>
      <c r="GE965">
        <v>1.2897128783094598</v>
      </c>
      <c r="GF965">
        <v>0.19016497712110106</v>
      </c>
      <c r="GG965">
        <v>1.6110786669885027</v>
      </c>
      <c r="GH965">
        <v>1.9871405252523333</v>
      </c>
      <c r="GI965">
        <v>6.5130775877019822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4.090811965811965</v>
      </c>
      <c r="AO966">
        <v>5.8072580506169276</v>
      </c>
      <c r="AP966">
        <v>14.861975889468219</v>
      </c>
      <c r="AQ966">
        <v>16.931519107901746</v>
      </c>
      <c r="AR966">
        <v>5.3870668373069828</v>
      </c>
      <c r="AS966">
        <v>27.868920115181112</v>
      </c>
      <c r="AT966" t="e">
        <v>#DIV/0!</v>
      </c>
      <c r="AU966" t="e">
        <v>#DIV/0!</v>
      </c>
      <c r="AV966"/>
      <c r="AW966"/>
      <c r="FY966" s="210">
        <v>961</v>
      </c>
      <c r="FZ966">
        <v>0</v>
      </c>
      <c r="GA966">
        <v>2.7836252460385307</v>
      </c>
      <c r="GB966">
        <v>1.3273361139641193</v>
      </c>
      <c r="GC966">
        <v>6.4495779418357291</v>
      </c>
      <c r="GD966">
        <v>5.2556697270148929</v>
      </c>
      <c r="GE966">
        <v>1.0131231076971783</v>
      </c>
      <c r="GF966">
        <v>0.19016497712110106</v>
      </c>
      <c r="GG966">
        <v>0.64907444160511019</v>
      </c>
      <c r="GH966">
        <v>0.66238017508411107</v>
      </c>
      <c r="GI966">
        <v>4.2707757475960779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5.077132936507935</v>
      </c>
      <c r="AO967">
        <v>3.4894143639705733</v>
      </c>
      <c r="AP967">
        <v>22.641412068725593</v>
      </c>
      <c r="AQ967">
        <v>17.0217490914991</v>
      </c>
      <c r="AR967">
        <v>3.1840683276965294</v>
      </c>
      <c r="AS967">
        <v>13.257809360585615</v>
      </c>
      <c r="AT967" t="e">
        <v>#DIV/0!</v>
      </c>
      <c r="AU967" t="e">
        <v>#DIV/0!</v>
      </c>
      <c r="AV967"/>
      <c r="AW967"/>
      <c r="FY967" s="210">
        <v>962</v>
      </c>
      <c r="FZ967">
        <v>0.2456818880042031</v>
      </c>
      <c r="GA967">
        <v>2.1108829387071388</v>
      </c>
      <c r="GB967">
        <v>2.0250996362986355</v>
      </c>
      <c r="GC967">
        <v>2.6861565083889083</v>
      </c>
      <c r="GD967">
        <v>2.2767962393885033</v>
      </c>
      <c r="GE967">
        <v>1.3635607129112401</v>
      </c>
      <c r="GF967">
        <v>0.38032995424220212</v>
      </c>
      <c r="GG967">
        <v>2.2601531085936126</v>
      </c>
      <c r="GH967">
        <v>2.6495207003364443</v>
      </c>
      <c r="GI967">
        <v>2.6233444860389108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11.294681013431013</v>
      </c>
      <c r="AO968">
        <v>11.778346560306828</v>
      </c>
      <c r="AP968">
        <v>42.687085121643136</v>
      </c>
      <c r="AQ968">
        <v>40.802055958853103</v>
      </c>
      <c r="AR968">
        <v>10.926109981731752</v>
      </c>
      <c r="AS968">
        <v>58.176278376607129</v>
      </c>
      <c r="AT968" t="e">
        <v>#DIV/0!</v>
      </c>
      <c r="AU968" t="e">
        <v>#DIV/0!</v>
      </c>
      <c r="AV968"/>
      <c r="AW968"/>
      <c r="FY968" s="210">
        <v>963</v>
      </c>
      <c r="FZ968">
        <v>3.3183084785198033E-2</v>
      </c>
      <c r="GA968">
        <v>1.1377583144654506</v>
      </c>
      <c r="GB968">
        <v>0.53638996440829323</v>
      </c>
      <c r="GC968">
        <v>15.819179105807306</v>
      </c>
      <c r="GD968">
        <v>12.255004437052332</v>
      </c>
      <c r="GE968">
        <v>1.6576558831156998</v>
      </c>
      <c r="GF968">
        <v>1.6417162346207288</v>
      </c>
      <c r="GG968">
        <v>2.1152956537287446</v>
      </c>
      <c r="GH968">
        <v>1.9871405252523333</v>
      </c>
      <c r="GI968">
        <v>9.4975961624400611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4.3182806776556779</v>
      </c>
      <c r="AO969">
        <v>4.1426832279875718</v>
      </c>
      <c r="AP969">
        <v>21.723142264702101</v>
      </c>
      <c r="AQ969">
        <v>16.803285981924439</v>
      </c>
      <c r="AR969">
        <v>3.7900691291965272</v>
      </c>
      <c r="AS969">
        <v>18.050848323143018</v>
      </c>
      <c r="AT969" t="e">
        <v>#DIV/0!</v>
      </c>
      <c r="AU969" t="e">
        <v>#DIV/0!</v>
      </c>
      <c r="AV969"/>
      <c r="AW969"/>
      <c r="FY969" s="210">
        <v>964</v>
      </c>
      <c r="FZ969">
        <v>0.49136377600840619</v>
      </c>
      <c r="GA969">
        <v>2.2755166289309012</v>
      </c>
      <c r="GB969">
        <v>0.8170346221933571</v>
      </c>
      <c r="GC969">
        <v>4.7210088526009493</v>
      </c>
      <c r="GD969">
        <v>4.1234812477241567</v>
      </c>
      <c r="GE969">
        <v>1.3635607129112401</v>
      </c>
      <c r="GF969">
        <v>0.19016497712110106</v>
      </c>
      <c r="GG969">
        <v>1.6110786669885027</v>
      </c>
      <c r="GH969">
        <v>1.9871405252523333</v>
      </c>
      <c r="GI969">
        <v>3.7121058549269597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12.324690934065933</v>
      </c>
      <c r="AO970">
        <v>13.436468346298383</v>
      </c>
      <c r="AP970">
        <v>39.954004848339935</v>
      </c>
      <c r="AQ970">
        <v>43.706847966118474</v>
      </c>
      <c r="AR970">
        <v>12.411391131340141</v>
      </c>
      <c r="AS970">
        <v>70.532962722989168</v>
      </c>
      <c r="AT970" t="e">
        <v>#DIV/0!</v>
      </c>
      <c r="AU970" t="e">
        <v>#DIV/0!</v>
      </c>
      <c r="AV970"/>
      <c r="AW970"/>
      <c r="FY970" s="210">
        <v>965</v>
      </c>
      <c r="FZ970">
        <v>0.27886497278940114</v>
      </c>
      <c r="GA970">
        <v>0.32926738044752452</v>
      </c>
      <c r="GB970">
        <v>1.1441286874494712</v>
      </c>
      <c r="GC970">
        <v>6.9968285739559537</v>
      </c>
      <c r="GD970">
        <v>5.2391856918158037</v>
      </c>
      <c r="GE970">
        <v>1.5556520197883907</v>
      </c>
      <c r="GF970">
        <v>1.6417162346207288</v>
      </c>
      <c r="GG970">
        <v>2.1152956537287446</v>
      </c>
      <c r="GH970">
        <v>1.9871405252523333</v>
      </c>
      <c r="GI970">
        <v>4.8556687823036864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6.1463675213675213</v>
      </c>
      <c r="AO971">
        <v>6.591434293475861</v>
      </c>
      <c r="AP971">
        <v>22.489737246306994</v>
      </c>
      <c r="AQ971">
        <v>22.183198359773073</v>
      </c>
      <c r="AR971">
        <v>6.1145030551724115</v>
      </c>
      <c r="AS971">
        <v>26.089120206490705</v>
      </c>
      <c r="AT971" t="e">
        <v>#DIV/0!</v>
      </c>
      <c r="AU971" t="e">
        <v>#DIV/0!</v>
      </c>
      <c r="AV971"/>
      <c r="AW971"/>
      <c r="FY971" s="210">
        <v>966</v>
      </c>
      <c r="FZ971">
        <v>0</v>
      </c>
      <c r="GA971">
        <v>2.7836252460385307</v>
      </c>
      <c r="GB971">
        <v>1.3273361139641193</v>
      </c>
      <c r="GC971">
        <v>8.4795199495926301</v>
      </c>
      <c r="GD971">
        <v>6.7979537061653188</v>
      </c>
      <c r="GE971">
        <v>1.1520508883253777</v>
      </c>
      <c r="GF971">
        <v>0.5704949313633032</v>
      </c>
      <c r="GG971">
        <v>0.50421698674024196</v>
      </c>
      <c r="GH971">
        <v>0</v>
      </c>
      <c r="GI971">
        <v>5.4521294580795097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6.4819711538461533</v>
      </c>
      <c r="AO972">
        <v>8.9342270169902331</v>
      </c>
      <c r="AP972">
        <v>29.594788722281219</v>
      </c>
      <c r="AQ972">
        <v>29.871614245461217</v>
      </c>
      <c r="AR972">
        <v>8.2349149445978824</v>
      </c>
      <c r="AS972">
        <v>54.002927645716518</v>
      </c>
      <c r="AT972" t="e">
        <v>#DIV/0!</v>
      </c>
      <c r="AU972" t="e">
        <v>#DIV/0!</v>
      </c>
      <c r="AV972"/>
      <c r="AW972"/>
      <c r="FY972" s="210">
        <v>967</v>
      </c>
      <c r="FZ972">
        <v>0.27886497278940114</v>
      </c>
      <c r="GA972">
        <v>0.4546587620046102</v>
      </c>
      <c r="GB972">
        <v>0.63600067038054287</v>
      </c>
      <c r="GC972">
        <v>7.8731263241797222</v>
      </c>
      <c r="GD972">
        <v>6.509472819670659</v>
      </c>
      <c r="GE972">
        <v>1.8147363908084939</v>
      </c>
      <c r="GF972">
        <v>0.38032995424220212</v>
      </c>
      <c r="GG972">
        <v>0.81714677051852402</v>
      </c>
      <c r="GH972">
        <v>0.66238017508411107</v>
      </c>
      <c r="GI972">
        <v>5.0257245349203696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9.829231532356534</v>
      </c>
      <c r="AO973">
        <v>11.815100171247533</v>
      </c>
      <c r="AP973">
        <v>37.006559164422498</v>
      </c>
      <c r="AQ973">
        <v>37.753131851056033</v>
      </c>
      <c r="AR973">
        <v>10.907339020903356</v>
      </c>
      <c r="AS973">
        <v>57.082481184281697</v>
      </c>
      <c r="AT973" t="e">
        <v>#DIV/0!</v>
      </c>
      <c r="AU973" t="e">
        <v>#DIV/0!</v>
      </c>
      <c r="AV973"/>
      <c r="AW973"/>
      <c r="FY973" s="210">
        <v>968</v>
      </c>
      <c r="FZ973">
        <v>0.2456818880042031</v>
      </c>
      <c r="GA973">
        <v>4.4125918416028753</v>
      </c>
      <c r="GB973">
        <v>1.9655102590464966</v>
      </c>
      <c r="GC973">
        <v>3.4552497986692554</v>
      </c>
      <c r="GD973">
        <v>2.6838756991106436</v>
      </c>
      <c r="GE973">
        <v>0.85604260000438437</v>
      </c>
      <c r="GF973">
        <v>1.2613862803785265</v>
      </c>
      <c r="GG973">
        <v>0.81714677051852402</v>
      </c>
      <c r="GH973">
        <v>0.66238017508411107</v>
      </c>
      <c r="GI973">
        <v>2.9265369055285961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7.1765873015873014</v>
      </c>
      <c r="AO974">
        <v>8.4079299175549895</v>
      </c>
      <c r="AP974">
        <v>28.694966575329396</v>
      </c>
      <c r="AQ974">
        <v>27.830684631860642</v>
      </c>
      <c r="AR974">
        <v>7.7995639309415488</v>
      </c>
      <c r="AS974">
        <v>40.549102485816981</v>
      </c>
      <c r="AT974" t="e">
        <v>#DIV/0!</v>
      </c>
      <c r="AU974" t="e">
        <v>#DIV/0!</v>
      </c>
      <c r="AV974"/>
      <c r="AW974"/>
      <c r="FY974" s="210">
        <v>969</v>
      </c>
      <c r="FZ974">
        <v>3.3183084785198033E-2</v>
      </c>
      <c r="GA974">
        <v>7.7931675672118388</v>
      </c>
      <c r="GB974">
        <v>4.2734280278320309</v>
      </c>
      <c r="GC974">
        <v>10.903615595904897</v>
      </c>
      <c r="GD974">
        <v>8.4160360851831904</v>
      </c>
      <c r="GE974">
        <v>1.69457980041659</v>
      </c>
      <c r="GF974">
        <v>0.88105632613632445</v>
      </c>
      <c r="GG974">
        <v>0</v>
      </c>
      <c r="GH974">
        <v>0</v>
      </c>
      <c r="GI974">
        <v>7.3834350703040954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4.9623397435897436</v>
      </c>
      <c r="AO975">
        <v>3.8792772552366386</v>
      </c>
      <c r="AP975">
        <v>10.256737691360605</v>
      </c>
      <c r="AQ975">
        <v>12.602423698755175</v>
      </c>
      <c r="AR975">
        <v>3.59858743528445</v>
      </c>
      <c r="AS975">
        <v>17.008405893091986</v>
      </c>
      <c r="AT975" t="e">
        <v>#DIV/0!</v>
      </c>
      <c r="AU975" t="e">
        <v>#DIV/0!</v>
      </c>
      <c r="AV975"/>
      <c r="AW975"/>
      <c r="FY975" s="210">
        <v>970</v>
      </c>
      <c r="FZ975">
        <v>0.52454686079360424</v>
      </c>
      <c r="GA975">
        <v>4.3760423225085914</v>
      </c>
      <c r="GB975">
        <v>1.7997897517166055</v>
      </c>
      <c r="GC975">
        <v>6.7641657221058349</v>
      </c>
      <c r="GD975">
        <v>5.642388444315861</v>
      </c>
      <c r="GE975">
        <v>2.4116946197927751</v>
      </c>
      <c r="GF975">
        <v>2.522772560757053</v>
      </c>
      <c r="GG975">
        <v>2.1152956537287446</v>
      </c>
      <c r="GH975">
        <v>1.9871405252523333</v>
      </c>
      <c r="GI975">
        <v>5.4220537831100479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9.0873778998778985</v>
      </c>
      <c r="AO976">
        <v>10.70769681263959</v>
      </c>
      <c r="AP976">
        <v>35.128906492175091</v>
      </c>
      <c r="AQ976">
        <v>35.188671574129494</v>
      </c>
      <c r="AR976">
        <v>9.9329283976248526</v>
      </c>
      <c r="AS976">
        <v>52.956522773631249</v>
      </c>
      <c r="AT976" t="e">
        <v>#DIV/0!</v>
      </c>
      <c r="AU976" t="e">
        <v>#DIV/0!</v>
      </c>
      <c r="AV976"/>
      <c r="AW976"/>
      <c r="FY976" s="210">
        <v>971</v>
      </c>
      <c r="FZ976">
        <v>0.55772994557880229</v>
      </c>
      <c r="GA976">
        <v>3.6929427700477513</v>
      </c>
      <c r="GB976">
        <v>2.5993374547252053</v>
      </c>
      <c r="GC976">
        <v>5.2569330027734917</v>
      </c>
      <c r="GD976">
        <v>3.6929986924823162</v>
      </c>
      <c r="GE976">
        <v>1.0306285072893564</v>
      </c>
      <c r="GF976">
        <v>1.6417162346207288</v>
      </c>
      <c r="GG976">
        <v>1.634293541037048</v>
      </c>
      <c r="GH976">
        <v>1.3247603501682221</v>
      </c>
      <c r="GI976">
        <v>4.0831205369541665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6.3333714896214888</v>
      </c>
      <c r="AO977">
        <v>7.0314298649071985</v>
      </c>
      <c r="AP977">
        <v>21.811528991694846</v>
      </c>
      <c r="AQ977">
        <v>22.60172747795685</v>
      </c>
      <c r="AR977">
        <v>6.5226622123443407</v>
      </c>
      <c r="AS977">
        <v>31.944726482655042</v>
      </c>
      <c r="AT977" t="e">
        <v>#DIV/0!</v>
      </c>
      <c r="AU977" t="e">
        <v>#DIV/0!</v>
      </c>
      <c r="AV977"/>
      <c r="AW977"/>
      <c r="FY977" s="210">
        <v>972</v>
      </c>
      <c r="FZ977">
        <v>0.49136377600840619</v>
      </c>
      <c r="GA977">
        <v>4.5772255318266382</v>
      </c>
      <c r="GB977">
        <v>2.4736382761154245</v>
      </c>
      <c r="GC977">
        <v>5.5791814046215915</v>
      </c>
      <c r="GD977">
        <v>4.288189209669417</v>
      </c>
      <c r="GE977">
        <v>1.8866711072937405</v>
      </c>
      <c r="GF977">
        <v>2.1424426065148507</v>
      </c>
      <c r="GG977">
        <v>1.7791509959019165</v>
      </c>
      <c r="GH977">
        <v>1.9871405252523333</v>
      </c>
      <c r="GI977">
        <v>4.6575243035692724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4.239583333333333</v>
      </c>
      <c r="AO978">
        <v>4.256397750807964</v>
      </c>
      <c r="AP978">
        <v>22.121612771892973</v>
      </c>
      <c r="AQ978">
        <v>18.6215261729098</v>
      </c>
      <c r="AR978">
        <v>3.9484209191168507</v>
      </c>
      <c r="AS978">
        <v>19.940010279905088</v>
      </c>
      <c r="AT978" t="e">
        <v>#DIV/0!</v>
      </c>
      <c r="AU978" t="e">
        <v>#DIV/0!</v>
      </c>
      <c r="AV978"/>
      <c r="AW978"/>
      <c r="FY978" s="210">
        <v>973</v>
      </c>
      <c r="FZ978">
        <v>0</v>
      </c>
      <c r="GA978">
        <v>5.9330673916188701</v>
      </c>
      <c r="GB978">
        <v>3.3924570789828659</v>
      </c>
      <c r="GC978">
        <v>8.0194601994123964</v>
      </c>
      <c r="GD978">
        <v>6.8879861512296223</v>
      </c>
      <c r="GE978">
        <v>3.5268215908172622</v>
      </c>
      <c r="GF978">
        <v>2.522772560757053</v>
      </c>
      <c r="GG978">
        <v>1.1532914283453519</v>
      </c>
      <c r="GH978">
        <v>0.66238017508411107</v>
      </c>
      <c r="GI978">
        <v>6.5535834945329992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12.182825854700855</v>
      </c>
      <c r="AO979">
        <v>15.550174556975813</v>
      </c>
      <c r="AP979">
        <v>40.423230955265126</v>
      </c>
      <c r="AQ979">
        <v>46.680919365676154</v>
      </c>
      <c r="AR979">
        <v>14.372157560539982</v>
      </c>
      <c r="AS979">
        <v>65.658387510095025</v>
      </c>
      <c r="AT979" t="e">
        <v>#DIV/0!</v>
      </c>
      <c r="AU979" t="e">
        <v>#DIV/0!</v>
      </c>
      <c r="AV979"/>
      <c r="AW979"/>
      <c r="FY979" s="210">
        <v>974</v>
      </c>
      <c r="FZ979">
        <v>0.2456818880042031</v>
      </c>
      <c r="GA979">
        <v>3.3244330809335505</v>
      </c>
      <c r="GB979">
        <v>2.0272731110004698</v>
      </c>
      <c r="GC979">
        <v>6.7420813606176679</v>
      </c>
      <c r="GD979">
        <v>5.4735727887573953</v>
      </c>
      <c r="GE979">
        <v>1.3635607129112401</v>
      </c>
      <c r="GF979">
        <v>0.19016497712110106</v>
      </c>
      <c r="GG979">
        <v>0.16807232891341395</v>
      </c>
      <c r="GH979">
        <v>0</v>
      </c>
      <c r="GI979">
        <v>4.4458519663788305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4.5520833333333339</v>
      </c>
      <c r="AO980">
        <v>6.1567145394089788</v>
      </c>
      <c r="AP980">
        <v>21.648531475627145</v>
      </c>
      <c r="AQ980">
        <v>21.29245586465791</v>
      </c>
      <c r="AR980">
        <v>5.7112379771882908</v>
      </c>
      <c r="AS980">
        <v>33.941086075211018</v>
      </c>
      <c r="AT980" t="e">
        <v>#DIV/0!</v>
      </c>
      <c r="AU980" t="e">
        <v>#DIV/0!</v>
      </c>
      <c r="AV980"/>
      <c r="AW980"/>
      <c r="FY980" s="210">
        <v>975</v>
      </c>
      <c r="FZ980">
        <v>0.49136377600840619</v>
      </c>
      <c r="GA980">
        <v>0.58005014356169593</v>
      </c>
      <c r="GB980">
        <v>0.57206434372473558</v>
      </c>
      <c r="GC980">
        <v>9.1637200247224371</v>
      </c>
      <c r="GD980">
        <v>7.8357071633324402</v>
      </c>
      <c r="GE980">
        <v>2.5881936451942806</v>
      </c>
      <c r="GF980">
        <v>0.19016497712110106</v>
      </c>
      <c r="GG980">
        <v>0.64907444160511019</v>
      </c>
      <c r="GH980">
        <v>0.66238017508411107</v>
      </c>
      <c r="GI980">
        <v>5.9749336543685789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6.325186965811965</v>
      </c>
      <c r="AO981">
        <v>8.0445096890022718</v>
      </c>
      <c r="AP981">
        <v>26.637929843132284</v>
      </c>
      <c r="AQ981">
        <v>26.143748522152038</v>
      </c>
      <c r="AR981">
        <v>7.4095741950728735</v>
      </c>
      <c r="AS981">
        <v>29.253773236448872</v>
      </c>
      <c r="AT981" t="e">
        <v>#DIV/0!</v>
      </c>
      <c r="AU981" t="e">
        <v>#DIV/0!</v>
      </c>
      <c r="AV981"/>
      <c r="AW981"/>
      <c r="FY981" s="210">
        <v>976</v>
      </c>
      <c r="FZ981">
        <v>0.49136377600840619</v>
      </c>
      <c r="GA981">
        <v>2.4009080104879867</v>
      </c>
      <c r="GB981">
        <v>0.88097094884916438</v>
      </c>
      <c r="GC981">
        <v>5.5868420261995855</v>
      </c>
      <c r="GD981">
        <v>5.1676879492813921</v>
      </c>
      <c r="GE981">
        <v>2.1651739960225558</v>
      </c>
      <c r="GF981">
        <v>0.19016497712110106</v>
      </c>
      <c r="GG981">
        <v>0.16807232891341395</v>
      </c>
      <c r="GH981">
        <v>0</v>
      </c>
      <c r="GI981">
        <v>4.0959253313080772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7.7113095238095228</v>
      </c>
      <c r="AO982">
        <v>9.0408372851107064</v>
      </c>
      <c r="AP982">
        <v>25.234552486020945</v>
      </c>
      <c r="AQ982">
        <v>27.067327280269033</v>
      </c>
      <c r="AR982">
        <v>8.3866765168002857</v>
      </c>
      <c r="AS982">
        <v>37.795607714547472</v>
      </c>
      <c r="AT982" t="e">
        <v>#DIV/0!</v>
      </c>
      <c r="AU982" t="e">
        <v>#DIV/0!</v>
      </c>
      <c r="AV982"/>
      <c r="AW982"/>
      <c r="FY982" s="210">
        <v>977</v>
      </c>
      <c r="FZ982">
        <v>0</v>
      </c>
      <c r="GA982">
        <v>4.2479581513791134</v>
      </c>
      <c r="GB982">
        <v>2.0294465857023036</v>
      </c>
      <c r="GC982">
        <v>9.9045344375896303</v>
      </c>
      <c r="GD982">
        <v>7.567720168496062</v>
      </c>
      <c r="GE982">
        <v>0.52502351249903412</v>
      </c>
      <c r="GF982">
        <v>0.76065990848440423</v>
      </c>
      <c r="GG982">
        <v>2.1152956537287446</v>
      </c>
      <c r="GH982">
        <v>1.9871405252523333</v>
      </c>
      <c r="GI982">
        <v>6.4596951432224072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6.0809294871794872</v>
      </c>
      <c r="AO983">
        <v>8.2455160987904712</v>
      </c>
      <c r="AP983">
        <v>20.890923041075776</v>
      </c>
      <c r="AQ983">
        <v>24.452441374598635</v>
      </c>
      <c r="AR983">
        <v>7.6489017614011789</v>
      </c>
      <c r="AS983">
        <v>43.190020570781691</v>
      </c>
      <c r="AT983" t="e">
        <v>#DIV/0!</v>
      </c>
      <c r="AU983" t="e">
        <v>#DIV/0!</v>
      </c>
      <c r="AV983"/>
      <c r="AW983"/>
      <c r="FY983" s="210">
        <v>978</v>
      </c>
      <c r="FZ983">
        <v>0.2456818880042031</v>
      </c>
      <c r="GA983">
        <v>3.0736503178193786</v>
      </c>
      <c r="GB983">
        <v>2.4714648014135903</v>
      </c>
      <c r="GC983">
        <v>7.5757125689426417</v>
      </c>
      <c r="GD983">
        <v>5.1977098665484558</v>
      </c>
      <c r="GE983">
        <v>1.0850578241824249</v>
      </c>
      <c r="GF983">
        <v>2.1424426065148507</v>
      </c>
      <c r="GG983">
        <v>2.2601531085936126</v>
      </c>
      <c r="GH983">
        <v>2.6495207003364443</v>
      </c>
      <c r="GI983">
        <v>5.3088454814983344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6.5285218253968251</v>
      </c>
      <c r="AO984">
        <v>4.8512599115120221</v>
      </c>
      <c r="AP984">
        <v>22.892985918040555</v>
      </c>
      <c r="AQ984">
        <v>19.286402217947618</v>
      </c>
      <c r="AR984">
        <v>4.4473758857127157</v>
      </c>
      <c r="AS984">
        <v>19.903789755710825</v>
      </c>
      <c r="AT984" t="e">
        <v>#DIV/0!</v>
      </c>
      <c r="AU984" t="e">
        <v>#DIV/0!</v>
      </c>
      <c r="AV984"/>
      <c r="AW984"/>
      <c r="FY984" s="210">
        <v>979</v>
      </c>
      <c r="FZ984">
        <v>0</v>
      </c>
      <c r="GA984">
        <v>2.9090166275956166</v>
      </c>
      <c r="GB984">
        <v>2.5354011280693975</v>
      </c>
      <c r="GC984">
        <v>4.9816036090245808</v>
      </c>
      <c r="GD984">
        <v>4.1825988055244308</v>
      </c>
      <c r="GE984">
        <v>1.9536641714366936</v>
      </c>
      <c r="GF984">
        <v>0.19016497712110106</v>
      </c>
      <c r="GG984">
        <v>0.16807232891341395</v>
      </c>
      <c r="GH984">
        <v>0</v>
      </c>
      <c r="GI984">
        <v>3.9187084035893807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11.916914682539682</v>
      </c>
      <c r="AO985">
        <v>12.178673964178895</v>
      </c>
      <c r="AP985">
        <v>43.822367972257965</v>
      </c>
      <c r="AQ985">
        <v>41.378501557774165</v>
      </c>
      <c r="AR985">
        <v>11.24460599022744</v>
      </c>
      <c r="AS985">
        <v>60.829391248763905</v>
      </c>
      <c r="AT985" t="e">
        <v>#DIV/0!</v>
      </c>
      <c r="AU985" t="e">
        <v>#DIV/0!</v>
      </c>
      <c r="AV985"/>
      <c r="AW985"/>
      <c r="FY985" s="210">
        <v>980</v>
      </c>
      <c r="FZ985">
        <v>0.52454686079360424</v>
      </c>
      <c r="GA985">
        <v>0.61929245222837248</v>
      </c>
      <c r="GB985">
        <v>0.57206434372473558</v>
      </c>
      <c r="GC985">
        <v>6.863580589239322</v>
      </c>
      <c r="GD985">
        <v>5.7791996940569899</v>
      </c>
      <c r="GE985">
        <v>1.8885842254102743</v>
      </c>
      <c r="GF985">
        <v>0.38032995424220212</v>
      </c>
      <c r="GG985">
        <v>1.7791509959019165</v>
      </c>
      <c r="GH985">
        <v>1.9871405252523333</v>
      </c>
      <c r="GI985">
        <v>4.8272931209665169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8.8160103785103754</v>
      </c>
      <c r="AO986">
        <v>8.8732209506453525</v>
      </c>
      <c r="AP986">
        <v>35.959769851321752</v>
      </c>
      <c r="AQ986">
        <v>33.565890244081451</v>
      </c>
      <c r="AR986">
        <v>8.1254578267327684</v>
      </c>
      <c r="AS986">
        <v>36.305033651250135</v>
      </c>
      <c r="AT986" t="e">
        <v>#DIV/0!</v>
      </c>
      <c r="AU986" t="e">
        <v>#DIV/0!</v>
      </c>
      <c r="AV986"/>
      <c r="AW986"/>
      <c r="FY986" s="210">
        <v>981</v>
      </c>
      <c r="FZ986">
        <v>0.80341183358300561</v>
      </c>
      <c r="GA986">
        <v>1.9216844569175853</v>
      </c>
      <c r="GB986">
        <v>1.0445179814772214</v>
      </c>
      <c r="GC986">
        <v>5.002185789435206</v>
      </c>
      <c r="GD986">
        <v>3.755324180738369</v>
      </c>
      <c r="GE986">
        <v>0.488099595198144</v>
      </c>
      <c r="GF986">
        <v>0.19016497712110106</v>
      </c>
      <c r="GG986">
        <v>1.1300765542968063</v>
      </c>
      <c r="GH986">
        <v>1.3247603501682221</v>
      </c>
      <c r="GI986">
        <v>3.263872085358706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6.6580242673992656</v>
      </c>
      <c r="AO987">
        <v>6.7761715778643916</v>
      </c>
      <c r="AP987">
        <v>29.806197391947922</v>
      </c>
      <c r="AQ987">
        <v>25.51446103567709</v>
      </c>
      <c r="AR987">
        <v>6.2330082292677904</v>
      </c>
      <c r="AS987">
        <v>31.046212821268426</v>
      </c>
      <c r="AT987" t="e">
        <v>#DIV/0!</v>
      </c>
      <c r="AU987" t="e">
        <v>#DIV/0!</v>
      </c>
      <c r="AV987"/>
      <c r="AW987"/>
      <c r="FY987" s="210">
        <v>982</v>
      </c>
      <c r="FZ987">
        <v>9.9549254355594113E-2</v>
      </c>
      <c r="GA987">
        <v>1.2162429317988037</v>
      </c>
      <c r="GB987">
        <v>0.53638996440829323</v>
      </c>
      <c r="GC987">
        <v>8.7796839899525612</v>
      </c>
      <c r="GD987">
        <v>6.8802053504228784</v>
      </c>
      <c r="GE987">
        <v>1.3441421952025283</v>
      </c>
      <c r="GF987">
        <v>1.2613862803785265</v>
      </c>
      <c r="GG987">
        <v>0.3361446578268279</v>
      </c>
      <c r="GH987">
        <v>0</v>
      </c>
      <c r="GI987">
        <v>5.3287336263220242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8.1175976800976795</v>
      </c>
      <c r="AO988">
        <v>7.704038451089116</v>
      </c>
      <c r="AP988">
        <v>34.545271636099358</v>
      </c>
      <c r="AQ988">
        <v>29.862527736773586</v>
      </c>
      <c r="AR988">
        <v>7.0408729477381113</v>
      </c>
      <c r="AS988">
        <v>37.726641727760196</v>
      </c>
      <c r="AT988" t="e">
        <v>#DIV/0!</v>
      </c>
      <c r="AU988" t="e">
        <v>#DIV/0!</v>
      </c>
      <c r="AV988"/>
      <c r="AW988"/>
      <c r="FY988" s="210">
        <v>983</v>
      </c>
      <c r="FZ988">
        <v>3.3183084785198033E-2</v>
      </c>
      <c r="GA988">
        <v>6.4542260434283403</v>
      </c>
      <c r="GB988">
        <v>4.2073182264743885</v>
      </c>
      <c r="GC988">
        <v>6.7098793953440072</v>
      </c>
      <c r="GD988">
        <v>5.5640398202413648</v>
      </c>
      <c r="GE988">
        <v>2.0631701326952463</v>
      </c>
      <c r="GF988">
        <v>0.38032995424220212</v>
      </c>
      <c r="GG988">
        <v>1.7791509959019165</v>
      </c>
      <c r="GH988">
        <v>1.9871405252523333</v>
      </c>
      <c r="GI988">
        <v>5.513308278421249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11.388469169719169</v>
      </c>
      <c r="AO989">
        <v>10.837745030731728</v>
      </c>
      <c r="AP989">
        <v>42.275003418018855</v>
      </c>
      <c r="AQ989">
        <v>38.651820070780538</v>
      </c>
      <c r="AR989">
        <v>9.9478363796885869</v>
      </c>
      <c r="AS989">
        <v>45.201619898225303</v>
      </c>
      <c r="AT989" t="e">
        <v>#DIV/0!</v>
      </c>
      <c r="AU989" t="e">
        <v>#DIV/0!</v>
      </c>
      <c r="AV989"/>
      <c r="AW989"/>
      <c r="FY989" s="210">
        <v>984</v>
      </c>
      <c r="FZ989">
        <v>0.52454686079360424</v>
      </c>
      <c r="GA989">
        <v>4.6164678404933142</v>
      </c>
      <c r="GB989">
        <v>2.4736382761154245</v>
      </c>
      <c r="GC989">
        <v>4.5696356696811931</v>
      </c>
      <c r="GD989">
        <v>3.9347689530806806</v>
      </c>
      <c r="GE989">
        <v>1.6401504835235219</v>
      </c>
      <c r="GF989">
        <v>0.5704949313633032</v>
      </c>
      <c r="GG989">
        <v>0.98521909943193808</v>
      </c>
      <c r="GH989">
        <v>0.66238017508411107</v>
      </c>
      <c r="GI989">
        <v>3.9324372472569489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7.3293650793650773</v>
      </c>
      <c r="AO990">
        <v>7.2603635339369088</v>
      </c>
      <c r="AP990">
        <v>23.291005692941649</v>
      </c>
      <c r="AQ990">
        <v>23.98069221463787</v>
      </c>
      <c r="AR990">
        <v>6.7350311075481537</v>
      </c>
      <c r="AS990">
        <v>30.941715768586921</v>
      </c>
      <c r="AT990" t="e">
        <v>#DIV/0!</v>
      </c>
      <c r="AU990" t="e">
        <v>#DIV/0!</v>
      </c>
      <c r="AV990"/>
      <c r="AW990"/>
      <c r="FY990" s="210">
        <v>985</v>
      </c>
      <c r="FZ990">
        <v>9.9549254355594113E-2</v>
      </c>
      <c r="GA990">
        <v>2.4297930740252145</v>
      </c>
      <c r="GB990">
        <v>1.6826921265595984</v>
      </c>
      <c r="GC990">
        <v>9.5853832937040231</v>
      </c>
      <c r="GD990">
        <v>8.2050520837613004</v>
      </c>
      <c r="GE990">
        <v>3.2696503379136921</v>
      </c>
      <c r="GF990">
        <v>1.4515512574996277</v>
      </c>
      <c r="GG990">
        <v>1.4662212121236342</v>
      </c>
      <c r="GH990">
        <v>1.3247603501682221</v>
      </c>
      <c r="GI990">
        <v>6.881753467539764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7.267895299145299</v>
      </c>
      <c r="AO991">
        <v>9.8221102134034624</v>
      </c>
      <c r="AP991">
        <v>23.933032735614603</v>
      </c>
      <c r="AQ991">
        <v>28.707652344722895</v>
      </c>
      <c r="AR991">
        <v>9.111419492953118</v>
      </c>
      <c r="AS991">
        <v>55.134028677783313</v>
      </c>
      <c r="AT991" t="e">
        <v>#DIV/0!</v>
      </c>
      <c r="AU991" t="e">
        <v>#DIV/0!</v>
      </c>
      <c r="AV991"/>
      <c r="AW991"/>
      <c r="FY991" s="210">
        <v>986</v>
      </c>
      <c r="FZ991">
        <v>0.77022874879780745</v>
      </c>
      <c r="GA991">
        <v>0.9093175240092205</v>
      </c>
      <c r="GB991">
        <v>0.57206434372473558</v>
      </c>
      <c r="GC991">
        <v>1.1306979907224146</v>
      </c>
      <c r="GD991">
        <v>1.3079231951698138</v>
      </c>
      <c r="GE991">
        <v>1.32663679561035</v>
      </c>
      <c r="GF991">
        <v>0</v>
      </c>
      <c r="GG991">
        <v>0.48100211269169618</v>
      </c>
      <c r="GH991">
        <v>0.66238017508411107</v>
      </c>
      <c r="GI991">
        <v>1.2160150415083268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5.3512286324786329</v>
      </c>
      <c r="AO992">
        <v>6.7551190749697936</v>
      </c>
      <c r="AP992">
        <v>19.042557594120325</v>
      </c>
      <c r="AQ992">
        <v>21.14710934419168</v>
      </c>
      <c r="AR992">
        <v>6.2663442253894184</v>
      </c>
      <c r="AS992">
        <v>31.773313769350271</v>
      </c>
      <c r="AT992" t="e">
        <v>#DIV/0!</v>
      </c>
      <c r="AU992" t="e">
        <v>#DIV/0!</v>
      </c>
      <c r="AV992"/>
      <c r="AW992"/>
      <c r="FY992" s="210">
        <v>987</v>
      </c>
      <c r="FZ992">
        <v>0</v>
      </c>
      <c r="GA992">
        <v>6.6554092527463879</v>
      </c>
      <c r="GB992">
        <v>3.737038063423737</v>
      </c>
      <c r="GC992">
        <v>8.3095066359868355</v>
      </c>
      <c r="GD992">
        <v>6.5257638911499178</v>
      </c>
      <c r="GE992">
        <v>2.4116946197927751</v>
      </c>
      <c r="GF992">
        <v>2.1424426065148507</v>
      </c>
      <c r="GG992">
        <v>0.81714677051852402</v>
      </c>
      <c r="GH992">
        <v>0.66238017508411107</v>
      </c>
      <c r="GI992">
        <v>6.4458055790181019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10.266369047619047</v>
      </c>
      <c r="AO993">
        <v>10.632076547720414</v>
      </c>
      <c r="AP993">
        <v>35.972078095665637</v>
      </c>
      <c r="AQ993">
        <v>35.597474086354026</v>
      </c>
      <c r="AR993">
        <v>9.8627797288686594</v>
      </c>
      <c r="AS993">
        <v>47.987797727995364</v>
      </c>
      <c r="AT993" t="e">
        <v>#DIV/0!</v>
      </c>
      <c r="AU993" t="e">
        <v>#DIV/0!</v>
      </c>
      <c r="AV993"/>
      <c r="AW993"/>
      <c r="FY993" s="210">
        <v>988</v>
      </c>
      <c r="FZ993">
        <v>0</v>
      </c>
      <c r="GA993">
        <v>1.9462492484833769</v>
      </c>
      <c r="GB993">
        <v>0.94490727550497178</v>
      </c>
      <c r="GC993">
        <v>8.7579466013040328</v>
      </c>
      <c r="GD993">
        <v>7.1967528082044652</v>
      </c>
      <c r="GE993">
        <v>2.0437516149865345</v>
      </c>
      <c r="GF993">
        <v>1.4515512574996277</v>
      </c>
      <c r="GG993">
        <v>2.4282254375070265</v>
      </c>
      <c r="GH993">
        <v>2.6495207003364443</v>
      </c>
      <c r="GI993">
        <v>6.127957006171771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7.8640873015872996</v>
      </c>
      <c r="AO994">
        <v>8.7409816154230242</v>
      </c>
      <c r="AP994">
        <v>35.881559790462042</v>
      </c>
      <c r="AQ994">
        <v>32.010239163853939</v>
      </c>
      <c r="AR994">
        <v>8.0027868293094553</v>
      </c>
      <c r="AS994">
        <v>34.312423247721227</v>
      </c>
      <c r="AT994" t="e">
        <v>#DIV/0!</v>
      </c>
      <c r="AU994" t="e">
        <v>#DIV/0!</v>
      </c>
      <c r="AV994"/>
      <c r="AW994"/>
      <c r="FY994" s="210">
        <v>989</v>
      </c>
      <c r="FZ994">
        <v>0.73704566401260951</v>
      </c>
      <c r="GA994">
        <v>1.9685912211413181</v>
      </c>
      <c r="GB994">
        <v>1.6805186518577644</v>
      </c>
      <c r="GC994">
        <v>5.9950724318254887</v>
      </c>
      <c r="GD994">
        <v>4.7363436535534182</v>
      </c>
      <c r="GE994">
        <v>1.9060896250024524</v>
      </c>
      <c r="GF994">
        <v>1.6417162346207288</v>
      </c>
      <c r="GG994">
        <v>3.0772998791121369</v>
      </c>
      <c r="GH994">
        <v>3.3119008754205557</v>
      </c>
      <c r="GI994">
        <v>4.6736171466491125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5.6007326007326004</v>
      </c>
      <c r="AO995">
        <v>6.5992748088091986</v>
      </c>
      <c r="AP995">
        <v>22.678056551051423</v>
      </c>
      <c r="AQ995">
        <v>20.839230051274615</v>
      </c>
      <c r="AR995">
        <v>6.1217762604909085</v>
      </c>
      <c r="AS995">
        <v>25.765610051418875</v>
      </c>
      <c r="AT995" t="e">
        <v>#DIV/0!</v>
      </c>
      <c r="AU995" t="e">
        <v>#DIV/0!</v>
      </c>
      <c r="AV995"/>
      <c r="AW995"/>
      <c r="FY995" s="210">
        <v>990</v>
      </c>
      <c r="FZ995">
        <v>0.27886497278940114</v>
      </c>
      <c r="GA995">
        <v>3.4890667711573125</v>
      </c>
      <c r="GB995">
        <v>2.6632737813810121</v>
      </c>
      <c r="GC995">
        <v>5.2701478645214772</v>
      </c>
      <c r="GD995">
        <v>4.2900426359232773</v>
      </c>
      <c r="GE995">
        <v>3.2026572737707402</v>
      </c>
      <c r="GF995">
        <v>3.213663909772277</v>
      </c>
      <c r="GG995">
        <v>1.4662212121236342</v>
      </c>
      <c r="GH995">
        <v>1.3247603501682221</v>
      </c>
      <c r="GI995">
        <v>4.5923093598579356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6.7291666666666661</v>
      </c>
      <c r="AO996">
        <v>7.9687093297603679</v>
      </c>
      <c r="AP996">
        <v>23.478464165735382</v>
      </c>
      <c r="AQ996">
        <v>25.221182761816266</v>
      </c>
      <c r="AR996">
        <v>7.3921236825235308</v>
      </c>
      <c r="AS996">
        <v>35.192110692418893</v>
      </c>
      <c r="AT996" t="e">
        <v>#DIV/0!</v>
      </c>
      <c r="AU996" t="e">
        <v>#DIV/0!</v>
      </c>
      <c r="AV996"/>
      <c r="AW996"/>
      <c r="FY996" s="210">
        <v>991</v>
      </c>
      <c r="FZ996">
        <v>0.2456818880042031</v>
      </c>
      <c r="GA996">
        <v>3.9213835605039815</v>
      </c>
      <c r="GB996">
        <v>2.3079177687855337</v>
      </c>
      <c r="GC996">
        <v>4.7237591377238024</v>
      </c>
      <c r="GD996">
        <v>3.5471203165130527</v>
      </c>
      <c r="GE996">
        <v>1.0675524245902468</v>
      </c>
      <c r="GF996">
        <v>1.0712213032574254</v>
      </c>
      <c r="GG996">
        <v>0.64907444160511019</v>
      </c>
      <c r="GH996">
        <v>0.66238017508411107</v>
      </c>
      <c r="GI996">
        <v>3.5235151679159591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5.2748397435897436</v>
      </c>
      <c r="AO997">
        <v>5.3048920380107667</v>
      </c>
      <c r="AP997">
        <v>18.784348493586926</v>
      </c>
      <c r="AQ997">
        <v>18.924097804294369</v>
      </c>
      <c r="AR997">
        <v>4.92105012802483</v>
      </c>
      <c r="AS997">
        <v>24.063030867838584</v>
      </c>
      <c r="AT997" t="e">
        <v>#DIV/0!</v>
      </c>
      <c r="AU997" t="e">
        <v>#DIV/0!</v>
      </c>
      <c r="AV997"/>
      <c r="AW997"/>
      <c r="FY997" s="210">
        <v>992</v>
      </c>
      <c r="FZ997">
        <v>3.3183084785198033E-2</v>
      </c>
      <c r="GA997">
        <v>2.8228675547052076</v>
      </c>
      <c r="GB997">
        <v>1.3273361139641193</v>
      </c>
      <c r="GC997">
        <v>15.659630368826647</v>
      </c>
      <c r="GD997">
        <v>12.33100751034992</v>
      </c>
      <c r="GE997">
        <v>1.5381466201962124</v>
      </c>
      <c r="GF997">
        <v>0.19016497712110106</v>
      </c>
      <c r="GG997">
        <v>0.64907444160511019</v>
      </c>
      <c r="GH997">
        <v>0.66238017508411107</v>
      </c>
      <c r="GI997">
        <v>9.3034627653545723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7.6237980769230758</v>
      </c>
      <c r="AO998">
        <v>8.7427764524206282</v>
      </c>
      <c r="AP998">
        <v>22.176906332628146</v>
      </c>
      <c r="AQ998">
        <v>25.782478250668039</v>
      </c>
      <c r="AR998">
        <v>8.0573170182809921</v>
      </c>
      <c r="AS998">
        <v>31.082113883582728</v>
      </c>
      <c r="AT998" t="e">
        <v>#DIV/0!</v>
      </c>
      <c r="AU998" t="e">
        <v>#DIV/0!</v>
      </c>
      <c r="AV998"/>
      <c r="AW998"/>
      <c r="FY998" s="210">
        <v>993</v>
      </c>
      <c r="FZ998">
        <v>0.31204805757459919</v>
      </c>
      <c r="GA998">
        <v>7.1493103234176747</v>
      </c>
      <c r="GB998">
        <v>3.8009743900795443</v>
      </c>
      <c r="GC998">
        <v>6.3072032298880956</v>
      </c>
      <c r="GD998">
        <v>5.418098182041426</v>
      </c>
      <c r="GE998">
        <v>3.0756459129200082</v>
      </c>
      <c r="GF998">
        <v>1.95227762939375</v>
      </c>
      <c r="GG998">
        <v>0.64907444160511019</v>
      </c>
      <c r="GH998">
        <v>0.66238017508411107</v>
      </c>
      <c r="GI998">
        <v>5.5054714058997387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8.8050976800976795</v>
      </c>
      <c r="AO999">
        <v>9.086150508051821</v>
      </c>
      <c r="AP999">
        <v>39.875614368130464</v>
      </c>
      <c r="AQ999">
        <v>34.691746456786248</v>
      </c>
      <c r="AR999">
        <v>8.4287110464302604</v>
      </c>
      <c r="AS999">
        <v>43.429267861396774</v>
      </c>
      <c r="AT999" t="e">
        <v>#DIV/0!</v>
      </c>
      <c r="AU999" t="e">
        <v>#DIV/0!</v>
      </c>
      <c r="AV999"/>
      <c r="AW999"/>
      <c r="FY999" s="210">
        <v>994</v>
      </c>
      <c r="FZ999">
        <v>0.27886497278940114</v>
      </c>
      <c r="GA999">
        <v>4.3264427687124662</v>
      </c>
      <c r="GB999">
        <v>2.4736382761154245</v>
      </c>
      <c r="GC999">
        <v>2.6836995261814094</v>
      </c>
      <c r="GD999">
        <v>2.4497195885601739</v>
      </c>
      <c r="GE999">
        <v>1.9711695710288715</v>
      </c>
      <c r="GF999">
        <v>1.0712213032574254</v>
      </c>
      <c r="GG999">
        <v>1.6110786669885027</v>
      </c>
      <c r="GH999">
        <v>1.9871405252523333</v>
      </c>
      <c r="GI999">
        <v>3.1114382843941186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8.1488476800976777</v>
      </c>
      <c r="AO1000">
        <v>6.5633438412906147</v>
      </c>
      <c r="AP1000">
        <v>27.049260786541531</v>
      </c>
      <c r="AQ1000">
        <v>23.909739536824038</v>
      </c>
      <c r="AR1000">
        <v>6.0884451217909232</v>
      </c>
      <c r="AS1000">
        <v>27.915359762002414</v>
      </c>
      <c r="AT1000" t="e">
        <v>#DIV/0!</v>
      </c>
      <c r="AU1000" t="e">
        <v>#DIV/0!</v>
      </c>
      <c r="AV1000"/>
      <c r="AW1000"/>
      <c r="FY1000" s="210">
        <v>995</v>
      </c>
      <c r="FZ1000">
        <v>0.31204805757459919</v>
      </c>
      <c r="GA1000">
        <v>0.36850968911420101</v>
      </c>
      <c r="GB1000">
        <v>0</v>
      </c>
      <c r="GC1000">
        <v>4.8864588025912417</v>
      </c>
      <c r="GD1000">
        <v>5.075598477934685</v>
      </c>
      <c r="GE1000">
        <v>3.0037111964347614</v>
      </c>
      <c r="GF1000">
        <v>0.76065990848440423</v>
      </c>
      <c r="GG1000">
        <v>1.1532914283453519</v>
      </c>
      <c r="GH1000">
        <v>0.66238017508411107</v>
      </c>
      <c r="GI1000">
        <v>3.9222418135815698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9.6852678571428577</v>
      </c>
      <c r="AO1001">
        <v>11.333193355369618</v>
      </c>
      <c r="AP1001">
        <v>34.911293278065969</v>
      </c>
      <c r="AQ1001">
        <v>36.39640645765067</v>
      </c>
      <c r="AR1001">
        <v>10.460301158307887</v>
      </c>
      <c r="AS1001">
        <v>58.967452293519663</v>
      </c>
      <c r="AT1001" t="e">
        <v>#DIV/0!</v>
      </c>
      <c r="AU1001" t="e">
        <v>#DIV/0!</v>
      </c>
      <c r="AV1001"/>
      <c r="AW1001"/>
      <c r="FY1001" s="210">
        <v>996</v>
      </c>
      <c r="FZ1001">
        <v>6.6366169570396066E-2</v>
      </c>
      <c r="GA1001">
        <v>0.20387599889043878</v>
      </c>
      <c r="GB1001">
        <v>1.7801293578300139</v>
      </c>
      <c r="GC1001">
        <v>2.7948631494098723</v>
      </c>
      <c r="GD1001">
        <v>2.4662036237592626</v>
      </c>
      <c r="GE1001">
        <v>2.0631701326952463</v>
      </c>
      <c r="GF1001">
        <v>0.19016497712110106</v>
      </c>
      <c r="GG1001">
        <v>1.1300765542968063</v>
      </c>
      <c r="GH1001">
        <v>1.3247603501682221</v>
      </c>
      <c r="GI1001">
        <v>2.5385589981376397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2.8998397435897436</v>
      </c>
      <c r="AO1002">
        <v>1.9306256113200728</v>
      </c>
      <c r="AP1002">
        <v>8.4555916123339507</v>
      </c>
      <c r="AQ1002">
        <v>8.3762659273184745</v>
      </c>
      <c r="AR1002">
        <v>1.7909328490909768</v>
      </c>
      <c r="AS1002">
        <v>8.7186783147242295</v>
      </c>
      <c r="AT1002" t="e">
        <v>#DIV/0!</v>
      </c>
      <c r="AU1002" t="e">
        <v>#DIV/0!</v>
      </c>
      <c r="AV1002"/>
      <c r="AW1002"/>
      <c r="FY1002" s="210">
        <v>997</v>
      </c>
      <c r="FZ1002">
        <v>0.31204805757459919</v>
      </c>
      <c r="GA1002">
        <v>2.8059672186964719</v>
      </c>
      <c r="GB1002">
        <v>1.1745641094906705</v>
      </c>
      <c r="GC1002">
        <v>4.4340596739890028</v>
      </c>
      <c r="GD1002">
        <v>4.1720378675211132</v>
      </c>
      <c r="GE1002">
        <v>2.936718132291809</v>
      </c>
      <c r="GF1002">
        <v>2.1424426065148507</v>
      </c>
      <c r="GG1002">
        <v>1.7791509959019165</v>
      </c>
      <c r="GH1002">
        <v>1.9871405252523333</v>
      </c>
      <c r="GI1002">
        <v>4.1098283412626913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10.51293498168498</v>
      </c>
      <c r="AO1003">
        <v>10.753370083535518</v>
      </c>
      <c r="AP1003">
        <v>42.55356273228071</v>
      </c>
      <c r="AQ1003">
        <v>37.707187594235243</v>
      </c>
      <c r="AR1003">
        <v>9.8695664843303224</v>
      </c>
      <c r="AS1003">
        <v>41.800278527806739</v>
      </c>
      <c r="AT1003" t="e">
        <v>#DIV/0!</v>
      </c>
      <c r="AU1003" t="e">
        <v>#DIV/0!</v>
      </c>
      <c r="AV1003"/>
      <c r="AW1003"/>
      <c r="FY1003" s="210">
        <v>998</v>
      </c>
      <c r="FZ1003">
        <v>0.2456818880042031</v>
      </c>
      <c r="GA1003">
        <v>2.1108829387071388</v>
      </c>
      <c r="GB1003">
        <v>2.597163980023371</v>
      </c>
      <c r="GC1003">
        <v>4.3837325105122167</v>
      </c>
      <c r="GD1003">
        <v>3.2426280039102626</v>
      </c>
      <c r="GE1003">
        <v>2.4486185370936648</v>
      </c>
      <c r="GF1003">
        <v>2.7129375378781542</v>
      </c>
      <c r="GG1003">
        <v>0.84036164456706985</v>
      </c>
      <c r="GH1003">
        <v>0</v>
      </c>
      <c r="GI1003">
        <v>3.8499404453912565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7.2458600427350435</v>
      </c>
      <c r="AO1004">
        <v>10.055868775321725</v>
      </c>
      <c r="AP1004">
        <v>32.525544997741783</v>
      </c>
      <c r="AQ1004">
        <v>33.546861949998252</v>
      </c>
      <c r="AR1004">
        <v>9.2753989504712546</v>
      </c>
      <c r="AS1004">
        <v>58.747770908748066</v>
      </c>
      <c r="AT1004" t="e">
        <v>#DIV/0!</v>
      </c>
      <c r="AU1004" t="e">
        <v>#DIV/0!</v>
      </c>
      <c r="AV1004"/>
      <c r="AW1004"/>
      <c r="FY1004" s="210">
        <v>999</v>
      </c>
      <c r="FZ1004">
        <v>0.27886497278940114</v>
      </c>
      <c r="GA1004">
        <v>2.1501252473738157</v>
      </c>
      <c r="GB1004">
        <v>1.4530352925739001</v>
      </c>
      <c r="GC1004">
        <v>5.5791814046215915</v>
      </c>
      <c r="GD1004">
        <v>4.5466101562257197</v>
      </c>
      <c r="GE1004">
        <v>1.32663679561035</v>
      </c>
      <c r="GF1004">
        <v>0.38032995424220212</v>
      </c>
      <c r="GG1004">
        <v>1.7791509959019165</v>
      </c>
      <c r="GH1004">
        <v>1.9871405252523333</v>
      </c>
      <c r="GI1004">
        <v>4.1669804074681753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7.3593749999999982</v>
      </c>
      <c r="AO1005">
        <v>7.568724782530337</v>
      </c>
      <c r="AP1005">
        <v>31.91753013394586</v>
      </c>
      <c r="AQ1005">
        <v>29.728195383195583</v>
      </c>
      <c r="AR1005">
        <v>6.9682152836888873</v>
      </c>
      <c r="AS1005">
        <v>31.716099070012366</v>
      </c>
      <c r="AT1005" t="e">
        <v>#DIV/0!</v>
      </c>
      <c r="AU1005" t="e">
        <v>#DIV/0!</v>
      </c>
      <c r="AV1005"/>
      <c r="AW1005"/>
      <c r="FY1005" s="210">
        <v>1000</v>
      </c>
      <c r="FZ1005">
        <v>0.31204805757459919</v>
      </c>
      <c r="GA1005">
        <v>1.2162429317988037</v>
      </c>
      <c r="GB1005">
        <v>1.5526459985461498</v>
      </c>
      <c r="GC1005">
        <v>10.002483199070108</v>
      </c>
      <c r="GD1005">
        <v>7.9665572932065043</v>
      </c>
      <c r="GE1005">
        <v>2.0631701326952463</v>
      </c>
      <c r="GF1005">
        <v>0.19016497712110106</v>
      </c>
      <c r="GG1005">
        <v>0.64907444160511019</v>
      </c>
      <c r="GH1005">
        <v>0.66238017508411107</v>
      </c>
      <c r="GI1005">
        <v>6.4419370458504117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7.6540178571428568</v>
      </c>
      <c r="AO1006">
        <v>7.4697898455088474</v>
      </c>
      <c r="AP1006">
        <v>33.816909844953031</v>
      </c>
      <c r="AQ1006">
        <v>29.79100813146529</v>
      </c>
      <c r="AR1006">
        <v>6.77070846509063</v>
      </c>
      <c r="AS1006">
        <v>37.633863022194689</v>
      </c>
      <c r="AT1006" t="e">
        <v>#DIV/0!</v>
      </c>
      <c r="AU1006" t="e">
        <v>#DIV/0!</v>
      </c>
      <c r="AV1006"/>
      <c r="AW1006"/>
      <c r="FY1006" s="205"/>
      <c r="FZ1006" s="205"/>
      <c r="GA1006" s="205"/>
      <c r="GB1006" s="205"/>
      <c r="GC1006" s="205"/>
      <c r="GD1006" s="205"/>
      <c r="GE1006" s="205"/>
      <c r="GF1006" s="205"/>
      <c r="GG1006" s="205"/>
      <c r="GH1006" s="205"/>
      <c r="GI1006" s="205"/>
      <c r="GJ1006" s="205"/>
      <c r="GK1006" s="205"/>
      <c r="GL1006" s="205"/>
      <c r="GM1006" s="205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6.3484623015873005</v>
      </c>
      <c r="AO1007">
        <v>5.796031307919332</v>
      </c>
      <c r="AP1007">
        <v>24.557448399963665</v>
      </c>
      <c r="AQ1007">
        <v>21.719606183983423</v>
      </c>
      <c r="AR1007">
        <v>5.3237871996341513</v>
      </c>
      <c r="AS1007">
        <v>24.72926638042458</v>
      </c>
      <c r="AT1007" t="e">
        <v>#DIV/0!</v>
      </c>
      <c r="AU1007" t="e">
        <v>#DIV/0!</v>
      </c>
      <c r="AV1007"/>
      <c r="AW1007"/>
      <c r="FY1007" s="205"/>
      <c r="FZ1007" s="205"/>
      <c r="GA1007" s="205"/>
      <c r="GB1007" s="205"/>
      <c r="GC1007" s="205"/>
      <c r="GD1007" s="205"/>
      <c r="GE1007" s="205"/>
      <c r="GF1007" s="205"/>
      <c r="GG1007" s="205"/>
      <c r="GH1007" s="205"/>
      <c r="GI1007" s="205"/>
      <c r="GJ1007" s="205"/>
      <c r="GK1007" s="205"/>
      <c r="GL1007" s="205"/>
      <c r="GM1007" s="205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11.434065934065933</v>
      </c>
      <c r="AO1008">
        <v>15.288477763781993</v>
      </c>
      <c r="AP1008">
        <v>38.07271214253619</v>
      </c>
      <c r="AQ1008">
        <v>44.517253611992196</v>
      </c>
      <c r="AR1008">
        <v>14.182261376421142</v>
      </c>
      <c r="AS1008">
        <v>90.525333625192204</v>
      </c>
      <c r="AT1008" t="e">
        <v>#DIV/0!</v>
      </c>
      <c r="AU1008" t="e">
        <v>#DIV/0!</v>
      </c>
      <c r="AV1008"/>
      <c r="AW1008"/>
      <c r="FY1008" s="205"/>
      <c r="FZ1008" s="205"/>
      <c r="GA1008" s="205"/>
      <c r="GB1008" s="205"/>
      <c r="GC1008" s="205"/>
      <c r="GD1008" s="205"/>
      <c r="GE1008" s="205"/>
      <c r="GF1008" s="205"/>
      <c r="GG1008" s="205"/>
      <c r="GH1008" s="205"/>
      <c r="GI1008" s="205"/>
      <c r="GJ1008" s="205"/>
      <c r="GK1008" s="205"/>
      <c r="GL1008" s="205"/>
      <c r="GM1008" s="205"/>
    </row>
    <row r="1009" spans="1:195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10.05753968253968</v>
      </c>
      <c r="AO1009">
        <v>9.0900105356352796</v>
      </c>
      <c r="AP1009">
        <v>39.98453214781204</v>
      </c>
      <c r="AQ1009">
        <v>34.832483747904057</v>
      </c>
      <c r="AR1009">
        <v>8.3265613378551446</v>
      </c>
      <c r="AS1009">
        <v>33.013265699326695</v>
      </c>
      <c r="AT1009" t="e">
        <v>#DIV/0!</v>
      </c>
      <c r="AU1009" t="e">
        <v>#DIV/0!</v>
      </c>
      <c r="AV1009"/>
      <c r="AW1009"/>
      <c r="FY1009" s="205"/>
      <c r="FZ1009" s="205"/>
      <c r="GA1009" s="205"/>
      <c r="GB1009" s="205"/>
      <c r="GC1009" s="205"/>
      <c r="GD1009" s="205"/>
      <c r="GE1009" s="205"/>
      <c r="GF1009" s="205"/>
      <c r="GG1009" s="205"/>
      <c r="GH1009" s="205"/>
      <c r="GI1009" s="205"/>
      <c r="GJ1009" s="205"/>
      <c r="GK1009" s="205"/>
      <c r="GL1009" s="205"/>
      <c r="GM1009" s="205"/>
    </row>
    <row r="1010" spans="1:195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6.2582226800976786</v>
      </c>
      <c r="AO1010">
        <v>5.1870854476250372</v>
      </c>
      <c r="AP1010">
        <v>27.320531937577179</v>
      </c>
      <c r="AQ1010">
        <v>21.964413483280129</v>
      </c>
      <c r="AR1010">
        <v>4.7589023570605962</v>
      </c>
      <c r="AS1010">
        <v>20.619433403244649</v>
      </c>
      <c r="AT1010" t="e">
        <v>#DIV/0!</v>
      </c>
      <c r="AU1010" t="e">
        <v>#DIV/0!</v>
      </c>
      <c r="AV1010"/>
      <c r="AW1010"/>
      <c r="FY1010" s="205"/>
      <c r="FZ1010" s="205"/>
      <c r="GA1010" s="205"/>
      <c r="GB1010" s="205"/>
      <c r="GC1010" s="205"/>
      <c r="GD1010" s="205"/>
      <c r="GE1010" s="205"/>
      <c r="GF1010" s="205"/>
      <c r="GG1010" s="205"/>
      <c r="GH1010" s="205"/>
      <c r="GI1010" s="205"/>
      <c r="GJ1010" s="205"/>
      <c r="GK1010" s="205"/>
      <c r="GL1010" s="205"/>
      <c r="GM1010" s="205"/>
    </row>
    <row r="1011" spans="1:195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5.2366452991452999</v>
      </c>
      <c r="AO1011">
        <v>6.4228257506616107</v>
      </c>
      <c r="AP1011">
        <v>17.02466815791211</v>
      </c>
      <c r="AQ1011">
        <v>20.144899549144924</v>
      </c>
      <c r="AR1011">
        <v>5.9580943883688402</v>
      </c>
      <c r="AS1011">
        <v>34.917149499225566</v>
      </c>
      <c r="AT1011" t="e">
        <v>#DIV/0!</v>
      </c>
      <c r="AU1011" t="e">
        <v>#DIV/0!</v>
      </c>
      <c r="AV1011"/>
      <c r="AW1011"/>
      <c r="FY1011" s="205"/>
      <c r="FZ1011" s="205"/>
      <c r="GA1011" s="205"/>
      <c r="GB1011" s="205"/>
      <c r="GC1011" s="205"/>
      <c r="GD1011" s="205"/>
      <c r="GE1011" s="205"/>
      <c r="GF1011" s="205"/>
      <c r="GG1011" s="205"/>
      <c r="GH1011" s="205"/>
      <c r="GI1011" s="205"/>
      <c r="GJ1011" s="205"/>
      <c r="GK1011" s="205"/>
      <c r="GL1011" s="205"/>
      <c r="GM1011" s="205"/>
    </row>
    <row r="1012" spans="1:195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3.3199786324786325</v>
      </c>
      <c r="AO1012">
        <v>4.2178610963427756</v>
      </c>
      <c r="AP1012">
        <v>16.251709487253009</v>
      </c>
      <c r="AQ1012">
        <v>14.558169311879002</v>
      </c>
      <c r="AR1012">
        <v>3.9126726311157469</v>
      </c>
      <c r="AS1012">
        <v>18.283453142377194</v>
      </c>
      <c r="AT1012" t="e">
        <v>#DIV/0!</v>
      </c>
      <c r="AU1012" t="e">
        <v>#DIV/0!</v>
      </c>
      <c r="AV1012"/>
      <c r="AW1012"/>
    </row>
    <row r="1013" spans="1:195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6.8298992673992673</v>
      </c>
      <c r="AO1013">
        <v>6.7309436041631328</v>
      </c>
      <c r="AP1013">
        <v>27.690887749723451</v>
      </c>
      <c r="AQ1013">
        <v>25.853957528495457</v>
      </c>
      <c r="AR1013">
        <v>6.138187560979314</v>
      </c>
      <c r="AS1013">
        <v>33.277412454732612</v>
      </c>
      <c r="AT1013" t="e">
        <v>#DIV/0!</v>
      </c>
      <c r="AU1013" t="e">
        <v>#DIV/0!</v>
      </c>
      <c r="AV1013"/>
      <c r="AW1013"/>
    </row>
    <row r="1014" spans="1:195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4.9652777777777777</v>
      </c>
      <c r="AO1014">
        <v>6.4844195026998674</v>
      </c>
      <c r="AP1014">
        <v>26.645356629978703</v>
      </c>
      <c r="AQ1014">
        <v>22.431947486087338</v>
      </c>
      <c r="AR1014">
        <v>5.9095010104568058</v>
      </c>
      <c r="AS1014">
        <v>29.019028504376113</v>
      </c>
      <c r="AT1014" t="e">
        <v>#DIV/0!</v>
      </c>
      <c r="AU1014" t="e">
        <v>#DIV/0!</v>
      </c>
      <c r="AV1014"/>
      <c r="AW1014"/>
    </row>
    <row r="1015" spans="1:195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5.122061965811965</v>
      </c>
      <c r="AO1015">
        <v>6.8993216856461412</v>
      </c>
      <c r="AP1015">
        <v>24.603448178055952</v>
      </c>
      <c r="AQ1015">
        <v>23.648055752059406</v>
      </c>
      <c r="AR1015">
        <v>6.4001128809333414</v>
      </c>
      <c r="AS1015">
        <v>35.509586149076924</v>
      </c>
      <c r="AT1015" t="e">
        <v>#DIV/0!</v>
      </c>
      <c r="AU1015" t="e">
        <v>#DIV/0!</v>
      </c>
      <c r="AV1015"/>
      <c r="AW1015"/>
      <c r="FZ1015" s="7">
        <v>3.4685459107972896E-2</v>
      </c>
      <c r="GA1015" s="7">
        <v>1.4281497736014976</v>
      </c>
      <c r="GB1015" s="7">
        <v>2.6495021845015558</v>
      </c>
      <c r="GC1015" s="7">
        <v>1.6986494558068093</v>
      </c>
      <c r="GD1015" s="7">
        <v>2.317071374975916</v>
      </c>
      <c r="GE1015" s="7">
        <v>2.0184423761609578</v>
      </c>
      <c r="GF1015" s="7">
        <v>0</v>
      </c>
      <c r="GG1015" s="7">
        <v>1.2231057011483817</v>
      </c>
      <c r="GH1015" s="7">
        <v>1.9899966323782363</v>
      </c>
      <c r="GI1015" s="7">
        <v>3.8913803166812286</v>
      </c>
    </row>
    <row r="1016" spans="1:195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7.6498397435897427</v>
      </c>
      <c r="AO1016">
        <v>10.691108610851145</v>
      </c>
      <c r="AP1016">
        <v>28.238565481032445</v>
      </c>
      <c r="AQ1016">
        <v>31.056704252552141</v>
      </c>
      <c r="AR1016">
        <v>9.917540455335013</v>
      </c>
      <c r="AS1016">
        <v>55.728726659646924</v>
      </c>
      <c r="AT1016" t="e">
        <v>#DIV/0!</v>
      </c>
      <c r="AU1016" t="e">
        <v>#DIV/0!</v>
      </c>
      <c r="AV1016"/>
      <c r="AW1016"/>
    </row>
    <row r="1017" spans="1:195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195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195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195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195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195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195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195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CW86:CX86"/>
    <mergeCell ref="O455:R455"/>
    <mergeCell ref="GC2:GI2"/>
    <mergeCell ref="FI6:FJ6"/>
    <mergeCell ref="FK6:FL6"/>
    <mergeCell ref="FM6:FN6"/>
    <mergeCell ref="FJ4:FM4"/>
    <mergeCell ref="FI12:FJ12"/>
    <mergeCell ref="FI13:FJ13"/>
    <mergeCell ref="FI14:FJ14"/>
    <mergeCell ref="FI15:FJ15"/>
    <mergeCell ref="FI16:FJ16"/>
    <mergeCell ref="FI7:FJ7"/>
    <mergeCell ref="FI8:FJ8"/>
    <mergeCell ref="FI9:FJ9"/>
    <mergeCell ref="FI10:FJ10"/>
    <mergeCell ref="FI11:FJ11"/>
    <mergeCell ref="FK7:FL7"/>
    <mergeCell ref="FK8:FL8"/>
    <mergeCell ref="FK9:FL9"/>
    <mergeCell ref="FK10:FL10"/>
    <mergeCell ref="FK11:FL11"/>
    <mergeCell ref="FK12:FL12"/>
    <mergeCell ref="FK13:FL13"/>
    <mergeCell ref="FK14:FL14"/>
    <mergeCell ref="FK15:FL15"/>
    <mergeCell ref="FK16:FL16"/>
    <mergeCell ref="FM7:FN7"/>
    <mergeCell ref="FM8:FN8"/>
    <mergeCell ref="FM9:FN9"/>
    <mergeCell ref="FM10:FN10"/>
    <mergeCell ref="FM11:FN11"/>
    <mergeCell ref="FM12:FN12"/>
    <mergeCell ref="FM13:FN13"/>
    <mergeCell ref="FM14:FN14"/>
    <mergeCell ref="FM15:FN15"/>
    <mergeCell ref="FM16:FN16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2011-01-12T00:16:14Z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